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8AA11437-FC60-4A70-B344-69397302A8F7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8" i="8" l="1"/>
  <c r="AC68" i="8"/>
  <c r="AB68" i="8"/>
  <c r="AA68" i="8"/>
  <c r="Y68" i="8"/>
  <c r="X68" i="8"/>
  <c r="W68" i="8"/>
  <c r="V68" i="8"/>
  <c r="S68" i="8"/>
  <c r="AD68" i="8" s="1"/>
  <c r="O68" i="8"/>
  <c r="Z68" i="8" s="1"/>
  <c r="K68" i="8"/>
  <c r="AE59" i="8"/>
  <c r="AC59" i="8"/>
  <c r="AB59" i="8"/>
  <c r="AA59" i="8"/>
  <c r="Y59" i="8"/>
  <c r="X59" i="8"/>
  <c r="W59" i="8"/>
  <c r="S59" i="8"/>
  <c r="AD59" i="8" s="1"/>
  <c r="O59" i="8"/>
  <c r="Z59" i="8" s="1"/>
  <c r="K59" i="8"/>
  <c r="V59" i="8" s="1"/>
  <c r="AE58" i="8"/>
  <c r="AC58" i="8"/>
  <c r="AB58" i="8"/>
  <c r="AA58" i="8"/>
  <c r="Y58" i="8"/>
  <c r="X58" i="8"/>
  <c r="W58" i="8"/>
  <c r="S58" i="8"/>
  <c r="AD58" i="8" s="1"/>
  <c r="O58" i="8"/>
  <c r="Z58" i="8" s="1"/>
  <c r="K58" i="8"/>
  <c r="V58" i="8" s="1"/>
  <c r="D146" i="8"/>
  <c r="S134" i="8"/>
  <c r="AE134" i="8" s="1"/>
  <c r="O134" i="8"/>
  <c r="AC134" i="8" s="1"/>
  <c r="K134" i="8"/>
  <c r="X134" i="8" s="1"/>
  <c r="S133" i="8"/>
  <c r="AD133" i="8" s="1"/>
  <c r="O133" i="8"/>
  <c r="AB133" i="8" s="1"/>
  <c r="K133" i="8"/>
  <c r="V133" i="8" s="1"/>
  <c r="S137" i="8"/>
  <c r="AE137" i="8" s="1"/>
  <c r="O137" i="8"/>
  <c r="AC137" i="8" s="1"/>
  <c r="K137" i="8"/>
  <c r="W137" i="8" s="1"/>
  <c r="S136" i="8"/>
  <c r="AD136" i="8" s="1"/>
  <c r="O136" i="8"/>
  <c r="AC136" i="8" s="1"/>
  <c r="K136" i="8"/>
  <c r="Y136" i="8" s="1"/>
  <c r="S135" i="8"/>
  <c r="AE135" i="8" s="1"/>
  <c r="O135" i="8"/>
  <c r="AA135" i="8" s="1"/>
  <c r="K135" i="8"/>
  <c r="Y135" i="8" s="1"/>
  <c r="C129" i="8"/>
  <c r="D129" i="8"/>
  <c r="E129" i="8"/>
  <c r="S124" i="8"/>
  <c r="AD124" i="8" s="1"/>
  <c r="O124" i="8"/>
  <c r="AB124" i="8" s="1"/>
  <c r="K124" i="8"/>
  <c r="V124" i="8" s="1"/>
  <c r="S123" i="8"/>
  <c r="AE123" i="8" s="1"/>
  <c r="O123" i="8"/>
  <c r="AB123" i="8" s="1"/>
  <c r="K123" i="8"/>
  <c r="X123" i="8" s="1"/>
  <c r="S114" i="8"/>
  <c r="AD114" i="8" s="1"/>
  <c r="O114" i="8"/>
  <c r="AC114" i="8" s="1"/>
  <c r="K114" i="8"/>
  <c r="X114" i="8" s="1"/>
  <c r="S113" i="8"/>
  <c r="AD113" i="8" s="1"/>
  <c r="O113" i="8"/>
  <c r="AC113" i="8" s="1"/>
  <c r="K113" i="8"/>
  <c r="V113" i="8" s="1"/>
  <c r="S33" i="8"/>
  <c r="AD33" i="8" s="1"/>
  <c r="O33" i="8"/>
  <c r="AC33" i="8" s="1"/>
  <c r="K33" i="8"/>
  <c r="S21" i="8"/>
  <c r="AE21" i="8" s="1"/>
  <c r="O21" i="8"/>
  <c r="AC21" i="8" s="1"/>
  <c r="K21" i="8"/>
  <c r="Y21" i="8" s="1"/>
  <c r="S20" i="8"/>
  <c r="AE20" i="8" s="1"/>
  <c r="O20" i="8"/>
  <c r="AC20" i="8" s="1"/>
  <c r="K20" i="8"/>
  <c r="X20" i="8" s="1"/>
  <c r="S17" i="8"/>
  <c r="AD17" i="8" s="1"/>
  <c r="O17" i="8"/>
  <c r="AC17" i="8" s="1"/>
  <c r="K17" i="8"/>
  <c r="V17" i="8" s="1"/>
  <c r="S16" i="8"/>
  <c r="AD16" i="8" s="1"/>
  <c r="O16" i="8"/>
  <c r="AB16" i="8" s="1"/>
  <c r="K16" i="8"/>
  <c r="Y16" i="8" s="1"/>
  <c r="C36" i="10"/>
  <c r="C28" i="10"/>
  <c r="C35" i="10" s="1"/>
  <c r="C17" i="10"/>
  <c r="C12" i="10"/>
  <c r="C16" i="10" s="1"/>
  <c r="C4" i="10"/>
  <c r="C3" i="10"/>
  <c r="C147" i="8"/>
  <c r="C142" i="8"/>
  <c r="C96" i="8"/>
  <c r="C95" i="8"/>
  <c r="C88" i="8"/>
  <c r="C74" i="8"/>
  <c r="C81" i="8" s="1"/>
  <c r="C53" i="8"/>
  <c r="C64" i="8" s="1"/>
  <c r="C45" i="8"/>
  <c r="C44" i="8"/>
  <c r="C11" i="8"/>
  <c r="C22" i="8" s="1"/>
  <c r="B16" i="10"/>
  <c r="S10" i="10"/>
  <c r="AD10" i="10" s="1"/>
  <c r="O10" i="10"/>
  <c r="AB10" i="10" s="1"/>
  <c r="K10" i="10"/>
  <c r="V10" i="10" s="1"/>
  <c r="AE40" i="11"/>
  <c r="AG40" i="11" s="1"/>
  <c r="AD40" i="11"/>
  <c r="AC40" i="11"/>
  <c r="AB40" i="11"/>
  <c r="AA40" i="11"/>
  <c r="Z40" i="11"/>
  <c r="Y40" i="11"/>
  <c r="X40" i="11"/>
  <c r="W40" i="11"/>
  <c r="V40" i="11"/>
  <c r="AE23" i="11"/>
  <c r="AD23" i="11"/>
  <c r="AC23" i="11"/>
  <c r="AB23" i="11"/>
  <c r="AA23" i="11"/>
  <c r="Z23" i="11"/>
  <c r="Y23" i="11"/>
  <c r="X23" i="11"/>
  <c r="W23" i="11"/>
  <c r="V23" i="11"/>
  <c r="AE22" i="11"/>
  <c r="AD22" i="11"/>
  <c r="AC22" i="11"/>
  <c r="AB22" i="11"/>
  <c r="AA22" i="11"/>
  <c r="Z22" i="11"/>
  <c r="Y22" i="11"/>
  <c r="X22" i="11"/>
  <c r="W22" i="11"/>
  <c r="V22" i="11"/>
  <c r="AE21" i="11"/>
  <c r="AD21" i="11"/>
  <c r="AC21" i="11"/>
  <c r="AB21" i="11"/>
  <c r="AA21" i="11"/>
  <c r="Z21" i="11"/>
  <c r="Y21" i="11"/>
  <c r="X21" i="11"/>
  <c r="W21" i="11"/>
  <c r="V21" i="11"/>
  <c r="W54" i="11"/>
  <c r="AC54" i="11"/>
  <c r="W55" i="11"/>
  <c r="AA55" i="11"/>
  <c r="AB55" i="11"/>
  <c r="K56" i="11"/>
  <c r="O56" i="11"/>
  <c r="Z56" i="11" s="1"/>
  <c r="S56" i="11"/>
  <c r="AD56" i="11" s="1"/>
  <c r="X54" i="11"/>
  <c r="Y54" i="11"/>
  <c r="AC55" i="11"/>
  <c r="AD78" i="11"/>
  <c r="AC78" i="11"/>
  <c r="AB78" i="11"/>
  <c r="AA78" i="11"/>
  <c r="Z78" i="11"/>
  <c r="Y78" i="11"/>
  <c r="X78" i="11"/>
  <c r="W78" i="11"/>
  <c r="V78" i="11"/>
  <c r="AE78" i="11"/>
  <c r="AC75" i="11"/>
  <c r="AB75" i="11"/>
  <c r="AA75" i="11"/>
  <c r="Y75" i="11"/>
  <c r="X75" i="11"/>
  <c r="W75" i="11"/>
  <c r="AC74" i="11"/>
  <c r="AB74" i="11"/>
  <c r="AA74" i="11"/>
  <c r="Y74" i="11"/>
  <c r="X74" i="11"/>
  <c r="W74" i="11"/>
  <c r="AC73" i="11"/>
  <c r="AB73" i="11"/>
  <c r="AA73" i="11"/>
  <c r="Y73" i="11"/>
  <c r="X73" i="11"/>
  <c r="W73" i="11"/>
  <c r="AC72" i="11"/>
  <c r="AB72" i="11"/>
  <c r="AA72" i="11"/>
  <c r="Y72" i="11"/>
  <c r="X72" i="11"/>
  <c r="W72" i="11"/>
  <c r="AE75" i="11"/>
  <c r="AE74" i="11"/>
  <c r="AE73" i="11"/>
  <c r="AE72" i="11"/>
  <c r="AD70" i="11"/>
  <c r="AC70" i="11"/>
  <c r="AB70" i="11"/>
  <c r="AA70" i="11"/>
  <c r="Z70" i="11"/>
  <c r="Y70" i="11"/>
  <c r="X70" i="11"/>
  <c r="W70" i="11"/>
  <c r="V70" i="11"/>
  <c r="AD69" i="11"/>
  <c r="AC69" i="11"/>
  <c r="AB69" i="11"/>
  <c r="AA69" i="11"/>
  <c r="Z69" i="11"/>
  <c r="Y69" i="11"/>
  <c r="X69" i="11"/>
  <c r="W69" i="11"/>
  <c r="V69" i="11"/>
  <c r="AE70" i="11"/>
  <c r="AE69" i="11"/>
  <c r="AD66" i="11"/>
  <c r="AC66" i="11"/>
  <c r="AB66" i="11"/>
  <c r="AA66" i="11"/>
  <c r="Z66" i="11"/>
  <c r="Y66" i="11"/>
  <c r="X66" i="11"/>
  <c r="W66" i="11"/>
  <c r="V66" i="11"/>
  <c r="AD65" i="11"/>
  <c r="AC65" i="11"/>
  <c r="AB65" i="11"/>
  <c r="AA65" i="11"/>
  <c r="Z65" i="11"/>
  <c r="Y65" i="11"/>
  <c r="X65" i="11"/>
  <c r="W65" i="11"/>
  <c r="V65" i="11"/>
  <c r="AD64" i="11"/>
  <c r="AC64" i="11"/>
  <c r="AB64" i="11"/>
  <c r="AA64" i="11"/>
  <c r="Z64" i="11"/>
  <c r="Y64" i="11"/>
  <c r="X64" i="11"/>
  <c r="W64" i="11"/>
  <c r="V64" i="11"/>
  <c r="AD63" i="11"/>
  <c r="AC63" i="11"/>
  <c r="AB63" i="11"/>
  <c r="AA63" i="11"/>
  <c r="Z63" i="11"/>
  <c r="Y63" i="11"/>
  <c r="X63" i="11"/>
  <c r="W63" i="11"/>
  <c r="V63" i="11"/>
  <c r="AD62" i="11"/>
  <c r="AC62" i="11"/>
  <c r="AB62" i="11"/>
  <c r="AA62" i="11"/>
  <c r="Z62" i="11"/>
  <c r="Y62" i="11"/>
  <c r="X62" i="11"/>
  <c r="W62" i="11"/>
  <c r="V62" i="11"/>
  <c r="AD61" i="11"/>
  <c r="AC61" i="11"/>
  <c r="AB61" i="11"/>
  <c r="AA61" i="11"/>
  <c r="Z61" i="11"/>
  <c r="Y61" i="11"/>
  <c r="X61" i="11"/>
  <c r="W61" i="11"/>
  <c r="V61" i="11"/>
  <c r="AD60" i="11"/>
  <c r="AC60" i="11"/>
  <c r="AB60" i="11"/>
  <c r="AA60" i="11"/>
  <c r="Z60" i="11"/>
  <c r="Y60" i="11"/>
  <c r="X60" i="11"/>
  <c r="W60" i="11"/>
  <c r="V60" i="11"/>
  <c r="AE66" i="11"/>
  <c r="AE65" i="11"/>
  <c r="AE64" i="11"/>
  <c r="AE63" i="11"/>
  <c r="AE62" i="11"/>
  <c r="AE61" i="11"/>
  <c r="AE60" i="11"/>
  <c r="AC56" i="11"/>
  <c r="AB56" i="11"/>
  <c r="AA56" i="11"/>
  <c r="Y56" i="11"/>
  <c r="X56" i="11"/>
  <c r="W56" i="11"/>
  <c r="V56" i="11"/>
  <c r="Y55" i="11"/>
  <c r="X55" i="11"/>
  <c r="AB54" i="11"/>
  <c r="AA54" i="11"/>
  <c r="AE56" i="11"/>
  <c r="AE55" i="11"/>
  <c r="AE54" i="11"/>
  <c r="S27" i="10"/>
  <c r="AD27" i="10" s="1"/>
  <c r="S26" i="10"/>
  <c r="AE26" i="10" s="1"/>
  <c r="S25" i="10"/>
  <c r="AD25" i="10" s="1"/>
  <c r="S24" i="10"/>
  <c r="S23" i="10"/>
  <c r="AE23" i="10" s="1"/>
  <c r="S22" i="10"/>
  <c r="AD22" i="10" s="1"/>
  <c r="O27" i="10"/>
  <c r="AA27" i="10" s="1"/>
  <c r="O26" i="10"/>
  <c r="AA26" i="10" s="1"/>
  <c r="O25" i="10"/>
  <c r="AB25" i="10" s="1"/>
  <c r="O24" i="10"/>
  <c r="AA24" i="10" s="1"/>
  <c r="O23" i="10"/>
  <c r="AC23" i="10" s="1"/>
  <c r="O22" i="10"/>
  <c r="AA22" i="10" s="1"/>
  <c r="K27" i="10"/>
  <c r="X27" i="10" s="1"/>
  <c r="K26" i="10"/>
  <c r="Y26" i="10" s="1"/>
  <c r="K25" i="10"/>
  <c r="X25" i="10" s="1"/>
  <c r="K24" i="10"/>
  <c r="Y24" i="10" s="1"/>
  <c r="K23" i="10"/>
  <c r="W23" i="10" s="1"/>
  <c r="K22" i="10"/>
  <c r="Y22" i="10" s="1"/>
  <c r="AE24" i="10"/>
  <c r="AD24" i="10"/>
  <c r="AD23" i="10"/>
  <c r="AB22" i="10"/>
  <c r="AD150" i="8"/>
  <c r="AE146" i="8" s="1"/>
  <c r="AC150" i="8"/>
  <c r="AD146" i="8" s="1"/>
  <c r="AB150" i="8"/>
  <c r="AA150" i="8"/>
  <c r="AB146" i="8" s="1"/>
  <c r="Z150" i="8"/>
  <c r="AA146" i="8" s="1"/>
  <c r="Y150" i="8"/>
  <c r="Z146" i="8" s="1"/>
  <c r="X150" i="8"/>
  <c r="W150" i="8"/>
  <c r="X146" i="8" s="1"/>
  <c r="V150" i="8"/>
  <c r="W146" i="8" s="1"/>
  <c r="AC149" i="8"/>
  <c r="AB149" i="8"/>
  <c r="AA149" i="8"/>
  <c r="Y149" i="8"/>
  <c r="X149" i="8"/>
  <c r="W149" i="8"/>
  <c r="AE150" i="8"/>
  <c r="AE149" i="8"/>
  <c r="AE87" i="8"/>
  <c r="AC87" i="8"/>
  <c r="AB87" i="8"/>
  <c r="AA87" i="8"/>
  <c r="Y87" i="8"/>
  <c r="X87" i="8"/>
  <c r="W87" i="8"/>
  <c r="AE86" i="8"/>
  <c r="AC86" i="8"/>
  <c r="AB86" i="8"/>
  <c r="AA86" i="8"/>
  <c r="Y86" i="8"/>
  <c r="X86" i="8"/>
  <c r="W86" i="8"/>
  <c r="AE85" i="8"/>
  <c r="AC85" i="8"/>
  <c r="AB85" i="8"/>
  <c r="AA85" i="8"/>
  <c r="Y85" i="8"/>
  <c r="X85" i="8"/>
  <c r="W85" i="8"/>
  <c r="AE84" i="8"/>
  <c r="AC84" i="8"/>
  <c r="AB84" i="8"/>
  <c r="AA84" i="8"/>
  <c r="Y84" i="8"/>
  <c r="X84" i="8"/>
  <c r="W84" i="8"/>
  <c r="AE83" i="8"/>
  <c r="AC83" i="8"/>
  <c r="AB83" i="8"/>
  <c r="AA83" i="8"/>
  <c r="Y83" i="8"/>
  <c r="X83" i="8"/>
  <c r="W83" i="8"/>
  <c r="AE80" i="8"/>
  <c r="AC80" i="8"/>
  <c r="AB80" i="8"/>
  <c r="AA80" i="8"/>
  <c r="Y80" i="8"/>
  <c r="X80" i="8"/>
  <c r="W80" i="8"/>
  <c r="AE79" i="8"/>
  <c r="AC79" i="8"/>
  <c r="AB79" i="8"/>
  <c r="AA79" i="8"/>
  <c r="Y79" i="8"/>
  <c r="X79" i="8"/>
  <c r="W79" i="8"/>
  <c r="AE78" i="8"/>
  <c r="AC78" i="8"/>
  <c r="AB78" i="8"/>
  <c r="AA78" i="8"/>
  <c r="Y78" i="8"/>
  <c r="X78" i="8"/>
  <c r="W78" i="8"/>
  <c r="AE77" i="8"/>
  <c r="AC77" i="8"/>
  <c r="AB77" i="8"/>
  <c r="AA77" i="8"/>
  <c r="Y77" i="8"/>
  <c r="X77" i="8"/>
  <c r="W77" i="8"/>
  <c r="AE73" i="8"/>
  <c r="AC73" i="8"/>
  <c r="AB73" i="8"/>
  <c r="AA73" i="8"/>
  <c r="Y73" i="8"/>
  <c r="X73" i="8"/>
  <c r="W73" i="8"/>
  <c r="AE72" i="8"/>
  <c r="AC72" i="8"/>
  <c r="AB72" i="8"/>
  <c r="AA72" i="8"/>
  <c r="Y72" i="8"/>
  <c r="X72" i="8"/>
  <c r="W72" i="8"/>
  <c r="AE71" i="8"/>
  <c r="AC71" i="8"/>
  <c r="AB71" i="8"/>
  <c r="AA71" i="8"/>
  <c r="Y71" i="8"/>
  <c r="X71" i="8"/>
  <c r="W71" i="8"/>
  <c r="AE70" i="8"/>
  <c r="AC70" i="8"/>
  <c r="AB70" i="8"/>
  <c r="AA70" i="8"/>
  <c r="Y70" i="8"/>
  <c r="X70" i="8"/>
  <c r="W70" i="8"/>
  <c r="AE69" i="8"/>
  <c r="AC69" i="8"/>
  <c r="AB69" i="8"/>
  <c r="AA69" i="8"/>
  <c r="Y69" i="8"/>
  <c r="X69" i="8"/>
  <c r="W69" i="8"/>
  <c r="AE67" i="8"/>
  <c r="AC67" i="8"/>
  <c r="AB67" i="8"/>
  <c r="AA67" i="8"/>
  <c r="Y67" i="8"/>
  <c r="X67" i="8"/>
  <c r="W67" i="8"/>
  <c r="AE63" i="8"/>
  <c r="AC63" i="8"/>
  <c r="AB63" i="8"/>
  <c r="AA63" i="8"/>
  <c r="Y63" i="8"/>
  <c r="X63" i="8"/>
  <c r="W63" i="8"/>
  <c r="AE62" i="8"/>
  <c r="AC62" i="8"/>
  <c r="AB62" i="8"/>
  <c r="AA62" i="8"/>
  <c r="Y62" i="8"/>
  <c r="X62" i="8"/>
  <c r="W62" i="8"/>
  <c r="AE61" i="8"/>
  <c r="AC61" i="8"/>
  <c r="AB61" i="8"/>
  <c r="AA61" i="8"/>
  <c r="Y61" i="8"/>
  <c r="X61" i="8"/>
  <c r="W61" i="8"/>
  <c r="AE60" i="8"/>
  <c r="AC60" i="8"/>
  <c r="AB60" i="8"/>
  <c r="AA60" i="8"/>
  <c r="Y60" i="8"/>
  <c r="X60" i="8"/>
  <c r="W60" i="8"/>
  <c r="AE57" i="8"/>
  <c r="AC57" i="8"/>
  <c r="AB57" i="8"/>
  <c r="AA57" i="8"/>
  <c r="Y57" i="8"/>
  <c r="X57" i="8"/>
  <c r="W57" i="8"/>
  <c r="AE56" i="8"/>
  <c r="AC56" i="8"/>
  <c r="AB56" i="8"/>
  <c r="AA56" i="8"/>
  <c r="Y56" i="8"/>
  <c r="X56" i="8"/>
  <c r="W56" i="8"/>
  <c r="AE52" i="8"/>
  <c r="AC52" i="8"/>
  <c r="AB52" i="8"/>
  <c r="AA52" i="8"/>
  <c r="Y52" i="8"/>
  <c r="X52" i="8"/>
  <c r="W52" i="8"/>
  <c r="AE51" i="8"/>
  <c r="AC51" i="8"/>
  <c r="AB51" i="8"/>
  <c r="AA51" i="8"/>
  <c r="Y51" i="8"/>
  <c r="X51" i="8"/>
  <c r="W51" i="8"/>
  <c r="AE50" i="8"/>
  <c r="AC50" i="8"/>
  <c r="AB50" i="8"/>
  <c r="AA50" i="8"/>
  <c r="Y50" i="8"/>
  <c r="X50" i="8"/>
  <c r="W50" i="8"/>
  <c r="AE49" i="8"/>
  <c r="AC49" i="8"/>
  <c r="AB49" i="8"/>
  <c r="AA49" i="8"/>
  <c r="Y49" i="8"/>
  <c r="X49" i="8"/>
  <c r="W49" i="8"/>
  <c r="AE48" i="8"/>
  <c r="AC48" i="8"/>
  <c r="AB48" i="8"/>
  <c r="AA48" i="8"/>
  <c r="Y48" i="8"/>
  <c r="X48" i="8"/>
  <c r="W48" i="8"/>
  <c r="AE40" i="8"/>
  <c r="AC40" i="8"/>
  <c r="AB40" i="8"/>
  <c r="AA40" i="8"/>
  <c r="Y40" i="8"/>
  <c r="X40" i="8"/>
  <c r="W40" i="8"/>
  <c r="AC37" i="8"/>
  <c r="AB37" i="8"/>
  <c r="AA37" i="8"/>
  <c r="Y37" i="8"/>
  <c r="X37" i="8"/>
  <c r="W37" i="8"/>
  <c r="AE37" i="8"/>
  <c r="AC8" i="8"/>
  <c r="AB8" i="8"/>
  <c r="AA8" i="8"/>
  <c r="Y8" i="8"/>
  <c r="X8" i="8"/>
  <c r="W8" i="8"/>
  <c r="AD7" i="8"/>
  <c r="AC7" i="8"/>
  <c r="AB7" i="8"/>
  <c r="AA7" i="8"/>
  <c r="Z7" i="8"/>
  <c r="Y7" i="8"/>
  <c r="X7" i="8"/>
  <c r="W7" i="8"/>
  <c r="V7" i="8"/>
  <c r="AE8" i="8"/>
  <c r="AE7" i="8"/>
  <c r="S141" i="8"/>
  <c r="AE141" i="8" s="1"/>
  <c r="O141" i="8"/>
  <c r="AC141" i="8" s="1"/>
  <c r="K141" i="8"/>
  <c r="X141" i="8" s="1"/>
  <c r="S140" i="8"/>
  <c r="AE140" i="8" s="1"/>
  <c r="O140" i="8"/>
  <c r="Z140" i="8" s="1"/>
  <c r="K140" i="8"/>
  <c r="Y140" i="8" s="1"/>
  <c r="S139" i="8"/>
  <c r="AE139" i="8" s="1"/>
  <c r="O139" i="8"/>
  <c r="AB139" i="8" s="1"/>
  <c r="K139" i="8"/>
  <c r="Y139" i="8" s="1"/>
  <c r="S138" i="8"/>
  <c r="AD138" i="8" s="1"/>
  <c r="O138" i="8"/>
  <c r="AC138" i="8" s="1"/>
  <c r="K138" i="8"/>
  <c r="V138" i="8" s="1"/>
  <c r="S128" i="8"/>
  <c r="AE128" i="8" s="1"/>
  <c r="O128" i="8"/>
  <c r="Z128" i="8" s="1"/>
  <c r="K128" i="8"/>
  <c r="Y128" i="8" s="1"/>
  <c r="S127" i="8"/>
  <c r="AE127" i="8" s="1"/>
  <c r="O127" i="8"/>
  <c r="AB127" i="8" s="1"/>
  <c r="K127" i="8"/>
  <c r="Y127" i="8" s="1"/>
  <c r="S126" i="8"/>
  <c r="AD126" i="8" s="1"/>
  <c r="O126" i="8"/>
  <c r="AC126" i="8" s="1"/>
  <c r="K126" i="8"/>
  <c r="V126" i="8" s="1"/>
  <c r="S125" i="8"/>
  <c r="AE125" i="8" s="1"/>
  <c r="O125" i="8"/>
  <c r="AC125" i="8" s="1"/>
  <c r="K125" i="8"/>
  <c r="X125" i="8" s="1"/>
  <c r="S118" i="8"/>
  <c r="AE118" i="8" s="1"/>
  <c r="O118" i="8"/>
  <c r="AB118" i="8" s="1"/>
  <c r="K118" i="8"/>
  <c r="Y118" i="8" s="1"/>
  <c r="S117" i="8"/>
  <c r="AE117" i="8" s="1"/>
  <c r="O117" i="8"/>
  <c r="AC117" i="8" s="1"/>
  <c r="K117" i="8"/>
  <c r="X117" i="8" s="1"/>
  <c r="S116" i="8"/>
  <c r="AE116" i="8" s="1"/>
  <c r="O116" i="8"/>
  <c r="Z116" i="8" s="1"/>
  <c r="K116" i="8"/>
  <c r="Y116" i="8" s="1"/>
  <c r="S115" i="8"/>
  <c r="AE115" i="8" s="1"/>
  <c r="O115" i="8"/>
  <c r="AB115" i="8" s="1"/>
  <c r="K115" i="8"/>
  <c r="Y115" i="8" s="1"/>
  <c r="S109" i="8"/>
  <c r="AE109" i="8" s="1"/>
  <c r="O109" i="8"/>
  <c r="Z109" i="8" s="1"/>
  <c r="K109" i="8"/>
  <c r="Y109" i="8" s="1"/>
  <c r="S108" i="8"/>
  <c r="AE108" i="8" s="1"/>
  <c r="O108" i="8"/>
  <c r="AB108" i="8" s="1"/>
  <c r="K108" i="8"/>
  <c r="Y108" i="8" s="1"/>
  <c r="S107" i="8"/>
  <c r="AD107" i="8" s="1"/>
  <c r="O107" i="8"/>
  <c r="AC107" i="8" s="1"/>
  <c r="K107" i="8"/>
  <c r="V107" i="8" s="1"/>
  <c r="S106" i="8"/>
  <c r="AE106" i="8" s="1"/>
  <c r="O106" i="8"/>
  <c r="AC106" i="8" s="1"/>
  <c r="K106" i="8"/>
  <c r="X106" i="8" s="1"/>
  <c r="S105" i="8"/>
  <c r="AE105" i="8" s="1"/>
  <c r="O105" i="8"/>
  <c r="Z105" i="8" s="1"/>
  <c r="K105" i="8"/>
  <c r="Y105" i="8" s="1"/>
  <c r="S104" i="8"/>
  <c r="AE104" i="8" s="1"/>
  <c r="O104" i="8"/>
  <c r="AB104" i="8" s="1"/>
  <c r="K104" i="8"/>
  <c r="Y104" i="8" s="1"/>
  <c r="S103" i="8"/>
  <c r="AD103" i="8" s="1"/>
  <c r="O103" i="8"/>
  <c r="AC103" i="8" s="1"/>
  <c r="K103" i="8"/>
  <c r="V103" i="8" s="1"/>
  <c r="S80" i="8"/>
  <c r="AD80" i="8" s="1"/>
  <c r="O80" i="8"/>
  <c r="Z80" i="8" s="1"/>
  <c r="K80" i="8"/>
  <c r="V80" i="8" s="1"/>
  <c r="S79" i="8"/>
  <c r="AD79" i="8" s="1"/>
  <c r="O79" i="8"/>
  <c r="Z79" i="8" s="1"/>
  <c r="K79" i="8"/>
  <c r="V79" i="8" s="1"/>
  <c r="S78" i="8"/>
  <c r="AD78" i="8" s="1"/>
  <c r="O78" i="8"/>
  <c r="Z78" i="8" s="1"/>
  <c r="K78" i="8"/>
  <c r="V78" i="8" s="1"/>
  <c r="S50" i="8"/>
  <c r="AD50" i="8" s="1"/>
  <c r="O50" i="8"/>
  <c r="Z50" i="8" s="1"/>
  <c r="K50" i="8"/>
  <c r="V50" i="8" s="1"/>
  <c r="S61" i="8"/>
  <c r="AD61" i="8" s="1"/>
  <c r="O61" i="8"/>
  <c r="Z61" i="8" s="1"/>
  <c r="K61" i="8"/>
  <c r="V61" i="8" s="1"/>
  <c r="S60" i="8"/>
  <c r="AD60" i="8" s="1"/>
  <c r="O60" i="8"/>
  <c r="Z60" i="8" s="1"/>
  <c r="K60" i="8"/>
  <c r="V60" i="8" s="1"/>
  <c r="S26" i="8"/>
  <c r="AD26" i="8" s="1"/>
  <c r="O26" i="8"/>
  <c r="AA26" i="8" s="1"/>
  <c r="K26" i="8"/>
  <c r="V26" i="8" s="1"/>
  <c r="S18" i="8"/>
  <c r="AE18" i="8" s="1"/>
  <c r="O18" i="8"/>
  <c r="AB18" i="8" s="1"/>
  <c r="K18" i="8"/>
  <c r="Y18" i="8" s="1"/>
  <c r="S15" i="8"/>
  <c r="AD15" i="8" s="1"/>
  <c r="O15" i="8"/>
  <c r="AC15" i="8" s="1"/>
  <c r="K15" i="8"/>
  <c r="V15" i="8" s="1"/>
  <c r="V48" i="11"/>
  <c r="S132" i="8"/>
  <c r="AE132" i="8" s="1"/>
  <c r="O132" i="8"/>
  <c r="AC132" i="8" s="1"/>
  <c r="K132" i="8"/>
  <c r="X132" i="8" s="1"/>
  <c r="S122" i="8"/>
  <c r="AE122" i="8" s="1"/>
  <c r="O122" i="8"/>
  <c r="Z122" i="8" s="1"/>
  <c r="K122" i="8"/>
  <c r="Y122" i="8" s="1"/>
  <c r="S87" i="8"/>
  <c r="AD87" i="8" s="1"/>
  <c r="O87" i="8"/>
  <c r="Z87" i="8" s="1"/>
  <c r="K87" i="8"/>
  <c r="V87" i="8" s="1"/>
  <c r="S86" i="8"/>
  <c r="AD86" i="8" s="1"/>
  <c r="O86" i="8"/>
  <c r="Z86" i="8" s="1"/>
  <c r="K86" i="8"/>
  <c r="V86" i="8" s="1"/>
  <c r="S85" i="8"/>
  <c r="AD85" i="8" s="1"/>
  <c r="O85" i="8"/>
  <c r="Z85" i="8" s="1"/>
  <c r="K85" i="8"/>
  <c r="V85" i="8" s="1"/>
  <c r="S84" i="8"/>
  <c r="AD84" i="8" s="1"/>
  <c r="O84" i="8"/>
  <c r="Z84" i="8" s="1"/>
  <c r="K84" i="8"/>
  <c r="V84" i="8" s="1"/>
  <c r="S83" i="8"/>
  <c r="AD83" i="8" s="1"/>
  <c r="O83" i="8"/>
  <c r="Z83" i="8" s="1"/>
  <c r="K83" i="8"/>
  <c r="V83" i="8" s="1"/>
  <c r="S77" i="8"/>
  <c r="AD77" i="8" s="1"/>
  <c r="O77" i="8"/>
  <c r="Z77" i="8" s="1"/>
  <c r="K77" i="8"/>
  <c r="V77" i="8" s="1"/>
  <c r="S73" i="8"/>
  <c r="AD73" i="8" s="1"/>
  <c r="O73" i="8"/>
  <c r="Z73" i="8" s="1"/>
  <c r="K73" i="8"/>
  <c r="V73" i="8" s="1"/>
  <c r="S72" i="8"/>
  <c r="AD72" i="8" s="1"/>
  <c r="O72" i="8"/>
  <c r="Z72" i="8" s="1"/>
  <c r="K72" i="8"/>
  <c r="V72" i="8" s="1"/>
  <c r="S71" i="8"/>
  <c r="AD71" i="8" s="1"/>
  <c r="O71" i="8"/>
  <c r="Z71" i="8" s="1"/>
  <c r="K71" i="8"/>
  <c r="V71" i="8" s="1"/>
  <c r="S70" i="8"/>
  <c r="AD70" i="8" s="1"/>
  <c r="O70" i="8"/>
  <c r="Z70" i="8" s="1"/>
  <c r="K70" i="8"/>
  <c r="V70" i="8" s="1"/>
  <c r="S69" i="8"/>
  <c r="AD69" i="8" s="1"/>
  <c r="O69" i="8"/>
  <c r="Z69" i="8" s="1"/>
  <c r="K69" i="8"/>
  <c r="V69" i="8" s="1"/>
  <c r="S67" i="8"/>
  <c r="AD67" i="8" s="1"/>
  <c r="O67" i="8"/>
  <c r="Z67" i="8" s="1"/>
  <c r="K67" i="8"/>
  <c r="V67" i="8" s="1"/>
  <c r="S63" i="8"/>
  <c r="AD63" i="8" s="1"/>
  <c r="O63" i="8"/>
  <c r="Z63" i="8" s="1"/>
  <c r="K63" i="8"/>
  <c r="V63" i="8" s="1"/>
  <c r="S62" i="8"/>
  <c r="AD62" i="8" s="1"/>
  <c r="O62" i="8"/>
  <c r="Z62" i="8" s="1"/>
  <c r="K62" i="8"/>
  <c r="V62" i="8" s="1"/>
  <c r="S57" i="8"/>
  <c r="AD57" i="8" s="1"/>
  <c r="O57" i="8"/>
  <c r="Z57" i="8" s="1"/>
  <c r="K57" i="8"/>
  <c r="V57" i="8" s="1"/>
  <c r="S56" i="8"/>
  <c r="AD56" i="8" s="1"/>
  <c r="O56" i="8"/>
  <c r="Z56" i="8" s="1"/>
  <c r="K56" i="8"/>
  <c r="V56" i="8" s="1"/>
  <c r="T4" i="11"/>
  <c r="AE4" i="11" s="1"/>
  <c r="T3" i="11"/>
  <c r="AE3" i="11" s="1"/>
  <c r="B36" i="10"/>
  <c r="B35" i="10"/>
  <c r="B34" i="10"/>
  <c r="B33" i="10"/>
  <c r="B32" i="10"/>
  <c r="B31" i="10"/>
  <c r="S9" i="10"/>
  <c r="AD9" i="10" s="1"/>
  <c r="T12" i="10"/>
  <c r="T17" i="10" s="1"/>
  <c r="T4" i="10"/>
  <c r="AE4" i="10" s="1"/>
  <c r="T3" i="10"/>
  <c r="AE3" i="10" s="1"/>
  <c r="T53" i="8"/>
  <c r="T64" i="8" s="1"/>
  <c r="R74" i="8"/>
  <c r="T96" i="8"/>
  <c r="T142" i="8"/>
  <c r="T129" i="8"/>
  <c r="T95" i="8"/>
  <c r="T88" i="8"/>
  <c r="T45" i="8"/>
  <c r="T44" i="8"/>
  <c r="T11" i="8"/>
  <c r="T22" i="8" s="1"/>
  <c r="S74" i="11"/>
  <c r="AD74" i="11" s="1"/>
  <c r="S73" i="11"/>
  <c r="AD73" i="11" s="1"/>
  <c r="S72" i="11"/>
  <c r="AD72" i="11" s="1"/>
  <c r="S3" i="11"/>
  <c r="AD3" i="11" s="1"/>
  <c r="R4" i="11"/>
  <c r="AC4" i="11" s="1"/>
  <c r="R3" i="11"/>
  <c r="AC3" i="11" s="1"/>
  <c r="S11" i="10"/>
  <c r="AE11" i="10" s="1"/>
  <c r="S3" i="10"/>
  <c r="AD3" i="10" s="1"/>
  <c r="R12" i="10"/>
  <c r="R17" i="10" s="1"/>
  <c r="R4" i="10"/>
  <c r="AC4" i="10" s="1"/>
  <c r="R3" i="10"/>
  <c r="AC3" i="10" s="1"/>
  <c r="S158" i="8"/>
  <c r="AD158" i="8" s="1"/>
  <c r="S157" i="8"/>
  <c r="AE157" i="8" s="1"/>
  <c r="S52" i="8"/>
  <c r="AD52" i="8" s="1"/>
  <c r="S51" i="8"/>
  <c r="AD51" i="8" s="1"/>
  <c r="S49" i="8"/>
  <c r="T146" i="8" s="1"/>
  <c r="S48" i="8"/>
  <c r="S54" i="11" s="1"/>
  <c r="AD54" i="11" s="1"/>
  <c r="S40" i="8"/>
  <c r="AD40" i="8" s="1"/>
  <c r="S37" i="8"/>
  <c r="AD37" i="8" s="1"/>
  <c r="S30" i="8"/>
  <c r="AE30" i="8" s="1"/>
  <c r="S25" i="8"/>
  <c r="AE25" i="8" s="1"/>
  <c r="S14" i="8"/>
  <c r="AE14" i="8" s="1"/>
  <c r="S10" i="8"/>
  <c r="S11" i="8" s="1"/>
  <c r="S8" i="8"/>
  <c r="S4" i="10" s="1"/>
  <c r="AD4" i="10" s="1"/>
  <c r="S146" i="8"/>
  <c r="R96" i="8"/>
  <c r="S95" i="8"/>
  <c r="R95" i="8"/>
  <c r="R88" i="8"/>
  <c r="R53" i="8"/>
  <c r="R64" i="8" s="1"/>
  <c r="R45" i="8"/>
  <c r="S44" i="8"/>
  <c r="R44" i="8"/>
  <c r="R11" i="8"/>
  <c r="R22" i="8" s="1"/>
  <c r="O8" i="8"/>
  <c r="O4" i="11" s="1"/>
  <c r="Z4" i="11" s="1"/>
  <c r="K8" i="8"/>
  <c r="K4" i="10" s="1"/>
  <c r="V4" i="10" s="1"/>
  <c r="J76" i="11"/>
  <c r="O149" i="8"/>
  <c r="Z149" i="8" s="1"/>
  <c r="H76" i="11"/>
  <c r="X48" i="11"/>
  <c r="W48" i="11"/>
  <c r="W44" i="11"/>
  <c r="F129" i="8"/>
  <c r="F142" i="8"/>
  <c r="O74" i="11"/>
  <c r="Z74" i="11" s="1"/>
  <c r="O73" i="11"/>
  <c r="Z73" i="11" s="1"/>
  <c r="O72" i="11"/>
  <c r="Z72" i="11" s="1"/>
  <c r="K74" i="11"/>
  <c r="V74" i="11" s="1"/>
  <c r="K73" i="11"/>
  <c r="V73" i="11" s="1"/>
  <c r="K72" i="11"/>
  <c r="V72" i="11" s="1"/>
  <c r="AE20" i="11"/>
  <c r="AD20" i="11"/>
  <c r="AE16" i="11"/>
  <c r="AD16" i="11"/>
  <c r="M76" i="11"/>
  <c r="E76" i="11"/>
  <c r="D76" i="11"/>
  <c r="C76" i="11"/>
  <c r="F76" i="11"/>
  <c r="Q4" i="11"/>
  <c r="AB4" i="11" s="1"/>
  <c r="P4" i="11"/>
  <c r="AA4" i="11" s="1"/>
  <c r="N4" i="11"/>
  <c r="Y4" i="11" s="1"/>
  <c r="M4" i="11"/>
  <c r="X4" i="11" s="1"/>
  <c r="L4" i="11"/>
  <c r="W4" i="11" s="1"/>
  <c r="J4" i="11"/>
  <c r="I4" i="11"/>
  <c r="Q3" i="11"/>
  <c r="AB3" i="11" s="1"/>
  <c r="P3" i="11"/>
  <c r="AA3" i="11" s="1"/>
  <c r="O3" i="11"/>
  <c r="Z3" i="11" s="1"/>
  <c r="N3" i="11"/>
  <c r="Y3" i="11" s="1"/>
  <c r="M3" i="11"/>
  <c r="X3" i="11" s="1"/>
  <c r="L3" i="11"/>
  <c r="W3" i="11" s="1"/>
  <c r="K3" i="11"/>
  <c r="V3" i="11" s="1"/>
  <c r="J3" i="11"/>
  <c r="I3" i="11"/>
  <c r="H4" i="11"/>
  <c r="H3" i="11"/>
  <c r="E4" i="11"/>
  <c r="D4" i="11"/>
  <c r="C4" i="11"/>
  <c r="E3" i="11"/>
  <c r="D3" i="11"/>
  <c r="C3" i="11"/>
  <c r="F3" i="11"/>
  <c r="F4" i="11"/>
  <c r="B2" i="11"/>
  <c r="F12" i="10"/>
  <c r="F17" i="10" s="1"/>
  <c r="F4" i="10"/>
  <c r="F3" i="10"/>
  <c r="R146" i="8"/>
  <c r="Q146" i="8"/>
  <c r="O146" i="8"/>
  <c r="N146" i="8"/>
  <c r="M146" i="8"/>
  <c r="K146" i="8"/>
  <c r="V146" i="8" s="1"/>
  <c r="J146" i="8"/>
  <c r="I146" i="8"/>
  <c r="F146" i="8"/>
  <c r="O49" i="8"/>
  <c r="Z49" i="8" s="1"/>
  <c r="K49" i="8"/>
  <c r="L146" i="8" s="1"/>
  <c r="F53" i="8"/>
  <c r="F64" i="8" s="1"/>
  <c r="F96" i="8"/>
  <c r="F95" i="8"/>
  <c r="F88" i="8"/>
  <c r="F45" i="8"/>
  <c r="F44" i="8"/>
  <c r="F11" i="8"/>
  <c r="F22" i="8" s="1"/>
  <c r="Q4" i="10"/>
  <c r="AB4" i="10" s="1"/>
  <c r="P4" i="10"/>
  <c r="AA4" i="10" s="1"/>
  <c r="N4" i="10"/>
  <c r="Y4" i="10" s="1"/>
  <c r="M4" i="10"/>
  <c r="X4" i="10" s="1"/>
  <c r="L4" i="10"/>
  <c r="W4" i="10" s="1"/>
  <c r="J4" i="10"/>
  <c r="I4" i="10"/>
  <c r="Q3" i="10"/>
  <c r="AB3" i="10" s="1"/>
  <c r="P3" i="10"/>
  <c r="AA3" i="10" s="1"/>
  <c r="O3" i="10"/>
  <c r="Z3" i="10" s="1"/>
  <c r="N3" i="10"/>
  <c r="Y3" i="10" s="1"/>
  <c r="M3" i="10"/>
  <c r="X3" i="10" s="1"/>
  <c r="L3" i="10"/>
  <c r="W3" i="10" s="1"/>
  <c r="K3" i="10"/>
  <c r="V3" i="10" s="1"/>
  <c r="J3" i="10"/>
  <c r="I3" i="10"/>
  <c r="H4" i="10"/>
  <c r="H3" i="10"/>
  <c r="D4" i="10"/>
  <c r="D3" i="10"/>
  <c r="E4" i="10"/>
  <c r="E3" i="10"/>
  <c r="O9" i="10"/>
  <c r="AC9" i="10" s="1"/>
  <c r="K9" i="10"/>
  <c r="Y9" i="10" s="1"/>
  <c r="O11" i="10"/>
  <c r="AC11" i="10" s="1"/>
  <c r="K11" i="10"/>
  <c r="X11" i="10" s="1"/>
  <c r="AG68" i="8" l="1"/>
  <c r="AG59" i="8"/>
  <c r="AG58" i="8"/>
  <c r="V134" i="8"/>
  <c r="W134" i="8"/>
  <c r="Y134" i="8"/>
  <c r="W133" i="8"/>
  <c r="Z134" i="8"/>
  <c r="AE136" i="8"/>
  <c r="AC133" i="8"/>
  <c r="AA134" i="8"/>
  <c r="AG134" i="8" s="1"/>
  <c r="AD134" i="8"/>
  <c r="X133" i="8"/>
  <c r="AE133" i="8"/>
  <c r="Y133" i="8"/>
  <c r="X135" i="8"/>
  <c r="Z133" i="8"/>
  <c r="AB134" i="8"/>
  <c r="AB135" i="8"/>
  <c r="AA133" i="8"/>
  <c r="V137" i="8"/>
  <c r="X137" i="8"/>
  <c r="V136" i="8"/>
  <c r="Y137" i="8"/>
  <c r="AD137" i="8"/>
  <c r="W136" i="8"/>
  <c r="Z136" i="8"/>
  <c r="AG135" i="8"/>
  <c r="V135" i="8"/>
  <c r="AD135" i="8"/>
  <c r="X136" i="8"/>
  <c r="Z137" i="8"/>
  <c r="AC135" i="8"/>
  <c r="W135" i="8"/>
  <c r="AA137" i="8"/>
  <c r="AG137" i="8" s="1"/>
  <c r="AB137" i="8"/>
  <c r="AA136" i="8"/>
  <c r="Z135" i="8"/>
  <c r="AB136" i="8"/>
  <c r="AE124" i="8"/>
  <c r="Z124" i="8"/>
  <c r="AA124" i="8"/>
  <c r="Z123" i="8"/>
  <c r="AC124" i="8"/>
  <c r="AA123" i="8"/>
  <c r="AG123" i="8" s="1"/>
  <c r="AC123" i="8"/>
  <c r="V123" i="8"/>
  <c r="W124" i="8"/>
  <c r="Y123" i="8"/>
  <c r="AD123" i="8"/>
  <c r="W123" i="8"/>
  <c r="Y124" i="8"/>
  <c r="X124" i="8"/>
  <c r="AE114" i="8"/>
  <c r="W113" i="8"/>
  <c r="V114" i="8"/>
  <c r="W114" i="8"/>
  <c r="Y114" i="8"/>
  <c r="X113" i="8"/>
  <c r="Z114" i="8"/>
  <c r="AB113" i="8"/>
  <c r="Y113" i="8"/>
  <c r="AA114" i="8"/>
  <c r="AE113" i="8"/>
  <c r="Z113" i="8"/>
  <c r="AB114" i="8"/>
  <c r="AA113" i="8"/>
  <c r="AA33" i="8"/>
  <c r="AE33" i="8"/>
  <c r="Y33" i="8"/>
  <c r="AB33" i="8"/>
  <c r="Z33" i="8"/>
  <c r="V33" i="8"/>
  <c r="W33" i="8"/>
  <c r="X33" i="8"/>
  <c r="AB20" i="8"/>
  <c r="AD20" i="8"/>
  <c r="AA20" i="8"/>
  <c r="AD21" i="8"/>
  <c r="W16" i="8"/>
  <c r="AE16" i="8"/>
  <c r="Y20" i="8"/>
  <c r="AB21" i="8"/>
  <c r="Z20" i="8"/>
  <c r="V20" i="8"/>
  <c r="W20" i="8"/>
  <c r="AA21" i="8"/>
  <c r="W21" i="8"/>
  <c r="V21" i="8"/>
  <c r="X21" i="8"/>
  <c r="Z21" i="8"/>
  <c r="Z17" i="8"/>
  <c r="AE17" i="8"/>
  <c r="V16" i="8"/>
  <c r="X16" i="8"/>
  <c r="W17" i="8"/>
  <c r="Z16" i="8"/>
  <c r="X17" i="8"/>
  <c r="AA16" i="8"/>
  <c r="Y17" i="8"/>
  <c r="AC16" i="8"/>
  <c r="AA17" i="8"/>
  <c r="AB17" i="8"/>
  <c r="AE26" i="8"/>
  <c r="AG26" i="8" s="1"/>
  <c r="AA122" i="8"/>
  <c r="Y141" i="8"/>
  <c r="C89" i="8"/>
  <c r="C91" i="8" s="1"/>
  <c r="W103" i="8"/>
  <c r="AE15" i="8"/>
  <c r="AA109" i="8"/>
  <c r="AG109" i="8" s="1"/>
  <c r="Z18" i="8"/>
  <c r="AC18" i="8"/>
  <c r="AA116" i="8"/>
  <c r="AG116" i="8" s="1"/>
  <c r="AC139" i="8"/>
  <c r="C15" i="10"/>
  <c r="C29" i="10"/>
  <c r="C31" i="10"/>
  <c r="C32" i="10"/>
  <c r="C13" i="10"/>
  <c r="C33" i="10"/>
  <c r="C34" i="10"/>
  <c r="Y125" i="8"/>
  <c r="AA18" i="8"/>
  <c r="AC104" i="8"/>
  <c r="AC115" i="8"/>
  <c r="AE126" i="8"/>
  <c r="O55" i="11"/>
  <c r="Z55" i="11" s="1"/>
  <c r="W26" i="8"/>
  <c r="Y106" i="8"/>
  <c r="Y117" i="8"/>
  <c r="AA128" i="8"/>
  <c r="AA105" i="8"/>
  <c r="AG105" i="8" s="1"/>
  <c r="AC127" i="8"/>
  <c r="Z26" i="8"/>
  <c r="W107" i="8"/>
  <c r="Y132" i="8"/>
  <c r="W15" i="8"/>
  <c r="AB26" i="8"/>
  <c r="AE107" i="8"/>
  <c r="W138" i="8"/>
  <c r="Z15" i="8"/>
  <c r="AC26" i="8"/>
  <c r="AD48" i="8"/>
  <c r="AC108" i="8"/>
  <c r="AC118" i="8"/>
  <c r="AE138" i="8"/>
  <c r="F16" i="10"/>
  <c r="X10" i="10"/>
  <c r="R16" i="10"/>
  <c r="AE16" i="10" s="1"/>
  <c r="AE10" i="10"/>
  <c r="T16" i="10"/>
  <c r="W10" i="10"/>
  <c r="AC10" i="10"/>
  <c r="AC12" i="10" s="1"/>
  <c r="Y10" i="10"/>
  <c r="Y12" i="10" s="1"/>
  <c r="Z10" i="10"/>
  <c r="AA10" i="10"/>
  <c r="V27" i="10"/>
  <c r="Y23" i="10"/>
  <c r="W9" i="10"/>
  <c r="AE22" i="10"/>
  <c r="W26" i="10"/>
  <c r="X9" i="10"/>
  <c r="W27" i="10"/>
  <c r="Z9" i="10"/>
  <c r="AE27" i="10"/>
  <c r="V11" i="10"/>
  <c r="W11" i="10"/>
  <c r="Y11" i="10"/>
  <c r="Z25" i="10"/>
  <c r="V26" i="10"/>
  <c r="AE103" i="8"/>
  <c r="W126" i="8"/>
  <c r="AA140" i="8"/>
  <c r="AG140" i="8" s="1"/>
  <c r="AE10" i="8"/>
  <c r="X15" i="8"/>
  <c r="V18" i="8"/>
  <c r="AD18" i="8"/>
  <c r="X26" i="8"/>
  <c r="X103" i="8"/>
  <c r="V104" i="8"/>
  <c r="AD104" i="8"/>
  <c r="AB105" i="8"/>
  <c r="Z106" i="8"/>
  <c r="X107" i="8"/>
  <c r="V108" i="8"/>
  <c r="AD108" i="8"/>
  <c r="AB109" i="8"/>
  <c r="V115" i="8"/>
  <c r="AD115" i="8"/>
  <c r="AB116" i="8"/>
  <c r="Z117" i="8"/>
  <c r="V118" i="8"/>
  <c r="AD118" i="8"/>
  <c r="AB122" i="8"/>
  <c r="Z125" i="8"/>
  <c r="X126" i="8"/>
  <c r="V127" i="8"/>
  <c r="AD127" i="8"/>
  <c r="AB128" i="8"/>
  <c r="Z132" i="8"/>
  <c r="X138" i="8"/>
  <c r="V139" i="8"/>
  <c r="AD139" i="8"/>
  <c r="AB140" i="8"/>
  <c r="Z141" i="8"/>
  <c r="AD10" i="8"/>
  <c r="Y15" i="8"/>
  <c r="W18" i="8"/>
  <c r="Y26" i="8"/>
  <c r="Y103" i="8"/>
  <c r="W104" i="8"/>
  <c r="AC105" i="8"/>
  <c r="AA106" i="8"/>
  <c r="AG106" i="8" s="1"/>
  <c r="Y107" i="8"/>
  <c r="W108" i="8"/>
  <c r="AC109" i="8"/>
  <c r="W115" i="8"/>
  <c r="AC116" i="8"/>
  <c r="AA117" i="8"/>
  <c r="AG117" i="8" s="1"/>
  <c r="W118" i="8"/>
  <c r="AC122" i="8"/>
  <c r="AA125" i="8"/>
  <c r="AG125" i="8" s="1"/>
  <c r="Y126" i="8"/>
  <c r="W127" i="8"/>
  <c r="AC128" i="8"/>
  <c r="AA132" i="8"/>
  <c r="Y138" i="8"/>
  <c r="W139" i="8"/>
  <c r="AC140" i="8"/>
  <c r="AA141" i="8"/>
  <c r="AG141" i="8" s="1"/>
  <c r="K55" i="11"/>
  <c r="V55" i="11" s="1"/>
  <c r="Z103" i="8"/>
  <c r="X104" i="8"/>
  <c r="V105" i="8"/>
  <c r="AD105" i="8"/>
  <c r="AB106" i="8"/>
  <c r="Z107" i="8"/>
  <c r="X108" i="8"/>
  <c r="V109" i="8"/>
  <c r="AD109" i="8"/>
  <c r="X115" i="8"/>
  <c r="V116" i="8"/>
  <c r="AD116" i="8"/>
  <c r="AB117" i="8"/>
  <c r="X118" i="8"/>
  <c r="V122" i="8"/>
  <c r="AD122" i="8"/>
  <c r="AB125" i="8"/>
  <c r="Z126" i="8"/>
  <c r="X127" i="8"/>
  <c r="V128" i="8"/>
  <c r="AD128" i="8"/>
  <c r="AB132" i="8"/>
  <c r="Z138" i="8"/>
  <c r="X139" i="8"/>
  <c r="V140" i="8"/>
  <c r="AD140" i="8"/>
  <c r="AB141" i="8"/>
  <c r="X18" i="8"/>
  <c r="AA15" i="8"/>
  <c r="AA103" i="8"/>
  <c r="W105" i="8"/>
  <c r="AA107" i="8"/>
  <c r="W109" i="8"/>
  <c r="W116" i="8"/>
  <c r="W122" i="8"/>
  <c r="AA126" i="8"/>
  <c r="W128" i="8"/>
  <c r="AA138" i="8"/>
  <c r="W140" i="8"/>
  <c r="AD14" i="8"/>
  <c r="AB15" i="8"/>
  <c r="AD25" i="8"/>
  <c r="AD30" i="8"/>
  <c r="V49" i="8"/>
  <c r="AD49" i="8"/>
  <c r="AB103" i="8"/>
  <c r="Z104" i="8"/>
  <c r="X105" i="8"/>
  <c r="V106" i="8"/>
  <c r="AD106" i="8"/>
  <c r="AB107" i="8"/>
  <c r="Z108" i="8"/>
  <c r="X109" i="8"/>
  <c r="Z115" i="8"/>
  <c r="X116" i="8"/>
  <c r="V117" i="8"/>
  <c r="AD117" i="8"/>
  <c r="Z118" i="8"/>
  <c r="X122" i="8"/>
  <c r="V125" i="8"/>
  <c r="AD125" i="8"/>
  <c r="AB126" i="8"/>
  <c r="Z127" i="8"/>
  <c r="X128" i="8"/>
  <c r="V132" i="8"/>
  <c r="AD132" i="8"/>
  <c r="AB138" i="8"/>
  <c r="Z139" i="8"/>
  <c r="X140" i="8"/>
  <c r="V141" i="8"/>
  <c r="AD141" i="8"/>
  <c r="S55" i="11"/>
  <c r="AD55" i="11" s="1"/>
  <c r="AD57" i="11" s="1"/>
  <c r="AA104" i="8"/>
  <c r="AG104" i="8" s="1"/>
  <c r="W106" i="8"/>
  <c r="AA108" i="8"/>
  <c r="AG108" i="8" s="1"/>
  <c r="AA115" i="8"/>
  <c r="AG115" i="8" s="1"/>
  <c r="W117" i="8"/>
  <c r="AA118" i="8"/>
  <c r="W125" i="8"/>
  <c r="AA127" i="8"/>
  <c r="AG127" i="8" s="1"/>
  <c r="W132" i="8"/>
  <c r="AA139" i="8"/>
  <c r="AG139" i="8" s="1"/>
  <c r="W141" i="8"/>
  <c r="AG21" i="11"/>
  <c r="AG22" i="11"/>
  <c r="AG23" i="11"/>
  <c r="AE48" i="11"/>
  <c r="AD38" i="11"/>
  <c r="X44" i="11"/>
  <c r="V44" i="11"/>
  <c r="Y48" i="11"/>
  <c r="AC24" i="10"/>
  <c r="AA9" i="10"/>
  <c r="Z11" i="10"/>
  <c r="AB9" i="10"/>
  <c r="AA11" i="10"/>
  <c r="AB11" i="10"/>
  <c r="W25" i="10"/>
  <c r="V9" i="10"/>
  <c r="AB23" i="10"/>
  <c r="Y25" i="10"/>
  <c r="Z27" i="10"/>
  <c r="AD11" i="10"/>
  <c r="AD12" i="10" s="1"/>
  <c r="Z24" i="10"/>
  <c r="V22" i="10"/>
  <c r="AB24" i="10"/>
  <c r="AC25" i="10"/>
  <c r="AE25" i="10"/>
  <c r="AB27" i="10"/>
  <c r="V24" i="10"/>
  <c r="AC27" i="10"/>
  <c r="W24" i="10"/>
  <c r="V25" i="10"/>
  <c r="X24" i="10"/>
  <c r="X23" i="10"/>
  <c r="Z23" i="10"/>
  <c r="AA23" i="10"/>
  <c r="Z26" i="10"/>
  <c r="AB26" i="10"/>
  <c r="AC26" i="10"/>
  <c r="AD26" i="10"/>
  <c r="AC22" i="10"/>
  <c r="AA25" i="10"/>
  <c r="Z22" i="10"/>
  <c r="Y27" i="10"/>
  <c r="W22" i="10"/>
  <c r="X22" i="10"/>
  <c r="V23" i="10"/>
  <c r="X26" i="10"/>
  <c r="AE9" i="10"/>
  <c r="D28" i="10"/>
  <c r="D32" i="10" s="1"/>
  <c r="J28" i="10"/>
  <c r="J36" i="10" s="1"/>
  <c r="N28" i="10"/>
  <c r="N32" i="10" s="1"/>
  <c r="Y146" i="8"/>
  <c r="Z8" i="8"/>
  <c r="AD48" i="11"/>
  <c r="V8" i="8"/>
  <c r="AD8" i="8"/>
  <c r="AC48" i="11"/>
  <c r="AD44" i="11"/>
  <c r="AG50" i="8"/>
  <c r="AG79" i="8"/>
  <c r="AG78" i="8"/>
  <c r="AG80" i="8"/>
  <c r="AG61" i="8"/>
  <c r="AG60" i="8"/>
  <c r="O4" i="10"/>
  <c r="Z4" i="10" s="1"/>
  <c r="AC146" i="8"/>
  <c r="AE28" i="11"/>
  <c r="AB157" i="8"/>
  <c r="R76" i="11"/>
  <c r="R79" i="11" s="1"/>
  <c r="R88" i="11" s="1"/>
  <c r="AE158" i="8"/>
  <c r="S102" i="8"/>
  <c r="AE37" i="11"/>
  <c r="AC157" i="8"/>
  <c r="K4" i="11"/>
  <c r="V4" i="11" s="1"/>
  <c r="S96" i="8"/>
  <c r="T74" i="8"/>
  <c r="AD157" i="8"/>
  <c r="AB158" i="8"/>
  <c r="R142" i="8"/>
  <c r="AC158" i="8"/>
  <c r="R81" i="8"/>
  <c r="AE38" i="11"/>
  <c r="AE39" i="11"/>
  <c r="AE76" i="11"/>
  <c r="AE79" i="11" s="1"/>
  <c r="T57" i="11"/>
  <c r="T76" i="11"/>
  <c r="T79" i="11" s="1"/>
  <c r="T88" i="11" s="1"/>
  <c r="M28" i="10"/>
  <c r="M34" i="10" s="1"/>
  <c r="E28" i="10"/>
  <c r="E34" i="10" s="1"/>
  <c r="I28" i="10"/>
  <c r="I33" i="10" s="1"/>
  <c r="D36" i="10"/>
  <c r="P28" i="10"/>
  <c r="P36" i="10" s="1"/>
  <c r="T12" i="11"/>
  <c r="T17" i="11" s="1"/>
  <c r="R28" i="10"/>
  <c r="R33" i="10" s="1"/>
  <c r="Q28" i="10"/>
  <c r="Q31" i="10" s="1"/>
  <c r="S112" i="8"/>
  <c r="AD32" i="11"/>
  <c r="T28" i="10"/>
  <c r="T32" i="10" s="1"/>
  <c r="L28" i="10"/>
  <c r="H28" i="10"/>
  <c r="F28" i="10"/>
  <c r="T13" i="10"/>
  <c r="T15" i="10"/>
  <c r="AB57" i="11"/>
  <c r="S75" i="11"/>
  <c r="S45" i="8"/>
  <c r="S19" i="8"/>
  <c r="S22" i="8" s="1"/>
  <c r="S4" i="11"/>
  <c r="AD4" i="11" s="1"/>
  <c r="S88" i="8"/>
  <c r="R57" i="11"/>
  <c r="S12" i="10"/>
  <c r="S17" i="10" s="1"/>
  <c r="R13" i="10"/>
  <c r="R15" i="10"/>
  <c r="R23" i="8"/>
  <c r="R27" i="8"/>
  <c r="I76" i="11"/>
  <c r="K149" i="8"/>
  <c r="V149" i="8" s="1"/>
  <c r="H12" i="11"/>
  <c r="H17" i="11" s="1"/>
  <c r="H25" i="11" s="1"/>
  <c r="E12" i="11"/>
  <c r="E17" i="11" s="1"/>
  <c r="F12" i="11"/>
  <c r="F17" i="11" s="1"/>
  <c r="F74" i="8"/>
  <c r="K75" i="11"/>
  <c r="V75" i="11" s="1"/>
  <c r="V76" i="11" s="1"/>
  <c r="O75" i="11"/>
  <c r="Z75" i="11" s="1"/>
  <c r="Z76" i="11" s="1"/>
  <c r="AG49" i="8"/>
  <c r="C12" i="11"/>
  <c r="I57" i="11"/>
  <c r="J57" i="11"/>
  <c r="D57" i="11"/>
  <c r="Y76" i="11"/>
  <c r="C57" i="11"/>
  <c r="H57" i="11"/>
  <c r="P76" i="11"/>
  <c r="Q76" i="11"/>
  <c r="M57" i="11"/>
  <c r="E57" i="11"/>
  <c r="L57" i="11"/>
  <c r="AC57" i="11"/>
  <c r="AC76" i="11"/>
  <c r="AE57" i="11"/>
  <c r="Y57" i="11"/>
  <c r="F79" i="11"/>
  <c r="F88" i="11" s="1"/>
  <c r="F57" i="11"/>
  <c r="Q57" i="11"/>
  <c r="N57" i="11"/>
  <c r="P57" i="11"/>
  <c r="P146" i="8"/>
  <c r="F13" i="10"/>
  <c r="F15" i="10"/>
  <c r="AG136" i="8" l="1"/>
  <c r="AG133" i="8"/>
  <c r="AG124" i="8"/>
  <c r="AG114" i="8"/>
  <c r="AG113" i="8"/>
  <c r="AG33" i="8"/>
  <c r="AG126" i="8"/>
  <c r="AG15" i="8"/>
  <c r="AG16" i="8"/>
  <c r="AG107" i="8"/>
  <c r="AG138" i="8"/>
  <c r="AG17" i="8"/>
  <c r="X12" i="10"/>
  <c r="C27" i="8"/>
  <c r="C23" i="8"/>
  <c r="S16" i="10"/>
  <c r="D35" i="10"/>
  <c r="W12" i="10"/>
  <c r="D33" i="10"/>
  <c r="AD112" i="8"/>
  <c r="AE112" i="8"/>
  <c r="AE19" i="8"/>
  <c r="AD19" i="8"/>
  <c r="AE102" i="8"/>
  <c r="AD102" i="8"/>
  <c r="V11" i="11"/>
  <c r="AA48" i="11"/>
  <c r="AB8" i="11"/>
  <c r="AB48" i="11"/>
  <c r="Z48" i="11"/>
  <c r="AD39" i="11"/>
  <c r="AE7" i="11"/>
  <c r="AD37" i="11"/>
  <c r="X11" i="11"/>
  <c r="W45" i="11"/>
  <c r="AB76" i="11"/>
  <c r="AD75" i="11"/>
  <c r="AD76" i="11" s="1"/>
  <c r="X10" i="11"/>
  <c r="AE32" i="11"/>
  <c r="AD28" i="11"/>
  <c r="Y44" i="11"/>
  <c r="AE44" i="11"/>
  <c r="Z11" i="11"/>
  <c r="D12" i="11"/>
  <c r="D17" i="11" s="1"/>
  <c r="D18" i="11" s="1"/>
  <c r="Q12" i="11"/>
  <c r="Q17" i="11" s="1"/>
  <c r="Q25" i="11" s="1"/>
  <c r="J12" i="11"/>
  <c r="J17" i="11" s="1"/>
  <c r="J18" i="11" s="1"/>
  <c r="N33" i="10"/>
  <c r="D34" i="10"/>
  <c r="D31" i="10"/>
  <c r="I31" i="10"/>
  <c r="N36" i="10"/>
  <c r="I36" i="10"/>
  <c r="I35" i="10"/>
  <c r="P12" i="11"/>
  <c r="I32" i="10"/>
  <c r="I34" i="10"/>
  <c r="N12" i="11"/>
  <c r="J34" i="10"/>
  <c r="I12" i="11"/>
  <c r="I17" i="11" s="1"/>
  <c r="I25" i="11" s="1"/>
  <c r="M12" i="11"/>
  <c r="P33" i="10"/>
  <c r="P35" i="10"/>
  <c r="J32" i="10"/>
  <c r="J35" i="10"/>
  <c r="N31" i="10"/>
  <c r="L12" i="11"/>
  <c r="L17" i="11" s="1"/>
  <c r="N34" i="10"/>
  <c r="M31" i="10"/>
  <c r="N35" i="10"/>
  <c r="M33" i="10"/>
  <c r="Z12" i="10"/>
  <c r="AD9" i="11"/>
  <c r="P34" i="10"/>
  <c r="AD7" i="11"/>
  <c r="J31" i="10"/>
  <c r="AD11" i="11"/>
  <c r="Y11" i="11"/>
  <c r="E35" i="10"/>
  <c r="AC8" i="11"/>
  <c r="AC7" i="11"/>
  <c r="E32" i="10"/>
  <c r="R12" i="11"/>
  <c r="R17" i="11" s="1"/>
  <c r="R18" i="11" s="1"/>
  <c r="P32" i="10"/>
  <c r="W7" i="11"/>
  <c r="P31" i="10"/>
  <c r="AA9" i="11"/>
  <c r="AE6" i="11"/>
  <c r="AE10" i="11"/>
  <c r="J33" i="10"/>
  <c r="AG128" i="8"/>
  <c r="AG118" i="8"/>
  <c r="AG103" i="8"/>
  <c r="AG18" i="8"/>
  <c r="R89" i="8"/>
  <c r="R91" i="8" s="1"/>
  <c r="S53" i="8"/>
  <c r="S64" i="8" s="1"/>
  <c r="AA76" i="11"/>
  <c r="AD41" i="11"/>
  <c r="S149" i="8"/>
  <c r="AD149" i="8" s="1"/>
  <c r="X76" i="11"/>
  <c r="R129" i="8"/>
  <c r="T81" i="8"/>
  <c r="N76" i="11"/>
  <c r="W76" i="11"/>
  <c r="S76" i="11"/>
  <c r="S79" i="11" s="1"/>
  <c r="S88" i="11" s="1"/>
  <c r="S57" i="11"/>
  <c r="F29" i="10"/>
  <c r="F36" i="10"/>
  <c r="F33" i="10"/>
  <c r="M32" i="10"/>
  <c r="E33" i="10"/>
  <c r="F32" i="10"/>
  <c r="V12" i="10"/>
  <c r="E31" i="10"/>
  <c r="AA12" i="10"/>
  <c r="F35" i="10"/>
  <c r="M35" i="10"/>
  <c r="AB12" i="10"/>
  <c r="K28" i="10"/>
  <c r="K32" i="10" s="1"/>
  <c r="F31" i="10"/>
  <c r="E36" i="10"/>
  <c r="M36" i="10"/>
  <c r="F34" i="10"/>
  <c r="S28" i="10"/>
  <c r="S34" i="10" s="1"/>
  <c r="R29" i="10"/>
  <c r="R34" i="10"/>
  <c r="R31" i="10"/>
  <c r="R32" i="10"/>
  <c r="R36" i="10"/>
  <c r="R35" i="10"/>
  <c r="Q34" i="10"/>
  <c r="Q33" i="10"/>
  <c r="Q36" i="10"/>
  <c r="Q32" i="10"/>
  <c r="Q35" i="10"/>
  <c r="T25" i="11"/>
  <c r="T18" i="11"/>
  <c r="L31" i="10"/>
  <c r="L34" i="10"/>
  <c r="L35" i="10"/>
  <c r="L33" i="10"/>
  <c r="L36" i="10"/>
  <c r="L32" i="10"/>
  <c r="T31" i="10"/>
  <c r="T34" i="10"/>
  <c r="T29" i="10"/>
  <c r="T35" i="10"/>
  <c r="T33" i="10"/>
  <c r="T36" i="10"/>
  <c r="H34" i="10"/>
  <c r="H33" i="10"/>
  <c r="H32" i="10"/>
  <c r="H36" i="10"/>
  <c r="H35" i="10"/>
  <c r="H31" i="10"/>
  <c r="O28" i="10"/>
  <c r="S15" i="10"/>
  <c r="T27" i="8"/>
  <c r="T23" i="8"/>
  <c r="S74" i="8"/>
  <c r="S23" i="8"/>
  <c r="Y46" i="11"/>
  <c r="V45" i="11"/>
  <c r="S129" i="8"/>
  <c r="S142" i="8"/>
  <c r="S13" i="10"/>
  <c r="C17" i="11"/>
  <c r="C18" i="11" s="1"/>
  <c r="C13" i="11"/>
  <c r="R31" i="8"/>
  <c r="R34" i="8" s="1"/>
  <c r="R28" i="8"/>
  <c r="L76" i="11"/>
  <c r="F13" i="11"/>
  <c r="F81" i="8"/>
  <c r="K76" i="11"/>
  <c r="H18" i="11"/>
  <c r="O76" i="11"/>
  <c r="E18" i="11"/>
  <c r="E25" i="11"/>
  <c r="F18" i="11"/>
  <c r="F25" i="11"/>
  <c r="AE88" i="11"/>
  <c r="AD79" i="11"/>
  <c r="AD88" i="11" s="1"/>
  <c r="I18" i="11"/>
  <c r="H29" i="11"/>
  <c r="H26" i="11"/>
  <c r="F27" i="8"/>
  <c r="F23" i="8"/>
  <c r="R35" i="8" l="1"/>
  <c r="R38" i="8"/>
  <c r="R41" i="8"/>
  <c r="C31" i="8"/>
  <c r="C34" i="8" s="1"/>
  <c r="C28" i="8"/>
  <c r="E13" i="11"/>
  <c r="L13" i="11"/>
  <c r="AE45" i="11"/>
  <c r="AD45" i="11"/>
  <c r="AB9" i="11"/>
  <c r="Z8" i="11"/>
  <c r="AC6" i="11"/>
  <c r="AA6" i="11"/>
  <c r="AB6" i="11"/>
  <c r="AB11" i="11"/>
  <c r="AC11" i="11"/>
  <c r="AC46" i="11"/>
  <c r="AB46" i="11"/>
  <c r="Y9" i="11"/>
  <c r="V9" i="11"/>
  <c r="Y6" i="11"/>
  <c r="X6" i="11"/>
  <c r="V6" i="11"/>
  <c r="W6" i="11"/>
  <c r="AA46" i="11"/>
  <c r="AE11" i="11"/>
  <c r="AA7" i="11"/>
  <c r="Z46" i="11"/>
  <c r="AD10" i="11"/>
  <c r="W9" i="11"/>
  <c r="AE9" i="11"/>
  <c r="Z6" i="11"/>
  <c r="AB7" i="11"/>
  <c r="AE24" i="11"/>
  <c r="AD24" i="11"/>
  <c r="AC10" i="11"/>
  <c r="Z10" i="11"/>
  <c r="AB10" i="11"/>
  <c r="AA10" i="11"/>
  <c r="AC44" i="11"/>
  <c r="AB44" i="11"/>
  <c r="AE8" i="11"/>
  <c r="AD8" i="11"/>
  <c r="Y10" i="11"/>
  <c r="W10" i="11"/>
  <c r="V10" i="11"/>
  <c r="AA11" i="11"/>
  <c r="Y45" i="11"/>
  <c r="X45" i="11"/>
  <c r="AC9" i="11"/>
  <c r="Z9" i="11"/>
  <c r="AE46" i="11"/>
  <c r="AD46" i="11"/>
  <c r="AA8" i="11"/>
  <c r="Z44" i="11"/>
  <c r="AE41" i="11"/>
  <c r="AD6" i="11"/>
  <c r="Y7" i="11"/>
  <c r="X7" i="11"/>
  <c r="V7" i="11"/>
  <c r="X46" i="11"/>
  <c r="V46" i="11"/>
  <c r="W46" i="11"/>
  <c r="Y8" i="11"/>
  <c r="X8" i="11"/>
  <c r="V8" i="11"/>
  <c r="W8" i="11"/>
  <c r="W11" i="11"/>
  <c r="X9" i="11"/>
  <c r="AA44" i="11"/>
  <c r="Z7" i="11"/>
  <c r="D13" i="11"/>
  <c r="Q18" i="11"/>
  <c r="M13" i="11"/>
  <c r="P13" i="11"/>
  <c r="K35" i="10"/>
  <c r="I14" i="11"/>
  <c r="M14" i="11"/>
  <c r="J14" i="11"/>
  <c r="J25" i="11"/>
  <c r="J26" i="11" s="1"/>
  <c r="N13" i="11"/>
  <c r="K33" i="10"/>
  <c r="Q14" i="11"/>
  <c r="T13" i="11"/>
  <c r="P17" i="11"/>
  <c r="P25" i="11" s="1"/>
  <c r="P26" i="11" s="1"/>
  <c r="R14" i="11"/>
  <c r="Q13" i="11"/>
  <c r="N17" i="11"/>
  <c r="N18" i="11" s="1"/>
  <c r="M17" i="11"/>
  <c r="M18" i="11" s="1"/>
  <c r="O12" i="11"/>
  <c r="O14" i="11" s="1"/>
  <c r="Y28" i="10"/>
  <c r="Y29" i="10" s="1"/>
  <c r="N14" i="11"/>
  <c r="X28" i="10"/>
  <c r="X29" i="10" s="1"/>
  <c r="R13" i="11"/>
  <c r="V28" i="10"/>
  <c r="AB28" i="10"/>
  <c r="R25" i="11"/>
  <c r="R26" i="11" s="1"/>
  <c r="W28" i="10"/>
  <c r="W29" i="10" s="1"/>
  <c r="AA28" i="10"/>
  <c r="AA29" i="10" s="1"/>
  <c r="K36" i="10"/>
  <c r="AG6" i="11"/>
  <c r="K12" i="11"/>
  <c r="L14" i="11" s="1"/>
  <c r="S12" i="11"/>
  <c r="T14" i="11" s="1"/>
  <c r="K31" i="10"/>
  <c r="K34" i="10"/>
  <c r="S81" i="8"/>
  <c r="T89" i="8"/>
  <c r="T91" i="8" s="1"/>
  <c r="AG132" i="8"/>
  <c r="S33" i="10"/>
  <c r="S29" i="10"/>
  <c r="S35" i="10"/>
  <c r="S32" i="10"/>
  <c r="S31" i="10"/>
  <c r="S36" i="10"/>
  <c r="T26" i="11"/>
  <c r="T29" i="11"/>
  <c r="O33" i="10"/>
  <c r="O31" i="10"/>
  <c r="O34" i="10"/>
  <c r="O32" i="10"/>
  <c r="O35" i="10"/>
  <c r="O36" i="10"/>
  <c r="Z28" i="10"/>
  <c r="Z29" i="10" s="1"/>
  <c r="AE28" i="10"/>
  <c r="AD28" i="10"/>
  <c r="AD29" i="10" s="1"/>
  <c r="AC28" i="10"/>
  <c r="AC29" i="10" s="1"/>
  <c r="S27" i="8"/>
  <c r="S31" i="8" s="1"/>
  <c r="S34" i="8" s="1"/>
  <c r="T28" i="8"/>
  <c r="T31" i="8"/>
  <c r="T34" i="8" s="1"/>
  <c r="AC45" i="11"/>
  <c r="C25" i="11"/>
  <c r="C29" i="11" s="1"/>
  <c r="C30" i="11" s="1"/>
  <c r="R99" i="8"/>
  <c r="R119" i="8" s="1"/>
  <c r="R151" i="8" s="1"/>
  <c r="AC151" i="8" s="1"/>
  <c r="D25" i="11"/>
  <c r="D29" i="11" s="1"/>
  <c r="F89" i="8"/>
  <c r="F91" i="8" s="1"/>
  <c r="E29" i="11"/>
  <c r="E26" i="11"/>
  <c r="H34" i="11"/>
  <c r="H30" i="11"/>
  <c r="F29" i="11"/>
  <c r="F26" i="11"/>
  <c r="Q29" i="11"/>
  <c r="Q26" i="11"/>
  <c r="L25" i="11"/>
  <c r="L18" i="11"/>
  <c r="I29" i="11"/>
  <c r="I26" i="11"/>
  <c r="F31" i="8"/>
  <c r="F34" i="8" s="1"/>
  <c r="F28" i="8"/>
  <c r="S35" i="8" l="1"/>
  <c r="S38" i="8"/>
  <c r="S41" i="8"/>
  <c r="F35" i="8"/>
  <c r="F38" i="8"/>
  <c r="F41" i="8"/>
  <c r="T35" i="8"/>
  <c r="T38" i="8"/>
  <c r="T41" i="8"/>
  <c r="C35" i="8"/>
  <c r="C38" i="8"/>
  <c r="C41" i="8"/>
  <c r="C99" i="8"/>
  <c r="C119" i="8" s="1"/>
  <c r="C151" i="8" s="1"/>
  <c r="C152" i="8" s="1"/>
  <c r="J29" i="11"/>
  <c r="AD33" i="11"/>
  <c r="AE33" i="11"/>
  <c r="AA45" i="11"/>
  <c r="Z45" i="11"/>
  <c r="M25" i="11"/>
  <c r="M29" i="11" s="1"/>
  <c r="AE47" i="11"/>
  <c r="AD47" i="11"/>
  <c r="AB45" i="11"/>
  <c r="P29" i="11"/>
  <c r="P30" i="11" s="1"/>
  <c r="AD12" i="11"/>
  <c r="P18" i="11"/>
  <c r="P14" i="11"/>
  <c r="W31" i="10"/>
  <c r="W34" i="10"/>
  <c r="W35" i="10"/>
  <c r="N25" i="11"/>
  <c r="N26" i="11" s="1"/>
  <c r="AA34" i="10"/>
  <c r="Y33" i="10"/>
  <c r="Y34" i="10"/>
  <c r="Y35" i="10"/>
  <c r="Y36" i="10"/>
  <c r="Y31" i="10"/>
  <c r="W36" i="10"/>
  <c r="Y32" i="10"/>
  <c r="W32" i="10"/>
  <c r="AA35" i="10"/>
  <c r="AA32" i="10"/>
  <c r="AA36" i="10"/>
  <c r="S14" i="11"/>
  <c r="W33" i="10"/>
  <c r="AA31" i="10"/>
  <c r="X32" i="10"/>
  <c r="X33" i="10"/>
  <c r="AA33" i="10"/>
  <c r="V35" i="10"/>
  <c r="V29" i="10"/>
  <c r="AB32" i="10"/>
  <c r="AB29" i="10"/>
  <c r="V31" i="10"/>
  <c r="AB34" i="10"/>
  <c r="AB31" i="10"/>
  <c r="AB35" i="10"/>
  <c r="AB36" i="10"/>
  <c r="AB12" i="11"/>
  <c r="AB33" i="10"/>
  <c r="S13" i="11"/>
  <c r="X12" i="11"/>
  <c r="X35" i="10"/>
  <c r="X36" i="10"/>
  <c r="X34" i="10"/>
  <c r="X31" i="10"/>
  <c r="S17" i="11"/>
  <c r="S18" i="11" s="1"/>
  <c r="AA12" i="11"/>
  <c r="V34" i="10"/>
  <c r="R29" i="11"/>
  <c r="R30" i="11" s="1"/>
  <c r="V33" i="10"/>
  <c r="V32" i="10"/>
  <c r="V36" i="10"/>
  <c r="Z12" i="11"/>
  <c r="V12" i="11"/>
  <c r="AC12" i="11"/>
  <c r="AG11" i="11"/>
  <c r="Y12" i="11"/>
  <c r="K14" i="11"/>
  <c r="AG7" i="11"/>
  <c r="AE12" i="11"/>
  <c r="AE17" i="11" s="1"/>
  <c r="AE18" i="11" s="1"/>
  <c r="W12" i="11"/>
  <c r="O13" i="11"/>
  <c r="AG8" i="11"/>
  <c r="AG9" i="11"/>
  <c r="AG10" i="11"/>
  <c r="S89" i="8"/>
  <c r="S91" i="8" s="1"/>
  <c r="AC31" i="10"/>
  <c r="AE31" i="10"/>
  <c r="T34" i="11"/>
  <c r="T30" i="11"/>
  <c r="AC32" i="10"/>
  <c r="AC34" i="10"/>
  <c r="AC33" i="10"/>
  <c r="AC35" i="10"/>
  <c r="AC36" i="10"/>
  <c r="AD35" i="10"/>
  <c r="AD34" i="10"/>
  <c r="AD33" i="10"/>
  <c r="AD36" i="10"/>
  <c r="AD32" i="10"/>
  <c r="AE36" i="10"/>
  <c r="AE34" i="10"/>
  <c r="AE35" i="10"/>
  <c r="AE33" i="10"/>
  <c r="AE32" i="10"/>
  <c r="AD31" i="10"/>
  <c r="Z31" i="10"/>
  <c r="Z36" i="10"/>
  <c r="Z32" i="10"/>
  <c r="Z34" i="10"/>
  <c r="Z33" i="10"/>
  <c r="Z35" i="10"/>
  <c r="S28" i="8"/>
  <c r="T99" i="8"/>
  <c r="T119" i="8" s="1"/>
  <c r="T151" i="8" s="1"/>
  <c r="AE151" i="8" s="1"/>
  <c r="C26" i="11"/>
  <c r="C34" i="11"/>
  <c r="C83" i="11" s="1"/>
  <c r="S99" i="8"/>
  <c r="S119" i="8" s="1"/>
  <c r="S151" i="8" s="1"/>
  <c r="AD151" i="8" s="1"/>
  <c r="D26" i="11"/>
  <c r="H35" i="11"/>
  <c r="H42" i="11"/>
  <c r="J34" i="11"/>
  <c r="J30" i="11"/>
  <c r="D30" i="11"/>
  <c r="D34" i="11"/>
  <c r="Q30" i="11"/>
  <c r="Q34" i="11"/>
  <c r="I34" i="11"/>
  <c r="I30" i="11"/>
  <c r="E30" i="11"/>
  <c r="E34" i="11"/>
  <c r="L29" i="11"/>
  <c r="L26" i="11"/>
  <c r="F30" i="11"/>
  <c r="F34" i="11"/>
  <c r="F99" i="8"/>
  <c r="F119" i="8" s="1"/>
  <c r="F151" i="8" s="1"/>
  <c r="C154" i="8" l="1"/>
  <c r="D145" i="8"/>
  <c r="P34" i="11"/>
  <c r="P35" i="11" s="1"/>
  <c r="M26" i="11"/>
  <c r="H49" i="11"/>
  <c r="H50" i="11" s="1"/>
  <c r="AD13" i="11"/>
  <c r="N29" i="11"/>
  <c r="N30" i="11" s="1"/>
  <c r="AB13" i="11"/>
  <c r="Z13" i="11"/>
  <c r="AA13" i="11"/>
  <c r="R34" i="11"/>
  <c r="R35" i="11" s="1"/>
  <c r="S25" i="11"/>
  <c r="S29" i="11" s="1"/>
  <c r="S30" i="11" s="1"/>
  <c r="AE25" i="11"/>
  <c r="AE29" i="11" s="1"/>
  <c r="AE34" i="11" s="1"/>
  <c r="AE13" i="11"/>
  <c r="AG12" i="11"/>
  <c r="AC13" i="11"/>
  <c r="T35" i="11"/>
  <c r="T42" i="11"/>
  <c r="T49" i="11" s="1"/>
  <c r="C87" i="11" a="1"/>
  <c r="C87" i="11" s="1"/>
  <c r="C84" i="11"/>
  <c r="C86" i="11" a="1"/>
  <c r="C86" i="11" s="1"/>
  <c r="C35" i="11"/>
  <c r="C42" i="11"/>
  <c r="C85" i="11"/>
  <c r="F87" i="11" a="1"/>
  <c r="F87" i="11" s="1"/>
  <c r="F86" i="11" a="1"/>
  <c r="F86" i="11" s="1"/>
  <c r="F42" i="11"/>
  <c r="F49" i="11" s="1"/>
  <c r="F35" i="11"/>
  <c r="F85" i="11"/>
  <c r="F83" i="11"/>
  <c r="F84" i="11"/>
  <c r="Q42" i="11"/>
  <c r="Q49" i="11" s="1"/>
  <c r="Q35" i="11"/>
  <c r="D87" i="11" a="1"/>
  <c r="D87" i="11" s="1"/>
  <c r="D42" i="11"/>
  <c r="D49" i="11" s="1"/>
  <c r="D83" i="11"/>
  <c r="D86" i="11" a="1"/>
  <c r="D86" i="11" s="1"/>
  <c r="D35" i="11"/>
  <c r="D85" i="11"/>
  <c r="D84" i="11"/>
  <c r="L30" i="11"/>
  <c r="L34" i="11"/>
  <c r="E42" i="11"/>
  <c r="E49" i="11" s="1"/>
  <c r="E35" i="11"/>
  <c r="E87" i="11" a="1"/>
  <c r="E87" i="11" s="1"/>
  <c r="E85" i="11"/>
  <c r="E86" i="11" a="1"/>
  <c r="E86" i="11" s="1"/>
  <c r="E84" i="11"/>
  <c r="E83" i="11"/>
  <c r="M30" i="11"/>
  <c r="M34" i="11"/>
  <c r="P42" i="11"/>
  <c r="I35" i="11"/>
  <c r="I42" i="11"/>
  <c r="I49" i="11" s="1"/>
  <c r="J42" i="11"/>
  <c r="J49" i="11" s="1"/>
  <c r="J35" i="11"/>
  <c r="N34" i="11" l="1"/>
  <c r="N35" i="11" s="1"/>
  <c r="C50" i="11"/>
  <c r="R42" i="11"/>
  <c r="R49" i="11" s="1"/>
  <c r="AG13" i="11"/>
  <c r="AE30" i="11"/>
  <c r="S26" i="11"/>
  <c r="S34" i="11"/>
  <c r="S85" i="11" s="1" a="1"/>
  <c r="S85" i="11" s="1"/>
  <c r="AE26" i="11"/>
  <c r="T50" i="11"/>
  <c r="L42" i="11"/>
  <c r="L35" i="11"/>
  <c r="I50" i="11"/>
  <c r="F50" i="11"/>
  <c r="J50" i="11"/>
  <c r="M42" i="11"/>
  <c r="M49" i="11" s="1"/>
  <c r="M35" i="11"/>
  <c r="AE87" i="11" a="1"/>
  <c r="AE87" i="11" s="1"/>
  <c r="AE42" i="11"/>
  <c r="AE86" i="11" a="1"/>
  <c r="AE86" i="11" s="1"/>
  <c r="AE85" i="11"/>
  <c r="AE35" i="11"/>
  <c r="AE83" i="11"/>
  <c r="AE84" i="11"/>
  <c r="Q50" i="11"/>
  <c r="N42" i="11"/>
  <c r="N49" i="11" s="1"/>
  <c r="E50" i="11"/>
  <c r="D50" i="11"/>
  <c r="S35" i="11" l="1"/>
  <c r="T84" i="11"/>
  <c r="S86" i="11" a="1"/>
  <c r="S86" i="11" s="1"/>
  <c r="S87" i="11" a="1"/>
  <c r="S87" i="11" s="1"/>
  <c r="S83" i="11"/>
  <c r="S84" i="11"/>
  <c r="T86" i="11" a="1"/>
  <c r="T86" i="11" s="1"/>
  <c r="T83" i="11"/>
  <c r="T85" i="11" a="1"/>
  <c r="T85" i="11" s="1"/>
  <c r="S42" i="11"/>
  <c r="T87" i="11" a="1"/>
  <c r="T87" i="11" s="1"/>
  <c r="R50" i="11"/>
  <c r="M50" i="11"/>
  <c r="S49" i="11" l="1"/>
  <c r="AE49" i="11" s="1"/>
  <c r="N50" i="11"/>
  <c r="S50" i="11" l="1"/>
  <c r="B2" i="10"/>
  <c r="B17" i="10"/>
  <c r="B15" i="10"/>
  <c r="J12" i="10"/>
  <c r="D12" i="10"/>
  <c r="P12" i="10"/>
  <c r="E12" i="10"/>
  <c r="Q12" i="10"/>
  <c r="O12" i="10"/>
  <c r="N12" i="10"/>
  <c r="M12" i="10"/>
  <c r="I12" i="10"/>
  <c r="O158" i="8"/>
  <c r="K158" i="8"/>
  <c r="E146" i="8"/>
  <c r="H146" i="8"/>
  <c r="J29" i="10" l="1"/>
  <c r="J16" i="10"/>
  <c r="W16" i="10" s="1"/>
  <c r="N29" i="10"/>
  <c r="N16" i="10"/>
  <c r="AA16" i="10" s="1"/>
  <c r="Q29" i="10"/>
  <c r="Q16" i="10"/>
  <c r="AD16" i="10" s="1"/>
  <c r="E29" i="10"/>
  <c r="E16" i="10"/>
  <c r="P29" i="10"/>
  <c r="P16" i="10"/>
  <c r="AC16" i="10" s="1"/>
  <c r="D29" i="10"/>
  <c r="D16" i="10"/>
  <c r="I29" i="10"/>
  <c r="I16" i="10"/>
  <c r="V16" i="10" s="1"/>
  <c r="M29" i="10"/>
  <c r="M16" i="10"/>
  <c r="Z16" i="10" s="1"/>
  <c r="O29" i="10"/>
  <c r="O16" i="10"/>
  <c r="AB16" i="10" s="1"/>
  <c r="Y158" i="8"/>
  <c r="X158" i="8"/>
  <c r="AA158" i="8"/>
  <c r="Z158" i="8"/>
  <c r="W158" i="8"/>
  <c r="V158" i="8"/>
  <c r="AG56" i="8"/>
  <c r="AG62" i="8"/>
  <c r="AG67" i="8"/>
  <c r="AG57" i="8"/>
  <c r="AG63" i="8"/>
  <c r="AG69" i="8"/>
  <c r="I15" i="10"/>
  <c r="V15" i="10" s="1"/>
  <c r="I17" i="10"/>
  <c r="V17" i="10" s="1"/>
  <c r="E17" i="10"/>
  <c r="E15" i="10"/>
  <c r="M17" i="10"/>
  <c r="Z17" i="10" s="1"/>
  <c r="M15" i="10"/>
  <c r="Z15" i="10" s="1"/>
  <c r="N17" i="10"/>
  <c r="AA17" i="10" s="1"/>
  <c r="N15" i="10"/>
  <c r="AA15" i="10" s="1"/>
  <c r="P15" i="10"/>
  <c r="AC15" i="10" s="1"/>
  <c r="P17" i="10"/>
  <c r="AC17" i="10" s="1"/>
  <c r="D15" i="10"/>
  <c r="D17" i="10"/>
  <c r="O15" i="10"/>
  <c r="AB15" i="10" s="1"/>
  <c r="O17" i="10"/>
  <c r="AB17" i="10" s="1"/>
  <c r="J17" i="10"/>
  <c r="W17" i="10" s="1"/>
  <c r="J15" i="10"/>
  <c r="W15" i="10" s="1"/>
  <c r="Q15" i="10"/>
  <c r="AD15" i="10" s="1"/>
  <c r="Q17" i="10"/>
  <c r="AD17" i="10" s="1"/>
  <c r="AE17" i="10"/>
  <c r="AE15" i="10"/>
  <c r="K12" i="10"/>
  <c r="AE12" i="10"/>
  <c r="AE29" i="10" s="1"/>
  <c r="H12" i="10"/>
  <c r="L12" i="10"/>
  <c r="L29" i="10" l="1"/>
  <c r="L16" i="10"/>
  <c r="Y16" i="10" s="1"/>
  <c r="H29" i="10"/>
  <c r="H16" i="10"/>
  <c r="K29" i="10"/>
  <c r="K16" i="10"/>
  <c r="X16" i="10" s="1"/>
  <c r="AC47" i="11"/>
  <c r="AB47" i="11"/>
  <c r="AA47" i="11"/>
  <c r="Z47" i="11"/>
  <c r="X47" i="11"/>
  <c r="Y47" i="11"/>
  <c r="W47" i="11"/>
  <c r="V47" i="11"/>
  <c r="H17" i="10"/>
  <c r="H15" i="10"/>
  <c r="L17" i="10"/>
  <c r="Y17" i="10" s="1"/>
  <c r="L15" i="10"/>
  <c r="Y15" i="10" s="1"/>
  <c r="K17" i="10"/>
  <c r="X17" i="10" s="1"/>
  <c r="K15" i="10"/>
  <c r="X15" i="10" s="1"/>
  <c r="O30" i="8" l="1"/>
  <c r="K30" i="8"/>
  <c r="O157" i="8"/>
  <c r="K157" i="8"/>
  <c r="O52" i="8"/>
  <c r="Z52" i="8" s="1"/>
  <c r="K52" i="8"/>
  <c r="V52" i="8" s="1"/>
  <c r="O51" i="8"/>
  <c r="Z51" i="8" s="1"/>
  <c r="K51" i="8"/>
  <c r="V51" i="8" s="1"/>
  <c r="AG48" i="8"/>
  <c r="E142" i="8"/>
  <c r="P142" i="8"/>
  <c r="O48" i="8"/>
  <c r="K48" i="8"/>
  <c r="O25" i="8"/>
  <c r="K25" i="8"/>
  <c r="X25" i="8" l="1"/>
  <c r="W25" i="8"/>
  <c r="V25" i="8"/>
  <c r="Y25" i="8"/>
  <c r="AC25" i="8"/>
  <c r="AB25" i="8"/>
  <c r="AA25" i="8"/>
  <c r="Z25" i="8"/>
  <c r="K54" i="11"/>
  <c r="V48" i="8"/>
  <c r="Z48" i="8"/>
  <c r="O54" i="11"/>
  <c r="X30" i="8"/>
  <c r="W30" i="8"/>
  <c r="V30" i="8"/>
  <c r="Y30" i="8"/>
  <c r="AC30" i="8"/>
  <c r="AB30" i="8"/>
  <c r="AA30" i="8"/>
  <c r="Z30" i="8"/>
  <c r="Z142" i="8"/>
  <c r="Y142" i="8"/>
  <c r="X142" i="8"/>
  <c r="W157" i="8"/>
  <c r="V157" i="8"/>
  <c r="W142" i="8"/>
  <c r="AA157" i="8"/>
  <c r="Y157" i="8"/>
  <c r="X157" i="8"/>
  <c r="Z157" i="8"/>
  <c r="X57" i="11"/>
  <c r="AG52" i="8"/>
  <c r="AG85" i="8"/>
  <c r="AG70" i="8"/>
  <c r="AG87" i="8"/>
  <c r="AG84" i="8"/>
  <c r="AG73" i="8"/>
  <c r="AG77" i="8"/>
  <c r="AG71" i="8"/>
  <c r="AG86" i="8"/>
  <c r="AG83" i="8"/>
  <c r="AG51" i="8"/>
  <c r="Q142" i="8"/>
  <c r="J142" i="8"/>
  <c r="D142" i="8"/>
  <c r="H142" i="8"/>
  <c r="I142" i="8"/>
  <c r="L142" i="8"/>
  <c r="M142" i="8"/>
  <c r="N142" i="8"/>
  <c r="K102" i="8"/>
  <c r="X102" i="8" l="1"/>
  <c r="W102" i="8"/>
  <c r="V102" i="8"/>
  <c r="Y102" i="8"/>
  <c r="V54" i="11"/>
  <c r="V57" i="11" s="1"/>
  <c r="L49" i="11"/>
  <c r="Z54" i="11"/>
  <c r="Z57" i="11" s="1"/>
  <c r="P49" i="11"/>
  <c r="AD49" i="11" s="1"/>
  <c r="Z39" i="11"/>
  <c r="AC39" i="11"/>
  <c r="AA39" i="11"/>
  <c r="AG39" i="11" s="1"/>
  <c r="AB39" i="11"/>
  <c r="AC37" i="11"/>
  <c r="AA37" i="11"/>
  <c r="AG37" i="11" s="1"/>
  <c r="Z37" i="11"/>
  <c r="AB37" i="11"/>
  <c r="Y39" i="11"/>
  <c r="W39" i="11"/>
  <c r="V39" i="11"/>
  <c r="X39" i="11"/>
  <c r="AB38" i="11"/>
  <c r="AC38" i="11"/>
  <c r="Z38" i="11"/>
  <c r="AA38" i="11"/>
  <c r="AG38" i="11" s="1"/>
  <c r="Y37" i="11"/>
  <c r="V37" i="11"/>
  <c r="X37" i="11"/>
  <c r="W37" i="11"/>
  <c r="Y38" i="11"/>
  <c r="W38" i="11"/>
  <c r="V38" i="11"/>
  <c r="X38" i="11"/>
  <c r="AG30" i="8"/>
  <c r="O57" i="11"/>
  <c r="W57" i="11"/>
  <c r="K57" i="11"/>
  <c r="AG25" i="8"/>
  <c r="K112" i="8"/>
  <c r="O142" i="8"/>
  <c r="K142" i="8"/>
  <c r="V142" i="8"/>
  <c r="V112" i="8" l="1"/>
  <c r="Y112" i="8"/>
  <c r="X112" i="8"/>
  <c r="W112" i="8"/>
  <c r="Y28" i="11"/>
  <c r="X28" i="11"/>
  <c r="V28" i="11"/>
  <c r="W28" i="11"/>
  <c r="Y32" i="11"/>
  <c r="V32" i="11"/>
  <c r="X32" i="11"/>
  <c r="W32" i="11"/>
  <c r="AC32" i="11"/>
  <c r="AB32" i="11"/>
  <c r="Z32" i="11"/>
  <c r="AA32" i="11"/>
  <c r="AG32" i="11" s="1"/>
  <c r="AE50" i="11"/>
  <c r="P50" i="11"/>
  <c r="L50" i="11"/>
  <c r="AA57" i="11"/>
  <c r="AA142" i="8"/>
  <c r="AC142" i="8"/>
  <c r="AE142" i="8"/>
  <c r="AD142" i="8"/>
  <c r="AB142" i="8"/>
  <c r="Y41" i="11" l="1"/>
  <c r="W41" i="11"/>
  <c r="X41" i="11"/>
  <c r="V41" i="11"/>
  <c r="Q88" i="8"/>
  <c r="P88" i="8"/>
  <c r="N88" i="8"/>
  <c r="M88" i="8"/>
  <c r="V79" i="11" s="1"/>
  <c r="V88" i="11" s="1"/>
  <c r="L88" i="8"/>
  <c r="J88" i="8"/>
  <c r="J79" i="11" s="1"/>
  <c r="I88" i="8"/>
  <c r="I79" i="11" s="1"/>
  <c r="H88" i="8"/>
  <c r="H79" i="11" s="1"/>
  <c r="E88" i="8"/>
  <c r="E79" i="11" s="1"/>
  <c r="E88" i="11" s="1"/>
  <c r="D88" i="8"/>
  <c r="D79" i="11" s="1"/>
  <c r="D88" i="11" s="1"/>
  <c r="C79" i="11"/>
  <c r="C88" i="11" s="1"/>
  <c r="O19" i="8"/>
  <c r="K19" i="8"/>
  <c r="O40" i="8"/>
  <c r="Z40" i="8" s="1"/>
  <c r="O37" i="8"/>
  <c r="Z37" i="8" s="1"/>
  <c r="O14" i="8"/>
  <c r="O10" i="8"/>
  <c r="K10" i="8"/>
  <c r="K14" i="8"/>
  <c r="Z19" i="8" l="1"/>
  <c r="AC19" i="8"/>
  <c r="AB19" i="8"/>
  <c r="AA19" i="8"/>
  <c r="AC14" i="8"/>
  <c r="AB14" i="8"/>
  <c r="AA14" i="8"/>
  <c r="Z14" i="8"/>
  <c r="Y10" i="8"/>
  <c r="X10" i="8"/>
  <c r="W10" i="8"/>
  <c r="V10" i="8"/>
  <c r="AA10" i="8"/>
  <c r="Z10" i="8"/>
  <c r="AB10" i="8"/>
  <c r="AC10" i="8"/>
  <c r="X14" i="8"/>
  <c r="W14" i="8"/>
  <c r="V14" i="8"/>
  <c r="Y14" i="8"/>
  <c r="Y19" i="8"/>
  <c r="X19" i="8"/>
  <c r="W19" i="8"/>
  <c r="V19" i="8"/>
  <c r="AD17" i="11"/>
  <c r="AD25" i="11" s="1"/>
  <c r="Y79" i="11"/>
  <c r="Y88" i="11" s="1"/>
  <c r="M79" i="11"/>
  <c r="M88" i="11" s="1"/>
  <c r="N79" i="11"/>
  <c r="N88" i="11" s="1"/>
  <c r="Z79" i="11"/>
  <c r="Z88" i="11" s="1"/>
  <c r="AC79" i="11"/>
  <c r="AC88" i="11" s="1"/>
  <c r="Q79" i="11"/>
  <c r="Q88" i="11" s="1"/>
  <c r="AB79" i="11"/>
  <c r="AB88" i="11" s="1"/>
  <c r="P79" i="11"/>
  <c r="P88" i="11" s="1"/>
  <c r="L79" i="11"/>
  <c r="L88" i="11" s="1"/>
  <c r="AG37" i="8"/>
  <c r="AG40" i="8"/>
  <c r="V88" i="8"/>
  <c r="X88" i="8"/>
  <c r="Z88" i="8"/>
  <c r="AA88" i="8"/>
  <c r="AB88" i="8"/>
  <c r="AD88" i="8"/>
  <c r="W88" i="8"/>
  <c r="K88" i="8"/>
  <c r="Y88" i="8"/>
  <c r="AC88" i="8"/>
  <c r="O88" i="8"/>
  <c r="X79" i="11" s="1"/>
  <c r="X88" i="11" s="1"/>
  <c r="AE88" i="8"/>
  <c r="Y16" i="11" l="1"/>
  <c r="X16" i="11"/>
  <c r="W16" i="11"/>
  <c r="W17" i="11" s="1"/>
  <c r="W18" i="11" s="1"/>
  <c r="V16" i="11"/>
  <c r="V17" i="11" s="1"/>
  <c r="X20" i="11"/>
  <c r="Y20" i="11"/>
  <c r="V20" i="11"/>
  <c r="W20" i="11"/>
  <c r="AC24" i="11"/>
  <c r="AA24" i="11"/>
  <c r="AG24" i="11" s="1"/>
  <c r="AB24" i="11"/>
  <c r="Z24" i="11"/>
  <c r="O17" i="11"/>
  <c r="O25" i="11" s="1"/>
  <c r="Z16" i="11"/>
  <c r="Z17" i="11" s="1"/>
  <c r="Z18" i="11" s="1"/>
  <c r="AC16" i="11"/>
  <c r="AC17" i="11" s="1"/>
  <c r="AC25" i="11" s="1"/>
  <c r="AA16" i="11"/>
  <c r="AA17" i="11" s="1"/>
  <c r="AB16" i="11"/>
  <c r="AB17" i="11" s="1"/>
  <c r="AC20" i="11"/>
  <c r="Z20" i="11"/>
  <c r="AB20" i="11"/>
  <c r="AA20" i="11"/>
  <c r="AG20" i="11" s="1"/>
  <c r="V24" i="11"/>
  <c r="Y24" i="11"/>
  <c r="W24" i="11"/>
  <c r="X24" i="11"/>
  <c r="X17" i="11"/>
  <c r="X18" i="11" s="1"/>
  <c r="Y17" i="11"/>
  <c r="Y18" i="11" s="1"/>
  <c r="K17" i="11"/>
  <c r="K25" i="11" s="1"/>
  <c r="AD18" i="11"/>
  <c r="W79" i="11"/>
  <c r="W88" i="11" s="1"/>
  <c r="K79" i="11"/>
  <c r="K88" i="11" s="1"/>
  <c r="AA79" i="11"/>
  <c r="AA88" i="11" s="1"/>
  <c r="O79" i="11"/>
  <c r="O88" i="11" s="1"/>
  <c r="AB18" i="11"/>
  <c r="AG19" i="8"/>
  <c r="O112" i="8"/>
  <c r="O102" i="8"/>
  <c r="AC112" i="8" l="1"/>
  <c r="AB112" i="8"/>
  <c r="AA112" i="8"/>
  <c r="AG112" i="8" s="1"/>
  <c r="Z112" i="8"/>
  <c r="AC102" i="8"/>
  <c r="AB102" i="8"/>
  <c r="AA102" i="8"/>
  <c r="AG102" i="8" s="1"/>
  <c r="Z102" i="8"/>
  <c r="O18" i="11"/>
  <c r="AC33" i="11"/>
  <c r="AB33" i="11"/>
  <c r="AA33" i="11"/>
  <c r="AG33" i="11" s="1"/>
  <c r="Z33" i="11"/>
  <c r="AB25" i="11"/>
  <c r="AB26" i="11" s="1"/>
  <c r="X33" i="11"/>
  <c r="Y33" i="11"/>
  <c r="V33" i="11"/>
  <c r="W33" i="11"/>
  <c r="AC18" i="11"/>
  <c r="X25" i="11"/>
  <c r="X26" i="11" s="1"/>
  <c r="AG16" i="11"/>
  <c r="Y25" i="11"/>
  <c r="Y26" i="11" s="1"/>
  <c r="K18" i="11"/>
  <c r="Z25" i="11"/>
  <c r="Z26" i="11" s="1"/>
  <c r="AA25" i="11"/>
  <c r="W25" i="11"/>
  <c r="W26" i="11" s="1"/>
  <c r="V25" i="11"/>
  <c r="V18" i="11"/>
  <c r="AD29" i="11"/>
  <c r="O26" i="11"/>
  <c r="K26" i="11"/>
  <c r="K29" i="11"/>
  <c r="AG17" i="11"/>
  <c r="AA18" i="11"/>
  <c r="AG18" i="11" s="1"/>
  <c r="AD26" i="11"/>
  <c r="AC26" i="11"/>
  <c r="AG122" i="8"/>
  <c r="AC41" i="11" l="1"/>
  <c r="AA41" i="11"/>
  <c r="AG41" i="11" s="1"/>
  <c r="Z41" i="11"/>
  <c r="AB41" i="11"/>
  <c r="AB28" i="11"/>
  <c r="AB29" i="11" s="1"/>
  <c r="AC28" i="11"/>
  <c r="AC29" i="11" s="1"/>
  <c r="AC34" i="11" s="1"/>
  <c r="Z28" i="11"/>
  <c r="Z29" i="11" s="1"/>
  <c r="Z30" i="11" s="1"/>
  <c r="AA28" i="11"/>
  <c r="AA29" i="11" s="1"/>
  <c r="Y29" i="11"/>
  <c r="O29" i="11"/>
  <c r="O30" i="11" s="1"/>
  <c r="X29" i="11"/>
  <c r="X30" i="11" s="1"/>
  <c r="W29" i="11"/>
  <c r="W30" i="11" s="1"/>
  <c r="V26" i="11"/>
  <c r="V29" i="11"/>
  <c r="AD30" i="11"/>
  <c r="AD34" i="11"/>
  <c r="K30" i="11"/>
  <c r="K34" i="11"/>
  <c r="AA26" i="11"/>
  <c r="AG26" i="11" s="1"/>
  <c r="AG25" i="11"/>
  <c r="AG28" i="11" l="1"/>
  <c r="N83" i="11"/>
  <c r="N86" i="11" a="1"/>
  <c r="N86" i="11" s="1"/>
  <c r="N87" i="11" a="1"/>
  <c r="N87" i="11" s="1"/>
  <c r="N85" i="11" a="1"/>
  <c r="N85" i="11" s="1"/>
  <c r="N84" i="11"/>
  <c r="K87" i="11" a="1"/>
  <c r="K87" i="11" s="1"/>
  <c r="K85" i="11" a="1"/>
  <c r="K85" i="11" s="1"/>
  <c r="M87" i="11" a="1"/>
  <c r="M87" i="11" s="1"/>
  <c r="K84" i="11"/>
  <c r="M84" i="11"/>
  <c r="M83" i="11"/>
  <c r="L85" i="11" a="1"/>
  <c r="L85" i="11" s="1"/>
  <c r="L83" i="11"/>
  <c r="M85" i="11" a="1"/>
  <c r="M85" i="11" s="1"/>
  <c r="L84" i="11"/>
  <c r="L86" i="11" a="1"/>
  <c r="L86" i="11" s="1"/>
  <c r="M86" i="11" a="1"/>
  <c r="M86" i="11" s="1"/>
  <c r="L87" i="11" a="1"/>
  <c r="L87" i="11" s="1"/>
  <c r="K86" i="11" a="1"/>
  <c r="K86" i="11" s="1"/>
  <c r="K83" i="11"/>
  <c r="AB34" i="11"/>
  <c r="AB35" i="11" s="1"/>
  <c r="AB30" i="11"/>
  <c r="AC30" i="11"/>
  <c r="Y34" i="11"/>
  <c r="Y84" i="11" s="1"/>
  <c r="Y30" i="11"/>
  <c r="O34" i="11"/>
  <c r="X34" i="11"/>
  <c r="X42" i="11" s="1"/>
  <c r="W34" i="11"/>
  <c r="W84" i="11" s="1"/>
  <c r="Z34" i="11"/>
  <c r="Z83" i="11" s="1"/>
  <c r="V30" i="11"/>
  <c r="V34" i="11"/>
  <c r="AD35" i="11"/>
  <c r="AD85" i="11"/>
  <c r="AD86" i="11" a="1"/>
  <c r="AD86" i="11" s="1"/>
  <c r="AD42" i="11"/>
  <c r="AD87" i="11" a="1"/>
  <c r="AD87" i="11" s="1"/>
  <c r="AD84" i="11"/>
  <c r="AD83" i="11"/>
  <c r="AA34" i="11"/>
  <c r="AA30" i="11"/>
  <c r="AG30" i="11" s="1"/>
  <c r="AG29" i="11"/>
  <c r="K35" i="11"/>
  <c r="K42" i="11"/>
  <c r="K49" i="11" s="1"/>
  <c r="AC87" i="11" a="1"/>
  <c r="AC87" i="11" s="1"/>
  <c r="AC42" i="11"/>
  <c r="AC85" i="11"/>
  <c r="AC86" i="11" a="1"/>
  <c r="AC86" i="11" s="1"/>
  <c r="AC35" i="11"/>
  <c r="AC83" i="11"/>
  <c r="AC84" i="11"/>
  <c r="P74" i="8"/>
  <c r="N74" i="8"/>
  <c r="P129" i="8"/>
  <c r="L129" i="8"/>
  <c r="H129" i="8"/>
  <c r="O11" i="8"/>
  <c r="O22" i="8" s="1"/>
  <c r="K11" i="8"/>
  <c r="K22" i="8" s="1"/>
  <c r="K40" i="8"/>
  <c r="V40" i="8" s="1"/>
  <c r="K37" i="8"/>
  <c r="V37" i="8" s="1"/>
  <c r="M53" i="8"/>
  <c r="M64" i="8" s="1"/>
  <c r="L53" i="8"/>
  <c r="L64" i="8" s="1"/>
  <c r="H53" i="8"/>
  <c r="H64" i="8" s="1"/>
  <c r="Q96" i="8"/>
  <c r="P96" i="8"/>
  <c r="O96" i="8"/>
  <c r="N96" i="8"/>
  <c r="M96" i="8"/>
  <c r="L96" i="8"/>
  <c r="K96" i="8"/>
  <c r="J96" i="8"/>
  <c r="I96" i="8"/>
  <c r="H96" i="8"/>
  <c r="Q95" i="8"/>
  <c r="P95" i="8"/>
  <c r="O95" i="8"/>
  <c r="N95" i="8"/>
  <c r="M95" i="8"/>
  <c r="L95" i="8"/>
  <c r="K95" i="8"/>
  <c r="J95" i="8"/>
  <c r="I95" i="8"/>
  <c r="H95" i="8"/>
  <c r="I53" i="8"/>
  <c r="I64" i="8" s="1"/>
  <c r="J53" i="8"/>
  <c r="J64" i="8" s="1"/>
  <c r="N53" i="8"/>
  <c r="N64" i="8" s="1"/>
  <c r="P53" i="8"/>
  <c r="P64" i="8" s="1"/>
  <c r="Q53" i="8"/>
  <c r="Q64" i="8" s="1"/>
  <c r="Q45" i="8"/>
  <c r="P45" i="8"/>
  <c r="O45" i="8"/>
  <c r="N45" i="8"/>
  <c r="M45" i="8"/>
  <c r="L45" i="8"/>
  <c r="K45" i="8"/>
  <c r="J45" i="8"/>
  <c r="I45" i="8"/>
  <c r="H45" i="8"/>
  <c r="Q44" i="8"/>
  <c r="P44" i="8"/>
  <c r="O44" i="8"/>
  <c r="N44" i="8"/>
  <c r="M44" i="8"/>
  <c r="L44" i="8"/>
  <c r="K44" i="8"/>
  <c r="J44" i="8"/>
  <c r="I44" i="8"/>
  <c r="H44" i="8"/>
  <c r="E45" i="8"/>
  <c r="D45" i="8"/>
  <c r="E44" i="8"/>
  <c r="D44" i="8"/>
  <c r="Q11" i="8"/>
  <c r="Q22" i="8" s="1"/>
  <c r="P11" i="8"/>
  <c r="P22" i="8" s="1"/>
  <c r="N11" i="8"/>
  <c r="N22" i="8" s="1"/>
  <c r="M11" i="8"/>
  <c r="M22" i="8" s="1"/>
  <c r="L11" i="8"/>
  <c r="L22" i="8" s="1"/>
  <c r="J11" i="8"/>
  <c r="J22" i="8" s="1"/>
  <c r="I11" i="8"/>
  <c r="I22" i="8" s="1"/>
  <c r="H11" i="8"/>
  <c r="H22" i="8" s="1"/>
  <c r="H13" i="10" l="1"/>
  <c r="J13" i="10"/>
  <c r="I13" i="10"/>
  <c r="K13" i="10"/>
  <c r="O13" i="10"/>
  <c r="AB86" i="11" a="1"/>
  <c r="AB86" i="11" s="1"/>
  <c r="AB87" i="11" a="1"/>
  <c r="AB87" i="11" s="1"/>
  <c r="AB84" i="11"/>
  <c r="AB83" i="11"/>
  <c r="AB85" i="11"/>
  <c r="AB42" i="11"/>
  <c r="R85" i="11" a="1"/>
  <c r="R85" i="11" s="1"/>
  <c r="R87" i="11" a="1"/>
  <c r="R87" i="11" s="1"/>
  <c r="R84" i="11"/>
  <c r="R83" i="11"/>
  <c r="R86" i="11" a="1"/>
  <c r="R86" i="11" s="1"/>
  <c r="Q84" i="11"/>
  <c r="P86" i="11" a="1"/>
  <c r="P86" i="11" s="1"/>
  <c r="Q86" i="11" a="1"/>
  <c r="Q86" i="11" s="1"/>
  <c r="P85" i="11" a="1"/>
  <c r="P85" i="11" s="1"/>
  <c r="O87" i="11" a="1"/>
  <c r="O87" i="11" s="1"/>
  <c r="Q87" i="11" a="1"/>
  <c r="Q87" i="11" s="1"/>
  <c r="O84" i="11"/>
  <c r="Q83" i="11"/>
  <c r="P87" i="11" a="1"/>
  <c r="P87" i="11" s="1"/>
  <c r="P83" i="11"/>
  <c r="Q85" i="11" a="1"/>
  <c r="Q85" i="11" s="1"/>
  <c r="O86" i="11" a="1"/>
  <c r="O86" i="11" s="1"/>
  <c r="P84" i="11"/>
  <c r="O83" i="11"/>
  <c r="O85" i="11" a="1"/>
  <c r="O85" i="11" s="1"/>
  <c r="W83" i="11"/>
  <c r="W87" i="11" a="1"/>
  <c r="W87" i="11" s="1"/>
  <c r="Y42" i="11"/>
  <c r="Y86" i="11" a="1"/>
  <c r="Y86" i="11" s="1"/>
  <c r="Y85" i="11"/>
  <c r="O42" i="11"/>
  <c r="O49" i="11" s="1"/>
  <c r="W86" i="11" a="1"/>
  <c r="W86" i="11" s="1"/>
  <c r="W85" i="11"/>
  <c r="W35" i="11"/>
  <c r="O35" i="11"/>
  <c r="Y87" i="11" a="1"/>
  <c r="Y87" i="11" s="1"/>
  <c r="Y83" i="11"/>
  <c r="Y35" i="11"/>
  <c r="W42" i="11"/>
  <c r="X87" i="11" a="1"/>
  <c r="X87" i="11" s="1"/>
  <c r="Z84" i="11"/>
  <c r="Z42" i="11"/>
  <c r="Z35" i="11"/>
  <c r="Z85" i="11"/>
  <c r="Z86" i="11" a="1"/>
  <c r="Z86" i="11" s="1"/>
  <c r="Z87" i="11" a="1"/>
  <c r="Z87" i="11" s="1"/>
  <c r="X86" i="11" a="1"/>
  <c r="X86" i="11" s="1"/>
  <c r="X83" i="11"/>
  <c r="X85" i="11"/>
  <c r="X84" i="11"/>
  <c r="X35" i="11"/>
  <c r="V86" i="11" a="1"/>
  <c r="V86" i="11" s="1"/>
  <c r="V84" i="11"/>
  <c r="V85" i="11"/>
  <c r="V83" i="11"/>
  <c r="V35" i="11"/>
  <c r="V87" i="11" a="1"/>
  <c r="V87" i="11" s="1"/>
  <c r="V42" i="11"/>
  <c r="P27" i="8"/>
  <c r="P13" i="10"/>
  <c r="Q13" i="10"/>
  <c r="L13" i="10"/>
  <c r="N13" i="10"/>
  <c r="M13" i="10"/>
  <c r="AA87" i="11" a="1"/>
  <c r="AA87" i="11" s="1"/>
  <c r="AA86" i="11" a="1"/>
  <c r="AA86" i="11" s="1"/>
  <c r="AA35" i="11"/>
  <c r="AG35" i="11" s="1"/>
  <c r="AA42" i="11"/>
  <c r="AG42" i="11" s="1"/>
  <c r="AG34" i="11"/>
  <c r="AA83" i="11"/>
  <c r="AA85" i="11"/>
  <c r="AA84" i="11"/>
  <c r="N81" i="8"/>
  <c r="L74" i="8"/>
  <c r="Q74" i="8"/>
  <c r="I74" i="8"/>
  <c r="H74" i="8"/>
  <c r="M74" i="8"/>
  <c r="E74" i="8"/>
  <c r="J74" i="8"/>
  <c r="Q129" i="8"/>
  <c r="O129" i="8"/>
  <c r="I129" i="8"/>
  <c r="M129" i="8"/>
  <c r="N129" i="8"/>
  <c r="O74" i="8"/>
  <c r="O53" i="8"/>
  <c r="O64" i="8" s="1"/>
  <c r="K53" i="8"/>
  <c r="K64" i="8" s="1"/>
  <c r="K74" i="8"/>
  <c r="Y49" i="11" l="1"/>
  <c r="Y50" i="11" s="1"/>
  <c r="W49" i="11"/>
  <c r="W50" i="11" s="1"/>
  <c r="V49" i="11"/>
  <c r="V50" i="11" s="1"/>
  <c r="X49" i="11"/>
  <c r="X50" i="11" s="1"/>
  <c r="AC49" i="11"/>
  <c r="AC50" i="11" s="1"/>
  <c r="AB49" i="11"/>
  <c r="AB50" i="11" s="1"/>
  <c r="AA49" i="11"/>
  <c r="AA50" i="11" s="1"/>
  <c r="Z49" i="11"/>
  <c r="Z50" i="11" s="1"/>
  <c r="Q27" i="8"/>
  <c r="Q28" i="8" s="1"/>
  <c r="P23" i="8"/>
  <c r="M27" i="8"/>
  <c r="M28" i="8" s="1"/>
  <c r="K50" i="11"/>
  <c r="O50" i="11"/>
  <c r="P28" i="8"/>
  <c r="P31" i="8"/>
  <c r="AD50" i="11"/>
  <c r="N27" i="8"/>
  <c r="H27" i="8"/>
  <c r="L27" i="8"/>
  <c r="N89" i="8"/>
  <c r="N91" i="8" s="1"/>
  <c r="H23" i="8"/>
  <c r="O81" i="8"/>
  <c r="L81" i="8"/>
  <c r="J81" i="8"/>
  <c r="E81" i="8"/>
  <c r="I81" i="8"/>
  <c r="K81" i="8"/>
  <c r="Q81" i="8"/>
  <c r="H81" i="8"/>
  <c r="M81" i="8"/>
  <c r="P81" i="8"/>
  <c r="J129" i="8"/>
  <c r="K129" i="8"/>
  <c r="O27" i="8"/>
  <c r="K27" i="8"/>
  <c r="N23" i="8"/>
  <c r="L23" i="8"/>
  <c r="P99" i="8" l="1"/>
  <c r="P119" i="8" s="1"/>
  <c r="P34" i="8"/>
  <c r="M31" i="8"/>
  <c r="Q31" i="8"/>
  <c r="Q23" i="8"/>
  <c r="M23" i="8"/>
  <c r="O28" i="8"/>
  <c r="O31" i="8"/>
  <c r="N28" i="8"/>
  <c r="N31" i="8"/>
  <c r="L28" i="8"/>
  <c r="L31" i="8"/>
  <c r="K28" i="8"/>
  <c r="K31" i="8"/>
  <c r="H28" i="8"/>
  <c r="H31" i="8"/>
  <c r="J27" i="8"/>
  <c r="I27" i="8"/>
  <c r="L89" i="8"/>
  <c r="L91" i="8" s="1"/>
  <c r="I23" i="8"/>
  <c r="J23" i="8"/>
  <c r="K89" i="8"/>
  <c r="K91" i="8" s="1"/>
  <c r="O89" i="8"/>
  <c r="O91" i="8" s="1"/>
  <c r="J89" i="8"/>
  <c r="J91" i="8" s="1"/>
  <c r="I89" i="8"/>
  <c r="I91" i="8" s="1"/>
  <c r="Q89" i="8"/>
  <c r="Q91" i="8" s="1"/>
  <c r="P89" i="8"/>
  <c r="P91" i="8" s="1"/>
  <c r="M89" i="8"/>
  <c r="M91" i="8" s="1"/>
  <c r="H89" i="8"/>
  <c r="H91" i="8" s="1"/>
  <c r="K23" i="8"/>
  <c r="O23" i="8"/>
  <c r="P35" i="8" l="1"/>
  <c r="P38" i="8"/>
  <c r="P41" i="8"/>
  <c r="Q99" i="8"/>
  <c r="Q119" i="8" s="1"/>
  <c r="Q151" i="8" s="1"/>
  <c r="AB151" i="8" s="1"/>
  <c r="Q34" i="8"/>
  <c r="H99" i="8"/>
  <c r="H119" i="8" s="1"/>
  <c r="H151" i="8" s="1"/>
  <c r="H34" i="8"/>
  <c r="M99" i="8"/>
  <c r="M119" i="8" s="1"/>
  <c r="M151" i="8" s="1"/>
  <c r="X151" i="8" s="1"/>
  <c r="M34" i="8"/>
  <c r="O99" i="8"/>
  <c r="O119" i="8" s="1"/>
  <c r="O34" i="8"/>
  <c r="K99" i="8"/>
  <c r="K119" i="8" s="1"/>
  <c r="K34" i="8"/>
  <c r="L99" i="8"/>
  <c r="L119" i="8" s="1"/>
  <c r="L151" i="8" s="1"/>
  <c r="W151" i="8" s="1"/>
  <c r="L34" i="8"/>
  <c r="N99" i="8"/>
  <c r="N119" i="8" s="1"/>
  <c r="N151" i="8" s="1"/>
  <c r="Y151" i="8" s="1"/>
  <c r="N34" i="8"/>
  <c r="I28" i="8"/>
  <c r="I31" i="8"/>
  <c r="J28" i="8"/>
  <c r="J31" i="8"/>
  <c r="P151" i="8"/>
  <c r="AA151" i="8" s="1"/>
  <c r="H35" i="8" l="1"/>
  <c r="H38" i="8"/>
  <c r="H41" i="8"/>
  <c r="L35" i="8"/>
  <c r="L41" i="8"/>
  <c r="L38" i="8"/>
  <c r="Q35" i="8"/>
  <c r="Q38" i="8"/>
  <c r="Q41" i="8"/>
  <c r="N35" i="8"/>
  <c r="N38" i="8"/>
  <c r="N41" i="8"/>
  <c r="M35" i="8"/>
  <c r="M41" i="8"/>
  <c r="M38" i="8"/>
  <c r="K35" i="8"/>
  <c r="K38" i="8"/>
  <c r="K41" i="8"/>
  <c r="O35" i="8"/>
  <c r="O38" i="8"/>
  <c r="O41" i="8"/>
  <c r="J99" i="8"/>
  <c r="J119" i="8" s="1"/>
  <c r="J34" i="8"/>
  <c r="I99" i="8"/>
  <c r="I119" i="8" s="1"/>
  <c r="I34" i="8"/>
  <c r="J35" i="8" l="1"/>
  <c r="J38" i="8"/>
  <c r="J41" i="8"/>
  <c r="I35" i="8"/>
  <c r="I38" i="8"/>
  <c r="I41" i="8"/>
  <c r="I151" i="8"/>
  <c r="J151" i="8"/>
  <c r="B96" i="8" l="1"/>
  <c r="B95" i="8"/>
  <c r="E96" i="8"/>
  <c r="D96" i="8"/>
  <c r="E95" i="8"/>
  <c r="D95" i="8"/>
  <c r="B45" i="8"/>
  <c r="B44" i="8"/>
  <c r="AE45" i="8"/>
  <c r="AD45" i="8"/>
  <c r="AC45" i="8"/>
  <c r="AA45" i="8"/>
  <c r="Z45" i="8"/>
  <c r="Y45" i="8"/>
  <c r="W45" i="8"/>
  <c r="V45" i="8"/>
  <c r="AB45" i="8"/>
  <c r="X45" i="8"/>
  <c r="AE44" i="8"/>
  <c r="AD44" i="8"/>
  <c r="AC44" i="8"/>
  <c r="AB44" i="8"/>
  <c r="AA44" i="8"/>
  <c r="Z44" i="8"/>
  <c r="Y44" i="8"/>
  <c r="X44" i="8"/>
  <c r="W44" i="8"/>
  <c r="V44" i="8"/>
  <c r="X95" i="8" l="1"/>
  <c r="Y95" i="8"/>
  <c r="Y96" i="8"/>
  <c r="AB95" i="8"/>
  <c r="AC95" i="8"/>
  <c r="X96" i="8"/>
  <c r="AC96" i="8"/>
  <c r="AD96" i="8"/>
  <c r="AA95" i="8"/>
  <c r="V95" i="8"/>
  <c r="AD95" i="8"/>
  <c r="AA96" i="8"/>
  <c r="Z96" i="8"/>
  <c r="W95" i="8"/>
  <c r="AE95" i="8"/>
  <c r="AB96" i="8"/>
  <c r="V96" i="8"/>
  <c r="Z95" i="8"/>
  <c r="W96" i="8"/>
  <c r="AE96" i="8"/>
  <c r="Z11" i="8" l="1"/>
  <c r="Z22" i="8" s="1"/>
  <c r="D53" i="8"/>
  <c r="D64" i="8" s="1"/>
  <c r="E53" i="8"/>
  <c r="E64" i="8" s="1"/>
  <c r="Z13" i="10" l="1"/>
  <c r="AA11" i="8"/>
  <c r="AA22" i="8" s="1"/>
  <c r="AA53" i="8"/>
  <c r="AA64" i="8" s="1"/>
  <c r="Y53" i="8"/>
  <c r="Y64" i="8" s="1"/>
  <c r="AA74" i="8"/>
  <c r="AA81" i="8" s="1"/>
  <c r="Z74" i="8"/>
  <c r="Z81" i="8" s="1"/>
  <c r="V74" i="8"/>
  <c r="V81" i="8" s="1"/>
  <c r="X11" i="8"/>
  <c r="X22" i="8" s="1"/>
  <c r="V53" i="8"/>
  <c r="V64" i="8" s="1"/>
  <c r="Z53" i="8"/>
  <c r="Z64" i="8" s="1"/>
  <c r="Y11" i="8"/>
  <c r="Y22" i="8" s="1"/>
  <c r="W53" i="8"/>
  <c r="W64" i="8" s="1"/>
  <c r="W74" i="8"/>
  <c r="W81" i="8" s="1"/>
  <c r="Y74" i="8"/>
  <c r="Y81" i="8" s="1"/>
  <c r="AC53" i="8"/>
  <c r="AC64" i="8" s="1"/>
  <c r="AC11" i="8"/>
  <c r="AC22" i="8" s="1"/>
  <c r="AC74" i="8"/>
  <c r="AC81" i="8" s="1"/>
  <c r="AD74" i="8"/>
  <c r="AD81" i="8" s="1"/>
  <c r="AB11" i="8"/>
  <c r="AB22" i="8" s="1"/>
  <c r="AD11" i="8"/>
  <c r="AD22" i="8" s="1"/>
  <c r="AD53" i="8"/>
  <c r="AD64" i="8" s="1"/>
  <c r="AA13" i="10" l="1"/>
  <c r="AD13" i="10"/>
  <c r="AB13" i="10"/>
  <c r="Y13" i="10"/>
  <c r="AC13" i="10"/>
  <c r="X13" i="10"/>
  <c r="Z27" i="8"/>
  <c r="Z23" i="8"/>
  <c r="AG10" i="8"/>
  <c r="AA89" i="8"/>
  <c r="AA91" i="8" s="1"/>
  <c r="Y89" i="8"/>
  <c r="Y91" i="8" s="1"/>
  <c r="W89" i="8"/>
  <c r="W91" i="8" s="1"/>
  <c r="AG14" i="8"/>
  <c r="Z89" i="8"/>
  <c r="Z91" i="8" s="1"/>
  <c r="V89" i="8"/>
  <c r="V91" i="8" s="1"/>
  <c r="AC89" i="8"/>
  <c r="AC91" i="8" s="1"/>
  <c r="AD89" i="8"/>
  <c r="AD91" i="8" s="1"/>
  <c r="Z28" i="8" l="1"/>
  <c r="Z31" i="8"/>
  <c r="X27" i="8"/>
  <c r="AC27" i="8"/>
  <c r="AB27" i="8"/>
  <c r="Y27" i="8"/>
  <c r="AA27" i="8"/>
  <c r="AD27" i="8"/>
  <c r="Y23" i="8"/>
  <c r="X23" i="8"/>
  <c r="AA23" i="8"/>
  <c r="AC23" i="8"/>
  <c r="AB23" i="8"/>
  <c r="AD23" i="8"/>
  <c r="Z99" i="8" l="1"/>
  <c r="Z34" i="8"/>
  <c r="AC28" i="8"/>
  <c r="AC31" i="8"/>
  <c r="AD28" i="8"/>
  <c r="AD31" i="8"/>
  <c r="Y28" i="8"/>
  <c r="Y31" i="8"/>
  <c r="Y34" i="8" s="1"/>
  <c r="X28" i="8"/>
  <c r="X31" i="8"/>
  <c r="AA28" i="8"/>
  <c r="AA31" i="8"/>
  <c r="AB28" i="8"/>
  <c r="AB31" i="8"/>
  <c r="Y35" i="8" l="1"/>
  <c r="Y41" i="8"/>
  <c r="Y38" i="8"/>
  <c r="Z35" i="8"/>
  <c r="Z38" i="8"/>
  <c r="Z41" i="8"/>
  <c r="AB99" i="8"/>
  <c r="AB34" i="8"/>
  <c r="AD99" i="8"/>
  <c r="AD34" i="8"/>
  <c r="AA99" i="8"/>
  <c r="AA34" i="8"/>
  <c r="AC99" i="8"/>
  <c r="AC34" i="8"/>
  <c r="X99" i="8"/>
  <c r="X34" i="8"/>
  <c r="Y99" i="8"/>
  <c r="AD35" i="8" l="1"/>
  <c r="AD41" i="8"/>
  <c r="AD38" i="8"/>
  <c r="X35" i="8"/>
  <c r="X41" i="8"/>
  <c r="X38" i="8"/>
  <c r="AB35" i="8"/>
  <c r="AB41" i="8"/>
  <c r="AB38" i="8"/>
  <c r="AC35" i="8"/>
  <c r="AC41" i="8"/>
  <c r="AC38" i="8"/>
  <c r="AA35" i="8"/>
  <c r="AA38" i="8"/>
  <c r="AA41" i="8"/>
  <c r="X74" i="8"/>
  <c r="AB74" i="8"/>
  <c r="AB81" i="8" s="1"/>
  <c r="X81" i="8" l="1"/>
  <c r="X89" i="8" s="1"/>
  <c r="V129" i="8"/>
  <c r="W129" i="8"/>
  <c r="AA129" i="8"/>
  <c r="X129" i="8"/>
  <c r="Y129" i="8"/>
  <c r="Z129" i="8"/>
  <c r="AB129" i="8"/>
  <c r="AD129" i="8"/>
  <c r="AC129" i="8"/>
  <c r="E11" i="8" l="1"/>
  <c r="E22" i="8" s="1"/>
  <c r="D11" i="8"/>
  <c r="D22" i="8" s="1"/>
  <c r="D74" i="8"/>
  <c r="AE11" i="8"/>
  <c r="AE22" i="8" s="1"/>
  <c r="AE13" i="10" l="1"/>
  <c r="D13" i="10"/>
  <c r="E13" i="10"/>
  <c r="D81" i="8"/>
  <c r="AG11" i="8"/>
  <c r="AB89" i="8"/>
  <c r="AE74" i="8"/>
  <c r="AE81" i="8" s="1"/>
  <c r="AG88" i="8"/>
  <c r="E27" i="8" l="1"/>
  <c r="D27" i="8"/>
  <c r="D23" i="8"/>
  <c r="E23" i="8"/>
  <c r="AB53" i="8"/>
  <c r="AB64" i="8" s="1"/>
  <c r="X53" i="8"/>
  <c r="X64" i="8" s="1"/>
  <c r="D89" i="8"/>
  <c r="D91" i="8" s="1"/>
  <c r="E89" i="8"/>
  <c r="E91" i="8" s="1"/>
  <c r="AG81" i="8"/>
  <c r="AG74" i="8"/>
  <c r="AE53" i="8"/>
  <c r="AE64" i="8" s="1"/>
  <c r="AE27" i="8"/>
  <c r="AE31" i="8" s="1"/>
  <c r="AE99" i="8" l="1"/>
  <c r="AE34" i="8"/>
  <c r="D28" i="8"/>
  <c r="D31" i="8"/>
  <c r="E28" i="8"/>
  <c r="E31" i="8"/>
  <c r="AE28" i="8"/>
  <c r="AG28" i="8" s="1"/>
  <c r="AG27" i="8"/>
  <c r="K151" i="8"/>
  <c r="V151" i="8" s="1"/>
  <c r="X91" i="8"/>
  <c r="AB91" i="8"/>
  <c r="AG22" i="8"/>
  <c r="AE23" i="8"/>
  <c r="AG23" i="8" s="1"/>
  <c r="AG142" i="8"/>
  <c r="AE89" i="8"/>
  <c r="AG89" i="8" s="1"/>
  <c r="AG64" i="8"/>
  <c r="AG53" i="8"/>
  <c r="AE129" i="8"/>
  <c r="AG129" i="8" s="1"/>
  <c r="AE41" i="8" l="1"/>
  <c r="AE38" i="8"/>
  <c r="E99" i="8"/>
  <c r="E119" i="8" s="1"/>
  <c r="E151" i="8" s="1"/>
  <c r="E34" i="8"/>
  <c r="AE35" i="8"/>
  <c r="AG35" i="8" s="1"/>
  <c r="AG34" i="8"/>
  <c r="D99" i="8"/>
  <c r="D119" i="8" s="1"/>
  <c r="D151" i="8" s="1"/>
  <c r="D34" i="8"/>
  <c r="O151" i="8"/>
  <c r="Z151" i="8" s="1"/>
  <c r="AE91" i="8"/>
  <c r="D35" i="8" l="1"/>
  <c r="D41" i="8"/>
  <c r="D38" i="8"/>
  <c r="E35" i="8"/>
  <c r="E41" i="8"/>
  <c r="E38" i="8"/>
  <c r="AG31" i="8"/>
  <c r="AA119" i="8"/>
  <c r="AB119" i="8"/>
  <c r="X119" i="8" l="1"/>
  <c r="Y119" i="8"/>
  <c r="Z119" i="8"/>
  <c r="AG38" i="8" l="1"/>
  <c r="AG41" i="8"/>
  <c r="H145" i="8" l="1"/>
  <c r="D147" i="8" l="1"/>
  <c r="D152" i="8" s="1"/>
  <c r="D154" i="8" s="1"/>
  <c r="E145" i="8" l="1"/>
  <c r="E147" i="8" s="1"/>
  <c r="E152" i="8" s="1"/>
  <c r="H147" i="8"/>
  <c r="H152" i="8" l="1"/>
  <c r="H154" i="8" s="1"/>
  <c r="E154" i="8"/>
  <c r="F145" i="8"/>
  <c r="F147" i="8" s="1"/>
  <c r="F152" i="8" s="1"/>
  <c r="F154" i="8" s="1"/>
  <c r="I145" i="8" l="1"/>
  <c r="I147" i="8" s="1"/>
  <c r="I152" i="8" s="1"/>
  <c r="I154" i="8" s="1"/>
  <c r="J145" i="8" l="1"/>
  <c r="J147" i="8" s="1"/>
  <c r="J152" i="8" l="1"/>
  <c r="K145" i="8" l="1"/>
  <c r="J154" i="8"/>
  <c r="K147" i="8" l="1"/>
  <c r="K152" i="8" s="1"/>
  <c r="V145" i="8"/>
  <c r="V147" i="8" s="1"/>
  <c r="V152" i="8" s="1"/>
  <c r="L145" i="8" l="1"/>
  <c r="L147" i="8" s="1"/>
  <c r="K154" i="8"/>
  <c r="L152" i="8" l="1"/>
  <c r="M145" i="8" l="1"/>
  <c r="M147" i="8" s="1"/>
  <c r="L154" i="8"/>
  <c r="M152" i="8" l="1"/>
  <c r="N145" i="8" l="1"/>
  <c r="N147" i="8" s="1"/>
  <c r="M154" i="8"/>
  <c r="N152" i="8" l="1"/>
  <c r="O145" i="8" l="1"/>
  <c r="O147" i="8" s="1"/>
  <c r="N154" i="8"/>
  <c r="O152" i="8" l="1"/>
  <c r="P145" i="8" s="1"/>
  <c r="P147" i="8" s="1"/>
  <c r="W11" i="8"/>
  <c r="W22" i="8" s="1"/>
  <c r="V11" i="8"/>
  <c r="V22" i="8" s="1"/>
  <c r="V13" i="10" l="1"/>
  <c r="W13" i="10"/>
  <c r="P152" i="8"/>
  <c r="Q145" i="8" s="1"/>
  <c r="Q147" i="8" s="1"/>
  <c r="O154" i="8"/>
  <c r="Q152" i="8" l="1"/>
  <c r="P154" i="8"/>
  <c r="V27" i="8"/>
  <c r="V23" i="8"/>
  <c r="Q154" i="8" l="1"/>
  <c r="R145" i="8"/>
  <c r="R147" i="8" s="1"/>
  <c r="R152" i="8" s="1"/>
  <c r="V28" i="8"/>
  <c r="V31" i="8"/>
  <c r="W27" i="8"/>
  <c r="W23" i="8"/>
  <c r="V99" i="8" l="1"/>
  <c r="V34" i="8"/>
  <c r="R154" i="8"/>
  <c r="S145" i="8"/>
  <c r="S147" i="8" s="1"/>
  <c r="S152" i="8" s="1"/>
  <c r="W28" i="8"/>
  <c r="W31" i="8"/>
  <c r="V35" i="8" l="1"/>
  <c r="V41" i="8"/>
  <c r="V38" i="8"/>
  <c r="W99" i="8"/>
  <c r="W119" i="8" s="1"/>
  <c r="W34" i="8"/>
  <c r="S154" i="8"/>
  <c r="T145" i="8"/>
  <c r="T147" i="8" s="1"/>
  <c r="T152" i="8" s="1"/>
  <c r="AC119" i="8"/>
  <c r="AD119" i="8"/>
  <c r="V119" i="8"/>
  <c r="W35" i="8" l="1"/>
  <c r="W41" i="8"/>
  <c r="W38" i="8"/>
  <c r="T154" i="8"/>
  <c r="AE119" i="8"/>
  <c r="AG99" i="8"/>
  <c r="AG119" i="8" l="1"/>
  <c r="W145" i="8" l="1"/>
  <c r="W147" i="8" s="1"/>
  <c r="W152" i="8" s="1"/>
  <c r="V154" i="8" l="1"/>
  <c r="X145" i="8"/>
  <c r="X147" i="8" s="1"/>
  <c r="X152" i="8" s="1"/>
  <c r="W154" i="8" l="1"/>
  <c r="Y145" i="8"/>
  <c r="Y147" i="8" s="1"/>
  <c r="Y152" i="8" s="1"/>
  <c r="X154" i="8" l="1"/>
  <c r="Z145" i="8"/>
  <c r="Z147" i="8" s="1"/>
  <c r="Z152" i="8" s="1"/>
  <c r="Y154" i="8" l="1"/>
  <c r="AA145" i="8"/>
  <c r="AA147" i="8" s="1"/>
  <c r="AA152" i="8" s="1"/>
  <c r="Z154" i="8" l="1"/>
  <c r="AB145" i="8"/>
  <c r="AB147" i="8" s="1"/>
  <c r="AA154" i="8"/>
  <c r="AB152" i="8" l="1"/>
  <c r="AC145" i="8" s="1"/>
  <c r="AC147" i="8" s="1"/>
  <c r="AC152" i="8" s="1"/>
  <c r="AD145" i="8" l="1"/>
  <c r="AD147" i="8" s="1"/>
  <c r="AC154" i="8"/>
  <c r="AB154" i="8"/>
  <c r="AD152" i="8" l="1"/>
  <c r="AE145" i="8" s="1"/>
  <c r="AE147" i="8" s="1"/>
  <c r="AE152" i="8" l="1"/>
  <c r="AE154" i="8" s="1"/>
  <c r="AD15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<sst xmlns="http://schemas.openxmlformats.org/spreadsheetml/2006/main" count="280" uniqueCount="193">
  <si>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</si>
  <si>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</si>
  <si>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</si>
  <si>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</si>
  <si>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</si>
  <si>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</si>
  <si>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</si>
  <si>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</si>
  <si>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</si>
  <si>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</si>
  <si>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</si>
  <si>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</si>
  <si>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</si>
  <si>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</si>
  <si>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</si>
  <si>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</si>
  <si>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</si>
  <si>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</si>
  <si>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</si>
  <si>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</si>
  <si>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</si>
  <si>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</si>
  <si>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</si>
  <si>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</si>
  <si>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</si>
  <si>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</si>
  <si>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</si>
  <si>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</si>
  <si>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</si>
  <si>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</si>
  <si>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</si>
  <si>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</si>
  <si>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</si>
  <si>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</si>
  <si>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</si>
  <si>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</si>
  <si>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</si>
  <si>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</si>
  <si>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</si>
  <si>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</si>
  <si>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</si>
  <si>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</si>
  <si>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</si>
  <si>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</si>
  <si>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</si>
  <si>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</si>
  <si>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Current Liabilities</t>
  </si>
  <si>
    <t>Total Shareholder Equity</t>
  </si>
  <si>
    <t>Total Book Capitalization</t>
  </si>
  <si>
    <t>Debt-to-Book Capitalization</t>
  </si>
  <si>
    <t>Total liabilities and stockholders' equity</t>
  </si>
  <si>
    <t>Cash-Flows From Operating Activities</t>
  </si>
  <si>
    <t>Net income (loss)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</si>
  <si>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</si>
  <si>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</si>
  <si>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</si>
  <si>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</si>
  <si>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</si>
  <si>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</si>
  <si>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</si>
  <si>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</si>
  <si>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</si>
  <si>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</si>
  <si>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</si>
  <si>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</si>
  <si>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</si>
  <si>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</si>
  <si>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</si>
  <si>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</si>
  <si>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</si>
  <si>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</si>
  <si>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</si>
  <si>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</si>
  <si>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</si>
  <si>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</si>
  <si>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</si>
  <si>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</si>
  <si>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</si>
  <si>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</si>
  <si>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</si>
  <si>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EBT Margin (%)</t>
  </si>
  <si>
    <t>Current Assets</t>
  </si>
  <si>
    <t>Non-Current Assets</t>
  </si>
  <si>
    <t>Non-Current Liabilities</t>
  </si>
  <si>
    <t>Supplemental disclosures of other cash flow information:</t>
  </si>
  <si>
    <t>Income tax expense</t>
  </si>
  <si>
    <t>Income taxes paid</t>
  </si>
  <si>
    <t>Interest paid</t>
  </si>
  <si>
    <t>BOP Restricted Cash Adjustment</t>
  </si>
  <si>
    <t>EOP FX Adjustment</t>
  </si>
  <si>
    <t>EOP Restricted Cash Adjustment</t>
  </si>
  <si>
    <t>Unrestricted Cash BOP</t>
  </si>
  <si>
    <t>Revenue Segment Anaysis</t>
  </si>
  <si>
    <t>($ In Millions)</t>
  </si>
  <si>
    <t>($ In Millions, except EPS)</t>
  </si>
  <si>
    <t>Revenue by reportable segment</t>
  </si>
  <si>
    <t>Revenue by product category</t>
  </si>
  <si>
    <t>(+) Depreciation and Amortization (D&amp;A)</t>
  </si>
  <si>
    <t>(+) Stock-Based Compensation (SBC)</t>
  </si>
  <si>
    <t>Summary Debt:</t>
  </si>
  <si>
    <t>CPLTD</t>
  </si>
  <si>
    <t>LTD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</si>
  <si>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</si>
  <si>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</si>
  <si>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</si>
  <si>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</si>
  <si>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</si>
  <si>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3Q25</t>
  </si>
  <si>
    <t>4Q25</t>
  </si>
  <si>
    <t>1Q26</t>
  </si>
  <si>
    <t>XXX</t>
  </si>
  <si>
    <t>Earnings before Taxes</t>
  </si>
  <si>
    <t>Revenue by XXX</t>
  </si>
  <si>
    <t>(+/-) XXX</t>
  </si>
  <si>
    <t>(+) XXX</t>
  </si>
  <si>
    <t>(-) XXX</t>
  </si>
  <si>
    <t>(-) Mandatory Outflows</t>
  </si>
  <si>
    <t>Starbucks Corp (NASDAQ: SBUX)</t>
  </si>
  <si>
    <t>Company Operated Stores</t>
  </si>
  <si>
    <t>Licensed Stores</t>
  </si>
  <si>
    <t>Other</t>
  </si>
  <si>
    <t>Product and Distribution Costs</t>
  </si>
  <si>
    <t>Store Operating Expenses</t>
  </si>
  <si>
    <t>Other Operating Expenses</t>
  </si>
  <si>
    <t xml:space="preserve">Depreciation and Amortization </t>
  </si>
  <si>
    <t>G&amp;A</t>
  </si>
  <si>
    <t>Restructuring and Impairments</t>
  </si>
  <si>
    <t>Income From Equity Investees</t>
  </si>
  <si>
    <t>Gains From Sale of Assets</t>
  </si>
  <si>
    <t>Interest Income and Other Net</t>
  </si>
  <si>
    <t>Interest Expense</t>
  </si>
  <si>
    <t xml:space="preserve">Net earnings including noncontrolling interests	</t>
  </si>
  <si>
    <t xml:space="preserve">Net earnings attributable to noncontrolling interests	</t>
  </si>
  <si>
    <t xml:space="preserve">Net earnings attributable to Starbucks	</t>
  </si>
  <si>
    <t>Depreciation and Amortization</t>
  </si>
  <si>
    <t>Income  from equity investees</t>
  </si>
  <si>
    <t>Distributions from equity investees</t>
  </si>
  <si>
    <t>Gain on sale of assets</t>
  </si>
  <si>
    <t>Stock-based compensation</t>
  </si>
  <si>
    <t>Non-cash lease costs</t>
  </si>
  <si>
    <t>Loss on retirement and impairment assets</t>
  </si>
  <si>
    <t>271. 5</t>
  </si>
  <si>
    <t>Accounts Receivable</t>
  </si>
  <si>
    <t>Investories</t>
  </si>
  <si>
    <t>Income Taxes Payable</t>
  </si>
  <si>
    <t>Accounts Payable</t>
  </si>
  <si>
    <t>Deferred Revenue</t>
  </si>
  <si>
    <t>Operating Lease Liability</t>
  </si>
  <si>
    <t>Other Operating assets and liabilities</t>
  </si>
  <si>
    <t>Purchase of investments</t>
  </si>
  <si>
    <t>Sale of investments</t>
  </si>
  <si>
    <t>Maturities and calls of investments</t>
  </si>
  <si>
    <t>Additions to PP&amp;E</t>
  </si>
  <si>
    <t>Proceeds from sale of assets</t>
  </si>
  <si>
    <t>Net Proceeds from the divestitude of certain operati</t>
  </si>
  <si>
    <t>Proceeds/(Repayment) of commercial paper</t>
  </si>
  <si>
    <t>Net proceeds from issuance of short-term debt</t>
  </si>
  <si>
    <t>Repayments of short-term debt</t>
  </si>
  <si>
    <t>Net proceeds from issuance of long-term debt</t>
  </si>
  <si>
    <t>Repayments of long-term debt</t>
  </si>
  <si>
    <t>Proceeds from issuance of common stock</t>
  </si>
  <si>
    <t>Cash dividends paid</t>
  </si>
  <si>
    <t>Repurchase of common stock</t>
  </si>
  <si>
    <t>Minimum tax withholdings on share-based awards</t>
  </si>
  <si>
    <t>Cash and cash equivalents</t>
  </si>
  <si>
    <t>Short-term investments</t>
  </si>
  <si>
    <t>Accounts receivable, net</t>
  </si>
  <si>
    <t>Inventories</t>
  </si>
  <si>
    <t>Prepaid expenses and other current assets</t>
  </si>
  <si>
    <t>Long-term investments</t>
  </si>
  <si>
    <t>Equity Investments</t>
  </si>
  <si>
    <t>PP&amp;E, net</t>
  </si>
  <si>
    <t>Operating lease, ROU asset</t>
  </si>
  <si>
    <t>Deferred income taxes, net</t>
  </si>
  <si>
    <t>Other long-term assets</t>
  </si>
  <si>
    <t>Other intangible assets</t>
  </si>
  <si>
    <t>Goodwill</t>
  </si>
  <si>
    <t>Accounts payable</t>
  </si>
  <si>
    <t>Accrued payroll and benefits</t>
  </si>
  <si>
    <t>Accrued Liabilities</t>
  </si>
  <si>
    <t>Current portion of operating lease liability</t>
  </si>
  <si>
    <t>Deferred revenue, current</t>
  </si>
  <si>
    <t>Short-term debt</t>
  </si>
  <si>
    <t>Current portion of long-term debt</t>
  </si>
  <si>
    <t>Long-term debt</t>
  </si>
  <si>
    <t>Operating lease liability</t>
  </si>
  <si>
    <t>Deferred revenue</t>
  </si>
  <si>
    <t>Other long-term liabilities</t>
  </si>
  <si>
    <t>Additional paid-in capital</t>
  </si>
  <si>
    <t>Retained Deficit</t>
  </si>
  <si>
    <t>Accumulated other comprehensive income/(loss)</t>
  </si>
  <si>
    <t>Noncontrolling Interests</t>
  </si>
  <si>
    <t xml:space="preserve">Common Stock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</si>
</sst>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53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5" xfId="0" applyFont="1" applyBorder="1" applyAlignment="1">
      <alignment wrapText="1"/>
    </xf>
    <xf numFmtId="5" fontId="8" fillId="5" borderId="2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horizontal="right" vertical="center" wrapText="1"/>
    </xf>
    <xf numFmtId="0" fontId="23" fillId="9" borderId="6" xfId="0" applyFont="1" applyFill="1" applyBorder="1"/>
    <xf numFmtId="9" fontId="30" fillId="0" borderId="2" xfId="1" applyFont="1" applyBorder="1"/>
    <xf numFmtId="9" fontId="10" fillId="0" borderId="2" xfId="1" applyFont="1" applyBorder="1"/>
    <xf numFmtId="9" fontId="10" fillId="0" borderId="7" xfId="1" applyFont="1" applyBorder="1"/>
    <xf numFmtId="0" fontId="23" fillId="9" borderId="8" xfId="0" applyFont="1" applyFill="1" applyBorder="1"/>
    <xf numFmtId="9" fontId="30" fillId="0" borderId="0" xfId="1" applyFont="1" applyBorder="1"/>
    <xf numFmtId="9" fontId="10" fillId="0" borderId="0" xfId="1" applyFont="1" applyBorder="1"/>
    <xf numFmtId="9" fontId="10" fillId="0" borderId="9" xfId="1" applyFont="1" applyBorder="1"/>
    <xf numFmtId="0" fontId="23" fillId="9" borderId="10" xfId="0" applyFont="1" applyFill="1" applyBorder="1"/>
    <xf numFmtId="9" fontId="30" fillId="0" borderId="5" xfId="1" applyFont="1" applyBorder="1"/>
    <xf numFmtId="9" fontId="10" fillId="0" borderId="5" xfId="1" applyFont="1" applyBorder="1"/>
    <xf numFmtId="9" fontId="10" fillId="0" borderId="11" xfId="1" applyFont="1" applyBorder="1"/>
    <xf numFmtId="9" fontId="10" fillId="0" borderId="2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9" fontId="10" fillId="0" borderId="0" xfId="1" applyFont="1" applyBorder="1" applyAlignment="1">
      <alignment horizontal="right"/>
    </xf>
    <xf numFmtId="0" fontId="4" fillId="0" borderId="0" xfId="0" quotePrefix="1" applyFont="1" applyAlignment="1">
      <alignment wrapText="1"/>
    </xf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right" vertical="center" wrapText="1"/>
    </xf>
    <xf numFmtId="169" fontId="4" fillId="0" borderId="0" xfId="0" applyNumberFormat="1" applyFont="1"/>
    <xf numFmtId="41" fontId="6" fillId="0" borderId="0" xfId="0" applyNumberFormat="1" applyFont="1" applyAlignment="1">
      <alignment vertical="center"/>
    </xf>
    <xf numFmtId="169" fontId="4" fillId="8" borderId="0" xfId="0" applyNumberFormat="1" applyFont="1" applyFill="1"/>
    <xf numFmtId="43" fontId="21" fillId="0" borderId="12" xfId="0" applyNumberFormat="1" applyFont="1" applyBorder="1" applyAlignment="1">
      <alignment wrapText="1"/>
    </xf>
    <xf numFmtId="41" fontId="6" fillId="0" borderId="12" xfId="0" applyNumberFormat="1" applyFont="1" applyBorder="1" applyAlignment="1">
      <alignment horizontal="right" vertical="top" wrapText="1"/>
    </xf>
    <xf numFmtId="41" fontId="6" fillId="0" borderId="13" xfId="0" applyNumberFormat="1" applyFont="1" applyBorder="1" applyAlignment="1">
      <alignment horizontal="right" vertical="top" wrapText="1"/>
    </xf>
    <xf numFmtId="5" fontId="8" fillId="5" borderId="14" xfId="0" applyNumberFormat="1" applyFont="1" applyFill="1" applyBorder="1" applyAlignment="1">
      <alignment horizontal="right" vertical="top" wrapText="1"/>
    </xf>
    <xf numFmtId="37" fontId="4" fillId="0" borderId="13" xfId="0" applyNumberFormat="1" applyFont="1" applyBorder="1" applyAlignment="1">
      <alignment wrapText="1"/>
    </xf>
    <xf numFmtId="43" fontId="21" fillId="0" borderId="15" xfId="0" applyNumberFormat="1" applyFont="1" applyBorder="1" applyAlignment="1">
      <alignment wrapText="1"/>
    </xf>
    <xf numFmtId="41" fontId="8" fillId="0" borderId="16" xfId="0" applyNumberFormat="1" applyFont="1" applyBorder="1" applyAlignment="1">
      <alignment horizontal="right" vertical="top" wrapText="1"/>
    </xf>
    <xf numFmtId="41" fontId="7" fillId="0" borderId="17" xfId="0" applyNumberFormat="1" applyFont="1" applyBorder="1" applyAlignment="1">
      <alignment horizontal="right" vertical="top" wrapText="1"/>
    </xf>
    <xf numFmtId="0" fontId="8" fillId="5" borderId="17" xfId="0" applyFont="1" applyFill="1" applyBorder="1" applyAlignment="1">
      <alignment horizontal="right" vertical="center" wrapText="1"/>
    </xf>
    <xf numFmtId="41" fontId="8" fillId="0" borderId="17" xfId="0" applyNumberFormat="1" applyFont="1" applyBorder="1" applyAlignment="1">
      <alignment horizontal="right" vertical="top" wrapText="1"/>
    </xf>
    <xf numFmtId="0" fontId="4" fillId="0" borderId="17" xfId="0" applyFont="1" applyBorder="1"/>
    <xf numFmtId="0" fontId="21" fillId="0" borderId="18" xfId="0" applyFont="1" applyBorder="1" applyAlignment="1">
      <alignment horizontal="right" vertical="top" wrapText="1"/>
    </xf>
    <xf numFmtId="41" fontId="6" fillId="0" borderId="19" xfId="0" applyNumberFormat="1" applyFont="1" applyBorder="1" applyAlignment="1">
      <alignment horizontal="right" vertical="top" wrapText="1"/>
    </xf>
    <xf numFmtId="41" fontId="6" fillId="0" borderId="20" xfId="0" applyNumberFormat="1" applyFont="1" applyBorder="1" applyAlignment="1">
      <alignment horizontal="right" vertical="top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G171"/>
  <sheetViews>
    <sheetView showGridLines="0" tabSelected="1" zoomScale="130" zoomScaleNormal="130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6" width="9.125" style="5" bestFit="1" customWidth="1"/>
    <col min="7" max="7" width="1.5" style="5" customWidth="1"/>
    <col min="8" max="9" width="7.875" style="5" customWidth="1" outlineLevel="1"/>
    <col min="10" max="11" width="8.625" style="5" customWidth="1" outlineLevel="1"/>
    <col min="12" max="13" width="7.875" style="5" customWidth="1" outlineLevel="1"/>
    <col min="14" max="14" width="8.625" style="5" bestFit="1" customWidth="1"/>
    <col min="15" max="15" width="8.625" style="5" customWidth="1"/>
    <col min="16" max="20" width="8" style="5" customWidth="1"/>
    <col min="21" max="21" width="1.5" style="5" customWidth="1"/>
    <col min="22" max="22" width="8" style="5" customWidth="1" outlineLevel="1"/>
    <col min="23" max="23" width="8.625" style="5" bestFit="1" customWidth="1" outlineLevel="1"/>
    <col min="24" max="24" width="8" style="5" customWidth="1" outlineLevel="1"/>
    <col min="25" max="25" width="8.625" style="5" customWidth="1" outlineLevel="1"/>
    <col min="26" max="26" width="8.25" style="5" customWidth="1" outlineLevel="1"/>
    <col min="27" max="27" width="8.25" style="5" bestFit="1" customWidth="1"/>
    <col min="28" max="28" width="8.25" style="5" customWidth="1" outlineLevel="1"/>
    <col min="29" max="29" width="8.625" style="5" customWidth="1" outlineLevel="1"/>
    <col min="30" max="30" width="8.25" style="5" customWidth="1" outlineLevel="1"/>
    <col min="31" max="31" width="8.625" style="5" bestFit="1" customWidth="1"/>
    <col min="32" max="32" width="1.25" style="5" customWidth="1"/>
    <col min="33" max="33" width="10.5" style="5" bestFit="1" customWidth="1"/>
    <col min="34" max="34" width="1.375" style="5" customWidth="1"/>
    <col min="35" max="16384" width="9" style="5"/>
  </cols>
  <sheetData>
    <row r="2" spans="1:33" ht="12.75" customHeight="1">
      <c r="B2" s="1" t="s">
        <v>117</v>
      </c>
      <c r="C2" s="84"/>
      <c r="D2" s="84"/>
      <c r="E2" s="84"/>
      <c r="F2" s="84"/>
      <c r="G2" s="3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3"/>
      <c r="V2" s="84"/>
      <c r="W2" s="84"/>
      <c r="X2" s="84"/>
      <c r="Y2" s="84"/>
      <c r="Z2" s="84"/>
      <c r="AA2" s="84"/>
      <c r="AB2" s="84"/>
      <c r="AC2" s="84"/>
      <c r="AD2" s="84"/>
      <c r="AE2" s="84"/>
      <c r="AF2" s="3"/>
      <c r="AG2" s="1"/>
    </row>
    <row r="3" spans="1:33" ht="12.75" customHeight="1">
      <c r="B3" s="6" t="s">
        <v>76</v>
      </c>
      <c r="C3" s="7"/>
      <c r="D3" s="7"/>
      <c r="E3" s="7"/>
      <c r="F3" s="7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3"/>
      <c r="AG3" s="1"/>
    </row>
    <row r="4" spans="1:33" ht="12.75" customHeight="1">
      <c r="B4" s="6" t="s">
        <v>94</v>
      </c>
      <c r="C4" s="76"/>
      <c r="D4" s="7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1"/>
    </row>
    <row r="6" spans="1:33" ht="12.75" customHeight="1">
      <c r="A6" s="5" t="s">
        <v>17</v>
      </c>
      <c r="B6" s="1" t="s">
        <v>74</v>
      </c>
      <c r="C6" s="2" t="s">
        <v>0</v>
      </c>
      <c r="D6" s="2" t="s">
        <v>0</v>
      </c>
      <c r="E6" s="2"/>
      <c r="F6" s="2"/>
      <c r="G6" s="3"/>
      <c r="H6" s="2" t="s">
        <v>1</v>
      </c>
      <c r="I6" s="2"/>
      <c r="J6" s="2"/>
      <c r="K6" s="2"/>
      <c r="L6" s="2"/>
      <c r="M6" s="2"/>
      <c r="N6" s="2" t="s">
        <v>1</v>
      </c>
      <c r="O6" s="2"/>
      <c r="P6" s="2"/>
      <c r="Q6" s="2"/>
      <c r="R6" s="2"/>
      <c r="S6" s="2"/>
      <c r="T6" s="2"/>
      <c r="U6" s="3"/>
      <c r="V6" s="2"/>
      <c r="W6" s="2"/>
      <c r="X6" s="2"/>
      <c r="Y6" s="2"/>
      <c r="Z6" s="2"/>
      <c r="AA6" s="2" t="s">
        <v>10</v>
      </c>
      <c r="AB6" s="2"/>
      <c r="AC6" s="2"/>
      <c r="AD6" s="2"/>
      <c r="AE6" s="2"/>
      <c r="AF6" s="35"/>
      <c r="AG6" s="149" t="s">
        <v>23</v>
      </c>
    </row>
    <row r="7" spans="1:33" ht="12.75" customHeight="1">
      <c r="B7" s="6" t="s">
        <v>77</v>
      </c>
      <c r="C7" s="7">
        <v>2022</v>
      </c>
      <c r="D7" s="7">
        <v>2023</v>
      </c>
      <c r="E7" s="7">
        <v>2024</v>
      </c>
      <c r="F7" s="7">
        <v>2025</v>
      </c>
      <c r="G7" s="3"/>
      <c r="H7" s="4" t="s">
        <v>6</v>
      </c>
      <c r="I7" s="4" t="s">
        <v>7</v>
      </c>
      <c r="J7" s="4" t="s">
        <v>8</v>
      </c>
      <c r="K7" s="4" t="s">
        <v>9</v>
      </c>
      <c r="L7" s="4" t="s">
        <v>2</v>
      </c>
      <c r="M7" s="4" t="s">
        <v>3</v>
      </c>
      <c r="N7" s="4" t="s">
        <v>4</v>
      </c>
      <c r="O7" s="4" t="s">
        <v>5</v>
      </c>
      <c r="P7" s="4" t="s">
        <v>25</v>
      </c>
      <c r="Q7" s="4" t="s">
        <v>26</v>
      </c>
      <c r="R7" s="4" t="s">
        <v>107</v>
      </c>
      <c r="S7" s="4" t="s">
        <v>108</v>
      </c>
      <c r="T7" s="4" t="s">
        <v>109</v>
      </c>
      <c r="U7" s="4"/>
      <c r="V7" s="4" t="str">
        <f t="shared" ref="V7:AE8" si="0">K7</f>
        <v>4Q23</v>
      </c>
      <c r="W7" s="4" t="str">
        <f t="shared" si="0"/>
        <v>1Q24</v>
      </c>
      <c r="X7" s="4" t="str">
        <f t="shared" si="0"/>
        <v>2Q24</v>
      </c>
      <c r="Y7" s="4" t="str">
        <f t="shared" si="0"/>
        <v>3Q24</v>
      </c>
      <c r="Z7" s="4" t="str">
        <f t="shared" si="0"/>
        <v>4Q24</v>
      </c>
      <c r="AA7" s="4" t="str">
        <f t="shared" si="0"/>
        <v>1Q25</v>
      </c>
      <c r="AB7" s="4" t="str">
        <f t="shared" si="0"/>
        <v>2Q25</v>
      </c>
      <c r="AC7" s="4" t="str">
        <f t="shared" si="0"/>
        <v>3Q25</v>
      </c>
      <c r="AD7" s="4" t="str">
        <f t="shared" si="0"/>
        <v>4Q25</v>
      </c>
      <c r="AE7" s="4" t="str">
        <f t="shared" si="0"/>
        <v>1Q26</v>
      </c>
      <c r="AF7" s="35"/>
      <c r="AG7" s="149"/>
    </row>
    <row r="8" spans="1:33" ht="12.75" customHeight="1">
      <c r="B8" s="6" t="s">
        <v>78</v>
      </c>
      <c r="C8" s="3">
        <v>44836</v>
      </c>
      <c r="D8" s="3">
        <v>45200</v>
      </c>
      <c r="E8" s="3">
        <v>45564</v>
      </c>
      <c r="F8" s="3"/>
      <c r="G8" s="3"/>
      <c r="H8" s="3" t="s">
        <v>110</v>
      </c>
      <c r="I8" s="3" t="s">
        <v>110</v>
      </c>
      <c r="J8" s="3" t="s">
        <v>110</v>
      </c>
      <c r="K8" s="3">
        <f>D8</f>
        <v>45200</v>
      </c>
      <c r="L8" s="3" t="s">
        <v>110</v>
      </c>
      <c r="M8" s="3" t="s">
        <v>110</v>
      </c>
      <c r="N8" s="3" t="s">
        <v>110</v>
      </c>
      <c r="O8" s="3">
        <f>E8</f>
        <v>45564</v>
      </c>
      <c r="P8" s="3" t="s">
        <v>110</v>
      </c>
      <c r="Q8" s="3" t="s">
        <v>110</v>
      </c>
      <c r="R8" s="3" t="s">
        <v>110</v>
      </c>
      <c r="S8" s="3">
        <f>F8</f>
        <v>0</v>
      </c>
      <c r="T8" s="3" t="s">
        <v>110</v>
      </c>
      <c r="U8" s="3"/>
      <c r="V8" s="3">
        <f t="shared" si="0"/>
        <v>45200</v>
      </c>
      <c r="W8" s="3" t="str">
        <f t="shared" si="0"/>
        <v>XXX</v>
      </c>
      <c r="X8" s="3" t="str">
        <f t="shared" si="0"/>
        <v>XXX</v>
      </c>
      <c r="Y8" s="3" t="str">
        <f t="shared" si="0"/>
        <v>XXX</v>
      </c>
      <c r="Z8" s="3">
        <f t="shared" si="0"/>
        <v>45564</v>
      </c>
      <c r="AA8" s="3" t="str">
        <f t="shared" si="0"/>
        <v>XXX</v>
      </c>
      <c r="AB8" s="3" t="str">
        <f t="shared" si="0"/>
        <v>XXX</v>
      </c>
      <c r="AC8" s="3" t="str">
        <f t="shared" si="0"/>
        <v>XXX</v>
      </c>
      <c r="AD8" s="3">
        <f t="shared" si="0"/>
        <v>0</v>
      </c>
      <c r="AE8" s="3" t="str">
        <f t="shared" si="0"/>
        <v>XXX</v>
      </c>
      <c r="AF8" s="35"/>
      <c r="AG8" s="149"/>
    </row>
    <row r="9" spans="1:33" ht="5.0999999999999996" customHeight="1">
      <c r="AG9" s="83"/>
    </row>
    <row r="10" spans="1:33" ht="12.75" customHeight="1">
      <c r="B10" s="9" t="s">
        <v>58</v>
      </c>
      <c r="C10" s="79">
        <v>32250.3</v>
      </c>
      <c r="D10" s="79">
        <v>35975.599999999999</v>
      </c>
      <c r="E10" s="79">
        <v>36176.199999999997</v>
      </c>
      <c r="F10" s="79"/>
      <c r="G10" s="11"/>
      <c r="H10" s="79"/>
      <c r="I10" s="79"/>
      <c r="J10" s="79"/>
      <c r="K10" s="30">
        <f>SUM(D10-SUM(H10:J10))</f>
        <v>35975.599999999999</v>
      </c>
      <c r="L10" s="79"/>
      <c r="M10" s="79"/>
      <c r="N10" s="79"/>
      <c r="O10" s="30">
        <f>SUM(E10-SUM(L10:N10))</f>
        <v>36176.199999999997</v>
      </c>
      <c r="P10" s="79"/>
      <c r="Q10" s="79"/>
      <c r="R10" s="79"/>
      <c r="S10" s="30">
        <f>SUM(F10-SUM(P10:R10))</f>
        <v>0</v>
      </c>
      <c r="T10" s="79"/>
      <c r="U10" s="30"/>
      <c r="V10" s="30">
        <f t="shared" ref="V10:AD10" si="1">SUM(H10:K10)</f>
        <v>35975.599999999999</v>
      </c>
      <c r="W10" s="30">
        <f t="shared" si="1"/>
        <v>35975.599999999999</v>
      </c>
      <c r="X10" s="30">
        <f t="shared" si="1"/>
        <v>35975.599999999999</v>
      </c>
      <c r="Y10" s="30">
        <f t="shared" si="1"/>
        <v>35975.599999999999</v>
      </c>
      <c r="Z10" s="30">
        <f t="shared" si="1"/>
        <v>36176.199999999997</v>
      </c>
      <c r="AA10" s="30">
        <f t="shared" si="1"/>
        <v>36176.199999999997</v>
      </c>
      <c r="AB10" s="30">
        <f t="shared" si="1"/>
        <v>36176.199999999997</v>
      </c>
      <c r="AC10" s="30">
        <f t="shared" si="1"/>
        <v>36176.199999999997</v>
      </c>
      <c r="AD10" s="30">
        <f t="shared" si="1"/>
        <v>0</v>
      </c>
      <c r="AE10" s="30">
        <f>SUM(Q10:T10)</f>
        <v>0</v>
      </c>
      <c r="AF10" s="37"/>
      <c r="AG10" s="66">
        <f>SUM(AE10/AA10)-1</f>
        <v>-1</v>
      </c>
    </row>
    <row r="11" spans="1:33" ht="12.75" customHeight="1">
      <c r="B11" s="12" t="s">
        <v>12</v>
      </c>
      <c r="C11" s="13">
        <f t="shared" ref="C11" si="2">+SUM(C10:C10)</f>
        <v>32250.3</v>
      </c>
      <c r="D11" s="13">
        <f t="shared" ref="D11:E11" si="3">+SUM(D10:D10)</f>
        <v>35975.599999999999</v>
      </c>
      <c r="E11" s="13">
        <f t="shared" si="3"/>
        <v>36176.199999999997</v>
      </c>
      <c r="F11" s="13">
        <f t="shared" ref="F11" si="4">+SUM(F10:F10)</f>
        <v>0</v>
      </c>
      <c r="G11" s="11"/>
      <c r="H11" s="13">
        <f t="shared" ref="H11:Q11" si="5">+SUM(H10:H10)</f>
        <v>0</v>
      </c>
      <c r="I11" s="13">
        <f t="shared" si="5"/>
        <v>0</v>
      </c>
      <c r="J11" s="13">
        <f t="shared" si="5"/>
        <v>0</v>
      </c>
      <c r="K11" s="13">
        <f t="shared" si="5"/>
        <v>35975.599999999999</v>
      </c>
      <c r="L11" s="13">
        <f t="shared" si="5"/>
        <v>0</v>
      </c>
      <c r="M11" s="13">
        <f t="shared" si="5"/>
        <v>0</v>
      </c>
      <c r="N11" s="13">
        <f t="shared" si="5"/>
        <v>0</v>
      </c>
      <c r="O11" s="13">
        <f t="shared" si="5"/>
        <v>36176.199999999997</v>
      </c>
      <c r="P11" s="13">
        <f t="shared" si="5"/>
        <v>0</v>
      </c>
      <c r="Q11" s="13">
        <f t="shared" si="5"/>
        <v>0</v>
      </c>
      <c r="R11" s="13">
        <f t="shared" ref="R11:S11" si="6">+SUM(R10:R10)</f>
        <v>0</v>
      </c>
      <c r="S11" s="13">
        <f t="shared" si="6"/>
        <v>0</v>
      </c>
      <c r="T11" s="13">
        <f t="shared" ref="T11" si="7">+SUM(T10:T10)</f>
        <v>0</v>
      </c>
      <c r="V11" s="13">
        <f t="shared" ref="V11:AE11" si="8">+SUM(V10:V10)</f>
        <v>35975.599999999999</v>
      </c>
      <c r="W11" s="13">
        <f t="shared" si="8"/>
        <v>35975.599999999999</v>
      </c>
      <c r="X11" s="13">
        <f t="shared" si="8"/>
        <v>35975.599999999999</v>
      </c>
      <c r="Y11" s="13">
        <f t="shared" si="8"/>
        <v>35975.599999999999</v>
      </c>
      <c r="Z11" s="13">
        <f t="shared" si="8"/>
        <v>36176.199999999997</v>
      </c>
      <c r="AA11" s="13">
        <f t="shared" si="8"/>
        <v>36176.199999999997</v>
      </c>
      <c r="AB11" s="13">
        <f t="shared" si="8"/>
        <v>36176.199999999997</v>
      </c>
      <c r="AC11" s="13">
        <f t="shared" si="8"/>
        <v>36176.199999999997</v>
      </c>
      <c r="AD11" s="13">
        <f t="shared" si="8"/>
        <v>0</v>
      </c>
      <c r="AE11" s="13">
        <f t="shared" si="8"/>
        <v>0</v>
      </c>
      <c r="AF11" s="37"/>
      <c r="AG11" s="67">
        <f t="shared" ref="AG11:AG31" si="9">SUM(AE11/AA11)-1</f>
        <v>-1</v>
      </c>
    </row>
    <row r="12" spans="1:33" s="18" customFormat="1" ht="5.0999999999999996" customHeight="1">
      <c r="B12" s="16"/>
      <c r="C12" s="17"/>
      <c r="D12" s="17"/>
      <c r="E12" s="17"/>
      <c r="F12" s="17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AG12" s="66"/>
    </row>
    <row r="13" spans="1:33" ht="5.0999999999999996" customHeight="1"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39"/>
      <c r="AG13" s="66"/>
    </row>
    <row r="14" spans="1:33" ht="12.75" customHeight="1">
      <c r="B14" s="9" t="s">
        <v>121</v>
      </c>
      <c r="C14" s="74">
        <v>-10317.4</v>
      </c>
      <c r="D14" s="74">
        <v>-11409.1</v>
      </c>
      <c r="E14" s="74">
        <v>-11180.6</v>
      </c>
      <c r="F14" s="74"/>
      <c r="G14" s="30"/>
      <c r="H14" s="79"/>
      <c r="I14" s="79"/>
      <c r="J14" s="79"/>
      <c r="K14" s="30">
        <f>SUM(D14-SUM(H14:J14))</f>
        <v>-11409.1</v>
      </c>
      <c r="L14" s="74"/>
      <c r="M14" s="74"/>
      <c r="N14" s="74"/>
      <c r="O14" s="30">
        <f>SUM(E14-SUM(L14:N14))</f>
        <v>-11180.6</v>
      </c>
      <c r="P14" s="74"/>
      <c r="Q14" s="74"/>
      <c r="R14" s="74"/>
      <c r="S14" s="30">
        <f t="shared" ref="S14:S19" si="10">SUM(F14-SUM(P14:R14))</f>
        <v>0</v>
      </c>
      <c r="T14" s="74"/>
      <c r="V14" s="30">
        <f t="shared" ref="V14:V19" si="11">SUM(H14:K14)</f>
        <v>-11409.1</v>
      </c>
      <c r="W14" s="30">
        <f t="shared" ref="W14:W19" si="12">SUM(I14:L14)</f>
        <v>-11409.1</v>
      </c>
      <c r="X14" s="30">
        <f t="shared" ref="X14:X19" si="13">SUM(J14:M14)</f>
        <v>-11409.1</v>
      </c>
      <c r="Y14" s="30">
        <f t="shared" ref="Y14:Y19" si="14">SUM(K14:N14)</f>
        <v>-11409.1</v>
      </c>
      <c r="Z14" s="30">
        <f t="shared" ref="Z14:Z19" si="15">SUM(L14:O14)</f>
        <v>-11180.6</v>
      </c>
      <c r="AA14" s="30">
        <f t="shared" ref="AA14:AA19" si="16">SUM(M14:P14)</f>
        <v>-11180.6</v>
      </c>
      <c r="AB14" s="30">
        <f t="shared" ref="AB14:AB19" si="17">SUM(N14:Q14)</f>
        <v>-11180.6</v>
      </c>
      <c r="AC14" s="30">
        <f t="shared" ref="AC14:AC19" si="18">SUM(O14:R14)</f>
        <v>-11180.6</v>
      </c>
      <c r="AD14" s="30">
        <f t="shared" ref="AD14:AD19" si="19">SUM(P14:S14)</f>
        <v>0</v>
      </c>
      <c r="AE14" s="30">
        <f t="shared" ref="AE14:AE19" si="20">SUM(Q14:T14)</f>
        <v>0</v>
      </c>
      <c r="AF14" s="11"/>
      <c r="AG14" s="66">
        <f t="shared" si="9"/>
        <v>-1</v>
      </c>
    </row>
    <row r="15" spans="1:33" ht="12.75" customHeight="1">
      <c r="B15" s="9" t="s">
        <v>122</v>
      </c>
      <c r="C15" s="74">
        <v>-13561.8</v>
      </c>
      <c r="D15" s="74">
        <v>-14720.3</v>
      </c>
      <c r="E15" s="74">
        <v>-15286.5</v>
      </c>
      <c r="F15" s="74"/>
      <c r="G15" s="30"/>
      <c r="H15" s="79"/>
      <c r="I15" s="79"/>
      <c r="J15" s="79"/>
      <c r="K15" s="30">
        <f t="shared" ref="K15:K18" si="21">SUM(D15-SUM(H15:J15))</f>
        <v>-14720.3</v>
      </c>
      <c r="L15" s="74"/>
      <c r="M15" s="74"/>
      <c r="N15" s="74"/>
      <c r="O15" s="30">
        <f t="shared" ref="O15:O18" si="22">SUM(E15-SUM(L15:N15))</f>
        <v>-15286.5</v>
      </c>
      <c r="P15" s="74"/>
      <c r="Q15" s="74"/>
      <c r="R15" s="74"/>
      <c r="S15" s="30">
        <f t="shared" ref="S15:S18" si="23">SUM(F15-SUM(P15:R15))</f>
        <v>0</v>
      </c>
      <c r="T15" s="74"/>
      <c r="V15" s="30">
        <f t="shared" si="11"/>
        <v>-14720.3</v>
      </c>
      <c r="W15" s="30">
        <f t="shared" si="12"/>
        <v>-14720.3</v>
      </c>
      <c r="X15" s="30">
        <f t="shared" si="13"/>
        <v>-14720.3</v>
      </c>
      <c r="Y15" s="30">
        <f t="shared" si="14"/>
        <v>-14720.3</v>
      </c>
      <c r="Z15" s="30">
        <f t="shared" si="15"/>
        <v>-15286.5</v>
      </c>
      <c r="AA15" s="30">
        <f t="shared" si="16"/>
        <v>-15286.5</v>
      </c>
      <c r="AB15" s="30">
        <f t="shared" si="17"/>
        <v>-15286.5</v>
      </c>
      <c r="AC15" s="30">
        <f t="shared" si="18"/>
        <v>-15286.5</v>
      </c>
      <c r="AD15" s="30">
        <f t="shared" si="19"/>
        <v>0</v>
      </c>
      <c r="AE15" s="30">
        <f t="shared" si="20"/>
        <v>0</v>
      </c>
      <c r="AF15" s="11"/>
      <c r="AG15" s="66">
        <f t="shared" ref="AG15:AG18" si="24">SUM(AE15/AA15)-1</f>
        <v>-1</v>
      </c>
    </row>
    <row r="16" spans="1:33" ht="12.75" customHeight="1">
      <c r="B16" s="9" t="s">
        <v>123</v>
      </c>
      <c r="C16" s="74">
        <v>-461.5</v>
      </c>
      <c r="D16" s="74">
        <v>-539.4</v>
      </c>
      <c r="E16" s="74">
        <v>-565.6</v>
      </c>
      <c r="F16" s="74"/>
      <c r="G16" s="30"/>
      <c r="H16" s="79"/>
      <c r="I16" s="79"/>
      <c r="J16" s="79"/>
      <c r="K16" s="30">
        <f t="shared" ref="K16:K17" si="25">SUM(D16-SUM(H16:J16))</f>
        <v>-539.4</v>
      </c>
      <c r="L16" s="74"/>
      <c r="M16" s="74"/>
      <c r="N16" s="74"/>
      <c r="O16" s="30">
        <f t="shared" ref="O16:O17" si="26">SUM(E16-SUM(L16:N16))</f>
        <v>-565.6</v>
      </c>
      <c r="P16" s="74"/>
      <c r="Q16" s="74"/>
      <c r="R16" s="74"/>
      <c r="S16" s="30">
        <f t="shared" ref="S16:S17" si="27">SUM(F16-SUM(P16:R16))</f>
        <v>0</v>
      </c>
      <c r="T16" s="74"/>
      <c r="V16" s="30">
        <f t="shared" ref="V16:V17" si="28">SUM(H16:K16)</f>
        <v>-539.4</v>
      </c>
      <c r="W16" s="30">
        <f t="shared" ref="W16:W17" si="29">SUM(I16:L16)</f>
        <v>-539.4</v>
      </c>
      <c r="X16" s="30">
        <f t="shared" ref="X16:X17" si="30">SUM(J16:M16)</f>
        <v>-539.4</v>
      </c>
      <c r="Y16" s="30">
        <f t="shared" ref="Y16:Y17" si="31">SUM(K16:N16)</f>
        <v>-539.4</v>
      </c>
      <c r="Z16" s="30">
        <f t="shared" ref="Z16:Z17" si="32">SUM(L16:O16)</f>
        <v>-565.6</v>
      </c>
      <c r="AA16" s="30">
        <f t="shared" ref="AA16:AA17" si="33">SUM(M16:P16)</f>
        <v>-565.6</v>
      </c>
      <c r="AB16" s="30">
        <f t="shared" ref="AB16:AB17" si="34">SUM(N16:Q16)</f>
        <v>-565.6</v>
      </c>
      <c r="AC16" s="30">
        <f t="shared" ref="AC16:AC17" si="35">SUM(O16:R16)</f>
        <v>-565.6</v>
      </c>
      <c r="AD16" s="30">
        <f t="shared" ref="AD16:AD17" si="36">SUM(P16:S16)</f>
        <v>0</v>
      </c>
      <c r="AE16" s="30">
        <f t="shared" ref="AE16:AE17" si="37">SUM(Q16:T16)</f>
        <v>0</v>
      </c>
      <c r="AF16" s="11"/>
      <c r="AG16" s="66">
        <f t="shared" ref="AG16:AG17" si="38">SUM(AE16/AA16)-1</f>
        <v>-1</v>
      </c>
    </row>
    <row r="17" spans="2:33" ht="12.75" customHeight="1">
      <c r="B17" s="9" t="s">
        <v>124</v>
      </c>
      <c r="C17" s="74">
        <v>-1447.9</v>
      </c>
      <c r="D17" s="74">
        <v>-1362.6</v>
      </c>
      <c r="E17" s="74">
        <v>-1512.6</v>
      </c>
      <c r="F17" s="74"/>
      <c r="G17" s="30"/>
      <c r="H17" s="79"/>
      <c r="I17" s="79"/>
      <c r="J17" s="79"/>
      <c r="K17" s="30">
        <f t="shared" si="25"/>
        <v>-1362.6</v>
      </c>
      <c r="L17" s="74"/>
      <c r="M17" s="74"/>
      <c r="N17" s="74"/>
      <c r="O17" s="30">
        <f t="shared" si="26"/>
        <v>-1512.6</v>
      </c>
      <c r="P17" s="74"/>
      <c r="Q17" s="74"/>
      <c r="R17" s="74"/>
      <c r="S17" s="30">
        <f t="shared" si="27"/>
        <v>0</v>
      </c>
      <c r="T17" s="74"/>
      <c r="V17" s="30">
        <f t="shared" si="28"/>
        <v>-1362.6</v>
      </c>
      <c r="W17" s="30">
        <f t="shared" si="29"/>
        <v>-1362.6</v>
      </c>
      <c r="X17" s="30">
        <f t="shared" si="30"/>
        <v>-1362.6</v>
      </c>
      <c r="Y17" s="30">
        <f t="shared" si="31"/>
        <v>-1362.6</v>
      </c>
      <c r="Z17" s="30">
        <f t="shared" si="32"/>
        <v>-1512.6</v>
      </c>
      <c r="AA17" s="30">
        <f t="shared" si="33"/>
        <v>-1512.6</v>
      </c>
      <c r="AB17" s="30">
        <f t="shared" si="34"/>
        <v>-1512.6</v>
      </c>
      <c r="AC17" s="30">
        <f t="shared" si="35"/>
        <v>-1512.6</v>
      </c>
      <c r="AD17" s="30">
        <f t="shared" si="36"/>
        <v>0</v>
      </c>
      <c r="AE17" s="30">
        <f t="shared" si="37"/>
        <v>0</v>
      </c>
      <c r="AF17" s="11"/>
      <c r="AG17" s="66">
        <f t="shared" si="38"/>
        <v>-1</v>
      </c>
    </row>
    <row r="18" spans="2:33" ht="12.75" customHeight="1">
      <c r="B18" s="9" t="s">
        <v>125</v>
      </c>
      <c r="C18" s="74">
        <v>-2032</v>
      </c>
      <c r="D18" s="74">
        <v>-2441.3000000000002</v>
      </c>
      <c r="E18" s="74">
        <v>-2523.3000000000002</v>
      </c>
      <c r="F18" s="74"/>
      <c r="G18" s="30"/>
      <c r="H18" s="79"/>
      <c r="I18" s="79"/>
      <c r="J18" s="79"/>
      <c r="K18" s="30">
        <f t="shared" si="21"/>
        <v>-2441.3000000000002</v>
      </c>
      <c r="L18" s="74"/>
      <c r="M18" s="74"/>
      <c r="N18" s="74"/>
      <c r="O18" s="30">
        <f t="shared" si="22"/>
        <v>-2523.3000000000002</v>
      </c>
      <c r="P18" s="74"/>
      <c r="Q18" s="74"/>
      <c r="R18" s="74"/>
      <c r="S18" s="30">
        <f t="shared" si="23"/>
        <v>0</v>
      </c>
      <c r="T18" s="74"/>
      <c r="V18" s="30">
        <f t="shared" si="11"/>
        <v>-2441.3000000000002</v>
      </c>
      <c r="W18" s="30">
        <f t="shared" si="12"/>
        <v>-2441.3000000000002</v>
      </c>
      <c r="X18" s="30">
        <f t="shared" si="13"/>
        <v>-2441.3000000000002</v>
      </c>
      <c r="Y18" s="30">
        <f t="shared" si="14"/>
        <v>-2441.3000000000002</v>
      </c>
      <c r="Z18" s="30">
        <f t="shared" si="15"/>
        <v>-2523.3000000000002</v>
      </c>
      <c r="AA18" s="30">
        <f t="shared" si="16"/>
        <v>-2523.3000000000002</v>
      </c>
      <c r="AB18" s="30">
        <f t="shared" si="17"/>
        <v>-2523.3000000000002</v>
      </c>
      <c r="AC18" s="30">
        <f t="shared" si="18"/>
        <v>-2523.3000000000002</v>
      </c>
      <c r="AD18" s="30">
        <f t="shared" si="19"/>
        <v>0</v>
      </c>
      <c r="AE18" s="30">
        <f t="shared" si="20"/>
        <v>0</v>
      </c>
      <c r="AF18" s="11"/>
      <c r="AG18" s="66">
        <f t="shared" si="24"/>
        <v>-1</v>
      </c>
    </row>
    <row r="19" spans="2:33" ht="12.75" customHeight="1">
      <c r="B19" s="9" t="s">
        <v>126</v>
      </c>
      <c r="C19" s="74">
        <v>-46</v>
      </c>
      <c r="D19" s="74">
        <v>-21.8</v>
      </c>
      <c r="E19" s="74">
        <v>0</v>
      </c>
      <c r="F19" s="74"/>
      <c r="G19" s="30"/>
      <c r="H19" s="79"/>
      <c r="I19" s="79"/>
      <c r="J19" s="79"/>
      <c r="K19" s="30">
        <f>SUM(D19-SUM(H19:J19))</f>
        <v>-21.8</v>
      </c>
      <c r="L19" s="74"/>
      <c r="M19" s="74"/>
      <c r="N19" s="74"/>
      <c r="O19" s="30">
        <f>SUM(E19-SUM(L19:N19))</f>
        <v>0</v>
      </c>
      <c r="P19" s="74"/>
      <c r="Q19" s="74"/>
      <c r="R19" s="74"/>
      <c r="S19" s="30">
        <f t="shared" si="10"/>
        <v>0</v>
      </c>
      <c r="T19" s="74"/>
      <c r="V19" s="30">
        <f t="shared" si="11"/>
        <v>-21.8</v>
      </c>
      <c r="W19" s="30">
        <f t="shared" si="12"/>
        <v>-21.8</v>
      </c>
      <c r="X19" s="30">
        <f t="shared" si="13"/>
        <v>-21.8</v>
      </c>
      <c r="Y19" s="30">
        <f t="shared" si="14"/>
        <v>-21.8</v>
      </c>
      <c r="Z19" s="30">
        <f t="shared" si="15"/>
        <v>0</v>
      </c>
      <c r="AA19" s="30">
        <f t="shared" si="16"/>
        <v>0</v>
      </c>
      <c r="AB19" s="30">
        <f t="shared" si="17"/>
        <v>0</v>
      </c>
      <c r="AC19" s="30">
        <f t="shared" si="18"/>
        <v>0</v>
      </c>
      <c r="AD19" s="30">
        <f t="shared" si="19"/>
        <v>0</v>
      </c>
      <c r="AE19" s="30">
        <f t="shared" si="20"/>
        <v>0</v>
      </c>
      <c r="AF19" s="11"/>
      <c r="AG19" s="66" t="e">
        <f t="shared" si="9"/>
        <v>#DIV/0!</v>
      </c>
    </row>
    <row r="20" spans="2:33" ht="12.75" customHeight="1">
      <c r="B20" s="9" t="s">
        <v>127</v>
      </c>
      <c r="C20" s="74">
        <v>234.1</v>
      </c>
      <c r="D20" s="74">
        <v>298.39999999999998</v>
      </c>
      <c r="E20" s="74">
        <v>301.2</v>
      </c>
      <c r="F20" s="74"/>
      <c r="G20" s="30"/>
      <c r="H20" s="79"/>
      <c r="I20" s="79"/>
      <c r="J20" s="79"/>
      <c r="K20" s="30">
        <f t="shared" ref="K20:K21" si="39">SUM(D20-SUM(H20:J20))</f>
        <v>298.39999999999998</v>
      </c>
      <c r="L20" s="74"/>
      <c r="M20" s="74"/>
      <c r="N20" s="74"/>
      <c r="O20" s="30">
        <f t="shared" ref="O20:O21" si="40">SUM(E20-SUM(L20:N20))</f>
        <v>301.2</v>
      </c>
      <c r="P20" s="74"/>
      <c r="Q20" s="74"/>
      <c r="R20" s="74"/>
      <c r="S20" s="30">
        <f t="shared" ref="S20:S21" si="41">SUM(F20-SUM(P20:R20))</f>
        <v>0</v>
      </c>
      <c r="T20" s="74"/>
      <c r="V20" s="30">
        <f t="shared" ref="V20:V21" si="42">SUM(H20:K20)</f>
        <v>298.39999999999998</v>
      </c>
      <c r="W20" s="30">
        <f t="shared" ref="W20:W21" si="43">SUM(I20:L20)</f>
        <v>298.39999999999998</v>
      </c>
      <c r="X20" s="30">
        <f t="shared" ref="X20:X21" si="44">SUM(J20:M20)</f>
        <v>298.39999999999998</v>
      </c>
      <c r="Y20" s="30">
        <f t="shared" ref="Y20:Y21" si="45">SUM(K20:N20)</f>
        <v>298.39999999999998</v>
      </c>
      <c r="Z20" s="30">
        <f t="shared" ref="Z20:Z21" si="46">SUM(L20:O20)</f>
        <v>301.2</v>
      </c>
      <c r="AA20" s="30">
        <f t="shared" ref="AA20:AA21" si="47">SUM(M20:P20)</f>
        <v>301.2</v>
      </c>
      <c r="AB20" s="30">
        <f t="shared" ref="AB20:AB21" si="48">SUM(N20:Q20)</f>
        <v>301.2</v>
      </c>
      <c r="AC20" s="30">
        <f t="shared" ref="AC20:AC21" si="49">SUM(O20:R20)</f>
        <v>301.2</v>
      </c>
      <c r="AD20" s="30">
        <f t="shared" ref="AD20:AD21" si="50">SUM(P20:S20)</f>
        <v>0</v>
      </c>
      <c r="AE20" s="30">
        <f t="shared" ref="AE20:AE21" si="51">SUM(Q20:T20)</f>
        <v>0</v>
      </c>
      <c r="AF20" s="11"/>
      <c r="AG20" s="66"/>
    </row>
    <row r="21" spans="2:33" ht="12.75" customHeight="1">
      <c r="B21" s="9" t="s">
        <v>128</v>
      </c>
      <c r="C21" s="74">
        <v>0</v>
      </c>
      <c r="D21" s="74">
        <v>91.3</v>
      </c>
      <c r="E21" s="74">
        <v>0</v>
      </c>
      <c r="F21" s="74"/>
      <c r="G21" s="30"/>
      <c r="H21" s="79"/>
      <c r="I21" s="79"/>
      <c r="J21" s="79"/>
      <c r="K21" s="30">
        <f t="shared" si="39"/>
        <v>91.3</v>
      </c>
      <c r="L21" s="74"/>
      <c r="M21" s="74"/>
      <c r="N21" s="74"/>
      <c r="O21" s="30">
        <f t="shared" si="40"/>
        <v>0</v>
      </c>
      <c r="P21" s="74"/>
      <c r="Q21" s="74"/>
      <c r="R21" s="74"/>
      <c r="S21" s="30">
        <f t="shared" si="41"/>
        <v>0</v>
      </c>
      <c r="T21" s="74"/>
      <c r="V21" s="30">
        <f t="shared" si="42"/>
        <v>91.3</v>
      </c>
      <c r="W21" s="30">
        <f t="shared" si="43"/>
        <v>91.3</v>
      </c>
      <c r="X21" s="30">
        <f t="shared" si="44"/>
        <v>91.3</v>
      </c>
      <c r="Y21" s="30">
        <f t="shared" si="45"/>
        <v>91.3</v>
      </c>
      <c r="Z21" s="30">
        <f t="shared" si="46"/>
        <v>0</v>
      </c>
      <c r="AA21" s="30">
        <f t="shared" si="47"/>
        <v>0</v>
      </c>
      <c r="AB21" s="30">
        <f t="shared" si="48"/>
        <v>0</v>
      </c>
      <c r="AC21" s="30">
        <f t="shared" si="49"/>
        <v>0</v>
      </c>
      <c r="AD21" s="30">
        <f t="shared" si="50"/>
        <v>0</v>
      </c>
      <c r="AE21" s="30">
        <f t="shared" si="51"/>
        <v>0</v>
      </c>
      <c r="AF21" s="11"/>
      <c r="AG21" s="66"/>
    </row>
    <row r="22" spans="2:33" ht="12.75" customHeight="1">
      <c r="B22" s="23" t="s">
        <v>79</v>
      </c>
      <c r="C22" s="24">
        <f>+SUM(C11+SUM(C14:C21))</f>
        <v>4617.7999999999993</v>
      </c>
      <c r="D22" s="24">
        <f t="shared" ref="D22:F22" si="52">+SUM(D11+SUM(D14:D21))</f>
        <v>5870.7999999999993</v>
      </c>
      <c r="E22" s="24">
        <f t="shared" si="52"/>
        <v>5408.8000000000029</v>
      </c>
      <c r="F22" s="24">
        <f t="shared" si="52"/>
        <v>0</v>
      </c>
      <c r="G22" s="30"/>
      <c r="H22" s="24">
        <f t="shared" ref="H22" si="53">+SUM(H11+SUM(H14:H21))</f>
        <v>0</v>
      </c>
      <c r="I22" s="24">
        <f t="shared" ref="I22" si="54">+SUM(I11+SUM(I14:I21))</f>
        <v>0</v>
      </c>
      <c r="J22" s="24">
        <f t="shared" ref="J22" si="55">+SUM(J11+SUM(J14:J21))</f>
        <v>0</v>
      </c>
      <c r="K22" s="24">
        <f t="shared" ref="K22" si="56">+SUM(K11+SUM(K14:K21))</f>
        <v>5870.7999999999993</v>
      </c>
      <c r="L22" s="24">
        <f t="shared" ref="L22" si="57">+SUM(L11+SUM(L14:L21))</f>
        <v>0</v>
      </c>
      <c r="M22" s="24">
        <f t="shared" ref="M22" si="58">+SUM(M11+SUM(M14:M21))</f>
        <v>0</v>
      </c>
      <c r="N22" s="24">
        <f t="shared" ref="N22" si="59">+SUM(N11+SUM(N14:N21))</f>
        <v>0</v>
      </c>
      <c r="O22" s="24">
        <f t="shared" ref="O22" si="60">+SUM(O11+SUM(O14:O21))</f>
        <v>5408.8000000000029</v>
      </c>
      <c r="P22" s="24">
        <f t="shared" ref="P22" si="61">+SUM(P11+SUM(P14:P21))</f>
        <v>0</v>
      </c>
      <c r="Q22" s="24">
        <f t="shared" ref="Q22" si="62">+SUM(Q11+SUM(Q14:Q21))</f>
        <v>0</v>
      </c>
      <c r="R22" s="24">
        <f t="shared" ref="R22" si="63">+SUM(R11+SUM(R14:R21))</f>
        <v>0</v>
      </c>
      <c r="S22" s="24">
        <f t="shared" ref="S22" si="64">+SUM(S11+SUM(S14:S21))</f>
        <v>0</v>
      </c>
      <c r="T22" s="24">
        <f t="shared" ref="T22" si="65">+SUM(T11+SUM(T14:T21))</f>
        <v>0</v>
      </c>
      <c r="V22" s="24">
        <f t="shared" ref="V22" si="66">+SUM(V11+SUM(V14:V21))</f>
        <v>5870.7999999999993</v>
      </c>
      <c r="W22" s="24">
        <f t="shared" ref="W22" si="67">+SUM(W11+SUM(W14:W21))</f>
        <v>5870.7999999999993</v>
      </c>
      <c r="X22" s="24">
        <f t="shared" ref="X22" si="68">+SUM(X11+SUM(X14:X21))</f>
        <v>5870.7999999999993</v>
      </c>
      <c r="Y22" s="24">
        <f t="shared" ref="Y22" si="69">+SUM(Y11+SUM(Y14:Y21))</f>
        <v>5870.7999999999993</v>
      </c>
      <c r="Z22" s="24">
        <f t="shared" ref="Z22" si="70">+SUM(Z11+SUM(Z14:Z21))</f>
        <v>5408.8000000000029</v>
      </c>
      <c r="AA22" s="24">
        <f t="shared" ref="AA22" si="71">+SUM(AA11+SUM(AA14:AA21))</f>
        <v>5408.8000000000029</v>
      </c>
      <c r="AB22" s="24">
        <f t="shared" ref="AB22" si="72">+SUM(AB11+SUM(AB14:AB21))</f>
        <v>5408.8000000000029</v>
      </c>
      <c r="AC22" s="24">
        <f t="shared" ref="AC22" si="73">+SUM(AC11+SUM(AC14:AC21))</f>
        <v>5408.8000000000029</v>
      </c>
      <c r="AD22" s="24">
        <f t="shared" ref="AD22" si="74">+SUM(AD11+SUM(AD14:AD21))</f>
        <v>0</v>
      </c>
      <c r="AE22" s="24">
        <f t="shared" ref="AE22" si="75">+SUM(AE11+SUM(AE14:AE21))</f>
        <v>0</v>
      </c>
      <c r="AF22" s="11"/>
      <c r="AG22" s="67">
        <f t="shared" si="9"/>
        <v>-1</v>
      </c>
    </row>
    <row r="23" spans="2:33" ht="12.75" customHeight="1">
      <c r="B23" s="14" t="s">
        <v>33</v>
      </c>
      <c r="C23" s="15">
        <f>C22/C11</f>
        <v>0.14318626493396958</v>
      </c>
      <c r="D23" s="15">
        <f>D22/D11</f>
        <v>0.16318838323752766</v>
      </c>
      <c r="E23" s="15">
        <f>E22/E11</f>
        <v>0.14951266302154465</v>
      </c>
      <c r="F23" s="15" t="e">
        <f>F22/F11</f>
        <v>#DIV/0!</v>
      </c>
      <c r="G23" s="30"/>
      <c r="H23" s="15" t="e">
        <f>H22/H11</f>
        <v>#DIV/0!</v>
      </c>
      <c r="I23" s="15" t="e">
        <f>I22/I11</f>
        <v>#DIV/0!</v>
      </c>
      <c r="J23" s="15" t="e">
        <f>J22/J11</f>
        <v>#DIV/0!</v>
      </c>
      <c r="K23" s="15">
        <f>K22/K11</f>
        <v>0.16318838323752766</v>
      </c>
      <c r="L23" s="15" t="e">
        <f>L22/L11</f>
        <v>#DIV/0!</v>
      </c>
      <c r="M23" s="15" t="e">
        <f>M22/M11</f>
        <v>#DIV/0!</v>
      </c>
      <c r="N23" s="15" t="e">
        <f>N22/N11</f>
        <v>#DIV/0!</v>
      </c>
      <c r="O23" s="15">
        <f>O22/O11</f>
        <v>0.14951266302154465</v>
      </c>
      <c r="P23" s="15" t="e">
        <f>P22/P11</f>
        <v>#DIV/0!</v>
      </c>
      <c r="Q23" s="15" t="e">
        <f>Q22/Q11</f>
        <v>#DIV/0!</v>
      </c>
      <c r="R23" s="15" t="e">
        <f>R22/R11</f>
        <v>#DIV/0!</v>
      </c>
      <c r="S23" s="15" t="e">
        <f>S22/S11</f>
        <v>#DIV/0!</v>
      </c>
      <c r="T23" s="15" t="e">
        <f>T22/T11</f>
        <v>#DIV/0!</v>
      </c>
      <c r="V23" s="15">
        <f>V22/V11</f>
        <v>0.16318838323752766</v>
      </c>
      <c r="W23" s="15">
        <f>W22/W11</f>
        <v>0.16318838323752766</v>
      </c>
      <c r="X23" s="15">
        <f>X22/X11</f>
        <v>0.16318838323752766</v>
      </c>
      <c r="Y23" s="15">
        <f>Y22/Y11</f>
        <v>0.16318838323752766</v>
      </c>
      <c r="Z23" s="15">
        <f>Z22/Z11</f>
        <v>0.14951266302154465</v>
      </c>
      <c r="AA23" s="15">
        <f>AA22/AA11</f>
        <v>0.14951266302154465</v>
      </c>
      <c r="AB23" s="15">
        <f>AB22/AB11</f>
        <v>0.14951266302154465</v>
      </c>
      <c r="AC23" s="15">
        <f>AC22/AC11</f>
        <v>0.14951266302154465</v>
      </c>
      <c r="AD23" s="15" t="e">
        <f>AD22/AD11</f>
        <v>#DIV/0!</v>
      </c>
      <c r="AE23" s="15" t="e">
        <f>AE22/AE11</f>
        <v>#DIV/0!</v>
      </c>
      <c r="AF23" s="11"/>
      <c r="AG23" s="68" t="e">
        <f>SUM(AE23-AA23)*1000</f>
        <v>#DIV/0!</v>
      </c>
    </row>
    <row r="24" spans="2:33" ht="5.0999999999999996" customHeight="1">
      <c r="B24" s="14"/>
      <c r="C24" s="15"/>
      <c r="D24" s="15"/>
      <c r="E24" s="15"/>
      <c r="F24" s="15"/>
      <c r="G24" s="30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11"/>
      <c r="AG24" s="66"/>
    </row>
    <row r="25" spans="2:33" ht="12.75" customHeight="1">
      <c r="B25" s="9" t="s">
        <v>129</v>
      </c>
      <c r="C25" s="74">
        <v>97</v>
      </c>
      <c r="D25" s="74">
        <v>81.2</v>
      </c>
      <c r="E25" s="74">
        <v>122.8</v>
      </c>
      <c r="F25" s="74"/>
      <c r="G25" s="30"/>
      <c r="H25" s="74"/>
      <c r="I25" s="74"/>
      <c r="J25" s="74"/>
      <c r="K25" s="30">
        <f>SUM(D25-SUM(H25:J25))</f>
        <v>81.2</v>
      </c>
      <c r="L25" s="74"/>
      <c r="M25" s="74"/>
      <c r="N25" s="74"/>
      <c r="O25" s="30">
        <f>SUM(E25-SUM(L25:N25))</f>
        <v>122.8</v>
      </c>
      <c r="P25" s="74"/>
      <c r="Q25" s="74"/>
      <c r="R25" s="74"/>
      <c r="S25" s="30">
        <f t="shared" ref="S25" si="76">SUM(F25-SUM(P25:R25))</f>
        <v>0</v>
      </c>
      <c r="T25" s="74"/>
      <c r="V25" s="30">
        <f t="shared" ref="V25:V26" si="77">SUM(H25:K25)</f>
        <v>81.2</v>
      </c>
      <c r="W25" s="30">
        <f t="shared" ref="W25:W26" si="78">SUM(I25:L25)</f>
        <v>81.2</v>
      </c>
      <c r="X25" s="30">
        <f t="shared" ref="X25:X26" si="79">SUM(J25:M25)</f>
        <v>81.2</v>
      </c>
      <c r="Y25" s="30">
        <f t="shared" ref="Y25:Y26" si="80">SUM(K25:N25)</f>
        <v>81.2</v>
      </c>
      <c r="Z25" s="30">
        <f t="shared" ref="Z25:Z26" si="81">SUM(L25:O25)</f>
        <v>122.8</v>
      </c>
      <c r="AA25" s="30">
        <f t="shared" ref="AA25:AA26" si="82">SUM(M25:P25)</f>
        <v>122.8</v>
      </c>
      <c r="AB25" s="30">
        <f t="shared" ref="AB25:AB26" si="83">SUM(N25:Q25)</f>
        <v>122.8</v>
      </c>
      <c r="AC25" s="30">
        <f t="shared" ref="AC25:AC26" si="84">SUM(O25:R25)</f>
        <v>122.8</v>
      </c>
      <c r="AD25" s="30">
        <f t="shared" ref="AD25:AD26" si="85">SUM(P25:S25)</f>
        <v>0</v>
      </c>
      <c r="AE25" s="30">
        <f t="shared" ref="AE25:AE26" si="86">SUM(Q25:T25)</f>
        <v>0</v>
      </c>
      <c r="AF25" s="11"/>
      <c r="AG25" s="66">
        <f t="shared" si="9"/>
        <v>-1</v>
      </c>
    </row>
    <row r="26" spans="2:33" ht="12.75" customHeight="1">
      <c r="B26" s="9" t="s">
        <v>130</v>
      </c>
      <c r="C26" s="74">
        <v>-482.9</v>
      </c>
      <c r="D26" s="74">
        <v>-550.1</v>
      </c>
      <c r="E26" s="74">
        <v>-562</v>
      </c>
      <c r="F26" s="74"/>
      <c r="G26" s="30"/>
      <c r="H26" s="74"/>
      <c r="I26" s="74"/>
      <c r="J26" s="74"/>
      <c r="K26" s="30">
        <f>SUM(D26-SUM(H26:J26))</f>
        <v>-550.1</v>
      </c>
      <c r="L26" s="74"/>
      <c r="M26" s="74"/>
      <c r="N26" s="74"/>
      <c r="O26" s="30">
        <f>SUM(E26-SUM(L26:N26))</f>
        <v>-562</v>
      </c>
      <c r="P26" s="74"/>
      <c r="Q26" s="74"/>
      <c r="R26" s="74"/>
      <c r="S26" s="30">
        <f t="shared" ref="S26" si="87">SUM(F26-SUM(P26:R26))</f>
        <v>0</v>
      </c>
      <c r="T26" s="74"/>
      <c r="V26" s="30">
        <f t="shared" si="77"/>
        <v>-550.1</v>
      </c>
      <c r="W26" s="30">
        <f t="shared" si="78"/>
        <v>-550.1</v>
      </c>
      <c r="X26" s="30">
        <f t="shared" si="79"/>
        <v>-550.1</v>
      </c>
      <c r="Y26" s="30">
        <f t="shared" si="80"/>
        <v>-550.1</v>
      </c>
      <c r="Z26" s="30">
        <f t="shared" si="81"/>
        <v>-562</v>
      </c>
      <c r="AA26" s="30">
        <f t="shared" si="82"/>
        <v>-562</v>
      </c>
      <c r="AB26" s="30">
        <f t="shared" si="83"/>
        <v>-562</v>
      </c>
      <c r="AC26" s="30">
        <f t="shared" si="84"/>
        <v>-562</v>
      </c>
      <c r="AD26" s="30">
        <f t="shared" si="85"/>
        <v>0</v>
      </c>
      <c r="AE26" s="30">
        <f t="shared" si="86"/>
        <v>0</v>
      </c>
      <c r="AF26" s="11"/>
      <c r="AG26" s="66">
        <f t="shared" ref="AG26" si="88">SUM(AE26/AA26)-1</f>
        <v>-1</v>
      </c>
    </row>
    <row r="27" spans="2:33" ht="12.75" customHeight="1">
      <c r="B27" s="23" t="s">
        <v>111</v>
      </c>
      <c r="C27" s="24">
        <f>SUM(C25:C26)+C22</f>
        <v>4231.8999999999996</v>
      </c>
      <c r="D27" s="24">
        <f>SUM(D25:D26)+D22</f>
        <v>5401.9</v>
      </c>
      <c r="E27" s="24">
        <f>SUM(E25:E26)+E22</f>
        <v>4969.6000000000031</v>
      </c>
      <c r="F27" s="24">
        <f>SUM(F25:F26)+F22</f>
        <v>0</v>
      </c>
      <c r="G27" s="30"/>
      <c r="H27" s="24">
        <f>SUM(H25:H26)+H22</f>
        <v>0</v>
      </c>
      <c r="I27" s="24">
        <f>SUM(I25:I26)+I22</f>
        <v>0</v>
      </c>
      <c r="J27" s="24">
        <f>SUM(J25:J26)+J22</f>
        <v>0</v>
      </c>
      <c r="K27" s="24">
        <f>SUM(K25:K26)+K22</f>
        <v>5401.9</v>
      </c>
      <c r="L27" s="24">
        <f>SUM(L25:L26)+L22</f>
        <v>0</v>
      </c>
      <c r="M27" s="24">
        <f>SUM(M25:M26)+M22</f>
        <v>0</v>
      </c>
      <c r="N27" s="24">
        <f>SUM(N25:N26)+N22</f>
        <v>0</v>
      </c>
      <c r="O27" s="24">
        <f>SUM(O25:O26)+O22</f>
        <v>4969.6000000000031</v>
      </c>
      <c r="P27" s="24">
        <f>SUM(P25:P26)+P22</f>
        <v>0</v>
      </c>
      <c r="Q27" s="24">
        <f>SUM(Q25:Q26)+Q22</f>
        <v>0</v>
      </c>
      <c r="R27" s="24">
        <f>SUM(R25:R26)+R22</f>
        <v>0</v>
      </c>
      <c r="S27" s="24">
        <f>SUM(S25:S26)+S22</f>
        <v>0</v>
      </c>
      <c r="T27" s="24">
        <f>SUM(T25:T26)+T22</f>
        <v>0</v>
      </c>
      <c r="V27" s="24">
        <f>SUM(V25:V26)+V22</f>
        <v>5401.9</v>
      </c>
      <c r="W27" s="24">
        <f>SUM(W25:W26)+W22</f>
        <v>5401.9</v>
      </c>
      <c r="X27" s="24">
        <f>SUM(X25:X26)+X22</f>
        <v>5401.9</v>
      </c>
      <c r="Y27" s="24">
        <f>SUM(Y25:Y26)+Y22</f>
        <v>5401.9</v>
      </c>
      <c r="Z27" s="24">
        <f>SUM(Z25:Z26)+Z22</f>
        <v>4969.6000000000031</v>
      </c>
      <c r="AA27" s="24">
        <f>SUM(AA25:AA26)+AA22</f>
        <v>4969.6000000000031</v>
      </c>
      <c r="AB27" s="24">
        <f>SUM(AB25:AB26)+AB22</f>
        <v>4969.6000000000031</v>
      </c>
      <c r="AC27" s="24">
        <f>SUM(AC25:AC26)+AC22</f>
        <v>4969.6000000000031</v>
      </c>
      <c r="AD27" s="24">
        <f>SUM(AD25:AD26)+AD22</f>
        <v>0</v>
      </c>
      <c r="AE27" s="24">
        <f>SUM(AE25:AE26)+AE22</f>
        <v>0</v>
      </c>
      <c r="AF27" s="11"/>
      <c r="AG27" s="66">
        <f t="shared" si="9"/>
        <v>-1</v>
      </c>
    </row>
    <row r="28" spans="2:33" ht="12.75" customHeight="1">
      <c r="B28" s="14" t="s">
        <v>80</v>
      </c>
      <c r="C28" s="15">
        <f>C27/C11</f>
        <v>0.13122048477068429</v>
      </c>
      <c r="D28" s="15">
        <f>D27/D11</f>
        <v>0.15015454919445401</v>
      </c>
      <c r="E28" s="15">
        <f>E27/E11</f>
        <v>0.13737208440908674</v>
      </c>
      <c r="F28" s="15" t="e">
        <f>F27/F11</f>
        <v>#DIV/0!</v>
      </c>
      <c r="G28" s="25"/>
      <c r="H28" s="15" t="e">
        <f>H27/H11</f>
        <v>#DIV/0!</v>
      </c>
      <c r="I28" s="15" t="e">
        <f>I27/I11</f>
        <v>#DIV/0!</v>
      </c>
      <c r="J28" s="15" t="e">
        <f>J27/J11</f>
        <v>#DIV/0!</v>
      </c>
      <c r="K28" s="15">
        <f>K27/K11</f>
        <v>0.15015454919445401</v>
      </c>
      <c r="L28" s="15" t="e">
        <f>L27/L11</f>
        <v>#DIV/0!</v>
      </c>
      <c r="M28" s="15" t="e">
        <f>M27/M11</f>
        <v>#DIV/0!</v>
      </c>
      <c r="N28" s="15" t="e">
        <f>N27/N11</f>
        <v>#DIV/0!</v>
      </c>
      <c r="O28" s="15">
        <f>O27/O11</f>
        <v>0.13737208440908674</v>
      </c>
      <c r="P28" s="15" t="e">
        <f>P27/P11</f>
        <v>#DIV/0!</v>
      </c>
      <c r="Q28" s="15" t="e">
        <f>Q27/Q11</f>
        <v>#DIV/0!</v>
      </c>
      <c r="R28" s="15" t="e">
        <f>R27/R11</f>
        <v>#DIV/0!</v>
      </c>
      <c r="S28" s="15" t="e">
        <f>S27/S11</f>
        <v>#DIV/0!</v>
      </c>
      <c r="T28" s="15" t="e">
        <f>T27/T11</f>
        <v>#DIV/0!</v>
      </c>
      <c r="V28" s="15">
        <f>V27/V11</f>
        <v>0.15015454919445401</v>
      </c>
      <c r="W28" s="15">
        <f>W27/W11</f>
        <v>0.15015454919445401</v>
      </c>
      <c r="X28" s="15">
        <f>X27/X11</f>
        <v>0.15015454919445401</v>
      </c>
      <c r="Y28" s="15">
        <f>Y27/Y11</f>
        <v>0.15015454919445401</v>
      </c>
      <c r="Z28" s="15">
        <f>Z27/Z11</f>
        <v>0.13737208440908674</v>
      </c>
      <c r="AA28" s="15">
        <f>AA27/AA11</f>
        <v>0.13737208440908674</v>
      </c>
      <c r="AB28" s="15">
        <f>AB27/AB11</f>
        <v>0.13737208440908674</v>
      </c>
      <c r="AC28" s="15">
        <f>AC27/AC11</f>
        <v>0.13737208440908674</v>
      </c>
      <c r="AD28" s="15" t="e">
        <f>AD27/AD11</f>
        <v>#DIV/0!</v>
      </c>
      <c r="AE28" s="15" t="e">
        <f>AE27/AE11</f>
        <v>#DIV/0!</v>
      </c>
      <c r="AF28" s="40"/>
      <c r="AG28" s="68" t="e">
        <f>SUM(AE28-AA28)*1000</f>
        <v>#DIV/0!</v>
      </c>
    </row>
    <row r="29" spans="2:33" ht="5.0999999999999996" customHeight="1">
      <c r="B29" s="9"/>
      <c r="C29" s="74"/>
      <c r="D29" s="74"/>
      <c r="E29" s="74"/>
      <c r="F29" s="74"/>
      <c r="G29" s="30"/>
      <c r="H29" s="74"/>
      <c r="I29" s="74"/>
      <c r="J29" s="74"/>
      <c r="K29" s="30"/>
      <c r="L29" s="74"/>
      <c r="M29" s="74"/>
      <c r="N29" s="74"/>
      <c r="O29" s="30"/>
      <c r="P29" s="74"/>
      <c r="Q29" s="74"/>
      <c r="R29" s="74"/>
      <c r="S29" s="74"/>
      <c r="T29" s="74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11"/>
      <c r="AG29" s="66"/>
    </row>
    <row r="30" spans="2:33" ht="12.75" customHeight="1">
      <c r="B30" s="9" t="s">
        <v>85</v>
      </c>
      <c r="C30" s="74">
        <v>-948.5</v>
      </c>
      <c r="D30" s="74">
        <v>-1277.2</v>
      </c>
      <c r="E30" s="74">
        <v>-1207.3</v>
      </c>
      <c r="F30" s="74"/>
      <c r="G30" s="30"/>
      <c r="H30" s="74"/>
      <c r="I30" s="74"/>
      <c r="J30" s="74"/>
      <c r="K30" s="30">
        <f>SUM(D30-SUM(H30:J30))</f>
        <v>-1277.2</v>
      </c>
      <c r="L30" s="74"/>
      <c r="M30" s="74"/>
      <c r="N30" s="74"/>
      <c r="O30" s="30">
        <f>SUM(E30-SUM(L30:N30))</f>
        <v>-1207.3</v>
      </c>
      <c r="P30" s="74"/>
      <c r="Q30" s="74"/>
      <c r="R30" s="74"/>
      <c r="S30" s="30">
        <f t="shared" ref="S30" si="89">SUM(F30-SUM(P30:R30))</f>
        <v>0</v>
      </c>
      <c r="T30" s="74"/>
      <c r="V30" s="30">
        <f t="shared" ref="V30" si="90">SUM(H30:K30)</f>
        <v>-1277.2</v>
      </c>
      <c r="W30" s="30">
        <f t="shared" ref="W30" si="91">SUM(I30:L30)</f>
        <v>-1277.2</v>
      </c>
      <c r="X30" s="30">
        <f t="shared" ref="X30" si="92">SUM(J30:M30)</f>
        <v>-1277.2</v>
      </c>
      <c r="Y30" s="30">
        <f t="shared" ref="Y30" si="93">SUM(K30:N30)</f>
        <v>-1277.2</v>
      </c>
      <c r="Z30" s="30">
        <f t="shared" ref="Z30" si="94">SUM(L30:O30)</f>
        <v>-1207.3</v>
      </c>
      <c r="AA30" s="30">
        <f t="shared" ref="AA30" si="95">SUM(M30:P30)</f>
        <v>-1207.3</v>
      </c>
      <c r="AB30" s="30">
        <f t="shared" ref="AB30" si="96">SUM(N30:Q30)</f>
        <v>-1207.3</v>
      </c>
      <c r="AC30" s="30">
        <f t="shared" ref="AC30" si="97">SUM(O30:R30)</f>
        <v>-1207.3</v>
      </c>
      <c r="AD30" s="30">
        <f t="shared" ref="AD30" si="98">SUM(P30:S30)</f>
        <v>0</v>
      </c>
      <c r="AE30" s="30">
        <f>SUM(Q30:T30)</f>
        <v>0</v>
      </c>
      <c r="AF30" s="11"/>
      <c r="AG30" s="66">
        <f t="shared" si="9"/>
        <v>-1</v>
      </c>
    </row>
    <row r="31" spans="2:33" ht="12.75" customHeight="1">
      <c r="B31" s="12" t="s">
        <v>131</v>
      </c>
      <c r="C31" s="13">
        <f>SUM(C27+SUM(C30:C30))</f>
        <v>3283.3999999999996</v>
      </c>
      <c r="D31" s="13">
        <f>SUM(D27+SUM(D30:D30))</f>
        <v>4124.7</v>
      </c>
      <c r="E31" s="13">
        <f>SUM(E27+SUM(E30:E30))</f>
        <v>3762.3000000000029</v>
      </c>
      <c r="F31" s="13">
        <f>SUM(F27+SUM(F30:F30))</f>
        <v>0</v>
      </c>
      <c r="H31" s="13">
        <f t="shared" ref="H31:T31" si="99">SUM(H27+SUM(H30:H30))</f>
        <v>0</v>
      </c>
      <c r="I31" s="13">
        <f t="shared" si="99"/>
        <v>0</v>
      </c>
      <c r="J31" s="13">
        <f t="shared" si="99"/>
        <v>0</v>
      </c>
      <c r="K31" s="13">
        <f t="shared" si="99"/>
        <v>4124.7</v>
      </c>
      <c r="L31" s="13">
        <f t="shared" si="99"/>
        <v>0</v>
      </c>
      <c r="M31" s="13">
        <f t="shared" si="99"/>
        <v>0</v>
      </c>
      <c r="N31" s="13">
        <f t="shared" si="99"/>
        <v>0</v>
      </c>
      <c r="O31" s="13">
        <f t="shared" si="99"/>
        <v>3762.3000000000029</v>
      </c>
      <c r="P31" s="13">
        <f t="shared" si="99"/>
        <v>0</v>
      </c>
      <c r="Q31" s="13">
        <f t="shared" si="99"/>
        <v>0</v>
      </c>
      <c r="R31" s="13">
        <f t="shared" si="99"/>
        <v>0</v>
      </c>
      <c r="S31" s="13">
        <f t="shared" si="99"/>
        <v>0</v>
      </c>
      <c r="T31" s="13">
        <f t="shared" si="99"/>
        <v>0</v>
      </c>
      <c r="V31" s="13">
        <f t="shared" ref="V31:AE31" si="100">SUM(V27+SUM(V30:V30))</f>
        <v>4124.7</v>
      </c>
      <c r="W31" s="13">
        <f t="shared" si="100"/>
        <v>4124.7</v>
      </c>
      <c r="X31" s="13">
        <f t="shared" si="100"/>
        <v>4124.7</v>
      </c>
      <c r="Y31" s="13">
        <f t="shared" si="100"/>
        <v>4124.7</v>
      </c>
      <c r="Z31" s="13">
        <f t="shared" si="100"/>
        <v>3762.3000000000029</v>
      </c>
      <c r="AA31" s="13">
        <f t="shared" si="100"/>
        <v>3762.3000000000029</v>
      </c>
      <c r="AB31" s="13">
        <f t="shared" si="100"/>
        <v>3762.3000000000029</v>
      </c>
      <c r="AC31" s="13">
        <f t="shared" si="100"/>
        <v>3762.3000000000029</v>
      </c>
      <c r="AD31" s="13">
        <f t="shared" si="100"/>
        <v>0</v>
      </c>
      <c r="AE31" s="13">
        <f t="shared" si="100"/>
        <v>0</v>
      </c>
      <c r="AF31" s="39"/>
      <c r="AG31" s="67">
        <f t="shared" si="9"/>
        <v>-1</v>
      </c>
    </row>
    <row r="32" spans="2:33" ht="5.0999999999999996" customHeight="1">
      <c r="B32" s="14"/>
      <c r="C32" s="15"/>
      <c r="D32" s="15"/>
      <c r="E32" s="15"/>
      <c r="F32" s="15"/>
      <c r="G32" s="2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40"/>
      <c r="AG32" s="68"/>
    </row>
    <row r="33" spans="1:33" ht="12.75" customHeight="1">
      <c r="B33" s="9" t="s">
        <v>132</v>
      </c>
      <c r="C33" s="74">
        <v>1.8</v>
      </c>
      <c r="D33" s="74">
        <v>0.2</v>
      </c>
      <c r="E33" s="74">
        <v>1.4</v>
      </c>
      <c r="F33" s="74"/>
      <c r="G33" s="30"/>
      <c r="H33" s="74"/>
      <c r="I33" s="74"/>
      <c r="J33" s="74"/>
      <c r="K33" s="30">
        <f>SUM(D33-SUM(H33:J33))</f>
        <v>0.2</v>
      </c>
      <c r="L33" s="74"/>
      <c r="M33" s="74"/>
      <c r="N33" s="74"/>
      <c r="O33" s="30">
        <f>SUM(E33-SUM(L33:N33))</f>
        <v>1.4</v>
      </c>
      <c r="P33" s="74"/>
      <c r="Q33" s="74"/>
      <c r="R33" s="74"/>
      <c r="S33" s="30">
        <f t="shared" ref="S33" si="101">SUM(F33-SUM(P33:R33))</f>
        <v>0</v>
      </c>
      <c r="T33" s="74"/>
      <c r="V33" s="30">
        <f t="shared" ref="V33" si="102">SUM(H33:K33)</f>
        <v>0.2</v>
      </c>
      <c r="W33" s="30">
        <f t="shared" ref="W33" si="103">SUM(I33:L33)</f>
        <v>0.2</v>
      </c>
      <c r="X33" s="30">
        <f t="shared" ref="X33" si="104">SUM(J33:M33)</f>
        <v>0.2</v>
      </c>
      <c r="Y33" s="30">
        <f t="shared" ref="Y33" si="105">SUM(K33:N33)</f>
        <v>0.2</v>
      </c>
      <c r="Z33" s="30">
        <f t="shared" ref="Z33" si="106">SUM(L33:O33)</f>
        <v>1.4</v>
      </c>
      <c r="AA33" s="30">
        <f t="shared" ref="AA33" si="107">SUM(M33:P33)</f>
        <v>1.4</v>
      </c>
      <c r="AB33" s="30">
        <f t="shared" ref="AB33" si="108">SUM(N33:Q33)</f>
        <v>1.4</v>
      </c>
      <c r="AC33" s="30">
        <f t="shared" ref="AC33" si="109">SUM(O33:R33)</f>
        <v>1.4</v>
      </c>
      <c r="AD33" s="30">
        <f t="shared" ref="AD33" si="110">SUM(P33:S33)</f>
        <v>0</v>
      </c>
      <c r="AE33" s="30">
        <f>SUM(Q33:T33)</f>
        <v>0</v>
      </c>
      <c r="AF33" s="11"/>
      <c r="AG33" s="66">
        <f t="shared" ref="AG33:AG34" si="111">SUM(AE33/AA33)-1</f>
        <v>-1</v>
      </c>
    </row>
    <row r="34" spans="1:33" ht="12.75" customHeight="1">
      <c r="B34" s="12" t="s">
        <v>133</v>
      </c>
      <c r="C34" s="13">
        <f>SUM(C31+SUM(C33:C33))</f>
        <v>3285.2</v>
      </c>
      <c r="D34" s="13">
        <f>SUM(D31+SUM(D33:D33))</f>
        <v>4124.8999999999996</v>
      </c>
      <c r="E34" s="13">
        <f>SUM(E31+SUM(E33:E33))</f>
        <v>3763.700000000003</v>
      </c>
      <c r="F34" s="13">
        <f>SUM(F31+SUM(F33:F33))</f>
        <v>0</v>
      </c>
      <c r="H34" s="13">
        <f>SUM(H31+SUM(H33:H33))</f>
        <v>0</v>
      </c>
      <c r="I34" s="13">
        <f>SUM(I31+SUM(I33:I33))</f>
        <v>0</v>
      </c>
      <c r="J34" s="13">
        <f>SUM(J31+SUM(J33:J33))</f>
        <v>0</v>
      </c>
      <c r="K34" s="13">
        <f>SUM(K31+SUM(K33:K33))</f>
        <v>4124.8999999999996</v>
      </c>
      <c r="L34" s="13">
        <f>SUM(L31+SUM(L33:L33))</f>
        <v>0</v>
      </c>
      <c r="M34" s="13">
        <f>SUM(M31+SUM(M33:M33))</f>
        <v>0</v>
      </c>
      <c r="N34" s="13">
        <f>SUM(N31+SUM(N33:N33))</f>
        <v>0</v>
      </c>
      <c r="O34" s="13">
        <f>SUM(O31+SUM(O33:O33))</f>
        <v>3763.700000000003</v>
      </c>
      <c r="P34" s="13">
        <f>SUM(P31+SUM(P33:P33))</f>
        <v>0</v>
      </c>
      <c r="Q34" s="13">
        <f>SUM(Q31+SUM(Q33:Q33))</f>
        <v>0</v>
      </c>
      <c r="R34" s="13">
        <f>SUM(R31+SUM(R33:R33))</f>
        <v>0</v>
      </c>
      <c r="S34" s="13">
        <f>SUM(S31+SUM(S33:S33))</f>
        <v>0</v>
      </c>
      <c r="T34" s="13">
        <f>SUM(T31+SUM(T33:T33))</f>
        <v>0</v>
      </c>
      <c r="V34" s="13">
        <f>SUM(V31+SUM(V33:V33))</f>
        <v>4124.8999999999996</v>
      </c>
      <c r="W34" s="13">
        <f>SUM(W31+SUM(W33:W33))</f>
        <v>4124.8999999999996</v>
      </c>
      <c r="X34" s="13">
        <f>SUM(X31+SUM(X33:X33))</f>
        <v>4124.8999999999996</v>
      </c>
      <c r="Y34" s="13">
        <f>SUM(Y31+SUM(Y33:Y33))</f>
        <v>4124.8999999999996</v>
      </c>
      <c r="Z34" s="13">
        <f>SUM(Z31+SUM(Z33:Z33))</f>
        <v>3763.700000000003</v>
      </c>
      <c r="AA34" s="13">
        <f>SUM(AA31+SUM(AA33:AA33))</f>
        <v>3763.700000000003</v>
      </c>
      <c r="AB34" s="13">
        <f>SUM(AB31+SUM(AB33:AB33))</f>
        <v>3763.700000000003</v>
      </c>
      <c r="AC34" s="13">
        <f>SUM(AC31+SUM(AC33:AC33))</f>
        <v>3763.700000000003</v>
      </c>
      <c r="AD34" s="13">
        <f>SUM(AD31+SUM(AD33:AD33))</f>
        <v>0</v>
      </c>
      <c r="AE34" s="13">
        <f>SUM(AE31+SUM(AE33:AE33))</f>
        <v>0</v>
      </c>
      <c r="AF34" s="39"/>
      <c r="AG34" s="67">
        <f t="shared" si="111"/>
        <v>-1</v>
      </c>
    </row>
    <row r="35" spans="1:33" ht="12.75" customHeight="1">
      <c r="B35" s="14" t="s">
        <v>62</v>
      </c>
      <c r="C35" s="15">
        <f>C34/C15</f>
        <v>-0.24223923078057485</v>
      </c>
      <c r="D35" s="15">
        <f>D34/D15</f>
        <v>-0.28021847380827836</v>
      </c>
      <c r="E35" s="15">
        <f>E34/E15</f>
        <v>-0.24621070879534249</v>
      </c>
      <c r="F35" s="15" t="e">
        <f>F34/F15</f>
        <v>#DIV/0!</v>
      </c>
      <c r="G35" s="25"/>
      <c r="H35" s="15" t="e">
        <f>H34/H15</f>
        <v>#DIV/0!</v>
      </c>
      <c r="I35" s="15" t="e">
        <f>I34/I15</f>
        <v>#DIV/0!</v>
      </c>
      <c r="J35" s="15" t="e">
        <f>J34/J15</f>
        <v>#DIV/0!</v>
      </c>
      <c r="K35" s="15">
        <f>K34/K15</f>
        <v>-0.28021847380827836</v>
      </c>
      <c r="L35" s="15" t="e">
        <f>L34/L15</f>
        <v>#DIV/0!</v>
      </c>
      <c r="M35" s="15" t="e">
        <f>M34/M15</f>
        <v>#DIV/0!</v>
      </c>
      <c r="N35" s="15" t="e">
        <f>N34/N15</f>
        <v>#DIV/0!</v>
      </c>
      <c r="O35" s="15">
        <f>O34/O15</f>
        <v>-0.24621070879534249</v>
      </c>
      <c r="P35" s="15" t="e">
        <f>P34/P15</f>
        <v>#DIV/0!</v>
      </c>
      <c r="Q35" s="15" t="e">
        <f>Q34/Q15</f>
        <v>#DIV/0!</v>
      </c>
      <c r="R35" s="15" t="e">
        <f>R34/R15</f>
        <v>#DIV/0!</v>
      </c>
      <c r="S35" s="15" t="e">
        <f>S34/S15</f>
        <v>#DIV/0!</v>
      </c>
      <c r="T35" s="15" t="e">
        <f>T34/T15</f>
        <v>#DIV/0!</v>
      </c>
      <c r="V35" s="15">
        <f>V34/V15</f>
        <v>-0.28021847380827836</v>
      </c>
      <c r="W35" s="15">
        <f>W34/W15</f>
        <v>-0.28021847380827836</v>
      </c>
      <c r="X35" s="15">
        <f>X34/X15</f>
        <v>-0.28021847380827836</v>
      </c>
      <c r="Y35" s="15">
        <f>Y34/Y15</f>
        <v>-0.28021847380827836</v>
      </c>
      <c r="Z35" s="15">
        <f>Z34/Z15</f>
        <v>-0.24621070879534249</v>
      </c>
      <c r="AA35" s="15">
        <f>AA34/AA15</f>
        <v>-0.24621070879534249</v>
      </c>
      <c r="AB35" s="15">
        <f>AB34/AB15</f>
        <v>-0.24621070879534249</v>
      </c>
      <c r="AC35" s="15">
        <f>AC34/AC15</f>
        <v>-0.24621070879534249</v>
      </c>
      <c r="AD35" s="15" t="e">
        <f>AD34/AD15</f>
        <v>#DIV/0!</v>
      </c>
      <c r="AE35" s="15" t="e">
        <f>AE34/AE15</f>
        <v>#DIV/0!</v>
      </c>
      <c r="AF35" s="40"/>
      <c r="AG35" s="68" t="e">
        <f>SUM(AE35-AA35)*1000</f>
        <v>#DIV/0!</v>
      </c>
    </row>
    <row r="36" spans="1:33" ht="5.0999999999999996" customHeight="1">
      <c r="B36" s="14"/>
      <c r="C36" s="15"/>
      <c r="D36" s="15"/>
      <c r="E36" s="15"/>
      <c r="F36" s="15"/>
      <c r="G36" s="2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26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40"/>
      <c r="AG36" s="68"/>
    </row>
    <row r="37" spans="1:33" ht="12.75" customHeight="1">
      <c r="B37" s="41" t="s">
        <v>63</v>
      </c>
      <c r="C37" s="74">
        <v>1153.3</v>
      </c>
      <c r="D37" s="74">
        <v>1146.8</v>
      </c>
      <c r="E37" s="74">
        <v>1133.8</v>
      </c>
      <c r="F37" s="74"/>
      <c r="G37" s="25"/>
      <c r="H37" s="74"/>
      <c r="I37" s="74"/>
      <c r="J37" s="74"/>
      <c r="K37" s="30">
        <f>D37</f>
        <v>1146.8</v>
      </c>
      <c r="L37" s="74"/>
      <c r="M37" s="74"/>
      <c r="N37" s="74"/>
      <c r="O37" s="30">
        <f>E37</f>
        <v>1133.8</v>
      </c>
      <c r="P37" s="74"/>
      <c r="Q37" s="74"/>
      <c r="R37" s="74"/>
      <c r="S37" s="30">
        <f>F37</f>
        <v>0</v>
      </c>
      <c r="T37" s="74"/>
      <c r="U37" s="30"/>
      <c r="V37" s="30">
        <f t="shared" ref="V37:AD37" si="112">K37</f>
        <v>1146.8</v>
      </c>
      <c r="W37" s="30">
        <f t="shared" si="112"/>
        <v>0</v>
      </c>
      <c r="X37" s="30">
        <f t="shared" si="112"/>
        <v>0</v>
      </c>
      <c r="Y37" s="30">
        <f t="shared" si="112"/>
        <v>0</v>
      </c>
      <c r="Z37" s="30">
        <f t="shared" si="112"/>
        <v>1133.8</v>
      </c>
      <c r="AA37" s="30">
        <f t="shared" si="112"/>
        <v>0</v>
      </c>
      <c r="AB37" s="30">
        <f t="shared" si="112"/>
        <v>0</v>
      </c>
      <c r="AC37" s="30">
        <f t="shared" si="112"/>
        <v>0</v>
      </c>
      <c r="AD37" s="30">
        <f t="shared" si="112"/>
        <v>0</v>
      </c>
      <c r="AE37" s="30">
        <f>T37</f>
        <v>0</v>
      </c>
      <c r="AF37" s="40"/>
      <c r="AG37" s="66" t="e">
        <f t="shared" ref="AG37" si="113">SUM(AE37/AA37)-1</f>
        <v>#DIV/0!</v>
      </c>
    </row>
    <row r="38" spans="1:33" ht="12.75" customHeight="1">
      <c r="B38" s="12" t="s">
        <v>64</v>
      </c>
      <c r="C38" s="69">
        <f t="shared" ref="C38:D38" si="114">C34/C37</f>
        <v>2.8485216335732244</v>
      </c>
      <c r="D38" s="69">
        <f t="shared" si="114"/>
        <v>3.5968782699686082</v>
      </c>
      <c r="E38" s="69">
        <f>E34/E37</f>
        <v>3.3195448932792408</v>
      </c>
      <c r="F38" s="69" t="e">
        <f t="shared" ref="F38" si="115">F34/F37</f>
        <v>#DIV/0!</v>
      </c>
      <c r="G38" s="11"/>
      <c r="H38" s="69" t="e">
        <f t="shared" ref="H38" si="116">H34/H37</f>
        <v>#DIV/0!</v>
      </c>
      <c r="I38" s="69" t="e">
        <f t="shared" ref="I38" si="117">I34/I37</f>
        <v>#DIV/0!</v>
      </c>
      <c r="J38" s="69" t="e">
        <f t="shared" ref="J38" si="118">J34/J37</f>
        <v>#DIV/0!</v>
      </c>
      <c r="K38" s="69">
        <f t="shared" ref="K38" si="119">K34/K37</f>
        <v>3.5968782699686082</v>
      </c>
      <c r="L38" s="69" t="e">
        <f t="shared" ref="L38" si="120">L34/L37</f>
        <v>#DIV/0!</v>
      </c>
      <c r="M38" s="69" t="e">
        <f t="shared" ref="M38" si="121">M34/M37</f>
        <v>#DIV/0!</v>
      </c>
      <c r="N38" s="69" t="e">
        <f t="shared" ref="N38" si="122">N34/N37</f>
        <v>#DIV/0!</v>
      </c>
      <c r="O38" s="69">
        <f t="shared" ref="O38" si="123">O34/O37</f>
        <v>3.3195448932792408</v>
      </c>
      <c r="P38" s="69" t="e">
        <f t="shared" ref="P38" si="124">P34/P37</f>
        <v>#DIV/0!</v>
      </c>
      <c r="Q38" s="69" t="e">
        <f t="shared" ref="Q38" si="125">Q34/Q37</f>
        <v>#DIV/0!</v>
      </c>
      <c r="R38" s="69" t="e">
        <f t="shared" ref="R38" si="126">R34/R37</f>
        <v>#DIV/0!</v>
      </c>
      <c r="S38" s="69" t="e">
        <f t="shared" ref="S38" si="127">S34/S37</f>
        <v>#DIV/0!</v>
      </c>
      <c r="T38" s="69" t="e">
        <f t="shared" ref="T38" si="128">T34/T37</f>
        <v>#DIV/0!</v>
      </c>
      <c r="U38" s="30"/>
      <c r="V38" s="69">
        <f t="shared" ref="V38" si="129">V34/V37</f>
        <v>3.5968782699686082</v>
      </c>
      <c r="W38" s="69" t="e">
        <f t="shared" ref="W38" si="130">W34/W37</f>
        <v>#DIV/0!</v>
      </c>
      <c r="X38" s="69" t="e">
        <f t="shared" ref="X38" si="131">X34/X37</f>
        <v>#DIV/0!</v>
      </c>
      <c r="Y38" s="69" t="e">
        <f t="shared" ref="Y38" si="132">Y34/Y37</f>
        <v>#DIV/0!</v>
      </c>
      <c r="Z38" s="69">
        <f t="shared" ref="Z38" si="133">Z34/Z37</f>
        <v>3.3195448932792408</v>
      </c>
      <c r="AA38" s="69" t="e">
        <f t="shared" ref="AA38" si="134">AA34/AA37</f>
        <v>#DIV/0!</v>
      </c>
      <c r="AB38" s="69" t="e">
        <f t="shared" ref="AB38" si="135">AB34/AB37</f>
        <v>#DIV/0!</v>
      </c>
      <c r="AC38" s="69" t="e">
        <f t="shared" ref="AC38" si="136">AC34/AC37</f>
        <v>#DIV/0!</v>
      </c>
      <c r="AD38" s="69" t="e">
        <f t="shared" ref="AD38" si="137">AD34/AD37</f>
        <v>#DIV/0!</v>
      </c>
      <c r="AE38" s="69" t="e">
        <f t="shared" ref="AE38" si="138">AE34/AE37</f>
        <v>#DIV/0!</v>
      </c>
      <c r="AF38" s="33"/>
      <c r="AG38" s="67" t="e">
        <f>SUM(AE38/AA38)-1</f>
        <v>#DIV/0!</v>
      </c>
    </row>
    <row r="39" spans="1:33" ht="5.0999999999999996" customHeight="1">
      <c r="B39" s="14"/>
      <c r="C39" s="15"/>
      <c r="D39" s="15"/>
      <c r="E39" s="15"/>
      <c r="F39" s="15"/>
      <c r="G39" s="2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26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40"/>
      <c r="AG39" s="68"/>
    </row>
    <row r="40" spans="1:33" ht="12.75" customHeight="1">
      <c r="B40" s="41" t="s">
        <v>65</v>
      </c>
      <c r="C40" s="74">
        <v>1158.5</v>
      </c>
      <c r="D40" s="74">
        <v>1151.3</v>
      </c>
      <c r="E40" s="74">
        <v>1137.3</v>
      </c>
      <c r="F40" s="74"/>
      <c r="G40" s="25"/>
      <c r="H40" s="74"/>
      <c r="I40" s="74"/>
      <c r="J40" s="74"/>
      <c r="K40" s="30">
        <f>D40</f>
        <v>1151.3</v>
      </c>
      <c r="L40" s="74"/>
      <c r="M40" s="74"/>
      <c r="N40" s="74"/>
      <c r="O40" s="30">
        <f>E40</f>
        <v>1137.3</v>
      </c>
      <c r="P40" s="74"/>
      <c r="Q40" s="74"/>
      <c r="R40" s="74"/>
      <c r="S40" s="30">
        <f>F40</f>
        <v>0</v>
      </c>
      <c r="T40" s="74"/>
      <c r="U40" s="30"/>
      <c r="V40" s="30">
        <f t="shared" ref="V40:AE40" si="139">K40</f>
        <v>1151.3</v>
      </c>
      <c r="W40" s="30">
        <f t="shared" si="139"/>
        <v>0</v>
      </c>
      <c r="X40" s="30">
        <f t="shared" si="139"/>
        <v>0</v>
      </c>
      <c r="Y40" s="30">
        <f t="shared" si="139"/>
        <v>0</v>
      </c>
      <c r="Z40" s="30">
        <f t="shared" si="139"/>
        <v>1137.3</v>
      </c>
      <c r="AA40" s="30">
        <f t="shared" si="139"/>
        <v>0</v>
      </c>
      <c r="AB40" s="30">
        <f t="shared" si="139"/>
        <v>0</v>
      </c>
      <c r="AC40" s="30">
        <f t="shared" si="139"/>
        <v>0</v>
      </c>
      <c r="AD40" s="30">
        <f t="shared" si="139"/>
        <v>0</v>
      </c>
      <c r="AE40" s="30">
        <f t="shared" si="139"/>
        <v>0</v>
      </c>
      <c r="AF40" s="40"/>
      <c r="AG40" s="66" t="e">
        <f t="shared" ref="AG40" si="140">SUM(AE40/AA40)-1</f>
        <v>#DIV/0!</v>
      </c>
    </row>
    <row r="41" spans="1:33" ht="12.75" customHeight="1">
      <c r="B41" s="12" t="s">
        <v>66</v>
      </c>
      <c r="C41" s="69">
        <f>C34/C40</f>
        <v>2.8357358653431159</v>
      </c>
      <c r="D41" s="69">
        <f t="shared" ref="D41:F41" si="141">D34/D40</f>
        <v>3.582819421523495</v>
      </c>
      <c r="E41" s="69">
        <f t="shared" si="141"/>
        <v>3.3093291128110467</v>
      </c>
      <c r="F41" s="69" t="e">
        <f t="shared" si="141"/>
        <v>#DIV/0!</v>
      </c>
      <c r="G41" s="25"/>
      <c r="H41" s="69" t="e">
        <f t="shared" ref="H41" si="142">H34/H40</f>
        <v>#DIV/0!</v>
      </c>
      <c r="I41" s="69" t="e">
        <f t="shared" ref="I41" si="143">I34/I40</f>
        <v>#DIV/0!</v>
      </c>
      <c r="J41" s="69" t="e">
        <f t="shared" ref="J41" si="144">J34/J40</f>
        <v>#DIV/0!</v>
      </c>
      <c r="K41" s="69">
        <f t="shared" ref="K41" si="145">K34/K40</f>
        <v>3.582819421523495</v>
      </c>
      <c r="L41" s="69" t="e">
        <f t="shared" ref="L41" si="146">L34/L40</f>
        <v>#DIV/0!</v>
      </c>
      <c r="M41" s="69" t="e">
        <f t="shared" ref="M41" si="147">M34/M40</f>
        <v>#DIV/0!</v>
      </c>
      <c r="N41" s="69" t="e">
        <f t="shared" ref="N41" si="148">N34/N40</f>
        <v>#DIV/0!</v>
      </c>
      <c r="O41" s="69">
        <f t="shared" ref="O41" si="149">O34/O40</f>
        <v>3.3093291128110467</v>
      </c>
      <c r="P41" s="69" t="e">
        <f t="shared" ref="P41" si="150">P34/P40</f>
        <v>#DIV/0!</v>
      </c>
      <c r="Q41" s="69" t="e">
        <f t="shared" ref="Q41" si="151">Q34/Q40</f>
        <v>#DIV/0!</v>
      </c>
      <c r="R41" s="69" t="e">
        <f t="shared" ref="R41" si="152">R34/R40</f>
        <v>#DIV/0!</v>
      </c>
      <c r="S41" s="69" t="e">
        <f t="shared" ref="S41" si="153">S34/S40</f>
        <v>#DIV/0!</v>
      </c>
      <c r="T41" s="69" t="e">
        <f t="shared" ref="T41" si="154">T34/T40</f>
        <v>#DIV/0!</v>
      </c>
      <c r="U41" s="30"/>
      <c r="V41" s="69">
        <f t="shared" ref="V41" si="155">V34/V40</f>
        <v>3.582819421523495</v>
      </c>
      <c r="W41" s="69" t="e">
        <f t="shared" ref="W41" si="156">W34/W40</f>
        <v>#DIV/0!</v>
      </c>
      <c r="X41" s="69" t="e">
        <f t="shared" ref="X41" si="157">X34/X40</f>
        <v>#DIV/0!</v>
      </c>
      <c r="Y41" s="69" t="e">
        <f t="shared" ref="Y41" si="158">Y34/Y40</f>
        <v>#DIV/0!</v>
      </c>
      <c r="Z41" s="69">
        <f t="shared" ref="Z41" si="159">Z34/Z40</f>
        <v>3.3093291128110467</v>
      </c>
      <c r="AA41" s="69" t="e">
        <f t="shared" ref="AA41" si="160">AA34/AA40</f>
        <v>#DIV/0!</v>
      </c>
      <c r="AB41" s="69" t="e">
        <f t="shared" ref="AB41" si="161">AB34/AB40</f>
        <v>#DIV/0!</v>
      </c>
      <c r="AC41" s="69" t="e">
        <f t="shared" ref="AC41" si="162">AC34/AC40</f>
        <v>#DIV/0!</v>
      </c>
      <c r="AD41" s="69" t="e">
        <f t="shared" ref="AD41" si="163">AD34/AD40</f>
        <v>#DIV/0!</v>
      </c>
      <c r="AE41" s="69" t="e">
        <f t="shared" ref="AE41" si="164">AE34/AE40</f>
        <v>#DIV/0!</v>
      </c>
      <c r="AF41" s="33"/>
      <c r="AG41" s="67" t="e">
        <f>SUM(AE41/AA41)-1</f>
        <v>#DIV/0!</v>
      </c>
    </row>
    <row r="42" spans="1:33">
      <c r="B42" s="14"/>
      <c r="C42" s="15"/>
      <c r="D42" s="15"/>
      <c r="E42" s="74"/>
      <c r="F42" s="74"/>
      <c r="G42" s="2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26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40"/>
    </row>
    <row r="43" spans="1:33" ht="12.75" customHeight="1">
      <c r="A43" s="5" t="s">
        <v>17</v>
      </c>
      <c r="B43" s="89" t="s">
        <v>75</v>
      </c>
      <c r="C43" s="90"/>
      <c r="D43" s="90"/>
      <c r="E43" s="90"/>
      <c r="F43" s="90"/>
      <c r="G43" s="91"/>
      <c r="H43" s="90"/>
      <c r="I43" s="90"/>
      <c r="J43" s="90"/>
      <c r="K43" s="90"/>
      <c r="L43" s="90"/>
      <c r="M43" s="90"/>
      <c r="N43" s="90" t="s">
        <v>1</v>
      </c>
      <c r="O43" s="90"/>
      <c r="P43" s="90"/>
      <c r="Q43" s="90"/>
      <c r="R43" s="90"/>
      <c r="S43" s="90"/>
      <c r="T43" s="90"/>
      <c r="U43" s="89"/>
      <c r="V43" s="90"/>
      <c r="W43" s="90"/>
      <c r="X43" s="90"/>
      <c r="Y43" s="90"/>
      <c r="Z43" s="90"/>
      <c r="AA43" s="90" t="s">
        <v>10</v>
      </c>
      <c r="AB43" s="90"/>
      <c r="AC43" s="90"/>
      <c r="AD43" s="90"/>
      <c r="AE43" s="90"/>
      <c r="AF43" s="91"/>
      <c r="AG43" s="150" t="s">
        <v>23</v>
      </c>
    </row>
    <row r="44" spans="1:33" ht="12.75" customHeight="1">
      <c r="B44" s="93" t="str">
        <f>B7</f>
        <v>Fiscal Period</v>
      </c>
      <c r="C44" s="92">
        <f>C7</f>
        <v>2022</v>
      </c>
      <c r="D44" s="92">
        <f>D7</f>
        <v>2023</v>
      </c>
      <c r="E44" s="92">
        <f>E7</f>
        <v>2024</v>
      </c>
      <c r="F44" s="92">
        <f>F7</f>
        <v>2025</v>
      </c>
      <c r="G44" s="91"/>
      <c r="H44" s="92" t="str">
        <f>H7</f>
        <v>1Q23</v>
      </c>
      <c r="I44" s="92" t="str">
        <f>I7</f>
        <v>2Q23</v>
      </c>
      <c r="J44" s="92" t="str">
        <f>J7</f>
        <v>3Q23</v>
      </c>
      <c r="K44" s="92" t="str">
        <f>K7</f>
        <v>4Q23</v>
      </c>
      <c r="L44" s="92" t="str">
        <f>L7</f>
        <v>1Q24</v>
      </c>
      <c r="M44" s="92" t="str">
        <f>M7</f>
        <v>2Q24</v>
      </c>
      <c r="N44" s="92" t="str">
        <f>N7</f>
        <v>3Q24</v>
      </c>
      <c r="O44" s="92" t="str">
        <f>O7</f>
        <v>4Q24</v>
      </c>
      <c r="P44" s="92" t="str">
        <f>P7</f>
        <v>1Q25</v>
      </c>
      <c r="Q44" s="92" t="str">
        <f>Q7</f>
        <v>2Q25</v>
      </c>
      <c r="R44" s="92" t="str">
        <f>R7</f>
        <v>3Q25</v>
      </c>
      <c r="S44" s="92" t="str">
        <f>S7</f>
        <v>4Q25</v>
      </c>
      <c r="T44" s="92" t="str">
        <f>T7</f>
        <v>1Q26</v>
      </c>
      <c r="U44" s="94"/>
      <c r="V44" s="92" t="str">
        <f>V7</f>
        <v>4Q23</v>
      </c>
      <c r="W44" s="92" t="str">
        <f>W7</f>
        <v>1Q24</v>
      </c>
      <c r="X44" s="92" t="str">
        <f>X7</f>
        <v>2Q24</v>
      </c>
      <c r="Y44" s="92" t="str">
        <f>Y7</f>
        <v>3Q24</v>
      </c>
      <c r="Z44" s="92" t="str">
        <f>Z7</f>
        <v>4Q24</v>
      </c>
      <c r="AA44" s="92" t="str">
        <f>AA7</f>
        <v>1Q25</v>
      </c>
      <c r="AB44" s="92" t="str">
        <f>AB7</f>
        <v>2Q25</v>
      </c>
      <c r="AC44" s="92" t="str">
        <f>AC7</f>
        <v>3Q25</v>
      </c>
      <c r="AD44" s="92" t="str">
        <f>AD7</f>
        <v>4Q25</v>
      </c>
      <c r="AE44" s="92" t="str">
        <f>AE7</f>
        <v>1Q26</v>
      </c>
      <c r="AF44" s="91"/>
      <c r="AG44" s="150"/>
    </row>
    <row r="45" spans="1:33" ht="12.75" customHeight="1">
      <c r="B45" s="93" t="str">
        <f>B8</f>
        <v>Fiscal Period End Date</v>
      </c>
      <c r="C45" s="95">
        <f>C8</f>
        <v>44836</v>
      </c>
      <c r="D45" s="95">
        <f>D8</f>
        <v>45200</v>
      </c>
      <c r="E45" s="95">
        <f>E8</f>
        <v>45564</v>
      </c>
      <c r="F45" s="95">
        <f>F8</f>
        <v>0</v>
      </c>
      <c r="G45" s="91"/>
      <c r="H45" s="95" t="str">
        <f>H8</f>
        <v>XXX</v>
      </c>
      <c r="I45" s="95" t="str">
        <f>I8</f>
        <v>XXX</v>
      </c>
      <c r="J45" s="95" t="str">
        <f>J8</f>
        <v>XXX</v>
      </c>
      <c r="K45" s="95">
        <f>K8</f>
        <v>45200</v>
      </c>
      <c r="L45" s="95" t="str">
        <f>L8</f>
        <v>XXX</v>
      </c>
      <c r="M45" s="95" t="str">
        <f>M8</f>
        <v>XXX</v>
      </c>
      <c r="N45" s="95" t="str">
        <f>N8</f>
        <v>XXX</v>
      </c>
      <c r="O45" s="95">
        <f>O8</f>
        <v>45564</v>
      </c>
      <c r="P45" s="95" t="str">
        <f>P8</f>
        <v>XXX</v>
      </c>
      <c r="Q45" s="95" t="str">
        <f>Q8</f>
        <v>XXX</v>
      </c>
      <c r="R45" s="95" t="str">
        <f>R8</f>
        <v>XXX</v>
      </c>
      <c r="S45" s="95">
        <f>S8</f>
        <v>0</v>
      </c>
      <c r="T45" s="95" t="str">
        <f>T8</f>
        <v>XXX</v>
      </c>
      <c r="U45" s="96"/>
      <c r="V45" s="95">
        <f>V8</f>
        <v>45200</v>
      </c>
      <c r="W45" s="95" t="str">
        <f>W8</f>
        <v>XXX</v>
      </c>
      <c r="X45" s="95" t="str">
        <f>X8</f>
        <v>XXX</v>
      </c>
      <c r="Y45" s="95" t="str">
        <f>Y8</f>
        <v>XXX</v>
      </c>
      <c r="Z45" s="95">
        <f>Z8</f>
        <v>45564</v>
      </c>
      <c r="AA45" s="95" t="str">
        <f>AA8</f>
        <v>XXX</v>
      </c>
      <c r="AB45" s="95" t="str">
        <f>AB8</f>
        <v>XXX</v>
      </c>
      <c r="AC45" s="95" t="str">
        <f>AC8</f>
        <v>XXX</v>
      </c>
      <c r="AD45" s="95">
        <f>AD8</f>
        <v>0</v>
      </c>
      <c r="AE45" s="95" t="str">
        <f>AE8</f>
        <v>XXX</v>
      </c>
      <c r="AF45" s="91"/>
      <c r="AG45" s="150"/>
    </row>
    <row r="46" spans="1:33" ht="5.0999999999999996" customHeight="1">
      <c r="B46" s="43"/>
      <c r="C46" s="44"/>
      <c r="D46" s="44"/>
      <c r="E46" s="44"/>
      <c r="F46" s="44"/>
    </row>
    <row r="47" spans="1:33">
      <c r="B47" s="70" t="s">
        <v>81</v>
      </c>
      <c r="C47" s="44"/>
      <c r="D47" s="44"/>
      <c r="E47" s="44"/>
      <c r="F47" s="44"/>
    </row>
    <row r="48" spans="1:33" ht="12.75" customHeight="1">
      <c r="B48" s="9" t="s">
        <v>164</v>
      </c>
      <c r="C48" s="103">
        <v>2818.4</v>
      </c>
      <c r="D48" s="103">
        <v>3551.5</v>
      </c>
      <c r="E48" s="103">
        <v>3286.2</v>
      </c>
      <c r="F48" s="103"/>
      <c r="H48" s="103"/>
      <c r="I48" s="103"/>
      <c r="J48" s="103"/>
      <c r="K48" s="80">
        <f t="shared" ref="K48:K52" si="165">D48</f>
        <v>3551.5</v>
      </c>
      <c r="L48" s="103"/>
      <c r="M48" s="103"/>
      <c r="N48" s="103"/>
      <c r="O48" s="80">
        <f t="shared" ref="O48:O52" si="166">E48</f>
        <v>3286.2</v>
      </c>
      <c r="P48" s="103"/>
      <c r="Q48" s="103"/>
      <c r="R48" s="103"/>
      <c r="S48" s="30">
        <f t="shared" ref="S48:S52" si="167">F48</f>
        <v>0</v>
      </c>
      <c r="T48" s="103"/>
      <c r="U48" s="80"/>
      <c r="V48" s="30">
        <f t="shared" ref="V48" si="168">K48</f>
        <v>3551.5</v>
      </c>
      <c r="W48" s="30">
        <f t="shared" ref="W48" si="169">L48</f>
        <v>0</v>
      </c>
      <c r="X48" s="30">
        <f t="shared" ref="X48" si="170">M48</f>
        <v>0</v>
      </c>
      <c r="Y48" s="30">
        <f t="shared" ref="Y48" si="171">N48</f>
        <v>0</v>
      </c>
      <c r="Z48" s="30">
        <f t="shared" ref="Z48" si="172">O48</f>
        <v>3286.2</v>
      </c>
      <c r="AA48" s="30">
        <f t="shared" ref="AA48" si="173">P48</f>
        <v>0</v>
      </c>
      <c r="AB48" s="30">
        <f t="shared" ref="AB48" si="174">Q48</f>
        <v>0</v>
      </c>
      <c r="AC48" s="30">
        <f t="shared" ref="AC48" si="175">R48</f>
        <v>0</v>
      </c>
      <c r="AD48" s="30">
        <f t="shared" ref="AD48" si="176">S48</f>
        <v>0</v>
      </c>
      <c r="AE48" s="30">
        <f t="shared" ref="AE48" si="177">T48</f>
        <v>0</v>
      </c>
      <c r="AF48" s="11"/>
      <c r="AG48" s="66" t="e">
        <f t="shared" ref="AG48:AG52" si="178">SUM(AE48/AA48)-1</f>
        <v>#DIV/0!</v>
      </c>
    </row>
    <row r="49" spans="2:33" ht="12.75" customHeight="1">
      <c r="B49" s="9" t="s">
        <v>165</v>
      </c>
      <c r="C49" s="103">
        <v>364.5</v>
      </c>
      <c r="D49" s="103">
        <v>401.5</v>
      </c>
      <c r="E49" s="103">
        <v>257</v>
      </c>
      <c r="F49" s="103"/>
      <c r="H49" s="103"/>
      <c r="I49" s="103"/>
      <c r="J49" s="103"/>
      <c r="K49" s="80">
        <f t="shared" si="165"/>
        <v>401.5</v>
      </c>
      <c r="L49" s="103"/>
      <c r="M49" s="103"/>
      <c r="N49" s="103"/>
      <c r="O49" s="80">
        <f t="shared" si="166"/>
        <v>257</v>
      </c>
      <c r="P49" s="103"/>
      <c r="Q49" s="103"/>
      <c r="R49" s="103"/>
      <c r="S49" s="30">
        <f t="shared" si="167"/>
        <v>0</v>
      </c>
      <c r="T49" s="103"/>
      <c r="U49" s="80"/>
      <c r="V49" s="30">
        <f t="shared" ref="V49:V52" si="179">K49</f>
        <v>401.5</v>
      </c>
      <c r="W49" s="30">
        <f t="shared" ref="W49:W52" si="180">L49</f>
        <v>0</v>
      </c>
      <c r="X49" s="30">
        <f t="shared" ref="X49:X52" si="181">M49</f>
        <v>0</v>
      </c>
      <c r="Y49" s="30">
        <f t="shared" ref="Y49:Y52" si="182">N49</f>
        <v>0</v>
      </c>
      <c r="Z49" s="30">
        <f t="shared" ref="Z49:Z52" si="183">O49</f>
        <v>257</v>
      </c>
      <c r="AA49" s="30">
        <f t="shared" ref="AA49:AA52" si="184">P49</f>
        <v>0</v>
      </c>
      <c r="AB49" s="30">
        <f t="shared" ref="AB49:AB52" si="185">Q49</f>
        <v>0</v>
      </c>
      <c r="AC49" s="30">
        <f t="shared" ref="AC49:AC52" si="186">R49</f>
        <v>0</v>
      </c>
      <c r="AD49" s="30">
        <f t="shared" ref="AD49:AD52" si="187">S49</f>
        <v>0</v>
      </c>
      <c r="AE49" s="30">
        <f t="shared" ref="AE49:AE52" si="188">T49</f>
        <v>0</v>
      </c>
      <c r="AF49" s="11"/>
      <c r="AG49" s="66" t="e">
        <f t="shared" si="178"/>
        <v>#DIV/0!</v>
      </c>
    </row>
    <row r="50" spans="2:33" ht="12.75" customHeight="1">
      <c r="B50" s="9" t="s">
        <v>166</v>
      </c>
      <c r="C50" s="103">
        <v>1175.5</v>
      </c>
      <c r="D50" s="103">
        <v>1184.0999999999999</v>
      </c>
      <c r="E50" s="103">
        <v>1213.8</v>
      </c>
      <c r="F50" s="103"/>
      <c r="H50" s="103"/>
      <c r="I50" s="103"/>
      <c r="J50" s="103"/>
      <c r="K50" s="80">
        <f t="shared" si="165"/>
        <v>1184.0999999999999</v>
      </c>
      <c r="L50" s="103"/>
      <c r="M50" s="103"/>
      <c r="N50" s="103"/>
      <c r="O50" s="80">
        <f t="shared" si="166"/>
        <v>1213.8</v>
      </c>
      <c r="P50" s="103"/>
      <c r="Q50" s="103"/>
      <c r="R50" s="103"/>
      <c r="S50" s="30">
        <f t="shared" ref="S50" si="189">F50</f>
        <v>0</v>
      </c>
      <c r="T50" s="103"/>
      <c r="U50" s="80"/>
      <c r="V50" s="30">
        <f t="shared" si="179"/>
        <v>1184.0999999999999</v>
      </c>
      <c r="W50" s="30">
        <f t="shared" si="180"/>
        <v>0</v>
      </c>
      <c r="X50" s="30">
        <f t="shared" si="181"/>
        <v>0</v>
      </c>
      <c r="Y50" s="30">
        <f t="shared" si="182"/>
        <v>0</v>
      </c>
      <c r="Z50" s="30">
        <f t="shared" si="183"/>
        <v>1213.8</v>
      </c>
      <c r="AA50" s="30">
        <f t="shared" si="184"/>
        <v>0</v>
      </c>
      <c r="AB50" s="30">
        <f t="shared" si="185"/>
        <v>0</v>
      </c>
      <c r="AC50" s="30">
        <f t="shared" si="186"/>
        <v>0</v>
      </c>
      <c r="AD50" s="30">
        <f t="shared" si="187"/>
        <v>0</v>
      </c>
      <c r="AE50" s="30">
        <f t="shared" si="188"/>
        <v>0</v>
      </c>
      <c r="AF50" s="11"/>
      <c r="AG50" s="66" t="e">
        <f t="shared" ref="AG50" si="190">SUM(AE50/AA50)-1</f>
        <v>#DIV/0!</v>
      </c>
    </row>
    <row r="51" spans="2:33" ht="12.75" customHeight="1">
      <c r="B51" s="9" t="s">
        <v>167</v>
      </c>
      <c r="C51" s="103">
        <v>2176.6</v>
      </c>
      <c r="D51" s="103">
        <v>1806.4</v>
      </c>
      <c r="E51" s="103">
        <v>1777.3</v>
      </c>
      <c r="F51" s="103"/>
      <c r="H51" s="103"/>
      <c r="I51" s="103"/>
      <c r="J51" s="103"/>
      <c r="K51" s="80">
        <f t="shared" si="165"/>
        <v>1806.4</v>
      </c>
      <c r="L51" s="103"/>
      <c r="M51" s="103"/>
      <c r="N51" s="103"/>
      <c r="O51" s="80">
        <f t="shared" si="166"/>
        <v>1777.3</v>
      </c>
      <c r="P51" s="103"/>
      <c r="Q51" s="103"/>
      <c r="R51" s="103"/>
      <c r="S51" s="30">
        <f t="shared" si="167"/>
        <v>0</v>
      </c>
      <c r="T51" s="103"/>
      <c r="U51" s="80"/>
      <c r="V51" s="30">
        <f t="shared" si="179"/>
        <v>1806.4</v>
      </c>
      <c r="W51" s="30">
        <f t="shared" si="180"/>
        <v>0</v>
      </c>
      <c r="X51" s="30">
        <f t="shared" si="181"/>
        <v>0</v>
      </c>
      <c r="Y51" s="30">
        <f t="shared" si="182"/>
        <v>0</v>
      </c>
      <c r="Z51" s="30">
        <f t="shared" si="183"/>
        <v>1777.3</v>
      </c>
      <c r="AA51" s="30">
        <f t="shared" si="184"/>
        <v>0</v>
      </c>
      <c r="AB51" s="30">
        <f t="shared" si="185"/>
        <v>0</v>
      </c>
      <c r="AC51" s="30">
        <f t="shared" si="186"/>
        <v>0</v>
      </c>
      <c r="AD51" s="30">
        <f t="shared" si="187"/>
        <v>0</v>
      </c>
      <c r="AE51" s="30">
        <f t="shared" si="188"/>
        <v>0</v>
      </c>
      <c r="AF51" s="11"/>
      <c r="AG51" s="66" t="e">
        <f t="shared" si="178"/>
        <v>#DIV/0!</v>
      </c>
    </row>
    <row r="52" spans="2:33" ht="12.75" customHeight="1">
      <c r="B52" s="9" t="s">
        <v>168</v>
      </c>
      <c r="C52" s="103">
        <v>483.7</v>
      </c>
      <c r="D52" s="103">
        <v>359.9</v>
      </c>
      <c r="E52" s="103">
        <v>313.10000000000002</v>
      </c>
      <c r="F52" s="103"/>
      <c r="H52" s="103"/>
      <c r="I52" s="103"/>
      <c r="J52" s="103"/>
      <c r="K52" s="80">
        <f t="shared" si="165"/>
        <v>359.9</v>
      </c>
      <c r="L52" s="103"/>
      <c r="M52" s="103"/>
      <c r="N52" s="103"/>
      <c r="O52" s="80">
        <f t="shared" si="166"/>
        <v>313.10000000000002</v>
      </c>
      <c r="P52" s="103"/>
      <c r="Q52" s="103"/>
      <c r="R52" s="103"/>
      <c r="S52" s="30">
        <f t="shared" si="167"/>
        <v>0</v>
      </c>
      <c r="T52" s="103"/>
      <c r="U52" s="80"/>
      <c r="V52" s="30">
        <f t="shared" si="179"/>
        <v>359.9</v>
      </c>
      <c r="W52" s="30">
        <f t="shared" si="180"/>
        <v>0</v>
      </c>
      <c r="X52" s="30">
        <f t="shared" si="181"/>
        <v>0</v>
      </c>
      <c r="Y52" s="30">
        <f t="shared" si="182"/>
        <v>0</v>
      </c>
      <c r="Z52" s="30">
        <f t="shared" si="183"/>
        <v>313.10000000000002</v>
      </c>
      <c r="AA52" s="30">
        <f t="shared" si="184"/>
        <v>0</v>
      </c>
      <c r="AB52" s="30">
        <f t="shared" si="185"/>
        <v>0</v>
      </c>
      <c r="AC52" s="30">
        <f t="shared" si="186"/>
        <v>0</v>
      </c>
      <c r="AD52" s="30">
        <f t="shared" si="187"/>
        <v>0</v>
      </c>
      <c r="AE52" s="30">
        <f t="shared" si="188"/>
        <v>0</v>
      </c>
      <c r="AF52" s="11"/>
      <c r="AG52" s="66" t="e">
        <f t="shared" si="178"/>
        <v>#DIV/0!</v>
      </c>
    </row>
    <row r="53" spans="2:33" ht="12.75" customHeight="1">
      <c r="B53" s="23" t="s">
        <v>19</v>
      </c>
      <c r="C53" s="24">
        <f>SUM(C48:C52)</f>
        <v>7018.7</v>
      </c>
      <c r="D53" s="24">
        <f>SUM(D48:D52)</f>
        <v>7303.4</v>
      </c>
      <c r="E53" s="24">
        <f>SUM(E48:E52)</f>
        <v>6847.4000000000005</v>
      </c>
      <c r="F53" s="24">
        <f>SUM(F48:F52)</f>
        <v>0</v>
      </c>
      <c r="G53" s="45"/>
      <c r="H53" s="24">
        <f>SUM(H48:H52)</f>
        <v>0</v>
      </c>
      <c r="I53" s="24">
        <f>SUM(I48:I52)</f>
        <v>0</v>
      </c>
      <c r="J53" s="24">
        <f>SUM(J48:J52)</f>
        <v>0</v>
      </c>
      <c r="K53" s="24">
        <f>SUM(K48:K52)</f>
        <v>7303.4</v>
      </c>
      <c r="L53" s="24">
        <f>SUM(L48:L52)</f>
        <v>0</v>
      </c>
      <c r="M53" s="24">
        <f>SUM(M48:M52)</f>
        <v>0</v>
      </c>
      <c r="N53" s="24">
        <f>SUM(N48:N52)</f>
        <v>0</v>
      </c>
      <c r="O53" s="24">
        <f>SUM(O48:O52)</f>
        <v>6847.4000000000005</v>
      </c>
      <c r="P53" s="24">
        <f>SUM(P48:P52)</f>
        <v>0</v>
      </c>
      <c r="Q53" s="24">
        <f>SUM(Q48:Q52)</f>
        <v>0</v>
      </c>
      <c r="R53" s="24">
        <f>SUM(R48:R52)</f>
        <v>0</v>
      </c>
      <c r="S53" s="24">
        <f>SUM(S48:S52)</f>
        <v>0</v>
      </c>
      <c r="T53" s="24">
        <f>SUM(T48:T52)</f>
        <v>0</v>
      </c>
      <c r="U53" s="45"/>
      <c r="V53" s="24">
        <f>SUM(V48:V52)</f>
        <v>7303.4</v>
      </c>
      <c r="W53" s="24">
        <f>SUM(W48:W52)</f>
        <v>0</v>
      </c>
      <c r="X53" s="24">
        <f>SUM(X48:X52)</f>
        <v>0</v>
      </c>
      <c r="Y53" s="24">
        <f>SUM(Y48:Y52)</f>
        <v>0</v>
      </c>
      <c r="Z53" s="24">
        <f>SUM(Z48:Z52)</f>
        <v>6847.4000000000005</v>
      </c>
      <c r="AA53" s="24">
        <f>SUM(AA48:AA52)</f>
        <v>0</v>
      </c>
      <c r="AB53" s="24">
        <f>SUM(AB48:AB52)</f>
        <v>0</v>
      </c>
      <c r="AC53" s="24">
        <f>SUM(AC48:AC52)</f>
        <v>0</v>
      </c>
      <c r="AD53" s="24">
        <f>SUM(AD48:AD52)</f>
        <v>0</v>
      </c>
      <c r="AE53" s="24">
        <f>SUM(AE48:AE52)</f>
        <v>0</v>
      </c>
      <c r="AF53" s="39"/>
      <c r="AG53" s="67" t="e">
        <f>SUM(AE53/AA53)-1</f>
        <v>#DIV/0!</v>
      </c>
    </row>
    <row r="54" spans="2:33" ht="5.0999999999999996" customHeight="1">
      <c r="B54" s="23"/>
      <c r="C54" s="38"/>
      <c r="D54" s="38"/>
      <c r="E54" s="38"/>
      <c r="F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6"/>
    </row>
    <row r="55" spans="2:33" ht="12.75" customHeight="1">
      <c r="B55" s="70" t="s">
        <v>82</v>
      </c>
      <c r="C55" s="74"/>
      <c r="D55" s="74"/>
      <c r="E55" s="74"/>
      <c r="F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11"/>
      <c r="AG55" s="66"/>
    </row>
    <row r="56" spans="2:33" ht="12.75" customHeight="1">
      <c r="B56" s="9" t="s">
        <v>169</v>
      </c>
      <c r="C56" s="74">
        <v>279.10000000000002</v>
      </c>
      <c r="D56" s="74">
        <v>247.4</v>
      </c>
      <c r="E56" s="74">
        <v>276</v>
      </c>
      <c r="F56" s="74"/>
      <c r="H56" s="103"/>
      <c r="I56" s="103"/>
      <c r="J56" s="103"/>
      <c r="K56" s="80">
        <f t="shared" ref="K56:K63" si="191">D56</f>
        <v>247.4</v>
      </c>
      <c r="L56" s="103"/>
      <c r="M56" s="103"/>
      <c r="N56" s="103"/>
      <c r="O56" s="80">
        <f t="shared" ref="O56:O63" si="192">E56</f>
        <v>276</v>
      </c>
      <c r="P56" s="103"/>
      <c r="Q56" s="103"/>
      <c r="R56" s="103"/>
      <c r="S56" s="30">
        <f t="shared" ref="S56:S63" si="193">F56</f>
        <v>0</v>
      </c>
      <c r="T56" s="103"/>
      <c r="V56" s="30">
        <f t="shared" ref="V56:V63" si="194">K56</f>
        <v>247.4</v>
      </c>
      <c r="W56" s="30">
        <f t="shared" ref="W56:W63" si="195">L56</f>
        <v>0</v>
      </c>
      <c r="X56" s="30">
        <f t="shared" ref="X56:X63" si="196">M56</f>
        <v>0</v>
      </c>
      <c r="Y56" s="30">
        <f t="shared" ref="Y56:Y63" si="197">N56</f>
        <v>0</v>
      </c>
      <c r="Z56" s="30">
        <f t="shared" ref="Z56:Z63" si="198">O56</f>
        <v>276</v>
      </c>
      <c r="AA56" s="30">
        <f t="shared" ref="AA56:AA63" si="199">P56</f>
        <v>0</v>
      </c>
      <c r="AB56" s="30">
        <f t="shared" ref="AB56:AB63" si="200">Q56</f>
        <v>0</v>
      </c>
      <c r="AC56" s="30">
        <f t="shared" ref="AC56:AC63" si="201">R56</f>
        <v>0</v>
      </c>
      <c r="AD56" s="30">
        <f t="shared" ref="AD56:AD63" si="202">S56</f>
        <v>0</v>
      </c>
      <c r="AE56" s="30">
        <f t="shared" ref="AE56:AE63" si="203">T56</f>
        <v>0</v>
      </c>
      <c r="AF56" s="11"/>
      <c r="AG56" s="66" t="e">
        <f t="shared" ref="AG56:AG63" si="204">SUM(AE56/AA56)-1</f>
        <v>#DIV/0!</v>
      </c>
    </row>
    <row r="57" spans="2:33" ht="12.75" customHeight="1">
      <c r="B57" s="9" t="s">
        <v>170</v>
      </c>
      <c r="C57" s="74">
        <v>311.2</v>
      </c>
      <c r="D57" s="74">
        <v>439.9</v>
      </c>
      <c r="E57" s="74">
        <v>463.9</v>
      </c>
      <c r="F57" s="74"/>
      <c r="H57" s="103"/>
      <c r="I57" s="103"/>
      <c r="J57" s="103"/>
      <c r="K57" s="80">
        <f t="shared" si="191"/>
        <v>439.9</v>
      </c>
      <c r="L57" s="103"/>
      <c r="M57" s="103"/>
      <c r="N57" s="103"/>
      <c r="O57" s="80">
        <f t="shared" si="192"/>
        <v>463.9</v>
      </c>
      <c r="P57" s="103"/>
      <c r="Q57" s="103"/>
      <c r="R57" s="103"/>
      <c r="S57" s="30">
        <f t="shared" si="193"/>
        <v>0</v>
      </c>
      <c r="T57" s="103"/>
      <c r="V57" s="30">
        <f t="shared" si="194"/>
        <v>439.9</v>
      </c>
      <c r="W57" s="30">
        <f t="shared" si="195"/>
        <v>0</v>
      </c>
      <c r="X57" s="30">
        <f t="shared" si="196"/>
        <v>0</v>
      </c>
      <c r="Y57" s="30">
        <f t="shared" si="197"/>
        <v>0</v>
      </c>
      <c r="Z57" s="30">
        <f t="shared" si="198"/>
        <v>463.9</v>
      </c>
      <c r="AA57" s="30">
        <f t="shared" si="199"/>
        <v>0</v>
      </c>
      <c r="AB57" s="30">
        <f t="shared" si="200"/>
        <v>0</v>
      </c>
      <c r="AC57" s="30">
        <f t="shared" si="201"/>
        <v>0</v>
      </c>
      <c r="AD57" s="30">
        <f t="shared" si="202"/>
        <v>0</v>
      </c>
      <c r="AE57" s="30">
        <f t="shared" si="203"/>
        <v>0</v>
      </c>
      <c r="AF57" s="11"/>
      <c r="AG57" s="66" t="e">
        <f t="shared" si="204"/>
        <v>#DIV/0!</v>
      </c>
    </row>
    <row r="58" spans="2:33" ht="12.75" customHeight="1">
      <c r="B58" s="9" t="s">
        <v>171</v>
      </c>
      <c r="C58" s="74">
        <v>6560.5</v>
      </c>
      <c r="D58" s="74">
        <v>7387.1</v>
      </c>
      <c r="E58" s="74">
        <v>8665.5</v>
      </c>
      <c r="F58" s="74"/>
      <c r="H58" s="103"/>
      <c r="I58" s="103"/>
      <c r="J58" s="103"/>
      <c r="K58" s="80">
        <f t="shared" si="191"/>
        <v>7387.1</v>
      </c>
      <c r="L58" s="103"/>
      <c r="M58" s="103"/>
      <c r="N58" s="103"/>
      <c r="O58" s="80">
        <f t="shared" si="192"/>
        <v>8665.5</v>
      </c>
      <c r="P58" s="103"/>
      <c r="Q58" s="103"/>
      <c r="R58" s="103"/>
      <c r="S58" s="30">
        <f t="shared" si="193"/>
        <v>0</v>
      </c>
      <c r="T58" s="103"/>
      <c r="V58" s="30">
        <f t="shared" ref="V58:V59" si="205">K58</f>
        <v>7387.1</v>
      </c>
      <c r="W58" s="30">
        <f t="shared" ref="W58:W59" si="206">L58</f>
        <v>0</v>
      </c>
      <c r="X58" s="30">
        <f t="shared" ref="X58:X59" si="207">M58</f>
        <v>0</v>
      </c>
      <c r="Y58" s="30">
        <f t="shared" ref="Y58:Y59" si="208">N58</f>
        <v>0</v>
      </c>
      <c r="Z58" s="30">
        <f t="shared" ref="Z58:Z59" si="209">O58</f>
        <v>8665.5</v>
      </c>
      <c r="AA58" s="30">
        <f t="shared" ref="AA58:AA59" si="210">P58</f>
        <v>0</v>
      </c>
      <c r="AB58" s="30">
        <f t="shared" ref="AB58:AB59" si="211">Q58</f>
        <v>0</v>
      </c>
      <c r="AC58" s="30">
        <f t="shared" ref="AC58:AC59" si="212">R58</f>
        <v>0</v>
      </c>
      <c r="AD58" s="30">
        <f t="shared" ref="AD58:AD59" si="213">S58</f>
        <v>0</v>
      </c>
      <c r="AE58" s="30">
        <f t="shared" ref="AE58:AE59" si="214">T58</f>
        <v>0</v>
      </c>
      <c r="AF58" s="11"/>
      <c r="AG58" s="66" t="e">
        <f t="shared" si="204"/>
        <v>#DIV/0!</v>
      </c>
    </row>
    <row r="59" spans="2:33" ht="12.75" customHeight="1">
      <c r="B59" s="9" t="s">
        <v>172</v>
      </c>
      <c r="C59" s="74">
        <v>8015.6</v>
      </c>
      <c r="D59" s="74">
        <v>8412.6</v>
      </c>
      <c r="E59" s="74">
        <v>9286.2000000000007</v>
      </c>
      <c r="F59" s="74"/>
      <c r="H59" s="103"/>
      <c r="I59" s="103"/>
      <c r="J59" s="103"/>
      <c r="K59" s="80">
        <f t="shared" si="191"/>
        <v>8412.6</v>
      </c>
      <c r="L59" s="103"/>
      <c r="M59" s="103"/>
      <c r="N59" s="103"/>
      <c r="O59" s="80">
        <f t="shared" si="192"/>
        <v>9286.2000000000007</v>
      </c>
      <c r="P59" s="103"/>
      <c r="Q59" s="103"/>
      <c r="R59" s="103"/>
      <c r="S59" s="30">
        <f t="shared" si="193"/>
        <v>0</v>
      </c>
      <c r="T59" s="103"/>
      <c r="V59" s="30">
        <f t="shared" si="205"/>
        <v>8412.6</v>
      </c>
      <c r="W59" s="30">
        <f t="shared" si="206"/>
        <v>0</v>
      </c>
      <c r="X59" s="30">
        <f t="shared" si="207"/>
        <v>0</v>
      </c>
      <c r="Y59" s="30">
        <f t="shared" si="208"/>
        <v>0</v>
      </c>
      <c r="Z59" s="30">
        <f t="shared" si="209"/>
        <v>9286.2000000000007</v>
      </c>
      <c r="AA59" s="30">
        <f t="shared" si="210"/>
        <v>0</v>
      </c>
      <c r="AB59" s="30">
        <f t="shared" si="211"/>
        <v>0</v>
      </c>
      <c r="AC59" s="30">
        <f t="shared" si="212"/>
        <v>0</v>
      </c>
      <c r="AD59" s="30">
        <f t="shared" si="213"/>
        <v>0</v>
      </c>
      <c r="AE59" s="30">
        <f t="shared" si="214"/>
        <v>0</v>
      </c>
      <c r="AF59" s="11"/>
      <c r="AG59" s="66" t="e">
        <f t="shared" si="204"/>
        <v>#DIV/0!</v>
      </c>
    </row>
    <row r="60" spans="2:33" ht="12.75" customHeight="1">
      <c r="B60" s="9" t="s">
        <v>173</v>
      </c>
      <c r="C60" s="74">
        <v>1799.7</v>
      </c>
      <c r="D60" s="74">
        <v>1769.8</v>
      </c>
      <c r="E60" s="74">
        <v>1766.7</v>
      </c>
      <c r="F60" s="74"/>
      <c r="H60" s="103"/>
      <c r="I60" s="103"/>
      <c r="J60" s="103"/>
      <c r="K60" s="80">
        <f t="shared" ref="K60:K61" si="215">D60</f>
        <v>1769.8</v>
      </c>
      <c r="L60" s="103"/>
      <c r="M60" s="103"/>
      <c r="N60" s="103"/>
      <c r="O60" s="80">
        <f t="shared" ref="O60:O61" si="216">E60</f>
        <v>1766.7</v>
      </c>
      <c r="P60" s="103"/>
      <c r="Q60" s="103"/>
      <c r="R60" s="103"/>
      <c r="S60" s="30">
        <f t="shared" ref="S60:S61" si="217">F60</f>
        <v>0</v>
      </c>
      <c r="T60" s="103"/>
      <c r="V60" s="30">
        <f t="shared" si="194"/>
        <v>1769.8</v>
      </c>
      <c r="W60" s="30">
        <f t="shared" si="195"/>
        <v>0</v>
      </c>
      <c r="X60" s="30">
        <f t="shared" si="196"/>
        <v>0</v>
      </c>
      <c r="Y60" s="30">
        <f t="shared" si="197"/>
        <v>0</v>
      </c>
      <c r="Z60" s="30">
        <f t="shared" si="198"/>
        <v>1766.7</v>
      </c>
      <c r="AA60" s="30">
        <f t="shared" si="199"/>
        <v>0</v>
      </c>
      <c r="AB60" s="30">
        <f t="shared" si="200"/>
        <v>0</v>
      </c>
      <c r="AC60" s="30">
        <f t="shared" si="201"/>
        <v>0</v>
      </c>
      <c r="AD60" s="30">
        <f t="shared" si="202"/>
        <v>0</v>
      </c>
      <c r="AE60" s="30">
        <f t="shared" si="203"/>
        <v>0</v>
      </c>
      <c r="AF60" s="11"/>
      <c r="AG60" s="66" t="e">
        <f t="shared" ref="AG60:AG61" si="218">SUM(AE60/AA60)-1</f>
        <v>#DIV/0!</v>
      </c>
    </row>
    <row r="61" spans="2:33" ht="12.75" customHeight="1">
      <c r="B61" s="9" t="s">
        <v>174</v>
      </c>
      <c r="C61" s="74">
        <v>554.20000000000005</v>
      </c>
      <c r="D61" s="74">
        <v>546.5</v>
      </c>
      <c r="E61" s="74">
        <v>617</v>
      </c>
      <c r="F61" s="74"/>
      <c r="H61" s="103"/>
      <c r="I61" s="103"/>
      <c r="J61" s="103"/>
      <c r="K61" s="80">
        <f t="shared" si="215"/>
        <v>546.5</v>
      </c>
      <c r="L61" s="103"/>
      <c r="M61" s="103"/>
      <c r="N61" s="103"/>
      <c r="O61" s="80">
        <f t="shared" si="216"/>
        <v>617</v>
      </c>
      <c r="P61" s="103"/>
      <c r="Q61" s="103"/>
      <c r="R61" s="103"/>
      <c r="S61" s="30">
        <f t="shared" si="217"/>
        <v>0</v>
      </c>
      <c r="T61" s="103"/>
      <c r="V61" s="30">
        <f t="shared" si="194"/>
        <v>546.5</v>
      </c>
      <c r="W61" s="30">
        <f t="shared" si="195"/>
        <v>0</v>
      </c>
      <c r="X61" s="30">
        <f t="shared" si="196"/>
        <v>0</v>
      </c>
      <c r="Y61" s="30">
        <f t="shared" si="197"/>
        <v>0</v>
      </c>
      <c r="Z61" s="30">
        <f t="shared" si="198"/>
        <v>617</v>
      </c>
      <c r="AA61" s="30">
        <f t="shared" si="199"/>
        <v>0</v>
      </c>
      <c r="AB61" s="30">
        <f t="shared" si="200"/>
        <v>0</v>
      </c>
      <c r="AC61" s="30">
        <f t="shared" si="201"/>
        <v>0</v>
      </c>
      <c r="AD61" s="30">
        <f t="shared" si="202"/>
        <v>0</v>
      </c>
      <c r="AE61" s="30">
        <f t="shared" si="203"/>
        <v>0</v>
      </c>
      <c r="AF61" s="11"/>
      <c r="AG61" s="66" t="e">
        <f t="shared" si="218"/>
        <v>#DIV/0!</v>
      </c>
    </row>
    <row r="62" spans="2:33" ht="12.75" customHeight="1">
      <c r="B62" s="9" t="s">
        <v>175</v>
      </c>
      <c r="C62" s="74">
        <v>155.9</v>
      </c>
      <c r="D62" s="74">
        <v>120.5</v>
      </c>
      <c r="E62" s="74">
        <v>100.9</v>
      </c>
      <c r="F62" s="74"/>
      <c r="H62" s="103"/>
      <c r="I62" s="103"/>
      <c r="J62" s="103"/>
      <c r="K62" s="80">
        <f t="shared" si="191"/>
        <v>120.5</v>
      </c>
      <c r="L62" s="103"/>
      <c r="M62" s="103"/>
      <c r="N62" s="103"/>
      <c r="O62" s="80">
        <f t="shared" si="192"/>
        <v>100.9</v>
      </c>
      <c r="P62" s="103"/>
      <c r="Q62" s="103"/>
      <c r="R62" s="103"/>
      <c r="S62" s="30">
        <f t="shared" si="193"/>
        <v>0</v>
      </c>
      <c r="T62" s="103"/>
      <c r="V62" s="30">
        <f t="shared" si="194"/>
        <v>120.5</v>
      </c>
      <c r="W62" s="30">
        <f t="shared" si="195"/>
        <v>0</v>
      </c>
      <c r="X62" s="30">
        <f t="shared" si="196"/>
        <v>0</v>
      </c>
      <c r="Y62" s="30">
        <f t="shared" si="197"/>
        <v>0</v>
      </c>
      <c r="Z62" s="30">
        <f t="shared" si="198"/>
        <v>100.9</v>
      </c>
      <c r="AA62" s="30">
        <f t="shared" si="199"/>
        <v>0</v>
      </c>
      <c r="AB62" s="30">
        <f t="shared" si="200"/>
        <v>0</v>
      </c>
      <c r="AC62" s="30">
        <f t="shared" si="201"/>
        <v>0</v>
      </c>
      <c r="AD62" s="30">
        <f t="shared" si="202"/>
        <v>0</v>
      </c>
      <c r="AE62" s="30">
        <f t="shared" si="203"/>
        <v>0</v>
      </c>
      <c r="AF62" s="11"/>
      <c r="AG62" s="66" t="e">
        <f t="shared" si="204"/>
        <v>#DIV/0!</v>
      </c>
    </row>
    <row r="63" spans="2:33" ht="12.75" customHeight="1">
      <c r="B63" s="9" t="s">
        <v>176</v>
      </c>
      <c r="C63" s="74">
        <v>3283.5</v>
      </c>
      <c r="D63" s="74">
        <v>3218.3</v>
      </c>
      <c r="E63" s="74">
        <v>3315.7</v>
      </c>
      <c r="F63" s="74"/>
      <c r="H63" s="103"/>
      <c r="I63" s="103"/>
      <c r="J63" s="103"/>
      <c r="K63" s="80">
        <f t="shared" si="191"/>
        <v>3218.3</v>
      </c>
      <c r="L63" s="103"/>
      <c r="M63" s="103"/>
      <c r="N63" s="103"/>
      <c r="O63" s="80">
        <f t="shared" si="192"/>
        <v>3315.7</v>
      </c>
      <c r="P63" s="103"/>
      <c r="Q63" s="103"/>
      <c r="R63" s="103"/>
      <c r="S63" s="30">
        <f t="shared" si="193"/>
        <v>0</v>
      </c>
      <c r="T63" s="103"/>
      <c r="V63" s="30">
        <f t="shared" si="194"/>
        <v>3218.3</v>
      </c>
      <c r="W63" s="30">
        <f t="shared" si="195"/>
        <v>0</v>
      </c>
      <c r="X63" s="30">
        <f t="shared" si="196"/>
        <v>0</v>
      </c>
      <c r="Y63" s="30">
        <f t="shared" si="197"/>
        <v>0</v>
      </c>
      <c r="Z63" s="30">
        <f t="shared" si="198"/>
        <v>3315.7</v>
      </c>
      <c r="AA63" s="30">
        <f t="shared" si="199"/>
        <v>0</v>
      </c>
      <c r="AB63" s="30">
        <f t="shared" si="200"/>
        <v>0</v>
      </c>
      <c r="AC63" s="30">
        <f t="shared" si="201"/>
        <v>0</v>
      </c>
      <c r="AD63" s="30">
        <f t="shared" si="202"/>
        <v>0</v>
      </c>
      <c r="AE63" s="30">
        <f t="shared" si="203"/>
        <v>0</v>
      </c>
      <c r="AF63" s="11"/>
      <c r="AG63" s="66" t="e">
        <f t="shared" si="204"/>
        <v>#DIV/0!</v>
      </c>
    </row>
    <row r="64" spans="2:33" ht="12.75" customHeight="1">
      <c r="B64" s="12" t="s">
        <v>20</v>
      </c>
      <c r="C64" s="13">
        <f>SUM(C56:C63)+C53</f>
        <v>27978.400000000005</v>
      </c>
      <c r="D64" s="13">
        <f>SUM(D56:D63)+D53</f>
        <v>29445.5</v>
      </c>
      <c r="E64" s="13">
        <f>SUM(E56:E63)+E53</f>
        <v>31339.300000000003</v>
      </c>
      <c r="F64" s="13">
        <f>SUM(F56:F63)+F53</f>
        <v>0</v>
      </c>
      <c r="H64" s="13">
        <f>SUM(H56:H63)+H53</f>
        <v>0</v>
      </c>
      <c r="I64" s="13">
        <f>SUM(I56:I63)+I53</f>
        <v>0</v>
      </c>
      <c r="J64" s="13">
        <f>SUM(J56:J63)+J53</f>
        <v>0</v>
      </c>
      <c r="K64" s="13">
        <f>SUM(K56:K63)+K53</f>
        <v>29445.5</v>
      </c>
      <c r="L64" s="13">
        <f>SUM(L56:L63)+L53</f>
        <v>0</v>
      </c>
      <c r="M64" s="13">
        <f>SUM(M56:M63)+M53</f>
        <v>0</v>
      </c>
      <c r="N64" s="13">
        <f>SUM(N56:N63)+N53</f>
        <v>0</v>
      </c>
      <c r="O64" s="13">
        <f>SUM(O56:O63)+O53</f>
        <v>31339.300000000003</v>
      </c>
      <c r="P64" s="13">
        <f>SUM(P56:P63)+P53</f>
        <v>0</v>
      </c>
      <c r="Q64" s="13">
        <f>SUM(Q56:Q63)+Q53</f>
        <v>0</v>
      </c>
      <c r="R64" s="13">
        <f>SUM(R56:R63)+R53</f>
        <v>0</v>
      </c>
      <c r="S64" s="13">
        <f>SUM(S56:S63)+S53</f>
        <v>0</v>
      </c>
      <c r="T64" s="13">
        <f>SUM(T56:T63)+T53</f>
        <v>0</v>
      </c>
      <c r="V64" s="13">
        <f>SUM(V56:V63)+V53</f>
        <v>29445.5</v>
      </c>
      <c r="W64" s="13">
        <f>SUM(W56:W63)+W53</f>
        <v>0</v>
      </c>
      <c r="X64" s="13">
        <f>SUM(X56:X63)+X53</f>
        <v>0</v>
      </c>
      <c r="Y64" s="13">
        <f>SUM(Y56:Y63)+Y53</f>
        <v>0</v>
      </c>
      <c r="Z64" s="13">
        <f>SUM(Z56:Z63)+Z53</f>
        <v>31339.300000000003</v>
      </c>
      <c r="AA64" s="13">
        <f>SUM(AA56:AA63)+AA53</f>
        <v>0</v>
      </c>
      <c r="AB64" s="13">
        <f>SUM(AB56:AB63)+AB53</f>
        <v>0</v>
      </c>
      <c r="AC64" s="13">
        <f>SUM(AC56:AC63)+AC53</f>
        <v>0</v>
      </c>
      <c r="AD64" s="13">
        <f>SUM(AD56:AD63)+AD53</f>
        <v>0</v>
      </c>
      <c r="AE64" s="13">
        <f>SUM(AE56:AE63)+AE53</f>
        <v>0</v>
      </c>
      <c r="AF64" s="39"/>
      <c r="AG64" s="67" t="e">
        <f>SUM(AE64/AA64)-1</f>
        <v>#DIV/0!</v>
      </c>
    </row>
    <row r="65" spans="2:33" ht="12.75" customHeight="1">
      <c r="B65" s="23"/>
      <c r="C65" s="38"/>
      <c r="D65" s="38"/>
      <c r="E65" s="38"/>
      <c r="F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6"/>
    </row>
    <row r="66" spans="2:33" ht="12.75" customHeight="1">
      <c r="B66" s="70" t="s">
        <v>46</v>
      </c>
      <c r="C66" s="38"/>
      <c r="D66" s="38"/>
      <c r="E66" s="38"/>
      <c r="F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6"/>
    </row>
    <row r="67" spans="2:33" ht="12.75" customHeight="1">
      <c r="B67" s="9" t="s">
        <v>177</v>
      </c>
      <c r="C67" s="74">
        <v>1441.4</v>
      </c>
      <c r="D67" s="74">
        <v>1544.3</v>
      </c>
      <c r="E67" s="74">
        <v>1595.5</v>
      </c>
      <c r="F67" s="74"/>
      <c r="H67" s="103"/>
      <c r="I67" s="103"/>
      <c r="J67" s="103"/>
      <c r="K67" s="80">
        <f t="shared" ref="K67:K73" si="219">D67</f>
        <v>1544.3</v>
      </c>
      <c r="L67" s="103"/>
      <c r="M67" s="103"/>
      <c r="N67" s="103"/>
      <c r="O67" s="80">
        <f t="shared" ref="O67:O73" si="220">E67</f>
        <v>1595.5</v>
      </c>
      <c r="P67" s="103"/>
      <c r="Q67" s="103"/>
      <c r="R67" s="103"/>
      <c r="S67" s="30">
        <f t="shared" ref="S67:S73" si="221">F67</f>
        <v>0</v>
      </c>
      <c r="T67" s="103"/>
      <c r="V67" s="30">
        <f t="shared" ref="V67:V73" si="222">K67</f>
        <v>1544.3</v>
      </c>
      <c r="W67" s="30">
        <f t="shared" ref="W67:W73" si="223">L67</f>
        <v>0</v>
      </c>
      <c r="X67" s="30">
        <f t="shared" ref="X67:X73" si="224">M67</f>
        <v>0</v>
      </c>
      <c r="Y67" s="30">
        <f t="shared" ref="Y67:Y73" si="225">N67</f>
        <v>0</v>
      </c>
      <c r="Z67" s="30">
        <f t="shared" ref="Z67:Z73" si="226">O67</f>
        <v>1595.5</v>
      </c>
      <c r="AA67" s="30">
        <f t="shared" ref="AA67:AA73" si="227">P67</f>
        <v>0</v>
      </c>
      <c r="AB67" s="30">
        <f t="shared" ref="AB67:AB73" si="228">Q67</f>
        <v>0</v>
      </c>
      <c r="AC67" s="30">
        <f t="shared" ref="AC67:AC73" si="229">R67</f>
        <v>0</v>
      </c>
      <c r="AD67" s="30">
        <f t="shared" ref="AD67:AD73" si="230">S67</f>
        <v>0</v>
      </c>
      <c r="AE67" s="30">
        <f t="shared" ref="AE67:AE73" si="231">T67</f>
        <v>0</v>
      </c>
      <c r="AF67" s="11"/>
      <c r="AG67" s="66" t="e">
        <f t="shared" ref="AG67:AG69" si="232">SUM(AE67/AA67)-1</f>
        <v>#DIV/0!</v>
      </c>
    </row>
    <row r="68" spans="2:33" ht="12.75" customHeight="1">
      <c r="B68" s="9" t="s">
        <v>178</v>
      </c>
      <c r="C68" s="74">
        <v>761.7</v>
      </c>
      <c r="D68" s="74">
        <v>828.3</v>
      </c>
      <c r="E68" s="74">
        <v>786.6</v>
      </c>
      <c r="F68" s="74"/>
      <c r="H68" s="103"/>
      <c r="I68" s="103"/>
      <c r="J68" s="103"/>
      <c r="K68" s="80">
        <f t="shared" ref="K68" si="233">D68</f>
        <v>828.3</v>
      </c>
      <c r="L68" s="103"/>
      <c r="M68" s="103"/>
      <c r="N68" s="103"/>
      <c r="O68" s="80">
        <f t="shared" ref="O68" si="234">E68</f>
        <v>786.6</v>
      </c>
      <c r="P68" s="103"/>
      <c r="Q68" s="103"/>
      <c r="R68" s="103"/>
      <c r="S68" s="30">
        <f t="shared" ref="S68" si="235">F68</f>
        <v>0</v>
      </c>
      <c r="T68" s="103"/>
      <c r="V68" s="30">
        <f t="shared" ref="V68" si="236">K68</f>
        <v>828.3</v>
      </c>
      <c r="W68" s="30">
        <f t="shared" ref="W68" si="237">L68</f>
        <v>0</v>
      </c>
      <c r="X68" s="30">
        <f t="shared" ref="X68" si="238">M68</f>
        <v>0</v>
      </c>
      <c r="Y68" s="30">
        <f t="shared" ref="Y68" si="239">N68</f>
        <v>0</v>
      </c>
      <c r="Z68" s="30">
        <f t="shared" ref="Z68" si="240">O68</f>
        <v>786.6</v>
      </c>
      <c r="AA68" s="30">
        <f t="shared" ref="AA68" si="241">P68</f>
        <v>0</v>
      </c>
      <c r="AB68" s="30">
        <f t="shared" ref="AB68" si="242">Q68</f>
        <v>0</v>
      </c>
      <c r="AC68" s="30">
        <f t="shared" ref="AC68" si="243">R68</f>
        <v>0</v>
      </c>
      <c r="AD68" s="30">
        <f t="shared" ref="AD68" si="244">S68</f>
        <v>0</v>
      </c>
      <c r="AE68" s="30">
        <f t="shared" ref="AE68" si="245">T68</f>
        <v>0</v>
      </c>
      <c r="AF68" s="11"/>
      <c r="AG68" s="66" t="e">
        <f t="shared" ref="AG68" si="246">SUM(AE68/AA68)-1</f>
        <v>#DIV/0!</v>
      </c>
    </row>
    <row r="69" spans="2:33" ht="12.75" customHeight="1">
      <c r="B69" s="9" t="s">
        <v>179</v>
      </c>
      <c r="C69" s="74">
        <v>2137.1</v>
      </c>
      <c r="D69" s="74">
        <v>2145.1</v>
      </c>
      <c r="E69" s="74">
        <v>2194.6999999999998</v>
      </c>
      <c r="F69" s="74"/>
      <c r="H69" s="103"/>
      <c r="I69" s="103"/>
      <c r="J69" s="103"/>
      <c r="K69" s="80">
        <f t="shared" si="219"/>
        <v>2145.1</v>
      </c>
      <c r="L69" s="103"/>
      <c r="M69" s="103"/>
      <c r="N69" s="103"/>
      <c r="O69" s="80">
        <f t="shared" si="220"/>
        <v>2194.6999999999998</v>
      </c>
      <c r="P69" s="103"/>
      <c r="Q69" s="103"/>
      <c r="R69" s="103"/>
      <c r="S69" s="30">
        <f t="shared" si="221"/>
        <v>0</v>
      </c>
      <c r="T69" s="103"/>
      <c r="V69" s="30">
        <f t="shared" si="222"/>
        <v>2145.1</v>
      </c>
      <c r="W69" s="30">
        <f t="shared" si="223"/>
        <v>0</v>
      </c>
      <c r="X69" s="30">
        <f t="shared" si="224"/>
        <v>0</v>
      </c>
      <c r="Y69" s="30">
        <f t="shared" si="225"/>
        <v>0</v>
      </c>
      <c r="Z69" s="30">
        <f t="shared" si="226"/>
        <v>2194.6999999999998</v>
      </c>
      <c r="AA69" s="30">
        <f t="shared" si="227"/>
        <v>0</v>
      </c>
      <c r="AB69" s="30">
        <f t="shared" si="228"/>
        <v>0</v>
      </c>
      <c r="AC69" s="30">
        <f t="shared" si="229"/>
        <v>0</v>
      </c>
      <c r="AD69" s="30">
        <f t="shared" si="230"/>
        <v>0</v>
      </c>
      <c r="AE69" s="30">
        <f t="shared" si="231"/>
        <v>0</v>
      </c>
      <c r="AF69" s="11"/>
      <c r="AG69" s="66" t="e">
        <f t="shared" si="232"/>
        <v>#DIV/0!</v>
      </c>
    </row>
    <row r="70" spans="2:33" ht="12.75" customHeight="1">
      <c r="B70" s="9" t="s">
        <v>180</v>
      </c>
      <c r="C70" s="74">
        <v>1245.7</v>
      </c>
      <c r="D70" s="74">
        <v>1275.3</v>
      </c>
      <c r="E70" s="74">
        <v>1463.1</v>
      </c>
      <c r="F70" s="74"/>
      <c r="H70" s="103"/>
      <c r="I70" s="103"/>
      <c r="J70" s="103"/>
      <c r="K70" s="80">
        <f t="shared" si="219"/>
        <v>1275.3</v>
      </c>
      <c r="L70" s="103"/>
      <c r="M70" s="103"/>
      <c r="N70" s="103"/>
      <c r="O70" s="80">
        <f t="shared" si="220"/>
        <v>1463.1</v>
      </c>
      <c r="P70" s="103"/>
      <c r="Q70" s="103"/>
      <c r="R70" s="103"/>
      <c r="S70" s="30">
        <f t="shared" si="221"/>
        <v>0</v>
      </c>
      <c r="T70" s="103"/>
      <c r="V70" s="30">
        <f t="shared" si="222"/>
        <v>1275.3</v>
      </c>
      <c r="W70" s="30">
        <f t="shared" si="223"/>
        <v>0</v>
      </c>
      <c r="X70" s="30">
        <f t="shared" si="224"/>
        <v>0</v>
      </c>
      <c r="Y70" s="30">
        <f t="shared" si="225"/>
        <v>0</v>
      </c>
      <c r="Z70" s="30">
        <f t="shared" si="226"/>
        <v>1463.1</v>
      </c>
      <c r="AA70" s="30">
        <f t="shared" si="227"/>
        <v>0</v>
      </c>
      <c r="AB70" s="30">
        <f t="shared" si="228"/>
        <v>0</v>
      </c>
      <c r="AC70" s="30">
        <f t="shared" si="229"/>
        <v>0</v>
      </c>
      <c r="AD70" s="30">
        <f t="shared" si="230"/>
        <v>0</v>
      </c>
      <c r="AE70" s="30">
        <f t="shared" si="231"/>
        <v>0</v>
      </c>
      <c r="AF70" s="11"/>
      <c r="AG70" s="66" t="e">
        <f t="shared" ref="AG70:AG73" si="247">SUM(AE70/AA70)-1</f>
        <v>#DIV/0!</v>
      </c>
    </row>
    <row r="71" spans="2:33" ht="12.75" customHeight="1">
      <c r="B71" s="9" t="s">
        <v>181</v>
      </c>
      <c r="C71" s="74">
        <v>1641.9</v>
      </c>
      <c r="D71" s="74">
        <v>1700.2</v>
      </c>
      <c r="E71" s="74">
        <v>1781.2</v>
      </c>
      <c r="F71" s="74"/>
      <c r="H71" s="103"/>
      <c r="I71" s="103"/>
      <c r="J71" s="103"/>
      <c r="K71" s="80">
        <f t="shared" si="219"/>
        <v>1700.2</v>
      </c>
      <c r="L71" s="103"/>
      <c r="M71" s="103"/>
      <c r="N71" s="103"/>
      <c r="O71" s="80">
        <f t="shared" si="220"/>
        <v>1781.2</v>
      </c>
      <c r="P71" s="103"/>
      <c r="Q71" s="103"/>
      <c r="R71" s="103"/>
      <c r="S71" s="30">
        <f t="shared" si="221"/>
        <v>0</v>
      </c>
      <c r="T71" s="103"/>
      <c r="V71" s="30">
        <f t="shared" si="222"/>
        <v>1700.2</v>
      </c>
      <c r="W71" s="30">
        <f t="shared" si="223"/>
        <v>0</v>
      </c>
      <c r="X71" s="30">
        <f t="shared" si="224"/>
        <v>0</v>
      </c>
      <c r="Y71" s="30">
        <f t="shared" si="225"/>
        <v>0</v>
      </c>
      <c r="Z71" s="30">
        <f t="shared" si="226"/>
        <v>1781.2</v>
      </c>
      <c r="AA71" s="30">
        <f t="shared" si="227"/>
        <v>0</v>
      </c>
      <c r="AB71" s="30">
        <f t="shared" si="228"/>
        <v>0</v>
      </c>
      <c r="AC71" s="30">
        <f t="shared" si="229"/>
        <v>0</v>
      </c>
      <c r="AD71" s="30">
        <f t="shared" si="230"/>
        <v>0</v>
      </c>
      <c r="AE71" s="30">
        <f t="shared" si="231"/>
        <v>0</v>
      </c>
      <c r="AF71" s="11"/>
      <c r="AG71" s="66" t="e">
        <f t="shared" si="247"/>
        <v>#DIV/0!</v>
      </c>
    </row>
    <row r="72" spans="2:33" ht="12.75" customHeight="1">
      <c r="B72" s="9" t="s">
        <v>182</v>
      </c>
      <c r="C72" s="74">
        <v>175</v>
      </c>
      <c r="D72" s="74">
        <v>33.5</v>
      </c>
      <c r="E72" s="74">
        <v>0</v>
      </c>
      <c r="F72" s="74"/>
      <c r="H72" s="103"/>
      <c r="I72" s="103"/>
      <c r="J72" s="103"/>
      <c r="K72" s="80">
        <f t="shared" si="219"/>
        <v>33.5</v>
      </c>
      <c r="L72" s="103"/>
      <c r="M72" s="103"/>
      <c r="N72" s="103"/>
      <c r="O72" s="80">
        <f t="shared" si="220"/>
        <v>0</v>
      </c>
      <c r="P72" s="103"/>
      <c r="Q72" s="103"/>
      <c r="R72" s="103"/>
      <c r="S72" s="30">
        <f t="shared" si="221"/>
        <v>0</v>
      </c>
      <c r="T72" s="103"/>
      <c r="V72" s="30">
        <f t="shared" si="222"/>
        <v>33.5</v>
      </c>
      <c r="W72" s="30">
        <f t="shared" si="223"/>
        <v>0</v>
      </c>
      <c r="X72" s="30">
        <f t="shared" si="224"/>
        <v>0</v>
      </c>
      <c r="Y72" s="30">
        <f t="shared" si="225"/>
        <v>0</v>
      </c>
      <c r="Z72" s="30">
        <f t="shared" si="226"/>
        <v>0</v>
      </c>
      <c r="AA72" s="30">
        <f t="shared" si="227"/>
        <v>0</v>
      </c>
      <c r="AB72" s="30">
        <f t="shared" si="228"/>
        <v>0</v>
      </c>
      <c r="AC72" s="30">
        <f t="shared" si="229"/>
        <v>0</v>
      </c>
      <c r="AD72" s="30">
        <f t="shared" si="230"/>
        <v>0</v>
      </c>
      <c r="AE72" s="30">
        <f t="shared" si="231"/>
        <v>0</v>
      </c>
      <c r="AF72" s="11"/>
      <c r="AG72" s="66"/>
    </row>
    <row r="73" spans="2:33" ht="12.75" customHeight="1">
      <c r="B73" s="9" t="s">
        <v>183</v>
      </c>
      <c r="C73" s="74">
        <v>1749</v>
      </c>
      <c r="D73" s="74">
        <v>1818.6</v>
      </c>
      <c r="E73" s="74">
        <v>1248.9000000000001</v>
      </c>
      <c r="F73" s="74"/>
      <c r="H73" s="103"/>
      <c r="I73" s="103"/>
      <c r="J73" s="103"/>
      <c r="K73" s="80">
        <f t="shared" si="219"/>
        <v>1818.6</v>
      </c>
      <c r="L73" s="103"/>
      <c r="M73" s="103"/>
      <c r="N73" s="103"/>
      <c r="O73" s="80">
        <f t="shared" si="220"/>
        <v>1248.9000000000001</v>
      </c>
      <c r="P73" s="103"/>
      <c r="Q73" s="103"/>
      <c r="R73" s="103"/>
      <c r="S73" s="30">
        <f t="shared" si="221"/>
        <v>0</v>
      </c>
      <c r="T73" s="103"/>
      <c r="V73" s="30">
        <f t="shared" si="222"/>
        <v>1818.6</v>
      </c>
      <c r="W73" s="30">
        <f t="shared" si="223"/>
        <v>0</v>
      </c>
      <c r="X73" s="30">
        <f t="shared" si="224"/>
        <v>0</v>
      </c>
      <c r="Y73" s="30">
        <f t="shared" si="225"/>
        <v>0</v>
      </c>
      <c r="Z73" s="30">
        <f t="shared" si="226"/>
        <v>1248.9000000000001</v>
      </c>
      <c r="AA73" s="30">
        <f t="shared" si="227"/>
        <v>0</v>
      </c>
      <c r="AB73" s="30">
        <f t="shared" si="228"/>
        <v>0</v>
      </c>
      <c r="AC73" s="30">
        <f t="shared" si="229"/>
        <v>0</v>
      </c>
      <c r="AD73" s="30">
        <f t="shared" si="230"/>
        <v>0</v>
      </c>
      <c r="AE73" s="30">
        <f t="shared" si="231"/>
        <v>0</v>
      </c>
      <c r="AF73" s="11"/>
      <c r="AG73" s="66" t="e">
        <f t="shared" si="247"/>
        <v>#DIV/0!</v>
      </c>
    </row>
    <row r="74" spans="2:33" ht="12.75" customHeight="1">
      <c r="B74" s="23" t="s">
        <v>18</v>
      </c>
      <c r="C74" s="24">
        <f>SUM(C67:C73)</f>
        <v>9151.8000000000011</v>
      </c>
      <c r="D74" s="24">
        <f>SUM(D67:D73)</f>
        <v>9345.2999999999993</v>
      </c>
      <c r="E74" s="24">
        <f>SUM(E67:E73)</f>
        <v>9070</v>
      </c>
      <c r="F74" s="24">
        <f>SUM(F67:F73)</f>
        <v>0</v>
      </c>
      <c r="H74" s="24">
        <f t="shared" ref="H74:T74" si="248">SUM(H67:H73)</f>
        <v>0</v>
      </c>
      <c r="I74" s="24">
        <f t="shared" si="248"/>
        <v>0</v>
      </c>
      <c r="J74" s="24">
        <f t="shared" si="248"/>
        <v>0</v>
      </c>
      <c r="K74" s="24">
        <f t="shared" si="248"/>
        <v>9345.2999999999993</v>
      </c>
      <c r="L74" s="24">
        <f t="shared" si="248"/>
        <v>0</v>
      </c>
      <c r="M74" s="24">
        <f t="shared" si="248"/>
        <v>0</v>
      </c>
      <c r="N74" s="24">
        <f t="shared" si="248"/>
        <v>0</v>
      </c>
      <c r="O74" s="24">
        <f t="shared" si="248"/>
        <v>9070</v>
      </c>
      <c r="P74" s="24">
        <f t="shared" si="248"/>
        <v>0</v>
      </c>
      <c r="Q74" s="24">
        <f t="shared" si="248"/>
        <v>0</v>
      </c>
      <c r="R74" s="24">
        <f t="shared" si="248"/>
        <v>0</v>
      </c>
      <c r="S74" s="24">
        <f t="shared" si="248"/>
        <v>0</v>
      </c>
      <c r="T74" s="24">
        <f t="shared" si="248"/>
        <v>0</v>
      </c>
      <c r="U74" s="45"/>
      <c r="V74" s="24">
        <f t="shared" ref="V74:AE74" si="249">SUM(V67:V73)</f>
        <v>9345.2999999999993</v>
      </c>
      <c r="W74" s="24">
        <f t="shared" si="249"/>
        <v>0</v>
      </c>
      <c r="X74" s="24">
        <f t="shared" si="249"/>
        <v>0</v>
      </c>
      <c r="Y74" s="24">
        <f t="shared" si="249"/>
        <v>0</v>
      </c>
      <c r="Z74" s="24">
        <f t="shared" si="249"/>
        <v>9070</v>
      </c>
      <c r="AA74" s="24">
        <f t="shared" si="249"/>
        <v>0</v>
      </c>
      <c r="AB74" s="24">
        <f t="shared" si="249"/>
        <v>0</v>
      </c>
      <c r="AC74" s="24">
        <f t="shared" si="249"/>
        <v>0</v>
      </c>
      <c r="AD74" s="24">
        <f t="shared" si="249"/>
        <v>0</v>
      </c>
      <c r="AE74" s="24">
        <f t="shared" si="249"/>
        <v>0</v>
      </c>
      <c r="AF74" s="39"/>
      <c r="AG74" s="67" t="e">
        <f>SUM(AE74/AA74)-1</f>
        <v>#DIV/0!</v>
      </c>
    </row>
    <row r="75" spans="2:33" ht="5.0999999999999996" customHeight="1">
      <c r="B75" s="23"/>
      <c r="C75" s="38"/>
      <c r="D75" s="38"/>
      <c r="E75" s="38"/>
      <c r="F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6"/>
    </row>
    <row r="76" spans="2:33">
      <c r="B76" s="70" t="s">
        <v>83</v>
      </c>
      <c r="C76" s="38"/>
      <c r="D76" s="38"/>
      <c r="E76" s="38"/>
      <c r="F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6"/>
    </row>
    <row r="77" spans="2:33" ht="12.75" customHeight="1">
      <c r="B77" s="102" t="s">
        <v>184</v>
      </c>
      <c r="C77" s="74">
        <v>13119.9</v>
      </c>
      <c r="D77" s="74">
        <v>13547.6</v>
      </c>
      <c r="E77" s="74">
        <v>14319.5</v>
      </c>
      <c r="F77" s="74"/>
      <c r="H77" s="103"/>
      <c r="I77" s="103"/>
      <c r="J77" s="103"/>
      <c r="K77" s="80">
        <f t="shared" ref="K77" si="250">D77</f>
        <v>13547.6</v>
      </c>
      <c r="L77" s="103"/>
      <c r="M77" s="103"/>
      <c r="N77" s="103"/>
      <c r="O77" s="80">
        <f t="shared" ref="O77" si="251">E77</f>
        <v>14319.5</v>
      </c>
      <c r="P77" s="103"/>
      <c r="Q77" s="103"/>
      <c r="R77" s="103"/>
      <c r="S77" s="30">
        <f t="shared" ref="S77" si="252">F77</f>
        <v>0</v>
      </c>
      <c r="T77" s="103"/>
      <c r="V77" s="30">
        <f t="shared" ref="V77:V80" si="253">K77</f>
        <v>13547.6</v>
      </c>
      <c r="W77" s="30">
        <f t="shared" ref="W77:W80" si="254">L77</f>
        <v>0</v>
      </c>
      <c r="X77" s="30">
        <f t="shared" ref="X77:X80" si="255">M77</f>
        <v>0</v>
      </c>
      <c r="Y77" s="30">
        <f t="shared" ref="Y77:Y80" si="256">N77</f>
        <v>0</v>
      </c>
      <c r="Z77" s="30">
        <f t="shared" ref="Z77:Z80" si="257">O77</f>
        <v>14319.5</v>
      </c>
      <c r="AA77" s="30">
        <f t="shared" ref="AA77:AA80" si="258">P77</f>
        <v>0</v>
      </c>
      <c r="AB77" s="30">
        <f t="shared" ref="AB77:AB80" si="259">Q77</f>
        <v>0</v>
      </c>
      <c r="AC77" s="30">
        <f t="shared" ref="AC77:AC80" si="260">R77</f>
        <v>0</v>
      </c>
      <c r="AD77" s="30">
        <f t="shared" ref="AD77:AD80" si="261">S77</f>
        <v>0</v>
      </c>
      <c r="AE77" s="30">
        <f t="shared" ref="AE77:AE80" si="262">T77</f>
        <v>0</v>
      </c>
      <c r="AF77" s="39"/>
      <c r="AG77" s="66" t="e">
        <f t="shared" ref="AG77" si="263">SUM(AE77/AA77)-1</f>
        <v>#DIV/0!</v>
      </c>
    </row>
    <row r="78" spans="2:33" ht="12.75" customHeight="1">
      <c r="B78" s="102" t="s">
        <v>185</v>
      </c>
      <c r="C78" s="74">
        <v>7515.2</v>
      </c>
      <c r="D78" s="74">
        <v>7924.8</v>
      </c>
      <c r="E78" s="74">
        <v>8771.6</v>
      </c>
      <c r="F78" s="74"/>
      <c r="H78" s="103"/>
      <c r="I78" s="103"/>
      <c r="J78" s="103"/>
      <c r="K78" s="80">
        <f t="shared" ref="K78:K80" si="264">D78</f>
        <v>7924.8</v>
      </c>
      <c r="L78" s="103"/>
      <c r="M78" s="103"/>
      <c r="N78" s="103"/>
      <c r="O78" s="80">
        <f t="shared" ref="O78:O80" si="265">E78</f>
        <v>8771.6</v>
      </c>
      <c r="P78" s="103"/>
      <c r="Q78" s="103"/>
      <c r="R78" s="103"/>
      <c r="S78" s="30">
        <f t="shared" ref="S78:S80" si="266">F78</f>
        <v>0</v>
      </c>
      <c r="T78" s="103"/>
      <c r="V78" s="30">
        <f t="shared" si="253"/>
        <v>7924.8</v>
      </c>
      <c r="W78" s="30">
        <f t="shared" si="254"/>
        <v>0</v>
      </c>
      <c r="X78" s="30">
        <f t="shared" si="255"/>
        <v>0</v>
      </c>
      <c r="Y78" s="30">
        <f t="shared" si="256"/>
        <v>0</v>
      </c>
      <c r="Z78" s="30">
        <f t="shared" si="257"/>
        <v>8771.6</v>
      </c>
      <c r="AA78" s="30">
        <f t="shared" si="258"/>
        <v>0</v>
      </c>
      <c r="AB78" s="30">
        <f t="shared" si="259"/>
        <v>0</v>
      </c>
      <c r="AC78" s="30">
        <f t="shared" si="260"/>
        <v>0</v>
      </c>
      <c r="AD78" s="30">
        <f t="shared" si="261"/>
        <v>0</v>
      </c>
      <c r="AE78" s="30">
        <f t="shared" si="262"/>
        <v>0</v>
      </c>
      <c r="AF78" s="39"/>
      <c r="AG78" s="66" t="e">
        <f t="shared" ref="AG78:AG80" si="267">SUM(AE78/AA78)-1</f>
        <v>#DIV/0!</v>
      </c>
    </row>
    <row r="79" spans="2:33" ht="12.75" customHeight="1">
      <c r="B79" s="102" t="s">
        <v>186</v>
      </c>
      <c r="C79" s="74">
        <v>6279.7</v>
      </c>
      <c r="D79" s="74">
        <v>6101.8</v>
      </c>
      <c r="E79" s="74">
        <v>5963.6</v>
      </c>
      <c r="F79" s="74"/>
      <c r="H79" s="103"/>
      <c r="I79" s="103"/>
      <c r="J79" s="103"/>
      <c r="K79" s="80">
        <f t="shared" si="264"/>
        <v>6101.8</v>
      </c>
      <c r="L79" s="103"/>
      <c r="M79" s="103"/>
      <c r="N79" s="103"/>
      <c r="O79" s="80">
        <f t="shared" si="265"/>
        <v>5963.6</v>
      </c>
      <c r="P79" s="103"/>
      <c r="Q79" s="103"/>
      <c r="R79" s="103"/>
      <c r="S79" s="30">
        <f t="shared" si="266"/>
        <v>0</v>
      </c>
      <c r="T79" s="103"/>
      <c r="V79" s="30">
        <f t="shared" si="253"/>
        <v>6101.8</v>
      </c>
      <c r="W79" s="30">
        <f t="shared" si="254"/>
        <v>0</v>
      </c>
      <c r="X79" s="30">
        <f t="shared" si="255"/>
        <v>0</v>
      </c>
      <c r="Y79" s="30">
        <f t="shared" si="256"/>
        <v>0</v>
      </c>
      <c r="Z79" s="30">
        <f t="shared" si="257"/>
        <v>5963.6</v>
      </c>
      <c r="AA79" s="30">
        <f t="shared" si="258"/>
        <v>0</v>
      </c>
      <c r="AB79" s="30">
        <f t="shared" si="259"/>
        <v>0</v>
      </c>
      <c r="AC79" s="30">
        <f t="shared" si="260"/>
        <v>0</v>
      </c>
      <c r="AD79" s="30">
        <f t="shared" si="261"/>
        <v>0</v>
      </c>
      <c r="AE79" s="30">
        <f t="shared" si="262"/>
        <v>0</v>
      </c>
      <c r="AF79" s="39"/>
      <c r="AG79" s="66" t="e">
        <f t="shared" si="267"/>
        <v>#DIV/0!</v>
      </c>
    </row>
    <row r="80" spans="2:33" ht="12.75" customHeight="1">
      <c r="B80" s="102" t="s">
        <v>187</v>
      </c>
      <c r="C80" s="74">
        <v>610.5</v>
      </c>
      <c r="D80" s="74">
        <v>513.79999999999995</v>
      </c>
      <c r="E80" s="74">
        <v>656.2</v>
      </c>
      <c r="F80" s="74"/>
      <c r="H80" s="103"/>
      <c r="I80" s="103"/>
      <c r="J80" s="103"/>
      <c r="K80" s="80">
        <f t="shared" si="264"/>
        <v>513.79999999999995</v>
      </c>
      <c r="L80" s="103"/>
      <c r="M80" s="103"/>
      <c r="N80" s="103"/>
      <c r="O80" s="80">
        <f t="shared" si="265"/>
        <v>656.2</v>
      </c>
      <c r="P80" s="103"/>
      <c r="Q80" s="103"/>
      <c r="R80" s="103"/>
      <c r="S80" s="30">
        <f t="shared" si="266"/>
        <v>0</v>
      </c>
      <c r="T80" s="103"/>
      <c r="V80" s="30">
        <f t="shared" si="253"/>
        <v>513.79999999999995</v>
      </c>
      <c r="W80" s="30">
        <f t="shared" si="254"/>
        <v>0</v>
      </c>
      <c r="X80" s="30">
        <f t="shared" si="255"/>
        <v>0</v>
      </c>
      <c r="Y80" s="30">
        <f t="shared" si="256"/>
        <v>0</v>
      </c>
      <c r="Z80" s="30">
        <f t="shared" si="257"/>
        <v>656.2</v>
      </c>
      <c r="AA80" s="30">
        <f t="shared" si="258"/>
        <v>0</v>
      </c>
      <c r="AB80" s="30">
        <f t="shared" si="259"/>
        <v>0</v>
      </c>
      <c r="AC80" s="30">
        <f t="shared" si="260"/>
        <v>0</v>
      </c>
      <c r="AD80" s="30">
        <f t="shared" si="261"/>
        <v>0</v>
      </c>
      <c r="AE80" s="30">
        <f t="shared" si="262"/>
        <v>0</v>
      </c>
      <c r="AF80" s="39"/>
      <c r="AG80" s="66" t="e">
        <f t="shared" si="267"/>
        <v>#DIV/0!</v>
      </c>
    </row>
    <row r="81" spans="1:33" ht="12.75" customHeight="1">
      <c r="B81" s="12" t="s">
        <v>16</v>
      </c>
      <c r="C81" s="13">
        <f>SUM(C77:C80)+C74</f>
        <v>36677.1</v>
      </c>
      <c r="D81" s="13">
        <f>SUM(D77:D80)+D74</f>
        <v>37433.300000000003</v>
      </c>
      <c r="E81" s="13">
        <f>SUM(E77:E80)+E74</f>
        <v>38780.899999999994</v>
      </c>
      <c r="F81" s="13">
        <f>SUM(F77:F80)+F74</f>
        <v>0</v>
      </c>
      <c r="H81" s="13">
        <f>SUM(H77:H80)+H74</f>
        <v>0</v>
      </c>
      <c r="I81" s="13">
        <f>SUM(I77:I80)+I74</f>
        <v>0</v>
      </c>
      <c r="J81" s="13">
        <f>SUM(J77:J80)+J74</f>
        <v>0</v>
      </c>
      <c r="K81" s="13">
        <f>SUM(K77:K80)+K74</f>
        <v>37433.300000000003</v>
      </c>
      <c r="L81" s="13">
        <f>SUM(L77:L80)+L74</f>
        <v>0</v>
      </c>
      <c r="M81" s="13">
        <f>SUM(M77:M80)+M74</f>
        <v>0</v>
      </c>
      <c r="N81" s="13">
        <f>SUM(N77:N80)+N74</f>
        <v>0</v>
      </c>
      <c r="O81" s="13">
        <f>SUM(O77:O80)+O74</f>
        <v>38780.899999999994</v>
      </c>
      <c r="P81" s="13">
        <f>SUM(P77:P80)+P74</f>
        <v>0</v>
      </c>
      <c r="Q81" s="13">
        <f>SUM(Q77:Q80)+Q74</f>
        <v>0</v>
      </c>
      <c r="R81" s="13">
        <f>SUM(R77:R80)+R74</f>
        <v>0</v>
      </c>
      <c r="S81" s="13">
        <f>SUM(S77:S80)+S74</f>
        <v>0</v>
      </c>
      <c r="T81" s="13">
        <f>SUM(T77:T80)+T74</f>
        <v>0</v>
      </c>
      <c r="V81" s="13">
        <f>SUM(V77:V80)+V74</f>
        <v>37433.300000000003</v>
      </c>
      <c r="W81" s="13">
        <f>SUM(W77:W80)+W74</f>
        <v>0</v>
      </c>
      <c r="X81" s="13">
        <f>SUM(X77:X80)+X74</f>
        <v>0</v>
      </c>
      <c r="Y81" s="13">
        <f>SUM(Y77:Y80)+Y74</f>
        <v>0</v>
      </c>
      <c r="Z81" s="13">
        <f>SUM(Z77:Z80)+Z74</f>
        <v>38780.899999999994</v>
      </c>
      <c r="AA81" s="13">
        <f>SUM(AA77:AA80)+AA74</f>
        <v>0</v>
      </c>
      <c r="AB81" s="13">
        <f>SUM(AB77:AB80)+AB74</f>
        <v>0</v>
      </c>
      <c r="AC81" s="13">
        <f>SUM(AC77:AC80)+AC74</f>
        <v>0</v>
      </c>
      <c r="AD81" s="13">
        <f>SUM(AD77:AD80)+AD74</f>
        <v>0</v>
      </c>
      <c r="AE81" s="13">
        <f>SUM(AE77:AE80)+AE74</f>
        <v>0</v>
      </c>
      <c r="AF81" s="39"/>
      <c r="AG81" s="67" t="e">
        <f>SUM(AE81/AA81)-1</f>
        <v>#DIV/0!</v>
      </c>
    </row>
    <row r="82" spans="1:33" ht="5.0999999999999996" customHeight="1">
      <c r="B82" s="23"/>
      <c r="C82" s="38"/>
      <c r="D82" s="38"/>
      <c r="E82" s="38"/>
      <c r="F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6"/>
    </row>
    <row r="83" spans="1:33" ht="12.75" customHeight="1">
      <c r="B83" s="102" t="s">
        <v>192</v>
      </c>
      <c r="C83" s="74">
        <v>1.1000000000000001</v>
      </c>
      <c r="D83" s="74">
        <v>1.1000000000000001</v>
      </c>
      <c r="E83" s="74">
        <v>1.1000000000000001</v>
      </c>
      <c r="F83" s="74"/>
      <c r="H83" s="103"/>
      <c r="I83" s="103"/>
      <c r="J83" s="103"/>
      <c r="K83" s="80">
        <f t="shared" ref="K83:K87" si="268">D83</f>
        <v>1.1000000000000001</v>
      </c>
      <c r="L83" s="103"/>
      <c r="M83" s="103"/>
      <c r="N83" s="103"/>
      <c r="O83" s="80">
        <f t="shared" ref="O83:O87" si="269">E83</f>
        <v>1.1000000000000001</v>
      </c>
      <c r="P83" s="103"/>
      <c r="Q83" s="103"/>
      <c r="R83" s="103"/>
      <c r="S83" s="30">
        <f t="shared" ref="S83:S87" si="270">F83</f>
        <v>0</v>
      </c>
      <c r="T83" s="103"/>
      <c r="V83" s="30">
        <f t="shared" ref="V83:V87" si="271">K83</f>
        <v>1.1000000000000001</v>
      </c>
      <c r="W83" s="30">
        <f t="shared" ref="W83:W87" si="272">L83</f>
        <v>0</v>
      </c>
      <c r="X83" s="30">
        <f t="shared" ref="X83:X87" si="273">M83</f>
        <v>0</v>
      </c>
      <c r="Y83" s="30">
        <f t="shared" ref="Y83:Y87" si="274">N83</f>
        <v>0</v>
      </c>
      <c r="Z83" s="30">
        <f t="shared" ref="Z83:Z87" si="275">O83</f>
        <v>1.1000000000000001</v>
      </c>
      <c r="AA83" s="30">
        <f t="shared" ref="AA83:AA87" si="276">P83</f>
        <v>0</v>
      </c>
      <c r="AB83" s="30">
        <f t="shared" ref="AB83:AB87" si="277">Q83</f>
        <v>0</v>
      </c>
      <c r="AC83" s="30">
        <f t="shared" ref="AC83:AC87" si="278">R83</f>
        <v>0</v>
      </c>
      <c r="AD83" s="30">
        <f t="shared" ref="AD83:AD87" si="279">S83</f>
        <v>0</v>
      </c>
      <c r="AE83" s="30">
        <f t="shared" ref="AE83:AE87" si="280">T83</f>
        <v>0</v>
      </c>
      <c r="AF83" s="11"/>
      <c r="AG83" s="66" t="e">
        <f t="shared" ref="AG83:AG87" si="281">SUM(AE83/AA83)-1</f>
        <v>#DIV/0!</v>
      </c>
    </row>
    <row r="84" spans="1:33" ht="12.75" customHeight="1">
      <c r="B84" s="102" t="s">
        <v>188</v>
      </c>
      <c r="C84" s="74">
        <v>205.3</v>
      </c>
      <c r="D84" s="74">
        <v>38.1</v>
      </c>
      <c r="E84" s="74">
        <v>322.60000000000002</v>
      </c>
      <c r="F84" s="74"/>
      <c r="H84" s="103"/>
      <c r="I84" s="103"/>
      <c r="J84" s="103"/>
      <c r="K84" s="80">
        <f t="shared" si="268"/>
        <v>38.1</v>
      </c>
      <c r="L84" s="103"/>
      <c r="M84" s="103"/>
      <c r="N84" s="103"/>
      <c r="O84" s="80">
        <f t="shared" si="269"/>
        <v>322.60000000000002</v>
      </c>
      <c r="P84" s="103"/>
      <c r="Q84" s="103"/>
      <c r="R84" s="103"/>
      <c r="S84" s="30">
        <f t="shared" si="270"/>
        <v>0</v>
      </c>
      <c r="T84" s="103"/>
      <c r="V84" s="30">
        <f t="shared" si="271"/>
        <v>38.1</v>
      </c>
      <c r="W84" s="30">
        <f t="shared" si="272"/>
        <v>0</v>
      </c>
      <c r="X84" s="30">
        <f t="shared" si="273"/>
        <v>0</v>
      </c>
      <c r="Y84" s="30">
        <f t="shared" si="274"/>
        <v>0</v>
      </c>
      <c r="Z84" s="30">
        <f t="shared" si="275"/>
        <v>322.60000000000002</v>
      </c>
      <c r="AA84" s="30">
        <f t="shared" si="276"/>
        <v>0</v>
      </c>
      <c r="AB84" s="30">
        <f t="shared" si="277"/>
        <v>0</v>
      </c>
      <c r="AC84" s="30">
        <f t="shared" si="278"/>
        <v>0</v>
      </c>
      <c r="AD84" s="30">
        <f t="shared" si="279"/>
        <v>0</v>
      </c>
      <c r="AE84" s="30">
        <f t="shared" si="280"/>
        <v>0</v>
      </c>
      <c r="AF84" s="11"/>
      <c r="AG84" s="66" t="e">
        <f t="shared" si="281"/>
        <v>#DIV/0!</v>
      </c>
    </row>
    <row r="85" spans="1:33" ht="12.75" customHeight="1">
      <c r="B85" s="102" t="s">
        <v>189</v>
      </c>
      <c r="C85" s="74">
        <v>-8449.7999999999993</v>
      </c>
      <c r="D85" s="74">
        <v>-7255.8</v>
      </c>
      <c r="E85" s="74">
        <v>-7343.8</v>
      </c>
      <c r="F85" s="74"/>
      <c r="H85" s="103"/>
      <c r="I85" s="103"/>
      <c r="J85" s="103"/>
      <c r="K85" s="80">
        <f t="shared" si="268"/>
        <v>-7255.8</v>
      </c>
      <c r="L85" s="103"/>
      <c r="M85" s="103"/>
      <c r="N85" s="103"/>
      <c r="O85" s="80">
        <f t="shared" si="269"/>
        <v>-7343.8</v>
      </c>
      <c r="P85" s="103"/>
      <c r="Q85" s="103"/>
      <c r="R85" s="103"/>
      <c r="S85" s="30">
        <f t="shared" si="270"/>
        <v>0</v>
      </c>
      <c r="T85" s="103"/>
      <c r="V85" s="30">
        <f t="shared" si="271"/>
        <v>-7255.8</v>
      </c>
      <c r="W85" s="30">
        <f t="shared" si="272"/>
        <v>0</v>
      </c>
      <c r="X85" s="30">
        <f t="shared" si="273"/>
        <v>0</v>
      </c>
      <c r="Y85" s="30">
        <f t="shared" si="274"/>
        <v>0</v>
      </c>
      <c r="Z85" s="30">
        <f t="shared" si="275"/>
        <v>-7343.8</v>
      </c>
      <c r="AA85" s="30">
        <f t="shared" si="276"/>
        <v>0</v>
      </c>
      <c r="AB85" s="30">
        <f t="shared" si="277"/>
        <v>0</v>
      </c>
      <c r="AC85" s="30">
        <f t="shared" si="278"/>
        <v>0</v>
      </c>
      <c r="AD85" s="30">
        <f t="shared" si="279"/>
        <v>0</v>
      </c>
      <c r="AE85" s="30">
        <f t="shared" si="280"/>
        <v>0</v>
      </c>
      <c r="AF85" s="11"/>
      <c r="AG85" s="66" t="e">
        <f t="shared" si="281"/>
        <v>#DIV/0!</v>
      </c>
    </row>
    <row r="86" spans="1:33" ht="12.75" customHeight="1">
      <c r="B86" s="102" t="s">
        <v>190</v>
      </c>
      <c r="C86" s="74">
        <v>-463.2</v>
      </c>
      <c r="D86" s="74">
        <v>-778.2</v>
      </c>
      <c r="E86" s="74">
        <v>-428.8</v>
      </c>
      <c r="F86" s="74"/>
      <c r="H86" s="103"/>
      <c r="I86" s="103"/>
      <c r="J86" s="103"/>
      <c r="K86" s="80">
        <f t="shared" si="268"/>
        <v>-778.2</v>
      </c>
      <c r="L86" s="103"/>
      <c r="M86" s="103"/>
      <c r="N86" s="103"/>
      <c r="O86" s="80">
        <f t="shared" si="269"/>
        <v>-428.8</v>
      </c>
      <c r="P86" s="103"/>
      <c r="Q86" s="103"/>
      <c r="R86" s="103"/>
      <c r="S86" s="30">
        <f t="shared" si="270"/>
        <v>0</v>
      </c>
      <c r="T86" s="103"/>
      <c r="V86" s="30">
        <f t="shared" si="271"/>
        <v>-778.2</v>
      </c>
      <c r="W86" s="30">
        <f t="shared" si="272"/>
        <v>0</v>
      </c>
      <c r="X86" s="30">
        <f t="shared" si="273"/>
        <v>0</v>
      </c>
      <c r="Y86" s="30">
        <f t="shared" si="274"/>
        <v>0</v>
      </c>
      <c r="Z86" s="30">
        <f t="shared" si="275"/>
        <v>-428.8</v>
      </c>
      <c r="AA86" s="30">
        <f t="shared" si="276"/>
        <v>0</v>
      </c>
      <c r="AB86" s="30">
        <f t="shared" si="277"/>
        <v>0</v>
      </c>
      <c r="AC86" s="30">
        <f t="shared" si="278"/>
        <v>0</v>
      </c>
      <c r="AD86" s="30">
        <f t="shared" si="279"/>
        <v>0</v>
      </c>
      <c r="AE86" s="30">
        <f t="shared" si="280"/>
        <v>0</v>
      </c>
      <c r="AF86" s="11"/>
      <c r="AG86" s="66" t="e">
        <f t="shared" si="281"/>
        <v>#DIV/0!</v>
      </c>
    </row>
    <row r="87" spans="1:33" ht="12.75" customHeight="1">
      <c r="B87" s="102" t="s">
        <v>191</v>
      </c>
      <c r="C87" s="74">
        <v>7.9</v>
      </c>
      <c r="D87" s="74">
        <v>7</v>
      </c>
      <c r="E87" s="74">
        <v>7.3</v>
      </c>
      <c r="F87" s="74"/>
      <c r="H87" s="103"/>
      <c r="I87" s="103"/>
      <c r="J87" s="103"/>
      <c r="K87" s="80">
        <f t="shared" si="268"/>
        <v>7</v>
      </c>
      <c r="L87" s="103"/>
      <c r="M87" s="103"/>
      <c r="N87" s="103"/>
      <c r="O87" s="80">
        <f t="shared" si="269"/>
        <v>7.3</v>
      </c>
      <c r="P87" s="103"/>
      <c r="Q87" s="103"/>
      <c r="R87" s="103"/>
      <c r="S87" s="30">
        <f t="shared" si="270"/>
        <v>0</v>
      </c>
      <c r="T87" s="103"/>
      <c r="V87" s="30">
        <f t="shared" si="271"/>
        <v>7</v>
      </c>
      <c r="W87" s="30">
        <f t="shared" si="272"/>
        <v>0</v>
      </c>
      <c r="X87" s="30">
        <f t="shared" si="273"/>
        <v>0</v>
      </c>
      <c r="Y87" s="30">
        <f t="shared" si="274"/>
        <v>0</v>
      </c>
      <c r="Z87" s="30">
        <f t="shared" si="275"/>
        <v>7.3</v>
      </c>
      <c r="AA87" s="30">
        <f t="shared" si="276"/>
        <v>0</v>
      </c>
      <c r="AB87" s="30">
        <f t="shared" si="277"/>
        <v>0</v>
      </c>
      <c r="AC87" s="30">
        <f t="shared" si="278"/>
        <v>0</v>
      </c>
      <c r="AD87" s="30">
        <f t="shared" si="279"/>
        <v>0</v>
      </c>
      <c r="AE87" s="30">
        <f t="shared" si="280"/>
        <v>0</v>
      </c>
      <c r="AF87" s="11"/>
      <c r="AG87" s="66" t="e">
        <f t="shared" si="281"/>
        <v>#DIV/0!</v>
      </c>
    </row>
    <row r="88" spans="1:33" ht="12.75" customHeight="1">
      <c r="B88" s="12" t="s">
        <v>15</v>
      </c>
      <c r="C88" s="13">
        <f t="shared" ref="C88" si="282">SUM(C83:C87)</f>
        <v>-8698.7000000000007</v>
      </c>
      <c r="D88" s="13">
        <f t="shared" ref="D88:F88" si="283">SUM(D83:D87)</f>
        <v>-7987.8</v>
      </c>
      <c r="E88" s="13">
        <f t="shared" si="283"/>
        <v>-7441.6</v>
      </c>
      <c r="F88" s="13">
        <f t="shared" si="283"/>
        <v>0</v>
      </c>
      <c r="G88" s="46"/>
      <c r="H88" s="13">
        <f t="shared" ref="H88:Q88" si="284">SUM(H83:H87)</f>
        <v>0</v>
      </c>
      <c r="I88" s="13">
        <f t="shared" si="284"/>
        <v>0</v>
      </c>
      <c r="J88" s="13">
        <f t="shared" si="284"/>
        <v>0</v>
      </c>
      <c r="K88" s="13">
        <f t="shared" si="284"/>
        <v>-7987.8</v>
      </c>
      <c r="L88" s="13">
        <f t="shared" si="284"/>
        <v>0</v>
      </c>
      <c r="M88" s="13">
        <f t="shared" si="284"/>
        <v>0</v>
      </c>
      <c r="N88" s="13">
        <f t="shared" si="284"/>
        <v>0</v>
      </c>
      <c r="O88" s="13">
        <f t="shared" si="284"/>
        <v>-7441.6</v>
      </c>
      <c r="P88" s="13">
        <f t="shared" si="284"/>
        <v>0</v>
      </c>
      <c r="Q88" s="13">
        <f t="shared" si="284"/>
        <v>0</v>
      </c>
      <c r="R88" s="13">
        <f t="shared" ref="R88:T88" si="285">SUM(R83:R87)</f>
        <v>0</v>
      </c>
      <c r="S88" s="13">
        <f t="shared" ref="S88" si="286">SUM(S83:S87)</f>
        <v>0</v>
      </c>
      <c r="T88" s="13">
        <f t="shared" si="285"/>
        <v>0</v>
      </c>
      <c r="V88" s="13">
        <f t="shared" ref="V88:AE88" si="287">SUM(V83:V87)</f>
        <v>-7987.8</v>
      </c>
      <c r="W88" s="13">
        <f t="shared" si="287"/>
        <v>0</v>
      </c>
      <c r="X88" s="13">
        <f t="shared" si="287"/>
        <v>0</v>
      </c>
      <c r="Y88" s="13">
        <f t="shared" si="287"/>
        <v>0</v>
      </c>
      <c r="Z88" s="13">
        <f t="shared" si="287"/>
        <v>-7441.6</v>
      </c>
      <c r="AA88" s="13">
        <f t="shared" si="287"/>
        <v>0</v>
      </c>
      <c r="AB88" s="13">
        <f t="shared" si="287"/>
        <v>0</v>
      </c>
      <c r="AC88" s="13">
        <f t="shared" si="287"/>
        <v>0</v>
      </c>
      <c r="AD88" s="13">
        <f t="shared" si="287"/>
        <v>0</v>
      </c>
      <c r="AE88" s="13">
        <f t="shared" si="287"/>
        <v>0</v>
      </c>
      <c r="AF88" s="39"/>
      <c r="AG88" s="67" t="e">
        <f>SUM(AE88/AA88)-1</f>
        <v>#DIV/0!</v>
      </c>
    </row>
    <row r="89" spans="1:33" ht="12.75" customHeight="1">
      <c r="B89" s="23" t="s">
        <v>50</v>
      </c>
      <c r="C89" s="30">
        <f t="shared" ref="C89" si="288">SUM(C88+C81)</f>
        <v>27978.399999999998</v>
      </c>
      <c r="D89" s="30">
        <f t="shared" ref="D89:F89" si="289">SUM(D88+D81)</f>
        <v>29445.500000000004</v>
      </c>
      <c r="E89" s="30">
        <f t="shared" si="289"/>
        <v>31339.299999999996</v>
      </c>
      <c r="F89" s="30">
        <f t="shared" si="289"/>
        <v>0</v>
      </c>
      <c r="G89" s="30"/>
      <c r="H89" s="30">
        <f t="shared" ref="H89:Q89" si="290">SUM(H88+H81)</f>
        <v>0</v>
      </c>
      <c r="I89" s="30">
        <f t="shared" si="290"/>
        <v>0</v>
      </c>
      <c r="J89" s="30">
        <f t="shared" si="290"/>
        <v>0</v>
      </c>
      <c r="K89" s="30">
        <f t="shared" si="290"/>
        <v>29445.500000000004</v>
      </c>
      <c r="L89" s="30">
        <f t="shared" si="290"/>
        <v>0</v>
      </c>
      <c r="M89" s="30">
        <f t="shared" si="290"/>
        <v>0</v>
      </c>
      <c r="N89" s="30">
        <f t="shared" si="290"/>
        <v>0</v>
      </c>
      <c r="O89" s="30">
        <f t="shared" si="290"/>
        <v>31339.299999999996</v>
      </c>
      <c r="P89" s="30">
        <f t="shared" si="290"/>
        <v>0</v>
      </c>
      <c r="Q89" s="30">
        <f t="shared" si="290"/>
        <v>0</v>
      </c>
      <c r="R89" s="30">
        <f t="shared" ref="R89:T89" si="291">SUM(R88+R81)</f>
        <v>0</v>
      </c>
      <c r="S89" s="30">
        <f t="shared" ref="S89" si="292">SUM(S88+S81)</f>
        <v>0</v>
      </c>
      <c r="T89" s="30">
        <f t="shared" si="291"/>
        <v>0</v>
      </c>
      <c r="U89" s="30"/>
      <c r="V89" s="30">
        <f t="shared" ref="V89:AE89" si="293">SUM(V88+V81)</f>
        <v>29445.500000000004</v>
      </c>
      <c r="W89" s="30">
        <f t="shared" si="293"/>
        <v>0</v>
      </c>
      <c r="X89" s="30">
        <f t="shared" si="293"/>
        <v>0</v>
      </c>
      <c r="Y89" s="30">
        <f t="shared" si="293"/>
        <v>0</v>
      </c>
      <c r="Z89" s="30">
        <f t="shared" si="293"/>
        <v>31339.299999999996</v>
      </c>
      <c r="AA89" s="30">
        <f t="shared" si="293"/>
        <v>0</v>
      </c>
      <c r="AB89" s="30">
        <f t="shared" si="293"/>
        <v>0</v>
      </c>
      <c r="AC89" s="30">
        <f t="shared" si="293"/>
        <v>0</v>
      </c>
      <c r="AD89" s="30">
        <f t="shared" si="293"/>
        <v>0</v>
      </c>
      <c r="AE89" s="30">
        <f t="shared" si="293"/>
        <v>0</v>
      </c>
      <c r="AF89" s="11"/>
      <c r="AG89" s="67" t="e">
        <f>SUM(AE89/AA89)-1</f>
        <v>#DIV/0!</v>
      </c>
    </row>
    <row r="90" spans="1:33" ht="5.0999999999999996" customHeight="1">
      <c r="B90" s="23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11"/>
    </row>
    <row r="91" spans="1:33" ht="12.75" customHeight="1">
      <c r="B91" s="60" t="s">
        <v>60</v>
      </c>
      <c r="C91" s="61">
        <f>C89-C64</f>
        <v>0</v>
      </c>
      <c r="D91" s="61">
        <f>D89-D64</f>
        <v>0</v>
      </c>
      <c r="E91" s="61">
        <f>E89-E64</f>
        <v>0</v>
      </c>
      <c r="F91" s="61">
        <f>F89-F64</f>
        <v>0</v>
      </c>
      <c r="G91" s="62"/>
      <c r="H91" s="61">
        <f>H89-H64</f>
        <v>0</v>
      </c>
      <c r="I91" s="61">
        <f>I89-I64</f>
        <v>0</v>
      </c>
      <c r="J91" s="61">
        <f>J89-J64</f>
        <v>0</v>
      </c>
      <c r="K91" s="61">
        <f>K89-K64</f>
        <v>0</v>
      </c>
      <c r="L91" s="61">
        <f>L89-L64</f>
        <v>0</v>
      </c>
      <c r="M91" s="61">
        <f>M89-M64</f>
        <v>0</v>
      </c>
      <c r="N91" s="61">
        <f>N89-N64</f>
        <v>0</v>
      </c>
      <c r="O91" s="61">
        <f>O89-O64</f>
        <v>0</v>
      </c>
      <c r="P91" s="61">
        <f>P89-P64</f>
        <v>0</v>
      </c>
      <c r="Q91" s="61">
        <f>Q89-Q64</f>
        <v>0</v>
      </c>
      <c r="R91" s="61">
        <f>R89-R64</f>
        <v>0</v>
      </c>
      <c r="S91" s="61">
        <f>S89-S64</f>
        <v>0</v>
      </c>
      <c r="T91" s="61">
        <f>T89-T64</f>
        <v>0</v>
      </c>
      <c r="U91" s="26"/>
      <c r="V91" s="61">
        <f>V89-V64</f>
        <v>0</v>
      </c>
      <c r="W91" s="61">
        <f>W89-W64</f>
        <v>0</v>
      </c>
      <c r="X91" s="61">
        <f>X89-X64</f>
        <v>0</v>
      </c>
      <c r="Y91" s="61">
        <f>Y89-Y64</f>
        <v>0</v>
      </c>
      <c r="Z91" s="61">
        <f>Z89-Z64</f>
        <v>0</v>
      </c>
      <c r="AA91" s="61">
        <f>AA89-AA64</f>
        <v>0</v>
      </c>
      <c r="AB91" s="61">
        <f>AB89-AB64</f>
        <v>0</v>
      </c>
      <c r="AC91" s="61">
        <f>AC89-AC64</f>
        <v>0</v>
      </c>
      <c r="AD91" s="61">
        <f>AD89-AD64</f>
        <v>0</v>
      </c>
      <c r="AE91" s="61">
        <f>AE89-AE64</f>
        <v>0</v>
      </c>
    </row>
    <row r="92" spans="1:33" ht="5.0999999999999996" customHeight="1" thickBot="1">
      <c r="B92" s="98"/>
      <c r="C92" s="99"/>
      <c r="D92" s="99"/>
      <c r="E92" s="99"/>
      <c r="F92" s="99"/>
      <c r="G92" s="100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1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64"/>
      <c r="AG92" s="64"/>
    </row>
    <row r="93" spans="1:33">
      <c r="B93" s="59"/>
      <c r="C93" s="22"/>
      <c r="D93" s="22"/>
      <c r="E93" s="22"/>
      <c r="F93" s="22"/>
      <c r="G93" s="47"/>
    </row>
    <row r="94" spans="1:33" ht="12.75" customHeight="1">
      <c r="A94" s="5" t="s">
        <v>17</v>
      </c>
      <c r="B94" s="81" t="s">
        <v>14</v>
      </c>
      <c r="C94" s="85"/>
      <c r="D94" s="85"/>
      <c r="E94" s="85"/>
      <c r="F94" s="85"/>
      <c r="G94" s="86"/>
      <c r="H94" s="85"/>
      <c r="I94" s="85"/>
      <c r="J94" s="85"/>
      <c r="K94" s="85"/>
      <c r="L94" s="85"/>
      <c r="M94" s="85"/>
      <c r="N94" s="85" t="s">
        <v>1</v>
      </c>
      <c r="O94" s="85"/>
      <c r="P94" s="85"/>
      <c r="Q94" s="85"/>
      <c r="R94" s="85"/>
      <c r="S94" s="85"/>
      <c r="T94" s="85"/>
      <c r="U94" s="81"/>
      <c r="V94" s="85"/>
      <c r="W94" s="85"/>
      <c r="X94" s="85"/>
      <c r="Y94" s="85"/>
      <c r="Z94" s="85"/>
      <c r="AA94" s="85" t="s">
        <v>10</v>
      </c>
      <c r="AB94" s="85"/>
      <c r="AC94" s="85"/>
      <c r="AD94" s="85"/>
      <c r="AE94" s="85"/>
      <c r="AF94" s="86"/>
      <c r="AG94" s="151" t="s">
        <v>23</v>
      </c>
    </row>
    <row r="95" spans="1:33" ht="12.75" customHeight="1">
      <c r="B95" s="82" t="str">
        <f>B7</f>
        <v>Fiscal Period</v>
      </c>
      <c r="C95" s="87">
        <f>C7</f>
        <v>2022</v>
      </c>
      <c r="D95" s="87">
        <f>D7</f>
        <v>2023</v>
      </c>
      <c r="E95" s="87">
        <f>E7</f>
        <v>2024</v>
      </c>
      <c r="F95" s="87">
        <f>F7</f>
        <v>2025</v>
      </c>
      <c r="G95" s="86"/>
      <c r="H95" s="87" t="str">
        <f>H7</f>
        <v>1Q23</v>
      </c>
      <c r="I95" s="87" t="str">
        <f>I7</f>
        <v>2Q23</v>
      </c>
      <c r="J95" s="87" t="str">
        <f>J7</f>
        <v>3Q23</v>
      </c>
      <c r="K95" s="87" t="str">
        <f>K7</f>
        <v>4Q23</v>
      </c>
      <c r="L95" s="87" t="str">
        <f>L7</f>
        <v>1Q24</v>
      </c>
      <c r="M95" s="87" t="str">
        <f>M7</f>
        <v>2Q24</v>
      </c>
      <c r="N95" s="87" t="str">
        <f>N7</f>
        <v>3Q24</v>
      </c>
      <c r="O95" s="87" t="str">
        <f>O7</f>
        <v>4Q24</v>
      </c>
      <c r="P95" s="87" t="str">
        <f>P7</f>
        <v>1Q25</v>
      </c>
      <c r="Q95" s="87" t="str">
        <f>Q7</f>
        <v>2Q25</v>
      </c>
      <c r="R95" s="87" t="str">
        <f>R7</f>
        <v>3Q25</v>
      </c>
      <c r="S95" s="87" t="str">
        <f>S7</f>
        <v>4Q25</v>
      </c>
      <c r="T95" s="87" t="str">
        <f>T7</f>
        <v>1Q26</v>
      </c>
      <c r="U95" s="87"/>
      <c r="V95" s="87" t="str">
        <f>V7</f>
        <v>4Q23</v>
      </c>
      <c r="W95" s="87" t="str">
        <f>W7</f>
        <v>1Q24</v>
      </c>
      <c r="X95" s="87" t="str">
        <f>X7</f>
        <v>2Q24</v>
      </c>
      <c r="Y95" s="87" t="str">
        <f>Y7</f>
        <v>3Q24</v>
      </c>
      <c r="Z95" s="87" t="str">
        <f>Z7</f>
        <v>4Q24</v>
      </c>
      <c r="AA95" s="87" t="str">
        <f>AA7</f>
        <v>1Q25</v>
      </c>
      <c r="AB95" s="87" t="str">
        <f>AB7</f>
        <v>2Q25</v>
      </c>
      <c r="AC95" s="87" t="str">
        <f>AC7</f>
        <v>3Q25</v>
      </c>
      <c r="AD95" s="87" t="str">
        <f>AD7</f>
        <v>4Q25</v>
      </c>
      <c r="AE95" s="87" t="str">
        <f>AE7</f>
        <v>1Q26</v>
      </c>
      <c r="AF95" s="86"/>
      <c r="AG95" s="151"/>
    </row>
    <row r="96" spans="1:33" ht="12.75" customHeight="1">
      <c r="B96" s="82" t="str">
        <f>B8</f>
        <v>Fiscal Period End Date</v>
      </c>
      <c r="C96" s="88">
        <f>C8</f>
        <v>44836</v>
      </c>
      <c r="D96" s="88">
        <f>D8</f>
        <v>45200</v>
      </c>
      <c r="E96" s="88">
        <f>E8</f>
        <v>45564</v>
      </c>
      <c r="F96" s="88">
        <f>F8</f>
        <v>0</v>
      </c>
      <c r="G96" s="86"/>
      <c r="H96" s="88" t="str">
        <f>H8</f>
        <v>XXX</v>
      </c>
      <c r="I96" s="88" t="str">
        <f>I8</f>
        <v>XXX</v>
      </c>
      <c r="J96" s="88" t="str">
        <f>J8</f>
        <v>XXX</v>
      </c>
      <c r="K96" s="88">
        <f>K8</f>
        <v>45200</v>
      </c>
      <c r="L96" s="88" t="str">
        <f>L8</f>
        <v>XXX</v>
      </c>
      <c r="M96" s="88" t="str">
        <f>M8</f>
        <v>XXX</v>
      </c>
      <c r="N96" s="88" t="str">
        <f>N8</f>
        <v>XXX</v>
      </c>
      <c r="O96" s="88">
        <f>O8</f>
        <v>45564</v>
      </c>
      <c r="P96" s="88" t="str">
        <f>P8</f>
        <v>XXX</v>
      </c>
      <c r="Q96" s="88" t="str">
        <f>Q8</f>
        <v>XXX</v>
      </c>
      <c r="R96" s="88" t="str">
        <f>R8</f>
        <v>XXX</v>
      </c>
      <c r="S96" s="88">
        <f>S8</f>
        <v>0</v>
      </c>
      <c r="T96" s="88" t="str">
        <f>T8</f>
        <v>XXX</v>
      </c>
      <c r="U96" s="88"/>
      <c r="V96" s="88">
        <f>V8</f>
        <v>45200</v>
      </c>
      <c r="W96" s="88" t="str">
        <f>W8</f>
        <v>XXX</v>
      </c>
      <c r="X96" s="88" t="str">
        <f>X8</f>
        <v>XXX</v>
      </c>
      <c r="Y96" s="88" t="str">
        <f>Y8</f>
        <v>XXX</v>
      </c>
      <c r="Z96" s="88">
        <f>Z8</f>
        <v>45564</v>
      </c>
      <c r="AA96" s="88" t="str">
        <f>AA8</f>
        <v>XXX</v>
      </c>
      <c r="AB96" s="88" t="str">
        <f>AB8</f>
        <v>XXX</v>
      </c>
      <c r="AC96" s="88" t="str">
        <f>AC8</f>
        <v>XXX</v>
      </c>
      <c r="AD96" s="88">
        <f>AD8</f>
        <v>0</v>
      </c>
      <c r="AE96" s="88" t="str">
        <f>AE8</f>
        <v>XXX</v>
      </c>
      <c r="AF96" s="86"/>
      <c r="AG96" s="151"/>
    </row>
    <row r="97" spans="2:33" ht="5.0999999999999996" customHeight="1">
      <c r="B97" s="48"/>
      <c r="C97" s="44"/>
      <c r="D97" s="44"/>
      <c r="E97" s="44"/>
      <c r="F97" s="44"/>
    </row>
    <row r="98" spans="2:33" ht="12.75" customHeight="1">
      <c r="B98" s="49" t="s">
        <v>51</v>
      </c>
      <c r="C98" s="50"/>
      <c r="D98" s="50"/>
      <c r="E98" s="50"/>
      <c r="F98" s="50"/>
    </row>
    <row r="99" spans="2:33" ht="12.75" customHeight="1">
      <c r="B99" s="51" t="s">
        <v>52</v>
      </c>
      <c r="C99" s="30">
        <f>C31</f>
        <v>3283.3999999999996</v>
      </c>
      <c r="D99" s="30">
        <f>D31</f>
        <v>4124.7</v>
      </c>
      <c r="E99" s="30">
        <f>E31</f>
        <v>3762.3000000000029</v>
      </c>
      <c r="F99" s="30">
        <f>F31</f>
        <v>0</v>
      </c>
      <c r="G99" s="30"/>
      <c r="H99" s="30">
        <f t="shared" ref="H99:T99" si="294">H31</f>
        <v>0</v>
      </c>
      <c r="I99" s="30">
        <f t="shared" si="294"/>
        <v>0</v>
      </c>
      <c r="J99" s="30">
        <f t="shared" si="294"/>
        <v>0</v>
      </c>
      <c r="K99" s="30">
        <f t="shared" si="294"/>
        <v>4124.7</v>
      </c>
      <c r="L99" s="30">
        <f t="shared" si="294"/>
        <v>0</v>
      </c>
      <c r="M99" s="30">
        <f t="shared" si="294"/>
        <v>0</v>
      </c>
      <c r="N99" s="30">
        <f t="shared" si="294"/>
        <v>0</v>
      </c>
      <c r="O99" s="30">
        <f t="shared" si="294"/>
        <v>3762.3000000000029</v>
      </c>
      <c r="P99" s="30">
        <f t="shared" si="294"/>
        <v>0</v>
      </c>
      <c r="Q99" s="30">
        <f t="shared" si="294"/>
        <v>0</v>
      </c>
      <c r="R99" s="30">
        <f t="shared" si="294"/>
        <v>0</v>
      </c>
      <c r="S99" s="30">
        <f t="shared" si="294"/>
        <v>0</v>
      </c>
      <c r="T99" s="30">
        <f t="shared" si="294"/>
        <v>0</v>
      </c>
      <c r="V99" s="30">
        <f t="shared" ref="V99:AE99" si="295">V31</f>
        <v>4124.7</v>
      </c>
      <c r="W99" s="30">
        <f t="shared" si="295"/>
        <v>4124.7</v>
      </c>
      <c r="X99" s="30">
        <f t="shared" si="295"/>
        <v>4124.7</v>
      </c>
      <c r="Y99" s="30">
        <f t="shared" si="295"/>
        <v>4124.7</v>
      </c>
      <c r="Z99" s="30">
        <f t="shared" si="295"/>
        <v>3762.3000000000029</v>
      </c>
      <c r="AA99" s="30">
        <f t="shared" si="295"/>
        <v>3762.3000000000029</v>
      </c>
      <c r="AB99" s="30">
        <f t="shared" si="295"/>
        <v>3762.3000000000029</v>
      </c>
      <c r="AC99" s="30">
        <f t="shared" si="295"/>
        <v>3762.3000000000029</v>
      </c>
      <c r="AD99" s="30">
        <f t="shared" si="295"/>
        <v>0</v>
      </c>
      <c r="AE99" s="30">
        <f t="shared" si="295"/>
        <v>0</v>
      </c>
      <c r="AF99" s="11"/>
      <c r="AG99" s="66">
        <f>SUM(AE99/AA99)-1</f>
        <v>-1</v>
      </c>
    </row>
    <row r="100" spans="2:33" ht="5.0999999999999996" customHeight="1"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11"/>
      <c r="AG100" s="66"/>
    </row>
    <row r="101" spans="2:33" ht="12.75" customHeight="1">
      <c r="B101" s="33" t="s">
        <v>59</v>
      </c>
      <c r="C101" s="30"/>
      <c r="D101" s="30"/>
      <c r="E101" s="30"/>
      <c r="F101" s="30"/>
      <c r="G101" s="30"/>
      <c r="H101" s="74"/>
      <c r="I101" s="74"/>
      <c r="J101" s="74"/>
      <c r="K101" s="30"/>
      <c r="L101" s="74"/>
      <c r="M101" s="74"/>
      <c r="N101" s="74"/>
      <c r="O101" s="30"/>
      <c r="P101" s="74"/>
      <c r="Q101" s="74"/>
      <c r="R101" s="74"/>
      <c r="S101" s="74"/>
      <c r="T101" s="74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53"/>
      <c r="AG101" s="66"/>
    </row>
    <row r="102" spans="2:33" ht="12.75" customHeight="1">
      <c r="B102" s="54" t="s">
        <v>134</v>
      </c>
      <c r="C102" s="74">
        <v>1529.4</v>
      </c>
      <c r="D102" s="74">
        <v>1450.3</v>
      </c>
      <c r="E102" s="74">
        <v>1592.4</v>
      </c>
      <c r="F102" s="74"/>
      <c r="G102" s="30"/>
      <c r="H102" s="74"/>
      <c r="I102" s="74"/>
      <c r="J102" s="74"/>
      <c r="K102" s="30">
        <f>SUM(D102-SUM(H102:J102))</f>
        <v>1450.3</v>
      </c>
      <c r="L102" s="74"/>
      <c r="M102" s="74"/>
      <c r="N102" s="74"/>
      <c r="O102" s="30">
        <f>SUM(E102-SUM(L102:N102))</f>
        <v>1592.4</v>
      </c>
      <c r="P102" s="74"/>
      <c r="Q102" s="74"/>
      <c r="R102" s="74"/>
      <c r="S102" s="30">
        <f t="shared" ref="S102" si="296">SUM(F102-SUM(P102:R102))</f>
        <v>0</v>
      </c>
      <c r="T102" s="74"/>
      <c r="V102" s="30">
        <f t="shared" ref="V102:V109" si="297">SUM(H102:K102)</f>
        <v>1450.3</v>
      </c>
      <c r="W102" s="30">
        <f t="shared" ref="W102:W109" si="298">SUM(I102:L102)</f>
        <v>1450.3</v>
      </c>
      <c r="X102" s="30">
        <f t="shared" ref="X102:X109" si="299">SUM(J102:M102)</f>
        <v>1450.3</v>
      </c>
      <c r="Y102" s="30">
        <f t="shared" ref="Y102:Y109" si="300">SUM(K102:N102)</f>
        <v>1450.3</v>
      </c>
      <c r="Z102" s="30">
        <f t="shared" ref="Z102:Z109" si="301">SUM(L102:O102)</f>
        <v>1592.4</v>
      </c>
      <c r="AA102" s="30">
        <f t="shared" ref="AA102:AA109" si="302">SUM(M102:P102)</f>
        <v>1592.4</v>
      </c>
      <c r="AB102" s="30">
        <f t="shared" ref="AB102:AB109" si="303">SUM(N102:Q102)</f>
        <v>1592.4</v>
      </c>
      <c r="AC102" s="30">
        <f t="shared" ref="AC102:AC109" si="304">SUM(O102:R102)</f>
        <v>1592.4</v>
      </c>
      <c r="AD102" s="30">
        <f t="shared" ref="AD102:AD109" si="305">SUM(P102:S102)</f>
        <v>0</v>
      </c>
      <c r="AE102" s="30">
        <f t="shared" ref="AE102:AE109" si="306">SUM(Q102:T102)</f>
        <v>0</v>
      </c>
      <c r="AF102" s="11"/>
      <c r="AG102" s="66">
        <f t="shared" ref="AG102:AG112" si="307">SUM(AE102/AA102)-1</f>
        <v>-1</v>
      </c>
    </row>
    <row r="103" spans="2:33" ht="12.75" customHeight="1">
      <c r="B103" s="54" t="s">
        <v>135</v>
      </c>
      <c r="C103" s="74">
        <v>-268.7</v>
      </c>
      <c r="D103" s="74">
        <v>-301.8</v>
      </c>
      <c r="E103" s="74">
        <v>-306.39999999999998</v>
      </c>
      <c r="F103" s="74"/>
      <c r="G103" s="30"/>
      <c r="H103" s="74"/>
      <c r="I103" s="74"/>
      <c r="J103" s="74"/>
      <c r="K103" s="30">
        <f>SUM(D103-SUM(H103:J103))</f>
        <v>-301.8</v>
      </c>
      <c r="L103" s="74"/>
      <c r="M103" s="74"/>
      <c r="N103" s="74"/>
      <c r="O103" s="30">
        <f>SUM(E103-SUM(L103:N103))</f>
        <v>-306.39999999999998</v>
      </c>
      <c r="P103" s="74"/>
      <c r="Q103" s="74"/>
      <c r="R103" s="74"/>
      <c r="S103" s="30">
        <f t="shared" ref="S103" si="308">SUM(F103-SUM(P103:R103))</f>
        <v>0</v>
      </c>
      <c r="T103" s="74"/>
      <c r="V103" s="30">
        <f t="shared" si="297"/>
        <v>-301.8</v>
      </c>
      <c r="W103" s="30">
        <f t="shared" si="298"/>
        <v>-301.8</v>
      </c>
      <c r="X103" s="30">
        <f t="shared" si="299"/>
        <v>-301.8</v>
      </c>
      <c r="Y103" s="30">
        <f t="shared" si="300"/>
        <v>-301.8</v>
      </c>
      <c r="Z103" s="30">
        <f t="shared" si="301"/>
        <v>-306.39999999999998</v>
      </c>
      <c r="AA103" s="30">
        <f t="shared" si="302"/>
        <v>-306.39999999999998</v>
      </c>
      <c r="AB103" s="30">
        <f t="shared" si="303"/>
        <v>-306.39999999999998</v>
      </c>
      <c r="AC103" s="30">
        <f t="shared" si="304"/>
        <v>-306.39999999999998</v>
      </c>
      <c r="AD103" s="30">
        <f t="shared" si="305"/>
        <v>0</v>
      </c>
      <c r="AE103" s="30">
        <f t="shared" si="306"/>
        <v>0</v>
      </c>
      <c r="AF103" s="11"/>
      <c r="AG103" s="66">
        <f t="shared" ref="AG103" si="309">SUM(AE103/AA103)-1</f>
        <v>-1</v>
      </c>
    </row>
    <row r="104" spans="2:33" ht="12.75" customHeight="1">
      <c r="B104" s="54" t="s">
        <v>136</v>
      </c>
      <c r="C104" s="74">
        <v>231.2</v>
      </c>
      <c r="D104" s="74">
        <v>222.8</v>
      </c>
      <c r="E104" s="74">
        <v>333.3</v>
      </c>
      <c r="F104" s="74"/>
      <c r="G104" s="30"/>
      <c r="H104" s="74"/>
      <c r="I104" s="74"/>
      <c r="J104" s="74"/>
      <c r="K104" s="30">
        <f t="shared" ref="K104:K109" si="310">SUM(D104-SUM(H104:J104))</f>
        <v>222.8</v>
      </c>
      <c r="L104" s="74"/>
      <c r="M104" s="74"/>
      <c r="N104" s="74"/>
      <c r="O104" s="30">
        <f t="shared" ref="O104:O109" si="311">SUM(E104-SUM(L104:N104))</f>
        <v>333.3</v>
      </c>
      <c r="P104" s="74"/>
      <c r="Q104" s="74"/>
      <c r="R104" s="74"/>
      <c r="S104" s="30">
        <f t="shared" ref="S104:S109" si="312">SUM(F104-SUM(P104:R104))</f>
        <v>0</v>
      </c>
      <c r="T104" s="74"/>
      <c r="V104" s="30">
        <f t="shared" si="297"/>
        <v>222.8</v>
      </c>
      <c r="W104" s="30">
        <f t="shared" si="298"/>
        <v>222.8</v>
      </c>
      <c r="X104" s="30">
        <f t="shared" si="299"/>
        <v>222.8</v>
      </c>
      <c r="Y104" s="30">
        <f t="shared" si="300"/>
        <v>222.8</v>
      </c>
      <c r="Z104" s="30">
        <f t="shared" si="301"/>
        <v>333.3</v>
      </c>
      <c r="AA104" s="30">
        <f t="shared" si="302"/>
        <v>333.3</v>
      </c>
      <c r="AB104" s="30">
        <f t="shared" si="303"/>
        <v>333.3</v>
      </c>
      <c r="AC104" s="30">
        <f t="shared" si="304"/>
        <v>333.3</v>
      </c>
      <c r="AD104" s="30">
        <f t="shared" si="305"/>
        <v>0</v>
      </c>
      <c r="AE104" s="30">
        <f t="shared" si="306"/>
        <v>0</v>
      </c>
      <c r="AF104" s="11"/>
      <c r="AG104" s="66">
        <f t="shared" ref="AG104:AG109" si="313">SUM(AE104/AA104)-1</f>
        <v>-1</v>
      </c>
    </row>
    <row r="105" spans="2:33" ht="12.75" customHeight="1">
      <c r="B105" s="54" t="s">
        <v>137</v>
      </c>
      <c r="C105" s="74">
        <v>0</v>
      </c>
      <c r="D105" s="74">
        <v>-91.3</v>
      </c>
      <c r="E105" s="74">
        <v>0</v>
      </c>
      <c r="F105" s="74"/>
      <c r="G105" s="30"/>
      <c r="H105" s="74"/>
      <c r="I105" s="74"/>
      <c r="J105" s="74"/>
      <c r="K105" s="30">
        <f t="shared" si="310"/>
        <v>-91.3</v>
      </c>
      <c r="L105" s="74"/>
      <c r="M105" s="74"/>
      <c r="N105" s="74"/>
      <c r="O105" s="30">
        <f t="shared" si="311"/>
        <v>0</v>
      </c>
      <c r="P105" s="74"/>
      <c r="Q105" s="74"/>
      <c r="R105" s="74"/>
      <c r="S105" s="30">
        <f t="shared" si="312"/>
        <v>0</v>
      </c>
      <c r="T105" s="74"/>
      <c r="V105" s="30">
        <f t="shared" si="297"/>
        <v>-91.3</v>
      </c>
      <c r="W105" s="30">
        <f t="shared" si="298"/>
        <v>-91.3</v>
      </c>
      <c r="X105" s="30">
        <f t="shared" si="299"/>
        <v>-91.3</v>
      </c>
      <c r="Y105" s="30">
        <f t="shared" si="300"/>
        <v>-91.3</v>
      </c>
      <c r="Z105" s="30">
        <f t="shared" si="301"/>
        <v>0</v>
      </c>
      <c r="AA105" s="30">
        <f t="shared" si="302"/>
        <v>0</v>
      </c>
      <c r="AB105" s="30">
        <f t="shared" si="303"/>
        <v>0</v>
      </c>
      <c r="AC105" s="30">
        <f t="shared" si="304"/>
        <v>0</v>
      </c>
      <c r="AD105" s="30">
        <f t="shared" si="305"/>
        <v>0</v>
      </c>
      <c r="AE105" s="30">
        <f t="shared" si="306"/>
        <v>0</v>
      </c>
      <c r="AF105" s="11"/>
      <c r="AG105" s="66" t="e">
        <f t="shared" si="313"/>
        <v>#DIV/0!</v>
      </c>
    </row>
    <row r="106" spans="2:33" ht="12.75" customHeight="1">
      <c r="B106" s="54" t="s">
        <v>138</v>
      </c>
      <c r="C106" s="74" t="s">
        <v>141</v>
      </c>
      <c r="D106" s="74">
        <v>302.7</v>
      </c>
      <c r="E106" s="74">
        <v>308.3</v>
      </c>
      <c r="F106" s="74"/>
      <c r="G106" s="30"/>
      <c r="H106" s="74"/>
      <c r="I106" s="74"/>
      <c r="J106" s="74"/>
      <c r="K106" s="30">
        <f t="shared" si="310"/>
        <v>302.7</v>
      </c>
      <c r="L106" s="74"/>
      <c r="M106" s="74"/>
      <c r="N106" s="74"/>
      <c r="O106" s="30">
        <f t="shared" si="311"/>
        <v>308.3</v>
      </c>
      <c r="P106" s="74"/>
      <c r="Q106" s="74"/>
      <c r="R106" s="74"/>
      <c r="S106" s="30">
        <f t="shared" si="312"/>
        <v>0</v>
      </c>
      <c r="T106" s="74"/>
      <c r="V106" s="30">
        <f t="shared" si="297"/>
        <v>302.7</v>
      </c>
      <c r="W106" s="30">
        <f t="shared" si="298"/>
        <v>302.7</v>
      </c>
      <c r="X106" s="30">
        <f t="shared" si="299"/>
        <v>302.7</v>
      </c>
      <c r="Y106" s="30">
        <f t="shared" si="300"/>
        <v>302.7</v>
      </c>
      <c r="Z106" s="30">
        <f t="shared" si="301"/>
        <v>308.3</v>
      </c>
      <c r="AA106" s="30">
        <f t="shared" si="302"/>
        <v>308.3</v>
      </c>
      <c r="AB106" s="30">
        <f t="shared" si="303"/>
        <v>308.3</v>
      </c>
      <c r="AC106" s="30">
        <f t="shared" si="304"/>
        <v>308.3</v>
      </c>
      <c r="AD106" s="30">
        <f t="shared" si="305"/>
        <v>0</v>
      </c>
      <c r="AE106" s="30">
        <f t="shared" si="306"/>
        <v>0</v>
      </c>
      <c r="AF106" s="11"/>
      <c r="AG106" s="66">
        <f t="shared" si="313"/>
        <v>-1</v>
      </c>
    </row>
    <row r="107" spans="2:33" ht="12.75" customHeight="1">
      <c r="B107" s="54" t="s">
        <v>139</v>
      </c>
      <c r="C107" s="74">
        <v>1497.7</v>
      </c>
      <c r="D107" s="74">
        <v>1365.9</v>
      </c>
      <c r="E107" s="74">
        <v>1314.9</v>
      </c>
      <c r="F107" s="74"/>
      <c r="G107" s="30"/>
      <c r="H107" s="74"/>
      <c r="I107" s="74"/>
      <c r="J107" s="74"/>
      <c r="K107" s="30">
        <f t="shared" si="310"/>
        <v>1365.9</v>
      </c>
      <c r="L107" s="74"/>
      <c r="M107" s="74"/>
      <c r="N107" s="74"/>
      <c r="O107" s="30">
        <f t="shared" si="311"/>
        <v>1314.9</v>
      </c>
      <c r="P107" s="74"/>
      <c r="Q107" s="74"/>
      <c r="R107" s="74"/>
      <c r="S107" s="30">
        <f t="shared" si="312"/>
        <v>0</v>
      </c>
      <c r="T107" s="74"/>
      <c r="V107" s="30">
        <f t="shared" si="297"/>
        <v>1365.9</v>
      </c>
      <c r="W107" s="30">
        <f t="shared" si="298"/>
        <v>1365.9</v>
      </c>
      <c r="X107" s="30">
        <f t="shared" si="299"/>
        <v>1365.9</v>
      </c>
      <c r="Y107" s="30">
        <f t="shared" si="300"/>
        <v>1365.9</v>
      </c>
      <c r="Z107" s="30">
        <f t="shared" si="301"/>
        <v>1314.9</v>
      </c>
      <c r="AA107" s="30">
        <f t="shared" si="302"/>
        <v>1314.9</v>
      </c>
      <c r="AB107" s="30">
        <f t="shared" si="303"/>
        <v>1314.9</v>
      </c>
      <c r="AC107" s="30">
        <f t="shared" si="304"/>
        <v>1314.9</v>
      </c>
      <c r="AD107" s="30">
        <f t="shared" si="305"/>
        <v>0</v>
      </c>
      <c r="AE107" s="30">
        <f t="shared" si="306"/>
        <v>0</v>
      </c>
      <c r="AF107" s="11"/>
      <c r="AG107" s="66">
        <f t="shared" si="313"/>
        <v>-1</v>
      </c>
    </row>
    <row r="108" spans="2:33" ht="12.75" customHeight="1">
      <c r="B108" s="54" t="s">
        <v>140</v>
      </c>
      <c r="C108" s="74">
        <v>91.4</v>
      </c>
      <c r="D108" s="74">
        <v>101.4</v>
      </c>
      <c r="E108" s="74">
        <v>121.5</v>
      </c>
      <c r="F108" s="74"/>
      <c r="G108" s="30"/>
      <c r="H108" s="74"/>
      <c r="I108" s="74"/>
      <c r="J108" s="74"/>
      <c r="K108" s="30">
        <f t="shared" si="310"/>
        <v>101.4</v>
      </c>
      <c r="L108" s="74"/>
      <c r="M108" s="74"/>
      <c r="N108" s="74"/>
      <c r="O108" s="30">
        <f t="shared" si="311"/>
        <v>121.5</v>
      </c>
      <c r="P108" s="74"/>
      <c r="Q108" s="74"/>
      <c r="R108" s="74"/>
      <c r="S108" s="30">
        <f t="shared" si="312"/>
        <v>0</v>
      </c>
      <c r="T108" s="74"/>
      <c r="V108" s="30">
        <f t="shared" si="297"/>
        <v>101.4</v>
      </c>
      <c r="W108" s="30">
        <f t="shared" si="298"/>
        <v>101.4</v>
      </c>
      <c r="X108" s="30">
        <f t="shared" si="299"/>
        <v>101.4</v>
      </c>
      <c r="Y108" s="30">
        <f t="shared" si="300"/>
        <v>101.4</v>
      </c>
      <c r="Z108" s="30">
        <f t="shared" si="301"/>
        <v>121.5</v>
      </c>
      <c r="AA108" s="30">
        <f t="shared" si="302"/>
        <v>121.5</v>
      </c>
      <c r="AB108" s="30">
        <f t="shared" si="303"/>
        <v>121.5</v>
      </c>
      <c r="AC108" s="30">
        <f t="shared" si="304"/>
        <v>121.5</v>
      </c>
      <c r="AD108" s="30">
        <f t="shared" si="305"/>
        <v>0</v>
      </c>
      <c r="AE108" s="30">
        <f t="shared" si="306"/>
        <v>0</v>
      </c>
      <c r="AF108" s="11"/>
      <c r="AG108" s="66">
        <f t="shared" si="313"/>
        <v>-1</v>
      </c>
    </row>
    <row r="109" spans="2:33" ht="12.75" customHeight="1">
      <c r="B109" s="54" t="s">
        <v>120</v>
      </c>
      <c r="C109" s="74">
        <v>-67.8</v>
      </c>
      <c r="D109" s="74">
        <v>26.8</v>
      </c>
      <c r="E109" s="74">
        <v>31.9</v>
      </c>
      <c r="F109" s="74"/>
      <c r="G109" s="30"/>
      <c r="H109" s="74"/>
      <c r="I109" s="74"/>
      <c r="J109" s="74"/>
      <c r="K109" s="30">
        <f t="shared" si="310"/>
        <v>26.8</v>
      </c>
      <c r="L109" s="74"/>
      <c r="M109" s="74"/>
      <c r="N109" s="74"/>
      <c r="O109" s="30">
        <f t="shared" si="311"/>
        <v>31.9</v>
      </c>
      <c r="P109" s="74"/>
      <c r="Q109" s="74"/>
      <c r="R109" s="74"/>
      <c r="S109" s="30">
        <f t="shared" si="312"/>
        <v>0</v>
      </c>
      <c r="T109" s="74"/>
      <c r="V109" s="30">
        <f t="shared" si="297"/>
        <v>26.8</v>
      </c>
      <c r="W109" s="30">
        <f t="shared" si="298"/>
        <v>26.8</v>
      </c>
      <c r="X109" s="30">
        <f t="shared" si="299"/>
        <v>26.8</v>
      </c>
      <c r="Y109" s="30">
        <f t="shared" si="300"/>
        <v>26.8</v>
      </c>
      <c r="Z109" s="30">
        <f t="shared" si="301"/>
        <v>31.9</v>
      </c>
      <c r="AA109" s="30">
        <f t="shared" si="302"/>
        <v>31.9</v>
      </c>
      <c r="AB109" s="30">
        <f t="shared" si="303"/>
        <v>31.9</v>
      </c>
      <c r="AC109" s="30">
        <f t="shared" si="304"/>
        <v>31.9</v>
      </c>
      <c r="AD109" s="30">
        <f t="shared" si="305"/>
        <v>0</v>
      </c>
      <c r="AE109" s="30">
        <f t="shared" si="306"/>
        <v>0</v>
      </c>
      <c r="AF109" s="11"/>
      <c r="AG109" s="66">
        <f t="shared" si="313"/>
        <v>-1</v>
      </c>
    </row>
    <row r="110" spans="2:33" ht="5.0999999999999996" customHeight="1">
      <c r="B110" s="8"/>
      <c r="C110" s="74"/>
      <c r="D110" s="74"/>
      <c r="E110" s="74"/>
      <c r="F110" s="74"/>
      <c r="G110" s="30"/>
      <c r="H110" s="74"/>
      <c r="I110" s="74"/>
      <c r="J110" s="74"/>
      <c r="K110" s="30"/>
      <c r="L110" s="74"/>
      <c r="M110" s="74"/>
      <c r="N110" s="74"/>
      <c r="O110" s="30"/>
      <c r="P110" s="74"/>
      <c r="Q110" s="74"/>
      <c r="R110" s="74"/>
      <c r="S110" s="74"/>
      <c r="T110" s="74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11"/>
      <c r="AG110" s="66"/>
    </row>
    <row r="111" spans="2:33" ht="12.75" customHeight="1">
      <c r="B111" s="33" t="s">
        <v>13</v>
      </c>
      <c r="C111" s="74"/>
      <c r="D111" s="74"/>
      <c r="E111" s="74"/>
      <c r="F111" s="74"/>
      <c r="G111" s="30"/>
      <c r="H111" s="74"/>
      <c r="I111" s="74"/>
      <c r="J111" s="74"/>
      <c r="K111" s="30"/>
      <c r="L111" s="74"/>
      <c r="M111" s="74"/>
      <c r="N111" s="74"/>
      <c r="O111" s="30"/>
      <c r="P111" s="74"/>
      <c r="Q111" s="74"/>
      <c r="R111" s="74"/>
      <c r="S111" s="74"/>
      <c r="T111" s="74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53"/>
      <c r="AG111" s="66"/>
    </row>
    <row r="112" spans="2:33" ht="12.75" customHeight="1">
      <c r="B112" s="54" t="s">
        <v>142</v>
      </c>
      <c r="C112" s="74">
        <v>-326.10000000000002</v>
      </c>
      <c r="D112" s="74">
        <v>-4.0999999999999996</v>
      </c>
      <c r="E112" s="74">
        <v>18.399999999999999</v>
      </c>
      <c r="F112" s="74"/>
      <c r="G112" s="30"/>
      <c r="H112" s="74"/>
      <c r="I112" s="74"/>
      <c r="J112" s="74"/>
      <c r="K112" s="30">
        <f>SUM(D112-SUM(H112:J112))</f>
        <v>-4.0999999999999996</v>
      </c>
      <c r="L112" s="74"/>
      <c r="M112" s="74"/>
      <c r="N112" s="74"/>
      <c r="O112" s="30">
        <f>SUM(E112-SUM(L112:N112))</f>
        <v>18.399999999999999</v>
      </c>
      <c r="P112" s="74"/>
      <c r="Q112" s="74"/>
      <c r="R112" s="74"/>
      <c r="S112" s="30">
        <f t="shared" ref="S112" si="314">SUM(F112-SUM(P112:R112))</f>
        <v>0</v>
      </c>
      <c r="T112" s="74"/>
      <c r="V112" s="30">
        <f t="shared" ref="V112:V118" si="315">SUM(H112:K112)</f>
        <v>-4.0999999999999996</v>
      </c>
      <c r="W112" s="30">
        <f t="shared" ref="W112:W118" si="316">SUM(I112:L112)</f>
        <v>-4.0999999999999996</v>
      </c>
      <c r="X112" s="30">
        <f t="shared" ref="X112:X118" si="317">SUM(J112:M112)</f>
        <v>-4.0999999999999996</v>
      </c>
      <c r="Y112" s="30">
        <f t="shared" ref="Y112:Y118" si="318">SUM(K112:N112)</f>
        <v>-4.0999999999999996</v>
      </c>
      <c r="Z112" s="30">
        <f t="shared" ref="Z112:Z118" si="319">SUM(L112:O112)</f>
        <v>18.399999999999999</v>
      </c>
      <c r="AA112" s="30">
        <f t="shared" ref="AA112:AA118" si="320">SUM(M112:P112)</f>
        <v>18.399999999999999</v>
      </c>
      <c r="AB112" s="30">
        <f t="shared" ref="AB112:AB118" si="321">SUM(N112:Q112)</f>
        <v>18.399999999999999</v>
      </c>
      <c r="AC112" s="30">
        <f t="shared" ref="AC112:AC118" si="322">SUM(O112:R112)</f>
        <v>18.399999999999999</v>
      </c>
      <c r="AD112" s="30">
        <f t="shared" ref="AD112:AD118" si="323">SUM(P112:S112)</f>
        <v>0</v>
      </c>
      <c r="AE112" s="30">
        <f t="shared" ref="AE112:AE118" si="324">SUM(Q112:T112)</f>
        <v>0</v>
      </c>
      <c r="AF112" s="53"/>
      <c r="AG112" s="66">
        <f t="shared" si="307"/>
        <v>-1</v>
      </c>
    </row>
    <row r="113" spans="2:33" ht="12.75" customHeight="1">
      <c r="B113" s="54" t="s">
        <v>143</v>
      </c>
      <c r="C113" s="74">
        <v>-641</v>
      </c>
      <c r="D113" s="74">
        <v>366.4</v>
      </c>
      <c r="E113" s="74">
        <v>42.8</v>
      </c>
      <c r="F113" s="74"/>
      <c r="G113" s="30"/>
      <c r="H113" s="74"/>
      <c r="I113" s="74"/>
      <c r="J113" s="74"/>
      <c r="K113" s="30">
        <f t="shared" ref="K113:K114" si="325">SUM(D113-SUM(H113:J113))</f>
        <v>366.4</v>
      </c>
      <c r="L113" s="74"/>
      <c r="M113" s="74"/>
      <c r="N113" s="74"/>
      <c r="O113" s="30">
        <f t="shared" ref="O113:O114" si="326">SUM(E113-SUM(L113:N113))</f>
        <v>42.8</v>
      </c>
      <c r="P113" s="74"/>
      <c r="Q113" s="74"/>
      <c r="R113" s="74"/>
      <c r="S113" s="30">
        <f t="shared" ref="S113:S114" si="327">SUM(F113-SUM(P113:R113))</f>
        <v>0</v>
      </c>
      <c r="T113" s="74"/>
      <c r="V113" s="30">
        <f t="shared" ref="V113:V114" si="328">SUM(H113:K113)</f>
        <v>366.4</v>
      </c>
      <c r="W113" s="30">
        <f t="shared" ref="W113:W114" si="329">SUM(I113:L113)</f>
        <v>366.4</v>
      </c>
      <c r="X113" s="30">
        <f t="shared" ref="X113:X114" si="330">SUM(J113:M113)</f>
        <v>366.4</v>
      </c>
      <c r="Y113" s="30">
        <f t="shared" ref="Y113:Y114" si="331">SUM(K113:N113)</f>
        <v>366.4</v>
      </c>
      <c r="Z113" s="30">
        <f t="shared" ref="Z113:Z114" si="332">SUM(L113:O113)</f>
        <v>42.8</v>
      </c>
      <c r="AA113" s="30">
        <f t="shared" ref="AA113:AA114" si="333">SUM(M113:P113)</f>
        <v>42.8</v>
      </c>
      <c r="AB113" s="30">
        <f t="shared" ref="AB113:AB114" si="334">SUM(N113:Q113)</f>
        <v>42.8</v>
      </c>
      <c r="AC113" s="30">
        <f t="shared" ref="AC113:AC114" si="335">SUM(O113:R113)</f>
        <v>42.8</v>
      </c>
      <c r="AD113" s="30">
        <f t="shared" ref="AD113:AD114" si="336">SUM(P113:S113)</f>
        <v>0</v>
      </c>
      <c r="AE113" s="30">
        <f t="shared" ref="AE113:AE114" si="337">SUM(Q113:T113)</f>
        <v>0</v>
      </c>
      <c r="AF113" s="53"/>
      <c r="AG113" s="66">
        <f t="shared" ref="AG113:AG114" si="338">SUM(AE113/AA113)-1</f>
        <v>-1</v>
      </c>
    </row>
    <row r="114" spans="2:33" ht="12.75" customHeight="1">
      <c r="B114" s="54" t="s">
        <v>144</v>
      </c>
      <c r="C114" s="74">
        <v>-149.6</v>
      </c>
      <c r="D114" s="74">
        <v>52.5</v>
      </c>
      <c r="E114" s="74">
        <v>-61.9</v>
      </c>
      <c r="F114" s="74"/>
      <c r="G114" s="30"/>
      <c r="H114" s="74"/>
      <c r="I114" s="74"/>
      <c r="J114" s="74"/>
      <c r="K114" s="30">
        <f t="shared" si="325"/>
        <v>52.5</v>
      </c>
      <c r="L114" s="74"/>
      <c r="M114" s="74"/>
      <c r="N114" s="74"/>
      <c r="O114" s="30">
        <f t="shared" si="326"/>
        <v>-61.9</v>
      </c>
      <c r="P114" s="74"/>
      <c r="Q114" s="74"/>
      <c r="R114" s="74"/>
      <c r="S114" s="30">
        <f t="shared" si="327"/>
        <v>0</v>
      </c>
      <c r="T114" s="74"/>
      <c r="V114" s="30">
        <f t="shared" si="328"/>
        <v>52.5</v>
      </c>
      <c r="W114" s="30">
        <f t="shared" si="329"/>
        <v>52.5</v>
      </c>
      <c r="X114" s="30">
        <f t="shared" si="330"/>
        <v>52.5</v>
      </c>
      <c r="Y114" s="30">
        <f t="shared" si="331"/>
        <v>52.5</v>
      </c>
      <c r="Z114" s="30">
        <f t="shared" si="332"/>
        <v>-61.9</v>
      </c>
      <c r="AA114" s="30">
        <f t="shared" si="333"/>
        <v>-61.9</v>
      </c>
      <c r="AB114" s="30">
        <f t="shared" si="334"/>
        <v>-61.9</v>
      </c>
      <c r="AC114" s="30">
        <f t="shared" si="335"/>
        <v>-61.9</v>
      </c>
      <c r="AD114" s="30">
        <f t="shared" si="336"/>
        <v>0</v>
      </c>
      <c r="AE114" s="30">
        <f t="shared" si="337"/>
        <v>0</v>
      </c>
      <c r="AF114" s="53"/>
      <c r="AG114" s="66">
        <f t="shared" si="338"/>
        <v>-1</v>
      </c>
    </row>
    <row r="115" spans="2:33" ht="12.75" customHeight="1">
      <c r="B115" s="54" t="s">
        <v>145</v>
      </c>
      <c r="C115" s="74">
        <v>345.5</v>
      </c>
      <c r="D115" s="74">
        <v>100.1</v>
      </c>
      <c r="E115" s="74">
        <v>28</v>
      </c>
      <c r="F115" s="74"/>
      <c r="G115" s="30"/>
      <c r="H115" s="74"/>
      <c r="I115" s="74"/>
      <c r="J115" s="74"/>
      <c r="K115" s="30">
        <f>SUM(D115-SUM(H115:J115))</f>
        <v>100.1</v>
      </c>
      <c r="L115" s="74"/>
      <c r="M115" s="74"/>
      <c r="N115" s="74"/>
      <c r="O115" s="30">
        <f>SUM(E115-SUM(L115:N115))</f>
        <v>28</v>
      </c>
      <c r="P115" s="74"/>
      <c r="Q115" s="74"/>
      <c r="R115" s="74"/>
      <c r="S115" s="30">
        <f t="shared" ref="S115" si="339">SUM(F115-SUM(P115:R115))</f>
        <v>0</v>
      </c>
      <c r="T115" s="74"/>
      <c r="V115" s="30">
        <f t="shared" si="315"/>
        <v>100.1</v>
      </c>
      <c r="W115" s="30">
        <f t="shared" si="316"/>
        <v>100.1</v>
      </c>
      <c r="X115" s="30">
        <f t="shared" si="317"/>
        <v>100.1</v>
      </c>
      <c r="Y115" s="30">
        <f t="shared" si="318"/>
        <v>100.1</v>
      </c>
      <c r="Z115" s="30">
        <f t="shared" si="319"/>
        <v>28</v>
      </c>
      <c r="AA115" s="30">
        <f t="shared" si="320"/>
        <v>28</v>
      </c>
      <c r="AB115" s="30">
        <f t="shared" si="321"/>
        <v>28</v>
      </c>
      <c r="AC115" s="30">
        <f t="shared" si="322"/>
        <v>28</v>
      </c>
      <c r="AD115" s="30">
        <f t="shared" si="323"/>
        <v>0</v>
      </c>
      <c r="AE115" s="30">
        <f t="shared" si="324"/>
        <v>0</v>
      </c>
      <c r="AF115" s="53"/>
      <c r="AG115" s="66">
        <f t="shared" ref="AG115" si="340">SUM(AE115/AA115)-1</f>
        <v>-1</v>
      </c>
    </row>
    <row r="116" spans="2:33" ht="12.75" customHeight="1">
      <c r="B116" s="54" t="s">
        <v>146</v>
      </c>
      <c r="C116" s="74">
        <v>-75.8</v>
      </c>
      <c r="D116" s="74">
        <v>-110.8</v>
      </c>
      <c r="E116" s="74">
        <v>-72.2</v>
      </c>
      <c r="F116" s="74"/>
      <c r="G116" s="30"/>
      <c r="H116" s="74"/>
      <c r="I116" s="74"/>
      <c r="J116" s="74"/>
      <c r="K116" s="30">
        <f t="shared" ref="K116:K118" si="341">SUM(D116-SUM(H116:J116))</f>
        <v>-110.8</v>
      </c>
      <c r="L116" s="74"/>
      <c r="M116" s="74"/>
      <c r="N116" s="74"/>
      <c r="O116" s="30">
        <f t="shared" ref="O116:O118" si="342">SUM(E116-SUM(L116:N116))</f>
        <v>-72.2</v>
      </c>
      <c r="P116" s="74"/>
      <c r="Q116" s="74"/>
      <c r="R116" s="74"/>
      <c r="S116" s="30">
        <f t="shared" ref="S116:S118" si="343">SUM(F116-SUM(P116:R116))</f>
        <v>0</v>
      </c>
      <c r="T116" s="74"/>
      <c r="V116" s="30">
        <f t="shared" si="315"/>
        <v>-110.8</v>
      </c>
      <c r="W116" s="30">
        <f t="shared" si="316"/>
        <v>-110.8</v>
      </c>
      <c r="X116" s="30">
        <f t="shared" si="317"/>
        <v>-110.8</v>
      </c>
      <c r="Y116" s="30">
        <f t="shared" si="318"/>
        <v>-110.8</v>
      </c>
      <c r="Z116" s="30">
        <f t="shared" si="319"/>
        <v>-72.2</v>
      </c>
      <c r="AA116" s="30">
        <f t="shared" si="320"/>
        <v>-72.2</v>
      </c>
      <c r="AB116" s="30">
        <f t="shared" si="321"/>
        <v>-72.2</v>
      </c>
      <c r="AC116" s="30">
        <f t="shared" si="322"/>
        <v>-72.2</v>
      </c>
      <c r="AD116" s="30">
        <f t="shared" si="323"/>
        <v>0</v>
      </c>
      <c r="AE116" s="30">
        <f t="shared" si="324"/>
        <v>0</v>
      </c>
      <c r="AF116" s="53"/>
      <c r="AG116" s="66">
        <f t="shared" ref="AG116:AG118" si="344">SUM(AE116/AA116)-1</f>
        <v>-1</v>
      </c>
    </row>
    <row r="117" spans="2:33" ht="12.75" customHeight="1">
      <c r="B117" s="54" t="s">
        <v>147</v>
      </c>
      <c r="C117" s="74">
        <v>-1625.6</v>
      </c>
      <c r="D117" s="74">
        <v>-1443.8</v>
      </c>
      <c r="E117" s="74">
        <v>-1294.9000000000001</v>
      </c>
      <c r="F117" s="74"/>
      <c r="G117" s="30"/>
      <c r="H117" s="74"/>
      <c r="I117" s="74"/>
      <c r="J117" s="74"/>
      <c r="K117" s="30">
        <f t="shared" si="341"/>
        <v>-1443.8</v>
      </c>
      <c r="L117" s="74"/>
      <c r="M117" s="74"/>
      <c r="N117" s="74"/>
      <c r="O117" s="30">
        <f t="shared" si="342"/>
        <v>-1294.9000000000001</v>
      </c>
      <c r="P117" s="74"/>
      <c r="Q117" s="74"/>
      <c r="R117" s="74"/>
      <c r="S117" s="30">
        <f t="shared" si="343"/>
        <v>0</v>
      </c>
      <c r="T117" s="74"/>
      <c r="V117" s="30">
        <f t="shared" si="315"/>
        <v>-1443.8</v>
      </c>
      <c r="W117" s="30">
        <f t="shared" si="316"/>
        <v>-1443.8</v>
      </c>
      <c r="X117" s="30">
        <f t="shared" si="317"/>
        <v>-1443.8</v>
      </c>
      <c r="Y117" s="30">
        <f t="shared" si="318"/>
        <v>-1443.8</v>
      </c>
      <c r="Z117" s="30">
        <f t="shared" si="319"/>
        <v>-1294.9000000000001</v>
      </c>
      <c r="AA117" s="30">
        <f t="shared" si="320"/>
        <v>-1294.9000000000001</v>
      </c>
      <c r="AB117" s="30">
        <f t="shared" si="321"/>
        <v>-1294.9000000000001</v>
      </c>
      <c r="AC117" s="30">
        <f t="shared" si="322"/>
        <v>-1294.9000000000001</v>
      </c>
      <c r="AD117" s="30">
        <f t="shared" si="323"/>
        <v>0</v>
      </c>
      <c r="AE117" s="30">
        <f t="shared" si="324"/>
        <v>0</v>
      </c>
      <c r="AF117" s="53"/>
      <c r="AG117" s="66">
        <f t="shared" si="344"/>
        <v>-1</v>
      </c>
    </row>
    <row r="118" spans="2:33" ht="12.75" customHeight="1">
      <c r="B118" s="54" t="s">
        <v>148</v>
      </c>
      <c r="C118" s="74">
        <v>339.6</v>
      </c>
      <c r="D118" s="74">
        <v>-93.7</v>
      </c>
      <c r="E118" s="74">
        <v>291</v>
      </c>
      <c r="F118" s="74"/>
      <c r="G118" s="30"/>
      <c r="H118" s="74"/>
      <c r="I118" s="74"/>
      <c r="J118" s="74"/>
      <c r="K118" s="30">
        <f t="shared" si="341"/>
        <v>-93.7</v>
      </c>
      <c r="L118" s="74"/>
      <c r="M118" s="74"/>
      <c r="N118" s="74"/>
      <c r="O118" s="30">
        <f t="shared" si="342"/>
        <v>291</v>
      </c>
      <c r="P118" s="74"/>
      <c r="Q118" s="74"/>
      <c r="R118" s="74"/>
      <c r="S118" s="30">
        <f t="shared" si="343"/>
        <v>0</v>
      </c>
      <c r="T118" s="74"/>
      <c r="V118" s="30">
        <f t="shared" si="315"/>
        <v>-93.7</v>
      </c>
      <c r="W118" s="30">
        <f t="shared" si="316"/>
        <v>-93.7</v>
      </c>
      <c r="X118" s="30">
        <f t="shared" si="317"/>
        <v>-93.7</v>
      </c>
      <c r="Y118" s="30">
        <f t="shared" si="318"/>
        <v>-93.7</v>
      </c>
      <c r="Z118" s="30">
        <f t="shared" si="319"/>
        <v>291</v>
      </c>
      <c r="AA118" s="30">
        <f t="shared" si="320"/>
        <v>291</v>
      </c>
      <c r="AB118" s="30">
        <f t="shared" si="321"/>
        <v>291</v>
      </c>
      <c r="AC118" s="30">
        <f t="shared" si="322"/>
        <v>291</v>
      </c>
      <c r="AD118" s="30">
        <f t="shared" si="323"/>
        <v>0</v>
      </c>
      <c r="AE118" s="30">
        <f t="shared" si="324"/>
        <v>0</v>
      </c>
      <c r="AF118" s="53"/>
      <c r="AG118" s="66">
        <f t="shared" si="344"/>
        <v>-1</v>
      </c>
    </row>
    <row r="119" spans="2:33" ht="12.75" customHeight="1">
      <c r="B119" s="12" t="s">
        <v>53</v>
      </c>
      <c r="C119" s="13">
        <f>SUM(C99:C118)</f>
        <v>4163.5999999999976</v>
      </c>
      <c r="D119" s="13">
        <f>SUM(D99:D118)</f>
        <v>6068.0999999999985</v>
      </c>
      <c r="E119" s="13">
        <f>SUM(E99:E118)</f>
        <v>6109.4000000000033</v>
      </c>
      <c r="F119" s="13">
        <f>SUM(F99:F118)</f>
        <v>0</v>
      </c>
      <c r="H119" s="13">
        <f>SUM(H99:H118)</f>
        <v>0</v>
      </c>
      <c r="I119" s="13">
        <f>SUM(I99:I118)</f>
        <v>0</v>
      </c>
      <c r="J119" s="13">
        <f>SUM(J99:J118)</f>
        <v>0</v>
      </c>
      <c r="K119" s="13">
        <f>SUM(K99:K118)</f>
        <v>6068.0999999999985</v>
      </c>
      <c r="L119" s="13">
        <f>SUM(L99:L118)</f>
        <v>0</v>
      </c>
      <c r="M119" s="13">
        <f>SUM(M99:M118)</f>
        <v>0</v>
      </c>
      <c r="N119" s="13">
        <f>SUM(N99:N118)</f>
        <v>0</v>
      </c>
      <c r="O119" s="13">
        <f>SUM(O99:O118)</f>
        <v>6109.4000000000033</v>
      </c>
      <c r="P119" s="13">
        <f>SUM(P99:P118)</f>
        <v>0</v>
      </c>
      <c r="Q119" s="13">
        <f>SUM(Q99:Q118)</f>
        <v>0</v>
      </c>
      <c r="R119" s="13">
        <f>SUM(R99:R118)</f>
        <v>0</v>
      </c>
      <c r="S119" s="13">
        <f>SUM(S99:S118)</f>
        <v>0</v>
      </c>
      <c r="T119" s="13">
        <f>SUM(T99:T118)</f>
        <v>0</v>
      </c>
      <c r="V119" s="13">
        <f>SUM(V99:V118)</f>
        <v>6068.0999999999985</v>
      </c>
      <c r="W119" s="13">
        <f>SUM(W99:W118)</f>
        <v>6068.0999999999985</v>
      </c>
      <c r="X119" s="13">
        <f>SUM(X99:X118)</f>
        <v>6068.0999999999985</v>
      </c>
      <c r="Y119" s="13">
        <f>SUM(Y99:Y118)</f>
        <v>6068.0999999999985</v>
      </c>
      <c r="Z119" s="13">
        <f>SUM(Z99:Z118)</f>
        <v>6109.4000000000033</v>
      </c>
      <c r="AA119" s="13">
        <f>SUM(AA99:AA118)</f>
        <v>6109.4000000000033</v>
      </c>
      <c r="AB119" s="13">
        <f>SUM(AB99:AB118)</f>
        <v>6109.4000000000033</v>
      </c>
      <c r="AC119" s="13">
        <f>SUM(AC99:AC118)</f>
        <v>6109.4000000000033</v>
      </c>
      <c r="AD119" s="13">
        <f>SUM(AD99:AD118)</f>
        <v>0</v>
      </c>
      <c r="AE119" s="13">
        <f>SUM(AE99:AE118)</f>
        <v>0</v>
      </c>
      <c r="AF119" s="39"/>
      <c r="AG119" s="67">
        <f>SUM(AE119/AA119)-1</f>
        <v>-1</v>
      </c>
    </row>
    <row r="120" spans="2:33" ht="12.75" customHeight="1">
      <c r="B120" s="47"/>
      <c r="C120" s="55"/>
      <c r="D120" s="55"/>
      <c r="E120" s="55"/>
      <c r="F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6"/>
    </row>
    <row r="121" spans="2:33" ht="12.75" customHeight="1">
      <c r="B121" s="110" t="s">
        <v>54</v>
      </c>
      <c r="C121" s="52"/>
      <c r="D121" s="52"/>
      <c r="E121" s="52"/>
      <c r="F121" s="52"/>
      <c r="H121" s="74"/>
      <c r="I121" s="74"/>
      <c r="J121" s="74"/>
      <c r="K121" s="30"/>
      <c r="L121" s="74"/>
      <c r="M121" s="74"/>
      <c r="N121" s="74"/>
      <c r="O121" s="30"/>
      <c r="P121" s="74"/>
      <c r="Q121" s="74"/>
      <c r="R121" s="74"/>
      <c r="S121" s="74"/>
      <c r="T121" s="74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3"/>
      <c r="AG121" s="36"/>
    </row>
    <row r="122" spans="2:33" ht="12.75" customHeight="1">
      <c r="B122" s="54" t="s">
        <v>149</v>
      </c>
      <c r="C122" s="74">
        <v>-377.9</v>
      </c>
      <c r="D122" s="74">
        <v>-610.5</v>
      </c>
      <c r="E122" s="74">
        <v>-627.5</v>
      </c>
      <c r="F122" s="74"/>
      <c r="G122" s="30"/>
      <c r="H122" s="74"/>
      <c r="I122" s="74"/>
      <c r="J122" s="74"/>
      <c r="K122" s="30">
        <f t="shared" ref="K122:K124" si="345">SUM(D122-SUM(H122:J122))</f>
        <v>-610.5</v>
      </c>
      <c r="L122" s="74"/>
      <c r="M122" s="74"/>
      <c r="N122" s="74"/>
      <c r="O122" s="30">
        <f t="shared" ref="O122:O124" si="346">SUM(E122-SUM(L122:N122))</f>
        <v>-627.5</v>
      </c>
      <c r="P122" s="74"/>
      <c r="Q122" s="74"/>
      <c r="R122" s="74"/>
      <c r="S122" s="30">
        <f t="shared" ref="S122:S124" si="347">SUM(F122-SUM(P122:R122))</f>
        <v>0</v>
      </c>
      <c r="T122" s="74"/>
      <c r="U122" s="30"/>
      <c r="V122" s="30">
        <f t="shared" ref="V122:V128" si="348">SUM(H122:K122)</f>
        <v>-610.5</v>
      </c>
      <c r="W122" s="30">
        <f t="shared" ref="W122:W128" si="349">SUM(I122:L122)</f>
        <v>-610.5</v>
      </c>
      <c r="X122" s="30">
        <f t="shared" ref="X122:X128" si="350">SUM(J122:M122)</f>
        <v>-610.5</v>
      </c>
      <c r="Y122" s="30">
        <f t="shared" ref="Y122:Y128" si="351">SUM(K122:N122)</f>
        <v>-610.5</v>
      </c>
      <c r="Z122" s="30">
        <f t="shared" ref="Z122:Z128" si="352">SUM(L122:O122)</f>
        <v>-627.5</v>
      </c>
      <c r="AA122" s="30">
        <f t="shared" ref="AA122:AA128" si="353">SUM(M122:P122)</f>
        <v>-627.5</v>
      </c>
      <c r="AB122" s="30">
        <f t="shared" ref="AB122:AB128" si="354">SUM(N122:Q122)</f>
        <v>-627.5</v>
      </c>
      <c r="AC122" s="30">
        <f t="shared" ref="AC122:AC128" si="355">SUM(O122:R122)</f>
        <v>-627.5</v>
      </c>
      <c r="AD122" s="30">
        <f t="shared" ref="AD122:AD128" si="356">SUM(P122:S122)</f>
        <v>0</v>
      </c>
      <c r="AE122" s="30">
        <f t="shared" ref="AE122:AE128" si="357">SUM(Q122:T122)</f>
        <v>0</v>
      </c>
      <c r="AF122" s="53"/>
      <c r="AG122" s="66">
        <f t="shared" ref="AG122:AG124" si="358">SUM(AE122/AA122)-1</f>
        <v>-1</v>
      </c>
    </row>
    <row r="123" spans="2:33" ht="12.75" customHeight="1">
      <c r="B123" s="54" t="s">
        <v>150</v>
      </c>
      <c r="C123" s="74">
        <v>72.599999999999994</v>
      </c>
      <c r="D123" s="74">
        <v>2.5</v>
      </c>
      <c r="E123" s="74">
        <v>10.3</v>
      </c>
      <c r="F123" s="74"/>
      <c r="G123" s="30"/>
      <c r="H123" s="74"/>
      <c r="I123" s="74"/>
      <c r="J123" s="74"/>
      <c r="K123" s="30">
        <f t="shared" si="345"/>
        <v>2.5</v>
      </c>
      <c r="L123" s="74"/>
      <c r="M123" s="74"/>
      <c r="N123" s="74"/>
      <c r="O123" s="30">
        <f t="shared" si="346"/>
        <v>10.3</v>
      </c>
      <c r="P123" s="74"/>
      <c r="Q123" s="74"/>
      <c r="R123" s="74"/>
      <c r="S123" s="30">
        <f t="shared" si="347"/>
        <v>0</v>
      </c>
      <c r="T123" s="74"/>
      <c r="U123" s="30"/>
      <c r="V123" s="30">
        <f t="shared" ref="V123:V124" si="359">SUM(H123:K123)</f>
        <v>2.5</v>
      </c>
      <c r="W123" s="30">
        <f t="shared" ref="W123:W124" si="360">SUM(I123:L123)</f>
        <v>2.5</v>
      </c>
      <c r="X123" s="30">
        <f t="shared" ref="X123:X124" si="361">SUM(J123:M123)</f>
        <v>2.5</v>
      </c>
      <c r="Y123" s="30">
        <f t="shared" ref="Y123:Y124" si="362">SUM(K123:N123)</f>
        <v>2.5</v>
      </c>
      <c r="Z123" s="30">
        <f t="shared" ref="Z123:Z124" si="363">SUM(L123:O123)</f>
        <v>10.3</v>
      </c>
      <c r="AA123" s="30">
        <f t="shared" ref="AA123:AA124" si="364">SUM(M123:P123)</f>
        <v>10.3</v>
      </c>
      <c r="AB123" s="30">
        <f t="shared" ref="AB123:AB124" si="365">SUM(N123:Q123)</f>
        <v>10.3</v>
      </c>
      <c r="AC123" s="30">
        <f t="shared" ref="AC123:AC124" si="366">SUM(O123:R123)</f>
        <v>10.3</v>
      </c>
      <c r="AD123" s="30">
        <f t="shared" ref="AD123:AD124" si="367">SUM(P123:S123)</f>
        <v>0</v>
      </c>
      <c r="AE123" s="30">
        <f t="shared" ref="AE123:AE124" si="368">SUM(Q123:T123)</f>
        <v>0</v>
      </c>
      <c r="AF123" s="53"/>
      <c r="AG123" s="66">
        <f t="shared" si="358"/>
        <v>-1</v>
      </c>
    </row>
    <row r="124" spans="2:33" ht="12.75" customHeight="1">
      <c r="B124" s="54" t="s">
        <v>151</v>
      </c>
      <c r="C124" s="74">
        <v>67.3</v>
      </c>
      <c r="D124" s="74">
        <v>616.9</v>
      </c>
      <c r="E124" s="74">
        <v>768.2</v>
      </c>
      <c r="F124" s="74"/>
      <c r="G124" s="30"/>
      <c r="H124" s="74"/>
      <c r="I124" s="74"/>
      <c r="J124" s="74"/>
      <c r="K124" s="30">
        <f t="shared" si="345"/>
        <v>616.9</v>
      </c>
      <c r="L124" s="74"/>
      <c r="M124" s="74"/>
      <c r="N124" s="74"/>
      <c r="O124" s="30">
        <f t="shared" si="346"/>
        <v>768.2</v>
      </c>
      <c r="P124" s="74"/>
      <c r="Q124" s="74"/>
      <c r="R124" s="74"/>
      <c r="S124" s="30">
        <f t="shared" si="347"/>
        <v>0</v>
      </c>
      <c r="T124" s="74"/>
      <c r="U124" s="30"/>
      <c r="V124" s="30">
        <f t="shared" si="359"/>
        <v>616.9</v>
      </c>
      <c r="W124" s="30">
        <f t="shared" si="360"/>
        <v>616.9</v>
      </c>
      <c r="X124" s="30">
        <f t="shared" si="361"/>
        <v>616.9</v>
      </c>
      <c r="Y124" s="30">
        <f t="shared" si="362"/>
        <v>616.9</v>
      </c>
      <c r="Z124" s="30">
        <f t="shared" si="363"/>
        <v>768.2</v>
      </c>
      <c r="AA124" s="30">
        <f t="shared" si="364"/>
        <v>768.2</v>
      </c>
      <c r="AB124" s="30">
        <f t="shared" si="365"/>
        <v>768.2</v>
      </c>
      <c r="AC124" s="30">
        <f t="shared" si="366"/>
        <v>768.2</v>
      </c>
      <c r="AD124" s="30">
        <f t="shared" si="367"/>
        <v>0</v>
      </c>
      <c r="AE124" s="30">
        <f t="shared" si="368"/>
        <v>0</v>
      </c>
      <c r="AF124" s="53"/>
      <c r="AG124" s="66">
        <f t="shared" si="358"/>
        <v>-1</v>
      </c>
    </row>
    <row r="125" spans="2:33" ht="12.75" customHeight="1">
      <c r="B125" s="54" t="s">
        <v>152</v>
      </c>
      <c r="C125" s="74">
        <v>-1841.3</v>
      </c>
      <c r="D125" s="74">
        <v>-2333.6</v>
      </c>
      <c r="E125" s="74">
        <v>-2777.5</v>
      </c>
      <c r="F125" s="74"/>
      <c r="G125" s="30"/>
      <c r="H125" s="74"/>
      <c r="I125" s="74"/>
      <c r="J125" s="74"/>
      <c r="K125" s="30">
        <f t="shared" ref="K125" si="369">SUM(D125-SUM(H125:J125))</f>
        <v>-2333.6</v>
      </c>
      <c r="L125" s="74"/>
      <c r="M125" s="74"/>
      <c r="N125" s="74"/>
      <c r="O125" s="30">
        <f t="shared" ref="O125" si="370">SUM(E125-SUM(L125:N125))</f>
        <v>-2777.5</v>
      </c>
      <c r="P125" s="74"/>
      <c r="Q125" s="74"/>
      <c r="R125" s="74"/>
      <c r="S125" s="30">
        <f t="shared" ref="S125" si="371">SUM(F125-SUM(P125:R125))</f>
        <v>0</v>
      </c>
      <c r="T125" s="74"/>
      <c r="U125" s="30"/>
      <c r="V125" s="30">
        <f t="shared" si="348"/>
        <v>-2333.6</v>
      </c>
      <c r="W125" s="30">
        <f t="shared" si="349"/>
        <v>-2333.6</v>
      </c>
      <c r="X125" s="30">
        <f t="shared" si="350"/>
        <v>-2333.6</v>
      </c>
      <c r="Y125" s="30">
        <f t="shared" si="351"/>
        <v>-2333.6</v>
      </c>
      <c r="Z125" s="30">
        <f t="shared" si="352"/>
        <v>-2777.5</v>
      </c>
      <c r="AA125" s="30">
        <f t="shared" si="353"/>
        <v>-2777.5</v>
      </c>
      <c r="AB125" s="30">
        <f t="shared" si="354"/>
        <v>-2777.5</v>
      </c>
      <c r="AC125" s="30">
        <f t="shared" si="355"/>
        <v>-2777.5</v>
      </c>
      <c r="AD125" s="30">
        <f t="shared" si="356"/>
        <v>0</v>
      </c>
      <c r="AE125" s="30">
        <f t="shared" si="357"/>
        <v>0</v>
      </c>
      <c r="AF125" s="53"/>
      <c r="AG125" s="66">
        <f t="shared" ref="AG125" si="372">SUM(AE125/AA125)-1</f>
        <v>-1</v>
      </c>
    </row>
    <row r="126" spans="2:33" ht="12.75" customHeight="1">
      <c r="B126" s="54" t="s">
        <v>153</v>
      </c>
      <c r="C126" s="74">
        <v>0</v>
      </c>
      <c r="D126" s="74">
        <v>110</v>
      </c>
      <c r="E126" s="74">
        <v>0</v>
      </c>
      <c r="F126" s="74"/>
      <c r="G126" s="30"/>
      <c r="H126" s="74"/>
      <c r="I126" s="74"/>
      <c r="J126" s="74"/>
      <c r="K126" s="30">
        <f t="shared" ref="K126:K128" si="373">SUM(D126-SUM(H126:J126))</f>
        <v>110</v>
      </c>
      <c r="L126" s="74"/>
      <c r="M126" s="74"/>
      <c r="N126" s="74"/>
      <c r="O126" s="30">
        <f t="shared" ref="O126:O128" si="374">SUM(E126-SUM(L126:N126))</f>
        <v>0</v>
      </c>
      <c r="P126" s="74"/>
      <c r="Q126" s="74"/>
      <c r="R126" s="74"/>
      <c r="S126" s="30">
        <f t="shared" ref="S126:S128" si="375">SUM(F126-SUM(P126:R126))</f>
        <v>0</v>
      </c>
      <c r="T126" s="74"/>
      <c r="U126" s="30"/>
      <c r="V126" s="30">
        <f t="shared" si="348"/>
        <v>110</v>
      </c>
      <c r="W126" s="30">
        <f t="shared" si="349"/>
        <v>110</v>
      </c>
      <c r="X126" s="30">
        <f t="shared" si="350"/>
        <v>110</v>
      </c>
      <c r="Y126" s="30">
        <f t="shared" si="351"/>
        <v>110</v>
      </c>
      <c r="Z126" s="30">
        <f t="shared" si="352"/>
        <v>0</v>
      </c>
      <c r="AA126" s="30">
        <f t="shared" si="353"/>
        <v>0</v>
      </c>
      <c r="AB126" s="30">
        <f t="shared" si="354"/>
        <v>0</v>
      </c>
      <c r="AC126" s="30">
        <f t="shared" si="355"/>
        <v>0</v>
      </c>
      <c r="AD126" s="30">
        <f t="shared" si="356"/>
        <v>0</v>
      </c>
      <c r="AE126" s="30">
        <f t="shared" si="357"/>
        <v>0</v>
      </c>
      <c r="AF126" s="53"/>
      <c r="AG126" s="66" t="e">
        <f t="shared" ref="AG126:AG128" si="376">SUM(AE126/AA126)-1</f>
        <v>#DIV/0!</v>
      </c>
    </row>
    <row r="127" spans="2:33" ht="12.75" customHeight="1">
      <c r="B127" s="54" t="s">
        <v>154</v>
      </c>
      <c r="C127" s="74">
        <v>59.3</v>
      </c>
      <c r="D127" s="74">
        <v>0</v>
      </c>
      <c r="E127" s="74">
        <v>0</v>
      </c>
      <c r="F127" s="74"/>
      <c r="G127" s="30"/>
      <c r="H127" s="74"/>
      <c r="I127" s="74"/>
      <c r="J127" s="74"/>
      <c r="K127" s="30">
        <f t="shared" si="373"/>
        <v>0</v>
      </c>
      <c r="L127" s="74"/>
      <c r="M127" s="74"/>
      <c r="N127" s="74"/>
      <c r="O127" s="30">
        <f t="shared" si="374"/>
        <v>0</v>
      </c>
      <c r="P127" s="74"/>
      <c r="Q127" s="74"/>
      <c r="R127" s="74"/>
      <c r="S127" s="30">
        <f t="shared" si="375"/>
        <v>0</v>
      </c>
      <c r="T127" s="74"/>
      <c r="U127" s="30"/>
      <c r="V127" s="30">
        <f t="shared" si="348"/>
        <v>0</v>
      </c>
      <c r="W127" s="30">
        <f t="shared" si="349"/>
        <v>0</v>
      </c>
      <c r="X127" s="30">
        <f t="shared" si="350"/>
        <v>0</v>
      </c>
      <c r="Y127" s="30">
        <f t="shared" si="351"/>
        <v>0</v>
      </c>
      <c r="Z127" s="30">
        <f t="shared" si="352"/>
        <v>0</v>
      </c>
      <c r="AA127" s="30">
        <f t="shared" si="353"/>
        <v>0</v>
      </c>
      <c r="AB127" s="30">
        <f t="shared" si="354"/>
        <v>0</v>
      </c>
      <c r="AC127" s="30">
        <f t="shared" si="355"/>
        <v>0</v>
      </c>
      <c r="AD127" s="30">
        <f t="shared" si="356"/>
        <v>0</v>
      </c>
      <c r="AE127" s="30">
        <f t="shared" si="357"/>
        <v>0</v>
      </c>
      <c r="AF127" s="53"/>
      <c r="AG127" s="66" t="e">
        <f t="shared" si="376"/>
        <v>#DIV/0!</v>
      </c>
    </row>
    <row r="128" spans="2:33" ht="12.75" customHeight="1">
      <c r="B128" s="54" t="s">
        <v>120</v>
      </c>
      <c r="C128" s="74">
        <v>-126.3</v>
      </c>
      <c r="D128" s="74">
        <v>-56.1</v>
      </c>
      <c r="E128" s="74">
        <v>-72.7</v>
      </c>
      <c r="F128" s="74"/>
      <c r="G128" s="30"/>
      <c r="H128" s="74"/>
      <c r="I128" s="74"/>
      <c r="J128" s="74"/>
      <c r="K128" s="30">
        <f t="shared" si="373"/>
        <v>-56.1</v>
      </c>
      <c r="L128" s="74"/>
      <c r="M128" s="74"/>
      <c r="N128" s="74"/>
      <c r="O128" s="30">
        <f t="shared" si="374"/>
        <v>-72.7</v>
      </c>
      <c r="P128" s="74"/>
      <c r="Q128" s="74"/>
      <c r="R128" s="74"/>
      <c r="S128" s="30">
        <f t="shared" si="375"/>
        <v>0</v>
      </c>
      <c r="T128" s="74"/>
      <c r="U128" s="30"/>
      <c r="V128" s="30">
        <f t="shared" si="348"/>
        <v>-56.1</v>
      </c>
      <c r="W128" s="30">
        <f t="shared" si="349"/>
        <v>-56.1</v>
      </c>
      <c r="X128" s="30">
        <f t="shared" si="350"/>
        <v>-56.1</v>
      </c>
      <c r="Y128" s="30">
        <f t="shared" si="351"/>
        <v>-56.1</v>
      </c>
      <c r="Z128" s="30">
        <f t="shared" si="352"/>
        <v>-72.7</v>
      </c>
      <c r="AA128" s="30">
        <f t="shared" si="353"/>
        <v>-72.7</v>
      </c>
      <c r="AB128" s="30">
        <f t="shared" si="354"/>
        <v>-72.7</v>
      </c>
      <c r="AC128" s="30">
        <f t="shared" si="355"/>
        <v>-72.7</v>
      </c>
      <c r="AD128" s="30">
        <f t="shared" si="356"/>
        <v>0</v>
      </c>
      <c r="AE128" s="30">
        <f t="shared" si="357"/>
        <v>0</v>
      </c>
      <c r="AF128" s="53"/>
      <c r="AG128" s="66">
        <f t="shared" si="376"/>
        <v>-1</v>
      </c>
    </row>
    <row r="129" spans="2:33" ht="12.75" customHeight="1">
      <c r="B129" s="12" t="s">
        <v>55</v>
      </c>
      <c r="C129" s="13">
        <f t="shared" ref="C129" si="377">SUM(C122:C128)</f>
        <v>-2146.2999999999997</v>
      </c>
      <c r="D129" s="13">
        <f t="shared" ref="D129:F129" si="378">SUM(D122:D128)</f>
        <v>-2270.7999999999997</v>
      </c>
      <c r="E129" s="13">
        <f t="shared" si="378"/>
        <v>-2699.2</v>
      </c>
      <c r="F129" s="13">
        <f t="shared" si="378"/>
        <v>0</v>
      </c>
      <c r="H129" s="13">
        <f t="shared" ref="H129:Q129" si="379">SUM(H122:H128)</f>
        <v>0</v>
      </c>
      <c r="I129" s="13">
        <f t="shared" si="379"/>
        <v>0</v>
      </c>
      <c r="J129" s="13">
        <f t="shared" si="379"/>
        <v>0</v>
      </c>
      <c r="K129" s="13">
        <f t="shared" si="379"/>
        <v>-2270.7999999999997</v>
      </c>
      <c r="L129" s="13">
        <f t="shared" si="379"/>
        <v>0</v>
      </c>
      <c r="M129" s="13">
        <f t="shared" si="379"/>
        <v>0</v>
      </c>
      <c r="N129" s="13">
        <f t="shared" si="379"/>
        <v>0</v>
      </c>
      <c r="O129" s="13">
        <f t="shared" si="379"/>
        <v>-2699.2</v>
      </c>
      <c r="P129" s="13">
        <f t="shared" si="379"/>
        <v>0</v>
      </c>
      <c r="Q129" s="13">
        <f t="shared" si="379"/>
        <v>0</v>
      </c>
      <c r="R129" s="13">
        <f t="shared" ref="R129:T129" si="380">SUM(R122:R128)</f>
        <v>0</v>
      </c>
      <c r="S129" s="13">
        <f t="shared" si="380"/>
        <v>0</v>
      </c>
      <c r="T129" s="13">
        <f t="shared" si="380"/>
        <v>0</v>
      </c>
      <c r="V129" s="13">
        <f t="shared" ref="V129:AE129" si="381">SUM(V122:V128)</f>
        <v>-2270.7999999999997</v>
      </c>
      <c r="W129" s="13">
        <f t="shared" si="381"/>
        <v>-2270.7999999999997</v>
      </c>
      <c r="X129" s="13">
        <f t="shared" si="381"/>
        <v>-2270.7999999999997</v>
      </c>
      <c r="Y129" s="13">
        <f t="shared" si="381"/>
        <v>-2270.7999999999997</v>
      </c>
      <c r="Z129" s="13">
        <f t="shared" si="381"/>
        <v>-2699.2</v>
      </c>
      <c r="AA129" s="13">
        <f t="shared" si="381"/>
        <v>-2699.2</v>
      </c>
      <c r="AB129" s="13">
        <f t="shared" si="381"/>
        <v>-2699.2</v>
      </c>
      <c r="AC129" s="13">
        <f t="shared" si="381"/>
        <v>-2699.2</v>
      </c>
      <c r="AD129" s="13">
        <f t="shared" si="381"/>
        <v>0</v>
      </c>
      <c r="AE129" s="13">
        <f t="shared" si="381"/>
        <v>0</v>
      </c>
      <c r="AF129" s="39"/>
      <c r="AG129" s="67">
        <f>SUM(AE129/AA129)-1</f>
        <v>-1</v>
      </c>
    </row>
    <row r="130" spans="2:33" ht="5.0999999999999996" customHeight="1">
      <c r="B130" s="46"/>
      <c r="C130" s="55"/>
      <c r="D130" s="55"/>
      <c r="E130" s="55"/>
      <c r="F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6"/>
    </row>
    <row r="131" spans="2:33" ht="12.75" customHeight="1">
      <c r="B131" s="110" t="s">
        <v>56</v>
      </c>
      <c r="C131" s="56"/>
      <c r="D131" s="56"/>
      <c r="E131" s="56"/>
      <c r="F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57"/>
      <c r="AG131" s="36"/>
    </row>
    <row r="132" spans="2:33" ht="12.75" customHeight="1">
      <c r="B132" s="75" t="s">
        <v>155</v>
      </c>
      <c r="C132" s="74">
        <v>175</v>
      </c>
      <c r="D132" s="74">
        <v>-175</v>
      </c>
      <c r="E132" s="74">
        <v>0</v>
      </c>
      <c r="F132" s="74"/>
      <c r="H132" s="74"/>
      <c r="I132" s="74"/>
      <c r="J132" s="74"/>
      <c r="K132" s="30">
        <f t="shared" ref="K132:K138" si="382">SUM(D132-SUM(H132:J132))</f>
        <v>-175</v>
      </c>
      <c r="L132" s="74"/>
      <c r="M132" s="74"/>
      <c r="N132" s="74"/>
      <c r="O132" s="30">
        <f t="shared" ref="O132:O138" si="383">SUM(E132-SUM(L132:N132))</f>
        <v>0</v>
      </c>
      <c r="P132" s="74"/>
      <c r="Q132" s="74"/>
      <c r="R132" s="74"/>
      <c r="S132" s="30">
        <f t="shared" ref="S132:S138" si="384">SUM(F132-SUM(P132:R132))</f>
        <v>0</v>
      </c>
      <c r="T132" s="74"/>
      <c r="U132" s="30"/>
      <c r="V132" s="30">
        <f t="shared" ref="V132:V141" si="385">SUM(H132:K132)</f>
        <v>-175</v>
      </c>
      <c r="W132" s="30">
        <f t="shared" ref="W132:W141" si="386">SUM(I132:L132)</f>
        <v>-175</v>
      </c>
      <c r="X132" s="30">
        <f t="shared" ref="X132:X141" si="387">SUM(J132:M132)</f>
        <v>-175</v>
      </c>
      <c r="Y132" s="30">
        <f t="shared" ref="Y132:Y141" si="388">SUM(K132:N132)</f>
        <v>-175</v>
      </c>
      <c r="Z132" s="30">
        <f t="shared" ref="Z132:Z141" si="389">SUM(L132:O132)</f>
        <v>0</v>
      </c>
      <c r="AA132" s="30">
        <f t="shared" ref="AA132:AA141" si="390">SUM(M132:P132)</f>
        <v>0</v>
      </c>
      <c r="AB132" s="30">
        <f t="shared" ref="AB132:AB141" si="391">SUM(N132:Q132)</f>
        <v>0</v>
      </c>
      <c r="AC132" s="30">
        <f t="shared" ref="AC132:AC141" si="392">SUM(O132:R132)</f>
        <v>0</v>
      </c>
      <c r="AD132" s="30">
        <f t="shared" ref="AD132:AD141" si="393">SUM(P132:S132)</f>
        <v>0</v>
      </c>
      <c r="AE132" s="30">
        <f t="shared" ref="AE132:AE141" si="394">SUM(Q132:T132)</f>
        <v>0</v>
      </c>
      <c r="AF132" s="57"/>
      <c r="AG132" s="66" t="e">
        <f t="shared" ref="AG132" si="395">SUM(AE132/AA132)-1</f>
        <v>#DIV/0!</v>
      </c>
    </row>
    <row r="133" spans="2:33" ht="12.75" customHeight="1">
      <c r="B133" s="54" t="s">
        <v>156</v>
      </c>
      <c r="C133" s="74">
        <v>36.6</v>
      </c>
      <c r="D133" s="74">
        <v>114.6</v>
      </c>
      <c r="E133" s="74">
        <v>123.8</v>
      </c>
      <c r="F133" s="74"/>
      <c r="G133" s="30"/>
      <c r="H133" s="74"/>
      <c r="I133" s="74"/>
      <c r="J133" s="74"/>
      <c r="K133" s="30">
        <f t="shared" si="382"/>
        <v>114.6</v>
      </c>
      <c r="L133" s="74"/>
      <c r="M133" s="74"/>
      <c r="N133" s="74"/>
      <c r="O133" s="30">
        <f t="shared" si="383"/>
        <v>123.8</v>
      </c>
      <c r="P133" s="74"/>
      <c r="Q133" s="74"/>
      <c r="R133" s="74"/>
      <c r="S133" s="30">
        <f t="shared" si="384"/>
        <v>0</v>
      </c>
      <c r="T133" s="74"/>
      <c r="U133" s="30"/>
      <c r="V133" s="30">
        <f t="shared" si="385"/>
        <v>114.6</v>
      </c>
      <c r="W133" s="30">
        <f t="shared" si="386"/>
        <v>114.6</v>
      </c>
      <c r="X133" s="30">
        <f t="shared" si="387"/>
        <v>114.6</v>
      </c>
      <c r="Y133" s="30">
        <f t="shared" si="388"/>
        <v>114.6</v>
      </c>
      <c r="Z133" s="30">
        <f t="shared" si="389"/>
        <v>123.8</v>
      </c>
      <c r="AA133" s="30">
        <f t="shared" si="390"/>
        <v>123.8</v>
      </c>
      <c r="AB133" s="30">
        <f t="shared" si="391"/>
        <v>123.8</v>
      </c>
      <c r="AC133" s="30">
        <f t="shared" si="392"/>
        <v>123.8</v>
      </c>
      <c r="AD133" s="30">
        <f t="shared" si="393"/>
        <v>0</v>
      </c>
      <c r="AE133" s="30">
        <f t="shared" si="394"/>
        <v>0</v>
      </c>
      <c r="AF133" s="53"/>
      <c r="AG133" s="66">
        <f t="shared" ref="AG133:AG134" si="396">SUM(AE133/AA133)-1</f>
        <v>-1</v>
      </c>
    </row>
    <row r="134" spans="2:33" ht="12.75" customHeight="1">
      <c r="B134" s="54" t="s">
        <v>157</v>
      </c>
      <c r="C134" s="74">
        <v>-36.6</v>
      </c>
      <c r="D134" s="74">
        <v>-78.8</v>
      </c>
      <c r="E134" s="74">
        <v>-157.5</v>
      </c>
      <c r="F134" s="74"/>
      <c r="G134" s="30"/>
      <c r="H134" s="74"/>
      <c r="I134" s="74"/>
      <c r="J134" s="74"/>
      <c r="K134" s="30">
        <f t="shared" si="382"/>
        <v>-78.8</v>
      </c>
      <c r="L134" s="74"/>
      <c r="M134" s="74"/>
      <c r="N134" s="74"/>
      <c r="O134" s="30">
        <f t="shared" si="383"/>
        <v>-157.5</v>
      </c>
      <c r="P134" s="74"/>
      <c r="Q134" s="74"/>
      <c r="R134" s="74"/>
      <c r="S134" s="30">
        <f t="shared" si="384"/>
        <v>0</v>
      </c>
      <c r="T134" s="74"/>
      <c r="U134" s="30"/>
      <c r="V134" s="30">
        <f t="shared" si="385"/>
        <v>-78.8</v>
      </c>
      <c r="W134" s="30">
        <f t="shared" si="386"/>
        <v>-78.8</v>
      </c>
      <c r="X134" s="30">
        <f t="shared" si="387"/>
        <v>-78.8</v>
      </c>
      <c r="Y134" s="30">
        <f t="shared" si="388"/>
        <v>-78.8</v>
      </c>
      <c r="Z134" s="30">
        <f t="shared" si="389"/>
        <v>-157.5</v>
      </c>
      <c r="AA134" s="30">
        <f t="shared" si="390"/>
        <v>-157.5</v>
      </c>
      <c r="AB134" s="30">
        <f t="shared" si="391"/>
        <v>-157.5</v>
      </c>
      <c r="AC134" s="30">
        <f t="shared" si="392"/>
        <v>-157.5</v>
      </c>
      <c r="AD134" s="30">
        <f t="shared" si="393"/>
        <v>0</v>
      </c>
      <c r="AE134" s="30">
        <f t="shared" si="394"/>
        <v>0</v>
      </c>
      <c r="AF134" s="53"/>
      <c r="AG134" s="66">
        <f t="shared" si="396"/>
        <v>-1</v>
      </c>
    </row>
    <row r="135" spans="2:33" ht="12.75" customHeight="1">
      <c r="B135" s="54" t="s">
        <v>158</v>
      </c>
      <c r="C135" s="74">
        <v>1498.1</v>
      </c>
      <c r="D135" s="74">
        <v>1497.8</v>
      </c>
      <c r="E135" s="74">
        <v>1995.3</v>
      </c>
      <c r="F135" s="74"/>
      <c r="G135" s="30"/>
      <c r="H135" s="74"/>
      <c r="I135" s="74"/>
      <c r="J135" s="74"/>
      <c r="K135" s="30">
        <f t="shared" ref="K135:K137" si="397">SUM(D135-SUM(H135:J135))</f>
        <v>1497.8</v>
      </c>
      <c r="L135" s="74"/>
      <c r="M135" s="74"/>
      <c r="N135" s="74"/>
      <c r="O135" s="30">
        <f t="shared" ref="O135:O137" si="398">SUM(E135-SUM(L135:N135))</f>
        <v>1995.3</v>
      </c>
      <c r="P135" s="74"/>
      <c r="Q135" s="74"/>
      <c r="R135" s="74"/>
      <c r="S135" s="30">
        <f t="shared" ref="S135:S137" si="399">SUM(F135-SUM(P135:R135))</f>
        <v>0</v>
      </c>
      <c r="T135" s="74"/>
      <c r="U135" s="30"/>
      <c r="V135" s="30">
        <f t="shared" ref="V135:V137" si="400">SUM(H135:K135)</f>
        <v>1497.8</v>
      </c>
      <c r="W135" s="30">
        <f t="shared" ref="W135:W137" si="401">SUM(I135:L135)</f>
        <v>1497.8</v>
      </c>
      <c r="X135" s="30">
        <f t="shared" ref="X135:X137" si="402">SUM(J135:M135)</f>
        <v>1497.8</v>
      </c>
      <c r="Y135" s="30">
        <f t="shared" ref="Y135:Y137" si="403">SUM(K135:N135)</f>
        <v>1497.8</v>
      </c>
      <c r="Z135" s="30">
        <f t="shared" ref="Z135:Z137" si="404">SUM(L135:O135)</f>
        <v>1995.3</v>
      </c>
      <c r="AA135" s="30">
        <f t="shared" ref="AA135:AA137" si="405">SUM(M135:P135)</f>
        <v>1995.3</v>
      </c>
      <c r="AB135" s="30">
        <f t="shared" ref="AB135:AB137" si="406">SUM(N135:Q135)</f>
        <v>1995.3</v>
      </c>
      <c r="AC135" s="30">
        <f t="shared" ref="AC135:AC137" si="407">SUM(O135:R135)</f>
        <v>1995.3</v>
      </c>
      <c r="AD135" s="30">
        <f t="shared" ref="AD135:AD137" si="408">SUM(P135:S135)</f>
        <v>0</v>
      </c>
      <c r="AE135" s="30">
        <f t="shared" ref="AE135:AE137" si="409">SUM(Q135:T135)</f>
        <v>0</v>
      </c>
      <c r="AF135" s="53"/>
      <c r="AG135" s="66">
        <f t="shared" ref="AG135:AG137" si="410">SUM(AE135/AA135)-1</f>
        <v>-1</v>
      </c>
    </row>
    <row r="136" spans="2:33" ht="12.75" customHeight="1">
      <c r="B136" s="54" t="s">
        <v>159</v>
      </c>
      <c r="C136" s="74">
        <v>-1000</v>
      </c>
      <c r="D136" s="74">
        <v>-1000</v>
      </c>
      <c r="E136" s="74">
        <v>-1825.1</v>
      </c>
      <c r="F136" s="74"/>
      <c r="G136" s="30"/>
      <c r="H136" s="74"/>
      <c r="I136" s="74"/>
      <c r="J136" s="74"/>
      <c r="K136" s="30">
        <f t="shared" si="397"/>
        <v>-1000</v>
      </c>
      <c r="L136" s="74"/>
      <c r="M136" s="74"/>
      <c r="N136" s="74"/>
      <c r="O136" s="30">
        <f t="shared" si="398"/>
        <v>-1825.1</v>
      </c>
      <c r="P136" s="74"/>
      <c r="Q136" s="74"/>
      <c r="R136" s="74"/>
      <c r="S136" s="30">
        <f t="shared" si="399"/>
        <v>0</v>
      </c>
      <c r="T136" s="74"/>
      <c r="U136" s="30"/>
      <c r="V136" s="30">
        <f t="shared" si="400"/>
        <v>-1000</v>
      </c>
      <c r="W136" s="30">
        <f t="shared" si="401"/>
        <v>-1000</v>
      </c>
      <c r="X136" s="30">
        <f t="shared" si="402"/>
        <v>-1000</v>
      </c>
      <c r="Y136" s="30">
        <f t="shared" si="403"/>
        <v>-1000</v>
      </c>
      <c r="Z136" s="30">
        <f t="shared" si="404"/>
        <v>-1825.1</v>
      </c>
      <c r="AA136" s="30">
        <f t="shared" si="405"/>
        <v>-1825.1</v>
      </c>
      <c r="AB136" s="30">
        <f t="shared" si="406"/>
        <v>-1825.1</v>
      </c>
      <c r="AC136" s="30">
        <f t="shared" si="407"/>
        <v>-1825.1</v>
      </c>
      <c r="AD136" s="30">
        <f t="shared" si="408"/>
        <v>0</v>
      </c>
      <c r="AE136" s="30">
        <f t="shared" si="409"/>
        <v>0</v>
      </c>
      <c r="AF136" s="53"/>
      <c r="AG136" s="66">
        <f t="shared" si="410"/>
        <v>-1</v>
      </c>
    </row>
    <row r="137" spans="2:33" ht="12.75" customHeight="1">
      <c r="B137" s="54" t="s">
        <v>160</v>
      </c>
      <c r="C137" s="74">
        <v>101.6</v>
      </c>
      <c r="D137" s="74">
        <v>167.4</v>
      </c>
      <c r="E137" s="74">
        <v>108</v>
      </c>
      <c r="F137" s="74"/>
      <c r="G137" s="30"/>
      <c r="H137" s="74"/>
      <c r="I137" s="74"/>
      <c r="J137" s="74"/>
      <c r="K137" s="30">
        <f t="shared" si="397"/>
        <v>167.4</v>
      </c>
      <c r="L137" s="74"/>
      <c r="M137" s="74"/>
      <c r="N137" s="74"/>
      <c r="O137" s="30">
        <f t="shared" si="398"/>
        <v>108</v>
      </c>
      <c r="P137" s="74"/>
      <c r="Q137" s="74"/>
      <c r="R137" s="74"/>
      <c r="S137" s="30">
        <f t="shared" si="399"/>
        <v>0</v>
      </c>
      <c r="T137" s="74"/>
      <c r="U137" s="30"/>
      <c r="V137" s="30">
        <f t="shared" si="400"/>
        <v>167.4</v>
      </c>
      <c r="W137" s="30">
        <f t="shared" si="401"/>
        <v>167.4</v>
      </c>
      <c r="X137" s="30">
        <f t="shared" si="402"/>
        <v>167.4</v>
      </c>
      <c r="Y137" s="30">
        <f t="shared" si="403"/>
        <v>167.4</v>
      </c>
      <c r="Z137" s="30">
        <f t="shared" si="404"/>
        <v>108</v>
      </c>
      <c r="AA137" s="30">
        <f t="shared" si="405"/>
        <v>108</v>
      </c>
      <c r="AB137" s="30">
        <f t="shared" si="406"/>
        <v>108</v>
      </c>
      <c r="AC137" s="30">
        <f t="shared" si="407"/>
        <v>108</v>
      </c>
      <c r="AD137" s="30">
        <f t="shared" si="408"/>
        <v>0</v>
      </c>
      <c r="AE137" s="30">
        <f t="shared" si="409"/>
        <v>0</v>
      </c>
      <c r="AF137" s="53"/>
      <c r="AG137" s="66">
        <f t="shared" si="410"/>
        <v>-1</v>
      </c>
    </row>
    <row r="138" spans="2:33" ht="12.75" customHeight="1">
      <c r="B138" s="54" t="s">
        <v>161</v>
      </c>
      <c r="C138" s="74">
        <v>-2263.3000000000002</v>
      </c>
      <c r="D138" s="74">
        <v>-2431.8000000000002</v>
      </c>
      <c r="E138" s="74">
        <v>-2585</v>
      </c>
      <c r="F138" s="74"/>
      <c r="G138" s="30"/>
      <c r="H138" s="74"/>
      <c r="I138" s="74"/>
      <c r="J138" s="74"/>
      <c r="K138" s="30">
        <f t="shared" si="382"/>
        <v>-2431.8000000000002</v>
      </c>
      <c r="L138" s="74"/>
      <c r="M138" s="74"/>
      <c r="N138" s="74"/>
      <c r="O138" s="30">
        <f t="shared" si="383"/>
        <v>-2585</v>
      </c>
      <c r="P138" s="74"/>
      <c r="Q138" s="74"/>
      <c r="R138" s="74"/>
      <c r="S138" s="30">
        <f t="shared" si="384"/>
        <v>0</v>
      </c>
      <c r="T138" s="74"/>
      <c r="U138" s="30"/>
      <c r="V138" s="30">
        <f t="shared" si="385"/>
        <v>-2431.8000000000002</v>
      </c>
      <c r="W138" s="30">
        <f t="shared" si="386"/>
        <v>-2431.8000000000002</v>
      </c>
      <c r="X138" s="30">
        <f t="shared" si="387"/>
        <v>-2431.8000000000002</v>
      </c>
      <c r="Y138" s="30">
        <f t="shared" si="388"/>
        <v>-2431.8000000000002</v>
      </c>
      <c r="Z138" s="30">
        <f t="shared" si="389"/>
        <v>-2585</v>
      </c>
      <c r="AA138" s="30">
        <f t="shared" si="390"/>
        <v>-2585</v>
      </c>
      <c r="AB138" s="30">
        <f t="shared" si="391"/>
        <v>-2585</v>
      </c>
      <c r="AC138" s="30">
        <f t="shared" si="392"/>
        <v>-2585</v>
      </c>
      <c r="AD138" s="30">
        <f t="shared" si="393"/>
        <v>0</v>
      </c>
      <c r="AE138" s="30">
        <f t="shared" si="394"/>
        <v>0</v>
      </c>
      <c r="AF138" s="53"/>
      <c r="AG138" s="66">
        <f t="shared" ref="AG138" si="411">SUM(AE138/AA138)-1</f>
        <v>-1</v>
      </c>
    </row>
    <row r="139" spans="2:33" ht="12.75" customHeight="1">
      <c r="B139" s="54" t="s">
        <v>162</v>
      </c>
      <c r="C139" s="74">
        <v>-4013</v>
      </c>
      <c r="D139" s="74">
        <v>-984.4</v>
      </c>
      <c r="E139" s="74">
        <v>-1266.7</v>
      </c>
      <c r="F139" s="74"/>
      <c r="G139" s="30"/>
      <c r="H139" s="74"/>
      <c r="I139" s="74"/>
      <c r="J139" s="74"/>
      <c r="K139" s="30">
        <f t="shared" ref="K139:K141" si="412">SUM(D139-SUM(H139:J139))</f>
        <v>-984.4</v>
      </c>
      <c r="L139" s="74"/>
      <c r="M139" s="74"/>
      <c r="N139" s="74"/>
      <c r="O139" s="30">
        <f t="shared" ref="O139:O141" si="413">SUM(E139-SUM(L139:N139))</f>
        <v>-1266.7</v>
      </c>
      <c r="P139" s="74"/>
      <c r="Q139" s="74"/>
      <c r="R139" s="74"/>
      <c r="S139" s="30">
        <f t="shared" ref="S139:S141" si="414">SUM(F139-SUM(P139:R139))</f>
        <v>0</v>
      </c>
      <c r="T139" s="74"/>
      <c r="U139" s="30"/>
      <c r="V139" s="30">
        <f t="shared" si="385"/>
        <v>-984.4</v>
      </c>
      <c r="W139" s="30">
        <f t="shared" si="386"/>
        <v>-984.4</v>
      </c>
      <c r="X139" s="30">
        <f t="shared" si="387"/>
        <v>-984.4</v>
      </c>
      <c r="Y139" s="30">
        <f t="shared" si="388"/>
        <v>-984.4</v>
      </c>
      <c r="Z139" s="30">
        <f t="shared" si="389"/>
        <v>-1266.7</v>
      </c>
      <c r="AA139" s="30">
        <f t="shared" si="390"/>
        <v>-1266.7</v>
      </c>
      <c r="AB139" s="30">
        <f t="shared" si="391"/>
        <v>-1266.7</v>
      </c>
      <c r="AC139" s="30">
        <f t="shared" si="392"/>
        <v>-1266.7</v>
      </c>
      <c r="AD139" s="30">
        <f t="shared" si="393"/>
        <v>0</v>
      </c>
      <c r="AE139" s="30">
        <f t="shared" si="394"/>
        <v>0</v>
      </c>
      <c r="AF139" s="53"/>
      <c r="AG139" s="66">
        <f t="shared" ref="AG139:AG141" si="415">SUM(AE139/AA139)-1</f>
        <v>-1</v>
      </c>
    </row>
    <row r="140" spans="2:33" ht="12.75" customHeight="1">
      <c r="B140" s="54" t="s">
        <v>163</v>
      </c>
      <c r="C140" s="74">
        <v>-127</v>
      </c>
      <c r="D140" s="74">
        <v>-89.3</v>
      </c>
      <c r="E140" s="74">
        <v>-100.4</v>
      </c>
      <c r="F140" s="74"/>
      <c r="G140" s="30"/>
      <c r="H140" s="74"/>
      <c r="I140" s="74"/>
      <c r="J140" s="74"/>
      <c r="K140" s="30">
        <f t="shared" si="412"/>
        <v>-89.3</v>
      </c>
      <c r="L140" s="74"/>
      <c r="M140" s="74"/>
      <c r="N140" s="74"/>
      <c r="O140" s="30">
        <f t="shared" si="413"/>
        <v>-100.4</v>
      </c>
      <c r="P140" s="74"/>
      <c r="Q140" s="74"/>
      <c r="R140" s="74"/>
      <c r="S140" s="30">
        <f t="shared" si="414"/>
        <v>0</v>
      </c>
      <c r="T140" s="74"/>
      <c r="U140" s="30"/>
      <c r="V140" s="30">
        <f t="shared" si="385"/>
        <v>-89.3</v>
      </c>
      <c r="W140" s="30">
        <f t="shared" si="386"/>
        <v>-89.3</v>
      </c>
      <c r="X140" s="30">
        <f t="shared" si="387"/>
        <v>-89.3</v>
      </c>
      <c r="Y140" s="30">
        <f t="shared" si="388"/>
        <v>-89.3</v>
      </c>
      <c r="Z140" s="30">
        <f t="shared" si="389"/>
        <v>-100.4</v>
      </c>
      <c r="AA140" s="30">
        <f t="shared" si="390"/>
        <v>-100.4</v>
      </c>
      <c r="AB140" s="30">
        <f t="shared" si="391"/>
        <v>-100.4</v>
      </c>
      <c r="AC140" s="30">
        <f t="shared" si="392"/>
        <v>-100.4</v>
      </c>
      <c r="AD140" s="30">
        <f t="shared" si="393"/>
        <v>0</v>
      </c>
      <c r="AE140" s="30">
        <f t="shared" si="394"/>
        <v>0</v>
      </c>
      <c r="AF140" s="53"/>
      <c r="AG140" s="66">
        <f t="shared" si="415"/>
        <v>-1</v>
      </c>
    </row>
    <row r="141" spans="2:33" ht="12.75" customHeight="1">
      <c r="B141" s="54" t="s">
        <v>120</v>
      </c>
      <c r="C141" s="74">
        <v>-9.1999999999999993</v>
      </c>
      <c r="D141" s="74">
        <v>-11.1</v>
      </c>
      <c r="E141" s="74">
        <v>-10.6</v>
      </c>
      <c r="F141" s="74"/>
      <c r="G141" s="30"/>
      <c r="H141" s="74"/>
      <c r="I141" s="74"/>
      <c r="J141" s="74"/>
      <c r="K141" s="30">
        <f t="shared" si="412"/>
        <v>-11.1</v>
      </c>
      <c r="L141" s="74"/>
      <c r="M141" s="74"/>
      <c r="N141" s="74"/>
      <c r="O141" s="30">
        <f t="shared" si="413"/>
        <v>-10.6</v>
      </c>
      <c r="P141" s="74"/>
      <c r="Q141" s="74"/>
      <c r="R141" s="74"/>
      <c r="S141" s="30">
        <f t="shared" si="414"/>
        <v>0</v>
      </c>
      <c r="T141" s="74"/>
      <c r="U141" s="30"/>
      <c r="V141" s="30">
        <f t="shared" si="385"/>
        <v>-11.1</v>
      </c>
      <c r="W141" s="30">
        <f t="shared" si="386"/>
        <v>-11.1</v>
      </c>
      <c r="X141" s="30">
        <f t="shared" si="387"/>
        <v>-11.1</v>
      </c>
      <c r="Y141" s="30">
        <f t="shared" si="388"/>
        <v>-11.1</v>
      </c>
      <c r="Z141" s="30">
        <f t="shared" si="389"/>
        <v>-10.6</v>
      </c>
      <c r="AA141" s="30">
        <f t="shared" si="390"/>
        <v>-10.6</v>
      </c>
      <c r="AB141" s="30">
        <f t="shared" si="391"/>
        <v>-10.6</v>
      </c>
      <c r="AC141" s="30">
        <f t="shared" si="392"/>
        <v>-10.6</v>
      </c>
      <c r="AD141" s="30">
        <f t="shared" si="393"/>
        <v>0</v>
      </c>
      <c r="AE141" s="30">
        <f t="shared" si="394"/>
        <v>0</v>
      </c>
      <c r="AF141" s="53"/>
      <c r="AG141" s="66">
        <f t="shared" si="415"/>
        <v>-1</v>
      </c>
    </row>
    <row r="142" spans="2:33" ht="12.75" customHeight="1">
      <c r="B142" s="12" t="s">
        <v>57</v>
      </c>
      <c r="C142" s="13">
        <f>SUM(C132:C141)</f>
        <v>-5637.8</v>
      </c>
      <c r="D142" s="13">
        <f>SUM(D132:D141)</f>
        <v>-2990.6000000000004</v>
      </c>
      <c r="E142" s="13">
        <f>SUM(E132:E141)</f>
        <v>-3718.2</v>
      </c>
      <c r="F142" s="13">
        <f>SUM(F132:F141)</f>
        <v>0</v>
      </c>
      <c r="H142" s="13">
        <f>SUM(H132:H141)</f>
        <v>0</v>
      </c>
      <c r="I142" s="13">
        <f>SUM(I132:I141)</f>
        <v>0</v>
      </c>
      <c r="J142" s="13">
        <f>SUM(J132:J141)</f>
        <v>0</v>
      </c>
      <c r="K142" s="13">
        <f>SUM(K132:K141)</f>
        <v>-2990.6000000000004</v>
      </c>
      <c r="L142" s="13">
        <f>SUM(L132:L141)</f>
        <v>0</v>
      </c>
      <c r="M142" s="13">
        <f>SUM(M132:M141)</f>
        <v>0</v>
      </c>
      <c r="N142" s="13">
        <f>SUM(N132:N141)</f>
        <v>0</v>
      </c>
      <c r="O142" s="13">
        <f>SUM(O132:O141)</f>
        <v>-3718.2</v>
      </c>
      <c r="P142" s="13">
        <f>SUM(P132:P141)</f>
        <v>0</v>
      </c>
      <c r="Q142" s="13">
        <f>SUM(Q132:Q141)</f>
        <v>0</v>
      </c>
      <c r="R142" s="13">
        <f>SUM(R132:R141)</f>
        <v>0</v>
      </c>
      <c r="S142" s="13">
        <f>SUM(S132:S141)</f>
        <v>0</v>
      </c>
      <c r="T142" s="13">
        <f>SUM(T132:T141)</f>
        <v>0</v>
      </c>
      <c r="V142" s="13">
        <f>SUM(V132:V141)</f>
        <v>-2990.6000000000004</v>
      </c>
      <c r="W142" s="13">
        <f>SUM(W132:W141)</f>
        <v>-2990.6000000000004</v>
      </c>
      <c r="X142" s="13">
        <f>SUM(X132:X141)</f>
        <v>-2990.6000000000004</v>
      </c>
      <c r="Y142" s="13">
        <f>SUM(Y132:Y141)</f>
        <v>-2990.6000000000004</v>
      </c>
      <c r="Z142" s="13">
        <f>SUM(Z132:Z141)</f>
        <v>-3718.2</v>
      </c>
      <c r="AA142" s="13">
        <f>SUM(AA132:AA141)</f>
        <v>-3718.2</v>
      </c>
      <c r="AB142" s="13">
        <f>SUM(AB132:AB141)</f>
        <v>-3718.2</v>
      </c>
      <c r="AC142" s="13">
        <f>SUM(AC132:AC141)</f>
        <v>-3718.2</v>
      </c>
      <c r="AD142" s="13">
        <f>SUM(AD132:AD141)</f>
        <v>0</v>
      </c>
      <c r="AE142" s="13">
        <f>SUM(AE132:AE141)</f>
        <v>0</v>
      </c>
      <c r="AF142" s="39"/>
      <c r="AG142" s="67">
        <f>SUM(AE142/AA142)-1</f>
        <v>-1</v>
      </c>
    </row>
    <row r="143" spans="2:33" ht="5.0999999999999996" customHeight="1">
      <c r="B143" s="8"/>
      <c r="C143" s="58"/>
      <c r="D143" s="58"/>
      <c r="E143" s="58"/>
      <c r="F143" s="58"/>
      <c r="G143" s="30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42"/>
    </row>
    <row r="144" spans="2:33" ht="5.0999999999999996" customHeight="1">
      <c r="B144" s="63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11"/>
      <c r="AG144" s="42"/>
    </row>
    <row r="145" spans="2:33">
      <c r="B145" s="141" t="s">
        <v>91</v>
      </c>
      <c r="C145" s="147">
        <v>6455.7</v>
      </c>
      <c r="D145" s="147">
        <f t="shared" ref="D145:E145" si="416">C152</f>
        <v>2584.8999999999969</v>
      </c>
      <c r="E145" s="147">
        <f t="shared" si="416"/>
        <v>3377.399999999996</v>
      </c>
      <c r="F145" s="147">
        <f t="shared" ref="F145" si="417">E152</f>
        <v>3125.8999999999996</v>
      </c>
      <c r="G145" s="147"/>
      <c r="H145" s="147">
        <f>D145</f>
        <v>2584.8999999999969</v>
      </c>
      <c r="I145" s="147">
        <f t="shared" ref="I145:Q145" si="418">H152</f>
        <v>2584.8999999999969</v>
      </c>
      <c r="J145" s="147">
        <f t="shared" si="418"/>
        <v>2584.8999999999969</v>
      </c>
      <c r="K145" s="147">
        <f t="shared" si="418"/>
        <v>2584.8999999999969</v>
      </c>
      <c r="L145" s="147">
        <f t="shared" si="418"/>
        <v>3377.399999999996</v>
      </c>
      <c r="M145" s="147">
        <f t="shared" si="418"/>
        <v>3377.399999999996</v>
      </c>
      <c r="N145" s="147">
        <f t="shared" si="418"/>
        <v>3377.399999999996</v>
      </c>
      <c r="O145" s="147">
        <f t="shared" si="418"/>
        <v>3377.399999999996</v>
      </c>
      <c r="P145" s="147">
        <f t="shared" si="418"/>
        <v>3125.8999999999996</v>
      </c>
      <c r="Q145" s="147">
        <f t="shared" si="418"/>
        <v>3125.8999999999996</v>
      </c>
      <c r="R145" s="147">
        <f t="shared" ref="R145:T145" si="419">Q152</f>
        <v>3125.8999999999996</v>
      </c>
      <c r="S145" s="147">
        <f t="shared" ref="S145" si="420">R152</f>
        <v>3125.8999999999996</v>
      </c>
      <c r="T145" s="147">
        <f t="shared" si="419"/>
        <v>3125.8999999999996</v>
      </c>
      <c r="U145" s="147"/>
      <c r="V145" s="147">
        <f>K145</f>
        <v>2584.8999999999969</v>
      </c>
      <c r="W145" s="147">
        <f t="shared" ref="W145:AE145" si="421">V152</f>
        <v>3377.399999999996</v>
      </c>
      <c r="X145" s="147">
        <f t="shared" si="421"/>
        <v>3377.399999999996</v>
      </c>
      <c r="Y145" s="147">
        <f t="shared" si="421"/>
        <v>3377.399999999996</v>
      </c>
      <c r="Z145" s="147">
        <f t="shared" si="421"/>
        <v>3377.399999999996</v>
      </c>
      <c r="AA145" s="147">
        <f t="shared" si="421"/>
        <v>3125.8999999999996</v>
      </c>
      <c r="AB145" s="147">
        <f t="shared" si="421"/>
        <v>3125.8999999999996</v>
      </c>
      <c r="AC145" s="147">
        <f t="shared" si="421"/>
        <v>3125.8999999999996</v>
      </c>
      <c r="AD145" s="147">
        <f t="shared" si="421"/>
        <v>3125.8999999999996</v>
      </c>
      <c r="AE145" s="148">
        <f t="shared" si="421"/>
        <v>3125.8999999999996</v>
      </c>
      <c r="AF145" s="11"/>
      <c r="AG145" s="42"/>
    </row>
    <row r="146" spans="2:33">
      <c r="B146" s="142" t="s">
        <v>88</v>
      </c>
      <c r="C146" s="30"/>
      <c r="D146" s="30">
        <f t="shared" ref="D146:E146" si="422">-C150</f>
        <v>0</v>
      </c>
      <c r="E146" s="30">
        <f t="shared" si="422"/>
        <v>0</v>
      </c>
      <c r="F146" s="30">
        <f t="shared" ref="F146" si="423">-E150</f>
        <v>0</v>
      </c>
      <c r="G146" s="30"/>
      <c r="H146" s="30">
        <f>D146</f>
        <v>0</v>
      </c>
      <c r="I146" s="30">
        <f>-H150</f>
        <v>0</v>
      </c>
      <c r="J146" s="30">
        <f t="shared" ref="J146:Q146" si="424">-I150</f>
        <v>0</v>
      </c>
      <c r="K146" s="30">
        <f t="shared" si="424"/>
        <v>0</v>
      </c>
      <c r="L146" s="30">
        <f t="shared" si="424"/>
        <v>0</v>
      </c>
      <c r="M146" s="30">
        <f t="shared" si="424"/>
        <v>0</v>
      </c>
      <c r="N146" s="30">
        <f t="shared" si="424"/>
        <v>0</v>
      </c>
      <c r="O146" s="30">
        <f t="shared" si="424"/>
        <v>0</v>
      </c>
      <c r="P146" s="30">
        <f t="shared" si="424"/>
        <v>0</v>
      </c>
      <c r="Q146" s="30">
        <f t="shared" si="424"/>
        <v>0</v>
      </c>
      <c r="R146" s="30">
        <f t="shared" ref="R146:S146" si="425">-Q150</f>
        <v>0</v>
      </c>
      <c r="S146" s="30">
        <f t="shared" si="425"/>
        <v>0</v>
      </c>
      <c r="T146" s="30">
        <f t="shared" ref="T146" si="426">-S150</f>
        <v>0</v>
      </c>
      <c r="U146" s="30"/>
      <c r="V146" s="30">
        <f>K146</f>
        <v>0</v>
      </c>
      <c r="W146" s="30">
        <f t="shared" ref="W146:AE146" si="427">-V150</f>
        <v>0</v>
      </c>
      <c r="X146" s="30">
        <f t="shared" si="427"/>
        <v>0</v>
      </c>
      <c r="Y146" s="30">
        <f t="shared" si="427"/>
        <v>0</v>
      </c>
      <c r="Z146" s="30">
        <f t="shared" si="427"/>
        <v>0</v>
      </c>
      <c r="AA146" s="30">
        <f t="shared" si="427"/>
        <v>0</v>
      </c>
      <c r="AB146" s="30">
        <f t="shared" si="427"/>
        <v>0</v>
      </c>
      <c r="AC146" s="30">
        <f t="shared" si="427"/>
        <v>0</v>
      </c>
      <c r="AD146" s="30">
        <f t="shared" si="427"/>
        <v>0</v>
      </c>
      <c r="AE146" s="137">
        <f t="shared" si="427"/>
        <v>0</v>
      </c>
      <c r="AF146" s="11"/>
      <c r="AG146" s="42"/>
    </row>
    <row r="147" spans="2:33">
      <c r="B147" s="143" t="s">
        <v>71</v>
      </c>
      <c r="C147" s="111">
        <f t="shared" ref="C147" si="428">SUM(C145:C146)</f>
        <v>6455.7</v>
      </c>
      <c r="D147" s="111">
        <f t="shared" ref="D147:E147" si="429">SUM(D145:D146)</f>
        <v>2584.8999999999969</v>
      </c>
      <c r="E147" s="111">
        <f t="shared" si="429"/>
        <v>3377.399999999996</v>
      </c>
      <c r="F147" s="111">
        <f t="shared" ref="F147" si="430">SUM(F145:F146)</f>
        <v>3125.8999999999996</v>
      </c>
      <c r="G147" s="30"/>
      <c r="H147" s="111">
        <f t="shared" ref="H147:Q147" si="431">SUM(H145:H146)</f>
        <v>2584.8999999999969</v>
      </c>
      <c r="I147" s="111">
        <f t="shared" si="431"/>
        <v>2584.8999999999969</v>
      </c>
      <c r="J147" s="111">
        <f t="shared" si="431"/>
        <v>2584.8999999999969</v>
      </c>
      <c r="K147" s="111">
        <f t="shared" si="431"/>
        <v>2584.8999999999969</v>
      </c>
      <c r="L147" s="111">
        <f t="shared" si="431"/>
        <v>3377.399999999996</v>
      </c>
      <c r="M147" s="111">
        <f t="shared" si="431"/>
        <v>3377.399999999996</v>
      </c>
      <c r="N147" s="111">
        <f t="shared" si="431"/>
        <v>3377.399999999996</v>
      </c>
      <c r="O147" s="111">
        <f t="shared" si="431"/>
        <v>3377.399999999996</v>
      </c>
      <c r="P147" s="111">
        <f t="shared" si="431"/>
        <v>3125.8999999999996</v>
      </c>
      <c r="Q147" s="111">
        <f t="shared" si="431"/>
        <v>3125.8999999999996</v>
      </c>
      <c r="R147" s="111">
        <f t="shared" ref="R147:S147" si="432">SUM(R145:R146)</f>
        <v>3125.8999999999996</v>
      </c>
      <c r="S147" s="111">
        <f t="shared" si="432"/>
        <v>3125.8999999999996</v>
      </c>
      <c r="T147" s="111">
        <f t="shared" ref="T147" si="433">SUM(T145:T146)</f>
        <v>3125.8999999999996</v>
      </c>
      <c r="U147" s="30"/>
      <c r="V147" s="111">
        <f t="shared" ref="V147:Z147" si="434">SUM(V145:V146)</f>
        <v>2584.8999999999969</v>
      </c>
      <c r="W147" s="111">
        <f t="shared" si="434"/>
        <v>3377.399999999996</v>
      </c>
      <c r="X147" s="111">
        <f t="shared" si="434"/>
        <v>3377.399999999996</v>
      </c>
      <c r="Y147" s="111">
        <f t="shared" si="434"/>
        <v>3377.399999999996</v>
      </c>
      <c r="Z147" s="111">
        <f t="shared" si="434"/>
        <v>3377.399999999996</v>
      </c>
      <c r="AA147" s="111">
        <f t="shared" ref="AA147" si="435">SUM(AA145:AA146)</f>
        <v>3125.8999999999996</v>
      </c>
      <c r="AB147" s="111">
        <f t="shared" ref="AB147" si="436">SUM(AB145:AB146)</f>
        <v>3125.8999999999996</v>
      </c>
      <c r="AC147" s="111">
        <f t="shared" ref="AC147" si="437">SUM(AC145:AC146)</f>
        <v>3125.8999999999996</v>
      </c>
      <c r="AD147" s="111">
        <f t="shared" ref="AD147" si="438">SUM(AD145:AD146)</f>
        <v>3125.8999999999996</v>
      </c>
      <c r="AE147" s="138">
        <f t="shared" ref="AE147" si="439">SUM(AE145:AE146)</f>
        <v>3125.8999999999996</v>
      </c>
      <c r="AF147" s="11"/>
      <c r="AG147" s="42"/>
    </row>
    <row r="148" spans="2:33" ht="5.0999999999999996" customHeight="1">
      <c r="B148" s="144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137"/>
      <c r="AF148" s="11"/>
      <c r="AG148" s="42"/>
    </row>
    <row r="149" spans="2:33">
      <c r="B149" s="142" t="s">
        <v>89</v>
      </c>
      <c r="C149" s="74">
        <v>-250.3</v>
      </c>
      <c r="D149" s="74">
        <v>-14.2</v>
      </c>
      <c r="E149" s="74">
        <v>56.5</v>
      </c>
      <c r="F149" s="74"/>
      <c r="G149" s="30"/>
      <c r="H149" s="74"/>
      <c r="I149" s="74"/>
      <c r="J149" s="74"/>
      <c r="K149" s="30">
        <f>SUM(D149-SUM(H149:J149))</f>
        <v>-14.2</v>
      </c>
      <c r="L149" s="74"/>
      <c r="M149" s="74"/>
      <c r="N149" s="74"/>
      <c r="O149" s="30">
        <f>SUM(E149-SUM(L149:N149))</f>
        <v>56.5</v>
      </c>
      <c r="P149" s="74"/>
      <c r="Q149" s="74"/>
      <c r="R149" s="74"/>
      <c r="S149" s="30">
        <f t="shared" ref="S149" si="440">SUM(F149-SUM(P149:R149))</f>
        <v>0</v>
      </c>
      <c r="T149" s="74"/>
      <c r="U149" s="30"/>
      <c r="V149" s="30">
        <f t="shared" ref="V149:AD151" si="441">K149</f>
        <v>-14.2</v>
      </c>
      <c r="W149" s="30">
        <f t="shared" si="441"/>
        <v>0</v>
      </c>
      <c r="X149" s="30">
        <f t="shared" si="441"/>
        <v>0</v>
      </c>
      <c r="Y149" s="30">
        <f t="shared" si="441"/>
        <v>0</v>
      </c>
      <c r="Z149" s="30">
        <f t="shared" si="441"/>
        <v>56.5</v>
      </c>
      <c r="AA149" s="30">
        <f t="shared" si="441"/>
        <v>0</v>
      </c>
      <c r="AB149" s="30">
        <f t="shared" si="441"/>
        <v>0</v>
      </c>
      <c r="AC149" s="30">
        <f t="shared" si="441"/>
        <v>0</v>
      </c>
      <c r="AD149" s="30">
        <f t="shared" si="441"/>
        <v>0</v>
      </c>
      <c r="AE149" s="137">
        <f>T149</f>
        <v>0</v>
      </c>
      <c r="AF149" s="11"/>
      <c r="AG149" s="42"/>
    </row>
    <row r="150" spans="2:33">
      <c r="B150" s="142" t="s">
        <v>90</v>
      </c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>
        <f t="shared" si="441"/>
        <v>0</v>
      </c>
      <c r="W150" s="30">
        <f t="shared" si="441"/>
        <v>0</v>
      </c>
      <c r="X150" s="30">
        <f t="shared" si="441"/>
        <v>0</v>
      </c>
      <c r="Y150" s="30">
        <f t="shared" si="441"/>
        <v>0</v>
      </c>
      <c r="Z150" s="30">
        <f t="shared" si="441"/>
        <v>0</v>
      </c>
      <c r="AA150" s="30">
        <f t="shared" si="441"/>
        <v>0</v>
      </c>
      <c r="AB150" s="30">
        <f t="shared" si="441"/>
        <v>0</v>
      </c>
      <c r="AC150" s="30">
        <f t="shared" si="441"/>
        <v>0</v>
      </c>
      <c r="AD150" s="30">
        <f t="shared" si="441"/>
        <v>0</v>
      </c>
      <c r="AE150" s="137">
        <f>T150</f>
        <v>0</v>
      </c>
      <c r="AF150" s="11"/>
      <c r="AG150" s="42"/>
    </row>
    <row r="151" spans="2:33">
      <c r="B151" s="142" t="s">
        <v>61</v>
      </c>
      <c r="C151" s="30">
        <f>+C142+C129+C119</f>
        <v>-3620.5000000000027</v>
      </c>
      <c r="D151" s="30">
        <f>+D142+D129+D119</f>
        <v>806.69999999999891</v>
      </c>
      <c r="E151" s="30">
        <f>+E142+E129+E119</f>
        <v>-307.99999999999636</v>
      </c>
      <c r="F151" s="30">
        <f>+F142+F129+F119</f>
        <v>0</v>
      </c>
      <c r="G151" s="30"/>
      <c r="H151" s="30">
        <f>+H142+H129+H119</f>
        <v>0</v>
      </c>
      <c r="I151" s="30">
        <f>+I142+I129+I119</f>
        <v>0</v>
      </c>
      <c r="J151" s="30">
        <f>+J142+J129+J119</f>
        <v>0</v>
      </c>
      <c r="K151" s="30">
        <f>+K142+K129+K119</f>
        <v>806.69999999999891</v>
      </c>
      <c r="L151" s="30">
        <f>+L142+L129+L119</f>
        <v>0</v>
      </c>
      <c r="M151" s="30">
        <f>+M142+M129+M119</f>
        <v>0</v>
      </c>
      <c r="N151" s="30">
        <f>+N142+N129+N119</f>
        <v>0</v>
      </c>
      <c r="O151" s="30">
        <f>+O142+O129+O119</f>
        <v>-307.99999999999636</v>
      </c>
      <c r="P151" s="30">
        <f>+P142+P129+P119</f>
        <v>0</v>
      </c>
      <c r="Q151" s="30">
        <f>+Q142+Q129+Q119</f>
        <v>0</v>
      </c>
      <c r="R151" s="30">
        <f>+R142+R129+R119</f>
        <v>0</v>
      </c>
      <c r="S151" s="30">
        <f>+S142+S129+S119</f>
        <v>0</v>
      </c>
      <c r="T151" s="30">
        <f>+T142+T129+T119</f>
        <v>0</v>
      </c>
      <c r="U151" s="30"/>
      <c r="V151" s="30">
        <f t="shared" si="441"/>
        <v>806.69999999999891</v>
      </c>
      <c r="W151" s="30">
        <f t="shared" si="441"/>
        <v>0</v>
      </c>
      <c r="X151" s="30">
        <f t="shared" si="441"/>
        <v>0</v>
      </c>
      <c r="Y151" s="30">
        <f t="shared" si="441"/>
        <v>0</v>
      </c>
      <c r="Z151" s="30">
        <f t="shared" si="441"/>
        <v>-307.99999999999636</v>
      </c>
      <c r="AA151" s="30">
        <f t="shared" si="441"/>
        <v>0</v>
      </c>
      <c r="AB151" s="30">
        <f t="shared" si="441"/>
        <v>0</v>
      </c>
      <c r="AC151" s="30">
        <f t="shared" si="441"/>
        <v>0</v>
      </c>
      <c r="AD151" s="30">
        <f t="shared" si="441"/>
        <v>0</v>
      </c>
      <c r="AE151" s="137">
        <f>T151</f>
        <v>0</v>
      </c>
      <c r="AF151" s="11"/>
      <c r="AG151" s="42"/>
    </row>
    <row r="152" spans="2:33">
      <c r="B152" s="143" t="s">
        <v>72</v>
      </c>
      <c r="C152" s="111">
        <f t="shared" ref="C152" si="442">SUM(C147:C151)</f>
        <v>2584.8999999999969</v>
      </c>
      <c r="D152" s="111">
        <f t="shared" ref="D152:E152" si="443">SUM(D147:D151)</f>
        <v>3377.399999999996</v>
      </c>
      <c r="E152" s="111">
        <f t="shared" si="443"/>
        <v>3125.8999999999996</v>
      </c>
      <c r="F152" s="111">
        <f t="shared" ref="F152:Q152" si="444">SUM(F147:F151)</f>
        <v>3125.8999999999996</v>
      </c>
      <c r="G152" s="30"/>
      <c r="H152" s="111">
        <f t="shared" si="444"/>
        <v>2584.8999999999969</v>
      </c>
      <c r="I152" s="111">
        <f t="shared" si="444"/>
        <v>2584.8999999999969</v>
      </c>
      <c r="J152" s="111">
        <f t="shared" si="444"/>
        <v>2584.8999999999969</v>
      </c>
      <c r="K152" s="111">
        <f t="shared" si="444"/>
        <v>3377.399999999996</v>
      </c>
      <c r="L152" s="111">
        <f t="shared" si="444"/>
        <v>3377.399999999996</v>
      </c>
      <c r="M152" s="111">
        <f t="shared" si="444"/>
        <v>3377.399999999996</v>
      </c>
      <c r="N152" s="111">
        <f t="shared" si="444"/>
        <v>3377.399999999996</v>
      </c>
      <c r="O152" s="111">
        <f t="shared" si="444"/>
        <v>3125.8999999999996</v>
      </c>
      <c r="P152" s="111">
        <f t="shared" si="444"/>
        <v>3125.8999999999996</v>
      </c>
      <c r="Q152" s="111">
        <f t="shared" si="444"/>
        <v>3125.8999999999996</v>
      </c>
      <c r="R152" s="111">
        <f t="shared" ref="R152:S152" si="445">SUM(R147:R151)</f>
        <v>3125.8999999999996</v>
      </c>
      <c r="S152" s="111">
        <f t="shared" si="445"/>
        <v>3125.8999999999996</v>
      </c>
      <c r="T152" s="111">
        <f t="shared" ref="T152:AE152" si="446">SUM(T147:T151)</f>
        <v>3125.8999999999996</v>
      </c>
      <c r="U152" s="30"/>
      <c r="V152" s="111">
        <f t="shared" si="446"/>
        <v>3377.399999999996</v>
      </c>
      <c r="W152" s="111">
        <f t="shared" si="446"/>
        <v>3377.399999999996</v>
      </c>
      <c r="X152" s="111">
        <f t="shared" si="446"/>
        <v>3377.399999999996</v>
      </c>
      <c r="Y152" s="111">
        <f t="shared" si="446"/>
        <v>3377.399999999996</v>
      </c>
      <c r="Z152" s="111">
        <f t="shared" si="446"/>
        <v>3125.8999999999996</v>
      </c>
      <c r="AA152" s="111">
        <f t="shared" si="446"/>
        <v>3125.8999999999996</v>
      </c>
      <c r="AB152" s="111">
        <f t="shared" si="446"/>
        <v>3125.8999999999996</v>
      </c>
      <c r="AC152" s="111">
        <f t="shared" si="446"/>
        <v>3125.8999999999996</v>
      </c>
      <c r="AD152" s="111">
        <f t="shared" si="446"/>
        <v>3125.8999999999996</v>
      </c>
      <c r="AE152" s="138">
        <f t="shared" si="446"/>
        <v>3125.8999999999996</v>
      </c>
      <c r="AF152" s="11"/>
      <c r="AG152" s="42"/>
    </row>
    <row r="153" spans="2:33" ht="5.0999999999999996" customHeight="1">
      <c r="B153" s="145"/>
      <c r="C153" s="58"/>
      <c r="D153" s="58"/>
      <c r="E153" s="58"/>
      <c r="F153" s="58"/>
      <c r="G153" s="30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V153" s="11"/>
      <c r="W153" s="11"/>
      <c r="X153" s="11"/>
      <c r="Y153" s="11"/>
      <c r="Z153" s="11"/>
      <c r="AA153" s="11"/>
      <c r="AB153" s="11"/>
      <c r="AC153" s="11"/>
      <c r="AD153" s="11"/>
      <c r="AE153" s="139"/>
      <c r="AF153" s="11"/>
      <c r="AG153" s="42"/>
    </row>
    <row r="154" spans="2:33">
      <c r="B154" s="146" t="s">
        <v>60</v>
      </c>
      <c r="C154" s="135">
        <f>C152-C48</f>
        <v>-233.50000000000318</v>
      </c>
      <c r="D154" s="135">
        <f>D152-D48</f>
        <v>-174.100000000004</v>
      </c>
      <c r="E154" s="135">
        <f>E152-E48</f>
        <v>-160.30000000000018</v>
      </c>
      <c r="F154" s="135">
        <f>F152-F48</f>
        <v>3125.8999999999996</v>
      </c>
      <c r="G154" s="136"/>
      <c r="H154" s="135">
        <f>H152-H48</f>
        <v>2584.8999999999969</v>
      </c>
      <c r="I154" s="135">
        <f>I152-I48</f>
        <v>2584.8999999999969</v>
      </c>
      <c r="J154" s="135">
        <f>J152-J48</f>
        <v>2584.8999999999969</v>
      </c>
      <c r="K154" s="135">
        <f>K152-K48</f>
        <v>-174.100000000004</v>
      </c>
      <c r="L154" s="135">
        <f>L152-L48</f>
        <v>3377.399999999996</v>
      </c>
      <c r="M154" s="135">
        <f>M152-M48</f>
        <v>3377.399999999996</v>
      </c>
      <c r="N154" s="135">
        <f>N152-N48</f>
        <v>3377.399999999996</v>
      </c>
      <c r="O154" s="135">
        <f>O152-O48</f>
        <v>-160.30000000000018</v>
      </c>
      <c r="P154" s="135">
        <f>P152-P48</f>
        <v>3125.8999999999996</v>
      </c>
      <c r="Q154" s="135">
        <f>Q152-Q48</f>
        <v>3125.8999999999996</v>
      </c>
      <c r="R154" s="135">
        <f>R152-R48</f>
        <v>3125.8999999999996</v>
      </c>
      <c r="S154" s="135">
        <f>S152-S48</f>
        <v>3125.8999999999996</v>
      </c>
      <c r="T154" s="135">
        <f>T152-T48</f>
        <v>3125.8999999999996</v>
      </c>
      <c r="U154" s="135"/>
      <c r="V154" s="135">
        <f>V152-V48</f>
        <v>-174.100000000004</v>
      </c>
      <c r="W154" s="135">
        <f>W152-W48</f>
        <v>3377.399999999996</v>
      </c>
      <c r="X154" s="135">
        <f>X152-X48</f>
        <v>3377.399999999996</v>
      </c>
      <c r="Y154" s="135">
        <f>Y152-Y48</f>
        <v>3377.399999999996</v>
      </c>
      <c r="Z154" s="135">
        <f>Z152-Z48</f>
        <v>-160.30000000000018</v>
      </c>
      <c r="AA154" s="135">
        <f>AA152-AA48</f>
        <v>3125.8999999999996</v>
      </c>
      <c r="AB154" s="135">
        <f>AB152-AB48</f>
        <v>3125.8999999999996</v>
      </c>
      <c r="AC154" s="135">
        <f>AC152-AC48</f>
        <v>3125.8999999999996</v>
      </c>
      <c r="AD154" s="135">
        <f>AD152-AD48</f>
        <v>3125.8999999999996</v>
      </c>
      <c r="AE154" s="140">
        <f>AE152-AE48</f>
        <v>3125.8999999999996</v>
      </c>
      <c r="AF154" s="11"/>
      <c r="AG154" s="42"/>
    </row>
    <row r="155" spans="2:33" ht="5.0999999999999996" customHeight="1">
      <c r="B155" s="8"/>
      <c r="C155" s="58"/>
      <c r="D155" s="58"/>
      <c r="E155" s="58"/>
      <c r="F155" s="58"/>
      <c r="G155" s="30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42"/>
    </row>
    <row r="156" spans="2:33">
      <c r="B156" s="110" t="s">
        <v>84</v>
      </c>
      <c r="C156" s="58"/>
      <c r="D156" s="58"/>
      <c r="E156" s="58"/>
      <c r="F156" s="58"/>
      <c r="G156" s="30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42"/>
    </row>
    <row r="157" spans="2:33">
      <c r="B157" s="75" t="s">
        <v>87</v>
      </c>
      <c r="C157" s="58"/>
      <c r="D157" s="58"/>
      <c r="E157" s="58"/>
      <c r="F157" s="58"/>
      <c r="G157" s="30"/>
      <c r="H157" s="74"/>
      <c r="I157" s="30"/>
      <c r="J157" s="30"/>
      <c r="K157" s="30">
        <f>SUM(D157-SUM(H157:J157))</f>
        <v>0</v>
      </c>
      <c r="L157" s="74"/>
      <c r="M157" s="30"/>
      <c r="N157" s="30"/>
      <c r="O157" s="30">
        <f>SUM(E157-SUM(L157:N157))</f>
        <v>0</v>
      </c>
      <c r="P157" s="74"/>
      <c r="Q157" s="30"/>
      <c r="R157" s="30"/>
      <c r="S157" s="30">
        <f t="shared" ref="S157:S158" si="447">SUM(F157-SUM(P157:R157))</f>
        <v>0</v>
      </c>
      <c r="T157" s="30"/>
      <c r="V157" s="30">
        <f t="shared" ref="V157:AC158" si="448">SUM(J157:M157)</f>
        <v>0</v>
      </c>
      <c r="W157" s="30">
        <f t="shared" si="448"/>
        <v>0</v>
      </c>
      <c r="X157" s="30">
        <f t="shared" si="448"/>
        <v>0</v>
      </c>
      <c r="Y157" s="30">
        <f t="shared" si="448"/>
        <v>0</v>
      </c>
      <c r="Z157" s="30">
        <f t="shared" si="448"/>
        <v>0</v>
      </c>
      <c r="AA157" s="30">
        <f t="shared" si="448"/>
        <v>0</v>
      </c>
      <c r="AB157" s="30">
        <f t="shared" si="448"/>
        <v>0</v>
      </c>
      <c r="AC157" s="30">
        <f t="shared" si="448"/>
        <v>0</v>
      </c>
      <c r="AD157" s="30">
        <f>SUM(R157:T157)</f>
        <v>0</v>
      </c>
      <c r="AE157" s="30">
        <f>SUM(S157:T157)</f>
        <v>0</v>
      </c>
      <c r="AF157" s="11"/>
      <c r="AG157" s="42"/>
    </row>
    <row r="158" spans="2:33">
      <c r="B158" s="75" t="s">
        <v>86</v>
      </c>
      <c r="C158" s="58"/>
      <c r="D158" s="58"/>
      <c r="E158" s="58"/>
      <c r="F158" s="58"/>
      <c r="G158" s="30"/>
      <c r="H158" s="74"/>
      <c r="I158" s="30"/>
      <c r="J158" s="30"/>
      <c r="K158" s="30">
        <f>SUM(D158-SUM(H158:J158))</f>
        <v>0</v>
      </c>
      <c r="L158" s="74"/>
      <c r="M158" s="30"/>
      <c r="N158" s="30"/>
      <c r="O158" s="30">
        <f>SUM(E158-SUM(L158:N158))</f>
        <v>0</v>
      </c>
      <c r="P158" s="74"/>
      <c r="Q158" s="30"/>
      <c r="R158" s="30"/>
      <c r="S158" s="30">
        <f t="shared" si="447"/>
        <v>0</v>
      </c>
      <c r="T158" s="30"/>
      <c r="V158" s="30">
        <f t="shared" si="448"/>
        <v>0</v>
      </c>
      <c r="W158" s="30">
        <f t="shared" si="448"/>
        <v>0</v>
      </c>
      <c r="X158" s="30">
        <f t="shared" si="448"/>
        <v>0</v>
      </c>
      <c r="Y158" s="30">
        <f t="shared" si="448"/>
        <v>0</v>
      </c>
      <c r="Z158" s="30">
        <f t="shared" si="448"/>
        <v>0</v>
      </c>
      <c r="AA158" s="30">
        <f t="shared" si="448"/>
        <v>0</v>
      </c>
      <c r="AB158" s="30">
        <f t="shared" si="448"/>
        <v>0</v>
      </c>
      <c r="AC158" s="30">
        <f t="shared" si="448"/>
        <v>0</v>
      </c>
      <c r="AD158" s="30">
        <f>SUM(R158:T158)</f>
        <v>0</v>
      </c>
      <c r="AE158" s="30">
        <f>SUM(S158:T158)</f>
        <v>0</v>
      </c>
      <c r="AF158" s="11"/>
      <c r="AG158" s="42"/>
    </row>
    <row r="159" spans="2:33" ht="5.0999999999999996" customHeight="1" thickBot="1">
      <c r="B159" s="64"/>
      <c r="C159" s="65"/>
      <c r="D159" s="65"/>
      <c r="E159" s="65"/>
      <c r="F159" s="65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G159" s="42"/>
    </row>
    <row r="160" spans="2:33" ht="12.75" customHeight="1">
      <c r="C160" s="50"/>
      <c r="D160" s="50"/>
      <c r="E160" s="50"/>
      <c r="F160" s="50"/>
    </row>
    <row r="161" spans="3:20" ht="12.75" customHeight="1">
      <c r="C161" s="50"/>
      <c r="D161" s="50"/>
      <c r="E161" s="50"/>
      <c r="F161" s="50"/>
    </row>
    <row r="162" spans="3:20" ht="12.75" customHeight="1">
      <c r="C162" s="50"/>
      <c r="D162" s="50"/>
      <c r="E162" s="50"/>
      <c r="F162" s="50"/>
    </row>
    <row r="163" spans="3:20" ht="12.75" customHeight="1">
      <c r="C163" s="50"/>
      <c r="D163" s="50"/>
      <c r="E163" s="50"/>
      <c r="F163" s="50"/>
    </row>
    <row r="164" spans="3:20" ht="12.75" customHeight="1">
      <c r="C164" s="50"/>
      <c r="D164" s="50"/>
      <c r="E164" s="50"/>
      <c r="F164" s="50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</row>
    <row r="165" spans="3:20" ht="12.75" customHeight="1">
      <c r="C165" s="50"/>
      <c r="D165" s="50"/>
      <c r="E165" s="50"/>
      <c r="F165" s="50"/>
    </row>
    <row r="166" spans="3:20" ht="12.75" customHeight="1">
      <c r="C166" s="50"/>
      <c r="D166" s="50"/>
      <c r="E166" s="50"/>
      <c r="F166" s="50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</row>
    <row r="167" spans="3:20"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</row>
    <row r="168" spans="3:20"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</row>
    <row r="170" spans="3:20"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</row>
    <row r="171" spans="3:20"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</row>
  </sheetData>
  <mergeCells count="3">
    <mergeCell ref="AG6:AG8"/>
    <mergeCell ref="AG43:AG45"/>
    <mergeCell ref="AG94:AG96"/>
  </mergeCells>
  <pageMargins left="0.7" right="0.7" top="0.75" bottom="0.75" header="0.3" footer="0.3"/>
  <ignoredErrors>
    <ignoredError sqref="AE13 G53" formulaRange="1"/>
    <ignoredError sqref="AG129:AG131 AG119:AG121" evalError="1"/>
    <ignoredError sqref="L100:P10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E36"/>
  <sheetViews>
    <sheetView showGridLines="0" zoomScaleNormal="100" workbookViewId="0">
      <selection activeCell="B22" sqref="B22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6" width="8.625" style="8" bestFit="1" customWidth="1"/>
    <col min="7" max="7" width="1.5" style="8" customWidth="1"/>
    <col min="8" max="9" width="8" style="8" customWidth="1" outlineLevel="1"/>
    <col min="10" max="11" width="8.75" style="8" customWidth="1" outlineLevel="1"/>
    <col min="12" max="12" width="8.5" style="8" customWidth="1" outlineLevel="1"/>
    <col min="13" max="13" width="8.25" style="8" customWidth="1" outlineLevel="1"/>
    <col min="14" max="14" width="8.5" style="8" bestFit="1" customWidth="1"/>
    <col min="15" max="20" width="9.125" style="8" bestFit="1" customWidth="1"/>
    <col min="21" max="21" width="1.5" style="8" customWidth="1"/>
    <col min="22" max="26" width="8.75" style="8" customWidth="1" outlineLevel="1"/>
    <col min="27" max="27" width="8.75" style="8" customWidth="1"/>
    <col min="28" max="30" width="8.75" style="8" customWidth="1" outlineLevel="1"/>
    <col min="31" max="31" width="8.75" style="8" customWidth="1"/>
    <col min="32" max="16384" width="9" style="8"/>
  </cols>
  <sheetData>
    <row r="2" spans="1:31" s="5" customFormat="1" ht="12.75" customHeight="1">
      <c r="B2" s="1" t="str">
        <f>'Historical Financials'!B2</f>
        <v>Starbucks Corp (NASDAQ: SBUX)</v>
      </c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 t="s">
        <v>1</v>
      </c>
      <c r="O2" s="2"/>
      <c r="P2" s="2"/>
      <c r="Q2" s="2"/>
      <c r="R2" s="2"/>
      <c r="S2" s="2"/>
      <c r="T2" s="2"/>
      <c r="U2" s="3"/>
      <c r="V2" s="2"/>
      <c r="W2" s="2"/>
      <c r="X2" s="2"/>
      <c r="Y2" s="2"/>
      <c r="Z2" s="2"/>
      <c r="AA2" s="2" t="s">
        <v>10</v>
      </c>
      <c r="AB2" s="2"/>
      <c r="AC2" s="2"/>
      <c r="AD2" s="2"/>
      <c r="AE2" s="2"/>
    </row>
    <row r="3" spans="1:31" s="5" customFormat="1" ht="12.75" customHeight="1">
      <c r="B3" s="6" t="s">
        <v>67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7">
        <f>'Historical Financials'!F7</f>
        <v>2025</v>
      </c>
      <c r="G3" s="3"/>
      <c r="H3" s="7" t="str">
        <f>'Historical Financials'!H7</f>
        <v>1Q23</v>
      </c>
      <c r="I3" s="7" t="str">
        <f>'Historical Financials'!I7</f>
        <v>2Q23</v>
      </c>
      <c r="J3" s="7" t="str">
        <f>'Historical Financials'!J7</f>
        <v>3Q23</v>
      </c>
      <c r="K3" s="7" t="str">
        <f>'Historical Financials'!K7</f>
        <v>4Q23</v>
      </c>
      <c r="L3" s="7" t="str">
        <f>'Historical Financials'!L7</f>
        <v>1Q24</v>
      </c>
      <c r="M3" s="7" t="str">
        <f>'Historical Financials'!M7</f>
        <v>2Q24</v>
      </c>
      <c r="N3" s="7" t="str">
        <f>'Historical Financials'!N7</f>
        <v>3Q24</v>
      </c>
      <c r="O3" s="7" t="str">
        <f>'Historical Financials'!O7</f>
        <v>4Q24</v>
      </c>
      <c r="P3" s="7" t="str">
        <f>'Historical Financials'!P7</f>
        <v>1Q25</v>
      </c>
      <c r="Q3" s="7" t="str">
        <f>'Historical Financials'!Q7</f>
        <v>2Q25</v>
      </c>
      <c r="R3" s="7" t="str">
        <f>'Historical Financials'!R7</f>
        <v>3Q25</v>
      </c>
      <c r="S3" s="7" t="str">
        <f>'Historical Financials'!S7</f>
        <v>4Q25</v>
      </c>
      <c r="T3" s="7" t="str">
        <f>'Historical Financials'!T7</f>
        <v>1Q26</v>
      </c>
      <c r="U3" s="4"/>
      <c r="V3" s="4" t="str">
        <f t="shared" ref="V3:AE4" si="0">K3</f>
        <v>4Q23</v>
      </c>
      <c r="W3" s="4" t="str">
        <f t="shared" si="0"/>
        <v>1Q24</v>
      </c>
      <c r="X3" s="4" t="str">
        <f t="shared" si="0"/>
        <v>2Q24</v>
      </c>
      <c r="Y3" s="4" t="str">
        <f t="shared" si="0"/>
        <v>3Q24</v>
      </c>
      <c r="Z3" s="4" t="str">
        <f t="shared" si="0"/>
        <v>4Q24</v>
      </c>
      <c r="AA3" s="4" t="str">
        <f t="shared" si="0"/>
        <v>1Q25</v>
      </c>
      <c r="AB3" s="4" t="str">
        <f t="shared" si="0"/>
        <v>2Q25</v>
      </c>
      <c r="AC3" s="4" t="str">
        <f t="shared" si="0"/>
        <v>3Q25</v>
      </c>
      <c r="AD3" s="4" t="str">
        <f t="shared" si="0"/>
        <v>4Q25</v>
      </c>
      <c r="AE3" s="4" t="str">
        <f t="shared" si="0"/>
        <v>1Q26</v>
      </c>
    </row>
    <row r="4" spans="1:31" s="5" customFormat="1" ht="12.75" customHeight="1">
      <c r="B4" s="6" t="s">
        <v>93</v>
      </c>
      <c r="C4" s="3">
        <f>'Historical Financials'!C8</f>
        <v>44836</v>
      </c>
      <c r="D4" s="3">
        <f>'Historical Financials'!D8</f>
        <v>45200</v>
      </c>
      <c r="E4" s="3">
        <f>'Historical Financials'!E8</f>
        <v>45564</v>
      </c>
      <c r="F4" s="3">
        <f>'Historical Financials'!F8</f>
        <v>0</v>
      </c>
      <c r="G4" s="3"/>
      <c r="H4" s="3" t="str">
        <f>'Historical Financials'!H8</f>
        <v>XXX</v>
      </c>
      <c r="I4" s="3" t="str">
        <f>'Historical Financials'!I8</f>
        <v>XXX</v>
      </c>
      <c r="J4" s="3" t="str">
        <f>'Historical Financials'!J8</f>
        <v>XXX</v>
      </c>
      <c r="K4" s="3">
        <f>'Historical Financials'!K8</f>
        <v>45200</v>
      </c>
      <c r="L4" s="3" t="str">
        <f>'Historical Financials'!L8</f>
        <v>XXX</v>
      </c>
      <c r="M4" s="3" t="str">
        <f>'Historical Financials'!M8</f>
        <v>XXX</v>
      </c>
      <c r="N4" s="3" t="str">
        <f>'Historical Financials'!N8</f>
        <v>XXX</v>
      </c>
      <c r="O4" s="3">
        <f>'Historical Financials'!O8</f>
        <v>45564</v>
      </c>
      <c r="P4" s="3" t="str">
        <f>'Historical Financials'!P8</f>
        <v>XXX</v>
      </c>
      <c r="Q4" s="3" t="str">
        <f>'Historical Financials'!Q8</f>
        <v>XXX</v>
      </c>
      <c r="R4" s="3" t="str">
        <f>'Historical Financials'!R8</f>
        <v>XXX</v>
      </c>
      <c r="S4" s="3">
        <f>'Historical Financials'!S8</f>
        <v>0</v>
      </c>
      <c r="T4" s="3" t="str">
        <f>'Historical Financials'!T8</f>
        <v>XXX</v>
      </c>
      <c r="U4" s="3"/>
      <c r="V4" s="3">
        <f t="shared" si="0"/>
        <v>45200</v>
      </c>
      <c r="W4" s="3" t="str">
        <f t="shared" si="0"/>
        <v>XXX</v>
      </c>
      <c r="X4" s="3" t="str">
        <f t="shared" si="0"/>
        <v>XXX</v>
      </c>
      <c r="Y4" s="3" t="str">
        <f t="shared" si="0"/>
        <v>XXX</v>
      </c>
      <c r="Z4" s="3">
        <f t="shared" si="0"/>
        <v>45564</v>
      </c>
      <c r="AA4" s="3" t="str">
        <f t="shared" si="0"/>
        <v>XXX</v>
      </c>
      <c r="AB4" s="3" t="str">
        <f t="shared" si="0"/>
        <v>XXX</v>
      </c>
      <c r="AC4" s="3" t="str">
        <f t="shared" si="0"/>
        <v>XXX</v>
      </c>
      <c r="AD4" s="3">
        <f t="shared" si="0"/>
        <v>0</v>
      </c>
      <c r="AE4" s="3" t="str">
        <f t="shared" si="0"/>
        <v>XXX</v>
      </c>
    </row>
    <row r="5" spans="1:31" ht="5.0999999999999996" customHeight="1"/>
    <row r="6" spans="1:31">
      <c r="A6" s="33" t="s">
        <v>17</v>
      </c>
      <c r="B6" s="1" t="s">
        <v>95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5.0999999999999996" customHeight="1"/>
    <row r="8" spans="1:31" ht="12.75" customHeight="1">
      <c r="A8" s="72" t="s">
        <v>17</v>
      </c>
      <c r="B8" s="70" t="s">
        <v>92</v>
      </c>
      <c r="C8" s="10"/>
      <c r="D8" s="10"/>
      <c r="E8" s="10"/>
      <c r="F8" s="10"/>
      <c r="G8" s="10"/>
      <c r="H8" s="79"/>
      <c r="I8" s="79"/>
      <c r="J8" s="79"/>
      <c r="K8" s="30"/>
      <c r="L8" s="79"/>
      <c r="M8" s="79"/>
      <c r="N8" s="79"/>
      <c r="O8" s="30"/>
      <c r="P8" s="79"/>
      <c r="Q8" s="79"/>
      <c r="R8" s="79"/>
      <c r="S8" s="79"/>
      <c r="T8" s="79"/>
      <c r="U8" s="5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ht="12.75" customHeight="1">
      <c r="A9" s="72"/>
      <c r="B9" s="9" t="s">
        <v>118</v>
      </c>
      <c r="C9" s="73">
        <v>26576.1</v>
      </c>
      <c r="D9" s="73">
        <v>29462.3</v>
      </c>
      <c r="E9" s="73">
        <v>29765.9</v>
      </c>
      <c r="F9" s="73"/>
      <c r="G9" s="10"/>
      <c r="H9" s="73"/>
      <c r="I9" s="73"/>
      <c r="J9" s="73"/>
      <c r="K9" s="30">
        <f>SUM(D9-SUM(H9:J9))</f>
        <v>29462.3</v>
      </c>
      <c r="L9" s="73"/>
      <c r="M9" s="73"/>
      <c r="N9" s="73"/>
      <c r="O9" s="30">
        <f>SUM(E9-SUM(L9:N9))</f>
        <v>29765.9</v>
      </c>
      <c r="P9" s="73"/>
      <c r="Q9" s="73"/>
      <c r="R9" s="73"/>
      <c r="S9" s="30">
        <f>SUM(F9-SUM(P9:R9))</f>
        <v>0</v>
      </c>
      <c r="T9" s="73"/>
      <c r="U9" s="5"/>
      <c r="V9" s="30">
        <f t="shared" ref="V9:AD10" si="1">SUM(H9:K9)</f>
        <v>29462.3</v>
      </c>
      <c r="W9" s="30">
        <f t="shared" si="1"/>
        <v>29462.3</v>
      </c>
      <c r="X9" s="30">
        <f t="shared" si="1"/>
        <v>29462.3</v>
      </c>
      <c r="Y9" s="30">
        <f t="shared" si="1"/>
        <v>29462.3</v>
      </c>
      <c r="Z9" s="30">
        <f t="shared" si="1"/>
        <v>29765.9</v>
      </c>
      <c r="AA9" s="30">
        <f t="shared" si="1"/>
        <v>29765.9</v>
      </c>
      <c r="AB9" s="30">
        <f t="shared" si="1"/>
        <v>29765.9</v>
      </c>
      <c r="AC9" s="30">
        <f t="shared" si="1"/>
        <v>29765.9</v>
      </c>
      <c r="AD9" s="30">
        <f t="shared" si="1"/>
        <v>0</v>
      </c>
      <c r="AE9" s="30">
        <f>SUM(Q9:T9)</f>
        <v>0</v>
      </c>
    </row>
    <row r="10" spans="1:31">
      <c r="B10" s="9" t="s">
        <v>119</v>
      </c>
      <c r="C10" s="73">
        <v>3655.5</v>
      </c>
      <c r="D10" s="73">
        <v>4512.7</v>
      </c>
      <c r="E10" s="73">
        <v>4505.1000000000004</v>
      </c>
      <c r="F10" s="73"/>
      <c r="G10" s="73"/>
      <c r="H10" s="73"/>
      <c r="I10" s="73"/>
      <c r="J10" s="73"/>
      <c r="K10" s="30">
        <f>SUM(D10-SUM(H10:J10))</f>
        <v>4512.7</v>
      </c>
      <c r="L10" s="73"/>
      <c r="M10" s="73"/>
      <c r="N10" s="73"/>
      <c r="O10" s="30">
        <f>SUM(E10-SUM(L10:N10))</f>
        <v>4505.1000000000004</v>
      </c>
      <c r="P10" s="73"/>
      <c r="Q10" s="73"/>
      <c r="R10" s="73"/>
      <c r="S10" s="30">
        <f>SUM(F10-SUM(P10:R10))</f>
        <v>0</v>
      </c>
      <c r="T10" s="73"/>
      <c r="U10" s="5"/>
      <c r="V10" s="30">
        <f t="shared" si="1"/>
        <v>4512.7</v>
      </c>
      <c r="W10" s="30">
        <f t="shared" ref="W10" si="2">SUM(I10:L10)</f>
        <v>4512.7</v>
      </c>
      <c r="X10" s="30">
        <f t="shared" ref="X10" si="3">SUM(J10:M10)</f>
        <v>4512.7</v>
      </c>
      <c r="Y10" s="30">
        <f t="shared" ref="Y10" si="4">SUM(K10:N10)</f>
        <v>4512.7</v>
      </c>
      <c r="Z10" s="30">
        <f t="shared" ref="Z10" si="5">SUM(L10:O10)</f>
        <v>4505.1000000000004</v>
      </c>
      <c r="AA10" s="30">
        <f t="shared" ref="AA10" si="6">SUM(M10:P10)</f>
        <v>4505.1000000000004</v>
      </c>
      <c r="AB10" s="30">
        <f t="shared" ref="AB10" si="7">SUM(N10:Q10)</f>
        <v>4505.1000000000004</v>
      </c>
      <c r="AC10" s="30">
        <f t="shared" ref="AC10" si="8">SUM(O10:R10)</f>
        <v>4505.1000000000004</v>
      </c>
      <c r="AD10" s="30">
        <f t="shared" ref="AD10" si="9">SUM(P10:S10)</f>
        <v>0</v>
      </c>
      <c r="AE10" s="30">
        <f>SUM(Q10:T10)</f>
        <v>0</v>
      </c>
    </row>
    <row r="11" spans="1:31">
      <c r="B11" s="9" t="s">
        <v>120</v>
      </c>
      <c r="C11" s="73">
        <v>2018.7</v>
      </c>
      <c r="D11" s="73">
        <v>2000.6</v>
      </c>
      <c r="E11" s="73">
        <v>1905.2</v>
      </c>
      <c r="F11" s="73"/>
      <c r="G11" s="73"/>
      <c r="H11" s="73"/>
      <c r="I11" s="73"/>
      <c r="J11" s="73"/>
      <c r="K11" s="30">
        <f>SUM(D11-SUM(H11:J11))</f>
        <v>2000.6</v>
      </c>
      <c r="L11" s="73"/>
      <c r="M11" s="73"/>
      <c r="N11" s="73"/>
      <c r="O11" s="30">
        <f>SUM(E11-SUM(L11:N11))</f>
        <v>1905.2</v>
      </c>
      <c r="P11" s="73"/>
      <c r="Q11" s="73"/>
      <c r="R11" s="73"/>
      <c r="S11" s="30">
        <f>SUM(F11-SUM(P11:R11))</f>
        <v>0</v>
      </c>
      <c r="T11" s="73"/>
      <c r="U11" s="5"/>
      <c r="V11" s="30">
        <f t="shared" ref="V11" si="10">SUM(H11:K11)</f>
        <v>2000.6</v>
      </c>
      <c r="W11" s="30">
        <f t="shared" ref="W11" si="11">SUM(I11:L11)</f>
        <v>2000.6</v>
      </c>
      <c r="X11" s="30">
        <f t="shared" ref="X11" si="12">SUM(J11:M11)</f>
        <v>2000.6</v>
      </c>
      <c r="Y11" s="30">
        <f t="shared" ref="Y11" si="13">SUM(K11:N11)</f>
        <v>2000.6</v>
      </c>
      <c r="Z11" s="30">
        <f t="shared" ref="Z11" si="14">SUM(L11:O11)</f>
        <v>1905.2</v>
      </c>
      <c r="AA11" s="30">
        <f t="shared" ref="AA11" si="15">SUM(M11:P11)</f>
        <v>1905.2</v>
      </c>
      <c r="AB11" s="30">
        <f t="shared" ref="AB11" si="16">SUM(N11:Q11)</f>
        <v>1905.2</v>
      </c>
      <c r="AC11" s="30">
        <f t="shared" ref="AC11" si="17">SUM(O11:R11)</f>
        <v>1905.2</v>
      </c>
      <c r="AD11" s="30">
        <f t="shared" ref="AD11" si="18">SUM(P11:S11)</f>
        <v>0</v>
      </c>
      <c r="AE11" s="30">
        <f>SUM(Q11:T11)</f>
        <v>0</v>
      </c>
    </row>
    <row r="12" spans="1:31">
      <c r="B12" s="12" t="s">
        <v>68</v>
      </c>
      <c r="C12" s="13">
        <f>SUM(C9:C11)</f>
        <v>32250.3</v>
      </c>
      <c r="D12" s="13">
        <f>SUM(D9:D11)</f>
        <v>35975.599999999999</v>
      </c>
      <c r="E12" s="13">
        <f>SUM(E9:E11)</f>
        <v>36176.199999999997</v>
      </c>
      <c r="F12" s="13">
        <f>SUM(F9:F11)</f>
        <v>0</v>
      </c>
      <c r="G12" s="11"/>
      <c r="H12" s="13">
        <f t="shared" ref="H12:S12" si="19">SUM(H9:H11)</f>
        <v>0</v>
      </c>
      <c r="I12" s="13">
        <f t="shared" si="19"/>
        <v>0</v>
      </c>
      <c r="J12" s="13">
        <f t="shared" si="19"/>
        <v>0</v>
      </c>
      <c r="K12" s="13">
        <f t="shared" si="19"/>
        <v>35975.599999999999</v>
      </c>
      <c r="L12" s="13">
        <f t="shared" si="19"/>
        <v>0</v>
      </c>
      <c r="M12" s="13">
        <f t="shared" si="19"/>
        <v>0</v>
      </c>
      <c r="N12" s="13">
        <f t="shared" si="19"/>
        <v>0</v>
      </c>
      <c r="O12" s="13">
        <f t="shared" si="19"/>
        <v>36176.199999999997</v>
      </c>
      <c r="P12" s="13">
        <f t="shared" si="19"/>
        <v>0</v>
      </c>
      <c r="Q12" s="13">
        <f t="shared" si="19"/>
        <v>0</v>
      </c>
      <c r="R12" s="13">
        <f t="shared" si="19"/>
        <v>0</v>
      </c>
      <c r="S12" s="13">
        <f t="shared" si="19"/>
        <v>0</v>
      </c>
      <c r="T12" s="13">
        <f t="shared" ref="T12" si="20">SUM(T9:T11)</f>
        <v>0</v>
      </c>
      <c r="U12" s="5"/>
      <c r="V12" s="13">
        <f t="shared" ref="V12:AD12" si="21">SUM(V9:V11)</f>
        <v>35975.599999999999</v>
      </c>
      <c r="W12" s="13">
        <f t="shared" si="21"/>
        <v>35975.599999999999</v>
      </c>
      <c r="X12" s="13">
        <f t="shared" si="21"/>
        <v>35975.599999999999</v>
      </c>
      <c r="Y12" s="13">
        <f t="shared" si="21"/>
        <v>35975.599999999999</v>
      </c>
      <c r="Z12" s="13">
        <f t="shared" si="21"/>
        <v>36176.199999999997</v>
      </c>
      <c r="AA12" s="13">
        <f t="shared" si="21"/>
        <v>36176.199999999997</v>
      </c>
      <c r="AB12" s="13">
        <f t="shared" si="21"/>
        <v>36176.199999999997</v>
      </c>
      <c r="AC12" s="13">
        <f t="shared" si="21"/>
        <v>36176.199999999997</v>
      </c>
      <c r="AD12" s="13">
        <f t="shared" si="21"/>
        <v>0</v>
      </c>
      <c r="AE12" s="13">
        <f>SUM(AE9:AE11)</f>
        <v>0</v>
      </c>
    </row>
    <row r="13" spans="1:31" outlineLevel="1">
      <c r="B13" s="112" t="s">
        <v>60</v>
      </c>
      <c r="C13" s="71">
        <f>+C12-'Historical Financials'!C11</f>
        <v>0</v>
      </c>
      <c r="D13" s="71">
        <f>+D12-'Historical Financials'!D11</f>
        <v>0</v>
      </c>
      <c r="E13" s="71">
        <f>+E12-'Historical Financials'!E11</f>
        <v>0</v>
      </c>
      <c r="F13" s="71">
        <f>+F12-'Historical Financials'!F11</f>
        <v>0</v>
      </c>
      <c r="G13" s="11"/>
      <c r="H13" s="71">
        <f>+H12-'Historical Financials'!H11</f>
        <v>0</v>
      </c>
      <c r="I13" s="71">
        <f>+I12-'Historical Financials'!I11</f>
        <v>0</v>
      </c>
      <c r="J13" s="71">
        <f>+J12-'Historical Financials'!J11</f>
        <v>0</v>
      </c>
      <c r="K13" s="71">
        <f>+K12-'Historical Financials'!K11</f>
        <v>0</v>
      </c>
      <c r="L13" s="71">
        <f>+L12-'Historical Financials'!L11</f>
        <v>0</v>
      </c>
      <c r="M13" s="71">
        <f>+M12-'Historical Financials'!M11</f>
        <v>0</v>
      </c>
      <c r="N13" s="71">
        <f>+N12-'Historical Financials'!N11</f>
        <v>0</v>
      </c>
      <c r="O13" s="71">
        <f>+O12-'Historical Financials'!O11</f>
        <v>0</v>
      </c>
      <c r="P13" s="71">
        <f>+P12-'Historical Financials'!P11</f>
        <v>0</v>
      </c>
      <c r="Q13" s="71">
        <f>+Q12-'Historical Financials'!Q11</f>
        <v>0</v>
      </c>
      <c r="R13" s="71">
        <f>+R12-'Historical Financials'!R11</f>
        <v>0</v>
      </c>
      <c r="S13" s="71">
        <f>+S12-'Historical Financials'!S11</f>
        <v>0</v>
      </c>
      <c r="T13" s="71">
        <f>+T12-'Historical Financials'!T11</f>
        <v>0</v>
      </c>
      <c r="U13" s="71"/>
      <c r="V13" s="71">
        <f>+V12-'Historical Financials'!V11</f>
        <v>0</v>
      </c>
      <c r="W13" s="71">
        <f>+W12-'Historical Financials'!W11</f>
        <v>0</v>
      </c>
      <c r="X13" s="71">
        <f>+X12-'Historical Financials'!X11</f>
        <v>0</v>
      </c>
      <c r="Y13" s="71">
        <f>+Y12-'Historical Financials'!Y11</f>
        <v>0</v>
      </c>
      <c r="Z13" s="71">
        <f>+Z12-'Historical Financials'!Z11</f>
        <v>0</v>
      </c>
      <c r="AA13" s="71">
        <f>+AA12-'Historical Financials'!AA11</f>
        <v>0</v>
      </c>
      <c r="AB13" s="71">
        <f>+AB12-'Historical Financials'!AB11</f>
        <v>0</v>
      </c>
      <c r="AC13" s="71">
        <f>+AC12-'Historical Financials'!AC11</f>
        <v>0</v>
      </c>
      <c r="AD13" s="71">
        <f>+AD12-'Historical Financials'!AD11</f>
        <v>0</v>
      </c>
      <c r="AE13" s="71">
        <f>+AE12-'Historical Financials'!AE11</f>
        <v>0</v>
      </c>
    </row>
    <row r="14" spans="1:31">
      <c r="B14" s="16"/>
      <c r="C14" s="17"/>
      <c r="D14" s="17"/>
      <c r="E14" s="17"/>
      <c r="F14" s="17"/>
      <c r="G14" s="18"/>
      <c r="H14" s="19"/>
      <c r="I14" s="19"/>
      <c r="J14" s="19"/>
      <c r="K14" s="20"/>
      <c r="L14" s="19"/>
      <c r="M14" s="19"/>
      <c r="N14" s="19"/>
      <c r="O14" s="19"/>
      <c r="P14" s="19"/>
      <c r="Q14" s="19"/>
      <c r="R14" s="19"/>
      <c r="S14" s="19"/>
      <c r="T14" s="19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B15" s="113" t="str">
        <f>B9&amp;"(%)"</f>
        <v>Company Operated Stores(%)</v>
      </c>
      <c r="C15" s="125">
        <f>SUM(C9/C$12)</f>
        <v>0.82405745062836622</v>
      </c>
      <c r="D15" s="125">
        <f>SUM(D9/D$12)</f>
        <v>0.81895228988536672</v>
      </c>
      <c r="E15" s="125">
        <f>SUM(E9/E$12)</f>
        <v>0.82280339007413728</v>
      </c>
      <c r="F15" s="125" t="e">
        <f t="shared" ref="F15:F16" si="22">SUM(F9/F$12)</f>
        <v>#DIV/0!</v>
      </c>
      <c r="G15" s="114"/>
      <c r="H15" s="125" t="e">
        <f t="shared" ref="H15:Q16" si="23">SUM(H9/H$12)</f>
        <v>#DIV/0!</v>
      </c>
      <c r="I15" s="125" t="e">
        <f t="shared" si="23"/>
        <v>#DIV/0!</v>
      </c>
      <c r="J15" s="125" t="e">
        <f t="shared" si="23"/>
        <v>#DIV/0!</v>
      </c>
      <c r="K15" s="125">
        <f t="shared" si="23"/>
        <v>0.81895228988536672</v>
      </c>
      <c r="L15" s="125" t="e">
        <f t="shared" si="23"/>
        <v>#DIV/0!</v>
      </c>
      <c r="M15" s="125" t="e">
        <f t="shared" si="23"/>
        <v>#DIV/0!</v>
      </c>
      <c r="N15" s="125" t="e">
        <f t="shared" si="23"/>
        <v>#DIV/0!</v>
      </c>
      <c r="O15" s="125">
        <f t="shared" si="23"/>
        <v>0.82280339007413728</v>
      </c>
      <c r="P15" s="125" t="e">
        <f t="shared" si="23"/>
        <v>#DIV/0!</v>
      </c>
      <c r="Q15" s="125" t="e">
        <f t="shared" si="23"/>
        <v>#DIV/0!</v>
      </c>
      <c r="R15" s="125" t="e">
        <f t="shared" ref="R15:S16" si="24">SUM(R9/R$12)</f>
        <v>#DIV/0!</v>
      </c>
      <c r="S15" s="125" t="e">
        <f t="shared" si="24"/>
        <v>#DIV/0!</v>
      </c>
      <c r="T15" s="125" t="e">
        <f t="shared" ref="T15:T16" si="25">SUM(T9/T$12)</f>
        <v>#DIV/0!</v>
      </c>
      <c r="U15" s="114"/>
      <c r="V15" s="115" t="e">
        <f t="shared" ref="V15:AE17" si="26">I15</f>
        <v>#DIV/0!</v>
      </c>
      <c r="W15" s="115" t="e">
        <f t="shared" si="26"/>
        <v>#DIV/0!</v>
      </c>
      <c r="X15" s="115">
        <f t="shared" si="26"/>
        <v>0.81895228988536672</v>
      </c>
      <c r="Y15" s="115" t="e">
        <f t="shared" si="26"/>
        <v>#DIV/0!</v>
      </c>
      <c r="Z15" s="115" t="e">
        <f t="shared" si="26"/>
        <v>#DIV/0!</v>
      </c>
      <c r="AA15" s="115" t="e">
        <f t="shared" si="26"/>
        <v>#DIV/0!</v>
      </c>
      <c r="AB15" s="115">
        <f t="shared" si="26"/>
        <v>0.82280339007413728</v>
      </c>
      <c r="AC15" s="115" t="e">
        <f t="shared" si="26"/>
        <v>#DIV/0!</v>
      </c>
      <c r="AD15" s="115" t="e">
        <f t="shared" si="26"/>
        <v>#DIV/0!</v>
      </c>
      <c r="AE15" s="116" t="e">
        <f t="shared" si="26"/>
        <v>#DIV/0!</v>
      </c>
    </row>
    <row r="16" spans="1:31">
      <c r="B16" s="117" t="str">
        <f>B10&amp;"(%)"</f>
        <v>Licensed Stores(%)</v>
      </c>
      <c r="C16" s="127">
        <f>SUM(C10/C$12)</f>
        <v>0.11334778281132268</v>
      </c>
      <c r="D16" s="127">
        <f>SUM(D10/D$12)</f>
        <v>0.12543779672889402</v>
      </c>
      <c r="E16" s="127">
        <f>SUM(E10/E$12)</f>
        <v>0.12453215097218616</v>
      </c>
      <c r="F16" s="127" t="e">
        <f t="shared" si="22"/>
        <v>#DIV/0!</v>
      </c>
      <c r="G16" s="118"/>
      <c r="H16" s="127" t="e">
        <f t="shared" si="23"/>
        <v>#DIV/0!</v>
      </c>
      <c r="I16" s="127" t="e">
        <f t="shared" si="23"/>
        <v>#DIV/0!</v>
      </c>
      <c r="J16" s="127" t="e">
        <f t="shared" si="23"/>
        <v>#DIV/0!</v>
      </c>
      <c r="K16" s="127">
        <f t="shared" si="23"/>
        <v>0.12543779672889402</v>
      </c>
      <c r="L16" s="127" t="e">
        <f t="shared" si="23"/>
        <v>#DIV/0!</v>
      </c>
      <c r="M16" s="127" t="e">
        <f t="shared" si="23"/>
        <v>#DIV/0!</v>
      </c>
      <c r="N16" s="127" t="e">
        <f t="shared" si="23"/>
        <v>#DIV/0!</v>
      </c>
      <c r="O16" s="127">
        <f t="shared" si="23"/>
        <v>0.12453215097218616</v>
      </c>
      <c r="P16" s="127" t="e">
        <f t="shared" si="23"/>
        <v>#DIV/0!</v>
      </c>
      <c r="Q16" s="127" t="e">
        <f t="shared" si="23"/>
        <v>#DIV/0!</v>
      </c>
      <c r="R16" s="127" t="e">
        <f t="shared" si="24"/>
        <v>#DIV/0!</v>
      </c>
      <c r="S16" s="127" t="e">
        <f t="shared" si="24"/>
        <v>#DIV/0!</v>
      </c>
      <c r="T16" s="127" t="e">
        <f t="shared" si="25"/>
        <v>#DIV/0!</v>
      </c>
      <c r="U16" s="118"/>
      <c r="V16" s="119" t="e">
        <f t="shared" ref="V16" si="27">I16</f>
        <v>#DIV/0!</v>
      </c>
      <c r="W16" s="119" t="e">
        <f t="shared" ref="W16" si="28">J16</f>
        <v>#DIV/0!</v>
      </c>
      <c r="X16" s="119">
        <f t="shared" ref="X16" si="29">K16</f>
        <v>0.12543779672889402</v>
      </c>
      <c r="Y16" s="119" t="e">
        <f t="shared" ref="Y16" si="30">L16</f>
        <v>#DIV/0!</v>
      </c>
      <c r="Z16" s="119" t="e">
        <f t="shared" ref="Z16" si="31">M16</f>
        <v>#DIV/0!</v>
      </c>
      <c r="AA16" s="119" t="e">
        <f t="shared" ref="AA16" si="32">N16</f>
        <v>#DIV/0!</v>
      </c>
      <c r="AB16" s="119">
        <f t="shared" ref="AB16" si="33">O16</f>
        <v>0.12453215097218616</v>
      </c>
      <c r="AC16" s="119" t="e">
        <f t="shared" ref="AC16" si="34">P16</f>
        <v>#DIV/0!</v>
      </c>
      <c r="AD16" s="119" t="e">
        <f t="shared" ref="AD16" si="35">Q16</f>
        <v>#DIV/0!</v>
      </c>
      <c r="AE16" s="120" t="e">
        <f t="shared" ref="AE16" si="36">R16</f>
        <v>#DIV/0!</v>
      </c>
    </row>
    <row r="17" spans="1:31" ht="12.75" customHeight="1">
      <c r="B17" s="121" t="str">
        <f>B11&amp;"(%)"</f>
        <v>Other(%)</v>
      </c>
      <c r="C17" s="126">
        <f>SUM(C11/C$12)</f>
        <v>6.2594766560311071E-2</v>
      </c>
      <c r="D17" s="126">
        <f>SUM(D11/D$12)</f>
        <v>5.5609913385739222E-2</v>
      </c>
      <c r="E17" s="126">
        <f>SUM(E11/E$12)</f>
        <v>5.2664458953676732E-2</v>
      </c>
      <c r="F17" s="126" t="e">
        <f t="shared" ref="F17" si="37">SUM(F11/F$12)</f>
        <v>#DIV/0!</v>
      </c>
      <c r="G17" s="122"/>
      <c r="H17" s="126" t="e">
        <f t="shared" ref="H17:Q17" si="38">SUM(H11/H$12)</f>
        <v>#DIV/0!</v>
      </c>
      <c r="I17" s="126" t="e">
        <f t="shared" si="38"/>
        <v>#DIV/0!</v>
      </c>
      <c r="J17" s="126" t="e">
        <f t="shared" si="38"/>
        <v>#DIV/0!</v>
      </c>
      <c r="K17" s="126">
        <f t="shared" si="38"/>
        <v>5.5609913385739222E-2</v>
      </c>
      <c r="L17" s="126" t="e">
        <f t="shared" si="38"/>
        <v>#DIV/0!</v>
      </c>
      <c r="M17" s="126" t="e">
        <f t="shared" si="38"/>
        <v>#DIV/0!</v>
      </c>
      <c r="N17" s="126" t="e">
        <f t="shared" si="38"/>
        <v>#DIV/0!</v>
      </c>
      <c r="O17" s="126">
        <f t="shared" si="38"/>
        <v>5.2664458953676732E-2</v>
      </c>
      <c r="P17" s="126" t="e">
        <f t="shared" si="38"/>
        <v>#DIV/0!</v>
      </c>
      <c r="Q17" s="126" t="e">
        <f t="shared" si="38"/>
        <v>#DIV/0!</v>
      </c>
      <c r="R17" s="126" t="e">
        <f t="shared" ref="R17:S17" si="39">SUM(R11/R$12)</f>
        <v>#DIV/0!</v>
      </c>
      <c r="S17" s="126" t="e">
        <f t="shared" si="39"/>
        <v>#DIV/0!</v>
      </c>
      <c r="T17" s="126" t="e">
        <f t="shared" ref="T17" si="40">SUM(T11/T$12)</f>
        <v>#DIV/0!</v>
      </c>
      <c r="U17" s="122"/>
      <c r="V17" s="123" t="e">
        <f t="shared" si="26"/>
        <v>#DIV/0!</v>
      </c>
      <c r="W17" s="123" t="e">
        <f t="shared" si="26"/>
        <v>#DIV/0!</v>
      </c>
      <c r="X17" s="123">
        <f t="shared" si="26"/>
        <v>5.5609913385739222E-2</v>
      </c>
      <c r="Y17" s="123" t="e">
        <f t="shared" si="26"/>
        <v>#DIV/0!</v>
      </c>
      <c r="Z17" s="123" t="e">
        <f t="shared" si="26"/>
        <v>#DIV/0!</v>
      </c>
      <c r="AA17" s="123" t="e">
        <f t="shared" si="26"/>
        <v>#DIV/0!</v>
      </c>
      <c r="AB17" s="123">
        <f t="shared" si="26"/>
        <v>5.2664458953676732E-2</v>
      </c>
      <c r="AC17" s="123" t="e">
        <f t="shared" si="26"/>
        <v>#DIV/0!</v>
      </c>
      <c r="AD17" s="123" t="e">
        <f t="shared" si="26"/>
        <v>#DIV/0!</v>
      </c>
      <c r="AE17" s="124" t="e">
        <f t="shared" si="26"/>
        <v>#DIV/0!</v>
      </c>
    </row>
    <row r="18" spans="1:31">
      <c r="B18" s="16"/>
      <c r="C18" s="17"/>
      <c r="D18" s="17"/>
      <c r="E18" s="17"/>
      <c r="F18" s="17"/>
      <c r="G18" s="18"/>
      <c r="H18" s="19"/>
      <c r="I18" s="19"/>
      <c r="J18" s="19"/>
      <c r="K18" s="20"/>
      <c r="L18" s="19"/>
      <c r="M18" s="19"/>
      <c r="N18" s="19"/>
      <c r="O18" s="19"/>
      <c r="P18" s="19"/>
      <c r="Q18" s="19"/>
      <c r="R18" s="19"/>
      <c r="S18" s="19"/>
      <c r="T18" s="19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33" t="s">
        <v>17</v>
      </c>
      <c r="B19" s="1" t="s">
        <v>96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1" spans="1:31" ht="12.75" customHeight="1">
      <c r="A21" s="72" t="s">
        <v>17</v>
      </c>
      <c r="B21" s="70" t="s">
        <v>112</v>
      </c>
      <c r="C21" s="10"/>
      <c r="D21" s="10"/>
      <c r="E21" s="10"/>
      <c r="F21" s="10"/>
      <c r="G21" s="10"/>
      <c r="H21" s="79"/>
      <c r="I21" s="79"/>
      <c r="J21" s="79"/>
      <c r="K21" s="30"/>
      <c r="L21" s="79"/>
      <c r="M21" s="79"/>
      <c r="N21" s="79"/>
      <c r="O21" s="30"/>
      <c r="P21" s="79"/>
      <c r="Q21" s="79"/>
      <c r="R21" s="79"/>
      <c r="S21" s="79"/>
      <c r="T21" s="79"/>
      <c r="U21" s="5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spans="1:31" ht="12.75" customHeight="1">
      <c r="A22" s="72"/>
      <c r="B22" s="9" t="s">
        <v>110</v>
      </c>
      <c r="C22" s="73"/>
      <c r="D22" s="73"/>
      <c r="E22" s="73"/>
      <c r="F22" s="73"/>
      <c r="G22" s="10"/>
      <c r="H22" s="73"/>
      <c r="I22" s="73"/>
      <c r="J22" s="73"/>
      <c r="K22" s="30">
        <f t="shared" ref="K22:K27" si="41">SUM(D22-SUM(H22:J22))</f>
        <v>0</v>
      </c>
      <c r="L22" s="73"/>
      <c r="M22" s="73"/>
      <c r="N22" s="73"/>
      <c r="O22" s="30">
        <f t="shared" ref="O22:O27" si="42">SUM(E22-SUM(L22:N22))</f>
        <v>0</v>
      </c>
      <c r="P22" s="73"/>
      <c r="Q22" s="73"/>
      <c r="R22" s="73"/>
      <c r="S22" s="30">
        <f t="shared" ref="S22:S27" si="43">SUM(F22-SUM(P22:R22))</f>
        <v>0</v>
      </c>
      <c r="T22" s="73"/>
      <c r="U22" s="5"/>
      <c r="V22" s="30">
        <f t="shared" ref="V22:V25" si="44">SUM(H22:K22)</f>
        <v>0</v>
      </c>
      <c r="W22" s="30">
        <f t="shared" ref="W22:W25" si="45">SUM(I22:L22)</f>
        <v>0</v>
      </c>
      <c r="X22" s="30">
        <f t="shared" ref="X22:X25" si="46">SUM(J22:M22)</f>
        <v>0</v>
      </c>
      <c r="Y22" s="30">
        <f t="shared" ref="Y22:Y25" si="47">SUM(K22:N22)</f>
        <v>0</v>
      </c>
      <c r="Z22" s="30">
        <f t="shared" ref="Z22:Z25" si="48">SUM(L22:O22)</f>
        <v>0</v>
      </c>
      <c r="AA22" s="30">
        <f t="shared" ref="AA22:AA25" si="49">SUM(M22:P22)</f>
        <v>0</v>
      </c>
      <c r="AB22" s="30">
        <f t="shared" ref="AB22:AB25" si="50">SUM(N22:Q22)</f>
        <v>0</v>
      </c>
      <c r="AC22" s="30">
        <f t="shared" ref="AC22:AC25" si="51">SUM(O22:R22)</f>
        <v>0</v>
      </c>
      <c r="AD22" s="30">
        <f t="shared" ref="AD22:AD25" si="52">SUM(P22:S22)</f>
        <v>0</v>
      </c>
      <c r="AE22" s="30">
        <f t="shared" ref="AE22:AE25" si="53">SUM(Q22:T22)</f>
        <v>0</v>
      </c>
    </row>
    <row r="23" spans="1:31" ht="12.75" customHeight="1">
      <c r="A23" s="72"/>
      <c r="B23" s="9" t="s">
        <v>110</v>
      </c>
      <c r="C23" s="73"/>
      <c r="D23" s="73"/>
      <c r="E23" s="73"/>
      <c r="F23" s="73"/>
      <c r="G23" s="10"/>
      <c r="H23" s="73"/>
      <c r="I23" s="73"/>
      <c r="J23" s="73"/>
      <c r="K23" s="30">
        <f t="shared" si="41"/>
        <v>0</v>
      </c>
      <c r="L23" s="73"/>
      <c r="M23" s="73"/>
      <c r="N23" s="73"/>
      <c r="O23" s="30">
        <f t="shared" si="42"/>
        <v>0</v>
      </c>
      <c r="P23" s="73"/>
      <c r="Q23" s="73"/>
      <c r="R23" s="73"/>
      <c r="S23" s="30">
        <f t="shared" si="43"/>
        <v>0</v>
      </c>
      <c r="T23" s="73"/>
      <c r="U23" s="5"/>
      <c r="V23" s="30">
        <f t="shared" si="44"/>
        <v>0</v>
      </c>
      <c r="W23" s="30">
        <f t="shared" si="45"/>
        <v>0</v>
      </c>
      <c r="X23" s="30">
        <f t="shared" si="46"/>
        <v>0</v>
      </c>
      <c r="Y23" s="30">
        <f t="shared" si="47"/>
        <v>0</v>
      </c>
      <c r="Z23" s="30">
        <f t="shared" si="48"/>
        <v>0</v>
      </c>
      <c r="AA23" s="30">
        <f t="shared" si="49"/>
        <v>0</v>
      </c>
      <c r="AB23" s="30">
        <f t="shared" si="50"/>
        <v>0</v>
      </c>
      <c r="AC23" s="30">
        <f t="shared" si="51"/>
        <v>0</v>
      </c>
      <c r="AD23" s="30">
        <f t="shared" si="52"/>
        <v>0</v>
      </c>
      <c r="AE23" s="30">
        <f t="shared" si="53"/>
        <v>0</v>
      </c>
    </row>
    <row r="24" spans="1:31" ht="12.75" customHeight="1">
      <c r="A24" s="72"/>
      <c r="B24" s="9" t="s">
        <v>110</v>
      </c>
      <c r="C24" s="73"/>
      <c r="D24" s="73"/>
      <c r="E24" s="73"/>
      <c r="F24" s="73"/>
      <c r="G24" s="10"/>
      <c r="H24" s="73"/>
      <c r="I24" s="73"/>
      <c r="J24" s="73"/>
      <c r="K24" s="30">
        <f t="shared" si="41"/>
        <v>0</v>
      </c>
      <c r="L24" s="73"/>
      <c r="M24" s="73"/>
      <c r="N24" s="73"/>
      <c r="O24" s="30">
        <f t="shared" si="42"/>
        <v>0</v>
      </c>
      <c r="P24" s="73"/>
      <c r="Q24" s="73"/>
      <c r="R24" s="73"/>
      <c r="S24" s="30">
        <f t="shared" si="43"/>
        <v>0</v>
      </c>
      <c r="T24" s="73"/>
      <c r="U24" s="5"/>
      <c r="V24" s="30">
        <f t="shared" si="44"/>
        <v>0</v>
      </c>
      <c r="W24" s="30">
        <f t="shared" si="45"/>
        <v>0</v>
      </c>
      <c r="X24" s="30">
        <f t="shared" si="46"/>
        <v>0</v>
      </c>
      <c r="Y24" s="30">
        <f t="shared" si="47"/>
        <v>0</v>
      </c>
      <c r="Z24" s="30">
        <f t="shared" si="48"/>
        <v>0</v>
      </c>
      <c r="AA24" s="30">
        <f t="shared" si="49"/>
        <v>0</v>
      </c>
      <c r="AB24" s="30">
        <f t="shared" si="50"/>
        <v>0</v>
      </c>
      <c r="AC24" s="30">
        <f t="shared" si="51"/>
        <v>0</v>
      </c>
      <c r="AD24" s="30">
        <f t="shared" si="52"/>
        <v>0</v>
      </c>
      <c r="AE24" s="30">
        <f t="shared" si="53"/>
        <v>0</v>
      </c>
    </row>
    <row r="25" spans="1:31">
      <c r="A25" s="72"/>
      <c r="B25" s="9" t="s">
        <v>110</v>
      </c>
      <c r="C25" s="73"/>
      <c r="D25" s="73"/>
      <c r="E25" s="73"/>
      <c r="F25" s="73"/>
      <c r="G25" s="10"/>
      <c r="H25" s="73"/>
      <c r="I25" s="73"/>
      <c r="J25" s="73"/>
      <c r="K25" s="30">
        <f t="shared" si="41"/>
        <v>0</v>
      </c>
      <c r="L25" s="73"/>
      <c r="M25" s="73"/>
      <c r="N25" s="73"/>
      <c r="O25" s="30">
        <f t="shared" si="42"/>
        <v>0</v>
      </c>
      <c r="P25" s="73"/>
      <c r="Q25" s="73"/>
      <c r="R25" s="73"/>
      <c r="S25" s="30">
        <f t="shared" si="43"/>
        <v>0</v>
      </c>
      <c r="T25" s="73"/>
      <c r="U25" s="5"/>
      <c r="V25" s="30">
        <f t="shared" si="44"/>
        <v>0</v>
      </c>
      <c r="W25" s="30">
        <f t="shared" si="45"/>
        <v>0</v>
      </c>
      <c r="X25" s="30">
        <f t="shared" si="46"/>
        <v>0</v>
      </c>
      <c r="Y25" s="30">
        <f t="shared" si="47"/>
        <v>0</v>
      </c>
      <c r="Z25" s="30">
        <f t="shared" si="48"/>
        <v>0</v>
      </c>
      <c r="AA25" s="30">
        <f t="shared" si="49"/>
        <v>0</v>
      </c>
      <c r="AB25" s="30">
        <f t="shared" si="50"/>
        <v>0</v>
      </c>
      <c r="AC25" s="30">
        <f t="shared" si="51"/>
        <v>0</v>
      </c>
      <c r="AD25" s="30">
        <f t="shared" si="52"/>
        <v>0</v>
      </c>
      <c r="AE25" s="30">
        <f t="shared" si="53"/>
        <v>0</v>
      </c>
    </row>
    <row r="26" spans="1:31">
      <c r="A26" s="72"/>
      <c r="B26" s="9" t="s">
        <v>110</v>
      </c>
      <c r="C26" s="73"/>
      <c r="D26" s="73"/>
      <c r="E26" s="73"/>
      <c r="F26" s="73"/>
      <c r="G26" s="10"/>
      <c r="H26" s="73"/>
      <c r="I26" s="73"/>
      <c r="J26" s="73"/>
      <c r="K26" s="30">
        <f t="shared" si="41"/>
        <v>0</v>
      </c>
      <c r="L26" s="73"/>
      <c r="M26" s="73"/>
      <c r="N26" s="73"/>
      <c r="O26" s="30">
        <f t="shared" si="42"/>
        <v>0</v>
      </c>
      <c r="P26" s="73"/>
      <c r="Q26" s="73"/>
      <c r="R26" s="73"/>
      <c r="S26" s="30">
        <f t="shared" si="43"/>
        <v>0</v>
      </c>
      <c r="T26" s="73"/>
      <c r="U26" s="5"/>
      <c r="V26" s="30">
        <f t="shared" ref="V26:V27" si="54">SUM(H26:K26)</f>
        <v>0</v>
      </c>
      <c r="W26" s="30">
        <f t="shared" ref="W26:W27" si="55">SUM(I26:L26)</f>
        <v>0</v>
      </c>
      <c r="X26" s="30">
        <f t="shared" ref="X26:X27" si="56">SUM(J26:M26)</f>
        <v>0</v>
      </c>
      <c r="Y26" s="30">
        <f t="shared" ref="Y26:Y27" si="57">SUM(K26:N26)</f>
        <v>0</v>
      </c>
      <c r="Z26" s="30">
        <f t="shared" ref="Z26:Z27" si="58">SUM(L26:O26)</f>
        <v>0</v>
      </c>
      <c r="AA26" s="30">
        <f t="shared" ref="AA26:AA27" si="59">SUM(M26:P26)</f>
        <v>0</v>
      </c>
      <c r="AB26" s="30">
        <f t="shared" ref="AB26:AB27" si="60">SUM(N26:Q26)</f>
        <v>0</v>
      </c>
      <c r="AC26" s="30">
        <f t="shared" ref="AC26:AC27" si="61">SUM(O26:R26)</f>
        <v>0</v>
      </c>
      <c r="AD26" s="30">
        <f t="shared" ref="AD26:AD27" si="62">SUM(P26:S26)</f>
        <v>0</v>
      </c>
      <c r="AE26" s="30">
        <f t="shared" ref="AE26:AE27" si="63">SUM(Q26:T26)</f>
        <v>0</v>
      </c>
    </row>
    <row r="27" spans="1:31">
      <c r="A27" s="72"/>
      <c r="B27" s="9" t="s">
        <v>110</v>
      </c>
      <c r="C27" s="73"/>
      <c r="D27" s="73"/>
      <c r="E27" s="73"/>
      <c r="F27" s="73"/>
      <c r="G27" s="10"/>
      <c r="H27" s="73"/>
      <c r="I27" s="73"/>
      <c r="J27" s="73"/>
      <c r="K27" s="30">
        <f t="shared" si="41"/>
        <v>0</v>
      </c>
      <c r="L27" s="73"/>
      <c r="M27" s="73"/>
      <c r="N27" s="73"/>
      <c r="O27" s="30">
        <f t="shared" si="42"/>
        <v>0</v>
      </c>
      <c r="P27" s="73"/>
      <c r="Q27" s="73"/>
      <c r="R27" s="73"/>
      <c r="S27" s="30">
        <f t="shared" si="43"/>
        <v>0</v>
      </c>
      <c r="T27" s="73"/>
      <c r="U27" s="5"/>
      <c r="V27" s="30">
        <f t="shared" si="54"/>
        <v>0</v>
      </c>
      <c r="W27" s="30">
        <f t="shared" si="55"/>
        <v>0</v>
      </c>
      <c r="X27" s="30">
        <f t="shared" si="56"/>
        <v>0</v>
      </c>
      <c r="Y27" s="30">
        <f t="shared" si="57"/>
        <v>0</v>
      </c>
      <c r="Z27" s="30">
        <f t="shared" si="58"/>
        <v>0</v>
      </c>
      <c r="AA27" s="30">
        <f t="shared" si="59"/>
        <v>0</v>
      </c>
      <c r="AB27" s="30">
        <f t="shared" si="60"/>
        <v>0</v>
      </c>
      <c r="AC27" s="30">
        <f t="shared" si="61"/>
        <v>0</v>
      </c>
      <c r="AD27" s="30">
        <f t="shared" si="62"/>
        <v>0</v>
      </c>
      <c r="AE27" s="30">
        <f t="shared" si="63"/>
        <v>0</v>
      </c>
    </row>
    <row r="28" spans="1:31">
      <c r="B28" s="12" t="s">
        <v>12</v>
      </c>
      <c r="C28" s="13">
        <f t="shared" ref="C28" si="64">SUM(C22:C27)</f>
        <v>0</v>
      </c>
      <c r="D28" s="13">
        <f t="shared" ref="D28:F28" si="65">SUM(D22:D27)</f>
        <v>0</v>
      </c>
      <c r="E28" s="13">
        <f t="shared" si="65"/>
        <v>0</v>
      </c>
      <c r="F28" s="13">
        <f t="shared" si="65"/>
        <v>0</v>
      </c>
      <c r="G28" s="11"/>
      <c r="H28" s="13">
        <f t="shared" ref="H28:T28" si="66">SUM(H22:H27)</f>
        <v>0</v>
      </c>
      <c r="I28" s="13">
        <f t="shared" si="66"/>
        <v>0</v>
      </c>
      <c r="J28" s="13">
        <f t="shared" si="66"/>
        <v>0</v>
      </c>
      <c r="K28" s="13">
        <f t="shared" si="66"/>
        <v>0</v>
      </c>
      <c r="L28" s="13">
        <f t="shared" si="66"/>
        <v>0</v>
      </c>
      <c r="M28" s="13">
        <f t="shared" si="66"/>
        <v>0</v>
      </c>
      <c r="N28" s="13">
        <f t="shared" si="66"/>
        <v>0</v>
      </c>
      <c r="O28" s="13">
        <f t="shared" si="66"/>
        <v>0</v>
      </c>
      <c r="P28" s="13">
        <f t="shared" si="66"/>
        <v>0</v>
      </c>
      <c r="Q28" s="13">
        <f t="shared" si="66"/>
        <v>0</v>
      </c>
      <c r="R28" s="13">
        <f t="shared" si="66"/>
        <v>0</v>
      </c>
      <c r="S28" s="13">
        <f t="shared" si="66"/>
        <v>0</v>
      </c>
      <c r="T28" s="13">
        <f t="shared" si="66"/>
        <v>0</v>
      </c>
      <c r="U28" s="5"/>
      <c r="V28" s="13">
        <f t="shared" ref="V28:AE28" si="67">SUM(V22:V27)</f>
        <v>0</v>
      </c>
      <c r="W28" s="13">
        <f t="shared" si="67"/>
        <v>0</v>
      </c>
      <c r="X28" s="13">
        <f t="shared" si="67"/>
        <v>0</v>
      </c>
      <c r="Y28" s="13">
        <f t="shared" si="67"/>
        <v>0</v>
      </c>
      <c r="Z28" s="13">
        <f t="shared" si="67"/>
        <v>0</v>
      </c>
      <c r="AA28" s="13">
        <f t="shared" si="67"/>
        <v>0</v>
      </c>
      <c r="AB28" s="13">
        <f t="shared" si="67"/>
        <v>0</v>
      </c>
      <c r="AC28" s="13">
        <f t="shared" si="67"/>
        <v>0</v>
      </c>
      <c r="AD28" s="13">
        <f t="shared" si="67"/>
        <v>0</v>
      </c>
      <c r="AE28" s="13">
        <f t="shared" si="67"/>
        <v>0</v>
      </c>
    </row>
    <row r="29" spans="1:31" outlineLevel="1">
      <c r="B29" s="112" t="s">
        <v>60</v>
      </c>
      <c r="C29" s="71">
        <f>+C28-C12</f>
        <v>-32250.3</v>
      </c>
      <c r="D29" s="71">
        <f>+D28-D12</f>
        <v>-35975.599999999999</v>
      </c>
      <c r="E29" s="71">
        <f>+E28-E12</f>
        <v>-36176.199999999997</v>
      </c>
      <c r="F29" s="71">
        <f>+F28-F12</f>
        <v>0</v>
      </c>
      <c r="G29" s="11"/>
      <c r="H29" s="71">
        <f t="shared" ref="H29" si="68">+H28-H12</f>
        <v>0</v>
      </c>
      <c r="I29" s="71">
        <f t="shared" ref="I29" si="69">+I28-I12</f>
        <v>0</v>
      </c>
      <c r="J29" s="71">
        <f t="shared" ref="J29" si="70">+J28-J12</f>
        <v>0</v>
      </c>
      <c r="K29" s="71">
        <f t="shared" ref="K29" si="71">+K28-K12</f>
        <v>-35975.599999999999</v>
      </c>
      <c r="L29" s="71">
        <f t="shared" ref="L29" si="72">+L28-L12</f>
        <v>0</v>
      </c>
      <c r="M29" s="71">
        <f t="shared" ref="M29" si="73">+M28-M12</f>
        <v>0</v>
      </c>
      <c r="N29" s="71">
        <f t="shared" ref="N29" si="74">+N28-N12</f>
        <v>0</v>
      </c>
      <c r="O29" s="71">
        <f t="shared" ref="O29" si="75">+O28-O12</f>
        <v>-36176.199999999997</v>
      </c>
      <c r="P29" s="71">
        <f t="shared" ref="P29" si="76">+P28-P12</f>
        <v>0</v>
      </c>
      <c r="Q29" s="71">
        <f t="shared" ref="Q29" si="77">+Q28-Q12</f>
        <v>0</v>
      </c>
      <c r="R29" s="71">
        <f t="shared" ref="R29" si="78">+R28-R12</f>
        <v>0</v>
      </c>
      <c r="S29" s="71">
        <f t="shared" ref="S29" si="79">+S28-S12</f>
        <v>0</v>
      </c>
      <c r="T29" s="71">
        <f t="shared" ref="T29" si="80">+T28-T12</f>
        <v>0</v>
      </c>
      <c r="U29" s="5"/>
      <c r="V29" s="71">
        <f t="shared" ref="V29" si="81">+V28-V12</f>
        <v>-35975.599999999999</v>
      </c>
      <c r="W29" s="71">
        <f t="shared" ref="W29" si="82">+W28-W12</f>
        <v>-35975.599999999999</v>
      </c>
      <c r="X29" s="71">
        <f t="shared" ref="X29" si="83">+X28-X12</f>
        <v>-35975.599999999999</v>
      </c>
      <c r="Y29" s="71">
        <f t="shared" ref="Y29" si="84">+Y28-Y12</f>
        <v>-35975.599999999999</v>
      </c>
      <c r="Z29" s="71">
        <f t="shared" ref="Z29" si="85">+Z28-Z12</f>
        <v>-36176.199999999997</v>
      </c>
      <c r="AA29" s="71">
        <f t="shared" ref="AA29" si="86">+AA28-AA12</f>
        <v>-36176.199999999997</v>
      </c>
      <c r="AB29" s="71">
        <f t="shared" ref="AB29" si="87">+AB28-AB12</f>
        <v>-36176.199999999997</v>
      </c>
      <c r="AC29" s="71">
        <f t="shared" ref="AC29" si="88">+AC28-AC12</f>
        <v>-36176.199999999997</v>
      </c>
      <c r="AD29" s="71">
        <f t="shared" ref="AD29" si="89">+AD28-AD12</f>
        <v>0</v>
      </c>
      <c r="AE29" s="71">
        <f t="shared" ref="AE29" si="90">+AE28-AE12</f>
        <v>0</v>
      </c>
    </row>
    <row r="30" spans="1:31">
      <c r="B30" s="16"/>
      <c r="C30" s="17"/>
      <c r="D30" s="17"/>
      <c r="E30" s="17"/>
      <c r="F30" s="17"/>
      <c r="G30" s="18"/>
      <c r="H30" s="19"/>
      <c r="I30" s="19"/>
      <c r="J30" s="19"/>
      <c r="K30" s="20"/>
      <c r="L30" s="19"/>
      <c r="M30" s="19"/>
      <c r="N30" s="19"/>
      <c r="O30" s="19"/>
      <c r="P30" s="19"/>
      <c r="Q30" s="19"/>
      <c r="R30" s="19"/>
      <c r="S30" s="19"/>
      <c r="T30" s="19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B31" s="113" t="str">
        <f>B22&amp;"(%)"</f>
        <v>XXX(%)</v>
      </c>
      <c r="C31" s="125" t="e">
        <f>C22/C$28</f>
        <v>#DIV/0!</v>
      </c>
      <c r="D31" s="125" t="e">
        <f>D22/D$28</f>
        <v>#DIV/0!</v>
      </c>
      <c r="E31" s="125" t="e">
        <f>E22/E$28</f>
        <v>#DIV/0!</v>
      </c>
      <c r="F31" s="125" t="e">
        <f>F22/F$28</f>
        <v>#DIV/0!</v>
      </c>
      <c r="G31" s="114"/>
      <c r="H31" s="125" t="e">
        <f t="shared" ref="H31:T31" si="91">H22/H$28</f>
        <v>#DIV/0!</v>
      </c>
      <c r="I31" s="125" t="e">
        <f t="shared" si="91"/>
        <v>#DIV/0!</v>
      </c>
      <c r="J31" s="125" t="e">
        <f t="shared" si="91"/>
        <v>#DIV/0!</v>
      </c>
      <c r="K31" s="125" t="e">
        <f t="shared" si="91"/>
        <v>#DIV/0!</v>
      </c>
      <c r="L31" s="125" t="e">
        <f t="shared" si="91"/>
        <v>#DIV/0!</v>
      </c>
      <c r="M31" s="125" t="e">
        <f t="shared" si="91"/>
        <v>#DIV/0!</v>
      </c>
      <c r="N31" s="125" t="e">
        <f t="shared" si="91"/>
        <v>#DIV/0!</v>
      </c>
      <c r="O31" s="125" t="e">
        <f t="shared" si="91"/>
        <v>#DIV/0!</v>
      </c>
      <c r="P31" s="125" t="e">
        <f t="shared" si="91"/>
        <v>#DIV/0!</v>
      </c>
      <c r="Q31" s="125" t="e">
        <f t="shared" si="91"/>
        <v>#DIV/0!</v>
      </c>
      <c r="R31" s="125" t="e">
        <f t="shared" si="91"/>
        <v>#DIV/0!</v>
      </c>
      <c r="S31" s="125" t="e">
        <f t="shared" si="91"/>
        <v>#DIV/0!</v>
      </c>
      <c r="T31" s="125" t="e">
        <f t="shared" si="91"/>
        <v>#DIV/0!</v>
      </c>
      <c r="U31" s="114"/>
      <c r="V31" s="115" t="e">
        <f t="shared" ref="V31:AE31" si="92">V22/V$28</f>
        <v>#DIV/0!</v>
      </c>
      <c r="W31" s="115" t="e">
        <f t="shared" si="92"/>
        <v>#DIV/0!</v>
      </c>
      <c r="X31" s="115" t="e">
        <f t="shared" si="92"/>
        <v>#DIV/0!</v>
      </c>
      <c r="Y31" s="115" t="e">
        <f t="shared" si="92"/>
        <v>#DIV/0!</v>
      </c>
      <c r="Z31" s="115" t="e">
        <f t="shared" si="92"/>
        <v>#DIV/0!</v>
      </c>
      <c r="AA31" s="115" t="e">
        <f t="shared" si="92"/>
        <v>#DIV/0!</v>
      </c>
      <c r="AB31" s="115" t="e">
        <f t="shared" si="92"/>
        <v>#DIV/0!</v>
      </c>
      <c r="AC31" s="115" t="e">
        <f t="shared" si="92"/>
        <v>#DIV/0!</v>
      </c>
      <c r="AD31" s="115" t="e">
        <f t="shared" si="92"/>
        <v>#DIV/0!</v>
      </c>
      <c r="AE31" s="116" t="e">
        <f t="shared" si="92"/>
        <v>#DIV/0!</v>
      </c>
    </row>
    <row r="32" spans="1:31" ht="12.75" customHeight="1">
      <c r="B32" s="117" t="str">
        <f t="shared" ref="B32" si="93">B23&amp;"(%)"</f>
        <v>XXX(%)</v>
      </c>
      <c r="C32" s="127" t="e">
        <f>C23/C$28</f>
        <v>#DIV/0!</v>
      </c>
      <c r="D32" s="127" t="e">
        <f>D23/D$28</f>
        <v>#DIV/0!</v>
      </c>
      <c r="E32" s="127" t="e">
        <f>E23/E$28</f>
        <v>#DIV/0!</v>
      </c>
      <c r="F32" s="127" t="e">
        <f>F23/F$28</f>
        <v>#DIV/0!</v>
      </c>
      <c r="G32" s="118"/>
      <c r="H32" s="127" t="e">
        <f t="shared" ref="H32:T32" si="94">H23/H$28</f>
        <v>#DIV/0!</v>
      </c>
      <c r="I32" s="127" t="e">
        <f t="shared" si="94"/>
        <v>#DIV/0!</v>
      </c>
      <c r="J32" s="127" t="e">
        <f t="shared" si="94"/>
        <v>#DIV/0!</v>
      </c>
      <c r="K32" s="127" t="e">
        <f t="shared" si="94"/>
        <v>#DIV/0!</v>
      </c>
      <c r="L32" s="127" t="e">
        <f t="shared" si="94"/>
        <v>#DIV/0!</v>
      </c>
      <c r="M32" s="127" t="e">
        <f t="shared" si="94"/>
        <v>#DIV/0!</v>
      </c>
      <c r="N32" s="127" t="e">
        <f t="shared" si="94"/>
        <v>#DIV/0!</v>
      </c>
      <c r="O32" s="127" t="e">
        <f t="shared" si="94"/>
        <v>#DIV/0!</v>
      </c>
      <c r="P32" s="127" t="e">
        <f t="shared" si="94"/>
        <v>#DIV/0!</v>
      </c>
      <c r="Q32" s="127" t="e">
        <f t="shared" si="94"/>
        <v>#DIV/0!</v>
      </c>
      <c r="R32" s="127" t="e">
        <f t="shared" si="94"/>
        <v>#DIV/0!</v>
      </c>
      <c r="S32" s="127" t="e">
        <f t="shared" si="94"/>
        <v>#DIV/0!</v>
      </c>
      <c r="T32" s="127" t="e">
        <f t="shared" si="94"/>
        <v>#DIV/0!</v>
      </c>
      <c r="U32" s="118"/>
      <c r="V32" s="119" t="e">
        <f t="shared" ref="V32:AE32" si="95">V23/V$28</f>
        <v>#DIV/0!</v>
      </c>
      <c r="W32" s="119" t="e">
        <f t="shared" si="95"/>
        <v>#DIV/0!</v>
      </c>
      <c r="X32" s="119" t="e">
        <f t="shared" si="95"/>
        <v>#DIV/0!</v>
      </c>
      <c r="Y32" s="119" t="e">
        <f t="shared" si="95"/>
        <v>#DIV/0!</v>
      </c>
      <c r="Z32" s="119" t="e">
        <f t="shared" si="95"/>
        <v>#DIV/0!</v>
      </c>
      <c r="AA32" s="119" t="e">
        <f t="shared" si="95"/>
        <v>#DIV/0!</v>
      </c>
      <c r="AB32" s="119" t="e">
        <f t="shared" si="95"/>
        <v>#DIV/0!</v>
      </c>
      <c r="AC32" s="119" t="e">
        <f t="shared" si="95"/>
        <v>#DIV/0!</v>
      </c>
      <c r="AD32" s="119" t="e">
        <f t="shared" si="95"/>
        <v>#DIV/0!</v>
      </c>
      <c r="AE32" s="120" t="e">
        <f t="shared" si="95"/>
        <v>#DIV/0!</v>
      </c>
    </row>
    <row r="33" spans="2:31" ht="12.75" customHeight="1">
      <c r="B33" s="117" t="str">
        <f>B24&amp;"(%)"</f>
        <v>XXX(%)</v>
      </c>
      <c r="C33" s="127" t="e">
        <f>C24/C$28</f>
        <v>#DIV/0!</v>
      </c>
      <c r="D33" s="127" t="e">
        <f>D24/D$28</f>
        <v>#DIV/0!</v>
      </c>
      <c r="E33" s="127" t="e">
        <f>E24/E$28</f>
        <v>#DIV/0!</v>
      </c>
      <c r="F33" s="127" t="e">
        <f>F24/F$28</f>
        <v>#DIV/0!</v>
      </c>
      <c r="G33" s="118"/>
      <c r="H33" s="127" t="e">
        <f t="shared" ref="H33:T33" si="96">H24/H$28</f>
        <v>#DIV/0!</v>
      </c>
      <c r="I33" s="127" t="e">
        <f t="shared" si="96"/>
        <v>#DIV/0!</v>
      </c>
      <c r="J33" s="127" t="e">
        <f t="shared" si="96"/>
        <v>#DIV/0!</v>
      </c>
      <c r="K33" s="127" t="e">
        <f t="shared" si="96"/>
        <v>#DIV/0!</v>
      </c>
      <c r="L33" s="127" t="e">
        <f t="shared" si="96"/>
        <v>#DIV/0!</v>
      </c>
      <c r="M33" s="127" t="e">
        <f t="shared" si="96"/>
        <v>#DIV/0!</v>
      </c>
      <c r="N33" s="127" t="e">
        <f t="shared" si="96"/>
        <v>#DIV/0!</v>
      </c>
      <c r="O33" s="127" t="e">
        <f t="shared" si="96"/>
        <v>#DIV/0!</v>
      </c>
      <c r="P33" s="127" t="e">
        <f t="shared" si="96"/>
        <v>#DIV/0!</v>
      </c>
      <c r="Q33" s="127" t="e">
        <f t="shared" si="96"/>
        <v>#DIV/0!</v>
      </c>
      <c r="R33" s="127" t="e">
        <f t="shared" si="96"/>
        <v>#DIV/0!</v>
      </c>
      <c r="S33" s="127" t="e">
        <f t="shared" si="96"/>
        <v>#DIV/0!</v>
      </c>
      <c r="T33" s="127" t="e">
        <f t="shared" si="96"/>
        <v>#DIV/0!</v>
      </c>
      <c r="U33" s="118"/>
      <c r="V33" s="119" t="e">
        <f t="shared" ref="V33:AE33" si="97">V24/V$28</f>
        <v>#DIV/0!</v>
      </c>
      <c r="W33" s="119" t="e">
        <f t="shared" si="97"/>
        <v>#DIV/0!</v>
      </c>
      <c r="X33" s="119" t="e">
        <f t="shared" si="97"/>
        <v>#DIV/0!</v>
      </c>
      <c r="Y33" s="119" t="e">
        <f t="shared" si="97"/>
        <v>#DIV/0!</v>
      </c>
      <c r="Z33" s="119" t="e">
        <f t="shared" si="97"/>
        <v>#DIV/0!</v>
      </c>
      <c r="AA33" s="119" t="e">
        <f t="shared" si="97"/>
        <v>#DIV/0!</v>
      </c>
      <c r="AB33" s="119" t="e">
        <f t="shared" si="97"/>
        <v>#DIV/0!</v>
      </c>
      <c r="AC33" s="119" t="e">
        <f t="shared" si="97"/>
        <v>#DIV/0!</v>
      </c>
      <c r="AD33" s="119" t="e">
        <f t="shared" si="97"/>
        <v>#DIV/0!</v>
      </c>
      <c r="AE33" s="120" t="e">
        <f t="shared" si="97"/>
        <v>#DIV/0!</v>
      </c>
    </row>
    <row r="34" spans="2:31" ht="12.75" customHeight="1">
      <c r="B34" s="117" t="str">
        <f>B25&amp;"(%)"</f>
        <v>XXX(%)</v>
      </c>
      <c r="C34" s="127" t="e">
        <f>C25/C$28</f>
        <v>#DIV/0!</v>
      </c>
      <c r="D34" s="127" t="e">
        <f>D25/D$28</f>
        <v>#DIV/0!</v>
      </c>
      <c r="E34" s="127" t="e">
        <f>E25/E$28</f>
        <v>#DIV/0!</v>
      </c>
      <c r="F34" s="127" t="e">
        <f>F25/F$28</f>
        <v>#DIV/0!</v>
      </c>
      <c r="G34" s="118"/>
      <c r="H34" s="127" t="e">
        <f t="shared" ref="H34:T34" si="98">H25/H$28</f>
        <v>#DIV/0!</v>
      </c>
      <c r="I34" s="127" t="e">
        <f t="shared" si="98"/>
        <v>#DIV/0!</v>
      </c>
      <c r="J34" s="127" t="e">
        <f t="shared" si="98"/>
        <v>#DIV/0!</v>
      </c>
      <c r="K34" s="127" t="e">
        <f t="shared" si="98"/>
        <v>#DIV/0!</v>
      </c>
      <c r="L34" s="127" t="e">
        <f t="shared" si="98"/>
        <v>#DIV/0!</v>
      </c>
      <c r="M34" s="127" t="e">
        <f t="shared" si="98"/>
        <v>#DIV/0!</v>
      </c>
      <c r="N34" s="127" t="e">
        <f t="shared" si="98"/>
        <v>#DIV/0!</v>
      </c>
      <c r="O34" s="127" t="e">
        <f t="shared" si="98"/>
        <v>#DIV/0!</v>
      </c>
      <c r="P34" s="127" t="e">
        <f t="shared" si="98"/>
        <v>#DIV/0!</v>
      </c>
      <c r="Q34" s="127" t="e">
        <f t="shared" si="98"/>
        <v>#DIV/0!</v>
      </c>
      <c r="R34" s="127" t="e">
        <f t="shared" si="98"/>
        <v>#DIV/0!</v>
      </c>
      <c r="S34" s="127" t="e">
        <f t="shared" si="98"/>
        <v>#DIV/0!</v>
      </c>
      <c r="T34" s="127" t="e">
        <f t="shared" si="98"/>
        <v>#DIV/0!</v>
      </c>
      <c r="U34" s="118"/>
      <c r="V34" s="119" t="e">
        <f t="shared" ref="V34:AE34" si="99">V25/V$28</f>
        <v>#DIV/0!</v>
      </c>
      <c r="W34" s="119" t="e">
        <f t="shared" si="99"/>
        <v>#DIV/0!</v>
      </c>
      <c r="X34" s="119" t="e">
        <f t="shared" si="99"/>
        <v>#DIV/0!</v>
      </c>
      <c r="Y34" s="119" t="e">
        <f t="shared" si="99"/>
        <v>#DIV/0!</v>
      </c>
      <c r="Z34" s="119" t="e">
        <f t="shared" si="99"/>
        <v>#DIV/0!</v>
      </c>
      <c r="AA34" s="119" t="e">
        <f t="shared" si="99"/>
        <v>#DIV/0!</v>
      </c>
      <c r="AB34" s="119" t="e">
        <f t="shared" si="99"/>
        <v>#DIV/0!</v>
      </c>
      <c r="AC34" s="119" t="e">
        <f t="shared" si="99"/>
        <v>#DIV/0!</v>
      </c>
      <c r="AD34" s="119" t="e">
        <f t="shared" si="99"/>
        <v>#DIV/0!</v>
      </c>
      <c r="AE34" s="120" t="e">
        <f t="shared" si="99"/>
        <v>#DIV/0!</v>
      </c>
    </row>
    <row r="35" spans="2:31" ht="12.75" customHeight="1">
      <c r="B35" s="117" t="str">
        <f>B26&amp;"(%)"</f>
        <v>XXX(%)</v>
      </c>
      <c r="C35" s="127" t="e">
        <f>C26/C$28</f>
        <v>#DIV/0!</v>
      </c>
      <c r="D35" s="127" t="e">
        <f>D26/D$28</f>
        <v>#DIV/0!</v>
      </c>
      <c r="E35" s="127" t="e">
        <f>E26/E$28</f>
        <v>#DIV/0!</v>
      </c>
      <c r="F35" s="127" t="e">
        <f>F26/F$28</f>
        <v>#DIV/0!</v>
      </c>
      <c r="G35" s="118"/>
      <c r="H35" s="127" t="e">
        <f t="shared" ref="H35:T35" si="100">H26/H$28</f>
        <v>#DIV/0!</v>
      </c>
      <c r="I35" s="127" t="e">
        <f t="shared" si="100"/>
        <v>#DIV/0!</v>
      </c>
      <c r="J35" s="127" t="e">
        <f t="shared" si="100"/>
        <v>#DIV/0!</v>
      </c>
      <c r="K35" s="127" t="e">
        <f t="shared" si="100"/>
        <v>#DIV/0!</v>
      </c>
      <c r="L35" s="127" t="e">
        <f t="shared" si="100"/>
        <v>#DIV/0!</v>
      </c>
      <c r="M35" s="127" t="e">
        <f t="shared" si="100"/>
        <v>#DIV/0!</v>
      </c>
      <c r="N35" s="127" t="e">
        <f t="shared" si="100"/>
        <v>#DIV/0!</v>
      </c>
      <c r="O35" s="127" t="e">
        <f t="shared" si="100"/>
        <v>#DIV/0!</v>
      </c>
      <c r="P35" s="127" t="e">
        <f t="shared" si="100"/>
        <v>#DIV/0!</v>
      </c>
      <c r="Q35" s="127" t="e">
        <f t="shared" si="100"/>
        <v>#DIV/0!</v>
      </c>
      <c r="R35" s="127" t="e">
        <f t="shared" si="100"/>
        <v>#DIV/0!</v>
      </c>
      <c r="S35" s="127" t="e">
        <f t="shared" si="100"/>
        <v>#DIV/0!</v>
      </c>
      <c r="T35" s="127" t="e">
        <f t="shared" si="100"/>
        <v>#DIV/0!</v>
      </c>
      <c r="U35" s="118"/>
      <c r="V35" s="119" t="e">
        <f t="shared" ref="V35:AE35" si="101">V26/V$28</f>
        <v>#DIV/0!</v>
      </c>
      <c r="W35" s="119" t="e">
        <f t="shared" si="101"/>
        <v>#DIV/0!</v>
      </c>
      <c r="X35" s="119" t="e">
        <f t="shared" si="101"/>
        <v>#DIV/0!</v>
      </c>
      <c r="Y35" s="119" t="e">
        <f t="shared" si="101"/>
        <v>#DIV/0!</v>
      </c>
      <c r="Z35" s="119" t="e">
        <f t="shared" si="101"/>
        <v>#DIV/0!</v>
      </c>
      <c r="AA35" s="119" t="e">
        <f t="shared" si="101"/>
        <v>#DIV/0!</v>
      </c>
      <c r="AB35" s="119" t="e">
        <f t="shared" si="101"/>
        <v>#DIV/0!</v>
      </c>
      <c r="AC35" s="119" t="e">
        <f t="shared" si="101"/>
        <v>#DIV/0!</v>
      </c>
      <c r="AD35" s="119" t="e">
        <f t="shared" si="101"/>
        <v>#DIV/0!</v>
      </c>
      <c r="AE35" s="120" t="e">
        <f t="shared" si="101"/>
        <v>#DIV/0!</v>
      </c>
    </row>
    <row r="36" spans="2:31" ht="12.75" customHeight="1">
      <c r="B36" s="121" t="str">
        <f>B27&amp;"(%)"</f>
        <v>XXX(%)</v>
      </c>
      <c r="C36" s="126" t="e">
        <f>C27/C$28</f>
        <v>#DIV/0!</v>
      </c>
      <c r="D36" s="126" t="e">
        <f>D27/D$28</f>
        <v>#DIV/0!</v>
      </c>
      <c r="E36" s="126" t="e">
        <f>E27/E$28</f>
        <v>#DIV/0!</v>
      </c>
      <c r="F36" s="126" t="e">
        <f>F27/F$28</f>
        <v>#DIV/0!</v>
      </c>
      <c r="G36" s="122"/>
      <c r="H36" s="126" t="e">
        <f t="shared" ref="H36:T36" si="102">H27/H$28</f>
        <v>#DIV/0!</v>
      </c>
      <c r="I36" s="126" t="e">
        <f t="shared" si="102"/>
        <v>#DIV/0!</v>
      </c>
      <c r="J36" s="126" t="e">
        <f t="shared" si="102"/>
        <v>#DIV/0!</v>
      </c>
      <c r="K36" s="126" t="e">
        <f t="shared" si="102"/>
        <v>#DIV/0!</v>
      </c>
      <c r="L36" s="126" t="e">
        <f t="shared" si="102"/>
        <v>#DIV/0!</v>
      </c>
      <c r="M36" s="126" t="e">
        <f t="shared" si="102"/>
        <v>#DIV/0!</v>
      </c>
      <c r="N36" s="126" t="e">
        <f t="shared" si="102"/>
        <v>#DIV/0!</v>
      </c>
      <c r="O36" s="126" t="e">
        <f t="shared" si="102"/>
        <v>#DIV/0!</v>
      </c>
      <c r="P36" s="126" t="e">
        <f t="shared" si="102"/>
        <v>#DIV/0!</v>
      </c>
      <c r="Q36" s="126" t="e">
        <f t="shared" si="102"/>
        <v>#DIV/0!</v>
      </c>
      <c r="R36" s="126" t="e">
        <f t="shared" si="102"/>
        <v>#DIV/0!</v>
      </c>
      <c r="S36" s="126" t="e">
        <f t="shared" si="102"/>
        <v>#DIV/0!</v>
      </c>
      <c r="T36" s="126" t="e">
        <f t="shared" si="102"/>
        <v>#DIV/0!</v>
      </c>
      <c r="U36" s="122"/>
      <c r="V36" s="123" t="e">
        <f t="shared" ref="V36:AE36" si="103">V27/V$28</f>
        <v>#DIV/0!</v>
      </c>
      <c r="W36" s="123" t="e">
        <f t="shared" si="103"/>
        <v>#DIV/0!</v>
      </c>
      <c r="X36" s="123" t="e">
        <f t="shared" si="103"/>
        <v>#DIV/0!</v>
      </c>
      <c r="Y36" s="123" t="e">
        <f t="shared" si="103"/>
        <v>#DIV/0!</v>
      </c>
      <c r="Z36" s="123" t="e">
        <f t="shared" si="103"/>
        <v>#DIV/0!</v>
      </c>
      <c r="AA36" s="123" t="e">
        <f t="shared" si="103"/>
        <v>#DIV/0!</v>
      </c>
      <c r="AB36" s="123" t="e">
        <f t="shared" si="103"/>
        <v>#DIV/0!</v>
      </c>
      <c r="AC36" s="123" t="e">
        <f t="shared" si="103"/>
        <v>#DIV/0!</v>
      </c>
      <c r="AD36" s="123" t="e">
        <f t="shared" si="103"/>
        <v>#DIV/0!</v>
      </c>
      <c r="AE36" s="124" t="e">
        <f t="shared" si="103"/>
        <v>#DIV/0!</v>
      </c>
    </row>
  </sheetData>
  <pageMargins left="0.7" right="0.7" top="0.75" bottom="0.75" header="0.3" footer="0.3"/>
  <ignoredErrors>
    <ignoredError sqref="H17:Q17 D17:E17 H31:T36 D15:E15 H15:Q15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27CF-47F2-43ED-8CCB-3D99E5377DA5}">
  <sheetPr>
    <tabColor theme="6" tint="-0.249977111117893"/>
  </sheetPr>
  <dimension ref="A2:AG89"/>
  <sheetViews>
    <sheetView showGridLines="0" zoomScaleNormal="100" workbookViewId="0"/>
  </sheetViews>
  <sheetFormatPr defaultRowHeight="12" outlineLevelCol="1"/>
  <cols>
    <col min="1" max="1" width="1.5" style="8" customWidth="1"/>
    <col min="2" max="2" width="41.625" style="8" customWidth="1"/>
    <col min="3" max="3" width="8.625" style="8" customWidth="1"/>
    <col min="4" max="4" width="9" style="8" bestFit="1"/>
    <col min="5" max="5" width="9.25" style="8" bestFit="1" customWidth="1"/>
    <col min="6" max="6" width="9" style="8"/>
    <col min="7" max="7" width="1.5" style="8" customWidth="1"/>
    <col min="8" max="10" width="8" style="8" customWidth="1"/>
    <col min="11" max="11" width="8.75" style="8" customWidth="1"/>
    <col min="12" max="13" width="8" style="8" customWidth="1"/>
    <col min="14" max="20" width="8.875" style="8" customWidth="1"/>
    <col min="21" max="21" width="1.625" style="8" customWidth="1"/>
    <col min="22" max="23" width="8.25" style="8" hidden="1" customWidth="1" outlineLevel="1"/>
    <col min="24" max="24" width="9.25" style="8" hidden="1" customWidth="1" outlineLevel="1"/>
    <col min="25" max="25" width="9.75" style="8" hidden="1" customWidth="1" outlineLevel="1"/>
    <col min="26" max="26" width="9" style="8" hidden="1" customWidth="1" outlineLevel="1"/>
    <col min="27" max="27" width="9" style="8" collapsed="1"/>
    <col min="28" max="29" width="9" style="8" hidden="1" customWidth="1" outlineLevel="1"/>
    <col min="30" max="30" width="8.5" style="8" hidden="1" customWidth="1" outlineLevel="1"/>
    <col min="31" max="31" width="8.5" style="8" bestFit="1" customWidth="1" collapsed="1"/>
    <col min="32" max="32" width="1.5" style="8" customWidth="1"/>
    <col min="33" max="33" width="7.5" style="109" bestFit="1" customWidth="1"/>
    <col min="34" max="16384" width="9" style="8"/>
  </cols>
  <sheetData>
    <row r="2" spans="2:33" s="5" customFormat="1" ht="12.75" customHeight="1">
      <c r="B2" s="1" t="str">
        <f>'Historical Financials'!B2</f>
        <v>Starbucks Corp (NASDAQ: SBUX)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 t="s">
        <v>1</v>
      </c>
      <c r="S2" s="2"/>
      <c r="T2" s="2"/>
      <c r="U2" s="3"/>
      <c r="V2" s="2"/>
      <c r="W2" s="2"/>
      <c r="X2" s="2"/>
      <c r="Y2" s="2"/>
      <c r="Z2" s="2" t="s">
        <v>10</v>
      </c>
      <c r="AA2" s="2" t="s">
        <v>10</v>
      </c>
      <c r="AB2" s="2"/>
      <c r="AC2" s="2"/>
      <c r="AD2" s="2"/>
      <c r="AE2" s="2"/>
      <c r="AF2" s="3"/>
      <c r="AG2" s="152" t="s">
        <v>23</v>
      </c>
    </row>
    <row r="3" spans="2:33" s="5" customFormat="1" ht="12.75" customHeight="1">
      <c r="B3" s="6" t="s">
        <v>24</v>
      </c>
      <c r="C3" s="7" t="e">
        <f>'Historical Financials'!#REF!</f>
        <v>#REF!</v>
      </c>
      <c r="D3" s="7">
        <f>'Historical Financials'!D7</f>
        <v>2023</v>
      </c>
      <c r="E3" s="7">
        <f>'Historical Financials'!E7</f>
        <v>2024</v>
      </c>
      <c r="F3" s="7">
        <f>'Historical Financials'!F7</f>
        <v>2025</v>
      </c>
      <c r="G3" s="3"/>
      <c r="H3" s="7" t="str">
        <f>'Historical Financials'!H7</f>
        <v>1Q23</v>
      </c>
      <c r="I3" s="7" t="str">
        <f>'Historical Financials'!I7</f>
        <v>2Q23</v>
      </c>
      <c r="J3" s="7" t="str">
        <f>'Historical Financials'!J7</f>
        <v>3Q23</v>
      </c>
      <c r="K3" s="7" t="str">
        <f>'Historical Financials'!K7</f>
        <v>4Q23</v>
      </c>
      <c r="L3" s="7" t="str">
        <f>'Historical Financials'!L7</f>
        <v>1Q24</v>
      </c>
      <c r="M3" s="7" t="str">
        <f>'Historical Financials'!M7</f>
        <v>2Q24</v>
      </c>
      <c r="N3" s="7" t="str">
        <f>'Historical Financials'!N7</f>
        <v>3Q24</v>
      </c>
      <c r="O3" s="7" t="str">
        <f>'Historical Financials'!O7</f>
        <v>4Q24</v>
      </c>
      <c r="P3" s="7" t="str">
        <f>'Historical Financials'!P7</f>
        <v>1Q25</v>
      </c>
      <c r="Q3" s="7" t="str">
        <f>'Historical Financials'!Q7</f>
        <v>2Q25</v>
      </c>
      <c r="R3" s="7" t="str">
        <f>'Historical Financials'!R7</f>
        <v>3Q25</v>
      </c>
      <c r="S3" s="7" t="str">
        <f>'Historical Financials'!S7</f>
        <v>4Q25</v>
      </c>
      <c r="T3" s="7" t="str">
        <f>'Historical Financials'!T7</f>
        <v>1Q26</v>
      </c>
      <c r="U3" s="3"/>
      <c r="V3" s="4" t="str">
        <f t="shared" ref="V3:AE4" si="0">K3</f>
        <v>4Q23</v>
      </c>
      <c r="W3" s="4" t="str">
        <f t="shared" si="0"/>
        <v>1Q24</v>
      </c>
      <c r="X3" s="4" t="str">
        <f t="shared" si="0"/>
        <v>2Q24</v>
      </c>
      <c r="Y3" s="4" t="str">
        <f t="shared" si="0"/>
        <v>3Q24</v>
      </c>
      <c r="Z3" s="4" t="str">
        <f t="shared" si="0"/>
        <v>4Q24</v>
      </c>
      <c r="AA3" s="4" t="str">
        <f t="shared" si="0"/>
        <v>1Q25</v>
      </c>
      <c r="AB3" s="4" t="str">
        <f t="shared" si="0"/>
        <v>2Q25</v>
      </c>
      <c r="AC3" s="4" t="str">
        <f t="shared" si="0"/>
        <v>3Q25</v>
      </c>
      <c r="AD3" s="4" t="str">
        <f t="shared" si="0"/>
        <v>4Q25</v>
      </c>
      <c r="AE3" s="4" t="str">
        <f t="shared" si="0"/>
        <v>1Q26</v>
      </c>
      <c r="AF3" s="3"/>
      <c r="AG3" s="152"/>
    </row>
    <row r="4" spans="2:33" s="5" customFormat="1" ht="12.75" customHeight="1">
      <c r="B4" s="6" t="s">
        <v>93</v>
      </c>
      <c r="C4" s="3" t="e">
        <f>'Historical Financials'!#REF!</f>
        <v>#REF!</v>
      </c>
      <c r="D4" s="3">
        <f>'Historical Financials'!D8</f>
        <v>45200</v>
      </c>
      <c r="E4" s="3">
        <f>'Historical Financials'!E8</f>
        <v>45564</v>
      </c>
      <c r="F4" s="3">
        <f>'Historical Financials'!F8</f>
        <v>0</v>
      </c>
      <c r="G4" s="3"/>
      <c r="H4" s="3" t="str">
        <f>'Historical Financials'!H8</f>
        <v>XXX</v>
      </c>
      <c r="I4" s="3" t="str">
        <f>'Historical Financials'!I8</f>
        <v>XXX</v>
      </c>
      <c r="J4" s="3" t="str">
        <f>'Historical Financials'!J8</f>
        <v>XXX</v>
      </c>
      <c r="K4" s="3">
        <f>'Historical Financials'!K8</f>
        <v>45200</v>
      </c>
      <c r="L4" s="3" t="str">
        <f>'Historical Financials'!L8</f>
        <v>XXX</v>
      </c>
      <c r="M4" s="3" t="str">
        <f>'Historical Financials'!M8</f>
        <v>XXX</v>
      </c>
      <c r="N4" s="3" t="str">
        <f>'Historical Financials'!N8</f>
        <v>XXX</v>
      </c>
      <c r="O4" s="3">
        <f>'Historical Financials'!O8</f>
        <v>45564</v>
      </c>
      <c r="P4" s="3" t="str">
        <f>'Historical Financials'!P8</f>
        <v>XXX</v>
      </c>
      <c r="Q4" s="3" t="str">
        <f>'Historical Financials'!Q8</f>
        <v>XXX</v>
      </c>
      <c r="R4" s="3" t="str">
        <f>'Historical Financials'!R8</f>
        <v>XXX</v>
      </c>
      <c r="S4" s="3">
        <f>'Historical Financials'!S8</f>
        <v>0</v>
      </c>
      <c r="T4" s="3" t="str">
        <f>'Historical Financials'!T8</f>
        <v>XXX</v>
      </c>
      <c r="U4" s="3"/>
      <c r="V4" s="3">
        <f t="shared" si="0"/>
        <v>45200</v>
      </c>
      <c r="W4" s="3" t="str">
        <f t="shared" si="0"/>
        <v>XXX</v>
      </c>
      <c r="X4" s="3" t="str">
        <f t="shared" si="0"/>
        <v>XXX</v>
      </c>
      <c r="Y4" s="3" t="str">
        <f t="shared" si="0"/>
        <v>XXX</v>
      </c>
      <c r="Z4" s="3">
        <f t="shared" si="0"/>
        <v>45564</v>
      </c>
      <c r="AA4" s="3" t="str">
        <f t="shared" si="0"/>
        <v>XXX</v>
      </c>
      <c r="AB4" s="3" t="str">
        <f t="shared" si="0"/>
        <v>XXX</v>
      </c>
      <c r="AC4" s="3" t="str">
        <f t="shared" si="0"/>
        <v>XXX</v>
      </c>
      <c r="AD4" s="3">
        <f t="shared" si="0"/>
        <v>0</v>
      </c>
      <c r="AE4" s="3" t="str">
        <f t="shared" si="0"/>
        <v>XXX</v>
      </c>
      <c r="AF4" s="3"/>
      <c r="AG4" s="152"/>
    </row>
    <row r="5" spans="2:33" ht="5.0999999999999996" customHeight="1">
      <c r="AG5" s="105"/>
    </row>
    <row r="6" spans="2:33" ht="12.75" customHeight="1">
      <c r="B6" s="9" t="s">
        <v>110</v>
      </c>
      <c r="C6" s="78"/>
      <c r="D6" s="78"/>
      <c r="E6" s="78"/>
      <c r="F6" s="78"/>
      <c r="G6" s="10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5"/>
      <c r="V6" s="129">
        <f t="shared" ref="V6:AD6" si="1">SUM(H6:K6)</f>
        <v>0</v>
      </c>
      <c r="W6" s="129">
        <f t="shared" si="1"/>
        <v>0</v>
      </c>
      <c r="X6" s="129">
        <f t="shared" si="1"/>
        <v>0</v>
      </c>
      <c r="Y6" s="129">
        <f t="shared" si="1"/>
        <v>0</v>
      </c>
      <c r="Z6" s="129">
        <f t="shared" si="1"/>
        <v>0</v>
      </c>
      <c r="AA6" s="129">
        <f t="shared" si="1"/>
        <v>0</v>
      </c>
      <c r="AB6" s="129">
        <f t="shared" si="1"/>
        <v>0</v>
      </c>
      <c r="AC6" s="129">
        <f t="shared" si="1"/>
        <v>0</v>
      </c>
      <c r="AD6" s="129">
        <f t="shared" si="1"/>
        <v>0</v>
      </c>
      <c r="AE6" s="129">
        <f>SUM(Q6:T6)</f>
        <v>0</v>
      </c>
      <c r="AG6" s="106" t="e">
        <f t="shared" ref="AG6:AG11" si="2">SUM(AE6/AA6)-1</f>
        <v>#DIV/0!</v>
      </c>
    </row>
    <row r="7" spans="2:33" ht="12.75" customHeight="1">
      <c r="B7" s="9" t="s">
        <v>110</v>
      </c>
      <c r="C7" s="78"/>
      <c r="D7" s="78"/>
      <c r="E7" s="78"/>
      <c r="F7" s="78"/>
      <c r="G7" s="10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5"/>
      <c r="V7" s="129">
        <f t="shared" ref="V7:V11" si="3">SUM(H7:K7)</f>
        <v>0</v>
      </c>
      <c r="W7" s="129">
        <f t="shared" ref="W7:W11" si="4">SUM(I7:L7)</f>
        <v>0</v>
      </c>
      <c r="X7" s="129">
        <f t="shared" ref="X7:X11" si="5">SUM(J7:M7)</f>
        <v>0</v>
      </c>
      <c r="Y7" s="129">
        <f t="shared" ref="Y7:Y11" si="6">SUM(K7:N7)</f>
        <v>0</v>
      </c>
      <c r="Z7" s="129">
        <f t="shared" ref="Z7:Z11" si="7">SUM(L7:O7)</f>
        <v>0</v>
      </c>
      <c r="AA7" s="129">
        <f t="shared" ref="AA7:AA11" si="8">SUM(M7:P7)</f>
        <v>0</v>
      </c>
      <c r="AB7" s="129">
        <f t="shared" ref="AB7:AB11" si="9">SUM(N7:Q7)</f>
        <v>0</v>
      </c>
      <c r="AC7" s="129">
        <f t="shared" ref="AC7:AC11" si="10">SUM(O7:R7)</f>
        <v>0</v>
      </c>
      <c r="AD7" s="129">
        <f t="shared" ref="AD7:AD11" si="11">SUM(P7:S7)</f>
        <v>0</v>
      </c>
      <c r="AE7" s="129">
        <f t="shared" ref="AE7:AE11" si="12">SUM(Q7:T7)</f>
        <v>0</v>
      </c>
      <c r="AG7" s="106" t="e">
        <f t="shared" si="2"/>
        <v>#DIV/0!</v>
      </c>
    </row>
    <row r="8" spans="2:33" ht="12.75" customHeight="1">
      <c r="B8" s="9" t="s">
        <v>110</v>
      </c>
      <c r="C8" s="78"/>
      <c r="D8" s="78"/>
      <c r="E8" s="78"/>
      <c r="F8" s="78"/>
      <c r="G8" s="10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5"/>
      <c r="V8" s="129">
        <f t="shared" si="3"/>
        <v>0</v>
      </c>
      <c r="W8" s="129">
        <f t="shared" si="4"/>
        <v>0</v>
      </c>
      <c r="X8" s="129">
        <f t="shared" si="5"/>
        <v>0</v>
      </c>
      <c r="Y8" s="129">
        <f t="shared" si="6"/>
        <v>0</v>
      </c>
      <c r="Z8" s="129">
        <f t="shared" si="7"/>
        <v>0</v>
      </c>
      <c r="AA8" s="129">
        <f t="shared" si="8"/>
        <v>0</v>
      </c>
      <c r="AB8" s="129">
        <f t="shared" si="9"/>
        <v>0</v>
      </c>
      <c r="AC8" s="129">
        <f t="shared" si="10"/>
        <v>0</v>
      </c>
      <c r="AD8" s="129">
        <f t="shared" si="11"/>
        <v>0</v>
      </c>
      <c r="AE8" s="129">
        <f t="shared" si="12"/>
        <v>0</v>
      </c>
      <c r="AG8" s="106" t="e">
        <f t="shared" si="2"/>
        <v>#DIV/0!</v>
      </c>
    </row>
    <row r="9" spans="2:33" ht="12.75" customHeight="1">
      <c r="B9" s="9" t="s">
        <v>110</v>
      </c>
      <c r="C9" s="78"/>
      <c r="D9" s="78"/>
      <c r="E9" s="78"/>
      <c r="F9" s="78"/>
      <c r="G9" s="10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5"/>
      <c r="V9" s="129">
        <f t="shared" si="3"/>
        <v>0</v>
      </c>
      <c r="W9" s="129">
        <f t="shared" si="4"/>
        <v>0</v>
      </c>
      <c r="X9" s="129">
        <f t="shared" si="5"/>
        <v>0</v>
      </c>
      <c r="Y9" s="129">
        <f t="shared" si="6"/>
        <v>0</v>
      </c>
      <c r="Z9" s="129">
        <f t="shared" si="7"/>
        <v>0</v>
      </c>
      <c r="AA9" s="129">
        <f t="shared" si="8"/>
        <v>0</v>
      </c>
      <c r="AB9" s="129">
        <f t="shared" si="9"/>
        <v>0</v>
      </c>
      <c r="AC9" s="129">
        <f t="shared" si="10"/>
        <v>0</v>
      </c>
      <c r="AD9" s="129">
        <f t="shared" si="11"/>
        <v>0</v>
      </c>
      <c r="AE9" s="129">
        <f t="shared" si="12"/>
        <v>0</v>
      </c>
      <c r="AG9" s="106" t="e">
        <f t="shared" si="2"/>
        <v>#DIV/0!</v>
      </c>
    </row>
    <row r="10" spans="2:33" ht="12.75" customHeight="1">
      <c r="B10" s="9" t="s">
        <v>110</v>
      </c>
      <c r="C10" s="78"/>
      <c r="D10" s="78"/>
      <c r="E10" s="78"/>
      <c r="F10" s="78"/>
      <c r="G10" s="10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5"/>
      <c r="V10" s="129">
        <f t="shared" si="3"/>
        <v>0</v>
      </c>
      <c r="W10" s="129">
        <f t="shared" si="4"/>
        <v>0</v>
      </c>
      <c r="X10" s="129">
        <f t="shared" si="5"/>
        <v>0</v>
      </c>
      <c r="Y10" s="129">
        <f t="shared" si="6"/>
        <v>0</v>
      </c>
      <c r="Z10" s="129">
        <f t="shared" si="7"/>
        <v>0</v>
      </c>
      <c r="AA10" s="129">
        <f t="shared" si="8"/>
        <v>0</v>
      </c>
      <c r="AB10" s="129">
        <f t="shared" si="9"/>
        <v>0</v>
      </c>
      <c r="AC10" s="129">
        <f t="shared" si="10"/>
        <v>0</v>
      </c>
      <c r="AD10" s="129">
        <f t="shared" si="11"/>
        <v>0</v>
      </c>
      <c r="AE10" s="129">
        <f t="shared" si="12"/>
        <v>0</v>
      </c>
      <c r="AG10" s="106" t="e">
        <f t="shared" si="2"/>
        <v>#DIV/0!</v>
      </c>
    </row>
    <row r="11" spans="2:33" ht="12.75" customHeight="1">
      <c r="B11" s="9" t="s">
        <v>110</v>
      </c>
      <c r="C11" s="78"/>
      <c r="D11" s="78"/>
      <c r="E11" s="78"/>
      <c r="F11" s="78"/>
      <c r="G11" s="10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5"/>
      <c r="V11" s="129">
        <f t="shared" si="3"/>
        <v>0</v>
      </c>
      <c r="W11" s="129">
        <f t="shared" si="4"/>
        <v>0</v>
      </c>
      <c r="X11" s="129">
        <f t="shared" si="5"/>
        <v>0</v>
      </c>
      <c r="Y11" s="129">
        <f t="shared" si="6"/>
        <v>0</v>
      </c>
      <c r="Z11" s="129">
        <f t="shared" si="7"/>
        <v>0</v>
      </c>
      <c r="AA11" s="129">
        <f t="shared" si="8"/>
        <v>0</v>
      </c>
      <c r="AB11" s="129">
        <f t="shared" si="9"/>
        <v>0</v>
      </c>
      <c r="AC11" s="129">
        <f t="shared" si="10"/>
        <v>0</v>
      </c>
      <c r="AD11" s="129">
        <f t="shared" si="11"/>
        <v>0</v>
      </c>
      <c r="AE11" s="129">
        <f t="shared" si="12"/>
        <v>0</v>
      </c>
      <c r="AG11" s="106" t="e">
        <f t="shared" si="2"/>
        <v>#DIV/0!</v>
      </c>
    </row>
    <row r="12" spans="2:33" ht="12.75" customHeight="1">
      <c r="B12" s="12" t="s">
        <v>12</v>
      </c>
      <c r="C12" s="13">
        <f t="shared" ref="C12:F12" si="13">SUM(C6:C11)</f>
        <v>0</v>
      </c>
      <c r="D12" s="13">
        <f t="shared" si="13"/>
        <v>0</v>
      </c>
      <c r="E12" s="13">
        <f t="shared" si="13"/>
        <v>0</v>
      </c>
      <c r="F12" s="13">
        <f t="shared" si="13"/>
        <v>0</v>
      </c>
      <c r="G12" s="10"/>
      <c r="H12" s="13">
        <f t="shared" ref="H12:S12" si="14">SUM(H6:H11)</f>
        <v>0</v>
      </c>
      <c r="I12" s="13">
        <f t="shared" si="14"/>
        <v>0</v>
      </c>
      <c r="J12" s="13">
        <f t="shared" si="14"/>
        <v>0</v>
      </c>
      <c r="K12" s="13">
        <f t="shared" si="14"/>
        <v>0</v>
      </c>
      <c r="L12" s="13">
        <f t="shared" si="14"/>
        <v>0</v>
      </c>
      <c r="M12" s="13">
        <f t="shared" si="14"/>
        <v>0</v>
      </c>
      <c r="N12" s="13">
        <f t="shared" si="14"/>
        <v>0</v>
      </c>
      <c r="O12" s="13">
        <f t="shared" si="14"/>
        <v>0</v>
      </c>
      <c r="P12" s="13">
        <f t="shared" si="14"/>
        <v>0</v>
      </c>
      <c r="Q12" s="13">
        <f t="shared" si="14"/>
        <v>0</v>
      </c>
      <c r="R12" s="13">
        <f t="shared" si="14"/>
        <v>0</v>
      </c>
      <c r="S12" s="13">
        <f t="shared" si="14"/>
        <v>0</v>
      </c>
      <c r="T12" s="13">
        <f t="shared" ref="T12" si="15">SUM(T6:T11)</f>
        <v>0</v>
      </c>
      <c r="U12" s="5"/>
      <c r="V12" s="13">
        <f t="shared" ref="V12:AE12" si="16">SUM(V6:V11)</f>
        <v>0</v>
      </c>
      <c r="W12" s="13">
        <f t="shared" si="16"/>
        <v>0</v>
      </c>
      <c r="X12" s="13">
        <f t="shared" si="16"/>
        <v>0</v>
      </c>
      <c r="Y12" s="13">
        <f t="shared" si="16"/>
        <v>0</v>
      </c>
      <c r="Z12" s="13">
        <f t="shared" si="16"/>
        <v>0</v>
      </c>
      <c r="AA12" s="13">
        <f t="shared" si="16"/>
        <v>0</v>
      </c>
      <c r="AB12" s="13">
        <f t="shared" si="16"/>
        <v>0</v>
      </c>
      <c r="AC12" s="13">
        <f t="shared" si="16"/>
        <v>0</v>
      </c>
      <c r="AD12" s="13">
        <f t="shared" si="16"/>
        <v>0</v>
      </c>
      <c r="AE12" s="13">
        <f t="shared" si="16"/>
        <v>0</v>
      </c>
      <c r="AG12" s="107" t="e">
        <f>SUM(AE12/AA12)-1</f>
        <v>#DIV/0!</v>
      </c>
    </row>
    <row r="13" spans="2:33" ht="12.75" customHeight="1">
      <c r="B13" s="14" t="s">
        <v>27</v>
      </c>
      <c r="C13" s="15" t="e">
        <f>SUM(C12/#REF!)-1</f>
        <v>#REF!</v>
      </c>
      <c r="D13" s="15" t="e">
        <f>SUM(D12/C12)-1</f>
        <v>#DIV/0!</v>
      </c>
      <c r="E13" s="15" t="e">
        <f>SUM(E12/D12)-1</f>
        <v>#DIV/0!</v>
      </c>
      <c r="F13" s="15" t="e">
        <f>SUM(F12/E12)-1</f>
        <v>#DIV/0!</v>
      </c>
      <c r="G13" s="11"/>
      <c r="H13" s="97"/>
      <c r="I13" s="97"/>
      <c r="J13" s="97"/>
      <c r="K13" s="97"/>
      <c r="L13" s="15" t="e">
        <f t="shared" ref="L13:S13" si="17">SUM(L12/H12)-1</f>
        <v>#DIV/0!</v>
      </c>
      <c r="M13" s="15" t="e">
        <f t="shared" si="17"/>
        <v>#DIV/0!</v>
      </c>
      <c r="N13" s="15" t="e">
        <f t="shared" si="17"/>
        <v>#DIV/0!</v>
      </c>
      <c r="O13" s="15" t="e">
        <f t="shared" si="17"/>
        <v>#DIV/0!</v>
      </c>
      <c r="P13" s="15" t="e">
        <f t="shared" si="17"/>
        <v>#DIV/0!</v>
      </c>
      <c r="Q13" s="15" t="e">
        <f t="shared" si="17"/>
        <v>#DIV/0!</v>
      </c>
      <c r="R13" s="15" t="e">
        <f t="shared" si="17"/>
        <v>#DIV/0!</v>
      </c>
      <c r="S13" s="15" t="e">
        <f t="shared" si="17"/>
        <v>#DIV/0!</v>
      </c>
      <c r="T13" s="15" t="e">
        <f t="shared" ref="T13" si="18">SUM(T12/P12)-1</f>
        <v>#DIV/0!</v>
      </c>
      <c r="U13" s="5"/>
      <c r="V13" s="97"/>
      <c r="W13" s="97"/>
      <c r="X13" s="97"/>
      <c r="Y13" s="97"/>
      <c r="Z13" s="15" t="e">
        <f t="shared" ref="Z13:AE13" si="19">SUM(Z12/V12)-1</f>
        <v>#DIV/0!</v>
      </c>
      <c r="AA13" s="15" t="e">
        <f t="shared" si="19"/>
        <v>#DIV/0!</v>
      </c>
      <c r="AB13" s="15" t="e">
        <f t="shared" si="19"/>
        <v>#DIV/0!</v>
      </c>
      <c r="AC13" s="15" t="e">
        <f t="shared" si="19"/>
        <v>#DIV/0!</v>
      </c>
      <c r="AD13" s="15" t="e">
        <f t="shared" si="19"/>
        <v>#DIV/0!</v>
      </c>
      <c r="AE13" s="15" t="e">
        <f t="shared" si="19"/>
        <v>#DIV/0!</v>
      </c>
      <c r="AG13" s="108" t="e">
        <f>SUM(AE13-AA13)*10000</f>
        <v>#DIV/0!</v>
      </c>
    </row>
    <row r="14" spans="2:33" ht="12.75" customHeight="1">
      <c r="B14" s="14" t="s">
        <v>28</v>
      </c>
      <c r="C14" s="15" t="s">
        <v>29</v>
      </c>
      <c r="D14" s="15" t="s">
        <v>29</v>
      </c>
      <c r="E14" s="15" t="s">
        <v>29</v>
      </c>
      <c r="F14" s="15" t="s">
        <v>29</v>
      </c>
      <c r="G14" s="11"/>
      <c r="H14" s="97"/>
      <c r="I14" s="15" t="e">
        <f>SUM(I12/H12)-1</f>
        <v>#DIV/0!</v>
      </c>
      <c r="J14" s="15" t="e">
        <f>SUM(J12/I12)-1</f>
        <v>#DIV/0!</v>
      </c>
      <c r="K14" s="15" t="e">
        <f>SUM(K12/J12)-1</f>
        <v>#DIV/0!</v>
      </c>
      <c r="L14" s="15" t="e">
        <f>SUM(L12/K12)-1</f>
        <v>#DIV/0!</v>
      </c>
      <c r="M14" s="15" t="e">
        <f t="shared" ref="M14:S14" si="20">SUM(M12/L12)-1</f>
        <v>#DIV/0!</v>
      </c>
      <c r="N14" s="15" t="e">
        <f t="shared" si="20"/>
        <v>#DIV/0!</v>
      </c>
      <c r="O14" s="15" t="e">
        <f t="shared" si="20"/>
        <v>#DIV/0!</v>
      </c>
      <c r="P14" s="15" t="e">
        <f t="shared" si="20"/>
        <v>#DIV/0!</v>
      </c>
      <c r="Q14" s="15" t="e">
        <f t="shared" si="20"/>
        <v>#DIV/0!</v>
      </c>
      <c r="R14" s="15" t="e">
        <f t="shared" si="20"/>
        <v>#DIV/0!</v>
      </c>
      <c r="S14" s="15" t="e">
        <f t="shared" si="20"/>
        <v>#DIV/0!</v>
      </c>
      <c r="T14" s="15" t="e">
        <f t="shared" ref="T14" si="21">SUM(T12/S12)-1</f>
        <v>#DIV/0!</v>
      </c>
      <c r="U14" s="5"/>
      <c r="V14" s="15" t="s">
        <v>29</v>
      </c>
      <c r="W14" s="15" t="s">
        <v>29</v>
      </c>
      <c r="X14" s="15" t="s">
        <v>29</v>
      </c>
      <c r="Y14" s="15" t="s">
        <v>29</v>
      </c>
      <c r="Z14" s="15" t="s">
        <v>29</v>
      </c>
      <c r="AA14" s="15" t="s">
        <v>29</v>
      </c>
      <c r="AB14" s="15" t="s">
        <v>29</v>
      </c>
      <c r="AC14" s="15" t="s">
        <v>29</v>
      </c>
      <c r="AD14" s="15" t="s">
        <v>29</v>
      </c>
      <c r="AE14" s="15" t="s">
        <v>29</v>
      </c>
      <c r="AG14" s="105"/>
    </row>
    <row r="15" spans="2:33" ht="5.0999999999999996" customHeight="1">
      <c r="B15" s="16"/>
      <c r="C15" s="17"/>
      <c r="D15" s="17"/>
      <c r="E15" s="17"/>
      <c r="F15" s="17"/>
      <c r="G15" s="18"/>
      <c r="H15" s="19"/>
      <c r="I15" s="19"/>
      <c r="J15" s="19"/>
      <c r="K15" s="19"/>
      <c r="L15" s="19"/>
      <c r="M15" s="19"/>
      <c r="N15" s="19"/>
      <c r="O15" s="20"/>
      <c r="P15" s="19"/>
      <c r="Q15" s="19"/>
      <c r="R15" s="19"/>
      <c r="S15" s="19"/>
      <c r="T15" s="19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G15" s="105"/>
    </row>
    <row r="16" spans="2:33" ht="12.75" customHeight="1">
      <c r="B16" s="21" t="s">
        <v>30</v>
      </c>
      <c r="C16" s="78"/>
      <c r="D16" s="78"/>
      <c r="E16" s="78"/>
      <c r="F16" s="78"/>
      <c r="G16" s="10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5"/>
      <c r="V16" s="129">
        <f t="shared" ref="V16" si="22">SUM(H16:K16)</f>
        <v>0</v>
      </c>
      <c r="W16" s="129">
        <f t="shared" ref="W16" si="23">SUM(I16:L16)</f>
        <v>0</v>
      </c>
      <c r="X16" s="129">
        <f t="shared" ref="X16" si="24">SUM(J16:M16)</f>
        <v>0</v>
      </c>
      <c r="Y16" s="129">
        <f t="shared" ref="Y16" si="25">SUM(K16:N16)</f>
        <v>0</v>
      </c>
      <c r="Z16" s="129">
        <f t="shared" ref="Z16" si="26">SUM(L16:O16)</f>
        <v>0</v>
      </c>
      <c r="AA16" s="129">
        <f t="shared" ref="AA16" si="27">SUM(M16:P16)</f>
        <v>0</v>
      </c>
      <c r="AB16" s="129">
        <f t="shared" ref="AB16" si="28">SUM(N16:Q16)</f>
        <v>0</v>
      </c>
      <c r="AC16" s="129">
        <f t="shared" ref="AC16" si="29">SUM(O16:R16)</f>
        <v>0</v>
      </c>
      <c r="AD16" s="129">
        <f t="shared" ref="AD16" si="30">SUM(P16:S16)</f>
        <v>0</v>
      </c>
      <c r="AE16" s="129">
        <f>SUM(Q16:T16)</f>
        <v>0</v>
      </c>
      <c r="AG16" s="106" t="e">
        <f>SUM(AE16/AA16)-1</f>
        <v>#DIV/0!</v>
      </c>
    </row>
    <row r="17" spans="2:33" ht="12.75" customHeight="1">
      <c r="B17" s="23" t="s">
        <v>21</v>
      </c>
      <c r="C17" s="24">
        <f t="shared" ref="C17:F17" si="31">SUM(C12+SUM(C16:C16))</f>
        <v>0</v>
      </c>
      <c r="D17" s="24">
        <f t="shared" si="31"/>
        <v>0</v>
      </c>
      <c r="E17" s="24">
        <f t="shared" si="31"/>
        <v>0</v>
      </c>
      <c r="F17" s="24">
        <f t="shared" si="31"/>
        <v>0</v>
      </c>
      <c r="G17" s="5"/>
      <c r="H17" s="24">
        <f>SUM(H12+SUM(H16:H16))</f>
        <v>0</v>
      </c>
      <c r="I17" s="24">
        <f>SUM(I12+SUM(I16:I16))</f>
        <v>0</v>
      </c>
      <c r="J17" s="24">
        <f>SUM(J12+SUM(J16:J16))</f>
        <v>0</v>
      </c>
      <c r="K17" s="24">
        <f>SUM(K12+SUM(K16:K16))</f>
        <v>0</v>
      </c>
      <c r="L17" s="24">
        <f t="shared" ref="L17:Q17" si="32">SUM(L12+SUM(L16:L16))</f>
        <v>0</v>
      </c>
      <c r="M17" s="24">
        <f t="shared" si="32"/>
        <v>0</v>
      </c>
      <c r="N17" s="24">
        <f t="shared" si="32"/>
        <v>0</v>
      </c>
      <c r="O17" s="24">
        <f t="shared" si="32"/>
        <v>0</v>
      </c>
      <c r="P17" s="24">
        <f t="shared" si="32"/>
        <v>0</v>
      </c>
      <c r="Q17" s="24">
        <f t="shared" si="32"/>
        <v>0</v>
      </c>
      <c r="R17" s="24">
        <f t="shared" ref="R17:S17" si="33">SUM(R12+SUM(R16:R16))</f>
        <v>0</v>
      </c>
      <c r="S17" s="24">
        <f t="shared" si="33"/>
        <v>0</v>
      </c>
      <c r="T17" s="24">
        <f t="shared" ref="T17" si="34">SUM(T12+SUM(T16:T16))</f>
        <v>0</v>
      </c>
      <c r="U17" s="5"/>
      <c r="V17" s="24">
        <f t="shared" ref="V17" si="35">SUM(V12+SUM(V16:V16))</f>
        <v>0</v>
      </c>
      <c r="W17" s="24">
        <f t="shared" ref="W17:AE17" si="36">SUM(W12+SUM(W16:W16))</f>
        <v>0</v>
      </c>
      <c r="X17" s="24">
        <f t="shared" si="36"/>
        <v>0</v>
      </c>
      <c r="Y17" s="24">
        <f t="shared" si="36"/>
        <v>0</v>
      </c>
      <c r="Z17" s="24">
        <f t="shared" si="36"/>
        <v>0</v>
      </c>
      <c r="AA17" s="24">
        <f t="shared" si="36"/>
        <v>0</v>
      </c>
      <c r="AB17" s="24">
        <f t="shared" si="36"/>
        <v>0</v>
      </c>
      <c r="AC17" s="24">
        <f t="shared" si="36"/>
        <v>0</v>
      </c>
      <c r="AD17" s="24">
        <f t="shared" si="36"/>
        <v>0</v>
      </c>
      <c r="AE17" s="24">
        <f t="shared" si="36"/>
        <v>0</v>
      </c>
      <c r="AG17" s="107" t="e">
        <f>SUM(AE17/AA17)-1</f>
        <v>#DIV/0!</v>
      </c>
    </row>
    <row r="18" spans="2:33" ht="12.75" customHeight="1">
      <c r="B18" s="14" t="s">
        <v>31</v>
      </c>
      <c r="C18" s="15" t="e">
        <f t="shared" ref="C18:F18" si="37">C17/C12</f>
        <v>#DIV/0!</v>
      </c>
      <c r="D18" s="15" t="e">
        <f t="shared" si="37"/>
        <v>#DIV/0!</v>
      </c>
      <c r="E18" s="15" t="e">
        <f t="shared" si="37"/>
        <v>#DIV/0!</v>
      </c>
      <c r="F18" s="15" t="e">
        <f t="shared" si="37"/>
        <v>#DIV/0!</v>
      </c>
      <c r="G18" s="25"/>
      <c r="H18" s="15" t="e">
        <f>H17/H12</f>
        <v>#DIV/0!</v>
      </c>
      <c r="I18" s="15" t="e">
        <f>I17/I12</f>
        <v>#DIV/0!</v>
      </c>
      <c r="J18" s="15" t="e">
        <f>J17/J12</f>
        <v>#DIV/0!</v>
      </c>
      <c r="K18" s="15" t="e">
        <f>K17/K12</f>
        <v>#DIV/0!</v>
      </c>
      <c r="L18" s="15" t="e">
        <f t="shared" ref="L18:Q18" si="38">L17/L12</f>
        <v>#DIV/0!</v>
      </c>
      <c r="M18" s="15" t="e">
        <f t="shared" si="38"/>
        <v>#DIV/0!</v>
      </c>
      <c r="N18" s="15" t="e">
        <f t="shared" si="38"/>
        <v>#DIV/0!</v>
      </c>
      <c r="O18" s="15" t="e">
        <f t="shared" si="38"/>
        <v>#DIV/0!</v>
      </c>
      <c r="P18" s="15" t="e">
        <f t="shared" si="38"/>
        <v>#DIV/0!</v>
      </c>
      <c r="Q18" s="15" t="e">
        <f t="shared" si="38"/>
        <v>#DIV/0!</v>
      </c>
      <c r="R18" s="15" t="e">
        <f t="shared" ref="R18:S18" si="39">R17/R12</f>
        <v>#DIV/0!</v>
      </c>
      <c r="S18" s="15" t="e">
        <f t="shared" si="39"/>
        <v>#DIV/0!</v>
      </c>
      <c r="T18" s="15" t="e">
        <f t="shared" ref="T18" si="40">T17/T12</f>
        <v>#DIV/0!</v>
      </c>
      <c r="U18" s="26"/>
      <c r="V18" s="15" t="e">
        <f t="shared" ref="V18" si="41">V17/V12</f>
        <v>#DIV/0!</v>
      </c>
      <c r="W18" s="15" t="e">
        <f t="shared" ref="W18:AE18" si="42">W17/W12</f>
        <v>#DIV/0!</v>
      </c>
      <c r="X18" s="15" t="e">
        <f t="shared" si="42"/>
        <v>#DIV/0!</v>
      </c>
      <c r="Y18" s="15" t="e">
        <f t="shared" si="42"/>
        <v>#DIV/0!</v>
      </c>
      <c r="Z18" s="15" t="e">
        <f t="shared" si="42"/>
        <v>#DIV/0!</v>
      </c>
      <c r="AA18" s="15" t="e">
        <f t="shared" si="42"/>
        <v>#DIV/0!</v>
      </c>
      <c r="AB18" s="15" t="e">
        <f t="shared" si="42"/>
        <v>#DIV/0!</v>
      </c>
      <c r="AC18" s="15" t="e">
        <f t="shared" si="42"/>
        <v>#DIV/0!</v>
      </c>
      <c r="AD18" s="15" t="e">
        <f t="shared" si="42"/>
        <v>#DIV/0!</v>
      </c>
      <c r="AE18" s="15" t="e">
        <f t="shared" si="42"/>
        <v>#DIV/0!</v>
      </c>
      <c r="AG18" s="108" t="e">
        <f>SUM(AE18-AA18)*10000</f>
        <v>#DIV/0!</v>
      </c>
    </row>
    <row r="19" spans="2:33" ht="5.0999999999999996" customHeight="1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5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G19" s="105"/>
    </row>
    <row r="20" spans="2:33" ht="12.75" customHeight="1">
      <c r="B20" s="21" t="s">
        <v>115</v>
      </c>
      <c r="C20" s="130"/>
      <c r="D20" s="130"/>
      <c r="E20" s="130"/>
      <c r="F20" s="130"/>
      <c r="G20" s="78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5"/>
      <c r="V20" s="129">
        <f t="shared" ref="V20:V24" si="43">SUM(H20:K20)</f>
        <v>0</v>
      </c>
      <c r="W20" s="129">
        <f t="shared" ref="W20:W24" si="44">SUM(I20:L20)</f>
        <v>0</v>
      </c>
      <c r="X20" s="129">
        <f t="shared" ref="X20:X24" si="45">SUM(J20:M20)</f>
        <v>0</v>
      </c>
      <c r="Y20" s="129">
        <f t="shared" ref="Y20:Y24" si="46">SUM(K20:N20)</f>
        <v>0</v>
      </c>
      <c r="Z20" s="129">
        <f t="shared" ref="Z20:Z24" si="47">SUM(L20:O20)</f>
        <v>0</v>
      </c>
      <c r="AA20" s="129">
        <f t="shared" ref="AA20:AA24" si="48">SUM(M20:P20)</f>
        <v>0</v>
      </c>
      <c r="AB20" s="129">
        <f t="shared" ref="AB20:AB24" si="49">SUM(N20:Q20)</f>
        <v>0</v>
      </c>
      <c r="AC20" s="129">
        <f t="shared" ref="AC20:AC24" si="50">SUM(O20:R20)</f>
        <v>0</v>
      </c>
      <c r="AD20" s="129">
        <f t="shared" ref="AD20:AD24" si="51">SUM(P20:S20)</f>
        <v>0</v>
      </c>
      <c r="AE20" s="129">
        <f t="shared" ref="AE20:AE24" si="52">SUM(Q20:T20)</f>
        <v>0</v>
      </c>
      <c r="AG20" s="106" t="e">
        <f>SUM(AE20/AA20)-1</f>
        <v>#DIV/0!</v>
      </c>
    </row>
    <row r="21" spans="2:33" ht="12.75" customHeight="1">
      <c r="B21" s="21" t="s">
        <v>115</v>
      </c>
      <c r="C21" s="130"/>
      <c r="D21" s="130"/>
      <c r="E21" s="130"/>
      <c r="F21" s="130"/>
      <c r="G21" s="78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5"/>
      <c r="V21" s="129">
        <f t="shared" ref="V21:V23" si="53">SUM(H21:K21)</f>
        <v>0</v>
      </c>
      <c r="W21" s="129">
        <f t="shared" ref="W21:W23" si="54">SUM(I21:L21)</f>
        <v>0</v>
      </c>
      <c r="X21" s="129">
        <f t="shared" ref="X21:X23" si="55">SUM(J21:M21)</f>
        <v>0</v>
      </c>
      <c r="Y21" s="129">
        <f t="shared" ref="Y21:Y23" si="56">SUM(K21:N21)</f>
        <v>0</v>
      </c>
      <c r="Z21" s="129">
        <f t="shared" ref="Z21:Z23" si="57">SUM(L21:O21)</f>
        <v>0</v>
      </c>
      <c r="AA21" s="129">
        <f t="shared" ref="AA21:AA23" si="58">SUM(M21:P21)</f>
        <v>0</v>
      </c>
      <c r="AB21" s="129">
        <f t="shared" ref="AB21:AB23" si="59">SUM(N21:Q21)</f>
        <v>0</v>
      </c>
      <c r="AC21" s="129">
        <f t="shared" ref="AC21:AC23" si="60">SUM(O21:R21)</f>
        <v>0</v>
      </c>
      <c r="AD21" s="129">
        <f t="shared" ref="AD21:AD23" si="61">SUM(P21:S21)</f>
        <v>0</v>
      </c>
      <c r="AE21" s="129">
        <f t="shared" ref="AE21:AE23" si="62">SUM(Q21:T21)</f>
        <v>0</v>
      </c>
      <c r="AG21" s="106" t="e">
        <f t="shared" ref="AG21:AG23" si="63">SUM(AE21/AA21)-1</f>
        <v>#DIV/0!</v>
      </c>
    </row>
    <row r="22" spans="2:33" ht="12.75" customHeight="1">
      <c r="B22" s="21" t="s">
        <v>115</v>
      </c>
      <c r="C22" s="130"/>
      <c r="D22" s="130"/>
      <c r="E22" s="130"/>
      <c r="F22" s="130"/>
      <c r="G22" s="78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5"/>
      <c r="V22" s="129">
        <f t="shared" si="53"/>
        <v>0</v>
      </c>
      <c r="W22" s="129">
        <f t="shared" si="54"/>
        <v>0</v>
      </c>
      <c r="X22" s="129">
        <f t="shared" si="55"/>
        <v>0</v>
      </c>
      <c r="Y22" s="129">
        <f t="shared" si="56"/>
        <v>0</v>
      </c>
      <c r="Z22" s="129">
        <f t="shared" si="57"/>
        <v>0</v>
      </c>
      <c r="AA22" s="129">
        <f t="shared" si="58"/>
        <v>0</v>
      </c>
      <c r="AB22" s="129">
        <f t="shared" si="59"/>
        <v>0</v>
      </c>
      <c r="AC22" s="129">
        <f t="shared" si="60"/>
        <v>0</v>
      </c>
      <c r="AD22" s="129">
        <f t="shared" si="61"/>
        <v>0</v>
      </c>
      <c r="AE22" s="129">
        <f t="shared" si="62"/>
        <v>0</v>
      </c>
      <c r="AG22" s="106" t="e">
        <f t="shared" si="63"/>
        <v>#DIV/0!</v>
      </c>
    </row>
    <row r="23" spans="2:33" ht="12.75" customHeight="1">
      <c r="B23" s="21" t="s">
        <v>115</v>
      </c>
      <c r="C23" s="130"/>
      <c r="D23" s="130"/>
      <c r="E23" s="130"/>
      <c r="F23" s="130"/>
      <c r="G23" s="78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5"/>
      <c r="V23" s="129">
        <f t="shared" si="53"/>
        <v>0</v>
      </c>
      <c r="W23" s="129">
        <f t="shared" si="54"/>
        <v>0</v>
      </c>
      <c r="X23" s="129">
        <f t="shared" si="55"/>
        <v>0</v>
      </c>
      <c r="Y23" s="129">
        <f t="shared" si="56"/>
        <v>0</v>
      </c>
      <c r="Z23" s="129">
        <f t="shared" si="57"/>
        <v>0</v>
      </c>
      <c r="AA23" s="129">
        <f t="shared" si="58"/>
        <v>0</v>
      </c>
      <c r="AB23" s="129">
        <f t="shared" si="59"/>
        <v>0</v>
      </c>
      <c r="AC23" s="129">
        <f t="shared" si="60"/>
        <v>0</v>
      </c>
      <c r="AD23" s="129">
        <f t="shared" si="61"/>
        <v>0</v>
      </c>
      <c r="AE23" s="129">
        <f t="shared" si="62"/>
        <v>0</v>
      </c>
      <c r="AG23" s="106" t="e">
        <f t="shared" si="63"/>
        <v>#DIV/0!</v>
      </c>
    </row>
    <row r="24" spans="2:33" ht="12.75" customHeight="1">
      <c r="B24" s="21" t="s">
        <v>115</v>
      </c>
      <c r="C24" s="130"/>
      <c r="D24" s="130"/>
      <c r="E24" s="130"/>
      <c r="F24" s="130"/>
      <c r="G24" s="78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5"/>
      <c r="V24" s="129">
        <f t="shared" si="43"/>
        <v>0</v>
      </c>
      <c r="W24" s="129">
        <f t="shared" si="44"/>
        <v>0</v>
      </c>
      <c r="X24" s="129">
        <f t="shared" si="45"/>
        <v>0</v>
      </c>
      <c r="Y24" s="129">
        <f t="shared" si="46"/>
        <v>0</v>
      </c>
      <c r="Z24" s="129">
        <f t="shared" si="47"/>
        <v>0</v>
      </c>
      <c r="AA24" s="129">
        <f t="shared" si="48"/>
        <v>0</v>
      </c>
      <c r="AB24" s="129">
        <f t="shared" si="49"/>
        <v>0</v>
      </c>
      <c r="AC24" s="129">
        <f t="shared" si="50"/>
        <v>0</v>
      </c>
      <c r="AD24" s="129">
        <f t="shared" si="51"/>
        <v>0</v>
      </c>
      <c r="AE24" s="129">
        <f t="shared" si="52"/>
        <v>0</v>
      </c>
      <c r="AG24" s="106" t="e">
        <f>SUM(AE24/AA24)-1</f>
        <v>#DIV/0!</v>
      </c>
    </row>
    <row r="25" spans="2:33" ht="12.75" customHeight="1">
      <c r="B25" s="12" t="s">
        <v>32</v>
      </c>
      <c r="C25" s="13">
        <f>SUM(C17+SUM(C20:C24))</f>
        <v>0</v>
      </c>
      <c r="D25" s="13">
        <f>SUM(D17+SUM(D20:D24))</f>
        <v>0</v>
      </c>
      <c r="E25" s="13">
        <f>SUM(E17+SUM(E20:E24))</f>
        <v>0</v>
      </c>
      <c r="F25" s="13">
        <f>SUM(F17+SUM(F20:F24))</f>
        <v>0</v>
      </c>
      <c r="G25" s="11"/>
      <c r="H25" s="13">
        <f t="shared" ref="H25:S25" si="64">SUM(H17+SUM(H20:H24))</f>
        <v>0</v>
      </c>
      <c r="I25" s="13">
        <f t="shared" si="64"/>
        <v>0</v>
      </c>
      <c r="J25" s="13">
        <f t="shared" si="64"/>
        <v>0</v>
      </c>
      <c r="K25" s="13">
        <f t="shared" si="64"/>
        <v>0</v>
      </c>
      <c r="L25" s="13">
        <f t="shared" si="64"/>
        <v>0</v>
      </c>
      <c r="M25" s="13">
        <f t="shared" si="64"/>
        <v>0</v>
      </c>
      <c r="N25" s="13">
        <f t="shared" si="64"/>
        <v>0</v>
      </c>
      <c r="O25" s="13">
        <f t="shared" si="64"/>
        <v>0</v>
      </c>
      <c r="P25" s="13">
        <f t="shared" si="64"/>
        <v>0</v>
      </c>
      <c r="Q25" s="13">
        <f t="shared" si="64"/>
        <v>0</v>
      </c>
      <c r="R25" s="13">
        <f t="shared" si="64"/>
        <v>0</v>
      </c>
      <c r="S25" s="13">
        <f t="shared" si="64"/>
        <v>0</v>
      </c>
      <c r="T25" s="13">
        <f t="shared" ref="T25" si="65">SUM(T17+SUM(T20:T24))</f>
        <v>0</v>
      </c>
      <c r="U25" s="5"/>
      <c r="V25" s="13">
        <f t="shared" ref="V25:AE25" si="66">SUM(V17+SUM(V20:V24))</f>
        <v>0</v>
      </c>
      <c r="W25" s="13">
        <f t="shared" si="66"/>
        <v>0</v>
      </c>
      <c r="X25" s="13">
        <f t="shared" si="66"/>
        <v>0</v>
      </c>
      <c r="Y25" s="13">
        <f t="shared" si="66"/>
        <v>0</v>
      </c>
      <c r="Z25" s="13">
        <f t="shared" si="66"/>
        <v>0</v>
      </c>
      <c r="AA25" s="13">
        <f t="shared" si="66"/>
        <v>0</v>
      </c>
      <c r="AB25" s="13">
        <f t="shared" si="66"/>
        <v>0</v>
      </c>
      <c r="AC25" s="13">
        <f t="shared" si="66"/>
        <v>0</v>
      </c>
      <c r="AD25" s="13">
        <f t="shared" si="66"/>
        <v>0</v>
      </c>
      <c r="AE25" s="13">
        <f t="shared" si="66"/>
        <v>0</v>
      </c>
      <c r="AG25" s="107" t="e">
        <f>SUM(AE25/AA25)-1</f>
        <v>#DIV/0!</v>
      </c>
    </row>
    <row r="26" spans="2:33" ht="12.75" customHeight="1">
      <c r="B26" s="14" t="s">
        <v>33</v>
      </c>
      <c r="C26" s="15" t="e">
        <f>C25/C12</f>
        <v>#DIV/0!</v>
      </c>
      <c r="D26" s="15" t="e">
        <f>D25/D12</f>
        <v>#DIV/0!</v>
      </c>
      <c r="E26" s="15" t="e">
        <f>E25/E12</f>
        <v>#DIV/0!</v>
      </c>
      <c r="F26" s="15" t="e">
        <f>F25/F12</f>
        <v>#DIV/0!</v>
      </c>
      <c r="G26" s="25"/>
      <c r="H26" s="15" t="e">
        <f t="shared" ref="H26:S26" si="67">H25/H12</f>
        <v>#DIV/0!</v>
      </c>
      <c r="I26" s="15" t="e">
        <f t="shared" si="67"/>
        <v>#DIV/0!</v>
      </c>
      <c r="J26" s="15" t="e">
        <f t="shared" si="67"/>
        <v>#DIV/0!</v>
      </c>
      <c r="K26" s="15" t="e">
        <f t="shared" si="67"/>
        <v>#DIV/0!</v>
      </c>
      <c r="L26" s="15" t="e">
        <f t="shared" si="67"/>
        <v>#DIV/0!</v>
      </c>
      <c r="M26" s="15" t="e">
        <f t="shared" si="67"/>
        <v>#DIV/0!</v>
      </c>
      <c r="N26" s="15" t="e">
        <f t="shared" si="67"/>
        <v>#DIV/0!</v>
      </c>
      <c r="O26" s="15" t="e">
        <f t="shared" si="67"/>
        <v>#DIV/0!</v>
      </c>
      <c r="P26" s="15" t="e">
        <f t="shared" si="67"/>
        <v>#DIV/0!</v>
      </c>
      <c r="Q26" s="15" t="e">
        <f t="shared" si="67"/>
        <v>#DIV/0!</v>
      </c>
      <c r="R26" s="15" t="e">
        <f t="shared" si="67"/>
        <v>#DIV/0!</v>
      </c>
      <c r="S26" s="15" t="e">
        <f t="shared" si="67"/>
        <v>#DIV/0!</v>
      </c>
      <c r="T26" s="15" t="e">
        <f t="shared" ref="T26" si="68">T25/T12</f>
        <v>#DIV/0!</v>
      </c>
      <c r="U26" s="26"/>
      <c r="V26" s="15" t="e">
        <f t="shared" ref="V26:AE26" si="69">V25/V12</f>
        <v>#DIV/0!</v>
      </c>
      <c r="W26" s="15" t="e">
        <f t="shared" si="69"/>
        <v>#DIV/0!</v>
      </c>
      <c r="X26" s="15" t="e">
        <f t="shared" si="69"/>
        <v>#DIV/0!</v>
      </c>
      <c r="Y26" s="15" t="e">
        <f t="shared" si="69"/>
        <v>#DIV/0!</v>
      </c>
      <c r="Z26" s="15" t="e">
        <f t="shared" si="69"/>
        <v>#DIV/0!</v>
      </c>
      <c r="AA26" s="15" t="e">
        <f t="shared" si="69"/>
        <v>#DIV/0!</v>
      </c>
      <c r="AB26" s="15" t="e">
        <f t="shared" si="69"/>
        <v>#DIV/0!</v>
      </c>
      <c r="AC26" s="15" t="e">
        <f t="shared" si="69"/>
        <v>#DIV/0!</v>
      </c>
      <c r="AD26" s="15" t="e">
        <f t="shared" si="69"/>
        <v>#DIV/0!</v>
      </c>
      <c r="AE26" s="15" t="e">
        <f t="shared" si="69"/>
        <v>#DIV/0!</v>
      </c>
      <c r="AG26" s="108" t="e">
        <f>SUM(AE26-AA26)*10000</f>
        <v>#DIV/0!</v>
      </c>
    </row>
    <row r="27" spans="2:33" ht="5.0999999999999996" customHeight="1">
      <c r="AG27" s="105"/>
    </row>
    <row r="28" spans="2:33" ht="12.75" customHeight="1">
      <c r="B28" s="29" t="s">
        <v>97</v>
      </c>
      <c r="C28" s="130"/>
      <c r="D28" s="130"/>
      <c r="E28" s="130"/>
      <c r="F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V28" s="129">
        <f t="shared" ref="V28" si="70">SUM(H28:K28)</f>
        <v>0</v>
      </c>
      <c r="W28" s="129">
        <f t="shared" ref="W28" si="71">SUM(I28:L28)</f>
        <v>0</v>
      </c>
      <c r="X28" s="129">
        <f t="shared" ref="X28" si="72">SUM(J28:M28)</f>
        <v>0</v>
      </c>
      <c r="Y28" s="129">
        <f t="shared" ref="Y28" si="73">SUM(K28:N28)</f>
        <v>0</v>
      </c>
      <c r="Z28" s="129">
        <f t="shared" ref="Z28" si="74">SUM(L28:O28)</f>
        <v>0</v>
      </c>
      <c r="AA28" s="129">
        <f t="shared" ref="AA28" si="75">SUM(M28:P28)</f>
        <v>0</v>
      </c>
      <c r="AB28" s="129">
        <f t="shared" ref="AB28" si="76">SUM(N28:Q28)</f>
        <v>0</v>
      </c>
      <c r="AC28" s="129">
        <f t="shared" ref="AC28" si="77">SUM(O28:R28)</f>
        <v>0</v>
      </c>
      <c r="AD28" s="129">
        <f t="shared" ref="AD28" si="78">SUM(P28:S28)</f>
        <v>0</v>
      </c>
      <c r="AE28" s="129">
        <f>SUM(Q28:T28)</f>
        <v>0</v>
      </c>
      <c r="AG28" s="106" t="e">
        <f>SUM(AE28/AA28)-1</f>
        <v>#DIV/0!</v>
      </c>
    </row>
    <row r="29" spans="2:33" ht="12.75" customHeight="1">
      <c r="B29" s="23" t="s">
        <v>11</v>
      </c>
      <c r="C29" s="24">
        <f t="shared" ref="C29:F29" si="79">SUM(C25+SUM(C28:C28))</f>
        <v>0</v>
      </c>
      <c r="D29" s="24">
        <f t="shared" si="79"/>
        <v>0</v>
      </c>
      <c r="E29" s="24">
        <f t="shared" si="79"/>
        <v>0</v>
      </c>
      <c r="F29" s="24">
        <f t="shared" si="79"/>
        <v>0</v>
      </c>
      <c r="H29" s="24">
        <f t="shared" ref="H29:Q29" si="80">SUM(H25+SUM(H28:H28))</f>
        <v>0</v>
      </c>
      <c r="I29" s="24">
        <f t="shared" si="80"/>
        <v>0</v>
      </c>
      <c r="J29" s="24">
        <f t="shared" si="80"/>
        <v>0</v>
      </c>
      <c r="K29" s="24">
        <f t="shared" si="80"/>
        <v>0</v>
      </c>
      <c r="L29" s="24">
        <f t="shared" si="80"/>
        <v>0</v>
      </c>
      <c r="M29" s="24">
        <f t="shared" si="80"/>
        <v>0</v>
      </c>
      <c r="N29" s="24">
        <f t="shared" si="80"/>
        <v>0</v>
      </c>
      <c r="O29" s="24">
        <f t="shared" si="80"/>
        <v>0</v>
      </c>
      <c r="P29" s="24">
        <f t="shared" si="80"/>
        <v>0</v>
      </c>
      <c r="Q29" s="24">
        <f t="shared" si="80"/>
        <v>0</v>
      </c>
      <c r="R29" s="24">
        <f t="shared" ref="R29:S29" si="81">SUM(R25+SUM(R28:R28))</f>
        <v>0</v>
      </c>
      <c r="S29" s="24">
        <f t="shared" si="81"/>
        <v>0</v>
      </c>
      <c r="T29" s="24">
        <f t="shared" ref="T29" si="82">SUM(T25+SUM(T28:T28))</f>
        <v>0</v>
      </c>
      <c r="V29" s="24">
        <f t="shared" ref="V29" si="83">SUM(V25+SUM(V28:V28))</f>
        <v>0</v>
      </c>
      <c r="W29" s="24">
        <f t="shared" ref="W29:AE29" si="84">SUM(W25+SUM(W28:W28))</f>
        <v>0</v>
      </c>
      <c r="X29" s="24">
        <f t="shared" si="84"/>
        <v>0</v>
      </c>
      <c r="Y29" s="24">
        <f t="shared" si="84"/>
        <v>0</v>
      </c>
      <c r="Z29" s="24">
        <f t="shared" si="84"/>
        <v>0</v>
      </c>
      <c r="AA29" s="24">
        <f t="shared" si="84"/>
        <v>0</v>
      </c>
      <c r="AB29" s="24">
        <f t="shared" si="84"/>
        <v>0</v>
      </c>
      <c r="AC29" s="24">
        <f t="shared" si="84"/>
        <v>0</v>
      </c>
      <c r="AD29" s="24">
        <f t="shared" si="84"/>
        <v>0</v>
      </c>
      <c r="AE29" s="24">
        <f t="shared" si="84"/>
        <v>0</v>
      </c>
      <c r="AG29" s="107" t="e">
        <f>SUM(AE29/AA29)-1</f>
        <v>#DIV/0!</v>
      </c>
    </row>
    <row r="30" spans="2:33" ht="12.75" customHeight="1">
      <c r="B30" s="14" t="s">
        <v>34</v>
      </c>
      <c r="C30" s="15" t="e">
        <f>C29/C12</f>
        <v>#DIV/0!</v>
      </c>
      <c r="D30" s="15" t="e">
        <f>D29/D12</f>
        <v>#DIV/0!</v>
      </c>
      <c r="E30" s="15" t="e">
        <f>E29/E12</f>
        <v>#DIV/0!</v>
      </c>
      <c r="F30" s="15" t="e">
        <f>F29/F12</f>
        <v>#DIV/0!</v>
      </c>
      <c r="H30" s="15" t="e">
        <f t="shared" ref="H30:S30" si="85">H29/H12</f>
        <v>#DIV/0!</v>
      </c>
      <c r="I30" s="15" t="e">
        <f t="shared" si="85"/>
        <v>#DIV/0!</v>
      </c>
      <c r="J30" s="15" t="e">
        <f t="shared" si="85"/>
        <v>#DIV/0!</v>
      </c>
      <c r="K30" s="15" t="e">
        <f t="shared" si="85"/>
        <v>#DIV/0!</v>
      </c>
      <c r="L30" s="15" t="e">
        <f t="shared" si="85"/>
        <v>#DIV/0!</v>
      </c>
      <c r="M30" s="15" t="e">
        <f t="shared" si="85"/>
        <v>#DIV/0!</v>
      </c>
      <c r="N30" s="15" t="e">
        <f t="shared" si="85"/>
        <v>#DIV/0!</v>
      </c>
      <c r="O30" s="15" t="e">
        <f t="shared" si="85"/>
        <v>#DIV/0!</v>
      </c>
      <c r="P30" s="15" t="e">
        <f t="shared" si="85"/>
        <v>#DIV/0!</v>
      </c>
      <c r="Q30" s="15" t="e">
        <f t="shared" si="85"/>
        <v>#DIV/0!</v>
      </c>
      <c r="R30" s="15" t="e">
        <f t="shared" si="85"/>
        <v>#DIV/0!</v>
      </c>
      <c r="S30" s="15" t="e">
        <f t="shared" si="85"/>
        <v>#DIV/0!</v>
      </c>
      <c r="T30" s="15" t="e">
        <f t="shared" ref="T30" si="86">T29/T12</f>
        <v>#DIV/0!</v>
      </c>
      <c r="V30" s="15" t="e">
        <f t="shared" ref="V30:AE30" si="87">V29/V12</f>
        <v>#DIV/0!</v>
      </c>
      <c r="W30" s="15" t="e">
        <f t="shared" si="87"/>
        <v>#DIV/0!</v>
      </c>
      <c r="X30" s="15" t="e">
        <f t="shared" si="87"/>
        <v>#DIV/0!</v>
      </c>
      <c r="Y30" s="15" t="e">
        <f t="shared" si="87"/>
        <v>#DIV/0!</v>
      </c>
      <c r="Z30" s="15" t="e">
        <f t="shared" si="87"/>
        <v>#DIV/0!</v>
      </c>
      <c r="AA30" s="15" t="e">
        <f t="shared" si="87"/>
        <v>#DIV/0!</v>
      </c>
      <c r="AB30" s="15" t="e">
        <f t="shared" si="87"/>
        <v>#DIV/0!</v>
      </c>
      <c r="AC30" s="15" t="e">
        <f t="shared" si="87"/>
        <v>#DIV/0!</v>
      </c>
      <c r="AD30" s="15" t="e">
        <f t="shared" si="87"/>
        <v>#DIV/0!</v>
      </c>
      <c r="AE30" s="15" t="e">
        <f t="shared" si="87"/>
        <v>#DIV/0!</v>
      </c>
      <c r="AG30" s="108" t="e">
        <f>SUM(AE30-AA30)*10000</f>
        <v>#DIV/0!</v>
      </c>
    </row>
    <row r="31" spans="2:33" ht="5.0999999999999996" customHeight="1">
      <c r="AG31" s="105"/>
    </row>
    <row r="32" spans="2:33" ht="12.75" customHeight="1">
      <c r="B32" s="29" t="s">
        <v>98</v>
      </c>
      <c r="C32" s="130"/>
      <c r="D32" s="130"/>
      <c r="E32" s="130"/>
      <c r="F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V32" s="129">
        <f t="shared" ref="V32:V33" si="88">SUM(H32:K32)</f>
        <v>0</v>
      </c>
      <c r="W32" s="129">
        <f t="shared" ref="W32:W33" si="89">SUM(I32:L32)</f>
        <v>0</v>
      </c>
      <c r="X32" s="129">
        <f t="shared" ref="X32:X33" si="90">SUM(J32:M32)</f>
        <v>0</v>
      </c>
      <c r="Y32" s="129">
        <f t="shared" ref="Y32:Y33" si="91">SUM(K32:N32)</f>
        <v>0</v>
      </c>
      <c r="Z32" s="129">
        <f t="shared" ref="Z32:Z33" si="92">SUM(L32:O32)</f>
        <v>0</v>
      </c>
      <c r="AA32" s="129">
        <f t="shared" ref="AA32:AA33" si="93">SUM(M32:P32)</f>
        <v>0</v>
      </c>
      <c r="AB32" s="129">
        <f t="shared" ref="AB32:AB33" si="94">SUM(N32:Q32)</f>
        <v>0</v>
      </c>
      <c r="AC32" s="129">
        <f t="shared" ref="AC32:AC33" si="95">SUM(O32:R32)</f>
        <v>0</v>
      </c>
      <c r="AD32" s="129">
        <f t="shared" ref="AD32:AD33" si="96">SUM(P32:S32)</f>
        <v>0</v>
      </c>
      <c r="AE32" s="129">
        <f t="shared" ref="AE32:AE33" si="97">SUM(Q32:T32)</f>
        <v>0</v>
      </c>
      <c r="AG32" s="106" t="e">
        <f>SUM(AE32/AA32)-1</f>
        <v>#DIV/0!</v>
      </c>
    </row>
    <row r="33" spans="2:33" ht="12.75" customHeight="1">
      <c r="B33" s="29" t="s">
        <v>114</v>
      </c>
      <c r="C33" s="133"/>
      <c r="D33" s="133"/>
      <c r="E33" s="133"/>
      <c r="F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V33" s="129">
        <f t="shared" si="88"/>
        <v>0</v>
      </c>
      <c r="W33" s="129">
        <f t="shared" si="89"/>
        <v>0</v>
      </c>
      <c r="X33" s="129">
        <f t="shared" si="90"/>
        <v>0</v>
      </c>
      <c r="Y33" s="129">
        <f t="shared" si="91"/>
        <v>0</v>
      </c>
      <c r="Z33" s="129">
        <f t="shared" si="92"/>
        <v>0</v>
      </c>
      <c r="AA33" s="129">
        <f t="shared" si="93"/>
        <v>0</v>
      </c>
      <c r="AB33" s="129">
        <f t="shared" si="94"/>
        <v>0</v>
      </c>
      <c r="AC33" s="129">
        <f t="shared" si="95"/>
        <v>0</v>
      </c>
      <c r="AD33" s="129">
        <f t="shared" si="96"/>
        <v>0</v>
      </c>
      <c r="AE33" s="129">
        <f t="shared" si="97"/>
        <v>0</v>
      </c>
      <c r="AG33" s="106" t="e">
        <f>SUM(AE33/AA33)-1</f>
        <v>#DIV/0!</v>
      </c>
    </row>
    <row r="34" spans="2:33" ht="12.75" customHeight="1">
      <c r="B34" s="12" t="s">
        <v>35</v>
      </c>
      <c r="C34" s="13">
        <f t="shared" ref="C34:F34" si="98">+SUM(C29+SUM(C32:C32))</f>
        <v>0</v>
      </c>
      <c r="D34" s="13">
        <f t="shared" si="98"/>
        <v>0</v>
      </c>
      <c r="E34" s="13">
        <f t="shared" si="98"/>
        <v>0</v>
      </c>
      <c r="F34" s="13">
        <f t="shared" si="98"/>
        <v>0</v>
      </c>
      <c r="G34" s="11"/>
      <c r="H34" s="13">
        <f>+SUM(H29+SUM(H32:H32))</f>
        <v>0</v>
      </c>
      <c r="I34" s="13">
        <f>+SUM(I29+SUM(I32:I32))</f>
        <v>0</v>
      </c>
      <c r="J34" s="13">
        <f>+SUM(J29+SUM(J32:J32))</f>
        <v>0</v>
      </c>
      <c r="K34" s="13">
        <f>+SUM(K29+SUM(K32:K32))</f>
        <v>0</v>
      </c>
      <c r="L34" s="13">
        <f t="shared" ref="L34:Q34" si="99">+SUM(L29+SUM(L32:L32))</f>
        <v>0</v>
      </c>
      <c r="M34" s="13">
        <f t="shared" si="99"/>
        <v>0</v>
      </c>
      <c r="N34" s="13">
        <f t="shared" si="99"/>
        <v>0</v>
      </c>
      <c r="O34" s="13">
        <f t="shared" si="99"/>
        <v>0</v>
      </c>
      <c r="P34" s="13">
        <f t="shared" si="99"/>
        <v>0</v>
      </c>
      <c r="Q34" s="13">
        <f t="shared" si="99"/>
        <v>0</v>
      </c>
      <c r="R34" s="13">
        <f t="shared" ref="R34:S34" si="100">+SUM(R29+SUM(R32:R32))</f>
        <v>0</v>
      </c>
      <c r="S34" s="13">
        <f t="shared" si="100"/>
        <v>0</v>
      </c>
      <c r="T34" s="13">
        <f t="shared" ref="T34" si="101">+SUM(T29+SUM(T32:T32))</f>
        <v>0</v>
      </c>
      <c r="V34" s="13">
        <f t="shared" ref="V34" si="102">+SUM(V29+SUM(V32:V32))</f>
        <v>0</v>
      </c>
      <c r="W34" s="13">
        <f t="shared" ref="W34:AE34" si="103">+SUM(W29+SUM(W32:W32))</f>
        <v>0</v>
      </c>
      <c r="X34" s="13">
        <f t="shared" si="103"/>
        <v>0</v>
      </c>
      <c r="Y34" s="13">
        <f t="shared" si="103"/>
        <v>0</v>
      </c>
      <c r="Z34" s="13">
        <f t="shared" si="103"/>
        <v>0</v>
      </c>
      <c r="AA34" s="13">
        <f t="shared" si="103"/>
        <v>0</v>
      </c>
      <c r="AB34" s="13">
        <f t="shared" si="103"/>
        <v>0</v>
      </c>
      <c r="AC34" s="13">
        <f t="shared" si="103"/>
        <v>0</v>
      </c>
      <c r="AD34" s="13">
        <f t="shared" si="103"/>
        <v>0</v>
      </c>
      <c r="AE34" s="13">
        <f t="shared" si="103"/>
        <v>0</v>
      </c>
      <c r="AG34" s="107" t="e">
        <f>SUM(AE34/AA34)-1</f>
        <v>#DIV/0!</v>
      </c>
    </row>
    <row r="35" spans="2:33" ht="12.75" customHeight="1">
      <c r="B35" s="14" t="s">
        <v>36</v>
      </c>
      <c r="C35" s="15" t="e">
        <f>C34/C12</f>
        <v>#DIV/0!</v>
      </c>
      <c r="D35" s="15" t="e">
        <f>D34/D12</f>
        <v>#DIV/0!</v>
      </c>
      <c r="E35" s="15" t="e">
        <f>E34/E12</f>
        <v>#DIV/0!</v>
      </c>
      <c r="F35" s="15" t="e">
        <f>F34/F12</f>
        <v>#DIV/0!</v>
      </c>
      <c r="H35" s="15" t="e">
        <f t="shared" ref="H35:S35" si="104">H34/H12</f>
        <v>#DIV/0!</v>
      </c>
      <c r="I35" s="15" t="e">
        <f t="shared" si="104"/>
        <v>#DIV/0!</v>
      </c>
      <c r="J35" s="15" t="e">
        <f t="shared" si="104"/>
        <v>#DIV/0!</v>
      </c>
      <c r="K35" s="15" t="e">
        <f t="shared" si="104"/>
        <v>#DIV/0!</v>
      </c>
      <c r="L35" s="15" t="e">
        <f t="shared" si="104"/>
        <v>#DIV/0!</v>
      </c>
      <c r="M35" s="15" t="e">
        <f t="shared" si="104"/>
        <v>#DIV/0!</v>
      </c>
      <c r="N35" s="15" t="e">
        <f t="shared" si="104"/>
        <v>#DIV/0!</v>
      </c>
      <c r="O35" s="15" t="e">
        <f t="shared" si="104"/>
        <v>#DIV/0!</v>
      </c>
      <c r="P35" s="15" t="e">
        <f t="shared" si="104"/>
        <v>#DIV/0!</v>
      </c>
      <c r="Q35" s="15" t="e">
        <f t="shared" si="104"/>
        <v>#DIV/0!</v>
      </c>
      <c r="R35" s="15" t="e">
        <f t="shared" si="104"/>
        <v>#DIV/0!</v>
      </c>
      <c r="S35" s="15" t="e">
        <f t="shared" si="104"/>
        <v>#DIV/0!</v>
      </c>
      <c r="T35" s="15" t="e">
        <f t="shared" ref="T35" si="105">T34/T12</f>
        <v>#DIV/0!</v>
      </c>
      <c r="V35" s="15" t="e">
        <f t="shared" ref="V35:AE35" si="106">V34/V12</f>
        <v>#DIV/0!</v>
      </c>
      <c r="W35" s="15" t="e">
        <f t="shared" si="106"/>
        <v>#DIV/0!</v>
      </c>
      <c r="X35" s="15" t="e">
        <f t="shared" si="106"/>
        <v>#DIV/0!</v>
      </c>
      <c r="Y35" s="15" t="e">
        <f t="shared" si="106"/>
        <v>#DIV/0!</v>
      </c>
      <c r="Z35" s="15" t="e">
        <f t="shared" si="106"/>
        <v>#DIV/0!</v>
      </c>
      <c r="AA35" s="15" t="e">
        <f t="shared" si="106"/>
        <v>#DIV/0!</v>
      </c>
      <c r="AB35" s="15" t="e">
        <f t="shared" si="106"/>
        <v>#DIV/0!</v>
      </c>
      <c r="AC35" s="15" t="e">
        <f t="shared" si="106"/>
        <v>#DIV/0!</v>
      </c>
      <c r="AD35" s="15" t="e">
        <f t="shared" si="106"/>
        <v>#DIV/0!</v>
      </c>
      <c r="AE35" s="15" t="e">
        <f t="shared" si="106"/>
        <v>#DIV/0!</v>
      </c>
      <c r="AG35" s="108" t="e">
        <f>SUM(AE35-AA35)*10000</f>
        <v>#DIV/0!</v>
      </c>
    </row>
    <row r="36" spans="2:33" ht="5.0999999999999996" customHeight="1">
      <c r="AG36" s="105"/>
    </row>
    <row r="37" spans="2:33" ht="12.75" customHeight="1">
      <c r="B37" s="21" t="s">
        <v>37</v>
      </c>
      <c r="C37" s="130"/>
      <c r="D37" s="130"/>
      <c r="E37" s="130"/>
      <c r="F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V37" s="129">
        <f t="shared" ref="V37:V41" si="107">SUM(H37:K37)</f>
        <v>0</v>
      </c>
      <c r="W37" s="129">
        <f t="shared" ref="W37:W41" si="108">SUM(I37:L37)</f>
        <v>0</v>
      </c>
      <c r="X37" s="129">
        <f t="shared" ref="X37:X41" si="109">SUM(J37:M37)</f>
        <v>0</v>
      </c>
      <c r="Y37" s="129">
        <f t="shared" ref="Y37:Y41" si="110">SUM(K37:N37)</f>
        <v>0</v>
      </c>
      <c r="Z37" s="129">
        <f t="shared" ref="Z37:Z41" si="111">SUM(L37:O37)</f>
        <v>0</v>
      </c>
      <c r="AA37" s="129">
        <f t="shared" ref="AA37:AA41" si="112">SUM(M37:P37)</f>
        <v>0</v>
      </c>
      <c r="AB37" s="129">
        <f t="shared" ref="AB37:AB41" si="113">SUM(N37:Q37)</f>
        <v>0</v>
      </c>
      <c r="AC37" s="129">
        <f t="shared" ref="AC37:AC41" si="114">SUM(O37:R37)</f>
        <v>0</v>
      </c>
      <c r="AD37" s="129">
        <f t="shared" ref="AD37:AD41" si="115">SUM(P37:S37)</f>
        <v>0</v>
      </c>
      <c r="AE37" s="129">
        <f t="shared" ref="AE37:AE41" si="116">SUM(Q37:T37)</f>
        <v>0</v>
      </c>
      <c r="AG37" s="106" t="e">
        <f t="shared" ref="AG37:AG42" si="117">SUM(AE37/AA37)-1</f>
        <v>#DIV/0!</v>
      </c>
    </row>
    <row r="38" spans="2:33" ht="12.75" customHeight="1">
      <c r="B38" s="21" t="s">
        <v>38</v>
      </c>
      <c r="C38" s="130"/>
      <c r="D38" s="130"/>
      <c r="E38" s="130"/>
      <c r="F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V38" s="129">
        <f t="shared" si="107"/>
        <v>0</v>
      </c>
      <c r="W38" s="129">
        <f t="shared" si="108"/>
        <v>0</v>
      </c>
      <c r="X38" s="129">
        <f t="shared" si="109"/>
        <v>0</v>
      </c>
      <c r="Y38" s="129">
        <f t="shared" si="110"/>
        <v>0</v>
      </c>
      <c r="Z38" s="129">
        <f t="shared" si="111"/>
        <v>0</v>
      </c>
      <c r="AA38" s="129">
        <f t="shared" si="112"/>
        <v>0</v>
      </c>
      <c r="AB38" s="129">
        <f t="shared" si="113"/>
        <v>0</v>
      </c>
      <c r="AC38" s="129">
        <f t="shared" si="114"/>
        <v>0</v>
      </c>
      <c r="AD38" s="129">
        <f t="shared" si="115"/>
        <v>0</v>
      </c>
      <c r="AE38" s="129">
        <f t="shared" si="116"/>
        <v>0</v>
      </c>
      <c r="AG38" s="106" t="e">
        <f t="shared" si="117"/>
        <v>#DIV/0!</v>
      </c>
    </row>
    <row r="39" spans="2:33" ht="12.75" customHeight="1">
      <c r="B39" s="21" t="s">
        <v>73</v>
      </c>
      <c r="C39" s="130"/>
      <c r="D39" s="130"/>
      <c r="E39" s="130"/>
      <c r="F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V39" s="129">
        <f t="shared" si="107"/>
        <v>0</v>
      </c>
      <c r="W39" s="129">
        <f t="shared" si="108"/>
        <v>0</v>
      </c>
      <c r="X39" s="129">
        <f t="shared" si="109"/>
        <v>0</v>
      </c>
      <c r="Y39" s="129">
        <f t="shared" si="110"/>
        <v>0</v>
      </c>
      <c r="Z39" s="129">
        <f t="shared" si="111"/>
        <v>0</v>
      </c>
      <c r="AA39" s="129">
        <f t="shared" si="112"/>
        <v>0</v>
      </c>
      <c r="AB39" s="129">
        <f t="shared" si="113"/>
        <v>0</v>
      </c>
      <c r="AC39" s="129">
        <f t="shared" si="114"/>
        <v>0</v>
      </c>
      <c r="AD39" s="129">
        <f t="shared" si="115"/>
        <v>0</v>
      </c>
      <c r="AE39" s="129">
        <f t="shared" si="116"/>
        <v>0</v>
      </c>
      <c r="AG39" s="106" t="e">
        <f t="shared" si="117"/>
        <v>#DIV/0!</v>
      </c>
    </row>
    <row r="40" spans="2:33" ht="12.75" customHeight="1">
      <c r="B40" s="21" t="s">
        <v>116</v>
      </c>
      <c r="C40" s="130"/>
      <c r="D40" s="130"/>
      <c r="E40" s="130"/>
      <c r="F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V40" s="129">
        <f t="shared" ref="V40" si="118">SUM(H40:K40)</f>
        <v>0</v>
      </c>
      <c r="W40" s="129">
        <f t="shared" ref="W40" si="119">SUM(I40:L40)</f>
        <v>0</v>
      </c>
      <c r="X40" s="129">
        <f t="shared" ref="X40" si="120">SUM(J40:M40)</f>
        <v>0</v>
      </c>
      <c r="Y40" s="129">
        <f t="shared" ref="Y40" si="121">SUM(K40:N40)</f>
        <v>0</v>
      </c>
      <c r="Z40" s="129">
        <f t="shared" ref="Z40" si="122">SUM(L40:O40)</f>
        <v>0</v>
      </c>
      <c r="AA40" s="129">
        <f t="shared" ref="AA40" si="123">SUM(M40:P40)</f>
        <v>0</v>
      </c>
      <c r="AB40" s="129">
        <f t="shared" ref="AB40" si="124">SUM(N40:Q40)</f>
        <v>0</v>
      </c>
      <c r="AC40" s="129">
        <f t="shared" ref="AC40" si="125">SUM(O40:R40)</f>
        <v>0</v>
      </c>
      <c r="AD40" s="129">
        <f t="shared" ref="AD40" si="126">SUM(P40:S40)</f>
        <v>0</v>
      </c>
      <c r="AE40" s="129">
        <f t="shared" ref="AE40" si="127">SUM(Q40:T40)</f>
        <v>0</v>
      </c>
      <c r="AG40" s="106" t="e">
        <f t="shared" si="117"/>
        <v>#DIV/0!</v>
      </c>
    </row>
    <row r="41" spans="2:33" ht="12.75" customHeight="1">
      <c r="B41" s="21" t="s">
        <v>39</v>
      </c>
      <c r="C41" s="130"/>
      <c r="D41" s="130"/>
      <c r="E41" s="130"/>
      <c r="F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V41" s="129">
        <f t="shared" si="107"/>
        <v>0</v>
      </c>
      <c r="W41" s="129">
        <f t="shared" si="108"/>
        <v>0</v>
      </c>
      <c r="X41" s="129">
        <f t="shared" si="109"/>
        <v>0</v>
      </c>
      <c r="Y41" s="129">
        <f t="shared" si="110"/>
        <v>0</v>
      </c>
      <c r="Z41" s="129">
        <f t="shared" si="111"/>
        <v>0</v>
      </c>
      <c r="AA41" s="129">
        <f t="shared" si="112"/>
        <v>0</v>
      </c>
      <c r="AB41" s="129">
        <f t="shared" si="113"/>
        <v>0</v>
      </c>
      <c r="AC41" s="129">
        <f t="shared" si="114"/>
        <v>0</v>
      </c>
      <c r="AD41" s="129">
        <f t="shared" si="115"/>
        <v>0</v>
      </c>
      <c r="AE41" s="129">
        <f t="shared" si="116"/>
        <v>0</v>
      </c>
      <c r="AG41" s="106" t="e">
        <f t="shared" si="117"/>
        <v>#DIV/0!</v>
      </c>
    </row>
    <row r="42" spans="2:33" ht="12.75" customHeight="1">
      <c r="B42" s="12" t="s">
        <v>40</v>
      </c>
      <c r="C42" s="13">
        <f>SUM(C34+SUM(C37:C41))</f>
        <v>0</v>
      </c>
      <c r="D42" s="13">
        <f>SUM(D34+SUM(D37:D41))</f>
        <v>0</v>
      </c>
      <c r="E42" s="13">
        <f>SUM(E34+SUM(E37:E41))</f>
        <v>0</v>
      </c>
      <c r="F42" s="13">
        <f>SUM(F34+SUM(F37:F41))</f>
        <v>0</v>
      </c>
      <c r="H42" s="13">
        <f>SUM(H34+SUM(H37:H41))</f>
        <v>0</v>
      </c>
      <c r="I42" s="13">
        <f>SUM(I34+SUM(I37:I41))</f>
        <v>0</v>
      </c>
      <c r="J42" s="13">
        <f>SUM(J34+SUM(J37:J41))</f>
        <v>0</v>
      </c>
      <c r="K42" s="13">
        <f>SUM(K34+SUM(K37:K41))</f>
        <v>0</v>
      </c>
      <c r="L42" s="13">
        <f t="shared" ref="L42:Q42" si="128">SUM(L34+SUM(L37:L41))</f>
        <v>0</v>
      </c>
      <c r="M42" s="13">
        <f t="shared" si="128"/>
        <v>0</v>
      </c>
      <c r="N42" s="13">
        <f t="shared" si="128"/>
        <v>0</v>
      </c>
      <c r="O42" s="13">
        <f t="shared" si="128"/>
        <v>0</v>
      </c>
      <c r="P42" s="13">
        <f t="shared" si="128"/>
        <v>0</v>
      </c>
      <c r="Q42" s="13">
        <f t="shared" si="128"/>
        <v>0</v>
      </c>
      <c r="R42" s="13">
        <f t="shared" ref="R42:S42" si="129">SUM(R34+SUM(R37:R41))</f>
        <v>0</v>
      </c>
      <c r="S42" s="13">
        <f t="shared" si="129"/>
        <v>0</v>
      </c>
      <c r="T42" s="13">
        <f t="shared" ref="T42" si="130">SUM(T34+SUM(T37:T41))</f>
        <v>0</v>
      </c>
      <c r="V42" s="13">
        <f t="shared" ref="V42" si="131">SUM(V34+SUM(V37:V41))</f>
        <v>0</v>
      </c>
      <c r="W42" s="13">
        <f t="shared" ref="W42:AC42" si="132">SUM(W34+SUM(W37:W41))</f>
        <v>0</v>
      </c>
      <c r="X42" s="13">
        <f t="shared" si="132"/>
        <v>0</v>
      </c>
      <c r="Y42" s="13">
        <f t="shared" si="132"/>
        <v>0</v>
      </c>
      <c r="Z42" s="13">
        <f t="shared" si="132"/>
        <v>0</v>
      </c>
      <c r="AA42" s="13">
        <f t="shared" si="132"/>
        <v>0</v>
      </c>
      <c r="AB42" s="13">
        <f t="shared" si="132"/>
        <v>0</v>
      </c>
      <c r="AC42" s="13">
        <f t="shared" si="132"/>
        <v>0</v>
      </c>
      <c r="AD42" s="13">
        <f>SUM(AD34+SUM(AD37:AD41))</f>
        <v>0</v>
      </c>
      <c r="AE42" s="13">
        <f>SUM(AE34+SUM(AE37:AE41))</f>
        <v>0</v>
      </c>
      <c r="AG42" s="107" t="e">
        <f t="shared" si="117"/>
        <v>#DIV/0!</v>
      </c>
    </row>
    <row r="43" spans="2:33" ht="5.0999999999999996" customHeight="1"/>
    <row r="44" spans="2:33" ht="12.75" customHeight="1">
      <c r="B44" s="29" t="s">
        <v>113</v>
      </c>
      <c r="C44" s="130"/>
      <c r="D44" s="130"/>
      <c r="E44" s="130"/>
      <c r="F44" s="130"/>
      <c r="G44" s="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V44" s="129">
        <f t="shared" ref="V44:V49" si="133">SUM(H44:K44)</f>
        <v>0</v>
      </c>
      <c r="W44" s="129">
        <f t="shared" ref="W44:W49" si="134">SUM(I44:L44)</f>
        <v>0</v>
      </c>
      <c r="X44" s="129">
        <f t="shared" ref="X44:X49" si="135">SUM(J44:M44)</f>
        <v>0</v>
      </c>
      <c r="Y44" s="129">
        <f t="shared" ref="Y44:Y49" si="136">SUM(K44:N44)</f>
        <v>0</v>
      </c>
      <c r="Z44" s="129">
        <f t="shared" ref="Z44:Z49" si="137">SUM(L44:O44)</f>
        <v>0</v>
      </c>
      <c r="AA44" s="129">
        <f t="shared" ref="AA44:AA49" si="138">SUM(M44:P44)</f>
        <v>0</v>
      </c>
      <c r="AB44" s="129">
        <f t="shared" ref="AB44:AB49" si="139">SUM(N44:Q44)</f>
        <v>0</v>
      </c>
      <c r="AC44" s="129">
        <f t="shared" ref="AC44:AC49" si="140">SUM(O44:R44)</f>
        <v>0</v>
      </c>
      <c r="AD44" s="129">
        <f t="shared" ref="AD44:AD49" si="141">SUM(P44:S44)</f>
        <v>0</v>
      </c>
      <c r="AE44" s="129">
        <f t="shared" ref="AE44:AE49" si="142">SUM(Q44:T44)</f>
        <v>0</v>
      </c>
    </row>
    <row r="45" spans="2:33" ht="12.75" customHeight="1">
      <c r="B45" s="29" t="s">
        <v>113</v>
      </c>
      <c r="C45" s="130"/>
      <c r="D45" s="130"/>
      <c r="E45" s="130"/>
      <c r="F45" s="130"/>
      <c r="G45" s="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V45" s="129">
        <f t="shared" si="133"/>
        <v>0</v>
      </c>
      <c r="W45" s="129">
        <f t="shared" si="134"/>
        <v>0</v>
      </c>
      <c r="X45" s="129">
        <f t="shared" si="135"/>
        <v>0</v>
      </c>
      <c r="Y45" s="129">
        <f t="shared" si="136"/>
        <v>0</v>
      </c>
      <c r="Z45" s="129">
        <f t="shared" si="137"/>
        <v>0</v>
      </c>
      <c r="AA45" s="129">
        <f t="shared" si="138"/>
        <v>0</v>
      </c>
      <c r="AB45" s="129">
        <f t="shared" si="139"/>
        <v>0</v>
      </c>
      <c r="AC45" s="129">
        <f t="shared" si="140"/>
        <v>0</v>
      </c>
      <c r="AD45" s="129">
        <f t="shared" si="141"/>
        <v>0</v>
      </c>
      <c r="AE45" s="129">
        <f t="shared" si="142"/>
        <v>0</v>
      </c>
    </row>
    <row r="46" spans="2:33" ht="12.75" customHeight="1">
      <c r="B46" s="29" t="s">
        <v>113</v>
      </c>
      <c r="C46" s="130"/>
      <c r="D46" s="130"/>
      <c r="E46" s="130"/>
      <c r="F46" s="130"/>
      <c r="G46" s="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V46" s="129">
        <f t="shared" si="133"/>
        <v>0</v>
      </c>
      <c r="W46" s="129">
        <f t="shared" si="134"/>
        <v>0</v>
      </c>
      <c r="X46" s="129">
        <f t="shared" si="135"/>
        <v>0</v>
      </c>
      <c r="Y46" s="129">
        <f t="shared" si="136"/>
        <v>0</v>
      </c>
      <c r="Z46" s="129">
        <f t="shared" si="137"/>
        <v>0</v>
      </c>
      <c r="AA46" s="129">
        <f t="shared" si="138"/>
        <v>0</v>
      </c>
      <c r="AB46" s="129">
        <f t="shared" si="139"/>
        <v>0</v>
      </c>
      <c r="AC46" s="129">
        <f t="shared" si="140"/>
        <v>0</v>
      </c>
      <c r="AD46" s="129">
        <f t="shared" si="141"/>
        <v>0</v>
      </c>
      <c r="AE46" s="129">
        <f t="shared" si="142"/>
        <v>0</v>
      </c>
    </row>
    <row r="47" spans="2:33" ht="12.75" customHeight="1">
      <c r="B47" s="29" t="s">
        <v>113</v>
      </c>
      <c r="C47" s="130"/>
      <c r="D47" s="130"/>
      <c r="E47" s="130"/>
      <c r="F47" s="130"/>
      <c r="G47" s="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V47" s="129">
        <f t="shared" si="133"/>
        <v>0</v>
      </c>
      <c r="W47" s="129">
        <f t="shared" si="134"/>
        <v>0</v>
      </c>
      <c r="X47" s="129">
        <f t="shared" si="135"/>
        <v>0</v>
      </c>
      <c r="Y47" s="129">
        <f t="shared" si="136"/>
        <v>0</v>
      </c>
      <c r="Z47" s="129">
        <f t="shared" si="137"/>
        <v>0</v>
      </c>
      <c r="AA47" s="129">
        <f t="shared" si="138"/>
        <v>0</v>
      </c>
      <c r="AB47" s="129">
        <f t="shared" si="139"/>
        <v>0</v>
      </c>
      <c r="AC47" s="129">
        <f t="shared" si="140"/>
        <v>0</v>
      </c>
      <c r="AD47" s="129">
        <f t="shared" si="141"/>
        <v>0</v>
      </c>
      <c r="AE47" s="129">
        <f t="shared" si="142"/>
        <v>0</v>
      </c>
    </row>
    <row r="48" spans="2:33" ht="12.75" customHeight="1">
      <c r="B48" s="29" t="s">
        <v>113</v>
      </c>
      <c r="C48" s="130"/>
      <c r="D48" s="130"/>
      <c r="E48" s="130"/>
      <c r="F48" s="130"/>
      <c r="G48" s="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V48" s="129">
        <f t="shared" si="133"/>
        <v>0</v>
      </c>
      <c r="W48" s="129">
        <f t="shared" si="134"/>
        <v>0</v>
      </c>
      <c r="X48" s="129">
        <f t="shared" si="135"/>
        <v>0</v>
      </c>
      <c r="Y48" s="129">
        <f t="shared" si="136"/>
        <v>0</v>
      </c>
      <c r="Z48" s="129">
        <f t="shared" si="137"/>
        <v>0</v>
      </c>
      <c r="AA48" s="129">
        <f t="shared" si="138"/>
        <v>0</v>
      </c>
      <c r="AB48" s="129">
        <f t="shared" si="139"/>
        <v>0</v>
      </c>
      <c r="AC48" s="129">
        <f t="shared" si="140"/>
        <v>0</v>
      </c>
      <c r="AD48" s="129">
        <f t="shared" si="141"/>
        <v>0</v>
      </c>
      <c r="AE48" s="129">
        <f t="shared" si="142"/>
        <v>0</v>
      </c>
    </row>
    <row r="49" spans="1:31" ht="12.75" customHeight="1">
      <c r="B49" s="29" t="s">
        <v>69</v>
      </c>
      <c r="C49" s="131"/>
      <c r="D49" s="131">
        <f t="shared" ref="D49:F49" si="143">SUM(D54)-SUM(C54)-SUM(D42:D48)</f>
        <v>0</v>
      </c>
      <c r="E49" s="131">
        <f t="shared" si="143"/>
        <v>0</v>
      </c>
      <c r="F49" s="131">
        <f t="shared" si="143"/>
        <v>0</v>
      </c>
      <c r="G49" s="30"/>
      <c r="H49" s="131">
        <f>SUM(H54)-SUM(C54)-SUM(H42:H48)</f>
        <v>0</v>
      </c>
      <c r="I49" s="131">
        <f t="shared" ref="I49" si="144">SUM(I54)-SUM(H54)-SUM(I42:I48)</f>
        <v>0</v>
      </c>
      <c r="J49" s="131">
        <f t="shared" ref="J49" si="145">SUM(J54)-SUM(I54)-SUM(J42:J48)</f>
        <v>0</v>
      </c>
      <c r="K49" s="131">
        <f t="shared" ref="K49" si="146">SUM(K54)-SUM(J54)-SUM(K42:K48)</f>
        <v>3551.5</v>
      </c>
      <c r="L49" s="131">
        <f t="shared" ref="L49" si="147">SUM(L54)-SUM(K54)-SUM(L42:L48)</f>
        <v>-3551.5</v>
      </c>
      <c r="M49" s="131">
        <f t="shared" ref="M49" si="148">SUM(M54)-SUM(L54)-SUM(M42:M48)</f>
        <v>0</v>
      </c>
      <c r="N49" s="131">
        <f t="shared" ref="N49" si="149">SUM(N54)-SUM(M54)-SUM(N42:N48)</f>
        <v>0</v>
      </c>
      <c r="O49" s="131">
        <f t="shared" ref="O49" si="150">SUM(O54)-SUM(N54)-SUM(O42:O48)</f>
        <v>3286.2</v>
      </c>
      <c r="P49" s="131">
        <f t="shared" ref="P49" si="151">SUM(P54)-SUM(O54)-SUM(P42:P48)</f>
        <v>-3286.2</v>
      </c>
      <c r="Q49" s="131">
        <f t="shared" ref="Q49" si="152">SUM(Q54)-SUM(P54)-SUM(Q42:Q48)</f>
        <v>0</v>
      </c>
      <c r="R49" s="131">
        <f t="shared" ref="R49" si="153">SUM(R54)-SUM(Q54)-SUM(R42:R48)</f>
        <v>0</v>
      </c>
      <c r="S49" s="131">
        <f t="shared" ref="S49" si="154">SUM(S54)-SUM(R54)-SUM(S42:S48)</f>
        <v>0</v>
      </c>
      <c r="T49" s="131">
        <f t="shared" ref="T49" si="155">SUM(T54)-SUM(S54)-SUM(T42:T48)</f>
        <v>0</v>
      </c>
      <c r="V49" s="129">
        <f t="shared" si="133"/>
        <v>3551.5</v>
      </c>
      <c r="W49" s="129">
        <f t="shared" si="134"/>
        <v>0</v>
      </c>
      <c r="X49" s="129">
        <f t="shared" si="135"/>
        <v>0</v>
      </c>
      <c r="Y49" s="129">
        <f t="shared" si="136"/>
        <v>0</v>
      </c>
      <c r="Z49" s="129">
        <f t="shared" si="137"/>
        <v>-265.30000000000018</v>
      </c>
      <c r="AA49" s="129">
        <f t="shared" si="138"/>
        <v>0</v>
      </c>
      <c r="AB49" s="129">
        <f t="shared" si="139"/>
        <v>0</v>
      </c>
      <c r="AC49" s="129">
        <f t="shared" si="140"/>
        <v>0</v>
      </c>
      <c r="AD49" s="129">
        <f t="shared" si="141"/>
        <v>-3286.2</v>
      </c>
      <c r="AE49" s="129">
        <f t="shared" si="142"/>
        <v>0</v>
      </c>
    </row>
    <row r="50" spans="1:31" ht="12.75" customHeight="1">
      <c r="B50" s="12" t="s">
        <v>41</v>
      </c>
      <c r="C50" s="13">
        <f t="shared" ref="C50:F50" si="156">SUM(C42+SUM(C44:C49))</f>
        <v>0</v>
      </c>
      <c r="D50" s="13">
        <f t="shared" si="156"/>
        <v>0</v>
      </c>
      <c r="E50" s="13">
        <f t="shared" si="156"/>
        <v>0</v>
      </c>
      <c r="F50" s="13">
        <f t="shared" si="156"/>
        <v>0</v>
      </c>
      <c r="H50" s="13">
        <f t="shared" ref="H50:S50" si="157">SUM(H42+SUM(H44:H49))</f>
        <v>0</v>
      </c>
      <c r="I50" s="13">
        <f t="shared" si="157"/>
        <v>0</v>
      </c>
      <c r="J50" s="13">
        <f t="shared" si="157"/>
        <v>0</v>
      </c>
      <c r="K50" s="13">
        <f t="shared" si="157"/>
        <v>3551.5</v>
      </c>
      <c r="L50" s="13">
        <f t="shared" si="157"/>
        <v>-3551.5</v>
      </c>
      <c r="M50" s="13">
        <f t="shared" si="157"/>
        <v>0</v>
      </c>
      <c r="N50" s="13">
        <f t="shared" si="157"/>
        <v>0</v>
      </c>
      <c r="O50" s="13">
        <f t="shared" si="157"/>
        <v>3286.2</v>
      </c>
      <c r="P50" s="13">
        <f t="shared" si="157"/>
        <v>-3286.2</v>
      </c>
      <c r="Q50" s="13">
        <f t="shared" si="157"/>
        <v>0</v>
      </c>
      <c r="R50" s="13">
        <f t="shared" si="157"/>
        <v>0</v>
      </c>
      <c r="S50" s="13">
        <f t="shared" si="157"/>
        <v>0</v>
      </c>
      <c r="T50" s="13">
        <f t="shared" ref="T50" si="158">SUM(T42+SUM(T44:T49))</f>
        <v>0</v>
      </c>
      <c r="V50" s="13">
        <f t="shared" ref="V50:AE50" si="159">SUM(V42+SUM(V44:V49))</f>
        <v>3551.5</v>
      </c>
      <c r="W50" s="13">
        <f t="shared" si="159"/>
        <v>0</v>
      </c>
      <c r="X50" s="13">
        <f t="shared" si="159"/>
        <v>0</v>
      </c>
      <c r="Y50" s="13">
        <f t="shared" si="159"/>
        <v>0</v>
      </c>
      <c r="Z50" s="13">
        <f t="shared" si="159"/>
        <v>-265.30000000000018</v>
      </c>
      <c r="AA50" s="13">
        <f t="shared" si="159"/>
        <v>0</v>
      </c>
      <c r="AB50" s="13">
        <f t="shared" si="159"/>
        <v>0</v>
      </c>
      <c r="AC50" s="13">
        <f t="shared" si="159"/>
        <v>0</v>
      </c>
      <c r="AD50" s="13">
        <f t="shared" si="159"/>
        <v>-3286.2</v>
      </c>
      <c r="AE50" s="13">
        <f t="shared" si="159"/>
        <v>0</v>
      </c>
    </row>
    <row r="51" spans="1:31" ht="5.0999999999999996" customHeight="1"/>
    <row r="52" spans="1:31" ht="12.75" customHeight="1">
      <c r="A52" s="5"/>
      <c r="B52" s="31" t="s">
        <v>42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 ht="5.0999999999999996" customHeight="1"/>
    <row r="54" spans="1:31" ht="12.75" customHeight="1">
      <c r="B54" s="8" t="s">
        <v>43</v>
      </c>
      <c r="C54" s="78"/>
      <c r="D54" s="78"/>
      <c r="E54" s="78"/>
      <c r="F54" s="78"/>
      <c r="G54" s="30"/>
      <c r="H54" s="78"/>
      <c r="I54" s="78"/>
      <c r="J54" s="78"/>
      <c r="K54" s="78">
        <f>'Historical Financials'!K48</f>
        <v>3551.5</v>
      </c>
      <c r="L54" s="78"/>
      <c r="M54" s="78"/>
      <c r="N54" s="78"/>
      <c r="O54" s="78">
        <f>'Historical Financials'!O48</f>
        <v>3286.2</v>
      </c>
      <c r="P54" s="78"/>
      <c r="Q54" s="78"/>
      <c r="R54" s="78"/>
      <c r="S54" s="78">
        <f>'Historical Financials'!S48</f>
        <v>0</v>
      </c>
      <c r="T54" s="78"/>
      <c r="V54" s="10">
        <f t="shared" ref="V54:AD56" si="160">K54</f>
        <v>3551.5</v>
      </c>
      <c r="W54" s="10">
        <f t="shared" si="160"/>
        <v>0</v>
      </c>
      <c r="X54" s="10">
        <f t="shared" si="160"/>
        <v>0</v>
      </c>
      <c r="Y54" s="10">
        <f t="shared" si="160"/>
        <v>0</v>
      </c>
      <c r="Z54" s="10">
        <f t="shared" si="160"/>
        <v>3286.2</v>
      </c>
      <c r="AA54" s="10">
        <f t="shared" si="160"/>
        <v>0</v>
      </c>
      <c r="AB54" s="10">
        <f t="shared" si="160"/>
        <v>0</v>
      </c>
      <c r="AC54" s="10">
        <f t="shared" si="160"/>
        <v>0</v>
      </c>
      <c r="AD54" s="10">
        <f t="shared" si="160"/>
        <v>0</v>
      </c>
      <c r="AE54" s="10">
        <f>T54</f>
        <v>0</v>
      </c>
    </row>
    <row r="55" spans="1:31" ht="12.75" customHeight="1">
      <c r="B55" s="8" t="s">
        <v>110</v>
      </c>
      <c r="C55" s="78"/>
      <c r="D55" s="78"/>
      <c r="E55" s="78"/>
      <c r="F55" s="78"/>
      <c r="G55" s="30"/>
      <c r="H55" s="78"/>
      <c r="I55" s="78"/>
      <c r="J55" s="78"/>
      <c r="K55" s="78">
        <f>'Historical Financials'!K49</f>
        <v>401.5</v>
      </c>
      <c r="L55" s="78"/>
      <c r="M55" s="78"/>
      <c r="N55" s="78"/>
      <c r="O55" s="78">
        <f>'Historical Financials'!O49</f>
        <v>257</v>
      </c>
      <c r="P55" s="78"/>
      <c r="Q55" s="78"/>
      <c r="R55" s="78"/>
      <c r="S55" s="78">
        <f>'Historical Financials'!S49</f>
        <v>0</v>
      </c>
      <c r="T55" s="78"/>
      <c r="V55" s="10">
        <f t="shared" si="160"/>
        <v>401.5</v>
      </c>
      <c r="W55" s="10">
        <f t="shared" si="160"/>
        <v>0</v>
      </c>
      <c r="X55" s="10">
        <f t="shared" si="160"/>
        <v>0</v>
      </c>
      <c r="Y55" s="10">
        <f t="shared" si="160"/>
        <v>0</v>
      </c>
      <c r="Z55" s="10">
        <f t="shared" si="160"/>
        <v>257</v>
      </c>
      <c r="AA55" s="10">
        <f t="shared" si="160"/>
        <v>0</v>
      </c>
      <c r="AB55" s="10">
        <f t="shared" si="160"/>
        <v>0</v>
      </c>
      <c r="AC55" s="10">
        <f t="shared" si="160"/>
        <v>0</v>
      </c>
      <c r="AD55" s="10">
        <f t="shared" si="160"/>
        <v>0</v>
      </c>
      <c r="AE55" s="10">
        <f t="shared" ref="AE55:AE56" si="161">T55</f>
        <v>0</v>
      </c>
    </row>
    <row r="56" spans="1:31" ht="12.75" customHeight="1">
      <c r="B56" s="8" t="s">
        <v>110</v>
      </c>
      <c r="C56" s="73"/>
      <c r="D56" s="73"/>
      <c r="E56" s="73"/>
      <c r="F56" s="73"/>
      <c r="G56" s="30"/>
      <c r="H56" s="73"/>
      <c r="I56" s="73"/>
      <c r="J56" s="73"/>
      <c r="K56" s="104">
        <f>D56</f>
        <v>0</v>
      </c>
      <c r="L56" s="73"/>
      <c r="M56" s="73"/>
      <c r="N56" s="73"/>
      <c r="O56" s="104">
        <f>E56</f>
        <v>0</v>
      </c>
      <c r="P56" s="73"/>
      <c r="Q56" s="73"/>
      <c r="R56" s="73"/>
      <c r="S56" s="104">
        <f>F56</f>
        <v>0</v>
      </c>
      <c r="T56" s="73"/>
      <c r="V56" s="10">
        <f t="shared" si="160"/>
        <v>0</v>
      </c>
      <c r="W56" s="10">
        <f t="shared" si="160"/>
        <v>0</v>
      </c>
      <c r="X56" s="10">
        <f t="shared" si="160"/>
        <v>0</v>
      </c>
      <c r="Y56" s="10">
        <f t="shared" si="160"/>
        <v>0</v>
      </c>
      <c r="Z56" s="10">
        <f t="shared" si="160"/>
        <v>0</v>
      </c>
      <c r="AA56" s="10">
        <f t="shared" si="160"/>
        <v>0</v>
      </c>
      <c r="AB56" s="10">
        <f t="shared" si="160"/>
        <v>0</v>
      </c>
      <c r="AC56" s="10">
        <f t="shared" si="160"/>
        <v>0</v>
      </c>
      <c r="AD56" s="10">
        <f t="shared" si="160"/>
        <v>0</v>
      </c>
      <c r="AE56" s="10">
        <f t="shared" si="161"/>
        <v>0</v>
      </c>
    </row>
    <row r="57" spans="1:31" ht="12.75" customHeight="1">
      <c r="B57" s="12" t="s">
        <v>44</v>
      </c>
      <c r="C57" s="13">
        <f>SUM(C54:C56)</f>
        <v>0</v>
      </c>
      <c r="D57" s="13">
        <f t="shared" ref="D57:F57" si="162">SUM(D54:D56)</f>
        <v>0</v>
      </c>
      <c r="E57" s="13">
        <f t="shared" si="162"/>
        <v>0</v>
      </c>
      <c r="F57" s="13">
        <f t="shared" si="162"/>
        <v>0</v>
      </c>
      <c r="G57" s="30"/>
      <c r="H57" s="13">
        <f t="shared" ref="H57:S57" si="163">SUM(H54:H56)</f>
        <v>0</v>
      </c>
      <c r="I57" s="13">
        <f t="shared" si="163"/>
        <v>0</v>
      </c>
      <c r="J57" s="13">
        <f t="shared" si="163"/>
        <v>0</v>
      </c>
      <c r="K57" s="13">
        <f t="shared" si="163"/>
        <v>3953</v>
      </c>
      <c r="L57" s="13">
        <f t="shared" si="163"/>
        <v>0</v>
      </c>
      <c r="M57" s="13">
        <f t="shared" si="163"/>
        <v>0</v>
      </c>
      <c r="N57" s="13">
        <f t="shared" si="163"/>
        <v>0</v>
      </c>
      <c r="O57" s="13">
        <f t="shared" si="163"/>
        <v>3543.2</v>
      </c>
      <c r="P57" s="13">
        <f t="shared" si="163"/>
        <v>0</v>
      </c>
      <c r="Q57" s="13">
        <f t="shared" si="163"/>
        <v>0</v>
      </c>
      <c r="R57" s="13">
        <f t="shared" si="163"/>
        <v>0</v>
      </c>
      <c r="S57" s="13">
        <f t="shared" si="163"/>
        <v>0</v>
      </c>
      <c r="T57" s="13">
        <f t="shared" ref="T57" si="164">SUM(T54:T56)</f>
        <v>0</v>
      </c>
      <c r="V57" s="13">
        <f t="shared" ref="V57" si="165">SUM(V54:V56)</f>
        <v>3953</v>
      </c>
      <c r="W57" s="13">
        <f t="shared" ref="W57:AE57" si="166">SUM(W54:W56)</f>
        <v>0</v>
      </c>
      <c r="X57" s="13">
        <f t="shared" si="166"/>
        <v>0</v>
      </c>
      <c r="Y57" s="13">
        <f t="shared" si="166"/>
        <v>0</v>
      </c>
      <c r="Z57" s="13">
        <f t="shared" si="166"/>
        <v>3543.2</v>
      </c>
      <c r="AA57" s="13">
        <f t="shared" si="166"/>
        <v>0</v>
      </c>
      <c r="AB57" s="13">
        <f t="shared" si="166"/>
        <v>0</v>
      </c>
      <c r="AC57" s="13">
        <f t="shared" si="166"/>
        <v>0</v>
      </c>
      <c r="AD57" s="13">
        <f t="shared" si="166"/>
        <v>0</v>
      </c>
      <c r="AE57" s="13">
        <f t="shared" si="166"/>
        <v>0</v>
      </c>
    </row>
    <row r="58" spans="1:31" ht="5.0999999999999996" customHeight="1"/>
    <row r="59" spans="1:31" ht="12.75" customHeight="1">
      <c r="B59" s="32" t="s">
        <v>45</v>
      </c>
    </row>
    <row r="60" spans="1:31" ht="12.75" customHeight="1">
      <c r="B60" s="8" t="s">
        <v>110</v>
      </c>
      <c r="C60" s="78"/>
      <c r="D60" s="78"/>
      <c r="E60" s="78"/>
      <c r="F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10"/>
      <c r="V60" s="10">
        <f t="shared" ref="V60:V66" si="167">K60</f>
        <v>0</v>
      </c>
      <c r="W60" s="10">
        <f t="shared" ref="W60:W66" si="168">L60</f>
        <v>0</v>
      </c>
      <c r="X60" s="10">
        <f t="shared" ref="X60:X66" si="169">M60</f>
        <v>0</v>
      </c>
      <c r="Y60" s="10">
        <f t="shared" ref="Y60:Y66" si="170">N60</f>
        <v>0</v>
      </c>
      <c r="Z60" s="10">
        <f t="shared" ref="Z60:Z66" si="171">O60</f>
        <v>0</v>
      </c>
      <c r="AA60" s="10">
        <f t="shared" ref="AA60:AA66" si="172">P60</f>
        <v>0</v>
      </c>
      <c r="AB60" s="10">
        <f t="shared" ref="AB60:AB66" si="173">Q60</f>
        <v>0</v>
      </c>
      <c r="AC60" s="10">
        <f t="shared" ref="AC60:AC66" si="174">R60</f>
        <v>0</v>
      </c>
      <c r="AD60" s="10">
        <f t="shared" ref="AD60:AD66" si="175">S60</f>
        <v>0</v>
      </c>
      <c r="AE60" s="10">
        <f t="shared" ref="AE60:AE66" si="176">T60</f>
        <v>0</v>
      </c>
    </row>
    <row r="61" spans="1:31" ht="12.75" customHeight="1">
      <c r="B61" s="8" t="s">
        <v>110</v>
      </c>
      <c r="C61" s="78"/>
      <c r="D61" s="78"/>
      <c r="E61" s="78"/>
      <c r="F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10"/>
      <c r="V61" s="10">
        <f t="shared" si="167"/>
        <v>0</v>
      </c>
      <c r="W61" s="10">
        <f t="shared" si="168"/>
        <v>0</v>
      </c>
      <c r="X61" s="10">
        <f t="shared" si="169"/>
        <v>0</v>
      </c>
      <c r="Y61" s="10">
        <f t="shared" si="170"/>
        <v>0</v>
      </c>
      <c r="Z61" s="10">
        <f t="shared" si="171"/>
        <v>0</v>
      </c>
      <c r="AA61" s="10">
        <f t="shared" si="172"/>
        <v>0</v>
      </c>
      <c r="AB61" s="10">
        <f t="shared" si="173"/>
        <v>0</v>
      </c>
      <c r="AC61" s="10">
        <f t="shared" si="174"/>
        <v>0</v>
      </c>
      <c r="AD61" s="10">
        <f t="shared" si="175"/>
        <v>0</v>
      </c>
      <c r="AE61" s="10">
        <f t="shared" si="176"/>
        <v>0</v>
      </c>
    </row>
    <row r="62" spans="1:31" ht="12.75" customHeight="1">
      <c r="B62" s="8" t="s">
        <v>110</v>
      </c>
      <c r="C62" s="78"/>
      <c r="D62" s="78"/>
      <c r="E62" s="78"/>
      <c r="F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10"/>
      <c r="V62" s="10">
        <f t="shared" si="167"/>
        <v>0</v>
      </c>
      <c r="W62" s="10">
        <f t="shared" si="168"/>
        <v>0</v>
      </c>
      <c r="X62" s="10">
        <f t="shared" si="169"/>
        <v>0</v>
      </c>
      <c r="Y62" s="10">
        <f t="shared" si="170"/>
        <v>0</v>
      </c>
      <c r="Z62" s="10">
        <f t="shared" si="171"/>
        <v>0</v>
      </c>
      <c r="AA62" s="10">
        <f t="shared" si="172"/>
        <v>0</v>
      </c>
      <c r="AB62" s="10">
        <f t="shared" si="173"/>
        <v>0</v>
      </c>
      <c r="AC62" s="10">
        <f t="shared" si="174"/>
        <v>0</v>
      </c>
      <c r="AD62" s="10">
        <f t="shared" si="175"/>
        <v>0</v>
      </c>
      <c r="AE62" s="10">
        <f t="shared" si="176"/>
        <v>0</v>
      </c>
    </row>
    <row r="63" spans="1:31" ht="12.75" customHeight="1">
      <c r="B63" s="8" t="s">
        <v>110</v>
      </c>
      <c r="C63" s="78"/>
      <c r="D63" s="78"/>
      <c r="E63" s="78"/>
      <c r="F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10"/>
      <c r="V63" s="10">
        <f t="shared" si="167"/>
        <v>0</v>
      </c>
      <c r="W63" s="10">
        <f t="shared" si="168"/>
        <v>0</v>
      </c>
      <c r="X63" s="10">
        <f t="shared" si="169"/>
        <v>0</v>
      </c>
      <c r="Y63" s="10">
        <f t="shared" si="170"/>
        <v>0</v>
      </c>
      <c r="Z63" s="10">
        <f t="shared" si="171"/>
        <v>0</v>
      </c>
      <c r="AA63" s="10">
        <f t="shared" si="172"/>
        <v>0</v>
      </c>
      <c r="AB63" s="10">
        <f t="shared" si="173"/>
        <v>0</v>
      </c>
      <c r="AC63" s="10">
        <f t="shared" si="174"/>
        <v>0</v>
      </c>
      <c r="AD63" s="10">
        <f t="shared" si="175"/>
        <v>0</v>
      </c>
      <c r="AE63" s="10">
        <f t="shared" si="176"/>
        <v>0</v>
      </c>
    </row>
    <row r="64" spans="1:31" ht="12.75" customHeight="1">
      <c r="B64" s="8" t="s">
        <v>110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V64" s="10">
        <f t="shared" si="167"/>
        <v>0</v>
      </c>
      <c r="W64" s="10">
        <f t="shared" si="168"/>
        <v>0</v>
      </c>
      <c r="X64" s="10">
        <f t="shared" si="169"/>
        <v>0</v>
      </c>
      <c r="Y64" s="10">
        <f t="shared" si="170"/>
        <v>0</v>
      </c>
      <c r="Z64" s="10">
        <f t="shared" si="171"/>
        <v>0</v>
      </c>
      <c r="AA64" s="10">
        <f t="shared" si="172"/>
        <v>0</v>
      </c>
      <c r="AB64" s="10">
        <f t="shared" si="173"/>
        <v>0</v>
      </c>
      <c r="AC64" s="10">
        <f t="shared" si="174"/>
        <v>0</v>
      </c>
      <c r="AD64" s="10">
        <f t="shared" si="175"/>
        <v>0</v>
      </c>
      <c r="AE64" s="10">
        <f t="shared" si="176"/>
        <v>0</v>
      </c>
    </row>
    <row r="65" spans="2:31" ht="12.75" customHeight="1">
      <c r="B65" s="8" t="s">
        <v>110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V65" s="10">
        <f t="shared" si="167"/>
        <v>0</v>
      </c>
      <c r="W65" s="10">
        <f t="shared" si="168"/>
        <v>0</v>
      </c>
      <c r="X65" s="10">
        <f t="shared" si="169"/>
        <v>0</v>
      </c>
      <c r="Y65" s="10">
        <f t="shared" si="170"/>
        <v>0</v>
      </c>
      <c r="Z65" s="10">
        <f t="shared" si="171"/>
        <v>0</v>
      </c>
      <c r="AA65" s="10">
        <f t="shared" si="172"/>
        <v>0</v>
      </c>
      <c r="AB65" s="10">
        <f t="shared" si="173"/>
        <v>0</v>
      </c>
      <c r="AC65" s="10">
        <f t="shared" si="174"/>
        <v>0</v>
      </c>
      <c r="AD65" s="10">
        <f t="shared" si="175"/>
        <v>0</v>
      </c>
      <c r="AE65" s="10">
        <f t="shared" si="176"/>
        <v>0</v>
      </c>
    </row>
    <row r="66" spans="2:31" ht="12.75" customHeight="1">
      <c r="B66" s="8" t="s">
        <v>110</v>
      </c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V66" s="10">
        <f t="shared" si="167"/>
        <v>0</v>
      </c>
      <c r="W66" s="10">
        <f t="shared" si="168"/>
        <v>0</v>
      </c>
      <c r="X66" s="10">
        <f t="shared" si="169"/>
        <v>0</v>
      </c>
      <c r="Y66" s="10">
        <f t="shared" si="170"/>
        <v>0</v>
      </c>
      <c r="Z66" s="10">
        <f t="shared" si="171"/>
        <v>0</v>
      </c>
      <c r="AA66" s="10">
        <f t="shared" si="172"/>
        <v>0</v>
      </c>
      <c r="AB66" s="10">
        <f t="shared" si="173"/>
        <v>0</v>
      </c>
      <c r="AC66" s="10">
        <f t="shared" si="174"/>
        <v>0</v>
      </c>
      <c r="AD66" s="10">
        <f t="shared" si="175"/>
        <v>0</v>
      </c>
      <c r="AE66" s="10">
        <f t="shared" si="176"/>
        <v>0</v>
      </c>
    </row>
    <row r="67" spans="2:31" ht="5.0999999999999996" customHeight="1">
      <c r="F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2:31">
      <c r="B68" s="32" t="s">
        <v>99</v>
      </c>
      <c r="F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2:31">
      <c r="B69" s="8" t="s">
        <v>100</v>
      </c>
      <c r="C69" s="78"/>
      <c r="D69" s="78"/>
      <c r="E69" s="78"/>
      <c r="F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V69" s="10">
        <f t="shared" ref="V69:V70" si="177">K69</f>
        <v>0</v>
      </c>
      <c r="W69" s="10">
        <f t="shared" ref="W69:W70" si="178">L69</f>
        <v>0</v>
      </c>
      <c r="X69" s="10">
        <f t="shared" ref="X69:X70" si="179">M69</f>
        <v>0</v>
      </c>
      <c r="Y69" s="10">
        <f t="shared" ref="Y69:Y70" si="180">N69</f>
        <v>0</v>
      </c>
      <c r="Z69" s="10">
        <f t="shared" ref="Z69:Z70" si="181">O69</f>
        <v>0</v>
      </c>
      <c r="AA69" s="10">
        <f t="shared" ref="AA69:AA70" si="182">P69</f>
        <v>0</v>
      </c>
      <c r="AB69" s="10">
        <f t="shared" ref="AB69:AB70" si="183">Q69</f>
        <v>0</v>
      </c>
      <c r="AC69" s="10">
        <f t="shared" ref="AC69:AC70" si="184">R69</f>
        <v>0</v>
      </c>
      <c r="AD69" s="10">
        <f t="shared" ref="AD69:AD70" si="185">S69</f>
        <v>0</v>
      </c>
      <c r="AE69" s="10">
        <f t="shared" ref="AE69:AE70" si="186">T69</f>
        <v>0</v>
      </c>
    </row>
    <row r="70" spans="2:31">
      <c r="B70" s="8" t="s">
        <v>101</v>
      </c>
      <c r="C70" s="78"/>
      <c r="D70" s="78"/>
      <c r="E70" s="78"/>
      <c r="F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V70" s="10">
        <f t="shared" si="177"/>
        <v>0</v>
      </c>
      <c r="W70" s="10">
        <f t="shared" si="178"/>
        <v>0</v>
      </c>
      <c r="X70" s="10">
        <f t="shared" si="179"/>
        <v>0</v>
      </c>
      <c r="Y70" s="10">
        <f t="shared" si="180"/>
        <v>0</v>
      </c>
      <c r="Z70" s="10">
        <f t="shared" si="181"/>
        <v>0</v>
      </c>
      <c r="AA70" s="10">
        <f t="shared" si="182"/>
        <v>0</v>
      </c>
      <c r="AB70" s="10">
        <f t="shared" si="183"/>
        <v>0</v>
      </c>
      <c r="AC70" s="10">
        <f t="shared" si="184"/>
        <v>0</v>
      </c>
      <c r="AD70" s="10">
        <f t="shared" si="185"/>
        <v>0</v>
      </c>
      <c r="AE70" s="10">
        <f t="shared" si="186"/>
        <v>0</v>
      </c>
    </row>
    <row r="71" spans="2:31">
      <c r="F71" s="10"/>
    </row>
    <row r="72" spans="2:31">
      <c r="B72" s="128" t="s">
        <v>110</v>
      </c>
      <c r="C72" s="73"/>
      <c r="D72" s="73"/>
      <c r="E72" s="73"/>
      <c r="F72" s="73"/>
      <c r="H72" s="73"/>
      <c r="I72" s="73"/>
      <c r="J72" s="73"/>
      <c r="K72" s="104">
        <f t="shared" ref="K72:K74" si="187">D72</f>
        <v>0</v>
      </c>
      <c r="L72" s="73"/>
      <c r="M72" s="73"/>
      <c r="N72" s="73"/>
      <c r="O72" s="104">
        <f t="shared" ref="O72:O74" si="188">E72</f>
        <v>0</v>
      </c>
      <c r="P72" s="73"/>
      <c r="Q72" s="73"/>
      <c r="R72" s="73"/>
      <c r="S72" s="104">
        <f>F72</f>
        <v>0</v>
      </c>
      <c r="T72" s="73"/>
      <c r="V72" s="10">
        <f t="shared" ref="V72:V75" si="189">K72</f>
        <v>0</v>
      </c>
      <c r="W72" s="10">
        <f t="shared" ref="W72:W75" si="190">L72</f>
        <v>0</v>
      </c>
      <c r="X72" s="10">
        <f t="shared" ref="X72:X75" si="191">M72</f>
        <v>0</v>
      </c>
      <c r="Y72" s="10">
        <f t="shared" ref="Y72:Y75" si="192">N72</f>
        <v>0</v>
      </c>
      <c r="Z72" s="10">
        <f t="shared" ref="Z72:Z75" si="193">O72</f>
        <v>0</v>
      </c>
      <c r="AA72" s="10">
        <f t="shared" ref="AA72:AA75" si="194">P72</f>
        <v>0</v>
      </c>
      <c r="AB72" s="10">
        <f t="shared" ref="AB72:AB75" si="195">Q72</f>
        <v>0</v>
      </c>
      <c r="AC72" s="10">
        <f t="shared" ref="AC72:AC75" si="196">R72</f>
        <v>0</v>
      </c>
      <c r="AD72" s="10">
        <f t="shared" ref="AD72:AD75" si="197">S72</f>
        <v>0</v>
      </c>
      <c r="AE72" s="10">
        <f t="shared" ref="AE72:AE75" si="198">T72</f>
        <v>0</v>
      </c>
    </row>
    <row r="73" spans="2:31">
      <c r="B73" s="128" t="s">
        <v>110</v>
      </c>
      <c r="C73" s="73"/>
      <c r="D73" s="73"/>
      <c r="E73" s="73"/>
      <c r="F73" s="73"/>
      <c r="H73" s="73"/>
      <c r="I73" s="73"/>
      <c r="J73" s="73"/>
      <c r="K73" s="104">
        <f t="shared" si="187"/>
        <v>0</v>
      </c>
      <c r="L73" s="73"/>
      <c r="M73" s="73"/>
      <c r="N73" s="73"/>
      <c r="O73" s="104">
        <f t="shared" si="188"/>
        <v>0</v>
      </c>
      <c r="P73" s="73"/>
      <c r="Q73" s="73"/>
      <c r="R73" s="73"/>
      <c r="S73" s="104">
        <f t="shared" ref="S73:S74" si="199">F73</f>
        <v>0</v>
      </c>
      <c r="T73" s="73"/>
      <c r="V73" s="10">
        <f t="shared" si="189"/>
        <v>0</v>
      </c>
      <c r="W73" s="10">
        <f t="shared" si="190"/>
        <v>0</v>
      </c>
      <c r="X73" s="10">
        <f t="shared" si="191"/>
        <v>0</v>
      </c>
      <c r="Y73" s="10">
        <f t="shared" si="192"/>
        <v>0</v>
      </c>
      <c r="Z73" s="10">
        <f t="shared" si="193"/>
        <v>0</v>
      </c>
      <c r="AA73" s="10">
        <f t="shared" si="194"/>
        <v>0</v>
      </c>
      <c r="AB73" s="10">
        <f t="shared" si="195"/>
        <v>0</v>
      </c>
      <c r="AC73" s="10">
        <f t="shared" si="196"/>
        <v>0</v>
      </c>
      <c r="AD73" s="10">
        <f t="shared" si="197"/>
        <v>0</v>
      </c>
      <c r="AE73" s="10">
        <f t="shared" si="198"/>
        <v>0</v>
      </c>
    </row>
    <row r="74" spans="2:31">
      <c r="B74" s="128" t="s">
        <v>110</v>
      </c>
      <c r="C74" s="73"/>
      <c r="D74" s="73"/>
      <c r="E74" s="73"/>
      <c r="F74" s="73"/>
      <c r="H74" s="73"/>
      <c r="I74" s="73"/>
      <c r="J74" s="73"/>
      <c r="K74" s="104">
        <f t="shared" si="187"/>
        <v>0</v>
      </c>
      <c r="L74" s="73"/>
      <c r="M74" s="73"/>
      <c r="N74" s="73"/>
      <c r="O74" s="104">
        <f t="shared" si="188"/>
        <v>0</v>
      </c>
      <c r="P74" s="73"/>
      <c r="Q74" s="73"/>
      <c r="R74" s="73"/>
      <c r="S74" s="104">
        <f t="shared" si="199"/>
        <v>0</v>
      </c>
      <c r="T74" s="73"/>
      <c r="V74" s="10">
        <f t="shared" si="189"/>
        <v>0</v>
      </c>
      <c r="W74" s="10">
        <f t="shared" si="190"/>
        <v>0</v>
      </c>
      <c r="X74" s="10">
        <f t="shared" si="191"/>
        <v>0</v>
      </c>
      <c r="Y74" s="10">
        <f t="shared" si="192"/>
        <v>0</v>
      </c>
      <c r="Z74" s="10">
        <f t="shared" si="193"/>
        <v>0</v>
      </c>
      <c r="AA74" s="10">
        <f t="shared" si="194"/>
        <v>0</v>
      </c>
      <c r="AB74" s="10">
        <f t="shared" si="195"/>
        <v>0</v>
      </c>
      <c r="AC74" s="10">
        <f t="shared" si="196"/>
        <v>0</v>
      </c>
      <c r="AD74" s="10">
        <f t="shared" si="197"/>
        <v>0</v>
      </c>
      <c r="AE74" s="10">
        <f t="shared" si="198"/>
        <v>0</v>
      </c>
    </row>
    <row r="75" spans="2:31">
      <c r="B75" s="128" t="s">
        <v>110</v>
      </c>
      <c r="C75" s="73"/>
      <c r="D75" s="73"/>
      <c r="E75" s="73"/>
      <c r="F75" s="73"/>
      <c r="H75" s="73"/>
      <c r="I75" s="73"/>
      <c r="J75" s="73"/>
      <c r="K75" s="78" t="e">
        <f>'Historical Financials'!K72+'Historical Financials'!#REF!</f>
        <v>#REF!</v>
      </c>
      <c r="L75" s="73"/>
      <c r="M75" s="73"/>
      <c r="N75" s="73"/>
      <c r="O75" s="78" t="e">
        <f>'Historical Financials'!O72+'Historical Financials'!#REF!</f>
        <v>#REF!</v>
      </c>
      <c r="P75" s="73"/>
      <c r="Q75" s="73"/>
      <c r="R75" s="73"/>
      <c r="S75" s="78" t="e">
        <f>'Historical Financials'!S72+'Historical Financials'!#REF!</f>
        <v>#REF!</v>
      </c>
      <c r="T75" s="73"/>
      <c r="V75" s="10" t="e">
        <f t="shared" si="189"/>
        <v>#REF!</v>
      </c>
      <c r="W75" s="10">
        <f t="shared" si="190"/>
        <v>0</v>
      </c>
      <c r="X75" s="10">
        <f t="shared" si="191"/>
        <v>0</v>
      </c>
      <c r="Y75" s="10">
        <f t="shared" si="192"/>
        <v>0</v>
      </c>
      <c r="Z75" s="10" t="e">
        <f t="shared" si="193"/>
        <v>#REF!</v>
      </c>
      <c r="AA75" s="10">
        <f t="shared" si="194"/>
        <v>0</v>
      </c>
      <c r="AB75" s="10">
        <f t="shared" si="195"/>
        <v>0</v>
      </c>
      <c r="AC75" s="10">
        <f t="shared" si="196"/>
        <v>0</v>
      </c>
      <c r="AD75" s="10" t="e">
        <f t="shared" si="197"/>
        <v>#REF!</v>
      </c>
      <c r="AE75" s="10">
        <f t="shared" si="198"/>
        <v>0</v>
      </c>
    </row>
    <row r="76" spans="2:31" ht="12.75" customHeight="1">
      <c r="B76" s="12" t="s">
        <v>22</v>
      </c>
      <c r="C76" s="13">
        <f t="shared" ref="C76:F76" si="200">SUM(C72:C75)</f>
        <v>0</v>
      </c>
      <c r="D76" s="13">
        <f t="shared" si="200"/>
        <v>0</v>
      </c>
      <c r="E76" s="13">
        <f t="shared" si="200"/>
        <v>0</v>
      </c>
      <c r="F76" s="13">
        <f t="shared" si="200"/>
        <v>0</v>
      </c>
      <c r="H76" s="13">
        <f t="shared" ref="H76:S76" si="201">SUM(H72:H75)</f>
        <v>0</v>
      </c>
      <c r="I76" s="13">
        <f t="shared" si="201"/>
        <v>0</v>
      </c>
      <c r="J76" s="13">
        <f t="shared" si="201"/>
        <v>0</v>
      </c>
      <c r="K76" s="13" t="e">
        <f t="shared" si="201"/>
        <v>#REF!</v>
      </c>
      <c r="L76" s="13">
        <f t="shared" si="201"/>
        <v>0</v>
      </c>
      <c r="M76" s="13">
        <f t="shared" si="201"/>
        <v>0</v>
      </c>
      <c r="N76" s="13">
        <f t="shared" si="201"/>
        <v>0</v>
      </c>
      <c r="O76" s="13" t="e">
        <f t="shared" si="201"/>
        <v>#REF!</v>
      </c>
      <c r="P76" s="13">
        <f t="shared" si="201"/>
        <v>0</v>
      </c>
      <c r="Q76" s="13">
        <f t="shared" si="201"/>
        <v>0</v>
      </c>
      <c r="R76" s="13">
        <f t="shared" si="201"/>
        <v>0</v>
      </c>
      <c r="S76" s="13" t="e">
        <f t="shared" si="201"/>
        <v>#REF!</v>
      </c>
      <c r="T76" s="13">
        <f t="shared" ref="T76" si="202">SUM(T72:T75)</f>
        <v>0</v>
      </c>
      <c r="V76" s="13" t="e">
        <f t="shared" ref="V76:AE76" si="203">SUM(V72:V75)</f>
        <v>#REF!</v>
      </c>
      <c r="W76" s="13">
        <f t="shared" si="203"/>
        <v>0</v>
      </c>
      <c r="X76" s="13">
        <f t="shared" si="203"/>
        <v>0</v>
      </c>
      <c r="Y76" s="13">
        <f t="shared" si="203"/>
        <v>0</v>
      </c>
      <c r="Z76" s="13" t="e">
        <f t="shared" si="203"/>
        <v>#REF!</v>
      </c>
      <c r="AA76" s="13">
        <f t="shared" si="203"/>
        <v>0</v>
      </c>
      <c r="AB76" s="13">
        <f t="shared" si="203"/>
        <v>0</v>
      </c>
      <c r="AC76" s="13">
        <f t="shared" si="203"/>
        <v>0</v>
      </c>
      <c r="AD76" s="13" t="e">
        <f t="shared" si="203"/>
        <v>#REF!</v>
      </c>
      <c r="AE76" s="13">
        <f t="shared" si="203"/>
        <v>0</v>
      </c>
    </row>
    <row r="77" spans="2:31" ht="5.0999999999999996" customHeight="1"/>
    <row r="78" spans="2:31" ht="12.75" customHeight="1">
      <c r="B78" s="8" t="s">
        <v>47</v>
      </c>
      <c r="C78" s="78"/>
      <c r="D78" s="78"/>
      <c r="E78" s="78"/>
      <c r="F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V78" s="10">
        <f t="shared" ref="V78" si="204">K78</f>
        <v>0</v>
      </c>
      <c r="W78" s="10">
        <f t="shared" ref="W78" si="205">L78</f>
        <v>0</v>
      </c>
      <c r="X78" s="10">
        <f t="shared" ref="X78" si="206">M78</f>
        <v>0</v>
      </c>
      <c r="Y78" s="10">
        <f t="shared" ref="Y78" si="207">N78</f>
        <v>0</v>
      </c>
      <c r="Z78" s="10">
        <f t="shared" ref="Z78" si="208">O78</f>
        <v>0</v>
      </c>
      <c r="AA78" s="10">
        <f t="shared" ref="AA78" si="209">P78</f>
        <v>0</v>
      </c>
      <c r="AB78" s="10">
        <f t="shared" ref="AB78" si="210">Q78</f>
        <v>0</v>
      </c>
      <c r="AC78" s="10">
        <f t="shared" ref="AC78" si="211">R78</f>
        <v>0</v>
      </c>
      <c r="AD78" s="10">
        <f t="shared" ref="AD78" si="212">S78</f>
        <v>0</v>
      </c>
      <c r="AE78" s="10">
        <f t="shared" ref="AE78" si="213">T78</f>
        <v>0</v>
      </c>
    </row>
    <row r="79" spans="2:31" ht="12.75" customHeight="1">
      <c r="B79" s="12" t="s">
        <v>48</v>
      </c>
      <c r="C79" s="13">
        <f t="shared" ref="C79:F79" si="214">SUM(C76:C78)</f>
        <v>0</v>
      </c>
      <c r="D79" s="13">
        <f t="shared" si="214"/>
        <v>0</v>
      </c>
      <c r="E79" s="13">
        <f t="shared" si="214"/>
        <v>0</v>
      </c>
      <c r="F79" s="13">
        <f t="shared" si="214"/>
        <v>0</v>
      </c>
      <c r="H79" s="13">
        <f>SUM(H76:H78)</f>
        <v>0</v>
      </c>
      <c r="I79" s="13">
        <f>SUM(I76:I78)</f>
        <v>0</v>
      </c>
      <c r="J79" s="13">
        <f>SUM(J76:J78)</f>
        <v>0</v>
      </c>
      <c r="K79" s="13" t="e">
        <f>SUM(K76:K78)</f>
        <v>#REF!</v>
      </c>
      <c r="L79" s="13">
        <f t="shared" ref="L79:Q79" si="215">SUM(L76:L78)</f>
        <v>0</v>
      </c>
      <c r="M79" s="13">
        <f t="shared" si="215"/>
        <v>0</v>
      </c>
      <c r="N79" s="13">
        <f t="shared" si="215"/>
        <v>0</v>
      </c>
      <c r="O79" s="13" t="e">
        <f t="shared" si="215"/>
        <v>#REF!</v>
      </c>
      <c r="P79" s="13">
        <f t="shared" si="215"/>
        <v>0</v>
      </c>
      <c r="Q79" s="13">
        <f t="shared" si="215"/>
        <v>0</v>
      </c>
      <c r="R79" s="13">
        <f t="shared" ref="R79:S79" si="216">SUM(R76:R78)</f>
        <v>0</v>
      </c>
      <c r="S79" s="13" t="e">
        <f t="shared" si="216"/>
        <v>#REF!</v>
      </c>
      <c r="T79" s="13">
        <f t="shared" ref="T79" si="217">SUM(T76:T78)</f>
        <v>0</v>
      </c>
      <c r="V79" s="13" t="e">
        <f t="shared" ref="V79" si="218">SUM(V76:V78)</f>
        <v>#REF!</v>
      </c>
      <c r="W79" s="13">
        <f t="shared" ref="W79:AC79" si="219">SUM(W76:W78)</f>
        <v>0</v>
      </c>
      <c r="X79" s="13">
        <f t="shared" si="219"/>
        <v>0</v>
      </c>
      <c r="Y79" s="13">
        <f t="shared" si="219"/>
        <v>0</v>
      </c>
      <c r="Z79" s="13" t="e">
        <f t="shared" si="219"/>
        <v>#REF!</v>
      </c>
      <c r="AA79" s="13">
        <f t="shared" si="219"/>
        <v>0</v>
      </c>
      <c r="AB79" s="13">
        <f t="shared" si="219"/>
        <v>0</v>
      </c>
      <c r="AC79" s="13">
        <f t="shared" si="219"/>
        <v>0</v>
      </c>
      <c r="AD79" s="13" t="e">
        <f>SUM(AD76:AD78)</f>
        <v>#REF!</v>
      </c>
      <c r="AE79" s="13">
        <f>SUM(AE76:AE78)</f>
        <v>0</v>
      </c>
    </row>
    <row r="80" spans="2:31" ht="5.0999999999999996" customHeight="1"/>
    <row r="81" spans="1:31" ht="12.75" customHeight="1">
      <c r="A81" s="5"/>
      <c r="B81" s="31" t="s">
        <v>70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31" ht="5.0999999999999996" customHeight="1"/>
    <row r="83" spans="1:31" ht="12.75" customHeight="1">
      <c r="B83" s="29" t="s">
        <v>102</v>
      </c>
      <c r="C83" s="132" t="e">
        <f>C76/C34</f>
        <v>#DIV/0!</v>
      </c>
      <c r="D83" s="132" t="e">
        <f>D76/D34</f>
        <v>#DIV/0!</v>
      </c>
      <c r="E83" s="132" t="e">
        <f>E76/E34</f>
        <v>#DIV/0!</v>
      </c>
      <c r="F83" s="132" t="e">
        <f>F76/F34</f>
        <v>#DIV/0!</v>
      </c>
      <c r="H83" s="134"/>
      <c r="I83" s="134"/>
      <c r="J83" s="134"/>
      <c r="K83" s="132" t="e">
        <f t="shared" ref="K83" si="220">SUM(K76/SUM(H34:K34))</f>
        <v>#REF!</v>
      </c>
      <c r="L83" s="132" t="e">
        <f t="shared" ref="L83" si="221">SUM(L76/SUM(I34:L34))</f>
        <v>#DIV/0!</v>
      </c>
      <c r="M83" s="132" t="e">
        <f t="shared" ref="M83" si="222">SUM(M76/SUM(J34:M34))</f>
        <v>#DIV/0!</v>
      </c>
      <c r="N83" s="132" t="e">
        <f t="shared" ref="N83" si="223">SUM(N76/SUM(K34:N34))</f>
        <v>#DIV/0!</v>
      </c>
      <c r="O83" s="132" t="e">
        <f t="shared" ref="O83" si="224">SUM(O76/SUM(L34:O34))</f>
        <v>#REF!</v>
      </c>
      <c r="P83" s="132" t="e">
        <f t="shared" ref="P83" si="225">SUM(P76/SUM(M34:P34))</f>
        <v>#DIV/0!</v>
      </c>
      <c r="Q83" s="132" t="e">
        <f t="shared" ref="Q83" si="226">SUM(Q76/SUM(N34:Q34))</f>
        <v>#DIV/0!</v>
      </c>
      <c r="R83" s="132" t="e">
        <f t="shared" ref="R83" si="227">SUM(R76/SUM(O34:R34))</f>
        <v>#DIV/0!</v>
      </c>
      <c r="S83" s="132" t="e">
        <f t="shared" ref="S83" si="228">SUM(S76/SUM(P34:S34))</f>
        <v>#REF!</v>
      </c>
      <c r="T83" s="132" t="e">
        <f t="shared" ref="T83" si="229">SUM(T76/SUM(Q34:T34))</f>
        <v>#DIV/0!</v>
      </c>
      <c r="U83" s="132"/>
      <c r="V83" s="132" t="e">
        <f t="shared" ref="V83:AE83" si="230">V76/V34</f>
        <v>#REF!</v>
      </c>
      <c r="W83" s="132" t="e">
        <f t="shared" si="230"/>
        <v>#DIV/0!</v>
      </c>
      <c r="X83" s="132" t="e">
        <f t="shared" si="230"/>
        <v>#DIV/0!</v>
      </c>
      <c r="Y83" s="132" t="e">
        <f t="shared" si="230"/>
        <v>#DIV/0!</v>
      </c>
      <c r="Z83" s="132" t="e">
        <f t="shared" si="230"/>
        <v>#REF!</v>
      </c>
      <c r="AA83" s="132" t="e">
        <f t="shared" si="230"/>
        <v>#DIV/0!</v>
      </c>
      <c r="AB83" s="132" t="e">
        <f t="shared" si="230"/>
        <v>#DIV/0!</v>
      </c>
      <c r="AC83" s="132" t="e">
        <f t="shared" si="230"/>
        <v>#DIV/0!</v>
      </c>
      <c r="AD83" s="132" t="e">
        <f t="shared" si="230"/>
        <v>#REF!</v>
      </c>
      <c r="AE83" s="132" t="e">
        <f t="shared" si="230"/>
        <v>#DIV/0!</v>
      </c>
    </row>
    <row r="84" spans="1:31" ht="12.75" customHeight="1">
      <c r="B84" s="29" t="s">
        <v>103</v>
      </c>
      <c r="C84" s="132" t="e">
        <f>SUM(C76-C54)/C34</f>
        <v>#DIV/0!</v>
      </c>
      <c r="D84" s="132" t="e">
        <f>SUM(D76-D54)/D34</f>
        <v>#DIV/0!</v>
      </c>
      <c r="E84" s="132" t="e">
        <f>SUM(E76-E54)/E34</f>
        <v>#DIV/0!</v>
      </c>
      <c r="F84" s="132" t="e">
        <f>SUM(F76-F54)/F34</f>
        <v>#DIV/0!</v>
      </c>
      <c r="H84" s="134"/>
      <c r="I84" s="134"/>
      <c r="J84" s="134"/>
      <c r="K84" s="132" t="e">
        <f t="shared" ref="K84" si="231">SUM(K76-K54)/SUM(H34:K34)</f>
        <v>#REF!</v>
      </c>
      <c r="L84" s="132" t="e">
        <f t="shared" ref="L84" si="232">SUM(L76-L54)/SUM(I34:L34)</f>
        <v>#DIV/0!</v>
      </c>
      <c r="M84" s="132" t="e">
        <f t="shared" ref="M84" si="233">SUM(M76-M54)/SUM(J34:M34)</f>
        <v>#DIV/0!</v>
      </c>
      <c r="N84" s="132" t="e">
        <f t="shared" ref="N84" si="234">SUM(N76-N54)/SUM(K34:N34)</f>
        <v>#DIV/0!</v>
      </c>
      <c r="O84" s="132" t="e">
        <f t="shared" ref="O84" si="235">SUM(O76-O54)/SUM(L34:O34)</f>
        <v>#REF!</v>
      </c>
      <c r="P84" s="132" t="e">
        <f t="shared" ref="P84" si="236">SUM(P76-P54)/SUM(M34:P34)</f>
        <v>#DIV/0!</v>
      </c>
      <c r="Q84" s="132" t="e">
        <f t="shared" ref="Q84" si="237">SUM(Q76-Q54)/SUM(N34:Q34)</f>
        <v>#DIV/0!</v>
      </c>
      <c r="R84" s="132" t="e">
        <f t="shared" ref="R84" si="238">SUM(R76-R54)/SUM(O34:R34)</f>
        <v>#DIV/0!</v>
      </c>
      <c r="S84" s="132" t="e">
        <f t="shared" ref="S84" si="239">SUM(S76-S54)/SUM(P34:S34)</f>
        <v>#REF!</v>
      </c>
      <c r="T84" s="132" t="e">
        <f t="shared" ref="T84" si="240">SUM(T76-T54)/SUM(Q34:T34)</f>
        <v>#DIV/0!</v>
      </c>
      <c r="U84" s="132"/>
      <c r="V84" s="132" t="e">
        <f t="shared" ref="V84:AE84" si="241">SUM(V76-V54)/V34</f>
        <v>#REF!</v>
      </c>
      <c r="W84" s="132" t="e">
        <f t="shared" si="241"/>
        <v>#DIV/0!</v>
      </c>
      <c r="X84" s="132" t="e">
        <f t="shared" si="241"/>
        <v>#DIV/0!</v>
      </c>
      <c r="Y84" s="132" t="e">
        <f t="shared" si="241"/>
        <v>#DIV/0!</v>
      </c>
      <c r="Z84" s="132" t="e">
        <f t="shared" si="241"/>
        <v>#REF!</v>
      </c>
      <c r="AA84" s="132" t="e">
        <f t="shared" si="241"/>
        <v>#DIV/0!</v>
      </c>
      <c r="AB84" s="132" t="e">
        <f t="shared" si="241"/>
        <v>#DIV/0!</v>
      </c>
      <c r="AC84" s="132" t="e">
        <f t="shared" si="241"/>
        <v>#DIV/0!</v>
      </c>
      <c r="AD84" s="132" t="e">
        <f t="shared" si="241"/>
        <v>#REF!</v>
      </c>
      <c r="AE84" s="132" t="e">
        <f t="shared" si="241"/>
        <v>#DIV/0!</v>
      </c>
    </row>
    <row r="85" spans="1:31" ht="12.75" customHeight="1">
      <c r="B85" s="29" t="s">
        <v>104</v>
      </c>
      <c r="C85" s="132" t="e">
        <f>C34/-C39</f>
        <v>#DIV/0!</v>
      </c>
      <c r="D85" s="132" t="e">
        <f>D34/-D39</f>
        <v>#DIV/0!</v>
      </c>
      <c r="E85" s="132" t="e">
        <f>E34/-E39</f>
        <v>#DIV/0!</v>
      </c>
      <c r="F85" s="132" t="e">
        <f>F34/-F39</f>
        <v>#DIV/0!</v>
      </c>
      <c r="H85" s="134"/>
      <c r="I85" s="134"/>
      <c r="J85" s="134"/>
      <c r="K85" s="132" t="e" cm="1">
        <f t="array" ref="K85">SUM(H34:K34)/SUM(-H39:K39)</f>
        <v>#DIV/0!</v>
      </c>
      <c r="L85" s="132" t="e" cm="1">
        <f t="array" ref="L85">SUM(I34:L34)/SUM(-I39:L39)</f>
        <v>#DIV/0!</v>
      </c>
      <c r="M85" s="132" t="e" cm="1">
        <f t="array" ref="M85">SUM(J34:M34)/SUM(-J39:M39)</f>
        <v>#DIV/0!</v>
      </c>
      <c r="N85" s="132" t="e" cm="1">
        <f t="array" ref="N85">SUM(K34:N34)/SUM(-K39:N39)</f>
        <v>#DIV/0!</v>
      </c>
      <c r="O85" s="132" t="e" cm="1">
        <f t="array" ref="O85">SUM(L34:O34)/SUM(-L39:O39)</f>
        <v>#DIV/0!</v>
      </c>
      <c r="P85" s="132" t="e" cm="1">
        <f t="array" ref="P85">SUM(M34:P34)/SUM(-M39:P39)</f>
        <v>#DIV/0!</v>
      </c>
      <c r="Q85" s="132" t="e" cm="1">
        <f t="array" ref="Q85">SUM(N34:Q34)/SUM(-N39:Q39)</f>
        <v>#DIV/0!</v>
      </c>
      <c r="R85" s="132" t="e" cm="1">
        <f t="array" ref="R85">SUM(O34:R34)/SUM(-O39:R39)</f>
        <v>#DIV/0!</v>
      </c>
      <c r="S85" s="132" t="e" cm="1">
        <f t="array" ref="S85">SUM(P34:S34)/SUM(-P39:S39)</f>
        <v>#DIV/0!</v>
      </c>
      <c r="T85" s="132" t="e" cm="1">
        <f t="array" ref="T85">SUM(Q34:T34)/SUM(-Q39:T39)</f>
        <v>#DIV/0!</v>
      </c>
      <c r="U85" s="132"/>
      <c r="V85" s="132" t="e">
        <f t="shared" ref="V85:AE85" si="242">V34/-V39</f>
        <v>#DIV/0!</v>
      </c>
      <c r="W85" s="132" t="e">
        <f t="shared" si="242"/>
        <v>#DIV/0!</v>
      </c>
      <c r="X85" s="132" t="e">
        <f t="shared" si="242"/>
        <v>#DIV/0!</v>
      </c>
      <c r="Y85" s="132" t="e">
        <f t="shared" si="242"/>
        <v>#DIV/0!</v>
      </c>
      <c r="Z85" s="132" t="e">
        <f t="shared" si="242"/>
        <v>#DIV/0!</v>
      </c>
      <c r="AA85" s="132" t="e">
        <f t="shared" si="242"/>
        <v>#DIV/0!</v>
      </c>
      <c r="AB85" s="132" t="e">
        <f t="shared" si="242"/>
        <v>#DIV/0!</v>
      </c>
      <c r="AC85" s="132" t="e">
        <f t="shared" si="242"/>
        <v>#DIV/0!</v>
      </c>
      <c r="AD85" s="132" t="e">
        <f t="shared" si="242"/>
        <v>#DIV/0!</v>
      </c>
      <c r="AE85" s="132" t="e">
        <f t="shared" si="242"/>
        <v>#DIV/0!</v>
      </c>
    </row>
    <row r="86" spans="1:31" ht="12.75" customHeight="1">
      <c r="B86" s="29" t="s">
        <v>105</v>
      </c>
      <c r="C86" s="132" t="e" cm="1">
        <f t="array" ref="C86">SUM(C34+C37)/SUM(-C38:C39)</f>
        <v>#DIV/0!</v>
      </c>
      <c r="D86" s="132" t="e" cm="1">
        <f t="array" ref="D86">SUM(D34+D37)/SUM(-D38:D39)</f>
        <v>#DIV/0!</v>
      </c>
      <c r="E86" s="132" t="e" cm="1">
        <f t="array" ref="E86">SUM(E34+E37)/SUM(-E38:E39)</f>
        <v>#DIV/0!</v>
      </c>
      <c r="F86" s="132" t="e" cm="1">
        <f t="array" ref="F86">SUM(F34+F37)/SUM(-F38:F39)</f>
        <v>#DIV/0!</v>
      </c>
      <c r="H86" s="134"/>
      <c r="I86" s="134"/>
      <c r="J86" s="134"/>
      <c r="K86" s="132" t="e" cm="1">
        <f t="array" ref="K86">SUM(H34:K34+H37:K37)/SUM(-H38:K39)</f>
        <v>#DIV/0!</v>
      </c>
      <c r="L86" s="132" t="e" cm="1">
        <f t="array" ref="L86">SUM(I34:L34+I37:L37)/SUM(-I38:L39)</f>
        <v>#DIV/0!</v>
      </c>
      <c r="M86" s="132" t="e" cm="1">
        <f t="array" ref="M86">SUM(J34:M34+J37:M37)/SUM(-J38:M39)</f>
        <v>#DIV/0!</v>
      </c>
      <c r="N86" s="132" t="e" cm="1">
        <f t="array" ref="N86">SUM(K34:N34+K37:N37)/SUM(-K38:N39)</f>
        <v>#DIV/0!</v>
      </c>
      <c r="O86" s="132" t="e" cm="1">
        <f t="array" ref="O86">SUM(L34:O34+L37:O37)/SUM(-L38:O39)</f>
        <v>#DIV/0!</v>
      </c>
      <c r="P86" s="132" t="e" cm="1">
        <f t="array" ref="P86">SUM(M34:P34+M37:P37)/SUM(-M38:P39)</f>
        <v>#DIV/0!</v>
      </c>
      <c r="Q86" s="132" t="e" cm="1">
        <f t="array" ref="Q86">SUM(N34:Q34+N37:Q37)/SUM(-N38:Q39)</f>
        <v>#DIV/0!</v>
      </c>
      <c r="R86" s="132" t="e" cm="1">
        <f t="array" ref="R86">SUM(O34:R34+O37:R37)/SUM(-O38:R39)</f>
        <v>#DIV/0!</v>
      </c>
      <c r="S86" s="132" t="e" cm="1">
        <f t="array" ref="S86">SUM(P34:S34+P37:S37)/SUM(-P38:S39)</f>
        <v>#DIV/0!</v>
      </c>
      <c r="T86" s="132" t="e" cm="1">
        <f t="array" ref="T86">SUM(Q34:T34+Q37:T37)/SUM(-Q38:T39)</f>
        <v>#DIV/0!</v>
      </c>
      <c r="U86" s="132"/>
      <c r="V86" s="132" t="e" cm="1">
        <f t="array" ref="V86">SUM(V34+V37)/SUM(-V38:V39)</f>
        <v>#DIV/0!</v>
      </c>
      <c r="W86" s="132" t="e" cm="1">
        <f t="array" ref="W86">SUM(W34+W37)/SUM(-W38:W39)</f>
        <v>#DIV/0!</v>
      </c>
      <c r="X86" s="132" t="e" cm="1">
        <f t="array" ref="X86">SUM(X34+X37)/SUM(-X38:X39)</f>
        <v>#DIV/0!</v>
      </c>
      <c r="Y86" s="132" t="e" cm="1">
        <f t="array" ref="Y86">SUM(Y34+Y37)/SUM(-Y38:Y39)</f>
        <v>#DIV/0!</v>
      </c>
      <c r="Z86" s="132" t="e" cm="1">
        <f t="array" ref="Z86">SUM(Z34+Z37)/SUM(-Z38:Z39)</f>
        <v>#DIV/0!</v>
      </c>
      <c r="AA86" s="132" t="e" cm="1">
        <f t="array" ref="AA86">SUM(AA34+AA37)/SUM(-AA38:AA39)</f>
        <v>#DIV/0!</v>
      </c>
      <c r="AB86" s="132" t="e" cm="1">
        <f t="array" ref="AB86">SUM(AB34+AB37)/SUM(-AB38:AB39)</f>
        <v>#DIV/0!</v>
      </c>
      <c r="AC86" s="132" t="e" cm="1">
        <f t="array" ref="AC86">SUM(AC34+AC37)/SUM(-AC38:AC39)</f>
        <v>#DIV/0!</v>
      </c>
      <c r="AD86" s="132" t="e" cm="1">
        <f t="array" ref="AD86">SUM(AD34+AD37)/SUM(-AD38:AD39)</f>
        <v>#DIV/0!</v>
      </c>
      <c r="AE86" s="132" t="e" cm="1">
        <f t="array" ref="AE86">SUM(AE34+AE37)/SUM(-AE38:AE39)</f>
        <v>#DIV/0!</v>
      </c>
    </row>
    <row r="87" spans="1:31" ht="12.75" customHeight="1">
      <c r="B87" s="29" t="s">
        <v>106</v>
      </c>
      <c r="C87" s="132" t="e" cm="1">
        <f t="array" ref="C87">SUM(C34)/SUM(-C37:C39)</f>
        <v>#DIV/0!</v>
      </c>
      <c r="D87" s="132" t="e" cm="1">
        <f t="array" ref="D87">SUM(D34)/SUM(-D37:D39)</f>
        <v>#DIV/0!</v>
      </c>
      <c r="E87" s="132" t="e" cm="1">
        <f t="array" ref="E87">SUM(E34)/SUM(-E37:E39)</f>
        <v>#DIV/0!</v>
      </c>
      <c r="F87" s="132" t="e" cm="1">
        <f t="array" ref="F87">SUM(F34)/SUM(-F37:F39)</f>
        <v>#DIV/0!</v>
      </c>
      <c r="H87" s="134"/>
      <c r="I87" s="134"/>
      <c r="J87" s="134"/>
      <c r="K87" s="132" t="e" cm="1">
        <f t="array" ref="K87">SUM(H34:K34)/SUM(-H37:K39)</f>
        <v>#DIV/0!</v>
      </c>
      <c r="L87" s="132" t="e" cm="1">
        <f t="array" ref="L87">SUM(I34:L34)/SUM(-I37:L39)</f>
        <v>#DIV/0!</v>
      </c>
      <c r="M87" s="132" t="e" cm="1">
        <f t="array" ref="M87">SUM(J34:M34)/SUM(-J37:M39)</f>
        <v>#DIV/0!</v>
      </c>
      <c r="N87" s="132" t="e" cm="1">
        <f t="array" ref="N87">SUM(K34:N34)/SUM(-K37:N39)</f>
        <v>#DIV/0!</v>
      </c>
      <c r="O87" s="132" t="e" cm="1">
        <f t="array" ref="O87">SUM(L34:O34)/SUM(-L37:O39)</f>
        <v>#DIV/0!</v>
      </c>
      <c r="P87" s="132" t="e" cm="1">
        <f t="array" ref="P87">SUM(M34:P34)/SUM(-M37:P39)</f>
        <v>#DIV/0!</v>
      </c>
      <c r="Q87" s="132" t="e" cm="1">
        <f t="array" ref="Q87">SUM(N34:Q34)/SUM(-N37:Q39)</f>
        <v>#DIV/0!</v>
      </c>
      <c r="R87" s="132" t="e" cm="1">
        <f t="array" ref="R87">SUM(O34:R34)/SUM(-O37:R39)</f>
        <v>#DIV/0!</v>
      </c>
      <c r="S87" s="132" t="e" cm="1">
        <f t="array" ref="S87">SUM(P34:S34)/SUM(-P37:S39)</f>
        <v>#DIV/0!</v>
      </c>
      <c r="T87" s="132" t="e" cm="1">
        <f t="array" ref="T87">SUM(Q34:T34)/SUM(-Q37:T39)</f>
        <v>#DIV/0!</v>
      </c>
      <c r="U87" s="132"/>
      <c r="V87" s="132" t="e" cm="1">
        <f t="array" ref="V87">SUM(V34)/SUM(-V37:V39)</f>
        <v>#DIV/0!</v>
      </c>
      <c r="W87" s="132" t="e" cm="1">
        <f t="array" ref="W87">SUM(W34)/SUM(-W37:W39)</f>
        <v>#DIV/0!</v>
      </c>
      <c r="X87" s="132" t="e" cm="1">
        <f t="array" ref="X87">SUM(X34)/SUM(-X37:X39)</f>
        <v>#DIV/0!</v>
      </c>
      <c r="Y87" s="132" t="e" cm="1">
        <f t="array" ref="Y87">SUM(Y34)/SUM(-Y37:Y39)</f>
        <v>#DIV/0!</v>
      </c>
      <c r="Z87" s="132" t="e" cm="1">
        <f t="array" ref="Z87">SUM(Z34)/SUM(-Z37:Z39)</f>
        <v>#DIV/0!</v>
      </c>
      <c r="AA87" s="132" t="e" cm="1">
        <f t="array" ref="AA87">SUM(AA34)/SUM(-AA37:AA39)</f>
        <v>#DIV/0!</v>
      </c>
      <c r="AB87" s="132" t="e" cm="1">
        <f t="array" ref="AB87">SUM(AB34)/SUM(-AB37:AB39)</f>
        <v>#DIV/0!</v>
      </c>
      <c r="AC87" s="132" t="e" cm="1">
        <f t="array" ref="AC87">SUM(AC34)/SUM(-AC37:AC39)</f>
        <v>#DIV/0!</v>
      </c>
      <c r="AD87" s="132" t="e" cm="1">
        <f t="array" ref="AD87">SUM(AD34)/SUM(-AD37:AD39)</f>
        <v>#DIV/0!</v>
      </c>
      <c r="AE87" s="132" t="e" cm="1">
        <f t="array" ref="AE87">SUM(AE34)/SUM(-AE37:AE39)</f>
        <v>#DIV/0!</v>
      </c>
    </row>
    <row r="88" spans="1:31" ht="12.75" customHeight="1">
      <c r="B88" s="8" t="s">
        <v>49</v>
      </c>
      <c r="C88" s="132" t="e">
        <f t="shared" ref="C88:F88" si="243">C79/C76</f>
        <v>#DIV/0!</v>
      </c>
      <c r="D88" s="132" t="e">
        <f t="shared" si="243"/>
        <v>#DIV/0!</v>
      </c>
      <c r="E88" s="132" t="e">
        <f t="shared" si="243"/>
        <v>#DIV/0!</v>
      </c>
      <c r="F88" s="132" t="e">
        <f t="shared" si="243"/>
        <v>#DIV/0!</v>
      </c>
      <c r="H88" s="134"/>
      <c r="I88" s="134"/>
      <c r="J88" s="134"/>
      <c r="K88" s="132" t="e">
        <f t="shared" ref="K88:S88" si="244">K79/K76</f>
        <v>#REF!</v>
      </c>
      <c r="L88" s="132" t="e">
        <f t="shared" si="244"/>
        <v>#DIV/0!</v>
      </c>
      <c r="M88" s="132" t="e">
        <f t="shared" si="244"/>
        <v>#DIV/0!</v>
      </c>
      <c r="N88" s="132" t="e">
        <f t="shared" si="244"/>
        <v>#DIV/0!</v>
      </c>
      <c r="O88" s="132" t="e">
        <f t="shared" si="244"/>
        <v>#REF!</v>
      </c>
      <c r="P88" s="132" t="e">
        <f t="shared" si="244"/>
        <v>#DIV/0!</v>
      </c>
      <c r="Q88" s="132" t="e">
        <f t="shared" si="244"/>
        <v>#DIV/0!</v>
      </c>
      <c r="R88" s="132" t="e">
        <f t="shared" si="244"/>
        <v>#DIV/0!</v>
      </c>
      <c r="S88" s="132" t="e">
        <f t="shared" si="244"/>
        <v>#REF!</v>
      </c>
      <c r="T88" s="132" t="e">
        <f t="shared" ref="T88" si="245">T79/T76</f>
        <v>#DIV/0!</v>
      </c>
      <c r="U88" s="132"/>
      <c r="V88" s="132" t="e">
        <f t="shared" ref="V88" si="246">V79/V76</f>
        <v>#REF!</v>
      </c>
      <c r="W88" s="132" t="e">
        <f t="shared" ref="W88:AC88" si="247">W79/W76</f>
        <v>#DIV/0!</v>
      </c>
      <c r="X88" s="132" t="e">
        <f t="shared" si="247"/>
        <v>#DIV/0!</v>
      </c>
      <c r="Y88" s="132" t="e">
        <f t="shared" si="247"/>
        <v>#DIV/0!</v>
      </c>
      <c r="Z88" s="132" t="e">
        <f t="shared" si="247"/>
        <v>#REF!</v>
      </c>
      <c r="AA88" s="132" t="e">
        <f t="shared" si="247"/>
        <v>#DIV/0!</v>
      </c>
      <c r="AB88" s="132" t="e">
        <f t="shared" si="247"/>
        <v>#DIV/0!</v>
      </c>
      <c r="AC88" s="132" t="e">
        <f t="shared" si="247"/>
        <v>#DIV/0!</v>
      </c>
      <c r="AD88" s="132" t="e">
        <f>AD79/AD76</f>
        <v>#REF!</v>
      </c>
      <c r="AE88" s="132" t="e">
        <f>AE79/AE76</f>
        <v>#DIV/0!</v>
      </c>
    </row>
    <row r="89" spans="1:31" ht="5.0999999999999996" customHeight="1" thickBot="1"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</row>
  </sheetData>
  <mergeCells count="1">
    <mergeCell ref="AG2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2025-12-25T01:18:23Z</dcterms:modified>
</cp:coreProperties>
</file>