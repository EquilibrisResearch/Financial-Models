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Felix\Downloads\"/>
    </mc:Choice>
  </mc:AlternateContent>
  <xr:revisionPtr revIDLastSave="0" documentId="13_ncr:1_{51EF5486-0C5E-4FD4-8CDC-C73BFD1ADBF7}" xr6:coauthVersionLast="47" xr6:coauthVersionMax="47" xr10:uidLastSave="{00000000-0000-0000-0000-000000000000}"/>
  <bookViews>
    <workbookView xWindow="-120" yWindow="-120" windowWidth="29040" windowHeight="15720" activeTab="3" xr2:uid="{BC9106CE-9107-4097-8948-317996376CB5}"/>
  </bookViews>
  <sheets>
    <sheet name="Base Financials" sheetId="8" r:id="rId1"/>
    <sheet name="Revenue Drivers" sheetId="10" r:id="rId2"/>
    <sheet name="FCF" sheetId="9" r:id="rId3"/>
    <sheet name="3-Statement Model" sheetId="14" r:id="rId4"/>
    <sheet name="DCF" sheetId="12" r:id="rId5"/>
    <sheet name="WACC" sheetId="16" r:id="rId6"/>
    <sheet name="Shares" sheetId="17" r:id="rId7"/>
  </sheets>
  <externalReferences>
    <externalReference r:id="rId8"/>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03" i="8" l="1"/>
  <c r="AO102" i="8"/>
  <c r="AO101" i="8"/>
  <c r="AO100" i="8"/>
  <c r="AO99" i="8"/>
  <c r="AO98" i="8"/>
  <c r="AO97" i="8"/>
  <c r="AO96" i="8"/>
  <c r="AO92" i="8"/>
  <c r="AO91" i="8"/>
  <c r="AO90" i="8"/>
  <c r="AO89" i="8"/>
  <c r="AO88" i="8"/>
  <c r="AO84" i="8"/>
  <c r="AO83" i="8"/>
  <c r="AO82" i="8"/>
  <c r="AO81" i="8"/>
  <c r="AO80" i="8"/>
  <c r="AO79" i="8"/>
  <c r="AO78" i="8"/>
  <c r="AO76" i="8"/>
  <c r="AO75" i="8"/>
  <c r="AO74" i="8"/>
  <c r="AO73" i="8"/>
  <c r="AO72" i="8"/>
  <c r="AO70" i="8"/>
  <c r="P30" i="8"/>
  <c r="T30" i="8"/>
  <c r="X30" i="8"/>
  <c r="X27" i="8"/>
  <c r="T27" i="8"/>
  <c r="P27" i="8"/>
  <c r="W51" i="9"/>
  <c r="V51" i="9"/>
  <c r="AI51" i="9" s="1"/>
  <c r="U51" i="9"/>
  <c r="S51" i="9"/>
  <c r="R51" i="9"/>
  <c r="AE51" i="9" s="1"/>
  <c r="Q51" i="9"/>
  <c r="O51" i="9"/>
  <c r="N51" i="9"/>
  <c r="AA51" i="9" s="1"/>
  <c r="M51" i="9"/>
  <c r="Z51" i="9" s="1"/>
  <c r="K51" i="9"/>
  <c r="J51" i="9"/>
  <c r="I51" i="9"/>
  <c r="AJ51" i="9"/>
  <c r="AF51" i="9"/>
  <c r="AD51" i="9"/>
  <c r="AB51" i="9"/>
  <c r="G51" i="9"/>
  <c r="F51" i="9"/>
  <c r="E51" i="9"/>
  <c r="D51" i="9"/>
  <c r="C51" i="9"/>
  <c r="G50" i="9"/>
  <c r="F50" i="9"/>
  <c r="E50" i="9"/>
  <c r="D50" i="9"/>
  <c r="E4" i="17"/>
  <c r="H56" i="12"/>
  <c r="F88" i="14"/>
  <c r="E88" i="14"/>
  <c r="F87" i="14"/>
  <c r="E87" i="14"/>
  <c r="F86" i="14"/>
  <c r="E86" i="14"/>
  <c r="E22" i="12"/>
  <c r="E77" i="14"/>
  <c r="G77" i="14"/>
  <c r="F77" i="14"/>
  <c r="D6" i="12"/>
  <c r="C55" i="12" s="1"/>
  <c r="D4" i="12"/>
  <c r="D12" i="12" s="1"/>
  <c r="E12" i="12" s="1"/>
  <c r="F12" i="12" s="1"/>
  <c r="Q130" i="12"/>
  <c r="P130" i="12" s="1"/>
  <c r="O130" i="12"/>
  <c r="D130" i="12"/>
  <c r="Q129" i="12"/>
  <c r="P129" i="12" s="1"/>
  <c r="O129" i="12"/>
  <c r="G129" i="12"/>
  <c r="E129" i="12"/>
  <c r="D129" i="12"/>
  <c r="C129" i="12"/>
  <c r="Q128" i="12"/>
  <c r="P128" i="12" s="1"/>
  <c r="O128" i="12"/>
  <c r="E128" i="12"/>
  <c r="D128" i="12"/>
  <c r="C128" i="12"/>
  <c r="L103" i="12"/>
  <c r="L104" i="12" s="1"/>
  <c r="G130" i="12" s="1"/>
  <c r="D103" i="12"/>
  <c r="D104" i="12" s="1"/>
  <c r="L101" i="12"/>
  <c r="L100" i="12" s="1"/>
  <c r="D101" i="12"/>
  <c r="D100" i="12" s="1"/>
  <c r="Q99" i="12"/>
  <c r="P99" i="12"/>
  <c r="N99" i="12"/>
  <c r="M99" i="12"/>
  <c r="I99" i="12"/>
  <c r="H99" i="12"/>
  <c r="F99" i="12"/>
  <c r="E99" i="12"/>
  <c r="B128" i="12" s="1"/>
  <c r="L95" i="12"/>
  <c r="D95" i="12"/>
  <c r="L94" i="12"/>
  <c r="D94" i="12"/>
  <c r="L92" i="12"/>
  <c r="D92" i="12"/>
  <c r="L91" i="12"/>
  <c r="D91" i="12"/>
  <c r="P90" i="12"/>
  <c r="Q90" i="12" s="1"/>
  <c r="G128" i="12" s="1"/>
  <c r="N90" i="12"/>
  <c r="M90" i="12"/>
  <c r="H90" i="12"/>
  <c r="I90" i="12" s="1"/>
  <c r="F90" i="12"/>
  <c r="E90" i="12"/>
  <c r="B129" i="12" s="1"/>
  <c r="C59" i="12"/>
  <c r="I61" i="12"/>
  <c r="C72" i="12" s="1"/>
  <c r="D72" i="12" s="1"/>
  <c r="C58" i="12"/>
  <c r="D37" i="12"/>
  <c r="B35" i="12"/>
  <c r="C12" i="12"/>
  <c r="H9" i="12"/>
  <c r="D5" i="12"/>
  <c r="D8" i="12" s="1"/>
  <c r="C38" i="12" s="1"/>
  <c r="H4" i="12"/>
  <c r="B3" i="12"/>
  <c r="E38" i="17"/>
  <c r="E40" i="17" s="1"/>
  <c r="E41" i="17" s="1"/>
  <c r="E37" i="17"/>
  <c r="E28" i="17"/>
  <c r="E27" i="17"/>
  <c r="E30" i="17" s="1"/>
  <c r="E31" i="17" s="1"/>
  <c r="C16" i="17"/>
  <c r="E9" i="17"/>
  <c r="B3" i="17"/>
  <c r="B46" i="16"/>
  <c r="G43" i="16"/>
  <c r="C43" i="16"/>
  <c r="G42" i="16"/>
  <c r="I42" i="16" s="1"/>
  <c r="F42" i="16"/>
  <c r="G41" i="16"/>
  <c r="I41" i="16" s="1"/>
  <c r="F41" i="16"/>
  <c r="G40" i="16"/>
  <c r="I40" i="16" s="1"/>
  <c r="F40" i="16"/>
  <c r="C30" i="16"/>
  <c r="C29" i="16"/>
  <c r="C27" i="16"/>
  <c r="C26" i="16"/>
  <c r="F25" i="16"/>
  <c r="D25" i="16"/>
  <c r="D19" i="16"/>
  <c r="C19" i="16"/>
  <c r="E18" i="16"/>
  <c r="E19" i="16" s="1"/>
  <c r="C18" i="16"/>
  <c r="F43" i="16" s="1"/>
  <c r="C11" i="16"/>
  <c r="C13" i="16" s="1"/>
  <c r="C7" i="16"/>
  <c r="C8" i="16" s="1"/>
  <c r="E21" i="16" s="1"/>
  <c r="C25" i="16" s="1"/>
  <c r="B3" i="16"/>
  <c r="AH51" i="9" l="1"/>
  <c r="G12" i="12"/>
  <c r="F37" i="12"/>
  <c r="E37" i="12"/>
  <c r="E18" i="17"/>
  <c r="E19" i="17" s="1"/>
  <c r="E13" i="17"/>
  <c r="E14" i="17"/>
  <c r="E10" i="17"/>
  <c r="E11" i="17"/>
  <c r="E12" i="17"/>
  <c r="E15" i="17"/>
  <c r="H43" i="16"/>
  <c r="I43" i="16" s="1"/>
  <c r="C45" i="16" s="1"/>
  <c r="C46" i="16" s="1"/>
  <c r="C35" i="16" s="1"/>
  <c r="E16" i="17" l="1"/>
  <c r="E20" i="17" s="1"/>
  <c r="G37" i="12"/>
  <c r="H12" i="12"/>
  <c r="H37" i="12" l="1"/>
  <c r="I12" i="12"/>
  <c r="B44" i="12" l="1"/>
  <c r="B43" i="12"/>
  <c r="E44" i="12"/>
  <c r="I37" i="12"/>
  <c r="W64" i="9" l="1"/>
  <c r="V64" i="9"/>
  <c r="U64" i="9"/>
  <c r="S64" i="9"/>
  <c r="R64" i="9"/>
  <c r="Q64" i="9"/>
  <c r="O64" i="9"/>
  <c r="N64" i="9"/>
  <c r="M64" i="9"/>
  <c r="K64" i="9"/>
  <c r="J64" i="9"/>
  <c r="W63" i="9"/>
  <c r="V63" i="9"/>
  <c r="U63" i="9"/>
  <c r="T63" i="9"/>
  <c r="S63" i="9"/>
  <c r="R63" i="9"/>
  <c r="Q63" i="9"/>
  <c r="P63" i="9"/>
  <c r="O63" i="9"/>
  <c r="N63" i="9"/>
  <c r="M63" i="9"/>
  <c r="L63" i="9"/>
  <c r="K63" i="9"/>
  <c r="J63" i="9"/>
  <c r="I64" i="9"/>
  <c r="I63" i="9"/>
  <c r="W68" i="9"/>
  <c r="V68" i="9"/>
  <c r="U68" i="9"/>
  <c r="S68" i="9"/>
  <c r="R68" i="9"/>
  <c r="Q68" i="9"/>
  <c r="O68" i="9"/>
  <c r="N68" i="9"/>
  <c r="M68" i="9"/>
  <c r="K68" i="9"/>
  <c r="J68" i="9"/>
  <c r="I68" i="9"/>
  <c r="W67" i="9"/>
  <c r="AJ67" i="9" s="1"/>
  <c r="V67" i="9"/>
  <c r="AI67" i="9" s="1"/>
  <c r="U67" i="9"/>
  <c r="AH67" i="9" s="1"/>
  <c r="T67" i="9"/>
  <c r="AG67" i="9" s="1"/>
  <c r="S67" i="9"/>
  <c r="AF67" i="9" s="1"/>
  <c r="R67" i="9"/>
  <c r="Q67" i="9"/>
  <c r="P67" i="9"/>
  <c r="O67" i="9"/>
  <c r="N67" i="9"/>
  <c r="M67" i="9"/>
  <c r="L67" i="9"/>
  <c r="K67" i="9"/>
  <c r="J67" i="9"/>
  <c r="I67" i="9"/>
  <c r="W66" i="9"/>
  <c r="AJ66" i="9" s="1"/>
  <c r="V66" i="9"/>
  <c r="AI66" i="9" s="1"/>
  <c r="U66" i="9"/>
  <c r="AH66" i="9" s="1"/>
  <c r="T66" i="9"/>
  <c r="AG66" i="9" s="1"/>
  <c r="S66" i="9"/>
  <c r="AF66" i="9" s="1"/>
  <c r="R66" i="9"/>
  <c r="AE66" i="9" s="1"/>
  <c r="Q66" i="9"/>
  <c r="AD66" i="9" s="1"/>
  <c r="P66" i="9"/>
  <c r="O66" i="9"/>
  <c r="AB66" i="9" s="1"/>
  <c r="N66" i="9"/>
  <c r="AA66" i="9" s="1"/>
  <c r="M66" i="9"/>
  <c r="L66" i="9"/>
  <c r="K66" i="9"/>
  <c r="J66" i="9"/>
  <c r="I66" i="9"/>
  <c r="G64" i="9"/>
  <c r="F64" i="9"/>
  <c r="E64" i="9"/>
  <c r="D64" i="9"/>
  <c r="G63" i="9"/>
  <c r="F63" i="9"/>
  <c r="E63" i="9"/>
  <c r="D63" i="9"/>
  <c r="G68" i="9"/>
  <c r="F68" i="9"/>
  <c r="E68" i="9"/>
  <c r="D68" i="9"/>
  <c r="G67" i="9"/>
  <c r="F67" i="9"/>
  <c r="E67" i="9"/>
  <c r="D67" i="9"/>
  <c r="G66" i="9"/>
  <c r="F66" i="9"/>
  <c r="E66" i="9"/>
  <c r="D66" i="9"/>
  <c r="C68" i="9"/>
  <c r="C67" i="9"/>
  <c r="C66" i="9"/>
  <c r="C63" i="9"/>
  <c r="F57" i="14"/>
  <c r="E57" i="14"/>
  <c r="D57" i="14"/>
  <c r="D151" i="14" s="1"/>
  <c r="G57" i="14"/>
  <c r="G84" i="14" s="1"/>
  <c r="F48" i="14"/>
  <c r="E48" i="14"/>
  <c r="D48" i="14"/>
  <c r="G48" i="14"/>
  <c r="G63" i="14"/>
  <c r="F63" i="14"/>
  <c r="E63" i="14"/>
  <c r="D63" i="14"/>
  <c r="G62" i="14"/>
  <c r="F62" i="14"/>
  <c r="E62" i="14"/>
  <c r="D62" i="14"/>
  <c r="F61" i="14"/>
  <c r="E61" i="14"/>
  <c r="D61" i="14"/>
  <c r="G61" i="14"/>
  <c r="F58" i="14"/>
  <c r="E58" i="14"/>
  <c r="D58" i="14"/>
  <c r="G58" i="14"/>
  <c r="G78" i="14" s="1"/>
  <c r="F56" i="14"/>
  <c r="E56" i="14"/>
  <c r="D56" i="14"/>
  <c r="G56" i="14"/>
  <c r="G85" i="14" s="1"/>
  <c r="F98" i="14"/>
  <c r="E98" i="14"/>
  <c r="E81" i="14" s="1"/>
  <c r="E82" i="14" s="1"/>
  <c r="D98" i="14"/>
  <c r="D102" i="14" s="1"/>
  <c r="G98" i="14"/>
  <c r="G81" i="14" s="1"/>
  <c r="G82" i="14" s="1"/>
  <c r="G120" i="14"/>
  <c r="D53" i="14"/>
  <c r="E53" i="14"/>
  <c r="F53" i="14"/>
  <c r="G53" i="14"/>
  <c r="D54" i="14"/>
  <c r="E54" i="14"/>
  <c r="F54" i="14"/>
  <c r="G54" i="14"/>
  <c r="D55" i="14"/>
  <c r="E55" i="14"/>
  <c r="F55" i="14"/>
  <c r="G55" i="14"/>
  <c r="D39" i="8"/>
  <c r="D40" i="8" s="1"/>
  <c r="D45" i="8" s="1"/>
  <c r="F108" i="8"/>
  <c r="E52" i="8"/>
  <c r="E57" i="8" s="1"/>
  <c r="AM50" i="8"/>
  <c r="AL50" i="8"/>
  <c r="AK50" i="8"/>
  <c r="AJ50" i="8"/>
  <c r="AI50" i="8"/>
  <c r="C44" i="8"/>
  <c r="C109" i="8"/>
  <c r="C104" i="8"/>
  <c r="C93" i="8"/>
  <c r="C62" i="8"/>
  <c r="C52" i="8"/>
  <c r="C57" i="8" s="1"/>
  <c r="C40" i="8"/>
  <c r="C9" i="8"/>
  <c r="C12" i="8" s="1"/>
  <c r="F109" i="8"/>
  <c r="E109" i="8"/>
  <c r="D109" i="8"/>
  <c r="F104" i="8"/>
  <c r="E104" i="8"/>
  <c r="D104" i="8"/>
  <c r="F93" i="8"/>
  <c r="E93" i="8"/>
  <c r="D93" i="8"/>
  <c r="F62" i="8"/>
  <c r="E62" i="8"/>
  <c r="D62" i="8"/>
  <c r="F52" i="8"/>
  <c r="F57" i="8" s="1"/>
  <c r="D52" i="8"/>
  <c r="D57" i="8" s="1"/>
  <c r="F40" i="8"/>
  <c r="F45" i="8" s="1"/>
  <c r="E40" i="8"/>
  <c r="E45" i="8" s="1"/>
  <c r="F9" i="8"/>
  <c r="F12" i="8" s="1"/>
  <c r="E9" i="8"/>
  <c r="E12" i="8" s="1"/>
  <c r="D9" i="8"/>
  <c r="D12" i="8" s="1"/>
  <c r="G119" i="14"/>
  <c r="E156" i="14"/>
  <c r="F156" i="14" s="1"/>
  <c r="G156" i="14" s="1"/>
  <c r="H156" i="14" s="1"/>
  <c r="I156" i="14" s="1"/>
  <c r="G167" i="14"/>
  <c r="F167" i="14"/>
  <c r="E167" i="14"/>
  <c r="D167" i="14"/>
  <c r="H172" i="14"/>
  <c r="G164" i="14"/>
  <c r="F164" i="14"/>
  <c r="E164" i="14"/>
  <c r="D164" i="14"/>
  <c r="G102" i="14"/>
  <c r="H63" i="14"/>
  <c r="I63" i="14" s="1"/>
  <c r="J63" i="14" s="1"/>
  <c r="K63" i="14" s="1"/>
  <c r="L63" i="14" s="1"/>
  <c r="F147" i="14"/>
  <c r="G50" i="14"/>
  <c r="F50" i="14"/>
  <c r="F113" i="14" s="1"/>
  <c r="E50" i="14"/>
  <c r="E113" i="14" s="1"/>
  <c r="D50" i="14"/>
  <c r="G49" i="14"/>
  <c r="G100" i="14" s="1"/>
  <c r="H97" i="14" s="1"/>
  <c r="F49" i="14"/>
  <c r="F100" i="14" s="1"/>
  <c r="G97" i="14" s="1"/>
  <c r="E49" i="14"/>
  <c r="D49" i="14"/>
  <c r="D100" i="14" s="1"/>
  <c r="E97" i="14" s="1"/>
  <c r="G47" i="14"/>
  <c r="F47" i="14"/>
  <c r="E47" i="14"/>
  <c r="D47" i="14"/>
  <c r="G46" i="14"/>
  <c r="F46" i="14"/>
  <c r="E46" i="14"/>
  <c r="D46" i="14"/>
  <c r="G45" i="14"/>
  <c r="F45" i="14"/>
  <c r="E45" i="14"/>
  <c r="D45" i="14"/>
  <c r="G32" i="14"/>
  <c r="G74" i="14" s="1"/>
  <c r="F32" i="14"/>
  <c r="F74" i="14" s="1"/>
  <c r="E32" i="14"/>
  <c r="E74" i="14" s="1"/>
  <c r="D32" i="14"/>
  <c r="G30" i="14"/>
  <c r="F30" i="14"/>
  <c r="F73" i="14" s="1"/>
  <c r="E30" i="14"/>
  <c r="E73" i="14" s="1"/>
  <c r="D30" i="14"/>
  <c r="D107" i="14" s="1"/>
  <c r="D105" i="14" s="1"/>
  <c r="G27" i="14"/>
  <c r="D21" i="12" s="1"/>
  <c r="F27" i="14"/>
  <c r="E27" i="14"/>
  <c r="D27" i="14"/>
  <c r="G21" i="14"/>
  <c r="F21" i="14"/>
  <c r="E21" i="14"/>
  <c r="D21" i="14"/>
  <c r="G20" i="14"/>
  <c r="F20" i="14"/>
  <c r="E20" i="14"/>
  <c r="D20" i="14"/>
  <c r="G18" i="14"/>
  <c r="F18" i="14"/>
  <c r="E18" i="14"/>
  <c r="D18" i="14"/>
  <c r="G17" i="14"/>
  <c r="F17" i="14"/>
  <c r="E17" i="14"/>
  <c r="D17" i="14"/>
  <c r="D10" i="14"/>
  <c r="G15" i="14" s="1"/>
  <c r="F15" i="14" s="1"/>
  <c r="F161" i="14" s="1"/>
  <c r="D9" i="14"/>
  <c r="L204" i="14"/>
  <c r="K204" i="14"/>
  <c r="J204" i="14"/>
  <c r="I204" i="14"/>
  <c r="H204" i="14"/>
  <c r="L202" i="14"/>
  <c r="K202" i="14"/>
  <c r="J202" i="14"/>
  <c r="I202" i="14"/>
  <c r="H202" i="14"/>
  <c r="L200" i="14"/>
  <c r="K200" i="14"/>
  <c r="J200" i="14"/>
  <c r="I200" i="14"/>
  <c r="H200" i="14"/>
  <c r="L198" i="14"/>
  <c r="K198" i="14"/>
  <c r="J198" i="14"/>
  <c r="I198" i="14"/>
  <c r="H198" i="14"/>
  <c r="L196" i="14"/>
  <c r="K196" i="14"/>
  <c r="J196" i="14"/>
  <c r="I196" i="14"/>
  <c r="H196" i="14"/>
  <c r="L194" i="14"/>
  <c r="K194" i="14"/>
  <c r="J194" i="14"/>
  <c r="I194" i="14"/>
  <c r="H194" i="14"/>
  <c r="I192" i="14"/>
  <c r="H192" i="14"/>
  <c r="K191" i="14"/>
  <c r="J191" i="14"/>
  <c r="J192" i="14" s="1"/>
  <c r="I190" i="14"/>
  <c r="H190" i="14"/>
  <c r="L187" i="14"/>
  <c r="K187" i="14"/>
  <c r="J187" i="14"/>
  <c r="I187" i="14"/>
  <c r="H187" i="14"/>
  <c r="G187" i="14"/>
  <c r="L186" i="14"/>
  <c r="K186" i="14"/>
  <c r="J186" i="14"/>
  <c r="I186" i="14"/>
  <c r="H186" i="14"/>
  <c r="G186" i="14"/>
  <c r="L185" i="14"/>
  <c r="K185" i="14"/>
  <c r="J185" i="14"/>
  <c r="I185" i="14"/>
  <c r="H185" i="14"/>
  <c r="G185" i="14"/>
  <c r="I184" i="14"/>
  <c r="I36" i="14" s="1"/>
  <c r="H184" i="14"/>
  <c r="H36" i="14" s="1"/>
  <c r="G184" i="14"/>
  <c r="D182" i="14"/>
  <c r="H175" i="14"/>
  <c r="G157" i="14"/>
  <c r="F157" i="14"/>
  <c r="E157" i="14"/>
  <c r="D157" i="14"/>
  <c r="G147" i="14"/>
  <c r="H146" i="14"/>
  <c r="I146" i="14" s="1"/>
  <c r="J146" i="14" s="1"/>
  <c r="K146" i="14" s="1"/>
  <c r="L146" i="14" s="1"/>
  <c r="G143" i="14"/>
  <c r="F143" i="14"/>
  <c r="E143" i="14"/>
  <c r="D143" i="14"/>
  <c r="C141" i="14"/>
  <c r="C140" i="14"/>
  <c r="G136" i="14"/>
  <c r="H133" i="14" s="1"/>
  <c r="F136" i="14"/>
  <c r="C124" i="14"/>
  <c r="C123" i="14"/>
  <c r="G113" i="14"/>
  <c r="H110" i="14" s="1"/>
  <c r="E100" i="14"/>
  <c r="F97" i="14" s="1"/>
  <c r="C95" i="14"/>
  <c r="C94" i="14"/>
  <c r="C70" i="14"/>
  <c r="C69" i="14"/>
  <c r="C44" i="14"/>
  <c r="C43" i="14"/>
  <c r="C2" i="14"/>
  <c r="C3" i="9"/>
  <c r="AC66" i="9"/>
  <c r="Z66" i="9"/>
  <c r="Y66" i="9"/>
  <c r="AJ64" i="9"/>
  <c r="C64" i="9"/>
  <c r="AJ63" i="9"/>
  <c r="W58" i="9"/>
  <c r="AJ58" i="9" s="1"/>
  <c r="V58" i="9"/>
  <c r="U58" i="9"/>
  <c r="S58" i="9"/>
  <c r="R58" i="9"/>
  <c r="Q58" i="9"/>
  <c r="O58" i="9"/>
  <c r="N58" i="9"/>
  <c r="M58" i="9"/>
  <c r="K58" i="9"/>
  <c r="J58" i="9"/>
  <c r="I58" i="9"/>
  <c r="G58" i="9"/>
  <c r="F58" i="9"/>
  <c r="E58" i="9"/>
  <c r="D58" i="9"/>
  <c r="C58" i="9"/>
  <c r="W57" i="9"/>
  <c r="AJ57" i="9" s="1"/>
  <c r="V57" i="9"/>
  <c r="U57" i="9"/>
  <c r="S57" i="9"/>
  <c r="R57" i="9"/>
  <c r="Q57" i="9"/>
  <c r="O57" i="9"/>
  <c r="N57" i="9"/>
  <c r="M57" i="9"/>
  <c r="K57" i="9"/>
  <c r="J57" i="9"/>
  <c r="I57" i="9"/>
  <c r="G57" i="9"/>
  <c r="F57" i="9"/>
  <c r="E57" i="9"/>
  <c r="D57" i="9"/>
  <c r="C57" i="9"/>
  <c r="W56" i="9"/>
  <c r="AJ56" i="9" s="1"/>
  <c r="V56" i="9"/>
  <c r="U56" i="9"/>
  <c r="S56" i="9"/>
  <c r="R56" i="9"/>
  <c r="Q56" i="9"/>
  <c r="O56" i="9"/>
  <c r="N56" i="9"/>
  <c r="M56" i="9"/>
  <c r="K56" i="9"/>
  <c r="J56" i="9"/>
  <c r="I56" i="9"/>
  <c r="G56" i="9"/>
  <c r="F56" i="9"/>
  <c r="E56" i="9"/>
  <c r="D56" i="9"/>
  <c r="C56" i="9"/>
  <c r="W55" i="9"/>
  <c r="AJ55" i="9" s="1"/>
  <c r="V55" i="9"/>
  <c r="U55" i="9"/>
  <c r="S55" i="9"/>
  <c r="R55" i="9"/>
  <c r="Q55" i="9"/>
  <c r="O55" i="9"/>
  <c r="N55" i="9"/>
  <c r="M55" i="9"/>
  <c r="K55" i="9"/>
  <c r="J55" i="9"/>
  <c r="I55" i="9"/>
  <c r="G55" i="9"/>
  <c r="F55" i="9"/>
  <c r="E55" i="9"/>
  <c r="D55" i="9"/>
  <c r="C55" i="9"/>
  <c r="W50" i="9"/>
  <c r="AJ50" i="9" s="1"/>
  <c r="V50" i="9"/>
  <c r="U50" i="9"/>
  <c r="S50" i="9"/>
  <c r="R50" i="9"/>
  <c r="Q50" i="9"/>
  <c r="O50" i="9"/>
  <c r="N50" i="9"/>
  <c r="M50" i="9"/>
  <c r="K50" i="9"/>
  <c r="J50" i="9"/>
  <c r="I50" i="9"/>
  <c r="W49" i="9"/>
  <c r="V49" i="9"/>
  <c r="U49" i="9"/>
  <c r="U52" i="9" s="1"/>
  <c r="S49" i="9"/>
  <c r="S52" i="9" s="1"/>
  <c r="R49" i="9"/>
  <c r="R52" i="9" s="1"/>
  <c r="Q49" i="9"/>
  <c r="Q52" i="9" s="1"/>
  <c r="O49" i="9"/>
  <c r="N49" i="9"/>
  <c r="M49" i="9"/>
  <c r="K49" i="9"/>
  <c r="J49" i="9"/>
  <c r="J52" i="9" s="1"/>
  <c r="I49" i="9"/>
  <c r="I52" i="9" s="1"/>
  <c r="G49" i="9"/>
  <c r="G52" i="9" s="1"/>
  <c r="F49" i="9"/>
  <c r="F52" i="9" s="1"/>
  <c r="E49" i="9"/>
  <c r="E52" i="9" s="1"/>
  <c r="D49" i="9"/>
  <c r="D52" i="9" s="1"/>
  <c r="C50" i="9"/>
  <c r="C49" i="9"/>
  <c r="U43" i="9"/>
  <c r="Q43" i="9"/>
  <c r="O43" i="9"/>
  <c r="M43" i="9"/>
  <c r="I43" i="9"/>
  <c r="G43" i="9"/>
  <c r="G118" i="14" s="1"/>
  <c r="G87" i="14" s="1"/>
  <c r="F43" i="9"/>
  <c r="E43" i="9"/>
  <c r="D43" i="9"/>
  <c r="C43" i="9"/>
  <c r="U42" i="9"/>
  <c r="Q42" i="9"/>
  <c r="O42" i="9"/>
  <c r="M42" i="9"/>
  <c r="I42" i="9"/>
  <c r="G42" i="9"/>
  <c r="F42" i="9"/>
  <c r="E42" i="9"/>
  <c r="D42" i="9"/>
  <c r="C42" i="9"/>
  <c r="U41" i="9"/>
  <c r="Q41" i="9"/>
  <c r="O41" i="9"/>
  <c r="M41" i="9"/>
  <c r="I41" i="9"/>
  <c r="G41" i="9"/>
  <c r="F41" i="9"/>
  <c r="E41" i="9"/>
  <c r="D41" i="9"/>
  <c r="C41" i="9"/>
  <c r="U40" i="9"/>
  <c r="S40" i="9"/>
  <c r="R40" i="9"/>
  <c r="Q40" i="9"/>
  <c r="O40" i="9"/>
  <c r="N40" i="9"/>
  <c r="M40" i="9"/>
  <c r="K40" i="9"/>
  <c r="J40" i="9"/>
  <c r="I40" i="9"/>
  <c r="G40" i="9"/>
  <c r="F40" i="9"/>
  <c r="E40" i="9"/>
  <c r="D40" i="9"/>
  <c r="C40" i="9"/>
  <c r="U39" i="9"/>
  <c r="Q39" i="9"/>
  <c r="O39" i="9"/>
  <c r="M39" i="9"/>
  <c r="I39" i="9"/>
  <c r="G39" i="9"/>
  <c r="F39" i="9"/>
  <c r="E39" i="9"/>
  <c r="D39" i="9"/>
  <c r="C39" i="9"/>
  <c r="U38" i="9"/>
  <c r="O38" i="9"/>
  <c r="G38" i="9"/>
  <c r="F38" i="9"/>
  <c r="E38" i="9"/>
  <c r="D38" i="9"/>
  <c r="C38" i="9"/>
  <c r="U35" i="9"/>
  <c r="O35" i="9"/>
  <c r="G35" i="9"/>
  <c r="F35" i="9"/>
  <c r="E35" i="9"/>
  <c r="D35" i="9"/>
  <c r="C35" i="9"/>
  <c r="W34" i="9"/>
  <c r="V34" i="9"/>
  <c r="U34" i="9"/>
  <c r="S34" i="9"/>
  <c r="R34" i="9"/>
  <c r="Q34" i="9"/>
  <c r="M34" i="9"/>
  <c r="U33" i="9"/>
  <c r="Q33" i="9"/>
  <c r="M33" i="9"/>
  <c r="I34" i="9"/>
  <c r="I33" i="9"/>
  <c r="G34" i="9"/>
  <c r="F34" i="9"/>
  <c r="E34" i="9"/>
  <c r="D34" i="9"/>
  <c r="G33" i="9"/>
  <c r="F33" i="9"/>
  <c r="E33" i="9"/>
  <c r="D33" i="9"/>
  <c r="C34" i="9"/>
  <c r="C33" i="9"/>
  <c r="U32" i="9"/>
  <c r="Q32" i="9"/>
  <c r="O32" i="9"/>
  <c r="M32" i="9"/>
  <c r="I32" i="9"/>
  <c r="G32" i="9"/>
  <c r="F32" i="9"/>
  <c r="E32" i="9"/>
  <c r="D32" i="9"/>
  <c r="C32" i="9"/>
  <c r="U28" i="9"/>
  <c r="Q28" i="9"/>
  <c r="O28" i="9"/>
  <c r="M28" i="9"/>
  <c r="I28" i="9"/>
  <c r="G28" i="9"/>
  <c r="F28" i="9"/>
  <c r="E28" i="9"/>
  <c r="D28" i="9"/>
  <c r="C28" i="9"/>
  <c r="U24" i="9"/>
  <c r="Q24" i="9"/>
  <c r="O24" i="9"/>
  <c r="M24" i="9"/>
  <c r="I24" i="9"/>
  <c r="G24" i="9"/>
  <c r="F24" i="9"/>
  <c r="E24" i="9"/>
  <c r="D24" i="9"/>
  <c r="C24" i="9"/>
  <c r="W20" i="9"/>
  <c r="V20" i="9"/>
  <c r="U20" i="9"/>
  <c r="S20" i="9"/>
  <c r="R20" i="9"/>
  <c r="Q20" i="9"/>
  <c r="O20" i="9"/>
  <c r="N20" i="9"/>
  <c r="M20" i="9"/>
  <c r="K20" i="9"/>
  <c r="J20" i="9"/>
  <c r="I20" i="9"/>
  <c r="G20" i="9"/>
  <c r="F20" i="9"/>
  <c r="E20" i="9"/>
  <c r="D20" i="9"/>
  <c r="W19" i="9"/>
  <c r="V19" i="9"/>
  <c r="U19" i="9"/>
  <c r="S19" i="9"/>
  <c r="R19" i="9"/>
  <c r="Q19" i="9"/>
  <c r="O19" i="9"/>
  <c r="N19" i="9"/>
  <c r="M19" i="9"/>
  <c r="K19" i="9"/>
  <c r="J19" i="9"/>
  <c r="I19" i="9"/>
  <c r="G19" i="9"/>
  <c r="F19" i="9"/>
  <c r="E19" i="9"/>
  <c r="D19" i="9"/>
  <c r="C20" i="9"/>
  <c r="C19" i="9"/>
  <c r="W15" i="9"/>
  <c r="V15" i="9"/>
  <c r="U15" i="9"/>
  <c r="S15" i="9"/>
  <c r="R15" i="9"/>
  <c r="Q15" i="9"/>
  <c r="O15" i="9"/>
  <c r="N15" i="9"/>
  <c r="M15" i="9"/>
  <c r="K15" i="9"/>
  <c r="J15" i="9"/>
  <c r="I15" i="9"/>
  <c r="G15" i="9"/>
  <c r="F15" i="9"/>
  <c r="E15" i="9"/>
  <c r="D15" i="9"/>
  <c r="C15" i="9"/>
  <c r="W10" i="9"/>
  <c r="V10" i="9"/>
  <c r="U10" i="9"/>
  <c r="T10" i="9"/>
  <c r="S10" i="9"/>
  <c r="R10" i="9"/>
  <c r="Q10" i="9"/>
  <c r="P10" i="9"/>
  <c r="O10" i="9"/>
  <c r="N10" i="9"/>
  <c r="M10" i="9"/>
  <c r="L10" i="9"/>
  <c r="K10" i="9"/>
  <c r="J10" i="9"/>
  <c r="W9" i="9"/>
  <c r="V9" i="9"/>
  <c r="U9" i="9"/>
  <c r="T9" i="9"/>
  <c r="S9" i="9"/>
  <c r="R9" i="9"/>
  <c r="Q9" i="9"/>
  <c r="P9" i="9"/>
  <c r="O9" i="9"/>
  <c r="N9" i="9"/>
  <c r="M9" i="9"/>
  <c r="L9" i="9"/>
  <c r="K9" i="9"/>
  <c r="J9" i="9"/>
  <c r="W8" i="9"/>
  <c r="V8" i="9"/>
  <c r="U8" i="9"/>
  <c r="T8" i="9"/>
  <c r="S8" i="9"/>
  <c r="R8" i="9"/>
  <c r="Q8" i="9"/>
  <c r="P8" i="9"/>
  <c r="AF8" i="9" s="1"/>
  <c r="O8" i="9"/>
  <c r="N8" i="9"/>
  <c r="M8" i="9"/>
  <c r="L8" i="9"/>
  <c r="K8" i="9"/>
  <c r="J8" i="9"/>
  <c r="W7" i="9"/>
  <c r="V7" i="9"/>
  <c r="U7" i="9"/>
  <c r="T7" i="9"/>
  <c r="AJ7" i="9" s="1"/>
  <c r="S7" i="9"/>
  <c r="R7" i="9"/>
  <c r="Q7" i="9"/>
  <c r="P7" i="9"/>
  <c r="O7" i="9"/>
  <c r="N7" i="9"/>
  <c r="M7" i="9"/>
  <c r="L7" i="9"/>
  <c r="K7" i="9"/>
  <c r="J7" i="9"/>
  <c r="W6" i="9"/>
  <c r="V6" i="9"/>
  <c r="U6" i="9"/>
  <c r="T6" i="9"/>
  <c r="S6" i="9"/>
  <c r="R6" i="9"/>
  <c r="Q6" i="9"/>
  <c r="P6" i="9"/>
  <c r="O6" i="9"/>
  <c r="N6" i="9"/>
  <c r="M6" i="9"/>
  <c r="L6" i="9"/>
  <c r="K6" i="9"/>
  <c r="J6" i="9"/>
  <c r="I10" i="9"/>
  <c r="I9" i="9"/>
  <c r="I8" i="9"/>
  <c r="I7" i="9"/>
  <c r="I6" i="9"/>
  <c r="G10" i="9"/>
  <c r="F10" i="9"/>
  <c r="E10" i="9"/>
  <c r="D10" i="9"/>
  <c r="C10" i="9"/>
  <c r="G9" i="9"/>
  <c r="F9" i="9"/>
  <c r="E9" i="9"/>
  <c r="D9" i="9"/>
  <c r="C9" i="9"/>
  <c r="G8" i="9"/>
  <c r="F8" i="9"/>
  <c r="E8" i="9"/>
  <c r="D8" i="9"/>
  <c r="C8" i="9"/>
  <c r="G7" i="9"/>
  <c r="F7" i="9"/>
  <c r="E7" i="9"/>
  <c r="D7" i="9"/>
  <c r="C7" i="9"/>
  <c r="G6" i="9"/>
  <c r="F6" i="9"/>
  <c r="E6" i="9"/>
  <c r="D6" i="9"/>
  <c r="C6" i="9"/>
  <c r="B10" i="9"/>
  <c r="B9" i="9"/>
  <c r="B8" i="9"/>
  <c r="B7" i="9"/>
  <c r="B6" i="9"/>
  <c r="AI11" i="10"/>
  <c r="AH11" i="10"/>
  <c r="AG11" i="10"/>
  <c r="AF11" i="10"/>
  <c r="AE11" i="10"/>
  <c r="AI10" i="10"/>
  <c r="AH10" i="10"/>
  <c r="AG10" i="10"/>
  <c r="AF10" i="10"/>
  <c r="AE10" i="10"/>
  <c r="AI9" i="10"/>
  <c r="AH9" i="10"/>
  <c r="AG9" i="10"/>
  <c r="AF9" i="10"/>
  <c r="AE9" i="10"/>
  <c r="F12" i="10"/>
  <c r="E12" i="10"/>
  <c r="D12" i="10"/>
  <c r="C12" i="10"/>
  <c r="W12" i="10"/>
  <c r="V12" i="10"/>
  <c r="U12" i="10"/>
  <c r="T12" i="10"/>
  <c r="S12" i="10"/>
  <c r="R12" i="10"/>
  <c r="Q12" i="10"/>
  <c r="P12" i="10"/>
  <c r="O12" i="10"/>
  <c r="N12" i="10"/>
  <c r="M12" i="10"/>
  <c r="L12" i="10"/>
  <c r="K12" i="10"/>
  <c r="J12" i="10"/>
  <c r="I12" i="10"/>
  <c r="G12" i="10"/>
  <c r="AL108" i="8"/>
  <c r="AK108" i="8"/>
  <c r="AJ108" i="8"/>
  <c r="AI108" i="8"/>
  <c r="AH108" i="8"/>
  <c r="AG108" i="8"/>
  <c r="AF108" i="8"/>
  <c r="AE108" i="8"/>
  <c r="AD108" i="8"/>
  <c r="AC108" i="8"/>
  <c r="AM108" i="8"/>
  <c r="AL111" i="8"/>
  <c r="AK111" i="8"/>
  <c r="AJ111" i="8"/>
  <c r="AI111" i="8"/>
  <c r="AH111" i="8"/>
  <c r="AG111" i="8"/>
  <c r="AF111" i="8"/>
  <c r="AE111" i="8"/>
  <c r="AD111" i="8"/>
  <c r="AC111" i="8"/>
  <c r="AM111" i="8"/>
  <c r="Z118" i="8"/>
  <c r="V33" i="9" s="1"/>
  <c r="V118" i="8"/>
  <c r="R33" i="9" s="1"/>
  <c r="R119" i="8"/>
  <c r="N34" i="9" s="1"/>
  <c r="R118" i="8"/>
  <c r="N33" i="9" s="1"/>
  <c r="N119" i="8"/>
  <c r="J34" i="9" s="1"/>
  <c r="N118" i="8"/>
  <c r="O118" i="8" s="1"/>
  <c r="K33" i="9" s="1"/>
  <c r="X119" i="8"/>
  <c r="T34" i="9" s="1"/>
  <c r="Z76" i="8"/>
  <c r="AA76" i="8" s="1"/>
  <c r="V76" i="8"/>
  <c r="W76" i="8" s="1"/>
  <c r="R76" i="8"/>
  <c r="T76" i="8" s="1"/>
  <c r="N76" i="8"/>
  <c r="O76" i="8" s="1"/>
  <c r="R75" i="8"/>
  <c r="T75" i="8" s="1"/>
  <c r="U75" i="8" s="1"/>
  <c r="X75" i="8" s="1"/>
  <c r="Y75" i="8" s="1"/>
  <c r="Z75" i="8" s="1"/>
  <c r="N75" i="8"/>
  <c r="O75" i="8" s="1"/>
  <c r="P75" i="8" s="1"/>
  <c r="Z74" i="8"/>
  <c r="V28" i="9" s="1"/>
  <c r="V74" i="8"/>
  <c r="R28" i="9" s="1"/>
  <c r="R74" i="8"/>
  <c r="N28" i="9" s="1"/>
  <c r="N74" i="8"/>
  <c r="O74" i="8" s="1"/>
  <c r="K28" i="9" s="1"/>
  <c r="Z73" i="8"/>
  <c r="AA73" i="8" s="1"/>
  <c r="W24" i="9" s="1"/>
  <c r="V73" i="8"/>
  <c r="W73" i="8" s="1"/>
  <c r="S24" i="9" s="1"/>
  <c r="R73" i="8"/>
  <c r="T73" i="8" s="1"/>
  <c r="P24" i="9" s="1"/>
  <c r="N73" i="8"/>
  <c r="O73" i="8" s="1"/>
  <c r="K24" i="9" s="1"/>
  <c r="M108" i="8"/>
  <c r="G111" i="8"/>
  <c r="AA108" i="8"/>
  <c r="Z108" i="8"/>
  <c r="Y108" i="8"/>
  <c r="X108" i="8"/>
  <c r="W108" i="8"/>
  <c r="V108" i="8"/>
  <c r="U108" i="8"/>
  <c r="T108" i="8"/>
  <c r="S108" i="8"/>
  <c r="R108" i="8"/>
  <c r="Q108" i="8"/>
  <c r="P108" i="8"/>
  <c r="O108" i="8"/>
  <c r="N108" i="8"/>
  <c r="K108" i="8"/>
  <c r="J108" i="8"/>
  <c r="I108" i="8"/>
  <c r="G108" i="8"/>
  <c r="G109" i="8" s="1"/>
  <c r="AM27" i="8"/>
  <c r="AL27" i="8"/>
  <c r="AK27" i="8"/>
  <c r="AJ27" i="8"/>
  <c r="AI27" i="8"/>
  <c r="AH27" i="8"/>
  <c r="AG27" i="8"/>
  <c r="AF27" i="8"/>
  <c r="AE27" i="8"/>
  <c r="AD27" i="8"/>
  <c r="AC27" i="8"/>
  <c r="P16" i="8"/>
  <c r="L20" i="9" s="1"/>
  <c r="P15" i="8"/>
  <c r="L19" i="9" s="1"/>
  <c r="X101" i="8"/>
  <c r="X98" i="8"/>
  <c r="X97" i="8"/>
  <c r="X96" i="8"/>
  <c r="T101" i="8"/>
  <c r="T98" i="8"/>
  <c r="T97" i="8"/>
  <c r="T96" i="8"/>
  <c r="P101" i="8"/>
  <c r="P98" i="8"/>
  <c r="P97" i="8"/>
  <c r="P96" i="8"/>
  <c r="Z103" i="8"/>
  <c r="AA103" i="8" s="1"/>
  <c r="W43" i="9" s="1"/>
  <c r="V103" i="8"/>
  <c r="W103" i="8" s="1"/>
  <c r="S43" i="9" s="1"/>
  <c r="R103" i="8"/>
  <c r="T103" i="8" s="1"/>
  <c r="P43" i="9" s="1"/>
  <c r="N103" i="8"/>
  <c r="O103" i="8" s="1"/>
  <c r="K43" i="9" s="1"/>
  <c r="Y102" i="8"/>
  <c r="Z102" i="8" s="1"/>
  <c r="AA102" i="8" s="1"/>
  <c r="U102" i="8"/>
  <c r="V102" i="8" s="1"/>
  <c r="W102" i="8" s="1"/>
  <c r="Q102" i="8"/>
  <c r="R102" i="8" s="1"/>
  <c r="M102" i="8"/>
  <c r="N102" i="8" s="1"/>
  <c r="O102" i="8" s="1"/>
  <c r="Z100" i="8"/>
  <c r="AA100" i="8" s="1"/>
  <c r="W42" i="9" s="1"/>
  <c r="V100" i="8"/>
  <c r="W100" i="8" s="1"/>
  <c r="S42" i="9" s="1"/>
  <c r="R100" i="8"/>
  <c r="T100" i="8" s="1"/>
  <c r="P42" i="9" s="1"/>
  <c r="N100" i="8"/>
  <c r="O100" i="8" s="1"/>
  <c r="K42" i="9" s="1"/>
  <c r="Z99" i="8"/>
  <c r="AA99" i="8" s="1"/>
  <c r="W41" i="9" s="1"/>
  <c r="V99" i="8"/>
  <c r="W99" i="8" s="1"/>
  <c r="S41" i="9" s="1"/>
  <c r="R99" i="8"/>
  <c r="T99" i="8" s="1"/>
  <c r="N99" i="8"/>
  <c r="O99" i="8" s="1"/>
  <c r="P99" i="8" s="1"/>
  <c r="Z97" i="8"/>
  <c r="AA97" i="8" s="1"/>
  <c r="AA96" i="8"/>
  <c r="X91" i="8"/>
  <c r="T91" i="8"/>
  <c r="Z92" i="8"/>
  <c r="AA92" i="8" s="1"/>
  <c r="W39" i="9" s="1"/>
  <c r="V92" i="8"/>
  <c r="W92" i="8" s="1"/>
  <c r="S39" i="9" s="1"/>
  <c r="R92" i="8"/>
  <c r="T92" i="8" s="1"/>
  <c r="P39" i="9" s="1"/>
  <c r="N92" i="8"/>
  <c r="O92" i="8" s="1"/>
  <c r="P92" i="8" s="1"/>
  <c r="L39" i="9" s="1"/>
  <c r="O91" i="8"/>
  <c r="P91" i="8" s="1"/>
  <c r="Z90" i="8"/>
  <c r="AA90" i="8" s="1"/>
  <c r="V90" i="8"/>
  <c r="R90" i="8"/>
  <c r="T90" i="8" s="1"/>
  <c r="N90" i="8"/>
  <c r="O90" i="8" s="1"/>
  <c r="Z89" i="8"/>
  <c r="AA89" i="8" s="1"/>
  <c r="U89" i="8"/>
  <c r="V89" i="8" s="1"/>
  <c r="W89" i="8" s="1"/>
  <c r="Q89" i="8"/>
  <c r="M38" i="9" s="1"/>
  <c r="M89" i="8"/>
  <c r="I38" i="9" s="1"/>
  <c r="Z88" i="8"/>
  <c r="AA88" i="8" s="1"/>
  <c r="W32" i="9" s="1"/>
  <c r="V88" i="8"/>
  <c r="W88" i="8" s="1"/>
  <c r="S32" i="9" s="1"/>
  <c r="R88" i="8"/>
  <c r="T88" i="8" s="1"/>
  <c r="P32" i="9" s="1"/>
  <c r="N88" i="8"/>
  <c r="O88" i="8" s="1"/>
  <c r="P88" i="8" s="1"/>
  <c r="L32" i="9" s="1"/>
  <c r="X83" i="8"/>
  <c r="Z84" i="8"/>
  <c r="AA84" i="8" s="1"/>
  <c r="V84" i="8"/>
  <c r="W84" i="8" s="1"/>
  <c r="R84" i="8"/>
  <c r="T84" i="8" s="1"/>
  <c r="N84" i="8"/>
  <c r="O84" i="8" s="1"/>
  <c r="P84" i="8" s="1"/>
  <c r="R83" i="8"/>
  <c r="T83" i="8" s="1"/>
  <c r="N83" i="8"/>
  <c r="O83" i="8" s="1"/>
  <c r="Z82" i="8"/>
  <c r="AA82" i="8" s="1"/>
  <c r="V82" i="8"/>
  <c r="W82" i="8" s="1"/>
  <c r="R82" i="8"/>
  <c r="T82" i="8" s="1"/>
  <c r="N82" i="8"/>
  <c r="O82" i="8" s="1"/>
  <c r="Z81" i="8"/>
  <c r="AA81" i="8" s="1"/>
  <c r="U81" i="8"/>
  <c r="V81" i="8" s="1"/>
  <c r="Q81" i="8"/>
  <c r="M35" i="9" s="1"/>
  <c r="M81" i="8"/>
  <c r="N81" i="8" s="1"/>
  <c r="O81" i="8" s="1"/>
  <c r="Z80" i="8"/>
  <c r="AA80" i="8" s="1"/>
  <c r="V80" i="8"/>
  <c r="W80" i="8" s="1"/>
  <c r="R80" i="8"/>
  <c r="T80" i="8" s="1"/>
  <c r="N80" i="8"/>
  <c r="Z79" i="8"/>
  <c r="AA79" i="8" s="1"/>
  <c r="V79" i="8"/>
  <c r="W79" i="8" s="1"/>
  <c r="R79" i="8"/>
  <c r="T79" i="8" s="1"/>
  <c r="N79" i="8"/>
  <c r="O79" i="8" s="1"/>
  <c r="X61" i="8"/>
  <c r="X60" i="8"/>
  <c r="X59" i="8"/>
  <c r="X56" i="8"/>
  <c r="X55" i="8"/>
  <c r="AJ55" i="8" s="1"/>
  <c r="X54" i="8"/>
  <c r="T68" i="9" s="1"/>
  <c r="X49" i="8"/>
  <c r="X48" i="8"/>
  <c r="X47" i="8"/>
  <c r="T56" i="9" s="1"/>
  <c r="T61" i="8"/>
  <c r="T60" i="8"/>
  <c r="T59" i="8"/>
  <c r="T56" i="8"/>
  <c r="T55" i="8"/>
  <c r="AF55" i="8" s="1"/>
  <c r="T54" i="8"/>
  <c r="P64" i="9" s="1"/>
  <c r="T49" i="8"/>
  <c r="T48" i="8"/>
  <c r="T47" i="8"/>
  <c r="P56" i="9" s="1"/>
  <c r="P61" i="8"/>
  <c r="P60" i="8"/>
  <c r="P59" i="8"/>
  <c r="P56" i="8"/>
  <c r="P55" i="8"/>
  <c r="P54" i="8"/>
  <c r="L68" i="9" s="1"/>
  <c r="P49" i="8"/>
  <c r="P48" i="8"/>
  <c r="P47" i="8"/>
  <c r="L56" i="9" s="1"/>
  <c r="M62" i="8"/>
  <c r="I71" i="9" s="1"/>
  <c r="N62" i="8"/>
  <c r="J71" i="9" s="1"/>
  <c r="O62" i="8"/>
  <c r="K71" i="9" s="1"/>
  <c r="Q62" i="8"/>
  <c r="M71" i="9" s="1"/>
  <c r="R62" i="8"/>
  <c r="N71" i="9" s="1"/>
  <c r="S62" i="8"/>
  <c r="O71" i="9" s="1"/>
  <c r="U62" i="8"/>
  <c r="Q71" i="9" s="1"/>
  <c r="V62" i="8"/>
  <c r="R71" i="9" s="1"/>
  <c r="W62" i="8"/>
  <c r="S71" i="9" s="1"/>
  <c r="Y62" i="8"/>
  <c r="U71" i="9" s="1"/>
  <c r="Z62" i="8"/>
  <c r="V71" i="9" s="1"/>
  <c r="AA62" i="8"/>
  <c r="W71" i="9" s="1"/>
  <c r="AJ71" i="9" s="1"/>
  <c r="AM55" i="8"/>
  <c r="AL55" i="8"/>
  <c r="AK55" i="8"/>
  <c r="AI55" i="8"/>
  <c r="AH55" i="8"/>
  <c r="AG55" i="8"/>
  <c r="AE55" i="8"/>
  <c r="AD55" i="8"/>
  <c r="AC55" i="8"/>
  <c r="X39" i="8"/>
  <c r="X38" i="8"/>
  <c r="T57" i="9" s="1"/>
  <c r="X37" i="8"/>
  <c r="T55" i="9" s="1"/>
  <c r="X36" i="8"/>
  <c r="T50" i="9" s="1"/>
  <c r="X35" i="8"/>
  <c r="T49" i="9" s="1"/>
  <c r="X44" i="8"/>
  <c r="X43" i="8"/>
  <c r="T51" i="9" s="1"/>
  <c r="AG51" i="9" s="1"/>
  <c r="X42" i="8"/>
  <c r="T58" i="9" s="1"/>
  <c r="T39" i="8"/>
  <c r="T38" i="8"/>
  <c r="P57" i="9" s="1"/>
  <c r="T37" i="8"/>
  <c r="P55" i="9" s="1"/>
  <c r="T36" i="8"/>
  <c r="P50" i="9" s="1"/>
  <c r="T35" i="8"/>
  <c r="P49" i="9" s="1"/>
  <c r="T44" i="8"/>
  <c r="T43" i="8"/>
  <c r="P51" i="9" s="1"/>
  <c r="T42" i="8"/>
  <c r="P58" i="9" s="1"/>
  <c r="P39" i="8"/>
  <c r="P38" i="8"/>
  <c r="L57" i="9" s="1"/>
  <c r="P37" i="8"/>
  <c r="L55" i="9" s="1"/>
  <c r="P36" i="8"/>
  <c r="L50" i="9" s="1"/>
  <c r="P35" i="8"/>
  <c r="L49" i="9" s="1"/>
  <c r="P44" i="8"/>
  <c r="P43" i="8"/>
  <c r="L51" i="9" s="1"/>
  <c r="Y51" i="9" s="1"/>
  <c r="P42" i="8"/>
  <c r="L58" i="9" s="1"/>
  <c r="Y9" i="8"/>
  <c r="Y12" i="8" s="1"/>
  <c r="Y40" i="8"/>
  <c r="Y45" i="8" s="1"/>
  <c r="Y52" i="8"/>
  <c r="Y57" i="8" s="1"/>
  <c r="U60" i="9" s="1"/>
  <c r="Y93" i="8"/>
  <c r="M52" i="9" l="1"/>
  <c r="E85" i="14"/>
  <c r="E84" i="14"/>
  <c r="C52" i="9"/>
  <c r="E75" i="14"/>
  <c r="E107" i="14"/>
  <c r="E105" i="14" s="1"/>
  <c r="O52" i="9"/>
  <c r="G75" i="14"/>
  <c r="F78" i="14"/>
  <c r="E89" i="14"/>
  <c r="F75" i="14"/>
  <c r="F85" i="14"/>
  <c r="F84" i="14"/>
  <c r="E147" i="14"/>
  <c r="E148" i="14" s="1"/>
  <c r="K52" i="9"/>
  <c r="V52" i="9"/>
  <c r="G76" i="14"/>
  <c r="D32" i="12" s="1"/>
  <c r="E78" i="14"/>
  <c r="P52" i="9"/>
  <c r="AC51" i="9"/>
  <c r="AJ49" i="9"/>
  <c r="AJ52" i="9" s="1"/>
  <c r="C62" i="12" s="1"/>
  <c r="W52" i="9"/>
  <c r="F76" i="14"/>
  <c r="N52" i="9"/>
  <c r="E76" i="14"/>
  <c r="P68" i="9"/>
  <c r="L52" i="9"/>
  <c r="T52" i="9"/>
  <c r="H119" i="14"/>
  <c r="I119" i="14" s="1"/>
  <c r="I88" i="14" s="1"/>
  <c r="G86" i="14"/>
  <c r="G89" i="14" s="1"/>
  <c r="G88" i="14"/>
  <c r="F102" i="14"/>
  <c r="F81" i="14"/>
  <c r="F82" i="14" s="1"/>
  <c r="H98" i="14"/>
  <c r="H81" i="14" s="1"/>
  <c r="G73" i="14"/>
  <c r="D25" i="12"/>
  <c r="AB7" i="9"/>
  <c r="AD8" i="9"/>
  <c r="AF9" i="9"/>
  <c r="Z10" i="9"/>
  <c r="AH10" i="9"/>
  <c r="F11" i="9"/>
  <c r="Y10" i="9"/>
  <c r="Q11" i="9"/>
  <c r="AA7" i="9"/>
  <c r="AI7" i="9"/>
  <c r="AC8" i="9"/>
  <c r="O11" i="9"/>
  <c r="W11" i="9"/>
  <c r="AG10" i="9"/>
  <c r="L64" i="9"/>
  <c r="T64" i="9"/>
  <c r="J11" i="9"/>
  <c r="R11" i="9"/>
  <c r="K11" i="9"/>
  <c r="S11" i="9"/>
  <c r="AC7" i="9"/>
  <c r="AG9" i="9"/>
  <c r="AA10" i="9"/>
  <c r="AI10" i="9"/>
  <c r="C11" i="9"/>
  <c r="L11" i="9"/>
  <c r="AJ6" i="9"/>
  <c r="AD7" i="9"/>
  <c r="Z9" i="9"/>
  <c r="AH9" i="9"/>
  <c r="AB10" i="9"/>
  <c r="AJ10" i="9"/>
  <c r="D11" i="9"/>
  <c r="I11" i="9"/>
  <c r="M11" i="9"/>
  <c r="U11" i="9"/>
  <c r="AE7" i="9"/>
  <c r="AG8" i="9"/>
  <c r="AC10" i="9"/>
  <c r="Y7" i="9"/>
  <c r="AF7" i="9"/>
  <c r="AL7" i="9" s="1"/>
  <c r="Z8" i="9"/>
  <c r="AH8" i="9"/>
  <c r="AD10" i="9"/>
  <c r="Y8" i="9"/>
  <c r="AG7" i="9"/>
  <c r="AA8" i="9"/>
  <c r="AI8" i="9"/>
  <c r="AC9" i="9"/>
  <c r="AE8" i="9"/>
  <c r="G11" i="9"/>
  <c r="D14" i="12" s="1"/>
  <c r="E11" i="9"/>
  <c r="Y9" i="9"/>
  <c r="AE6" i="9"/>
  <c r="Z7" i="9"/>
  <c r="AH7" i="9"/>
  <c r="AB8" i="9"/>
  <c r="AJ8" i="9"/>
  <c r="AL8" i="9" s="1"/>
  <c r="AB9" i="9"/>
  <c r="AJ9" i="9"/>
  <c r="AL9" i="9" s="1"/>
  <c r="AE10" i="9"/>
  <c r="W40" i="9"/>
  <c r="G107" i="14"/>
  <c r="G105" i="14" s="1"/>
  <c r="C45" i="8"/>
  <c r="E38" i="14"/>
  <c r="L40" i="9"/>
  <c r="I35" i="9"/>
  <c r="D64" i="14"/>
  <c r="C63" i="8"/>
  <c r="C13" i="8"/>
  <c r="C17" i="8"/>
  <c r="P41" i="9"/>
  <c r="F19" i="14"/>
  <c r="F37" i="14" s="1"/>
  <c r="G19" i="14"/>
  <c r="G37" i="14" s="1"/>
  <c r="H37" i="14" s="1"/>
  <c r="I37" i="14" s="1"/>
  <c r="J37" i="14" s="1"/>
  <c r="K37" i="14" s="1"/>
  <c r="L37" i="14" s="1"/>
  <c r="L41" i="9"/>
  <c r="F107" i="14"/>
  <c r="F105" i="14" s="1"/>
  <c r="F63" i="8"/>
  <c r="F65" i="8" s="1"/>
  <c r="E63" i="8"/>
  <c r="E65" i="8" s="1"/>
  <c r="D63" i="8"/>
  <c r="D65" i="8" s="1"/>
  <c r="D13" i="8"/>
  <c r="D17" i="8"/>
  <c r="E13" i="8"/>
  <c r="E17" i="8"/>
  <c r="F13" i="8"/>
  <c r="F17" i="8"/>
  <c r="D19" i="14"/>
  <c r="D22" i="14" s="1"/>
  <c r="D26" i="14" s="1"/>
  <c r="D40" i="14" s="1"/>
  <c r="W38" i="9"/>
  <c r="D38" i="14"/>
  <c r="U59" i="9"/>
  <c r="F38" i="14"/>
  <c r="AI68" i="9"/>
  <c r="P73" i="8"/>
  <c r="L24" i="9" s="1"/>
  <c r="W74" i="8"/>
  <c r="S28" i="9" s="1"/>
  <c r="E19" i="14"/>
  <c r="E37" i="14" s="1"/>
  <c r="E39" i="14"/>
  <c r="Y68" i="9"/>
  <c r="AA68" i="9"/>
  <c r="E106" i="14"/>
  <c r="H54" i="14"/>
  <c r="I54" i="14" s="1"/>
  <c r="T40" i="9"/>
  <c r="AA74" i="8"/>
  <c r="W28" i="9" s="1"/>
  <c r="R24" i="9"/>
  <c r="AJ34" i="9"/>
  <c r="W35" i="9"/>
  <c r="P40" i="9"/>
  <c r="X73" i="8"/>
  <c r="T24" i="9" s="1"/>
  <c r="G39" i="14"/>
  <c r="H39" i="14" s="1"/>
  <c r="I39" i="14" s="1"/>
  <c r="J39" i="14" s="1"/>
  <c r="K39" i="14" s="1"/>
  <c r="L39" i="14" s="1"/>
  <c r="T74" i="8"/>
  <c r="P28" i="9" s="1"/>
  <c r="X76" i="8"/>
  <c r="Q38" i="9"/>
  <c r="D59" i="14"/>
  <c r="Z68" i="9"/>
  <c r="AH68" i="9"/>
  <c r="J24" i="9"/>
  <c r="J32" i="9"/>
  <c r="R32" i="9"/>
  <c r="V35" i="9"/>
  <c r="R38" i="9"/>
  <c r="N39" i="9"/>
  <c r="V39" i="9"/>
  <c r="N41" i="9"/>
  <c r="V41" i="9"/>
  <c r="J42" i="9"/>
  <c r="R42" i="9"/>
  <c r="N43" i="9"/>
  <c r="V43" i="9"/>
  <c r="S119" i="8"/>
  <c r="K32" i="9"/>
  <c r="P118" i="8"/>
  <c r="L33" i="9" s="1"/>
  <c r="S118" i="8"/>
  <c r="J33" i="9"/>
  <c r="W118" i="8"/>
  <c r="S33" i="9" s="1"/>
  <c r="N24" i="9"/>
  <c r="V24" i="9"/>
  <c r="J28" i="9"/>
  <c r="N32" i="9"/>
  <c r="V32" i="9"/>
  <c r="J35" i="9"/>
  <c r="R35" i="9"/>
  <c r="V38" i="9"/>
  <c r="J39" i="9"/>
  <c r="R39" i="9"/>
  <c r="V40" i="9"/>
  <c r="J41" i="9"/>
  <c r="R41" i="9"/>
  <c r="N42" i="9"/>
  <c r="V42" i="9"/>
  <c r="J43" i="9"/>
  <c r="R43" i="9"/>
  <c r="Q35" i="9"/>
  <c r="P76" i="8"/>
  <c r="O119" i="8"/>
  <c r="K34" i="9" s="1"/>
  <c r="K39" i="9"/>
  <c r="K41" i="9"/>
  <c r="AF68" i="9"/>
  <c r="P74" i="8"/>
  <c r="L28" i="9" s="1"/>
  <c r="AA118" i="8"/>
  <c r="W33" i="9" s="1"/>
  <c r="U13" i="10"/>
  <c r="C69" i="9"/>
  <c r="F141" i="14"/>
  <c r="E15" i="14"/>
  <c r="D15" i="14" s="1"/>
  <c r="D161" i="14" s="1"/>
  <c r="F44" i="14"/>
  <c r="F70" i="14" s="1"/>
  <c r="F95" i="14"/>
  <c r="F124" i="14"/>
  <c r="E136" i="14"/>
  <c r="G36" i="14"/>
  <c r="G38" i="14"/>
  <c r="H38" i="14" s="1"/>
  <c r="I38" i="14" s="1"/>
  <c r="J38" i="14" s="1"/>
  <c r="K38" i="14" s="1"/>
  <c r="L38" i="14" s="1"/>
  <c r="E102" i="14"/>
  <c r="H102" i="14" s="1"/>
  <c r="I102" i="14" s="1"/>
  <c r="J156" i="14"/>
  <c r="K156" i="14" s="1"/>
  <c r="L156" i="14" s="1"/>
  <c r="J119" i="14"/>
  <c r="H86" i="14"/>
  <c r="H170" i="14" s="1"/>
  <c r="F64" i="14"/>
  <c r="G64" i="14"/>
  <c r="E51" i="14"/>
  <c r="D51" i="14"/>
  <c r="G148" i="14"/>
  <c r="G153" i="14" s="1"/>
  <c r="D106" i="14"/>
  <c r="F39" i="14"/>
  <c r="F36" i="14"/>
  <c r="D39" i="14"/>
  <c r="E36" i="14"/>
  <c r="G141" i="14"/>
  <c r="G44" i="14"/>
  <c r="G70" i="14" s="1"/>
  <c r="G14" i="14"/>
  <c r="G94" i="14" s="1"/>
  <c r="H17" i="14"/>
  <c r="E14" i="12" s="1"/>
  <c r="H32" i="14"/>
  <c r="H171" i="14" s="1"/>
  <c r="H58" i="14"/>
  <c r="H78" i="14" s="1"/>
  <c r="H48" i="14"/>
  <c r="I48" i="14" s="1"/>
  <c r="D28" i="14"/>
  <c r="G124" i="14"/>
  <c r="H116" i="14"/>
  <c r="E64" i="14"/>
  <c r="F51" i="14"/>
  <c r="H15" i="14"/>
  <c r="G161" i="14"/>
  <c r="G95" i="14"/>
  <c r="H127" i="14"/>
  <c r="G51" i="14"/>
  <c r="E153" i="14"/>
  <c r="K184" i="14"/>
  <c r="K36" i="14" s="1"/>
  <c r="K192" i="14"/>
  <c r="K190" i="14"/>
  <c r="H46" i="14"/>
  <c r="H55" i="14"/>
  <c r="I55" i="14" s="1"/>
  <c r="H50" i="14"/>
  <c r="L191" i="14"/>
  <c r="F148" i="14"/>
  <c r="F153" i="14" s="1"/>
  <c r="J184" i="14"/>
  <c r="J36" i="14" s="1"/>
  <c r="J190" i="14"/>
  <c r="V11" i="9"/>
  <c r="AF10" i="9"/>
  <c r="AE68" i="9"/>
  <c r="AB6" i="9"/>
  <c r="T11" i="9"/>
  <c r="AD6" i="9"/>
  <c r="AI9" i="9"/>
  <c r="AC6" i="9"/>
  <c r="AA9" i="9"/>
  <c r="E151" i="14"/>
  <c r="AF6" i="9"/>
  <c r="AG68" i="9"/>
  <c r="P11" i="9"/>
  <c r="N11" i="9"/>
  <c r="F59" i="14"/>
  <c r="AB68" i="9"/>
  <c r="AJ68" i="9"/>
  <c r="AJ69" i="9" s="1"/>
  <c r="Y6" i="9"/>
  <c r="Y11" i="9" s="1"/>
  <c r="AG6" i="9"/>
  <c r="AD9" i="9"/>
  <c r="H57" i="14"/>
  <c r="H151" i="14" s="1"/>
  <c r="Z6" i="9"/>
  <c r="AH6" i="9"/>
  <c r="AE9" i="9"/>
  <c r="AD68" i="9"/>
  <c r="AA6" i="9"/>
  <c r="AI6" i="9"/>
  <c r="AC68" i="9"/>
  <c r="R89" i="8"/>
  <c r="X99" i="8"/>
  <c r="T41" i="9" s="1"/>
  <c r="X102" i="8"/>
  <c r="P100" i="8"/>
  <c r="L42" i="9" s="1"/>
  <c r="P102" i="8"/>
  <c r="X100" i="8"/>
  <c r="T42" i="9" s="1"/>
  <c r="X89" i="8"/>
  <c r="P103" i="8"/>
  <c r="L43" i="9" s="1"/>
  <c r="T102" i="8"/>
  <c r="Y104" i="8"/>
  <c r="X103" i="8"/>
  <c r="T43" i="9" s="1"/>
  <c r="W90" i="8"/>
  <c r="X90" i="8" s="1"/>
  <c r="X92" i="8"/>
  <c r="T39" i="9" s="1"/>
  <c r="P90" i="8"/>
  <c r="X88" i="8"/>
  <c r="T32" i="9" s="1"/>
  <c r="N89" i="8"/>
  <c r="X82" i="8"/>
  <c r="X80" i="8"/>
  <c r="X84" i="8"/>
  <c r="W81" i="8"/>
  <c r="X81" i="8" s="1"/>
  <c r="P62" i="8"/>
  <c r="L71" i="9" s="1"/>
  <c r="O80" i="8"/>
  <c r="P80" i="8" s="1"/>
  <c r="R81" i="8"/>
  <c r="T81" i="8" s="1"/>
  <c r="P35" i="9" s="1"/>
  <c r="P81" i="8"/>
  <c r="P82" i="8"/>
  <c r="P83" i="8"/>
  <c r="X79" i="8"/>
  <c r="P79" i="8"/>
  <c r="T62" i="8"/>
  <c r="P71" i="9" s="1"/>
  <c r="X62" i="8"/>
  <c r="T71" i="9" s="1"/>
  <c r="Y63" i="8"/>
  <c r="Y65" i="8" s="1"/>
  <c r="Y13" i="8"/>
  <c r="Y17" i="8"/>
  <c r="Y21" i="8" s="1"/>
  <c r="AE11" i="9" l="1"/>
  <c r="I99" i="14"/>
  <c r="I98" i="14"/>
  <c r="C65" i="8"/>
  <c r="F22" i="14"/>
  <c r="F31" i="14" s="1"/>
  <c r="F33" i="14" s="1"/>
  <c r="AJ72" i="9"/>
  <c r="AJ81" i="9" s="1"/>
  <c r="C57" i="12"/>
  <c r="C65" i="12" s="1"/>
  <c r="C70" i="12" s="1"/>
  <c r="D70" i="12" s="1"/>
  <c r="F89" i="14"/>
  <c r="X74" i="8"/>
  <c r="T28" i="9" s="1"/>
  <c r="AJ28" i="9" s="1"/>
  <c r="H88" i="14"/>
  <c r="I86" i="14"/>
  <c r="I170" i="14" s="1"/>
  <c r="H82" i="14"/>
  <c r="E27" i="12"/>
  <c r="E28" i="12" s="1"/>
  <c r="Z11" i="9"/>
  <c r="E15" i="12"/>
  <c r="H21" i="14"/>
  <c r="J98" i="14"/>
  <c r="K98" i="14" s="1"/>
  <c r="L98" i="14" s="1"/>
  <c r="I81" i="14"/>
  <c r="AB11" i="9"/>
  <c r="AG11" i="9"/>
  <c r="AJ11" i="9"/>
  <c r="C14" i="12" s="1"/>
  <c r="AL6" i="9"/>
  <c r="AC11" i="9"/>
  <c r="AJ40" i="9"/>
  <c r="AL10" i="9"/>
  <c r="AH11" i="9"/>
  <c r="G106" i="14"/>
  <c r="H106" i="14" s="1"/>
  <c r="I106" i="14" s="1"/>
  <c r="J106" i="14" s="1"/>
  <c r="G22" i="14"/>
  <c r="G31" i="14" s="1"/>
  <c r="G33" i="14" s="1"/>
  <c r="D31" i="14"/>
  <c r="D33" i="14" s="1"/>
  <c r="C21" i="8"/>
  <c r="C24" i="8" s="1"/>
  <c r="C18" i="8"/>
  <c r="D37" i="14"/>
  <c r="D66" i="14"/>
  <c r="AJ42" i="9"/>
  <c r="F106" i="14"/>
  <c r="E21" i="8"/>
  <c r="E24" i="8" s="1"/>
  <c r="E18" i="8"/>
  <c r="D21" i="8"/>
  <c r="D24" i="8" s="1"/>
  <c r="D18" i="8"/>
  <c r="F18" i="8"/>
  <c r="F21" i="8"/>
  <c r="F24" i="8" s="1"/>
  <c r="E22" i="14"/>
  <c r="E26" i="14" s="1"/>
  <c r="E40" i="14" s="1"/>
  <c r="AJ24" i="9"/>
  <c r="E161" i="14"/>
  <c r="N35" i="9"/>
  <c r="E59" i="14"/>
  <c r="E66" i="14" s="1"/>
  <c r="G160" i="14"/>
  <c r="G140" i="14"/>
  <c r="E152" i="14"/>
  <c r="AJ41" i="9"/>
  <c r="E141" i="14"/>
  <c r="T89" i="8"/>
  <c r="P38" i="9" s="1"/>
  <c r="N38" i="9"/>
  <c r="H84" i="14"/>
  <c r="I57" i="14"/>
  <c r="I151" i="14" s="1"/>
  <c r="O89" i="8"/>
  <c r="K38" i="9" s="1"/>
  <c r="J38" i="9"/>
  <c r="T118" i="8"/>
  <c r="P33" i="9" s="1"/>
  <c r="O33" i="9"/>
  <c r="AJ32" i="9"/>
  <c r="T38" i="9"/>
  <c r="AJ38" i="9" s="1"/>
  <c r="G151" i="14"/>
  <c r="F151" i="14"/>
  <c r="F152" i="14" s="1"/>
  <c r="G59" i="14"/>
  <c r="G66" i="14" s="1"/>
  <c r="P119" i="8"/>
  <c r="L34" i="9" s="1"/>
  <c r="S35" i="9"/>
  <c r="AJ39" i="9"/>
  <c r="H14" i="14"/>
  <c r="H69" i="14" s="1"/>
  <c r="E95" i="14"/>
  <c r="D44" i="14"/>
  <c r="D70" i="14" s="1"/>
  <c r="X118" i="8"/>
  <c r="T33" i="9" s="1"/>
  <c r="AJ33" i="9" s="1"/>
  <c r="S38" i="9"/>
  <c r="L35" i="9"/>
  <c r="T35" i="9"/>
  <c r="AJ35" i="9" s="1"/>
  <c r="AJ43" i="9"/>
  <c r="E44" i="14"/>
  <c r="E70" i="14" s="1"/>
  <c r="O34" i="9"/>
  <c r="T119" i="8"/>
  <c r="P34" i="9" s="1"/>
  <c r="K35" i="9"/>
  <c r="J86" i="14"/>
  <c r="J170" i="14" s="1"/>
  <c r="J88" i="14"/>
  <c r="G123" i="14"/>
  <c r="E124" i="14"/>
  <c r="K119" i="14"/>
  <c r="K86" i="14" s="1"/>
  <c r="K170" i="14" s="1"/>
  <c r="H99" i="14"/>
  <c r="H100" i="14" s="1"/>
  <c r="J102" i="14"/>
  <c r="K102" i="14" s="1"/>
  <c r="F26" i="14"/>
  <c r="F40" i="14" s="1"/>
  <c r="G43" i="14"/>
  <c r="G69" i="14" s="1"/>
  <c r="F14" i="14"/>
  <c r="I17" i="14"/>
  <c r="I58" i="14"/>
  <c r="I78" i="14" s="1"/>
  <c r="H105" i="14"/>
  <c r="H111" i="14" s="1"/>
  <c r="H19" i="14"/>
  <c r="H18" i="14" s="1"/>
  <c r="H20" i="14"/>
  <c r="H74" i="14"/>
  <c r="H61" i="14"/>
  <c r="I32" i="14"/>
  <c r="I74" i="14" s="1"/>
  <c r="H176" i="14"/>
  <c r="H177" i="14" s="1"/>
  <c r="I175" i="14" s="1"/>
  <c r="H164" i="14"/>
  <c r="H167" i="14" s="1"/>
  <c r="J54" i="14"/>
  <c r="K54" i="14" s="1"/>
  <c r="H70" i="14"/>
  <c r="H161" i="14"/>
  <c r="H95" i="14"/>
  <c r="H183" i="14"/>
  <c r="I15" i="14"/>
  <c r="H141" i="14"/>
  <c r="H124" i="14"/>
  <c r="H44" i="14"/>
  <c r="L184" i="14"/>
  <c r="L36" i="14" s="1"/>
  <c r="L192" i="14"/>
  <c r="L190" i="14"/>
  <c r="F66" i="14"/>
  <c r="I50" i="14"/>
  <c r="H113" i="14"/>
  <c r="J55" i="14"/>
  <c r="K55" i="14" s="1"/>
  <c r="D163" i="14"/>
  <c r="I46" i="14"/>
  <c r="J48" i="14"/>
  <c r="K48" i="14" s="1"/>
  <c r="AI11" i="9"/>
  <c r="AA11" i="9"/>
  <c r="AF11" i="9"/>
  <c r="AD11" i="9"/>
  <c r="Y18" i="8"/>
  <c r="Y24" i="8"/>
  <c r="I82" i="14" l="1"/>
  <c r="F27" i="12"/>
  <c r="I20" i="14"/>
  <c r="F14" i="12"/>
  <c r="F28" i="12" s="1"/>
  <c r="AL11" i="9"/>
  <c r="H43" i="14"/>
  <c r="H94" i="14"/>
  <c r="H160" i="14"/>
  <c r="C70" i="8"/>
  <c r="C85" i="8" s="1"/>
  <c r="C112" i="8" s="1"/>
  <c r="C113" i="8" s="1"/>
  <c r="C115" i="8" s="1"/>
  <c r="C31" i="8"/>
  <c r="C28" i="8"/>
  <c r="C25" i="8"/>
  <c r="E31" i="14"/>
  <c r="E33" i="14" s="1"/>
  <c r="J57" i="14"/>
  <c r="J151" i="14" s="1"/>
  <c r="E28" i="14"/>
  <c r="G152" i="14"/>
  <c r="H152" i="14" s="1"/>
  <c r="H153" i="14" s="1"/>
  <c r="F25" i="8"/>
  <c r="F70" i="8"/>
  <c r="F85" i="8" s="1"/>
  <c r="F112" i="8" s="1"/>
  <c r="F113" i="8" s="1"/>
  <c r="F115" i="8" s="1"/>
  <c r="F31" i="8"/>
  <c r="F28" i="8"/>
  <c r="D28" i="8"/>
  <c r="D25" i="8"/>
  <c r="D70" i="8"/>
  <c r="D85" i="8" s="1"/>
  <c r="D112" i="8" s="1"/>
  <c r="D113" i="8" s="1"/>
  <c r="D115" i="8" s="1"/>
  <c r="D31" i="8"/>
  <c r="E25" i="8"/>
  <c r="E70" i="8"/>
  <c r="E85" i="8" s="1"/>
  <c r="E112" i="8" s="1"/>
  <c r="E113" i="8" s="1"/>
  <c r="E115" i="8" s="1"/>
  <c r="E31" i="8"/>
  <c r="E28" i="8"/>
  <c r="H182" i="14"/>
  <c r="H140" i="14"/>
  <c r="I14" i="14"/>
  <c r="I94" i="14" s="1"/>
  <c r="I84" i="14"/>
  <c r="H123" i="14"/>
  <c r="P89" i="8"/>
  <c r="L38" i="9" s="1"/>
  <c r="L119" i="14"/>
  <c r="K88" i="14"/>
  <c r="F28" i="14"/>
  <c r="F72" i="14" s="1"/>
  <c r="F79" i="14" s="1"/>
  <c r="F91" i="14" s="1"/>
  <c r="J99" i="14"/>
  <c r="H107" i="14"/>
  <c r="H30" i="14" s="1"/>
  <c r="E14" i="14"/>
  <c r="F123" i="14"/>
  <c r="F94" i="14"/>
  <c r="F160" i="14"/>
  <c r="F43" i="14"/>
  <c r="F69" i="14" s="1"/>
  <c r="F140" i="14"/>
  <c r="J17" i="14"/>
  <c r="I19" i="14"/>
  <c r="I18" i="14" s="1"/>
  <c r="I105" i="14"/>
  <c r="I111" i="14" s="1"/>
  <c r="I21" i="14"/>
  <c r="J58" i="14"/>
  <c r="H22" i="14"/>
  <c r="E18" i="12" s="1"/>
  <c r="I61" i="14"/>
  <c r="J32" i="14"/>
  <c r="J171" i="14" s="1"/>
  <c r="H178" i="14"/>
  <c r="I171" i="14"/>
  <c r="I97" i="14"/>
  <c r="I100" i="14" s="1"/>
  <c r="H49" i="14"/>
  <c r="L54" i="14"/>
  <c r="H47" i="14"/>
  <c r="H53" i="14"/>
  <c r="L48" i="14"/>
  <c r="L55" i="14"/>
  <c r="J81" i="14"/>
  <c r="H112" i="14"/>
  <c r="H77" i="14" s="1"/>
  <c r="I110" i="14"/>
  <c r="J46" i="14"/>
  <c r="K106" i="14"/>
  <c r="I95" i="14"/>
  <c r="I183" i="14"/>
  <c r="I70" i="14"/>
  <c r="I161" i="14"/>
  <c r="J15" i="14"/>
  <c r="I141" i="14"/>
  <c r="I124" i="14"/>
  <c r="I44" i="14"/>
  <c r="D168" i="14"/>
  <c r="D165" i="14"/>
  <c r="L102" i="14"/>
  <c r="I113" i="14"/>
  <c r="J50" i="14"/>
  <c r="Y28" i="8"/>
  <c r="Y31" i="8"/>
  <c r="Y70" i="8"/>
  <c r="Y85" i="8" s="1"/>
  <c r="Y112" i="8" s="1"/>
  <c r="Y25" i="8"/>
  <c r="E163" i="14" l="1"/>
  <c r="E165" i="14" s="1"/>
  <c r="E72" i="14"/>
  <c r="E79" i="14" s="1"/>
  <c r="E91" i="14" s="1"/>
  <c r="J82" i="14"/>
  <c r="G27" i="12"/>
  <c r="E23" i="12"/>
  <c r="E21" i="12"/>
  <c r="F15" i="12"/>
  <c r="H73" i="14"/>
  <c r="E25" i="12"/>
  <c r="E19" i="12"/>
  <c r="J19" i="14"/>
  <c r="J18" i="14" s="1"/>
  <c r="G14" i="12"/>
  <c r="G28" i="12" s="1"/>
  <c r="I152" i="14"/>
  <c r="I153" i="14" s="1"/>
  <c r="I69" i="14"/>
  <c r="J84" i="14"/>
  <c r="K57" i="14"/>
  <c r="L57" i="14" s="1"/>
  <c r="J14" i="14"/>
  <c r="J43" i="14" s="1"/>
  <c r="I123" i="14"/>
  <c r="I160" i="14"/>
  <c r="F163" i="14"/>
  <c r="F165" i="14" s="1"/>
  <c r="I182" i="14"/>
  <c r="I43" i="14"/>
  <c r="I140" i="14"/>
  <c r="E168" i="14"/>
  <c r="L86" i="14"/>
  <c r="L170" i="14" s="1"/>
  <c r="L88" i="14"/>
  <c r="I107" i="14"/>
  <c r="I30" i="14" s="1"/>
  <c r="H31" i="14"/>
  <c r="E43" i="14"/>
  <c r="E69" i="14" s="1"/>
  <c r="E140" i="14"/>
  <c r="E160" i="14"/>
  <c r="E123" i="14"/>
  <c r="E94" i="14"/>
  <c r="D14" i="14"/>
  <c r="K17" i="14"/>
  <c r="J105" i="14"/>
  <c r="J111" i="14" s="1"/>
  <c r="J20" i="14"/>
  <c r="J21" i="14"/>
  <c r="I22" i="14"/>
  <c r="F18" i="12" s="1"/>
  <c r="J74" i="14"/>
  <c r="K32" i="14"/>
  <c r="L32" i="14" s="1"/>
  <c r="J61" i="14"/>
  <c r="J78" i="14"/>
  <c r="K58" i="14"/>
  <c r="I112" i="14"/>
  <c r="I77" i="14" s="1"/>
  <c r="J110" i="14"/>
  <c r="K46" i="14"/>
  <c r="I47" i="14"/>
  <c r="I75" i="14" s="1"/>
  <c r="H75" i="14"/>
  <c r="K81" i="14"/>
  <c r="L81" i="14"/>
  <c r="K99" i="14"/>
  <c r="K50" i="14"/>
  <c r="J113" i="14"/>
  <c r="J44" i="14"/>
  <c r="J183" i="14"/>
  <c r="J70" i="14"/>
  <c r="J141" i="14"/>
  <c r="J124" i="14"/>
  <c r="J95" i="14"/>
  <c r="J161" i="14"/>
  <c r="K15" i="14"/>
  <c r="L106" i="14"/>
  <c r="I53" i="14"/>
  <c r="H76" i="14"/>
  <c r="J97" i="14"/>
  <c r="J100" i="14" s="1"/>
  <c r="I49" i="14"/>
  <c r="K82" i="14" l="1"/>
  <c r="H27" i="12"/>
  <c r="L82" i="14"/>
  <c r="I27" i="12"/>
  <c r="E32" i="12"/>
  <c r="E26" i="12" s="1"/>
  <c r="G15" i="12"/>
  <c r="I73" i="14"/>
  <c r="F25" i="12"/>
  <c r="F19" i="12"/>
  <c r="H33" i="14"/>
  <c r="E16" i="12"/>
  <c r="K20" i="14"/>
  <c r="H14" i="12"/>
  <c r="H28" i="12" s="1"/>
  <c r="J152" i="14"/>
  <c r="K152" i="14" s="1"/>
  <c r="L152" i="14" s="1"/>
  <c r="K84" i="14"/>
  <c r="K14" i="14"/>
  <c r="L14" i="14" s="1"/>
  <c r="J140" i="14"/>
  <c r="J94" i="14"/>
  <c r="J160" i="14"/>
  <c r="J182" i="14"/>
  <c r="J69" i="14"/>
  <c r="J123" i="14"/>
  <c r="F168" i="14"/>
  <c r="K151" i="14"/>
  <c r="D160" i="14"/>
  <c r="D43" i="14"/>
  <c r="D69" i="14" s="1"/>
  <c r="I31" i="14"/>
  <c r="K21" i="14"/>
  <c r="K105" i="14"/>
  <c r="K111" i="14" s="1"/>
  <c r="K19" i="14"/>
  <c r="J22" i="14"/>
  <c r="G18" i="12" s="1"/>
  <c r="L17" i="14"/>
  <c r="J107" i="14"/>
  <c r="J30" i="14" s="1"/>
  <c r="K171" i="14"/>
  <c r="K74" i="14"/>
  <c r="K61" i="14"/>
  <c r="L61" i="14" s="1"/>
  <c r="L58" i="14"/>
  <c r="L78" i="14" s="1"/>
  <c r="K78" i="14"/>
  <c r="L99" i="14"/>
  <c r="K43" i="14"/>
  <c r="L84" i="14"/>
  <c r="L151" i="14"/>
  <c r="K141" i="14"/>
  <c r="K124" i="14"/>
  <c r="K70" i="14"/>
  <c r="K44" i="14"/>
  <c r="K183" i="14"/>
  <c r="K95" i="14"/>
  <c r="K161" i="14"/>
  <c r="L15" i="14"/>
  <c r="K97" i="14"/>
  <c r="K100" i="14" s="1"/>
  <c r="J49" i="14"/>
  <c r="L74" i="14"/>
  <c r="L171" i="14"/>
  <c r="K110" i="14"/>
  <c r="J112" i="14"/>
  <c r="J77" i="14" s="1"/>
  <c r="J47" i="14"/>
  <c r="J75" i="14" s="1"/>
  <c r="L50" i="14"/>
  <c r="L113" i="14" s="1"/>
  <c r="K113" i="14"/>
  <c r="L46" i="14"/>
  <c r="I76" i="14"/>
  <c r="F32" i="12" s="1"/>
  <c r="J53" i="14"/>
  <c r="K160" i="14" l="1"/>
  <c r="K182" i="14"/>
  <c r="E33" i="12"/>
  <c r="F26" i="12"/>
  <c r="F33" i="12"/>
  <c r="H15" i="12"/>
  <c r="J73" i="14"/>
  <c r="G25" i="12"/>
  <c r="G19" i="12"/>
  <c r="E17" i="12"/>
  <c r="I33" i="14"/>
  <c r="F16" i="12"/>
  <c r="L20" i="14"/>
  <c r="I14" i="12"/>
  <c r="I28" i="12" s="1"/>
  <c r="K69" i="14"/>
  <c r="K94" i="14"/>
  <c r="K123" i="14"/>
  <c r="K140" i="14"/>
  <c r="K153" i="14"/>
  <c r="J153" i="14"/>
  <c r="L153" i="14"/>
  <c r="K107" i="14"/>
  <c r="K30" i="14" s="1"/>
  <c r="K22" i="14"/>
  <c r="H18" i="12" s="1"/>
  <c r="K18" i="14"/>
  <c r="K47" i="14" s="1"/>
  <c r="K75" i="14" s="1"/>
  <c r="L19" i="14"/>
  <c r="L18" i="14" s="1"/>
  <c r="L105" i="14"/>
  <c r="L111" i="14" s="1"/>
  <c r="L21" i="14"/>
  <c r="J31" i="14"/>
  <c r="K112" i="14"/>
  <c r="K77" i="14" s="1"/>
  <c r="L110" i="14"/>
  <c r="K49" i="14"/>
  <c r="L97" i="14"/>
  <c r="L100" i="14" s="1"/>
  <c r="L49" i="14" s="1"/>
  <c r="L44" i="14"/>
  <c r="L141" i="14"/>
  <c r="L124" i="14"/>
  <c r="L183" i="14"/>
  <c r="L95" i="14"/>
  <c r="L161" i="14"/>
  <c r="L70" i="14"/>
  <c r="J76" i="14"/>
  <c r="G32" i="12" s="1"/>
  <c r="L182" i="14"/>
  <c r="L140" i="14"/>
  <c r="L123" i="14"/>
  <c r="L43" i="14"/>
  <c r="L94" i="14"/>
  <c r="L69" i="14"/>
  <c r="L160" i="14"/>
  <c r="G26" i="12" l="1"/>
  <c r="G33" i="12"/>
  <c r="I15" i="12"/>
  <c r="K73" i="14"/>
  <c r="H25" i="12"/>
  <c r="H19" i="12"/>
  <c r="F17" i="12"/>
  <c r="J33" i="14"/>
  <c r="G16" i="12"/>
  <c r="K31" i="14"/>
  <c r="K53" i="14"/>
  <c r="K76" i="14" s="1"/>
  <c r="H32" i="12" s="1"/>
  <c r="L22" i="14"/>
  <c r="I18" i="12" s="1"/>
  <c r="L112" i="14"/>
  <c r="L77" i="14" s="1"/>
  <c r="L107" i="14"/>
  <c r="L30" i="14" s="1"/>
  <c r="L47" i="14"/>
  <c r="L75" i="14" s="1"/>
  <c r="H26" i="12" l="1"/>
  <c r="H33" i="12"/>
  <c r="L73" i="14"/>
  <c r="I25" i="12"/>
  <c r="I19" i="12"/>
  <c r="G17" i="12"/>
  <c r="K33" i="14"/>
  <c r="H16" i="12"/>
  <c r="L53" i="14"/>
  <c r="L76" i="14" s="1"/>
  <c r="I32" i="12" s="1"/>
  <c r="I26" i="12" s="1"/>
  <c r="L31" i="14"/>
  <c r="I33" i="12" l="1"/>
  <c r="H17" i="12"/>
  <c r="L33" i="14"/>
  <c r="I16" i="12"/>
  <c r="I17" i="12" l="1"/>
  <c r="I42" i="12"/>
  <c r="I44" i="12" s="1"/>
  <c r="I45" i="12" l="1"/>
  <c r="AF17" i="10" l="1"/>
  <c r="AF16" i="10"/>
  <c r="AE16" i="10"/>
  <c r="AA16" i="10"/>
  <c r="AC61" i="8"/>
  <c r="AC60" i="8"/>
  <c r="AC59" i="8"/>
  <c r="AC56" i="8"/>
  <c r="AC54" i="8"/>
  <c r="AC51" i="8"/>
  <c r="AC49" i="8"/>
  <c r="AC48" i="8"/>
  <c r="AC47" i="8"/>
  <c r="AC44" i="8"/>
  <c r="AC43" i="8"/>
  <c r="AC42" i="8"/>
  <c r="AC39" i="8"/>
  <c r="AC38" i="8"/>
  <c r="AC37" i="8"/>
  <c r="AC36" i="8"/>
  <c r="AC35" i="8"/>
  <c r="AC30" i="8"/>
  <c r="AC4" i="8"/>
  <c r="AC3" i="8"/>
  <c r="AF8" i="10"/>
  <c r="AI57" i="9"/>
  <c r="AH57" i="9"/>
  <c r="AG57" i="9"/>
  <c r="AF57" i="9"/>
  <c r="AE57" i="9"/>
  <c r="AC97" i="8"/>
  <c r="AI89" i="8"/>
  <c r="W4" i="9"/>
  <c r="AJ4" i="9" s="1"/>
  <c r="V4" i="9"/>
  <c r="U4" i="9"/>
  <c r="S4" i="9"/>
  <c r="R4" i="9"/>
  <c r="Q4" i="9"/>
  <c r="O4" i="9"/>
  <c r="N4" i="9"/>
  <c r="M4" i="9"/>
  <c r="K4" i="9"/>
  <c r="J4" i="9"/>
  <c r="W3" i="9"/>
  <c r="AJ3" i="9" s="1"/>
  <c r="V3" i="9"/>
  <c r="U3" i="9"/>
  <c r="T3" i="9"/>
  <c r="S3" i="9"/>
  <c r="R3" i="9"/>
  <c r="Q3" i="9"/>
  <c r="P3" i="9"/>
  <c r="O3" i="9"/>
  <c r="N3" i="9"/>
  <c r="M3" i="9"/>
  <c r="L3" i="9"/>
  <c r="K3" i="9"/>
  <c r="J3" i="9"/>
  <c r="I4" i="9"/>
  <c r="I3" i="9"/>
  <c r="G4" i="9"/>
  <c r="F4" i="9"/>
  <c r="E4" i="9"/>
  <c r="D4" i="9"/>
  <c r="C4" i="9"/>
  <c r="G3" i="9"/>
  <c r="F3" i="9"/>
  <c r="E3" i="9"/>
  <c r="D3" i="9"/>
  <c r="F18" i="10"/>
  <c r="F19" i="10" s="1"/>
  <c r="W18" i="10"/>
  <c r="W19" i="10" s="1"/>
  <c r="V18" i="10"/>
  <c r="V19" i="10" s="1"/>
  <c r="U18" i="10"/>
  <c r="U19" i="10" s="1"/>
  <c r="S18" i="10"/>
  <c r="S19" i="10" s="1"/>
  <c r="R18" i="10"/>
  <c r="R19" i="10" s="1"/>
  <c r="Q18" i="10"/>
  <c r="Q19" i="10" s="1"/>
  <c r="O18" i="10"/>
  <c r="O19" i="10" s="1"/>
  <c r="N18" i="10"/>
  <c r="N19" i="10" s="1"/>
  <c r="M18" i="10"/>
  <c r="M19" i="10" s="1"/>
  <c r="K18" i="10"/>
  <c r="K19" i="10" s="1"/>
  <c r="J18" i="10"/>
  <c r="J19" i="10" s="1"/>
  <c r="W4" i="10"/>
  <c r="AI4" i="10" s="1"/>
  <c r="V4" i="10"/>
  <c r="AH4" i="10" s="1"/>
  <c r="U4" i="10"/>
  <c r="AG4" i="10" s="1"/>
  <c r="S4" i="10"/>
  <c r="AE4" i="10" s="1"/>
  <c r="R4" i="10"/>
  <c r="AD4" i="10" s="1"/>
  <c r="Q4" i="10"/>
  <c r="AC4" i="10" s="1"/>
  <c r="O4" i="10"/>
  <c r="AA4" i="10" s="1"/>
  <c r="N4" i="10"/>
  <c r="Z4" i="10" s="1"/>
  <c r="M4" i="10"/>
  <c r="Y4" i="10" s="1"/>
  <c r="K4" i="10"/>
  <c r="J4" i="10"/>
  <c r="W3" i="10"/>
  <c r="AI3" i="10" s="1"/>
  <c r="V3" i="10"/>
  <c r="AH3" i="10" s="1"/>
  <c r="U3" i="10"/>
  <c r="AG3" i="10" s="1"/>
  <c r="T3" i="10"/>
  <c r="AF3" i="10" s="1"/>
  <c r="S3" i="10"/>
  <c r="AE3" i="10" s="1"/>
  <c r="R3" i="10"/>
  <c r="AD3" i="10" s="1"/>
  <c r="Q3" i="10"/>
  <c r="AC3" i="10" s="1"/>
  <c r="P3" i="10"/>
  <c r="AB3" i="10" s="1"/>
  <c r="O3" i="10"/>
  <c r="AA3" i="10" s="1"/>
  <c r="N3" i="10"/>
  <c r="Z3" i="10" s="1"/>
  <c r="M3" i="10"/>
  <c r="Y3" i="10" s="1"/>
  <c r="L3" i="10"/>
  <c r="K3" i="10"/>
  <c r="J3" i="10"/>
  <c r="I4" i="10"/>
  <c r="I3" i="10"/>
  <c r="G4" i="10"/>
  <c r="F4" i="10"/>
  <c r="E4" i="10"/>
  <c r="D4" i="10"/>
  <c r="C4" i="10"/>
  <c r="G3" i="10"/>
  <c r="F3" i="10"/>
  <c r="E3" i="10"/>
  <c r="D3" i="10"/>
  <c r="C3" i="10"/>
  <c r="AL30" i="8"/>
  <c r="AK30" i="8"/>
  <c r="AJ30" i="8"/>
  <c r="AI30" i="8"/>
  <c r="AH30" i="8"/>
  <c r="AG30" i="8"/>
  <c r="AF30" i="8"/>
  <c r="AE30" i="8"/>
  <c r="AD30" i="8"/>
  <c r="AM30" i="8"/>
  <c r="AI61" i="8"/>
  <c r="AH61" i="8"/>
  <c r="AG61" i="8"/>
  <c r="AE61" i="8"/>
  <c r="AD61" i="8"/>
  <c r="AI60" i="8"/>
  <c r="AH60" i="8"/>
  <c r="AG60" i="8"/>
  <c r="AE60" i="8"/>
  <c r="AD60" i="8"/>
  <c r="AI59" i="8"/>
  <c r="AH59" i="8"/>
  <c r="AG59" i="8"/>
  <c r="AE59" i="8"/>
  <c r="AD59" i="8"/>
  <c r="AI56" i="8"/>
  <c r="AH56" i="8"/>
  <c r="AG56" i="8"/>
  <c r="AE56" i="8"/>
  <c r="AD56" i="8"/>
  <c r="AI54" i="8"/>
  <c r="AH54" i="8"/>
  <c r="AG54" i="8"/>
  <c r="AE54" i="8"/>
  <c r="AD54" i="8"/>
  <c r="AI51" i="8"/>
  <c r="AH51" i="8"/>
  <c r="AG51" i="8"/>
  <c r="AE51" i="8"/>
  <c r="AD51" i="8"/>
  <c r="AI49" i="8"/>
  <c r="AH49" i="8"/>
  <c r="AG49" i="8"/>
  <c r="AE49" i="8"/>
  <c r="AD49" i="8"/>
  <c r="AI48" i="8"/>
  <c r="AH48" i="8"/>
  <c r="AG48" i="8"/>
  <c r="AE48" i="8"/>
  <c r="AD48" i="8"/>
  <c r="AI47" i="8"/>
  <c r="AH47" i="8"/>
  <c r="AG47" i="8"/>
  <c r="AE47" i="8"/>
  <c r="AD47" i="8"/>
  <c r="AI44" i="8"/>
  <c r="AH44" i="8"/>
  <c r="AG44" i="8"/>
  <c r="AE44" i="8"/>
  <c r="AD44" i="8"/>
  <c r="AI43" i="8"/>
  <c r="AH43" i="8"/>
  <c r="AG43" i="8"/>
  <c r="AE43" i="8"/>
  <c r="AD43" i="8"/>
  <c r="AI42" i="8"/>
  <c r="AH42" i="8"/>
  <c r="AG42" i="8"/>
  <c r="AE42" i="8"/>
  <c r="AD42" i="8"/>
  <c r="AI39" i="8"/>
  <c r="AH39" i="8"/>
  <c r="AG39" i="8"/>
  <c r="AE39" i="8"/>
  <c r="AD39" i="8"/>
  <c r="AI38" i="8"/>
  <c r="AH38" i="8"/>
  <c r="AG38" i="8"/>
  <c r="AF38" i="8"/>
  <c r="AE38" i="8"/>
  <c r="AD38" i="8"/>
  <c r="AI37" i="8"/>
  <c r="AH37" i="8"/>
  <c r="AG37" i="8"/>
  <c r="AE37" i="8"/>
  <c r="AD37" i="8"/>
  <c r="AI36" i="8"/>
  <c r="AH36" i="8"/>
  <c r="AG36" i="8"/>
  <c r="AE36" i="8"/>
  <c r="AD36" i="8"/>
  <c r="AI35" i="8"/>
  <c r="AH35" i="8"/>
  <c r="AG35" i="8"/>
  <c r="AE35" i="8"/>
  <c r="AD35" i="8"/>
  <c r="AI4" i="8"/>
  <c r="AH4" i="8"/>
  <c r="AG4" i="8"/>
  <c r="AE4" i="8"/>
  <c r="AD4" i="8"/>
  <c r="AI3" i="8"/>
  <c r="AH3" i="8"/>
  <c r="AG3" i="8"/>
  <c r="AF3" i="8"/>
  <c r="AE3" i="8"/>
  <c r="AD3" i="8"/>
  <c r="AL61" i="8"/>
  <c r="AK61" i="8"/>
  <c r="AL60" i="8"/>
  <c r="AK60" i="8"/>
  <c r="AL59" i="8"/>
  <c r="AK59" i="8"/>
  <c r="AL56" i="8"/>
  <c r="AK56" i="8"/>
  <c r="AL54" i="8"/>
  <c r="AK54" i="8"/>
  <c r="AL51" i="8"/>
  <c r="AK51" i="8"/>
  <c r="AL49" i="8"/>
  <c r="AK49" i="8"/>
  <c r="AL48" i="8"/>
  <c r="AK48" i="8"/>
  <c r="AL47" i="8"/>
  <c r="AK47" i="8"/>
  <c r="AL44" i="8"/>
  <c r="AK44" i="8"/>
  <c r="AL43" i="8"/>
  <c r="AK43" i="8"/>
  <c r="AL42" i="8"/>
  <c r="AK42" i="8"/>
  <c r="AL39" i="8"/>
  <c r="AK39" i="8"/>
  <c r="AL38" i="8"/>
  <c r="AK38" i="8"/>
  <c r="AJ38" i="8"/>
  <c r="AL37" i="8"/>
  <c r="AK37" i="8"/>
  <c r="AL36" i="8"/>
  <c r="AK36" i="8"/>
  <c r="AL35" i="8"/>
  <c r="AK35" i="8"/>
  <c r="AL4" i="8"/>
  <c r="AK4" i="8"/>
  <c r="AL3" i="8"/>
  <c r="AK3" i="8"/>
  <c r="AJ3" i="8"/>
  <c r="AM61" i="8"/>
  <c r="AM60" i="8"/>
  <c r="AM59" i="8"/>
  <c r="AM56" i="8"/>
  <c r="AM54" i="8"/>
  <c r="AM51" i="8"/>
  <c r="AM49" i="8"/>
  <c r="AM48" i="8"/>
  <c r="AM47" i="8"/>
  <c r="AM44" i="8"/>
  <c r="AM43" i="8"/>
  <c r="AM42" i="8"/>
  <c r="AM39" i="8"/>
  <c r="AM38" i="8"/>
  <c r="AM37" i="8"/>
  <c r="AM36" i="8"/>
  <c r="AM35" i="8"/>
  <c r="AM4" i="8"/>
  <c r="AM3" i="8"/>
  <c r="X4" i="8"/>
  <c r="AJ4" i="8" s="1"/>
  <c r="T4" i="8"/>
  <c r="AF4" i="8" s="1"/>
  <c r="P4" i="8"/>
  <c r="L4" i="9" s="1"/>
  <c r="AA52" i="8"/>
  <c r="AA57" i="8" s="1"/>
  <c r="AA40" i="8"/>
  <c r="AA45" i="8" s="1"/>
  <c r="AA9" i="8"/>
  <c r="X23" i="8"/>
  <c r="AM23" i="8" s="1"/>
  <c r="X20" i="8"/>
  <c r="AM20" i="8" s="1"/>
  <c r="X16" i="8"/>
  <c r="X15" i="8"/>
  <c r="X11" i="8"/>
  <c r="X8" i="8"/>
  <c r="AM8" i="8" s="1"/>
  <c r="T23" i="8"/>
  <c r="AI23" i="8" s="1"/>
  <c r="T20" i="8"/>
  <c r="AF20" i="8" s="1"/>
  <c r="T16" i="8"/>
  <c r="T15" i="8"/>
  <c r="T11" i="8"/>
  <c r="T8" i="8"/>
  <c r="AH8" i="8" s="1"/>
  <c r="AH9" i="8" s="1"/>
  <c r="P8" i="8"/>
  <c r="AE8" i="8" s="1"/>
  <c r="AE9" i="8" s="1"/>
  <c r="P11" i="8"/>
  <c r="L15" i="9" s="1"/>
  <c r="AD16" i="8"/>
  <c r="AE15" i="8"/>
  <c r="P20" i="8"/>
  <c r="AE20" i="8" s="1"/>
  <c r="P23" i="8"/>
  <c r="AD23" i="8" s="1"/>
  <c r="AF61" i="8"/>
  <c r="AF60" i="8"/>
  <c r="AF59" i="8"/>
  <c r="Z40" i="8"/>
  <c r="W40" i="8"/>
  <c r="V40" i="8"/>
  <c r="U40" i="8"/>
  <c r="S40" i="8"/>
  <c r="R40" i="8"/>
  <c r="Q40" i="8"/>
  <c r="O40" i="8"/>
  <c r="N40" i="8"/>
  <c r="M40" i="8"/>
  <c r="J40" i="8"/>
  <c r="I40" i="8"/>
  <c r="H40" i="8"/>
  <c r="H45" i="8" s="1"/>
  <c r="G40" i="8"/>
  <c r="K40" i="8"/>
  <c r="AH15" i="8" l="1"/>
  <c r="P19" i="9"/>
  <c r="AK11" i="8"/>
  <c r="T15" i="9"/>
  <c r="AJ15" i="9" s="1"/>
  <c r="AG11" i="8"/>
  <c r="P15" i="9"/>
  <c r="AL16" i="8"/>
  <c r="T20" i="9"/>
  <c r="AJ20" i="9" s="1"/>
  <c r="AI16" i="8"/>
  <c r="P20" i="9"/>
  <c r="AA12" i="8"/>
  <c r="AA13" i="8" s="1"/>
  <c r="W13" i="10"/>
  <c r="AJ15" i="8"/>
  <c r="T19" i="9"/>
  <c r="AJ19" i="9" s="1"/>
  <c r="W59" i="9"/>
  <c r="AJ59" i="9" s="1"/>
  <c r="W60" i="9"/>
  <c r="AJ60" i="9" s="1"/>
  <c r="AD16" i="10"/>
  <c r="Y16" i="10"/>
  <c r="AG16" i="10"/>
  <c r="AD7" i="10"/>
  <c r="AH16" i="10"/>
  <c r="AI16" i="10"/>
  <c r="AA9" i="10"/>
  <c r="Y17" i="10"/>
  <c r="Y18" i="10" s="1"/>
  <c r="L18" i="10"/>
  <c r="L19" i="10" s="1"/>
  <c r="AG8" i="10"/>
  <c r="AI8" i="10"/>
  <c r="AH8" i="10"/>
  <c r="AF18" i="10"/>
  <c r="AG17" i="10"/>
  <c r="AI17" i="10"/>
  <c r="T18" i="10"/>
  <c r="T19" i="10" s="1"/>
  <c r="AO38" i="8"/>
  <c r="AO36" i="8"/>
  <c r="AO47" i="8"/>
  <c r="AO60" i="8"/>
  <c r="AO59" i="8"/>
  <c r="AO39" i="8"/>
  <c r="AO54" i="8"/>
  <c r="AO43" i="8"/>
  <c r="AO56" i="8"/>
  <c r="AO37" i="8"/>
  <c r="AO48" i="8"/>
  <c r="AO61" i="8"/>
  <c r="AC52" i="8"/>
  <c r="AC57" i="8" s="1"/>
  <c r="AC40" i="8"/>
  <c r="AC45" i="8" s="1"/>
  <c r="AO44" i="8"/>
  <c r="AC62" i="8"/>
  <c r="AO51" i="8"/>
  <c r="AO49" i="8"/>
  <c r="AO42" i="8"/>
  <c r="AO35" i="8"/>
  <c r="AC23" i="8"/>
  <c r="AC20" i="8"/>
  <c r="AC15" i="8"/>
  <c r="AC16" i="8"/>
  <c r="AC11" i="8"/>
  <c r="AC8" i="8"/>
  <c r="AC9" i="8" s="1"/>
  <c r="Y9" i="10"/>
  <c r="Z17" i="10"/>
  <c r="Z16" i="10"/>
  <c r="AH17" i="10"/>
  <c r="AB16" i="10"/>
  <c r="AC16" i="10"/>
  <c r="AA17" i="10"/>
  <c r="AB7" i="10"/>
  <c r="AC7" i="10"/>
  <c r="AE7" i="10"/>
  <c r="W69" i="9"/>
  <c r="W72" i="9" s="1"/>
  <c r="W81" i="9" s="1"/>
  <c r="AE97" i="8"/>
  <c r="AI97" i="8"/>
  <c r="AL97" i="8"/>
  <c r="AG98" i="8"/>
  <c r="AD97" i="8"/>
  <c r="AM98" i="8"/>
  <c r="AM89" i="8"/>
  <c r="AF89" i="8"/>
  <c r="AH89" i="8"/>
  <c r="AG89" i="8"/>
  <c r="AJ89" i="8"/>
  <c r="AK89" i="8"/>
  <c r="AL89" i="8"/>
  <c r="L4" i="10"/>
  <c r="T4" i="10"/>
  <c r="AF4" i="10" s="1"/>
  <c r="P4" i="9"/>
  <c r="P4" i="10"/>
  <c r="AB4" i="10" s="1"/>
  <c r="T4" i="9"/>
  <c r="W16" i="9"/>
  <c r="AK9" i="10"/>
  <c r="AE8" i="10"/>
  <c r="I18" i="10"/>
  <c r="I19" i="10" s="1"/>
  <c r="C18" i="10"/>
  <c r="D18" i="10"/>
  <c r="D19" i="10" s="1"/>
  <c r="E18" i="10"/>
  <c r="E19" i="10" s="1"/>
  <c r="G18" i="10"/>
  <c r="G19" i="10" s="1"/>
  <c r="AE62" i="8"/>
  <c r="AI8" i="8"/>
  <c r="AI9" i="8" s="1"/>
  <c r="AG20" i="8"/>
  <c r="AH11" i="8"/>
  <c r="AH12" i="8" s="1"/>
  <c r="AI40" i="8"/>
  <c r="AI45" i="8" s="1"/>
  <c r="AD15" i="8"/>
  <c r="AI15" i="8"/>
  <c r="AG23" i="8"/>
  <c r="AI62" i="8"/>
  <c r="AI20" i="8"/>
  <c r="AO20" i="8" s="1"/>
  <c r="AI118" i="8"/>
  <c r="AO23" i="8"/>
  <c r="AF16" i="8"/>
  <c r="AH23" i="8"/>
  <c r="AH118" i="8"/>
  <c r="AD8" i="8"/>
  <c r="AD9" i="8" s="1"/>
  <c r="AE16" i="8"/>
  <c r="AE11" i="8"/>
  <c r="AE12" i="8" s="1"/>
  <c r="AD11" i="8"/>
  <c r="AE23" i="8"/>
  <c r="AF62" i="8"/>
  <c r="AI119" i="8"/>
  <c r="AG40" i="8"/>
  <c r="AG45" i="8" s="1"/>
  <c r="AI52" i="8"/>
  <c r="AI57" i="8" s="1"/>
  <c r="AI11" i="8"/>
  <c r="AH20" i="8"/>
  <c r="AF23" i="8"/>
  <c r="AH52" i="8"/>
  <c r="AH57" i="8" s="1"/>
  <c r="AD52" i="8"/>
  <c r="AD57" i="8" s="1"/>
  <c r="AG16" i="8"/>
  <c r="AF119" i="8"/>
  <c r="AF8" i="8"/>
  <c r="AF9" i="8" s="1"/>
  <c r="AF15" i="8"/>
  <c r="AH16" i="8"/>
  <c r="AD20" i="8"/>
  <c r="AD40" i="8"/>
  <c r="AD45" i="8" s="1"/>
  <c r="AH40" i="8"/>
  <c r="AH45" i="8" s="1"/>
  <c r="AG62" i="8"/>
  <c r="AG119" i="8"/>
  <c r="AG8" i="8"/>
  <c r="AG9" i="8" s="1"/>
  <c r="AG12" i="8" s="1"/>
  <c r="AG13" i="8" s="1"/>
  <c r="AF11" i="8"/>
  <c r="AG15" i="8"/>
  <c r="AE40" i="8"/>
  <c r="AE45" i="8" s="1"/>
  <c r="AE52" i="8"/>
  <c r="AE57" i="8" s="1"/>
  <c r="AG52" i="8"/>
  <c r="AG57" i="8" s="1"/>
  <c r="AH62" i="8"/>
  <c r="AD62" i="8"/>
  <c r="AF118" i="8"/>
  <c r="AH119" i="8"/>
  <c r="AG118" i="8"/>
  <c r="AJ20" i="8"/>
  <c r="AM119" i="8"/>
  <c r="AM11" i="8"/>
  <c r="AK20" i="8"/>
  <c r="AK62" i="8"/>
  <c r="AL11" i="8"/>
  <c r="AK15" i="8"/>
  <c r="AJ23" i="8"/>
  <c r="AK40" i="8"/>
  <c r="AK45" i="8" s="1"/>
  <c r="AL62" i="8"/>
  <c r="AM16" i="8"/>
  <c r="AO16" i="8" s="1"/>
  <c r="AK8" i="8"/>
  <c r="AK9" i="8" s="1"/>
  <c r="AJ16" i="8"/>
  <c r="AL20" i="8"/>
  <c r="AK23" i="8"/>
  <c r="AK52" i="8"/>
  <c r="AK57" i="8" s="1"/>
  <c r="AM15" i="8"/>
  <c r="AL15" i="8"/>
  <c r="AK16" i="8"/>
  <c r="AL23" i="8"/>
  <c r="AL52" i="8"/>
  <c r="AL57" i="8" s="1"/>
  <c r="AJ11" i="8"/>
  <c r="AJ8" i="8"/>
  <c r="AJ9" i="8" s="1"/>
  <c r="AL8" i="8"/>
  <c r="AL9" i="8" s="1"/>
  <c r="AL40" i="8"/>
  <c r="AL45" i="8" s="1"/>
  <c r="AJ119" i="8"/>
  <c r="AK119" i="8"/>
  <c r="AL119" i="8"/>
  <c r="AA63" i="8"/>
  <c r="AA65" i="8" s="1"/>
  <c r="AC118" i="8"/>
  <c r="AA17" i="8" l="1"/>
  <c r="AA21" i="8" s="1"/>
  <c r="AJ16" i="9"/>
  <c r="AI18" i="10"/>
  <c r="C19" i="10"/>
  <c r="AK16" i="10"/>
  <c r="AE12" i="10"/>
  <c r="AE13" i="10" s="1"/>
  <c r="AG18" i="10"/>
  <c r="Z9" i="10"/>
  <c r="Z18" i="10"/>
  <c r="AK8" i="10"/>
  <c r="AF7" i="10"/>
  <c r="AF12" i="10" s="1"/>
  <c r="AB8" i="10"/>
  <c r="AC9" i="10"/>
  <c r="AD9" i="10"/>
  <c r="AC8" i="10"/>
  <c r="AD8" i="10"/>
  <c r="AB17" i="10"/>
  <c r="P18" i="10"/>
  <c r="P19" i="10" s="1"/>
  <c r="AC17" i="10"/>
  <c r="AE17" i="10"/>
  <c r="AD17" i="10"/>
  <c r="AB9" i="10"/>
  <c r="AC63" i="8"/>
  <c r="AC65" i="8" s="1"/>
  <c r="AG97" i="8"/>
  <c r="AC12" i="8"/>
  <c r="AC119" i="8"/>
  <c r="AE98" i="8"/>
  <c r="AC98" i="8"/>
  <c r="AE89" i="8"/>
  <c r="AC89" i="8"/>
  <c r="AA18" i="10"/>
  <c r="AH18" i="10"/>
  <c r="C16" i="9"/>
  <c r="C21" i="9" s="1"/>
  <c r="C25" i="9" s="1"/>
  <c r="AH98" i="8"/>
  <c r="AK12" i="8"/>
  <c r="AK13" i="8" s="1"/>
  <c r="AF98" i="8"/>
  <c r="AH97" i="8"/>
  <c r="AF43" i="9"/>
  <c r="AC103" i="8"/>
  <c r="AF97" i="8"/>
  <c r="AJ98" i="8"/>
  <c r="AD98" i="8"/>
  <c r="AL98" i="8"/>
  <c r="AK98" i="8"/>
  <c r="AI98" i="8"/>
  <c r="AM97" i="8"/>
  <c r="AJ97" i="8"/>
  <c r="AK97" i="8"/>
  <c r="AO8" i="8"/>
  <c r="AD89" i="8"/>
  <c r="AM118" i="8"/>
  <c r="AE118" i="8"/>
  <c r="W17" i="9"/>
  <c r="W21" i="9"/>
  <c r="AI63" i="8"/>
  <c r="AI65" i="8" s="1"/>
  <c r="AG63" i="8"/>
  <c r="AG65" i="8" s="1"/>
  <c r="AE63" i="8"/>
  <c r="AE65" i="8" s="1"/>
  <c r="AO15" i="8"/>
  <c r="AH63" i="8"/>
  <c r="AH65" i="8" s="1"/>
  <c r="AI12" i="8"/>
  <c r="AI13" i="8" s="1"/>
  <c r="AH17" i="8"/>
  <c r="AD63" i="8"/>
  <c r="AD65" i="8" s="1"/>
  <c r="AG17" i="8"/>
  <c r="AF12" i="8"/>
  <c r="AF17" i="8" s="1"/>
  <c r="AH13" i="8"/>
  <c r="AO11" i="8"/>
  <c r="AE17" i="8"/>
  <c r="AE21" i="8" s="1"/>
  <c r="AE13" i="8"/>
  <c r="AD12" i="8"/>
  <c r="AE119" i="8"/>
  <c r="AD119" i="8"/>
  <c r="AD118" i="8"/>
  <c r="AK63" i="8"/>
  <c r="AK65" i="8" s="1"/>
  <c r="AL12" i="8"/>
  <c r="AL13" i="8" s="1"/>
  <c r="AJ12" i="8"/>
  <c r="AJ13" i="8" s="1"/>
  <c r="AJ118" i="8"/>
  <c r="AL63" i="8"/>
  <c r="AL65" i="8" s="1"/>
  <c r="AK118" i="8"/>
  <c r="AL118" i="8"/>
  <c r="AA18" i="8"/>
  <c r="AA24" i="8"/>
  <c r="AJ17" i="9" l="1"/>
  <c r="AJ21" i="9"/>
  <c r="C18" i="12" s="1"/>
  <c r="AC12" i="10"/>
  <c r="AC13" i="10" s="1"/>
  <c r="AD12" i="10"/>
  <c r="AD13" i="10" s="1"/>
  <c r="AF19" i="10"/>
  <c r="AF13" i="10"/>
  <c r="AC18" i="10"/>
  <c r="AC19" i="10" s="1"/>
  <c r="AG7" i="10"/>
  <c r="AG12" i="10" s="1"/>
  <c r="AI7" i="10"/>
  <c r="AI12" i="10" s="1"/>
  <c r="AH7" i="10"/>
  <c r="AB12" i="10"/>
  <c r="AB13" i="10" s="1"/>
  <c r="AB18" i="10"/>
  <c r="AB19" i="10" s="1"/>
  <c r="AD18" i="10"/>
  <c r="AD19" i="10" s="1"/>
  <c r="AK17" i="10"/>
  <c r="AE18" i="10"/>
  <c r="Z8" i="10"/>
  <c r="Y8" i="10"/>
  <c r="AA8" i="10"/>
  <c r="AF21" i="8"/>
  <c r="AF24" i="8" s="1"/>
  <c r="AG21" i="8"/>
  <c r="AG24" i="8" s="1"/>
  <c r="AH21" i="8"/>
  <c r="AH24" i="8" s="1"/>
  <c r="AC17" i="8"/>
  <c r="AC21" i="8" s="1"/>
  <c r="AC13" i="8"/>
  <c r="AK17" i="8"/>
  <c r="AK18" i="8" s="1"/>
  <c r="Z7" i="10"/>
  <c r="Z12" i="10" s="1"/>
  <c r="Z13" i="10" s="1"/>
  <c r="AA7" i="10"/>
  <c r="AA12" i="10" s="1"/>
  <c r="AA13" i="10" s="1"/>
  <c r="Y7" i="10"/>
  <c r="C17" i="9"/>
  <c r="C22" i="9"/>
  <c r="AE103" i="8"/>
  <c r="AM103" i="8"/>
  <c r="AE43" i="9"/>
  <c r="AJ103" i="8"/>
  <c r="AI103" i="8"/>
  <c r="AG103" i="8"/>
  <c r="AF103" i="8"/>
  <c r="AH103" i="8"/>
  <c r="AD103" i="8"/>
  <c r="AL103" i="8"/>
  <c r="AK103" i="8"/>
  <c r="AA70" i="8"/>
  <c r="AA31" i="8"/>
  <c r="AA28" i="8"/>
  <c r="AI17" i="8"/>
  <c r="W22" i="9"/>
  <c r="C26" i="9"/>
  <c r="C29" i="9"/>
  <c r="AH18" i="8"/>
  <c r="AF18" i="8"/>
  <c r="AL17" i="8"/>
  <c r="AF13" i="8"/>
  <c r="AG18" i="8"/>
  <c r="AD13" i="8"/>
  <c r="AD17" i="8"/>
  <c r="AD21" i="8" s="1"/>
  <c r="AE18" i="8"/>
  <c r="AE24" i="8"/>
  <c r="AJ17" i="8"/>
  <c r="AA25" i="8"/>
  <c r="AJ25" i="9" l="1"/>
  <c r="C16" i="12" s="1"/>
  <c r="AJ22" i="9"/>
  <c r="Y12" i="10"/>
  <c r="Y13" i="10" s="1"/>
  <c r="AH12" i="10"/>
  <c r="AH13" i="10" s="1"/>
  <c r="AH19" i="10"/>
  <c r="AK12" i="10"/>
  <c r="AI19" i="10"/>
  <c r="AK7" i="10"/>
  <c r="AG19" i="10"/>
  <c r="AG13" i="10"/>
  <c r="AK18" i="10"/>
  <c r="AE19" i="10"/>
  <c r="AH25" i="8"/>
  <c r="AH28" i="8"/>
  <c r="AH31" i="8"/>
  <c r="AG25" i="8"/>
  <c r="AG28" i="8"/>
  <c r="AG31" i="8"/>
  <c r="AF28" i="8"/>
  <c r="AF31" i="8"/>
  <c r="AF25" i="8"/>
  <c r="AI21" i="8"/>
  <c r="AI24" i="8" s="1"/>
  <c r="AL18" i="8"/>
  <c r="AL21" i="8"/>
  <c r="AL24" i="8" s="1"/>
  <c r="AJ21" i="8"/>
  <c r="AJ24" i="8" s="1"/>
  <c r="AK21" i="8"/>
  <c r="AK24" i="8" s="1"/>
  <c r="AC18" i="8"/>
  <c r="AC24" i="8"/>
  <c r="AA19" i="10"/>
  <c r="Y19" i="10"/>
  <c r="Z19" i="10"/>
  <c r="AH43" i="9"/>
  <c r="AG43" i="9"/>
  <c r="AI43" i="9"/>
  <c r="AI18" i="8"/>
  <c r="AE25" i="8"/>
  <c r="AE28" i="8"/>
  <c r="AE31" i="8"/>
  <c r="C80" i="9" a="1"/>
  <c r="C80" i="9" s="1"/>
  <c r="C79" i="9" a="1"/>
  <c r="C79" i="9" s="1"/>
  <c r="C78" i="9"/>
  <c r="C30" i="9"/>
  <c r="C76" i="9"/>
  <c r="C36" i="9"/>
  <c r="C45" i="9" s="1"/>
  <c r="C77" i="9"/>
  <c r="AJ18" i="8"/>
  <c r="AD24" i="8"/>
  <c r="AD18" i="8"/>
  <c r="AJ29" i="9" l="1"/>
  <c r="AJ26" i="9"/>
  <c r="AJ25" i="8"/>
  <c r="AJ31" i="8"/>
  <c r="AJ28" i="8"/>
  <c r="AI31" i="8"/>
  <c r="AI25" i="8"/>
  <c r="AI28" i="8"/>
  <c r="AK25" i="8"/>
  <c r="AK28" i="8"/>
  <c r="AK31" i="8"/>
  <c r="AC28" i="8"/>
  <c r="AC25" i="8"/>
  <c r="AC31" i="8"/>
  <c r="AD25" i="8"/>
  <c r="AD28" i="8"/>
  <c r="AD31" i="8"/>
  <c r="AL25" i="8"/>
  <c r="AL28" i="8"/>
  <c r="AL31" i="8"/>
  <c r="AJ80" i="9" l="1" a="1"/>
  <c r="AJ80" i="9" s="1"/>
  <c r="AJ30" i="9"/>
  <c r="AJ79" i="9" a="1"/>
  <c r="AJ79" i="9" s="1"/>
  <c r="AJ78" i="9"/>
  <c r="AJ76" i="9"/>
  <c r="AJ77" i="9"/>
  <c r="AJ36" i="9"/>
  <c r="AC100" i="8" l="1"/>
  <c r="AC90" i="8"/>
  <c r="AC74" i="8"/>
  <c r="AC73" i="8"/>
  <c r="AC79" i="8"/>
  <c r="AJ59" i="8"/>
  <c r="AJ56" i="8"/>
  <c r="AF56" i="8"/>
  <c r="AJ51" i="8"/>
  <c r="AJ49" i="8"/>
  <c r="AF51" i="8"/>
  <c r="AF49" i="8"/>
  <c r="AJ44" i="8"/>
  <c r="AJ43" i="8"/>
  <c r="AJ42" i="8"/>
  <c r="AF44" i="8"/>
  <c r="AF43" i="8"/>
  <c r="AF42" i="8"/>
  <c r="AJ39" i="8"/>
  <c r="AF39" i="8"/>
  <c r="AC96" i="8" l="1"/>
  <c r="AC99" i="8"/>
  <c r="AC102" i="8"/>
  <c r="AJ54" i="8"/>
  <c r="AF48" i="8"/>
  <c r="AF54" i="8"/>
  <c r="AJ47" i="8"/>
  <c r="AF47" i="8"/>
  <c r="AJ48" i="8"/>
  <c r="W25" i="9"/>
  <c r="AG102" i="8"/>
  <c r="AF102" i="8"/>
  <c r="AI102" i="8"/>
  <c r="AH102" i="8"/>
  <c r="AD96" i="8"/>
  <c r="AD90" i="8"/>
  <c r="AE73" i="8"/>
  <c r="AD73" i="8"/>
  <c r="AI73" i="8"/>
  <c r="AH73" i="8"/>
  <c r="AG73" i="8"/>
  <c r="AF73" i="8"/>
  <c r="AD99" i="8"/>
  <c r="AI84" i="8"/>
  <c r="AG84" i="8"/>
  <c r="AF84" i="8"/>
  <c r="AH84" i="8"/>
  <c r="AE74" i="8"/>
  <c r="AD74" i="8"/>
  <c r="AI74" i="8"/>
  <c r="AH74" i="8"/>
  <c r="AG74" i="8"/>
  <c r="AF74" i="8"/>
  <c r="AE100" i="8"/>
  <c r="AD100" i="8"/>
  <c r="AE79" i="8"/>
  <c r="AD79" i="8"/>
  <c r="AE102" i="8"/>
  <c r="AD102" i="8"/>
  <c r="AG79" i="8"/>
  <c r="AI79" i="8"/>
  <c r="AH79" i="8"/>
  <c r="AF79" i="8"/>
  <c r="AG92" i="8"/>
  <c r="AI92" i="8"/>
  <c r="AH92" i="8"/>
  <c r="AF92" i="8"/>
  <c r="AG100" i="8"/>
  <c r="AF100" i="8"/>
  <c r="AI100" i="8"/>
  <c r="AH100" i="8"/>
  <c r="AM82" i="8"/>
  <c r="AL84" i="8"/>
  <c r="AK84" i="8"/>
  <c r="AJ84" i="8"/>
  <c r="AM84" i="8"/>
  <c r="AA104" i="8"/>
  <c r="AJ73" i="8"/>
  <c r="AM73" i="8"/>
  <c r="AK73" i="8"/>
  <c r="AL73" i="8"/>
  <c r="AM91" i="8"/>
  <c r="AM74" i="8"/>
  <c r="AL74" i="8"/>
  <c r="AK74" i="8"/>
  <c r="AJ74" i="8"/>
  <c r="AJ100" i="8"/>
  <c r="AL100" i="8"/>
  <c r="AK100" i="8"/>
  <c r="AM100" i="8"/>
  <c r="AM81" i="8"/>
  <c r="AM83" i="8"/>
  <c r="AL102" i="8"/>
  <c r="AK102" i="8"/>
  <c r="AM102" i="8"/>
  <c r="AJ102" i="8"/>
  <c r="AL79" i="8"/>
  <c r="AK79" i="8"/>
  <c r="AJ79" i="8"/>
  <c r="AM79" i="8"/>
  <c r="AM92" i="8"/>
  <c r="AL92" i="8"/>
  <c r="AK92" i="8"/>
  <c r="AJ92" i="8"/>
  <c r="Z104" i="8"/>
  <c r="AC92" i="8"/>
  <c r="AC83" i="8"/>
  <c r="AC81" i="8"/>
  <c r="AC82" i="8"/>
  <c r="AF52" i="8" l="1"/>
  <c r="AJ52" i="8"/>
  <c r="AJ57" i="8" s="1"/>
  <c r="AC101" i="8"/>
  <c r="AC104" i="8" s="1"/>
  <c r="AE84" i="8"/>
  <c r="AC84" i="8"/>
  <c r="AC75" i="8"/>
  <c r="AC76" i="8"/>
  <c r="AF57" i="8"/>
  <c r="AF63" i="8" s="1"/>
  <c r="AL101" i="8"/>
  <c r="AE99" i="8"/>
  <c r="AE81" i="8"/>
  <c r="AA85" i="8"/>
  <c r="AE92" i="8"/>
  <c r="AA93" i="8"/>
  <c r="AJ80" i="8"/>
  <c r="W26" i="9"/>
  <c r="W29" i="9"/>
  <c r="AK76" i="8"/>
  <c r="AI75" i="8"/>
  <c r="AE76" i="8"/>
  <c r="AI81" i="8"/>
  <c r="AI82" i="8"/>
  <c r="AE82" i="8"/>
  <c r="AI91" i="8"/>
  <c r="AE101" i="8"/>
  <c r="AE75" i="8"/>
  <c r="AD81" i="8"/>
  <c r="AF81" i="8"/>
  <c r="AF91" i="8"/>
  <c r="AD84" i="8"/>
  <c r="AG91" i="8"/>
  <c r="AD82" i="8"/>
  <c r="AD101" i="8"/>
  <c r="AD92" i="8"/>
  <c r="AG81" i="8"/>
  <c r="AE90" i="8"/>
  <c r="AH91" i="8"/>
  <c r="AD75" i="8"/>
  <c r="AH81" i="8"/>
  <c r="AD76" i="8"/>
  <c r="AE96" i="8"/>
  <c r="AF82" i="8"/>
  <c r="AI83" i="8"/>
  <c r="AE83" i="8"/>
  <c r="AG82" i="8"/>
  <c r="AD83" i="8"/>
  <c r="AH82" i="8"/>
  <c r="AJ81" i="8"/>
  <c r="AJ83" i="8"/>
  <c r="AL83" i="8"/>
  <c r="AJ82" i="8"/>
  <c r="AJ91" i="8"/>
  <c r="AK82" i="8"/>
  <c r="AK83" i="8"/>
  <c r="AK81" i="8"/>
  <c r="AK91" i="8"/>
  <c r="AL82" i="8"/>
  <c r="AL81" i="8"/>
  <c r="AL91" i="8"/>
  <c r="AA112" i="8" l="1"/>
  <c r="AG96" i="8"/>
  <c r="AJ101" i="8"/>
  <c r="AH101" i="8"/>
  <c r="AK101" i="8"/>
  <c r="AI101" i="8"/>
  <c r="AC80" i="8"/>
  <c r="AC91" i="8"/>
  <c r="AC88" i="8"/>
  <c r="AH96" i="8"/>
  <c r="AE91" i="8"/>
  <c r="AM96" i="8"/>
  <c r="AG99" i="8"/>
  <c r="AI99" i="8"/>
  <c r="AL96" i="8"/>
  <c r="AD91" i="8"/>
  <c r="AF101" i="8"/>
  <c r="AM99" i="8"/>
  <c r="AF96" i="8"/>
  <c r="AM101" i="8"/>
  <c r="AK96" i="8"/>
  <c r="AJ96" i="8"/>
  <c r="AG101" i="8"/>
  <c r="AI96" i="8"/>
  <c r="AD88" i="8"/>
  <c r="AE88" i="8"/>
  <c r="AH99" i="8"/>
  <c r="AJ76" i="8"/>
  <c r="AL80" i="8"/>
  <c r="AK80" i="8"/>
  <c r="AL76" i="8"/>
  <c r="AF76" i="8"/>
  <c r="AM90" i="8"/>
  <c r="AI90" i="8"/>
  <c r="AH76" i="8"/>
  <c r="AE80" i="8"/>
  <c r="AD80" i="8"/>
  <c r="AG75" i="8"/>
  <c r="AL75" i="8"/>
  <c r="AM88" i="8"/>
  <c r="AH80" i="8"/>
  <c r="AM76" i="8"/>
  <c r="AM80" i="8"/>
  <c r="AF75" i="8"/>
  <c r="AG76" i="8"/>
  <c r="W36" i="9"/>
  <c r="W44" i="9" s="1"/>
  <c r="W30" i="9"/>
  <c r="AH75" i="8"/>
  <c r="AI88" i="8"/>
  <c r="AI76" i="8"/>
  <c r="AF99" i="8"/>
  <c r="AF83" i="8"/>
  <c r="AG83" i="8"/>
  <c r="AF90" i="8"/>
  <c r="AD104" i="8"/>
  <c r="AG90" i="8"/>
  <c r="AG88" i="8"/>
  <c r="AH83" i="8"/>
  <c r="AH88" i="8"/>
  <c r="AI80" i="8"/>
  <c r="AG80" i="8"/>
  <c r="AF80" i="8"/>
  <c r="AH90" i="8"/>
  <c r="AF88" i="8"/>
  <c r="AE104" i="8"/>
  <c r="AL99" i="8"/>
  <c r="AL88" i="8"/>
  <c r="AJ88" i="8"/>
  <c r="AK88" i="8"/>
  <c r="AJ99" i="8"/>
  <c r="AK99" i="8"/>
  <c r="AK90" i="8"/>
  <c r="AM75" i="8"/>
  <c r="AJ75" i="8"/>
  <c r="AJ90" i="8"/>
  <c r="AL90" i="8"/>
  <c r="AK75" i="8"/>
  <c r="AI104" i="8" l="1"/>
  <c r="AH104" i="8"/>
  <c r="AD93" i="8"/>
  <c r="AE93" i="8"/>
  <c r="AC93" i="8"/>
  <c r="AI93" i="8"/>
  <c r="AG104" i="8"/>
  <c r="AL104" i="8"/>
  <c r="AF104" i="8"/>
  <c r="AF93" i="8"/>
  <c r="AG93" i="8"/>
  <c r="AH93" i="8"/>
  <c r="AJ104" i="8"/>
  <c r="AJ93" i="8"/>
  <c r="AK104" i="8"/>
  <c r="AL93" i="8"/>
  <c r="AK93" i="8"/>
  <c r="G93" i="8" l="1"/>
  <c r="G62" i="8"/>
  <c r="G52" i="8"/>
  <c r="G57" i="8" s="1"/>
  <c r="G45" i="8"/>
  <c r="G9" i="8"/>
  <c r="C13" i="10" s="1"/>
  <c r="AF36" i="8"/>
  <c r="AJ36" i="8"/>
  <c r="Y50" i="9"/>
  <c r="Y55" i="9"/>
  <c r="W9" i="8"/>
  <c r="S13" i="10" s="1"/>
  <c r="V9" i="8"/>
  <c r="R13" i="10" s="1"/>
  <c r="U9" i="8"/>
  <c r="Q13" i="10" s="1"/>
  <c r="S9" i="8"/>
  <c r="O13" i="10" s="1"/>
  <c r="R9" i="8"/>
  <c r="N13" i="10" s="1"/>
  <c r="Q9" i="8"/>
  <c r="M13" i="10" s="1"/>
  <c r="O9" i="8"/>
  <c r="K13" i="10" s="1"/>
  <c r="N9" i="8"/>
  <c r="J13" i="10" s="1"/>
  <c r="M9" i="8"/>
  <c r="I13" i="10" s="1"/>
  <c r="Z9" i="8"/>
  <c r="V13" i="10" s="1"/>
  <c r="K9" i="8"/>
  <c r="G13" i="10" s="1"/>
  <c r="J9" i="8"/>
  <c r="F13" i="10" s="1"/>
  <c r="I9" i="8"/>
  <c r="E13" i="10" s="1"/>
  <c r="H9" i="8"/>
  <c r="D13" i="10" s="1"/>
  <c r="M104" i="8"/>
  <c r="U93" i="8"/>
  <c r="Q93" i="8"/>
  <c r="M93" i="8"/>
  <c r="K93" i="8"/>
  <c r="J93" i="8"/>
  <c r="I93" i="8"/>
  <c r="H93" i="8"/>
  <c r="AI71" i="9"/>
  <c r="AH71" i="9"/>
  <c r="AF71" i="9"/>
  <c r="AE71" i="9"/>
  <c r="AD71" i="9"/>
  <c r="AB71" i="9"/>
  <c r="AA71" i="9"/>
  <c r="Z71" i="9"/>
  <c r="K62" i="8"/>
  <c r="G71" i="9" s="1"/>
  <c r="J62" i="8"/>
  <c r="F71" i="9" s="1"/>
  <c r="I62" i="8"/>
  <c r="E71" i="9" s="1"/>
  <c r="H62" i="8"/>
  <c r="D71" i="9" s="1"/>
  <c r="AJ61" i="8"/>
  <c r="AJ60" i="8"/>
  <c r="Z52" i="8"/>
  <c r="W52" i="8"/>
  <c r="V52" i="8"/>
  <c r="U52" i="8"/>
  <c r="S52" i="8"/>
  <c r="R52" i="8"/>
  <c r="Q52" i="8"/>
  <c r="O52" i="8"/>
  <c r="N52" i="8"/>
  <c r="M52" i="8"/>
  <c r="K52" i="8"/>
  <c r="K57" i="8" s="1"/>
  <c r="J52" i="8"/>
  <c r="J57" i="8" s="1"/>
  <c r="I52" i="8"/>
  <c r="I57" i="8" s="1"/>
  <c r="H52" i="8"/>
  <c r="H57" i="8" s="1"/>
  <c r="Z45" i="8"/>
  <c r="W45" i="8"/>
  <c r="V45" i="8"/>
  <c r="U45" i="8"/>
  <c r="S45" i="8"/>
  <c r="R45" i="8"/>
  <c r="Q45" i="8"/>
  <c r="O45" i="8"/>
  <c r="N45" i="8"/>
  <c r="M45" i="8"/>
  <c r="K45" i="8"/>
  <c r="J45" i="8"/>
  <c r="I45" i="8"/>
  <c r="X9" i="8"/>
  <c r="T13" i="10" s="1"/>
  <c r="AM9" i="8"/>
  <c r="AI13" i="10" s="1"/>
  <c r="V69" i="9"/>
  <c r="U69" i="9"/>
  <c r="U72" i="9" s="1"/>
  <c r="U81" i="9" s="1"/>
  <c r="S69" i="9"/>
  <c r="R69" i="9"/>
  <c r="Q69" i="9"/>
  <c r="O69" i="9"/>
  <c r="N69" i="9"/>
  <c r="M69" i="9"/>
  <c r="M72" i="9" s="1"/>
  <c r="M81" i="9" s="1"/>
  <c r="K69" i="9"/>
  <c r="J69" i="9"/>
  <c r="I69" i="9"/>
  <c r="G69" i="9"/>
  <c r="F69" i="9"/>
  <c r="E69" i="9"/>
  <c r="D69" i="9"/>
  <c r="AI64" i="9"/>
  <c r="AH64" i="9"/>
  <c r="AG64" i="9"/>
  <c r="AF64" i="9"/>
  <c r="AE64" i="9"/>
  <c r="AD64" i="9"/>
  <c r="AC64" i="9"/>
  <c r="AB64" i="9"/>
  <c r="AA64" i="9"/>
  <c r="Z64" i="9"/>
  <c r="Y64" i="9"/>
  <c r="AI63" i="9"/>
  <c r="AH63" i="9"/>
  <c r="AG63" i="9"/>
  <c r="AF63" i="9"/>
  <c r="AE63" i="9"/>
  <c r="AD63" i="9"/>
  <c r="AC63" i="9"/>
  <c r="AB63" i="9"/>
  <c r="AA63" i="9"/>
  <c r="Z63" i="9"/>
  <c r="Y63" i="9"/>
  <c r="AI58" i="9"/>
  <c r="AH58" i="9"/>
  <c r="AG58" i="9"/>
  <c r="AF58" i="9"/>
  <c r="AE58" i="9"/>
  <c r="AD58" i="9"/>
  <c r="AC58" i="9"/>
  <c r="AB58" i="9"/>
  <c r="AA58" i="9"/>
  <c r="Z58" i="9"/>
  <c r="Y58" i="9"/>
  <c r="AI56" i="9"/>
  <c r="AH56" i="9"/>
  <c r="AG56" i="9"/>
  <c r="AF56" i="9"/>
  <c r="AE56" i="9"/>
  <c r="AD56" i="9"/>
  <c r="AC56" i="9"/>
  <c r="AB56" i="9"/>
  <c r="AA56" i="9"/>
  <c r="Z56" i="9"/>
  <c r="Y56" i="9"/>
  <c r="AI55" i="9"/>
  <c r="AH55" i="9"/>
  <c r="AF55" i="9"/>
  <c r="AE55" i="9"/>
  <c r="AD55" i="9"/>
  <c r="AB55" i="9"/>
  <c r="AA55" i="9"/>
  <c r="Z55" i="9"/>
  <c r="AI50" i="9"/>
  <c r="AH50" i="9"/>
  <c r="AD50" i="9"/>
  <c r="AB50" i="9"/>
  <c r="AA50" i="9"/>
  <c r="Z50" i="9"/>
  <c r="AH49" i="9"/>
  <c r="AF49" i="9"/>
  <c r="AE49" i="9"/>
  <c r="AD49" i="9"/>
  <c r="AD52" i="9" s="1"/>
  <c r="AA49" i="9"/>
  <c r="AF35" i="9"/>
  <c r="AL35" i="9" s="1"/>
  <c r="AD35" i="9"/>
  <c r="AC32" i="9"/>
  <c r="AF28" i="9"/>
  <c r="AL28" i="9" s="1"/>
  <c r="AE28" i="9"/>
  <c r="AG24" i="9"/>
  <c r="Y24" i="9"/>
  <c r="AD20" i="9"/>
  <c r="AG19" i="9"/>
  <c r="Y19" i="9"/>
  <c r="D12" i="9"/>
  <c r="AI4" i="9"/>
  <c r="AH4" i="9"/>
  <c r="AG4" i="9"/>
  <c r="AF4" i="9"/>
  <c r="AE4" i="9"/>
  <c r="AD4" i="9"/>
  <c r="AC4" i="9"/>
  <c r="AB4" i="9"/>
  <c r="AA4" i="9"/>
  <c r="Z4" i="9"/>
  <c r="Y4" i="9"/>
  <c r="AI3" i="9"/>
  <c r="AH3" i="9"/>
  <c r="AG3" i="9"/>
  <c r="AF3" i="9"/>
  <c r="AE3" i="9"/>
  <c r="AD3" i="9"/>
  <c r="AC3" i="9"/>
  <c r="AB3" i="9"/>
  <c r="AA3" i="9"/>
  <c r="Z3" i="9"/>
  <c r="Y3" i="9"/>
  <c r="AA52" i="9" l="1"/>
  <c r="AH52" i="9"/>
  <c r="D59" i="9"/>
  <c r="D60" i="9"/>
  <c r="E59" i="9"/>
  <c r="E60" i="9"/>
  <c r="C60" i="9"/>
  <c r="C59" i="9"/>
  <c r="F59" i="9"/>
  <c r="F60" i="9"/>
  <c r="C71" i="9"/>
  <c r="C72" i="9" s="1"/>
  <c r="C81" i="9" s="1"/>
  <c r="G59" i="9"/>
  <c r="G60" i="9"/>
  <c r="N72" i="9"/>
  <c r="N81" i="9" s="1"/>
  <c r="V72" i="9"/>
  <c r="V81" i="9" s="1"/>
  <c r="R57" i="8"/>
  <c r="AF35" i="8"/>
  <c r="AC49" i="9"/>
  <c r="S57" i="8"/>
  <c r="AJ37" i="8"/>
  <c r="AG50" i="9"/>
  <c r="U57" i="8"/>
  <c r="AF37" i="8"/>
  <c r="AC50" i="9"/>
  <c r="V57" i="8"/>
  <c r="M57" i="8"/>
  <c r="W57" i="8"/>
  <c r="N57" i="8"/>
  <c r="AH60" i="9"/>
  <c r="AH59" i="9"/>
  <c r="E72" i="9"/>
  <c r="E81" i="9" s="1"/>
  <c r="O72" i="9"/>
  <c r="O81" i="9" s="1"/>
  <c r="O57" i="8"/>
  <c r="Z57" i="8"/>
  <c r="AG55" i="9"/>
  <c r="AO9" i="8"/>
  <c r="Q57" i="8"/>
  <c r="AC55" i="9"/>
  <c r="AJ35" i="8"/>
  <c r="AG49" i="9"/>
  <c r="Y69" i="9"/>
  <c r="G12" i="8"/>
  <c r="G13" i="8" s="1"/>
  <c r="K72" i="9"/>
  <c r="AF40" i="9"/>
  <c r="AD41" i="9"/>
  <c r="AB41" i="9"/>
  <c r="AI49" i="9"/>
  <c r="AI52" i="9" s="1"/>
  <c r="W45" i="9"/>
  <c r="AC42" i="9"/>
  <c r="AB39" i="9"/>
  <c r="Z40" i="9"/>
  <c r="AH40" i="9"/>
  <c r="AD42" i="9"/>
  <c r="AF24" i="9"/>
  <c r="AL24" i="9" s="1"/>
  <c r="AD28" i="9"/>
  <c r="AB32" i="9"/>
  <c r="AE35" i="9"/>
  <c r="AE40" i="9"/>
  <c r="AA69" i="9"/>
  <c r="AA72" i="9" s="1"/>
  <c r="AA81" i="9" s="1"/>
  <c r="G72" i="9"/>
  <c r="G81" i="9" s="1"/>
  <c r="J72" i="9"/>
  <c r="AF20" i="9"/>
  <c r="AL20" i="9" s="1"/>
  <c r="AF19" i="9"/>
  <c r="AL19" i="9" s="1"/>
  <c r="Y49" i="9"/>
  <c r="Y52" i="9" s="1"/>
  <c r="O16" i="9"/>
  <c r="Z49" i="9"/>
  <c r="Z52" i="9" s="1"/>
  <c r="AD32" i="9"/>
  <c r="AA39" i="9"/>
  <c r="AI39" i="9"/>
  <c r="AE41" i="9"/>
  <c r="M12" i="9"/>
  <c r="U12" i="9"/>
  <c r="Y20" i="9"/>
  <c r="AG20" i="9"/>
  <c r="AA28" i="9"/>
  <c r="AI28" i="9"/>
  <c r="AC39" i="9"/>
  <c r="AE42" i="9"/>
  <c r="AI69" i="9"/>
  <c r="AI72" i="9" s="1"/>
  <c r="AI81" i="9" s="1"/>
  <c r="Z20" i="9"/>
  <c r="AH20" i="9"/>
  <c r="AD39" i="9"/>
  <c r="Z41" i="9"/>
  <c r="AH41" i="9"/>
  <c r="AF42" i="9"/>
  <c r="AE39" i="9"/>
  <c r="AA41" i="9"/>
  <c r="AI41" i="9"/>
  <c r="Y42" i="9"/>
  <c r="AG42" i="9"/>
  <c r="F72" i="9"/>
  <c r="F81" i="9" s="1"/>
  <c r="AA20" i="9"/>
  <c r="AI20" i="9"/>
  <c r="Y39" i="9"/>
  <c r="AG39" i="9"/>
  <c r="AC40" i="9"/>
  <c r="Y41" i="9"/>
  <c r="AG41" i="9"/>
  <c r="AA42" i="9"/>
  <c r="AI42" i="9"/>
  <c r="AH69" i="9"/>
  <c r="AH72" i="9" s="1"/>
  <c r="AH81" i="9" s="1"/>
  <c r="Z19" i="9"/>
  <c r="AH19" i="9"/>
  <c r="Z32" i="9"/>
  <c r="AH32" i="9"/>
  <c r="AB38" i="9"/>
  <c r="Z39" i="9"/>
  <c r="AH39" i="9"/>
  <c r="AD40" i="9"/>
  <c r="AB42" i="9"/>
  <c r="Z69" i="9"/>
  <c r="Z72" i="9" s="1"/>
  <c r="Z81" i="9" s="1"/>
  <c r="I72" i="9"/>
  <c r="AI24" i="9"/>
  <c r="AC19" i="9"/>
  <c r="AE24" i="9"/>
  <c r="AE38" i="9"/>
  <c r="Y40" i="9"/>
  <c r="AG40" i="9"/>
  <c r="AC41" i="9"/>
  <c r="AI19" i="9"/>
  <c r="U13" i="9"/>
  <c r="AE19" i="9"/>
  <c r="AE32" i="9"/>
  <c r="AE69" i="9"/>
  <c r="AE72" i="9" s="1"/>
  <c r="AE81" i="9" s="1"/>
  <c r="Z24" i="9"/>
  <c r="AH24" i="9"/>
  <c r="AC28" i="9"/>
  <c r="Y35" i="9"/>
  <c r="AG35" i="9"/>
  <c r="AF39" i="9"/>
  <c r="AF41" i="9"/>
  <c r="AF69" i="9"/>
  <c r="AF72" i="9" s="1"/>
  <c r="AF81" i="9" s="1"/>
  <c r="AJ62" i="8"/>
  <c r="AJ63" i="8" s="1"/>
  <c r="X40" i="8"/>
  <c r="X45" i="8" s="1"/>
  <c r="T40" i="8"/>
  <c r="T45" i="8" s="1"/>
  <c r="P40" i="8"/>
  <c r="P45" i="8" s="1"/>
  <c r="G104" i="8"/>
  <c r="J12" i="8"/>
  <c r="J17" i="8" s="1"/>
  <c r="J21" i="8" s="1"/>
  <c r="I12" i="8"/>
  <c r="I17" i="8" s="1"/>
  <c r="I21" i="8" s="1"/>
  <c r="U12" i="8"/>
  <c r="U13" i="8" s="1"/>
  <c r="N12" i="8"/>
  <c r="N13" i="8" s="1"/>
  <c r="T9" i="8"/>
  <c r="P13" i="10" s="1"/>
  <c r="P9" i="8"/>
  <c r="L13" i="10" s="1"/>
  <c r="K12" i="8"/>
  <c r="K17" i="8" s="1"/>
  <c r="K21" i="8" s="1"/>
  <c r="V12" i="8"/>
  <c r="V13" i="8" s="1"/>
  <c r="M12" i="8"/>
  <c r="M13" i="8" s="1"/>
  <c r="W12" i="8"/>
  <c r="W13" i="8" s="1"/>
  <c r="U104" i="8"/>
  <c r="O12" i="8"/>
  <c r="O17" i="8" s="1"/>
  <c r="O21" i="8" s="1"/>
  <c r="Z12" i="8"/>
  <c r="Z13" i="8" s="1"/>
  <c r="K104" i="8"/>
  <c r="R104" i="8"/>
  <c r="Q12" i="8"/>
  <c r="Q17" i="8" s="1"/>
  <c r="Q21" i="8" s="1"/>
  <c r="H12" i="8"/>
  <c r="H13" i="8" s="1"/>
  <c r="R12" i="8"/>
  <c r="R13" i="8" s="1"/>
  <c r="H104" i="8"/>
  <c r="X12" i="8"/>
  <c r="I63" i="8"/>
  <c r="I65" i="8" s="1"/>
  <c r="X52" i="8"/>
  <c r="Y71" i="9"/>
  <c r="N93" i="8"/>
  <c r="J104" i="8"/>
  <c r="P52" i="8"/>
  <c r="AC71" i="9"/>
  <c r="Z93" i="8"/>
  <c r="W104" i="8"/>
  <c r="I104" i="8"/>
  <c r="T52" i="8"/>
  <c r="AG71" i="9"/>
  <c r="N104" i="8"/>
  <c r="S12" i="8"/>
  <c r="S17" i="8" s="1"/>
  <c r="S21" i="8" s="1"/>
  <c r="AM52" i="8"/>
  <c r="R93" i="8"/>
  <c r="H63" i="8"/>
  <c r="H65" i="8" s="1"/>
  <c r="O93" i="8"/>
  <c r="Q104" i="8"/>
  <c r="V93" i="8"/>
  <c r="AM62" i="8"/>
  <c r="AO62" i="8" s="1"/>
  <c r="G16" i="9"/>
  <c r="G12" i="9"/>
  <c r="E16" i="9"/>
  <c r="E12" i="9"/>
  <c r="F16" i="9"/>
  <c r="F12" i="9"/>
  <c r="M13" i="9"/>
  <c r="AE20" i="9"/>
  <c r="AC20" i="9"/>
  <c r="AB20" i="9"/>
  <c r="AB28" i="9"/>
  <c r="Z28" i="9"/>
  <c r="Y28" i="9"/>
  <c r="AH28" i="9"/>
  <c r="AG28" i="9"/>
  <c r="Y15" i="9"/>
  <c r="AD19" i="9"/>
  <c r="AB19" i="9"/>
  <c r="AA19" i="9"/>
  <c r="AA32" i="9"/>
  <c r="Y32" i="9"/>
  <c r="AI32" i="9"/>
  <c r="AG32" i="9"/>
  <c r="AF32" i="9"/>
  <c r="AL32" i="9" s="1"/>
  <c r="AB35" i="9"/>
  <c r="W12" i="9"/>
  <c r="W13" i="9"/>
  <c r="AC35" i="9"/>
  <c r="AA35" i="9"/>
  <c r="Z35" i="9"/>
  <c r="AI35" i="9"/>
  <c r="AH35" i="9"/>
  <c r="AG15" i="9"/>
  <c r="Y34" i="9"/>
  <c r="AE50" i="9"/>
  <c r="AE52" i="9" s="1"/>
  <c r="Q72" i="9"/>
  <c r="Q81" i="9" s="1"/>
  <c r="D16" i="9"/>
  <c r="AC24" i="9"/>
  <c r="AI34" i="9"/>
  <c r="AD15" i="9"/>
  <c r="AD24" i="9"/>
  <c r="AB24" i="9"/>
  <c r="AA24" i="9"/>
  <c r="AA38" i="9"/>
  <c r="Z38" i="9"/>
  <c r="Y38" i="9"/>
  <c r="AI38" i="9"/>
  <c r="AH38" i="9"/>
  <c r="AG38" i="9"/>
  <c r="AC38" i="9"/>
  <c r="AA40" i="9"/>
  <c r="AI40" i="9"/>
  <c r="AD38" i="9"/>
  <c r="AB40" i="9"/>
  <c r="Z42" i="9"/>
  <c r="AH42" i="9"/>
  <c r="AB69" i="9"/>
  <c r="AF38" i="9"/>
  <c r="AI33" i="9"/>
  <c r="AD69" i="9"/>
  <c r="AB49" i="9"/>
  <c r="AB52" i="9" s="1"/>
  <c r="R72" i="9"/>
  <c r="R81" i="9" s="1"/>
  <c r="AF50" i="9"/>
  <c r="AF52" i="9" s="1"/>
  <c r="S72" i="9"/>
  <c r="S81" i="9" s="1"/>
  <c r="D72" i="9"/>
  <c r="D81" i="9" s="1"/>
  <c r="AC52" i="9" l="1"/>
  <c r="AG52" i="9"/>
  <c r="M59" i="9"/>
  <c r="Z59" i="9" s="1"/>
  <c r="M60" i="9"/>
  <c r="Z60" i="9" s="1"/>
  <c r="R60" i="9"/>
  <c r="AE60" i="9" s="1"/>
  <c r="R59" i="9"/>
  <c r="AE59" i="9" s="1"/>
  <c r="O59" i="9"/>
  <c r="AB59" i="9" s="1"/>
  <c r="O60" i="9"/>
  <c r="AB60" i="9" s="1"/>
  <c r="K60" i="9"/>
  <c r="K59" i="9"/>
  <c r="J60" i="9"/>
  <c r="J59" i="9"/>
  <c r="Q60" i="9"/>
  <c r="AD60" i="9" s="1"/>
  <c r="Q59" i="9"/>
  <c r="AD59" i="9" s="1"/>
  <c r="N59" i="9"/>
  <c r="AA59" i="9" s="1"/>
  <c r="N60" i="9"/>
  <c r="AA60" i="9" s="1"/>
  <c r="I60" i="9"/>
  <c r="I59" i="9"/>
  <c r="V59" i="9"/>
  <c r="AI59" i="9" s="1"/>
  <c r="V60" i="9"/>
  <c r="AI60" i="9" s="1"/>
  <c r="S60" i="9"/>
  <c r="AF60" i="9" s="1"/>
  <c r="S59" i="9"/>
  <c r="AF59" i="9" s="1"/>
  <c r="AG69" i="9"/>
  <c r="AG72" i="9" s="1"/>
  <c r="AG81" i="9" s="1"/>
  <c r="AC69" i="9"/>
  <c r="AC72" i="9" s="1"/>
  <c r="AC81" i="9" s="1"/>
  <c r="W63" i="8"/>
  <c r="W65" i="8" s="1"/>
  <c r="S63" i="8"/>
  <c r="S65" i="8" s="1"/>
  <c r="U63" i="8"/>
  <c r="U65" i="8" s="1"/>
  <c r="T69" i="9"/>
  <c r="T72" i="9" s="1"/>
  <c r="T81" i="9" s="1"/>
  <c r="O63" i="8"/>
  <c r="O65" i="8" s="1"/>
  <c r="G17" i="8"/>
  <c r="G21" i="8" s="1"/>
  <c r="G24" i="8" s="1"/>
  <c r="G70" i="8" s="1"/>
  <c r="AJ40" i="8"/>
  <c r="AJ45" i="8" s="1"/>
  <c r="AJ65" i="8" s="1"/>
  <c r="M63" i="8"/>
  <c r="M65" i="8" s="1"/>
  <c r="AF40" i="8"/>
  <c r="AF45" i="8" s="1"/>
  <c r="AF65" i="8" s="1"/>
  <c r="Z63" i="8"/>
  <c r="Z65" i="8" s="1"/>
  <c r="V63" i="8"/>
  <c r="V65" i="8" s="1"/>
  <c r="Q63" i="8"/>
  <c r="Q65" i="8" s="1"/>
  <c r="R63" i="8"/>
  <c r="R65" i="8" s="1"/>
  <c r="N63" i="8"/>
  <c r="N65" i="8" s="1"/>
  <c r="J63" i="8"/>
  <c r="J65" i="8" s="1"/>
  <c r="K63" i="8"/>
  <c r="K65" i="8" s="1"/>
  <c r="G63" i="8"/>
  <c r="G65" i="8" s="1"/>
  <c r="P57" i="8"/>
  <c r="T57" i="8"/>
  <c r="P69" i="9"/>
  <c r="P72" i="9" s="1"/>
  <c r="P81" i="9" s="1"/>
  <c r="AM57" i="8"/>
  <c r="AO57" i="8" s="1"/>
  <c r="AO52" i="8"/>
  <c r="L69" i="9"/>
  <c r="L72" i="9" s="1"/>
  <c r="L81" i="9" s="1"/>
  <c r="X57" i="8"/>
  <c r="P13" i="9"/>
  <c r="T12" i="9"/>
  <c r="Q12" i="9"/>
  <c r="R13" i="9"/>
  <c r="T16" i="9"/>
  <c r="T21" i="9" s="1"/>
  <c r="O13" i="9"/>
  <c r="Q13" i="9"/>
  <c r="N13" i="9"/>
  <c r="R16" i="9"/>
  <c r="R17" i="9" s="1"/>
  <c r="P16" i="9"/>
  <c r="P21" i="9" s="1"/>
  <c r="AC33" i="9"/>
  <c r="AG16" i="9"/>
  <c r="AA34" i="9"/>
  <c r="J13" i="9"/>
  <c r="AA33" i="9"/>
  <c r="AB34" i="9"/>
  <c r="Z34" i="9"/>
  <c r="R12" i="9"/>
  <c r="AD16" i="9"/>
  <c r="AE34" i="9"/>
  <c r="Y33" i="9"/>
  <c r="N12" i="9"/>
  <c r="Z33" i="9"/>
  <c r="Y16" i="9"/>
  <c r="J16" i="9"/>
  <c r="J17" i="9" s="1"/>
  <c r="AF33" i="9"/>
  <c r="AL33" i="9" s="1"/>
  <c r="AC34" i="9"/>
  <c r="P12" i="9"/>
  <c r="AM40" i="8"/>
  <c r="J13" i="8"/>
  <c r="K13" i="8"/>
  <c r="I13" i="8"/>
  <c r="N17" i="8"/>
  <c r="U17" i="8"/>
  <c r="V17" i="8"/>
  <c r="T12" i="8"/>
  <c r="T17" i="8" s="1"/>
  <c r="O13" i="8"/>
  <c r="H17" i="8"/>
  <c r="W17" i="8"/>
  <c r="R17" i="8"/>
  <c r="R21" i="8" s="1"/>
  <c r="P12" i="8"/>
  <c r="P17" i="8" s="1"/>
  <c r="Z17" i="8"/>
  <c r="M17" i="8"/>
  <c r="X104" i="8"/>
  <c r="S13" i="8"/>
  <c r="AM12" i="8"/>
  <c r="AM104" i="8"/>
  <c r="V104" i="8"/>
  <c r="Q13" i="8"/>
  <c r="S93" i="8"/>
  <c r="T93" i="8"/>
  <c r="T104" i="8"/>
  <c r="P93" i="8"/>
  <c r="X93" i="8"/>
  <c r="S24" i="8"/>
  <c r="S18" i="8"/>
  <c r="O18" i="8"/>
  <c r="O24" i="8"/>
  <c r="O70" i="8" s="1"/>
  <c r="J24" i="8"/>
  <c r="J70" i="8" s="1"/>
  <c r="J18" i="8"/>
  <c r="Q18" i="8"/>
  <c r="Q24" i="8"/>
  <c r="S104" i="8"/>
  <c r="O104" i="8"/>
  <c r="X17" i="8"/>
  <c r="X21" i="8" s="1"/>
  <c r="X13" i="8"/>
  <c r="I24" i="8"/>
  <c r="I70" i="8" s="1"/>
  <c r="I18" i="8"/>
  <c r="W93" i="8"/>
  <c r="K24" i="8"/>
  <c r="K70" i="8" s="1"/>
  <c r="K18" i="8"/>
  <c r="O21" i="9"/>
  <c r="O17" i="9"/>
  <c r="AF34" i="9"/>
  <c r="AL34" i="9" s="1"/>
  <c r="AH33" i="9"/>
  <c r="AG33" i="9"/>
  <c r="AI15" i="9"/>
  <c r="AE15" i="9"/>
  <c r="F21" i="9"/>
  <c r="F17" i="9"/>
  <c r="Y72" i="9"/>
  <c r="Y81" i="9" s="1"/>
  <c r="AC15" i="9"/>
  <c r="S12" i="9"/>
  <c r="S16" i="9"/>
  <c r="S13" i="9"/>
  <c r="K16" i="9"/>
  <c r="K13" i="9"/>
  <c r="AA15" i="9"/>
  <c r="U16" i="9"/>
  <c r="AB72" i="9"/>
  <c r="AB81" i="9" s="1"/>
  <c r="Z15" i="9"/>
  <c r="AB15" i="9"/>
  <c r="AE33" i="9"/>
  <c r="AH15" i="9"/>
  <c r="AJ12" i="9"/>
  <c r="AF15" i="9"/>
  <c r="AL15" i="9" s="1"/>
  <c r="N16" i="9"/>
  <c r="T13" i="9"/>
  <c r="AD72" i="9"/>
  <c r="AD81" i="9" s="1"/>
  <c r="D21" i="9"/>
  <c r="D17" i="9"/>
  <c r="AG34" i="9"/>
  <c r="AD34" i="9"/>
  <c r="V12" i="9"/>
  <c r="V16" i="9"/>
  <c r="V13" i="9"/>
  <c r="L16" i="9"/>
  <c r="L13" i="9"/>
  <c r="O12" i="9"/>
  <c r="M16" i="9"/>
  <c r="G21" i="9"/>
  <c r="D18" i="12" s="1"/>
  <c r="G17" i="9"/>
  <c r="Q16" i="9"/>
  <c r="E21" i="9"/>
  <c r="E17" i="9"/>
  <c r="AH34" i="9"/>
  <c r="AD33" i="9"/>
  <c r="AB33" i="9"/>
  <c r="I16" i="9"/>
  <c r="D19" i="12" l="1"/>
  <c r="D22" i="12"/>
  <c r="D23" i="12"/>
  <c r="G18" i="8"/>
  <c r="P59" i="9"/>
  <c r="AC59" i="9" s="1"/>
  <c r="P60" i="9"/>
  <c r="AC60" i="9" s="1"/>
  <c r="T60" i="9"/>
  <c r="AG60" i="9" s="1"/>
  <c r="T59" i="9"/>
  <c r="AG59" i="9" s="1"/>
  <c r="L60" i="9"/>
  <c r="Y60" i="9" s="1"/>
  <c r="L59" i="9"/>
  <c r="Y59" i="9" s="1"/>
  <c r="AO104" i="8"/>
  <c r="AH16" i="9"/>
  <c r="AH21" i="9" s="1"/>
  <c r="H21" i="8"/>
  <c r="H24" i="8" s="1"/>
  <c r="T21" i="8"/>
  <c r="T24" i="8" s="1"/>
  <c r="M21" i="8"/>
  <c r="M24" i="8" s="1"/>
  <c r="V21" i="8"/>
  <c r="V24" i="8" s="1"/>
  <c r="Z21" i="8"/>
  <c r="Z24" i="8" s="1"/>
  <c r="U21" i="8"/>
  <c r="U24" i="8" s="1"/>
  <c r="P18" i="8"/>
  <c r="P21" i="8"/>
  <c r="P24" i="8" s="1"/>
  <c r="N18" i="8"/>
  <c r="N21" i="8"/>
  <c r="N24" i="8" s="1"/>
  <c r="N70" i="8" s="1"/>
  <c r="W21" i="8"/>
  <c r="W24" i="8" s="1"/>
  <c r="AM63" i="8"/>
  <c r="AO63" i="8" s="1"/>
  <c r="R24" i="8"/>
  <c r="T63" i="8"/>
  <c r="T65" i="8" s="1"/>
  <c r="P63" i="8"/>
  <c r="P65" i="8" s="1"/>
  <c r="X63" i="8"/>
  <c r="X65" i="8" s="1"/>
  <c r="AM45" i="8"/>
  <c r="AO45" i="8" s="1"/>
  <c r="AO40" i="8"/>
  <c r="T17" i="9"/>
  <c r="P17" i="9"/>
  <c r="K28" i="8"/>
  <c r="K31" i="8"/>
  <c r="I28" i="8"/>
  <c r="I31" i="8"/>
  <c r="J31" i="8"/>
  <c r="J28" i="8"/>
  <c r="Q28" i="8"/>
  <c r="Q31" i="8"/>
  <c r="O28" i="8"/>
  <c r="O31" i="8"/>
  <c r="S31" i="8"/>
  <c r="S28" i="8"/>
  <c r="G85" i="8"/>
  <c r="G112" i="8" s="1"/>
  <c r="G31" i="8"/>
  <c r="G28" i="8"/>
  <c r="R21" i="9"/>
  <c r="R22" i="9" s="1"/>
  <c r="Z16" i="9"/>
  <c r="Z17" i="9" s="1"/>
  <c r="AG12" i="9"/>
  <c r="AC12" i="9"/>
  <c r="AE12" i="9"/>
  <c r="AE16" i="9"/>
  <c r="AE17" i="9" s="1"/>
  <c r="AI12" i="9"/>
  <c r="AD12" i="9"/>
  <c r="AA16" i="9"/>
  <c r="AA17" i="9" s="1"/>
  <c r="AH12" i="9"/>
  <c r="AB16" i="9"/>
  <c r="AB17" i="9" s="1"/>
  <c r="AC16" i="9"/>
  <c r="AC21" i="9" s="1"/>
  <c r="J21" i="9"/>
  <c r="J22" i="9" s="1"/>
  <c r="AM17" i="8"/>
  <c r="AO12" i="8"/>
  <c r="S25" i="8"/>
  <c r="S70" i="8"/>
  <c r="K25" i="8"/>
  <c r="K85" i="8"/>
  <c r="K112" i="8" s="1"/>
  <c r="I25" i="8"/>
  <c r="I85" i="8"/>
  <c r="I112" i="8" s="1"/>
  <c r="J25" i="8"/>
  <c r="J85" i="8"/>
  <c r="J112" i="8" s="1"/>
  <c r="Q25" i="8"/>
  <c r="Q70" i="8"/>
  <c r="O25" i="8"/>
  <c r="G25" i="8"/>
  <c r="U18" i="8"/>
  <c r="V18" i="8"/>
  <c r="W18" i="8"/>
  <c r="H18" i="8"/>
  <c r="M18" i="8"/>
  <c r="T13" i="8"/>
  <c r="R18" i="8"/>
  <c r="Z18" i="8"/>
  <c r="P13" i="8"/>
  <c r="AM93" i="8"/>
  <c r="AO93" i="8" s="1"/>
  <c r="AM13" i="8"/>
  <c r="AO13" i="8" s="1"/>
  <c r="T18" i="8"/>
  <c r="X18" i="8"/>
  <c r="X24" i="8"/>
  <c r="P104" i="8"/>
  <c r="I21" i="9"/>
  <c r="I17" i="9"/>
  <c r="E25" i="9"/>
  <c r="E22" i="9"/>
  <c r="D25" i="9"/>
  <c r="D22" i="9"/>
  <c r="AF16" i="9"/>
  <c r="AL16" i="9" s="1"/>
  <c r="AF12" i="9"/>
  <c r="AL12" i="9" s="1"/>
  <c r="K17" i="9"/>
  <c r="K21" i="9"/>
  <c r="AG21" i="9"/>
  <c r="AG17" i="9"/>
  <c r="Q21" i="9"/>
  <c r="Q17" i="9"/>
  <c r="L17" i="9"/>
  <c r="L21" i="9"/>
  <c r="F25" i="9"/>
  <c r="F22" i="9"/>
  <c r="O25" i="9"/>
  <c r="O22" i="9"/>
  <c r="V21" i="9"/>
  <c r="V17" i="9"/>
  <c r="S17" i="9"/>
  <c r="S21" i="9"/>
  <c r="T25" i="9"/>
  <c r="T22" i="9"/>
  <c r="P22" i="9"/>
  <c r="P25" i="9"/>
  <c r="AD17" i="9"/>
  <c r="AD21" i="9"/>
  <c r="AI16" i="9"/>
  <c r="G22" i="9"/>
  <c r="G25" i="9"/>
  <c r="D16" i="12" s="1"/>
  <c r="D17" i="12" s="1"/>
  <c r="U21" i="9"/>
  <c r="U17" i="9"/>
  <c r="M21" i="9"/>
  <c r="M17" i="9"/>
  <c r="N21" i="9"/>
  <c r="N17" i="9"/>
  <c r="Y21" i="9"/>
  <c r="Y17" i="9"/>
  <c r="AH17" i="9" l="1"/>
  <c r="Z25" i="8"/>
  <c r="Z70" i="8"/>
  <c r="Z85" i="8" s="1"/>
  <c r="Z112" i="8" s="1"/>
  <c r="Z31" i="8"/>
  <c r="Z28" i="8"/>
  <c r="V28" i="8"/>
  <c r="V25" i="8"/>
  <c r="V31" i="8"/>
  <c r="V70" i="8"/>
  <c r="V85" i="8" s="1"/>
  <c r="V112" i="8" s="1"/>
  <c r="W28" i="8"/>
  <c r="W31" i="8"/>
  <c r="W25" i="8"/>
  <c r="W70" i="8"/>
  <c r="M70" i="8"/>
  <c r="M85" i="8" s="1"/>
  <c r="M28" i="8"/>
  <c r="M25" i="8"/>
  <c r="M31" i="8"/>
  <c r="U25" i="8"/>
  <c r="U28" i="8"/>
  <c r="U70" i="8"/>
  <c r="U85" i="8" s="1"/>
  <c r="U112" i="8" s="1"/>
  <c r="U31" i="8"/>
  <c r="T25" i="8"/>
  <c r="T70" i="8"/>
  <c r="T85" i="8" s="1"/>
  <c r="T112" i="8" s="1"/>
  <c r="T28" i="8"/>
  <c r="T31" i="8"/>
  <c r="H70" i="8"/>
  <c r="H85" i="8" s="1"/>
  <c r="H112" i="8" s="1"/>
  <c r="H25" i="8"/>
  <c r="H31" i="8"/>
  <c r="H28" i="8"/>
  <c r="AO17" i="8"/>
  <c r="AM21" i="8"/>
  <c r="AO21" i="8" s="1"/>
  <c r="R25" i="8"/>
  <c r="R70" i="8"/>
  <c r="R28" i="8"/>
  <c r="R31" i="8"/>
  <c r="AM65" i="8"/>
  <c r="Z21" i="9"/>
  <c r="Z25" i="9" s="1"/>
  <c r="AC17" i="9"/>
  <c r="R25" i="9"/>
  <c r="R29" i="9" s="1"/>
  <c r="AA21" i="9"/>
  <c r="AA22" i="9" s="1"/>
  <c r="P28" i="8"/>
  <c r="P31" i="8"/>
  <c r="N28" i="8"/>
  <c r="N31" i="8"/>
  <c r="X31" i="8"/>
  <c r="X28" i="8"/>
  <c r="AE21" i="9"/>
  <c r="AE25" i="9" s="1"/>
  <c r="J25" i="9"/>
  <c r="J29" i="9" s="1"/>
  <c r="AB21" i="9"/>
  <c r="AB22" i="9" s="1"/>
  <c r="AM18" i="8"/>
  <c r="AO18" i="8" s="1"/>
  <c r="O85" i="8"/>
  <c r="O112" i="8" s="1"/>
  <c r="S85" i="8"/>
  <c r="S112" i="8" s="1"/>
  <c r="Q85" i="8"/>
  <c r="Q112" i="8" s="1"/>
  <c r="W85" i="8"/>
  <c r="W112" i="8" s="1"/>
  <c r="X25" i="8"/>
  <c r="X70" i="8"/>
  <c r="N25" i="8"/>
  <c r="N85" i="8"/>
  <c r="N112" i="8" s="1"/>
  <c r="P25" i="8"/>
  <c r="P70" i="8"/>
  <c r="G26" i="9"/>
  <c r="G29" i="9"/>
  <c r="N25" i="9"/>
  <c r="N22" i="9"/>
  <c r="T29" i="9"/>
  <c r="T26" i="9"/>
  <c r="F26" i="9"/>
  <c r="F29" i="9"/>
  <c r="AG25" i="9"/>
  <c r="AG22" i="9"/>
  <c r="D29" i="9"/>
  <c r="D26" i="9"/>
  <c r="AH22" i="9"/>
  <c r="AH25" i="9"/>
  <c r="AF21" i="9"/>
  <c r="AL21" i="9" s="1"/>
  <c r="AF17" i="9"/>
  <c r="AL17" i="9" s="1"/>
  <c r="AD25" i="9"/>
  <c r="AD22" i="9"/>
  <c r="AC22" i="9"/>
  <c r="AC25" i="9"/>
  <c r="O26" i="9"/>
  <c r="O29" i="9"/>
  <c r="S22" i="9"/>
  <c r="S25" i="9"/>
  <c r="E29" i="9"/>
  <c r="E26" i="9"/>
  <c r="U25" i="9"/>
  <c r="U22" i="9"/>
  <c r="Q22" i="9"/>
  <c r="Q25" i="9"/>
  <c r="M25" i="9"/>
  <c r="M22" i="9"/>
  <c r="P26" i="9"/>
  <c r="P29" i="9"/>
  <c r="L25" i="9"/>
  <c r="L22" i="9"/>
  <c r="AI21" i="9"/>
  <c r="AI17" i="9"/>
  <c r="K22" i="9"/>
  <c r="K25" i="9"/>
  <c r="Y25" i="9"/>
  <c r="Y22" i="9"/>
  <c r="V25" i="9"/>
  <c r="V22" i="9"/>
  <c r="I22" i="9"/>
  <c r="I25" i="9"/>
  <c r="M112" i="8" l="1"/>
  <c r="AL70" i="8"/>
  <c r="AL85" i="8" s="1"/>
  <c r="AL112" i="8" s="1"/>
  <c r="AF70" i="8"/>
  <c r="AF85" i="8" s="1"/>
  <c r="AF112" i="8" s="1"/>
  <c r="AH70" i="8"/>
  <c r="AH85" i="8" s="1"/>
  <c r="AH112" i="8" s="1"/>
  <c r="AG70" i="8"/>
  <c r="AG85" i="8" s="1"/>
  <c r="AG112" i="8" s="1"/>
  <c r="R85" i="8"/>
  <c r="R112" i="8" s="1"/>
  <c r="AI70" i="8"/>
  <c r="AI85" i="8" s="1"/>
  <c r="AI112" i="8" s="1"/>
  <c r="AA25" i="9"/>
  <c r="AA26" i="9" s="1"/>
  <c r="AM24" i="8"/>
  <c r="AM31" i="8" s="1"/>
  <c r="AE70" i="8"/>
  <c r="AE85" i="8" s="1"/>
  <c r="AE112" i="8" s="1"/>
  <c r="AC70" i="8"/>
  <c r="AC85" i="8" s="1"/>
  <c r="AC112" i="8" s="1"/>
  <c r="Z22" i="9"/>
  <c r="R26" i="9"/>
  <c r="AE22" i="9"/>
  <c r="J26" i="9"/>
  <c r="AB25" i="9"/>
  <c r="AB29" i="9" s="1"/>
  <c r="AD70" i="8"/>
  <c r="AD85" i="8" s="1"/>
  <c r="AD112" i="8" s="1"/>
  <c r="AJ70" i="8"/>
  <c r="AJ85" i="8" s="1"/>
  <c r="AJ112" i="8" s="1"/>
  <c r="X85" i="8"/>
  <c r="X112" i="8" s="1"/>
  <c r="AM70" i="8"/>
  <c r="AM85" i="8" s="1"/>
  <c r="AK70" i="8"/>
  <c r="AK85" i="8" s="1"/>
  <c r="AK112" i="8" s="1"/>
  <c r="P85" i="8"/>
  <c r="P112" i="8" s="1"/>
  <c r="M29" i="9"/>
  <c r="M26" i="9"/>
  <c r="AE29" i="9"/>
  <c r="AE26" i="9"/>
  <c r="Q26" i="9"/>
  <c r="Q29" i="9"/>
  <c r="R80" i="9" s="1" a="1"/>
  <c r="R80" i="9" s="1"/>
  <c r="AI22" i="9"/>
  <c r="AI25" i="9"/>
  <c r="J36" i="9"/>
  <c r="J44" i="9" s="1"/>
  <c r="J30" i="9"/>
  <c r="AD29" i="9"/>
  <c r="AD26" i="9"/>
  <c r="AG26" i="9"/>
  <c r="AG29" i="9"/>
  <c r="N29" i="9"/>
  <c r="N26" i="9"/>
  <c r="D79" i="9" a="1"/>
  <c r="D79" i="9" s="1"/>
  <c r="D80" i="9" a="1"/>
  <c r="D80" i="9" s="1"/>
  <c r="D78" i="9"/>
  <c r="D36" i="9"/>
  <c r="D30" i="9"/>
  <c r="D77" i="9"/>
  <c r="D76" i="9"/>
  <c r="F80" i="9" a="1"/>
  <c r="F80" i="9" s="1"/>
  <c r="F78" i="9"/>
  <c r="F79" i="9" a="1"/>
  <c r="F79" i="9" s="1"/>
  <c r="F30" i="9"/>
  <c r="F36" i="9"/>
  <c r="F44" i="9" s="1"/>
  <c r="F76" i="9"/>
  <c r="F77" i="9"/>
  <c r="G79" i="9" a="1"/>
  <c r="G79" i="9" s="1"/>
  <c r="G78" i="9"/>
  <c r="G80" i="9" a="1"/>
  <c r="G80" i="9" s="1"/>
  <c r="G30" i="9"/>
  <c r="G77" i="9"/>
  <c r="G36" i="9"/>
  <c r="G44" i="9" s="1"/>
  <c r="G76" i="9"/>
  <c r="R30" i="9"/>
  <c r="R36" i="9"/>
  <c r="R44" i="9" s="1"/>
  <c r="V29" i="9"/>
  <c r="V26" i="9"/>
  <c r="Z26" i="9"/>
  <c r="Z29" i="9"/>
  <c r="L29" i="9"/>
  <c r="L26" i="9"/>
  <c r="U29" i="9"/>
  <c r="U26" i="9"/>
  <c r="AF25" i="9"/>
  <c r="AL25" i="9" s="1"/>
  <c r="AF22" i="9"/>
  <c r="AL22" i="9" s="1"/>
  <c r="AC29" i="9"/>
  <c r="AC26" i="9"/>
  <c r="Y26" i="9"/>
  <c r="Y29" i="9"/>
  <c r="P36" i="9"/>
  <c r="P44" i="9" s="1"/>
  <c r="P30" i="9"/>
  <c r="O36" i="9"/>
  <c r="O44" i="9" s="1"/>
  <c r="O30" i="9"/>
  <c r="AH26" i="9"/>
  <c r="AH29" i="9"/>
  <c r="S29" i="9"/>
  <c r="S26" i="9"/>
  <c r="I26" i="9"/>
  <c r="I29" i="9"/>
  <c r="K29" i="9"/>
  <c r="K26" i="9"/>
  <c r="E80" i="9" a="1"/>
  <c r="E80" i="9" s="1"/>
  <c r="E78" i="9"/>
  <c r="E36" i="9"/>
  <c r="E44" i="9" s="1"/>
  <c r="E30" i="9"/>
  <c r="E79" i="9" a="1"/>
  <c r="E79" i="9" s="1"/>
  <c r="E77" i="9"/>
  <c r="E76" i="9"/>
  <c r="T30" i="9"/>
  <c r="T36" i="9"/>
  <c r="T44" i="9" s="1"/>
  <c r="AO85" i="8" l="1"/>
  <c r="AM112" i="8"/>
  <c r="AA29" i="9"/>
  <c r="AO24" i="8"/>
  <c r="AM28" i="8"/>
  <c r="AM25" i="8"/>
  <c r="AO25" i="8" s="1"/>
  <c r="R79" i="9" a="1"/>
  <c r="R79" i="9" s="1"/>
  <c r="D44" i="9"/>
  <c r="D45" i="9" s="1"/>
  <c r="U79" i="9" a="1"/>
  <c r="U79" i="9" s="1"/>
  <c r="W77" i="9"/>
  <c r="W79" i="9" a="1"/>
  <c r="W79" i="9" s="1"/>
  <c r="W76" i="9"/>
  <c r="W78" i="9" a="1"/>
  <c r="W78" i="9" s="1"/>
  <c r="AB26" i="9"/>
  <c r="W80" i="9" a="1"/>
  <c r="W80" i="9" s="1"/>
  <c r="S79" i="9" a="1"/>
  <c r="S79" i="9" s="1"/>
  <c r="U77" i="9"/>
  <c r="N80" i="9" a="1"/>
  <c r="N80" i="9" s="1"/>
  <c r="N79" i="9" a="1"/>
  <c r="N79" i="9" s="1"/>
  <c r="N78" i="9" a="1"/>
  <c r="N78" i="9" s="1"/>
  <c r="N76" i="9"/>
  <c r="K36" i="9"/>
  <c r="K44" i="9" s="1"/>
  <c r="K30" i="9"/>
  <c r="N77" i="9"/>
  <c r="M79" i="9" a="1"/>
  <c r="M79" i="9" s="1"/>
  <c r="Q36" i="9"/>
  <c r="Q44" i="9" s="1"/>
  <c r="T79" i="9" a="1"/>
  <c r="T79" i="9" s="1"/>
  <c r="T78" i="9" a="1"/>
  <c r="T78" i="9" s="1"/>
  <c r="T80" i="9" a="1"/>
  <c r="T80" i="9" s="1"/>
  <c r="Q30" i="9"/>
  <c r="T76" i="9"/>
  <c r="T77" i="9"/>
  <c r="I36" i="9"/>
  <c r="L79" i="9" a="1"/>
  <c r="L79" i="9" s="1"/>
  <c r="L78" i="9" a="1"/>
  <c r="L78" i="9" s="1"/>
  <c r="L80" i="9" a="1"/>
  <c r="L80" i="9" s="1"/>
  <c r="I30" i="9"/>
  <c r="L76" i="9"/>
  <c r="L77" i="9"/>
  <c r="R77" i="9"/>
  <c r="S76" i="9"/>
  <c r="Y36" i="9"/>
  <c r="Y79" i="9" a="1"/>
  <c r="Y79" i="9" s="1"/>
  <c r="Y78" i="9"/>
  <c r="Y30" i="9"/>
  <c r="Y80" i="9" a="1"/>
  <c r="Y80" i="9" s="1"/>
  <c r="Y77" i="9"/>
  <c r="Y76" i="9"/>
  <c r="G45" i="9"/>
  <c r="AG36" i="9"/>
  <c r="AG79" i="9" a="1"/>
  <c r="AG79" i="9" s="1"/>
  <c r="AG78" i="9"/>
  <c r="AG30" i="9"/>
  <c r="AG80" i="9" a="1"/>
  <c r="AG80" i="9" s="1"/>
  <c r="AG77" i="9"/>
  <c r="AG76" i="9"/>
  <c r="J45" i="9"/>
  <c r="R76" i="9"/>
  <c r="O79" i="9" a="1"/>
  <c r="O79" i="9" s="1"/>
  <c r="O78" i="9" a="1"/>
  <c r="O78" i="9" s="1"/>
  <c r="L36" i="9"/>
  <c r="L44" i="9" s="1"/>
  <c r="L30" i="9"/>
  <c r="O80" i="9" a="1"/>
  <c r="O80" i="9" s="1"/>
  <c r="O76" i="9"/>
  <c r="O77" i="9"/>
  <c r="F45" i="9"/>
  <c r="M76" i="9"/>
  <c r="U36" i="9"/>
  <c r="U44" i="9" s="1"/>
  <c r="U30" i="9"/>
  <c r="Q78" i="9" a="1"/>
  <c r="Q78" i="9" s="1"/>
  <c r="Q80" i="9" a="1"/>
  <c r="Q80" i="9" s="1"/>
  <c r="N36" i="9"/>
  <c r="N44" i="9" s="1"/>
  <c r="N30" i="9"/>
  <c r="Q79" i="9" a="1"/>
  <c r="Q79" i="9" s="1"/>
  <c r="Q76" i="9"/>
  <c r="Q77" i="9"/>
  <c r="S80" i="9" a="1"/>
  <c r="S80" i="9" s="1"/>
  <c r="Z79" i="9" a="1"/>
  <c r="Z79" i="9" s="1"/>
  <c r="Z78" i="9"/>
  <c r="Z80" i="9" a="1"/>
  <c r="Z80" i="9" s="1"/>
  <c r="Z30" i="9"/>
  <c r="Z36" i="9"/>
  <c r="Z77" i="9"/>
  <c r="Z76" i="9"/>
  <c r="U76" i="9"/>
  <c r="M80" i="9" a="1"/>
  <c r="M80" i="9" s="1"/>
  <c r="AE80" i="9" a="1"/>
  <c r="AE80" i="9" s="1"/>
  <c r="AE36" i="9"/>
  <c r="AE78" i="9"/>
  <c r="AE79" i="9" a="1"/>
  <c r="AE79" i="9" s="1"/>
  <c r="AE76" i="9"/>
  <c r="AE30" i="9"/>
  <c r="AE77" i="9"/>
  <c r="E45" i="9"/>
  <c r="AC78" i="9"/>
  <c r="AC79" i="9" a="1"/>
  <c r="AC79" i="9" s="1"/>
  <c r="AC36" i="9"/>
  <c r="AC80" i="9" a="1"/>
  <c r="AC80" i="9" s="1"/>
  <c r="AC30" i="9"/>
  <c r="AC76" i="9"/>
  <c r="AC77" i="9"/>
  <c r="AD79" i="9" a="1"/>
  <c r="AD79" i="9" s="1"/>
  <c r="AD80" i="9" a="1"/>
  <c r="AD80" i="9" s="1"/>
  <c r="AD78" i="9"/>
  <c r="AD36" i="9"/>
  <c r="AD30" i="9"/>
  <c r="AD76" i="9"/>
  <c r="AD77" i="9"/>
  <c r="M78" i="9" a="1"/>
  <c r="M78" i="9" s="1"/>
  <c r="V80" i="9" a="1"/>
  <c r="V80" i="9" s="1"/>
  <c r="V79" i="9" a="1"/>
  <c r="V79" i="9" s="1"/>
  <c r="V78" i="9" a="1"/>
  <c r="V78" i="9" s="1"/>
  <c r="V76" i="9"/>
  <c r="S30" i="9"/>
  <c r="S36" i="9"/>
  <c r="S44" i="9" s="1"/>
  <c r="V77" i="9"/>
  <c r="T45" i="9"/>
  <c r="R78" i="9" a="1"/>
  <c r="R78" i="9" s="1"/>
  <c r="U80" i="9" a="1"/>
  <c r="U80" i="9" s="1"/>
  <c r="AI26" i="9"/>
  <c r="AI29" i="9"/>
  <c r="P79" i="9" a="1"/>
  <c r="P79" i="9" s="1"/>
  <c r="P78" i="9" a="1"/>
  <c r="P78" i="9" s="1"/>
  <c r="P80" i="9" a="1"/>
  <c r="P80" i="9" s="1"/>
  <c r="M36" i="9"/>
  <c r="M44" i="9" s="1"/>
  <c r="M30" i="9"/>
  <c r="P76" i="9"/>
  <c r="P77" i="9"/>
  <c r="S77" i="9"/>
  <c r="AB80" i="9" a="1"/>
  <c r="AB80" i="9" s="1"/>
  <c r="AB78" i="9"/>
  <c r="AB79" i="9" a="1"/>
  <c r="AB79" i="9" s="1"/>
  <c r="AB36" i="9"/>
  <c r="AB30" i="9"/>
  <c r="AB76" i="9"/>
  <c r="AB77" i="9"/>
  <c r="AF29" i="9"/>
  <c r="AL29" i="9" s="1"/>
  <c r="AF26" i="9"/>
  <c r="AL26" i="9" s="1"/>
  <c r="V30" i="9"/>
  <c r="V36" i="9"/>
  <c r="V44" i="9" s="1"/>
  <c r="U78" i="9" a="1"/>
  <c r="U78" i="9" s="1"/>
  <c r="M77" i="9"/>
  <c r="AA36" i="9"/>
  <c r="AA78" i="9"/>
  <c r="AA80" i="9" a="1"/>
  <c r="AA80" i="9" s="1"/>
  <c r="AA79" i="9" a="1"/>
  <c r="AA79" i="9" s="1"/>
  <c r="AA30" i="9"/>
  <c r="AA77" i="9"/>
  <c r="AA76" i="9"/>
  <c r="AH79" i="9" a="1"/>
  <c r="AH79" i="9" s="1"/>
  <c r="AH78" i="9"/>
  <c r="AH80" i="9" a="1"/>
  <c r="AH80" i="9" s="1"/>
  <c r="AH30" i="9"/>
  <c r="AH36" i="9"/>
  <c r="AH76" i="9"/>
  <c r="AH77" i="9"/>
  <c r="S78" i="9" a="1"/>
  <c r="S78" i="9" s="1"/>
  <c r="AJ44" i="9" l="1"/>
  <c r="AJ45" i="9" s="1"/>
  <c r="I44" i="9"/>
  <c r="I45" i="9" s="1"/>
  <c r="AO28" i="8"/>
  <c r="AO31" i="8"/>
  <c r="U45" i="9"/>
  <c r="V45" i="9"/>
  <c r="AI36" i="9"/>
  <c r="AI78" i="9"/>
  <c r="AI80" i="9" a="1"/>
  <c r="AI80" i="9" s="1"/>
  <c r="AI79" i="9" a="1"/>
  <c r="AI79" i="9" s="1"/>
  <c r="AI30" i="9"/>
  <c r="AI77" i="9"/>
  <c r="AI76" i="9"/>
  <c r="S45" i="9"/>
  <c r="K45" i="9"/>
  <c r="R45" i="9"/>
  <c r="AF80" i="9" a="1"/>
  <c r="AF80" i="9" s="1"/>
  <c r="AF79" i="9" a="1"/>
  <c r="AF79" i="9" s="1"/>
  <c r="AF78" i="9"/>
  <c r="AF30" i="9"/>
  <c r="AL30" i="9" s="1"/>
  <c r="AF36" i="9"/>
  <c r="AL36" i="9" s="1"/>
  <c r="AF76" i="9"/>
  <c r="AF77" i="9"/>
  <c r="M45" i="9"/>
  <c r="AD44" i="9"/>
  <c r="AD45" i="9" s="1"/>
  <c r="AE44" i="9"/>
  <c r="AE45" i="9" s="1"/>
  <c r="O45" i="9"/>
  <c r="P45" i="9"/>
  <c r="AB44" i="9" l="1"/>
  <c r="AB45" i="9" s="1"/>
  <c r="AH44" i="9"/>
  <c r="AH45" i="9" s="1"/>
  <c r="AG44" i="9"/>
  <c r="AG45" i="9" s="1"/>
  <c r="N45" i="9"/>
  <c r="AA44" i="9"/>
  <c r="AA45" i="9" s="1"/>
  <c r="Q45" i="9"/>
  <c r="AC44" i="9"/>
  <c r="AC45" i="9" s="1"/>
  <c r="Y44" i="9"/>
  <c r="Y45" i="9" s="1"/>
  <c r="AI44" i="9"/>
  <c r="AI45" i="9" s="1"/>
  <c r="Z44" i="9"/>
  <c r="Z45" i="9" s="1"/>
  <c r="AF44" i="9"/>
  <c r="AF45" i="9" s="1"/>
  <c r="L45" i="9"/>
  <c r="H108" i="8" l="1"/>
  <c r="G113" i="8"/>
  <c r="G115" i="8" s="1"/>
  <c r="H107" i="8" l="1"/>
  <c r="H109" i="8" s="1"/>
  <c r="H113" i="8" s="1"/>
  <c r="M107" i="8" s="1"/>
  <c r="M109" i="8" s="1"/>
  <c r="M113" i="8" s="1"/>
  <c r="AC107" i="8" l="1"/>
  <c r="AC109" i="8" s="1"/>
  <c r="AC113" i="8" s="1"/>
  <c r="AC115" i="8" s="1"/>
  <c r="N107" i="8"/>
  <c r="N109" i="8" s="1"/>
  <c r="N113" i="8" s="1"/>
  <c r="M115" i="8"/>
  <c r="H115" i="8"/>
  <c r="I107" i="8"/>
  <c r="I109" i="8" s="1"/>
  <c r="I113" i="8" s="1"/>
  <c r="O107" i="8" l="1"/>
  <c r="O109" i="8" s="1"/>
  <c r="O113" i="8" s="1"/>
  <c r="AD107" i="8"/>
  <c r="AD109" i="8" s="1"/>
  <c r="AD113" i="8" s="1"/>
  <c r="AD115" i="8" s="1"/>
  <c r="N115" i="8"/>
  <c r="I115" i="8"/>
  <c r="J107" i="8"/>
  <c r="J109" i="8" s="1"/>
  <c r="J113" i="8" s="1"/>
  <c r="AE107" i="8" l="1"/>
  <c r="AE109" i="8" s="1"/>
  <c r="AE113" i="8" s="1"/>
  <c r="AE115" i="8" s="1"/>
  <c r="P107" i="8"/>
  <c r="P109" i="8" s="1"/>
  <c r="P113" i="8" s="1"/>
  <c r="O115" i="8"/>
  <c r="J115" i="8"/>
  <c r="K107" i="8"/>
  <c r="K109" i="8" s="1"/>
  <c r="K113" i="8" s="1"/>
  <c r="K115" i="8" s="1"/>
  <c r="AF107" i="8" l="1"/>
  <c r="AF109" i="8" s="1"/>
  <c r="AF113" i="8" s="1"/>
  <c r="AF115" i="8" s="1"/>
  <c r="Q107" i="8"/>
  <c r="Q109" i="8" s="1"/>
  <c r="Q113" i="8" s="1"/>
  <c r="P115" i="8"/>
  <c r="H25" i="14"/>
  <c r="I25" i="14" s="1"/>
  <c r="J25" i="14" s="1"/>
  <c r="K25" i="14" s="1"/>
  <c r="L25" i="14" s="1"/>
  <c r="G26" i="14"/>
  <c r="G28" i="14" s="1"/>
  <c r="G117" i="14" l="1"/>
  <c r="G72" i="14"/>
  <c r="G79" i="14" s="1"/>
  <c r="G91" i="14" s="1"/>
  <c r="AG107" i="8"/>
  <c r="AG109" i="8" s="1"/>
  <c r="AG113" i="8" s="1"/>
  <c r="AG115" i="8" s="1"/>
  <c r="Q115" i="8"/>
  <c r="R107" i="8"/>
  <c r="R109" i="8" s="1"/>
  <c r="R113" i="8" s="1"/>
  <c r="G40" i="14"/>
  <c r="I40" i="14" s="1"/>
  <c r="F22" i="12" s="1"/>
  <c r="G163" i="14"/>
  <c r="F23" i="12" l="1"/>
  <c r="F21" i="12"/>
  <c r="AH107" i="8"/>
  <c r="AH109" i="8" s="1"/>
  <c r="AH113" i="8" s="1"/>
  <c r="AH115" i="8" s="1"/>
  <c r="S107" i="8"/>
  <c r="S109" i="8" s="1"/>
  <c r="S113" i="8" s="1"/>
  <c r="R115" i="8"/>
  <c r="G165" i="14"/>
  <c r="G168" i="14"/>
  <c r="J40" i="14"/>
  <c r="G22" i="12" s="1"/>
  <c r="G23" i="12" l="1"/>
  <c r="G21" i="12"/>
  <c r="AI107" i="8"/>
  <c r="AI109" i="8" s="1"/>
  <c r="AI113" i="8" s="1"/>
  <c r="AI115" i="8" s="1"/>
  <c r="T107" i="8"/>
  <c r="T109" i="8" s="1"/>
  <c r="T113" i="8" s="1"/>
  <c r="S115" i="8"/>
  <c r="K40" i="14"/>
  <c r="H22" i="12" s="1"/>
  <c r="H23" i="12" l="1"/>
  <c r="H21" i="12"/>
  <c r="AJ107" i="8"/>
  <c r="AJ109" i="8" s="1"/>
  <c r="AJ113" i="8" s="1"/>
  <c r="AJ115" i="8" s="1"/>
  <c r="U107" i="8"/>
  <c r="U109" i="8" s="1"/>
  <c r="U113" i="8" s="1"/>
  <c r="T115" i="8"/>
  <c r="L40" i="14"/>
  <c r="I22" i="12" s="1"/>
  <c r="I23" i="12" l="1"/>
  <c r="I21" i="12"/>
  <c r="AK107" i="8"/>
  <c r="AK109" i="8" s="1"/>
  <c r="AK113" i="8" s="1"/>
  <c r="AK115" i="8" s="1"/>
  <c r="V107" i="8"/>
  <c r="V109" i="8" s="1"/>
  <c r="V113" i="8" s="1"/>
  <c r="U115" i="8"/>
  <c r="AL107" i="8" l="1"/>
  <c r="AL109" i="8" s="1"/>
  <c r="AL113" i="8" s="1"/>
  <c r="AL115" i="8" s="1"/>
  <c r="W107" i="8"/>
  <c r="W109" i="8" s="1"/>
  <c r="W113" i="8" s="1"/>
  <c r="V115" i="8"/>
  <c r="AM107" i="8" l="1"/>
  <c r="AM109" i="8" s="1"/>
  <c r="AM113" i="8" s="1"/>
  <c r="AM115" i="8" s="1"/>
  <c r="X107" i="8"/>
  <c r="X109" i="8" s="1"/>
  <c r="X113" i="8" s="1"/>
  <c r="W115" i="8"/>
  <c r="Y107" i="8" l="1"/>
  <c r="Y109" i="8" s="1"/>
  <c r="Y113" i="8" s="1"/>
  <c r="X115" i="8"/>
  <c r="Z107" i="8" l="1"/>
  <c r="Z109" i="8" s="1"/>
  <c r="Z113" i="8" s="1"/>
  <c r="Y115" i="8"/>
  <c r="AA107" i="8" l="1"/>
  <c r="AA109" i="8" s="1"/>
  <c r="AA113" i="8" s="1"/>
  <c r="AA115" i="8" s="1"/>
  <c r="Z115" i="8"/>
  <c r="E30" i="12"/>
  <c r="E38" i="12" s="1"/>
  <c r="E39" i="12" s="1"/>
  <c r="F30" i="12"/>
  <c r="F38" i="12" s="1"/>
  <c r="F39" i="12" s="1"/>
  <c r="G30" i="12"/>
  <c r="G38" i="12" s="1"/>
  <c r="G39" i="12" s="1"/>
  <c r="H30" i="12"/>
  <c r="H38" i="12" s="1"/>
  <c r="H39" i="12" s="1"/>
  <c r="I30" i="12"/>
  <c r="I38" i="12" s="1"/>
  <c r="I51" i="12" s="1"/>
  <c r="C43" i="12" l="1"/>
  <c r="C44" i="12" s="1"/>
  <c r="I39" i="12"/>
  <c r="C46" i="12" s="1"/>
  <c r="I46" i="12" l="1"/>
  <c r="I47" i="12" s="1"/>
  <c r="C51" i="12"/>
  <c r="C45" i="12"/>
  <c r="C47" i="12" l="1"/>
  <c r="C69" i="12" s="1"/>
  <c r="D69" i="12"/>
  <c r="I49" i="12"/>
  <c r="I50" i="12" s="1"/>
  <c r="D77" i="12" l="1"/>
  <c r="D83" i="12"/>
  <c r="D78" i="12"/>
  <c r="L99" i="12" s="1"/>
  <c r="D84" i="12"/>
  <c r="D71" i="12"/>
  <c r="D73" i="12" s="1"/>
  <c r="D99" i="12" s="1"/>
  <c r="D79" i="12"/>
  <c r="D82" i="12"/>
  <c r="C83" i="12"/>
  <c r="C78" i="12"/>
  <c r="L90" i="12" s="1"/>
  <c r="C84" i="12"/>
  <c r="C77" i="12"/>
  <c r="C71" i="12"/>
  <c r="C73" i="12" s="1"/>
  <c r="D90" i="12" s="1"/>
  <c r="C79" i="12"/>
  <c r="C82" i="12"/>
  <c r="C49" i="12"/>
  <c r="C50" i="12" s="1"/>
  <c r="H23" i="14"/>
  <c r="I23" i="14"/>
  <c r="J23" i="14"/>
  <c r="K23" i="14"/>
  <c r="L23" i="14"/>
  <c r="H24" i="14"/>
  <c r="I24" i="14"/>
  <c r="J24" i="14"/>
  <c r="K24" i="14"/>
  <c r="L24" i="14"/>
  <c r="H26" i="14"/>
  <c r="I26" i="14"/>
  <c r="J26" i="14"/>
  <c r="K26" i="14"/>
  <c r="L26" i="14"/>
  <c r="H27" i="14"/>
  <c r="I27" i="14"/>
  <c r="J27" i="14"/>
  <c r="K27" i="14"/>
  <c r="L27" i="14"/>
  <c r="H28" i="14"/>
  <c r="I28" i="14"/>
  <c r="J28" i="14"/>
  <c r="K28" i="14"/>
  <c r="L28" i="14"/>
  <c r="H45" i="14"/>
  <c r="I45" i="14"/>
  <c r="J45" i="14"/>
  <c r="K45" i="14"/>
  <c r="L45" i="14"/>
  <c r="H51" i="14"/>
  <c r="I51" i="14"/>
  <c r="J51" i="14"/>
  <c r="K51" i="14"/>
  <c r="L51" i="14"/>
  <c r="H56" i="14"/>
  <c r="I56" i="14"/>
  <c r="J56" i="14"/>
  <c r="K56" i="14"/>
  <c r="L56" i="14"/>
  <c r="H59" i="14"/>
  <c r="I59" i="14"/>
  <c r="J59" i="14"/>
  <c r="K59" i="14"/>
  <c r="L59" i="14"/>
  <c r="H62" i="14"/>
  <c r="I62" i="14"/>
  <c r="J62" i="14"/>
  <c r="K62" i="14"/>
  <c r="L62" i="14"/>
  <c r="H64" i="14"/>
  <c r="I64" i="14"/>
  <c r="J64" i="14"/>
  <c r="K64" i="14"/>
  <c r="L64" i="14"/>
  <c r="H66" i="14"/>
  <c r="I66" i="14"/>
  <c r="J66" i="14"/>
  <c r="K66" i="14"/>
  <c r="L66" i="14"/>
  <c r="H72" i="14"/>
  <c r="I72" i="14"/>
  <c r="J72" i="14"/>
  <c r="K72" i="14"/>
  <c r="L72" i="14"/>
  <c r="H79" i="14"/>
  <c r="I79" i="14"/>
  <c r="J79" i="14"/>
  <c r="K79" i="14"/>
  <c r="L79" i="14"/>
  <c r="H85" i="14"/>
  <c r="I85" i="14"/>
  <c r="J85" i="14"/>
  <c r="K85" i="14"/>
  <c r="L85" i="14"/>
  <c r="H87" i="14"/>
  <c r="I87" i="14"/>
  <c r="J87" i="14"/>
  <c r="K87" i="14"/>
  <c r="L87" i="14"/>
  <c r="H89" i="14"/>
  <c r="I89" i="14"/>
  <c r="J89" i="14"/>
  <c r="K89" i="14"/>
  <c r="L89" i="14"/>
  <c r="H91" i="14"/>
  <c r="I91" i="14"/>
  <c r="J91" i="14"/>
  <c r="K91" i="14"/>
  <c r="L91" i="14"/>
  <c r="I116" i="14"/>
  <c r="J116" i="14"/>
  <c r="K116" i="14"/>
  <c r="L116" i="14"/>
  <c r="H117" i="14"/>
  <c r="I117" i="14"/>
  <c r="J117" i="14"/>
  <c r="K117" i="14"/>
  <c r="L117" i="14"/>
  <c r="H118" i="14"/>
  <c r="I118" i="14"/>
  <c r="J118" i="14"/>
  <c r="K118" i="14"/>
  <c r="L118" i="14"/>
  <c r="H120" i="14"/>
  <c r="I120" i="14"/>
  <c r="J120" i="14"/>
  <c r="K120" i="14"/>
  <c r="L120" i="14"/>
  <c r="I127" i="14"/>
  <c r="J127" i="14"/>
  <c r="K127" i="14"/>
  <c r="L127" i="14"/>
  <c r="H129" i="14"/>
  <c r="I129" i="14"/>
  <c r="J129" i="14"/>
  <c r="K129" i="14"/>
  <c r="L129" i="14"/>
  <c r="H130" i="14"/>
  <c r="I130" i="14"/>
  <c r="J130" i="14"/>
  <c r="K130" i="14"/>
  <c r="L130" i="14"/>
  <c r="I133" i="14"/>
  <c r="J133" i="14"/>
  <c r="K133" i="14"/>
  <c r="L133" i="14"/>
  <c r="H134" i="14"/>
  <c r="I134" i="14"/>
  <c r="J134" i="14"/>
  <c r="K134" i="14"/>
  <c r="L134" i="14"/>
  <c r="H136" i="14"/>
  <c r="I136" i="14"/>
  <c r="J136" i="14"/>
  <c r="K136" i="14"/>
  <c r="L136" i="14"/>
  <c r="H137" i="14"/>
  <c r="I137" i="14"/>
  <c r="J137" i="14"/>
  <c r="K137" i="14"/>
  <c r="L137" i="14"/>
  <c r="H143" i="14"/>
  <c r="I143" i="14"/>
  <c r="J143" i="14"/>
  <c r="K143" i="14"/>
  <c r="L143" i="14"/>
  <c r="H147" i="14"/>
  <c r="I147" i="14"/>
  <c r="J147" i="14"/>
  <c r="K147" i="14"/>
  <c r="L147" i="14"/>
  <c r="H148" i="14"/>
  <c r="I148" i="14"/>
  <c r="J148" i="14"/>
  <c r="K148" i="14"/>
  <c r="L148" i="14"/>
  <c r="H157" i="14"/>
  <c r="I157" i="14"/>
  <c r="J157" i="14"/>
  <c r="K157" i="14"/>
  <c r="L157" i="14"/>
  <c r="H163" i="14"/>
  <c r="I163" i="14"/>
  <c r="J163" i="14"/>
  <c r="K163" i="14"/>
  <c r="L163" i="14"/>
  <c r="I164" i="14"/>
  <c r="J164" i="14"/>
  <c r="K164" i="14"/>
  <c r="L164" i="14"/>
  <c r="H165" i="14"/>
  <c r="I165" i="14"/>
  <c r="J165" i="14"/>
  <c r="K165" i="14"/>
  <c r="L165" i="14"/>
  <c r="I167" i="14"/>
  <c r="J167" i="14"/>
  <c r="K167" i="14"/>
  <c r="L167" i="14"/>
  <c r="H168" i="14"/>
  <c r="I168" i="14"/>
  <c r="J168" i="14"/>
  <c r="K168" i="14"/>
  <c r="L168" i="14"/>
  <c r="I172" i="14"/>
  <c r="J172" i="14"/>
  <c r="K172" i="14"/>
  <c r="L172" i="14"/>
  <c r="I173" i="14"/>
  <c r="J173" i="14"/>
  <c r="K173" i="14"/>
  <c r="L173" i="14"/>
  <c r="J175" i="14"/>
  <c r="K175" i="14"/>
  <c r="L175" i="14"/>
  <c r="I176" i="14"/>
  <c r="J176" i="14"/>
  <c r="K176" i="14"/>
  <c r="L176" i="14"/>
  <c r="I177" i="14"/>
  <c r="J177" i="14"/>
  <c r="K177" i="14"/>
  <c r="L177" i="14"/>
  <c r="I178" i="14"/>
  <c r="J178" i="14"/>
  <c r="K178" i="14"/>
  <c r="L17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7A2FC6D1-536F-436C-91AF-4AA7C24B849D}">
      <text>
        <r>
          <rPr>
            <sz val="9"/>
            <color indexed="81"/>
            <rFont val="Tahoma"/>
            <family val="2"/>
          </rPr>
          <t>Front cover of Apple 2019 10K
As of October 18, 2019</t>
        </r>
      </text>
    </comment>
    <comment ref="C48" authorId="0" shapeId="0" xr:uid="{6439A3EF-3E3E-42F8-8BFB-2C48CCCD7462}">
      <text>
        <r>
          <rPr>
            <sz val="9"/>
            <color indexed="81"/>
            <rFont val="Tahoma"/>
            <family val="2"/>
          </rPr>
          <t>Includes vendor non-trade receivables</t>
        </r>
      </text>
    </comment>
    <comment ref="C50" authorId="0" shapeId="0" xr:uid="{CA581457-FE45-4C85-B2B1-4F81AFEE32C2}">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N102" authorId="0" shapeId="0" xr:uid="{85D4F24A-BDAF-4DAF-B2B8-1A67A4CEA941}">
      <text>
        <r>
          <rPr>
            <sz val="9"/>
            <color indexed="81"/>
            <rFont val="Tahoma"/>
            <family val="2"/>
          </rPr>
          <t>WSP estimate</t>
        </r>
      </text>
    </comment>
    <comment ref="C118" authorId="0" shapeId="0" xr:uid="{7085AA9A-84A7-492A-B8CA-274A5CE6CD98}">
      <text>
        <r>
          <rPr>
            <sz val="9"/>
            <color indexed="81"/>
            <rFont val="Tahoma"/>
            <family val="2"/>
          </rPr>
          <t>Statement of shareholders equity schedule, p.41 Apple 2018 10K</t>
        </r>
      </text>
    </comment>
    <comment ref="C119" authorId="0" shapeId="0" xr:uid="{BBB1E183-5B22-4E4E-B78A-A975E679C8A1}">
      <text>
        <r>
          <rPr>
            <sz val="9"/>
            <color indexed="81"/>
            <rFont val="Tahoma"/>
            <family val="2"/>
          </rPr>
          <t>Statement of shareholders equity schedule, p.41 Apple 2018 10K</t>
        </r>
      </text>
    </comment>
    <comment ref="D146" authorId="0" shapeId="0" xr:uid="{110605DF-1DAD-4A6E-AB14-01845C7B5AC1}">
      <text>
        <r>
          <rPr>
            <sz val="9"/>
            <color indexed="81"/>
            <rFont val="Tahoma"/>
            <family val="2"/>
          </rPr>
          <t>2018 p.27 in the 'Other Income/(Expense), Net' section.</t>
        </r>
      </text>
    </comment>
    <comment ref="E146" authorId="0" shapeId="0" xr:uid="{AF574A06-4322-4208-A98F-41F2F29405E3}">
      <text>
        <r>
          <rPr>
            <sz val="9"/>
            <color indexed="81"/>
            <rFont val="Tahoma"/>
            <family val="2"/>
          </rPr>
          <t>2018 p.27 in the 'Other Income/(Expense), Net' section.</t>
        </r>
      </text>
    </comment>
    <comment ref="F146" authorId="0" shapeId="0" xr:uid="{BC668EE1-261D-4F6A-A05F-BD4073B2ED36}">
      <text>
        <r>
          <rPr>
            <b/>
            <sz val="9"/>
            <color indexed="81"/>
            <rFont val="Tahoma"/>
            <family val="2"/>
          </rPr>
          <t>Matan Feldman:</t>
        </r>
        <r>
          <rPr>
            <sz val="9"/>
            <color indexed="81"/>
            <rFont val="Tahoma"/>
            <family val="2"/>
          </rPr>
          <t xml:space="preserve">
2019 10k p.22</t>
        </r>
      </text>
    </comment>
    <comment ref="G146" authorId="0" shapeId="0" xr:uid="{68B86536-0C60-435E-99F6-503233BBFE42}">
      <text>
        <r>
          <rPr>
            <b/>
            <sz val="9"/>
            <color indexed="81"/>
            <rFont val="Tahoma"/>
            <family val="2"/>
          </rPr>
          <t>Matan Feldman:</t>
        </r>
        <r>
          <rPr>
            <sz val="9"/>
            <color indexed="81"/>
            <rFont val="Tahoma"/>
            <family val="2"/>
          </rPr>
          <t xml:space="preserve">
2019 10k p.22</t>
        </r>
      </text>
    </comment>
    <comment ref="C152" authorId="0" shapeId="0" xr:uid="{7F223A28-3329-4436-AFC1-8E4FCC766138}">
      <text>
        <r>
          <rPr>
            <sz val="9"/>
            <color indexed="81"/>
            <rFont val="Tahoma"/>
            <family val="2"/>
          </rPr>
          <t xml:space="preserve">We estimate the historical interest rate (though not explicitly disclosed by Apple). </t>
        </r>
      </text>
    </comment>
    <comment ref="C153" authorId="0" shapeId="0" xr:uid="{5E192335-BB77-4B46-B48D-320E298F587D}">
      <text>
        <r>
          <rPr>
            <sz val="9"/>
            <color indexed="81"/>
            <rFont val="Tahoma"/>
            <family val="2"/>
          </rPr>
          <t>Although Apple doesn't disclose interest expense specifically, it does disclose the interest rate on commercial paper which enables us to back into interest expense for LTD</t>
        </r>
      </text>
    </comment>
    <comment ref="D156" authorId="0" shapeId="0" xr:uid="{45987C27-27C8-4DBC-8746-8B0C59520E8D}">
      <text>
        <r>
          <rPr>
            <sz val="9"/>
            <color indexed="81"/>
            <rFont val="Tahoma"/>
            <family val="2"/>
          </rPr>
          <t>2018 p.27 in the 'Other Income/(Expense), Net' section.</t>
        </r>
      </text>
    </comment>
    <comment ref="E156" authorId="0" shapeId="0" xr:uid="{3A5F659A-54E2-4911-8170-88B98DAEFFEA}">
      <text>
        <r>
          <rPr>
            <sz val="9"/>
            <color indexed="81"/>
            <rFont val="Tahoma"/>
            <family val="2"/>
          </rPr>
          <t>2018 p.27 in the 'Other Income/(Expense), Net' section.</t>
        </r>
      </text>
    </comment>
    <comment ref="F156" authorId="0" shapeId="0" xr:uid="{E8924D5A-5C99-4123-8271-D32EC6E770A5}">
      <text>
        <r>
          <rPr>
            <sz val="9"/>
            <color indexed="81"/>
            <rFont val="Tahoma"/>
            <family val="2"/>
          </rPr>
          <t>2018 p.27 in the 'Other Income/(Expense), Net' section.</t>
        </r>
      </text>
    </comment>
    <comment ref="G156" authorId="0" shapeId="0" xr:uid="{40B76328-F218-4C3C-9BE2-1150DBE30A65}">
      <text>
        <r>
          <rPr>
            <sz val="9"/>
            <color indexed="81"/>
            <rFont val="Tahoma"/>
            <family val="2"/>
          </rPr>
          <t>2018 p.27 in the 'Other Income/(Expense), Net' section.</t>
        </r>
      </text>
    </comment>
    <comment ref="C167" authorId="0" shapeId="0" xr:uid="{9D4ADC58-48E6-4E77-A52F-7A873A12BC98}">
      <text>
        <r>
          <rPr>
            <sz val="9"/>
            <color indexed="81"/>
            <rFont val="Tahoma"/>
            <family val="2"/>
          </rPr>
          <t>We straight line last actual year's dilutive securities (calculated as diluted - basic shares) and add this number to the basic share count to arrive at diluted shares</t>
        </r>
      </text>
    </comment>
    <comment ref="C171" authorId="0" shapeId="0" xr:uid="{DF0AE5E3-E269-4C6C-9C1F-3C667815E761}">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2" authorId="0" shapeId="0" xr:uid="{CF9C898A-EFFB-4B14-979B-94AF17CC4029}">
      <text>
        <r>
          <rPr>
            <sz val="9"/>
            <color indexed="81"/>
            <rFont val="Tahoma"/>
            <family val="2"/>
          </rPr>
          <t xml:space="preserve">Use latest share count or last 12 month average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D7" authorId="0" shapeId="0" xr:uid="{CCFAC4AF-C471-4ECA-8F78-B7CC16862175}">
      <text>
        <r>
          <rPr>
            <b/>
            <sz val="9"/>
            <color indexed="81"/>
            <rFont val="Tahoma"/>
            <family val="2"/>
          </rPr>
          <t>Matan Feldman:</t>
        </r>
        <r>
          <rPr>
            <sz val="9"/>
            <color indexed="81"/>
            <rFont val="Tahoma"/>
            <family val="2"/>
          </rPr>
          <t xml:space="preserve">
In practice can use the NOW() function to keep current date active</t>
        </r>
      </text>
    </comment>
    <comment ref="H7" authorId="0" shapeId="0" xr:uid="{EC1B885B-7DD0-4515-9252-EACD042D0F99}">
      <text>
        <r>
          <rPr>
            <b/>
            <sz val="9"/>
            <color indexed="81"/>
            <rFont val="Tahoma"/>
            <family val="2"/>
          </rPr>
          <t>Matan Feldman:</t>
        </r>
        <r>
          <rPr>
            <sz val="9"/>
            <color indexed="81"/>
            <rFont val="Tahoma"/>
            <family val="2"/>
          </rPr>
          <t xml:space="preserve">
Midyear convention? (1=Yes,0=No)</t>
        </r>
      </text>
    </comment>
    <comment ref="B23" authorId="0" shapeId="0" xr:uid="{23CFCC53-FC78-4992-830A-99469A75382A}">
      <text>
        <r>
          <rPr>
            <b/>
            <sz val="9"/>
            <color indexed="81"/>
            <rFont val="Tahoma"/>
            <family val="2"/>
          </rPr>
          <t>Matan Feldman:</t>
        </r>
        <r>
          <rPr>
            <sz val="9"/>
            <color indexed="81"/>
            <rFont val="Tahoma"/>
            <family val="2"/>
          </rPr>
          <t xml:space="preserve">
NOPAT stands for net operating profit after taxes.  It represents a company's operating profits less tax expense on operations.  This means that the tax deductions due to interest expense are ignored in this buildup and are instead captured in the discount rate.</t>
        </r>
      </text>
    </comment>
    <comment ref="E38" authorId="0" shapeId="0" xr:uid="{C8FFD3DE-1737-4E21-A53D-9D63292850DC}">
      <text>
        <r>
          <rPr>
            <b/>
            <sz val="9"/>
            <color indexed="81"/>
            <rFont val="Tahoma"/>
            <family val="2"/>
          </rPr>
          <t>Matan Feldman:</t>
        </r>
        <r>
          <rPr>
            <sz val="9"/>
            <color indexed="81"/>
            <rFont val="Tahoma"/>
            <family val="2"/>
          </rPr>
          <t xml:space="preserve">
Stub year adjusted</t>
        </r>
      </text>
    </comment>
    <comment ref="I51" authorId="1" shapeId="0" xr:uid="{DA267C1E-5C09-4A7F-BEF3-AAE1C981031E}">
      <text>
        <r>
          <rPr>
            <b/>
            <sz val="9"/>
            <color indexed="81"/>
            <rFont val="Tahoma"/>
            <family val="2"/>
          </rPr>
          <t>Wall Street Prep:</t>
        </r>
        <r>
          <rPr>
            <sz val="9"/>
            <color indexed="81"/>
            <rFont val="Tahoma"/>
            <family val="2"/>
          </rPr>
          <t xml:space="preserve">
Implied g = [r -FCF(t)/TV]/(1+FCF(t)/TV)</t>
        </r>
      </text>
    </comment>
    <comment ref="I57" authorId="0" shapeId="0" xr:uid="{594A4D2E-AF95-49CA-8F35-852D78A79BD9}">
      <text>
        <r>
          <rPr>
            <b/>
            <sz val="9"/>
            <color indexed="81"/>
            <rFont val="Tahoma"/>
            <family val="2"/>
          </rPr>
          <t>Matan Feldman:</t>
        </r>
        <r>
          <rPr>
            <sz val="9"/>
            <color indexed="81"/>
            <rFont val="Tahoma"/>
            <family val="2"/>
          </rPr>
          <t xml:space="preserve">
Source: Q1 2020 10Q p.19 </t>
        </r>
      </text>
    </comment>
    <comment ref="B62" authorId="0" shapeId="0" xr:uid="{C17DAE9B-4274-49A4-B943-DEF68F2CA1A3}">
      <text>
        <r>
          <rPr>
            <b/>
            <sz val="9"/>
            <color indexed="81"/>
            <rFont val="Tahoma"/>
            <family val="2"/>
          </rPr>
          <t>Matan Feldman:</t>
        </r>
        <r>
          <rPr>
            <sz val="9"/>
            <color indexed="81"/>
            <rFont val="Tahoma"/>
            <family val="2"/>
          </rPr>
          <t xml:space="preserve">
Include cash &amp; equivalents, short term and long term marketable securites and investments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C18" authorId="0" shapeId="0" xr:uid="{5E52FBF8-39B7-4852-8761-17F73CEDE1D0}">
      <text>
        <r>
          <rPr>
            <b/>
            <sz val="9"/>
            <color indexed="81"/>
            <rFont val="Tahoma"/>
            <family val="2"/>
          </rPr>
          <t>Matan Feldman:</t>
        </r>
        <r>
          <rPr>
            <sz val="9"/>
            <color indexed="81"/>
            <rFont val="Tahoma"/>
            <family val="2"/>
          </rPr>
          <t xml:space="preserve">
Equity was $1,223,044.7 in the video because we ignored the illusrative converts and options (in case you're wondering why your numbers aren't footing with the video)</t>
        </r>
      </text>
    </comment>
    <comment ref="C40" authorId="1" shapeId="0" xr:uid="{6E7AEA12-DE6C-4D5B-9B6F-D45D020CBBDB}">
      <text>
        <r>
          <rPr>
            <b/>
            <sz val="9"/>
            <color indexed="81"/>
            <rFont val="Tahoma"/>
            <family val="2"/>
          </rPr>
          <t>Wall Street Prep:</t>
        </r>
        <r>
          <rPr>
            <sz val="9"/>
            <color indexed="81"/>
            <rFont val="Tahoma"/>
            <family val="2"/>
          </rPr>
          <t xml:space="preserve">
CIQ</t>
        </r>
      </text>
    </comment>
    <comment ref="H40" authorId="1" shapeId="0" xr:uid="{67F2F7F4-8B46-4F4E-B6EE-F13A05DF3E25}">
      <text>
        <r>
          <rPr>
            <b/>
            <sz val="9"/>
            <color indexed="81"/>
            <rFont val="Tahoma"/>
            <family val="2"/>
          </rPr>
          <t>Wall Street Prep:</t>
        </r>
        <r>
          <rPr>
            <sz val="9"/>
            <color indexed="81"/>
            <rFont val="Tahoma"/>
            <family val="2"/>
          </rPr>
          <t xml:space="preserve">
Last 9 month per latest 10Q footnotes</t>
        </r>
      </text>
    </comment>
    <comment ref="C41" authorId="1" shapeId="0" xr:uid="{F3155EB1-B2BA-4E3D-81FF-748A4F6D1B36}">
      <text>
        <r>
          <rPr>
            <b/>
            <sz val="9"/>
            <color indexed="81"/>
            <rFont val="Tahoma"/>
            <family val="2"/>
          </rPr>
          <t>Wall Street Prep:</t>
        </r>
        <r>
          <rPr>
            <sz val="9"/>
            <color indexed="81"/>
            <rFont val="Tahoma"/>
            <family val="2"/>
          </rPr>
          <t xml:space="preserve">
CIQ</t>
        </r>
      </text>
    </comment>
    <comment ref="H41" authorId="1" shapeId="0" xr:uid="{4F7AC0B2-75BF-43E7-8498-2F3EF7D41B87}">
      <text>
        <r>
          <rPr>
            <b/>
            <sz val="9"/>
            <color indexed="81"/>
            <rFont val="Tahoma"/>
            <family val="2"/>
          </rPr>
          <t>Wall Street Prep:</t>
        </r>
        <r>
          <rPr>
            <sz val="9"/>
            <color indexed="81"/>
            <rFont val="Tahoma"/>
            <family val="2"/>
          </rPr>
          <t xml:space="preserve">
Non-GAAP tax rate from latest 10Q</t>
        </r>
      </text>
    </comment>
    <comment ref="C42" authorId="1" shapeId="0" xr:uid="{3A4C3D89-ACC9-456D-9D11-766055CA0097}">
      <text>
        <r>
          <rPr>
            <b/>
            <sz val="9"/>
            <color indexed="81"/>
            <rFont val="Tahoma"/>
            <family val="2"/>
          </rPr>
          <t>Wall Street Prep:</t>
        </r>
        <r>
          <rPr>
            <sz val="9"/>
            <color indexed="81"/>
            <rFont val="Tahoma"/>
            <family val="2"/>
          </rPr>
          <t xml:space="preserve">
CIQ</t>
        </r>
      </text>
    </comment>
    <comment ref="H42" authorId="1" shapeId="0" xr:uid="{109CC5B6-23EA-4B23-A92A-6FE187AE0D49}">
      <text>
        <r>
          <rPr>
            <b/>
            <sz val="9"/>
            <color indexed="81"/>
            <rFont val="Tahoma"/>
            <family val="2"/>
          </rPr>
          <t>Wall Street Prep:</t>
        </r>
        <r>
          <rPr>
            <sz val="9"/>
            <color indexed="81"/>
            <rFont val="Tahoma"/>
            <family val="2"/>
          </rPr>
          <t xml:space="preserve">
Annualized tax rate</t>
        </r>
      </text>
    </comment>
    <comment ref="C43" authorId="1" shapeId="0" xr:uid="{C61D74D3-1240-47FC-A300-42AC2AA86EA1}">
      <text>
        <r>
          <rPr>
            <b/>
            <sz val="9"/>
            <color indexed="81"/>
            <rFont val="Tahoma"/>
            <family val="2"/>
          </rPr>
          <t>Wall Street Prep:</t>
        </r>
        <r>
          <rPr>
            <sz val="9"/>
            <color indexed="81"/>
            <rFont val="Tahoma"/>
            <family val="2"/>
          </rPr>
          <t xml:space="preserve">
Bloomberg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B25" authorId="0" shapeId="0" xr:uid="{64AAAD89-7DBF-4890-BA92-2C4C476CA80B}">
      <text>
        <r>
          <rPr>
            <b/>
            <sz val="9"/>
            <color indexed="81"/>
            <rFont val="Tahoma"/>
            <family val="2"/>
          </rPr>
          <t>Matan Feldman:</t>
        </r>
        <r>
          <rPr>
            <sz val="9"/>
            <color indexed="81"/>
            <rFont val="Tahoma"/>
            <family val="2"/>
          </rPr>
          <t xml:space="preserve">
Usually found in footnotes.  Otherwise, use latest balance sheet value as proxy 
</t>
        </r>
      </text>
    </comment>
    <comment ref="B34" authorId="0" shapeId="0" xr:uid="{A3D61012-F0B0-4CB1-A487-1658148C7EB1}">
      <text>
        <r>
          <rPr>
            <b/>
            <sz val="9"/>
            <color indexed="81"/>
            <rFont val="Tahoma"/>
            <family val="2"/>
          </rPr>
          <t>Matan Feldman:</t>
        </r>
        <r>
          <rPr>
            <sz val="9"/>
            <color indexed="81"/>
            <rFont val="Tahoma"/>
            <family val="2"/>
          </rPr>
          <t xml:space="preserve">
Usually found in footnotes.  Otherwise, use balance sheet value.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<sst xmlns="http://schemas.openxmlformats.org/spreadsheetml/2006/main" count="711" uniqueCount="532">
  <si>
    <t>FYE</t>
  </si>
  <si>
    <t>Quarterly</t>
  </si>
  <si>
    <t>1Q24</t>
  </si>
  <si>
    <t>2Q24</t>
  </si>
  <si>
    <t>3Q24</t>
  </si>
  <si>
    <t>4Q24</t>
  </si>
  <si>
    <t>1Q23</t>
  </si>
  <si>
    <t>2Q23</t>
  </si>
  <si>
    <t>3Q23</t>
  </si>
  <si>
    <t>4Q23</t>
  </si>
  <si>
    <t>LTM</t>
  </si>
  <si>
    <t>EBITDA</t>
  </si>
  <si>
    <t>Adjusted EBITDA</t>
  </si>
  <si>
    <t>Total Revenue</t>
  </si>
  <si>
    <t>Cost of Sales</t>
  </si>
  <si>
    <t>Accounts receivable</t>
  </si>
  <si>
    <t>Inventories</t>
  </si>
  <si>
    <t>Accounts payable</t>
  </si>
  <si>
    <t>Net income</t>
  </si>
  <si>
    <t>Changes in assets and liabilities:</t>
  </si>
  <si>
    <t>Cash-Flows Statement</t>
  </si>
  <si>
    <t>Other current assets</t>
  </si>
  <si>
    <t>Debt</t>
  </si>
  <si>
    <t>Total stockholders' equity</t>
  </si>
  <si>
    <t xml:space="preserve">Balance Sheet Statement </t>
  </si>
  <si>
    <t xml:space="preserve">Income Statement </t>
  </si>
  <si>
    <t>Total Liabilities</t>
  </si>
  <si>
    <t>X</t>
  </si>
  <si>
    <t>Total Current Liabilities</t>
  </si>
  <si>
    <t>Common stock</t>
  </si>
  <si>
    <t xml:space="preserve">Beta </t>
  </si>
  <si>
    <t>Total Current Assets</t>
  </si>
  <si>
    <t>Total Assets</t>
  </si>
  <si>
    <t>Gross Profit</t>
  </si>
  <si>
    <t>Revenue</t>
  </si>
  <si>
    <t>EBIT</t>
  </si>
  <si>
    <t>Beta</t>
  </si>
  <si>
    <t>Total Debt</t>
  </si>
  <si>
    <t>Perpetuity</t>
  </si>
  <si>
    <t>Net Debt</t>
  </si>
  <si>
    <t>Variance</t>
  </si>
  <si>
    <t>FCF Analysis</t>
  </si>
  <si>
    <t>1Q22</t>
  </si>
  <si>
    <t>2Q22</t>
  </si>
  <si>
    <t>3Q22</t>
  </si>
  <si>
    <t>4Q22</t>
  </si>
  <si>
    <t>1Q25</t>
  </si>
  <si>
    <t>2Q25</t>
  </si>
  <si>
    <t>($ In Thousands)</t>
  </si>
  <si>
    <t>Y/Y Growth (%)</t>
  </si>
  <si>
    <t>Q/Q Growth (%)</t>
  </si>
  <si>
    <t>N/A</t>
  </si>
  <si>
    <t>(-) Cost of Sales</t>
  </si>
  <si>
    <t>Gross Margin (%)</t>
  </si>
  <si>
    <t>Earning before Interest &amp; Taxes (EBIT)</t>
  </si>
  <si>
    <t>Operating Margin (%)</t>
  </si>
  <si>
    <t>(+) Depreciation and Amortization</t>
  </si>
  <si>
    <t>EBITDA Margin (%)</t>
  </si>
  <si>
    <t xml:space="preserve">(+) Share-based Compensation </t>
  </si>
  <si>
    <t>Adj. EBITDA</t>
  </si>
  <si>
    <t>Adj. EBITDA Margin (%)</t>
  </si>
  <si>
    <t>(-) Capital Expenditures</t>
  </si>
  <si>
    <t>(-) Cash Taxes</t>
  </si>
  <si>
    <t>(+/-) Changes in NWC</t>
  </si>
  <si>
    <t>Discretionary Cash-Flows</t>
  </si>
  <si>
    <t>Free-Cash Flows</t>
  </si>
  <si>
    <t>Capitalization</t>
  </si>
  <si>
    <t>Cash &amp; Cash Equivelants</t>
  </si>
  <si>
    <t>Total Liquidity</t>
  </si>
  <si>
    <t>Balance Sheet Metrics:</t>
  </si>
  <si>
    <t>Accounts Receivable</t>
  </si>
  <si>
    <t>Accounts Payable</t>
  </si>
  <si>
    <t>Property Plant, and Equiptment</t>
  </si>
  <si>
    <t>Current Liabilities</t>
  </si>
  <si>
    <t>Summary Debt (BS):</t>
  </si>
  <si>
    <t>CPLTD</t>
  </si>
  <si>
    <t>LTD</t>
  </si>
  <si>
    <t>Total Shareholder Equity</t>
  </si>
  <si>
    <t>Total Book Capitalization</t>
  </si>
  <si>
    <t>Total Leverage</t>
  </si>
  <si>
    <t>Net Leverage (C&amp;CE)</t>
  </si>
  <si>
    <t xml:space="preserve">Interest Coverage </t>
  </si>
  <si>
    <t>Debt Service Coverage</t>
  </si>
  <si>
    <t>Fixed Charge Coverage</t>
  </si>
  <si>
    <t>Debt-to-Book Capitalization</t>
  </si>
  <si>
    <t>Profit From Operations</t>
  </si>
  <si>
    <t>Net loss before provision for income taxes</t>
  </si>
  <si>
    <t>Net loss</t>
  </si>
  <si>
    <t>Total liabilities and stockholders' equity</t>
  </si>
  <si>
    <t>Cash-Flows From Operating Activities</t>
  </si>
  <si>
    <t>Net income (loss)</t>
  </si>
  <si>
    <t>Depreciation and amortization</t>
  </si>
  <si>
    <t>Net cash used in operating activities</t>
  </si>
  <si>
    <t>Cash flows from investing activities:</t>
  </si>
  <si>
    <t>Net cash used in investing activities</t>
  </si>
  <si>
    <t>Cash flows from financing activities:</t>
  </si>
  <si>
    <t>Net cash provided by financing activities</t>
  </si>
  <si>
    <t>Base Financials</t>
  </si>
  <si>
    <t>Consolidated Revenue</t>
  </si>
  <si>
    <t>Common Stock</t>
  </si>
  <si>
    <t>Adjustments to reconcile net income:</t>
  </si>
  <si>
    <t>Other</t>
  </si>
  <si>
    <t>Balance Check</t>
  </si>
  <si>
    <t>Net Change in Cash</t>
  </si>
  <si>
    <t>Inventory</t>
  </si>
  <si>
    <t>Cash paid during the period for:</t>
  </si>
  <si>
    <t xml:space="preserve">Provision for taxes </t>
  </si>
  <si>
    <t>Cash BOP</t>
  </si>
  <si>
    <t xml:space="preserve">1) Includes $50MM cash recorded within other current assets on the Consolidated Condensed Balance Sheets relating to Altera cash held for sale. </t>
  </si>
  <si>
    <t>3Q25</t>
  </si>
  <si>
    <t>($ In Millions)</t>
  </si>
  <si>
    <t>Net Margin (%)</t>
  </si>
  <si>
    <t>Basic shares</t>
  </si>
  <si>
    <t>Basic EPS</t>
  </si>
  <si>
    <t>Fully Diluted Shares</t>
  </si>
  <si>
    <t>Diluted EPS</t>
  </si>
  <si>
    <t>Segment Anaysis</t>
  </si>
  <si>
    <t>Total Net Revenue</t>
  </si>
  <si>
    <t>Total Intel Products Revenue</t>
  </si>
  <si>
    <t>(-) Research and Development (R&amp;D)</t>
  </si>
  <si>
    <t xml:space="preserve">(+/-) Other </t>
  </si>
  <si>
    <t>(+/-) Issuance / (Repayment) of Debt</t>
  </si>
  <si>
    <t xml:space="preserve">(+/-) Dividends </t>
  </si>
  <si>
    <t>Credit Metrics</t>
  </si>
  <si>
    <t>$ in thousands except per share</t>
  </si>
  <si>
    <t>Company name</t>
  </si>
  <si>
    <t>Apple</t>
  </si>
  <si>
    <t>Select an operating scenario:</t>
  </si>
  <si>
    <t>Base case</t>
  </si>
  <si>
    <t>Ticker</t>
  </si>
  <si>
    <t>AAPL</t>
  </si>
  <si>
    <t>Circ break 1=off, 0=on</t>
  </si>
  <si>
    <t>Latest closing share price</t>
  </si>
  <si>
    <t>Latest closing share price date</t>
  </si>
  <si>
    <t>Latest fiscal year end date</t>
  </si>
  <si>
    <t>Shares outstanding (millions)</t>
  </si>
  <si>
    <t>INCOME STATEMENT</t>
  </si>
  <si>
    <t xml:space="preserve">Fiscal year  </t>
  </si>
  <si>
    <t>Fiscal year end date</t>
  </si>
  <si>
    <t>WSP Comments</t>
  </si>
  <si>
    <t>Previous year's revenues x (1+revenue growth rate)</t>
  </si>
  <si>
    <t>Cost of sales (enter as -)</t>
  </si>
  <si>
    <t>Plug = Revenue - Gross Profit</t>
  </si>
  <si>
    <t>Revenue x Gross Profit Margin forecast</t>
  </si>
  <si>
    <t>Research &amp; development (enter as -)</t>
  </si>
  <si>
    <t>Revenue x R&amp;D % of sales forecast</t>
  </si>
  <si>
    <t>Selling, general &amp; administrative (enter as -)</t>
  </si>
  <si>
    <t>Revenue x SG&amp;A % of sales forecast</t>
  </si>
  <si>
    <t>Operating profit (EBIT)</t>
  </si>
  <si>
    <t>Gross Profit - R&amp;D - SG&amp;A</t>
  </si>
  <si>
    <t>Interest income</t>
  </si>
  <si>
    <t>Interest expense (enter as -)</t>
  </si>
  <si>
    <t>Reference from interest expense schedule</t>
  </si>
  <si>
    <t>Other expense, net (enter as -)</t>
  </si>
  <si>
    <t>Straight-line</t>
  </si>
  <si>
    <t>Pretax profit</t>
  </si>
  <si>
    <t>EBIT + interest income less interest expense less other expense</t>
  </si>
  <si>
    <t>Taxes (enter expense as -)</t>
  </si>
  <si>
    <t>Pre-tax Profit x Tax Rate forecast</t>
  </si>
  <si>
    <t>Pre-tax Profit less taxes</t>
  </si>
  <si>
    <t>Depreciation &amp; amortization</t>
  </si>
  <si>
    <t>Reference from D&amp;A schedule</t>
  </si>
  <si>
    <t>EBIT + D&amp;A</t>
  </si>
  <si>
    <t>Stock based compensation</t>
  </si>
  <si>
    <t>WSP assumption: grow SBC in-line with revenue growth</t>
  </si>
  <si>
    <t>EBITDA + Stock-based compensation</t>
  </si>
  <si>
    <t>Growth rates &amp; margins</t>
  </si>
  <si>
    <t>Revenue growth</t>
  </si>
  <si>
    <t>Consensus estimates through 2021; straight-line growth rate thereafter</t>
  </si>
  <si>
    <t>Gross profit margin</t>
  </si>
  <si>
    <t>Straight line last historical year</t>
  </si>
  <si>
    <t>R&amp;D % of sales</t>
  </si>
  <si>
    <t>SG&amp;A % of sales</t>
  </si>
  <si>
    <t>Tax rate</t>
  </si>
  <si>
    <t>BALANCE SHEET</t>
  </si>
  <si>
    <t>Cash &amp; equivalents, ST and LT marketable securities</t>
  </si>
  <si>
    <t>Reference from 'net change in cash' line on the cash flow statement</t>
  </si>
  <si>
    <t>Grow in-line with revenue growth</t>
  </si>
  <si>
    <t>Grow in-line with cost of sales growth</t>
  </si>
  <si>
    <t>Property, plant &amp; equipment</t>
  </si>
  <si>
    <t>Reference from PP&amp;E schedule</t>
  </si>
  <si>
    <t>Other non current assets</t>
  </si>
  <si>
    <t>Total assets</t>
  </si>
  <si>
    <t>Other current liabilities</t>
  </si>
  <si>
    <t>Deferred revenue (current)</t>
  </si>
  <si>
    <t>Commercial paper / revolver</t>
  </si>
  <si>
    <t>Reference EOP balance from CP/revolver schedule</t>
  </si>
  <si>
    <t>Long term debt (includes current portion)</t>
  </si>
  <si>
    <t>WSP assumption: straight-line</t>
  </si>
  <si>
    <t>Other non current liabilities</t>
  </si>
  <si>
    <t>Total liabilities</t>
  </si>
  <si>
    <t>Increase by stock-based compensation forecasted in the I/S section</t>
  </si>
  <si>
    <t xml:space="preserve">Retained earnings </t>
  </si>
  <si>
    <t>Reference from Retained Earnings schedule</t>
  </si>
  <si>
    <t>Other comprehensive income</t>
  </si>
  <si>
    <t>Total equity</t>
  </si>
  <si>
    <t>Balance check</t>
  </si>
  <si>
    <t>CASH FLOW STATEMENT</t>
  </si>
  <si>
    <t>Reference from the I/S</t>
  </si>
  <si>
    <t>Decreases / (Increases) in working capital assets</t>
  </si>
  <si>
    <t>Increases / (Decreases) in working capital liabilities</t>
  </si>
  <si>
    <t>Reference from schedule NOT the B/S: Only include 'Additions' (as outflow)</t>
  </si>
  <si>
    <t>Cash from operating activities</t>
  </si>
  <si>
    <t>Capital expenditures</t>
  </si>
  <si>
    <t>Cash from investing activities</t>
  </si>
  <si>
    <t>Long term debt</t>
  </si>
  <si>
    <t>Commercial paper/ Revolver</t>
  </si>
  <si>
    <t>Reference from B/S</t>
  </si>
  <si>
    <t>Share repurchases</t>
  </si>
  <si>
    <t>Common dividends</t>
  </si>
  <si>
    <t>Cash from financing activities</t>
  </si>
  <si>
    <t>Net change in cash during period</t>
  </si>
  <si>
    <t>PROPERTY, PLANT &amp; EQUIPMENT</t>
  </si>
  <si>
    <t>Forecast</t>
  </si>
  <si>
    <t>Beginning of period</t>
  </si>
  <si>
    <t xml:space="preserve">BOP = Previous year EOP </t>
  </si>
  <si>
    <t>Plus: Capital expenditures</t>
  </si>
  <si>
    <t>First two years - consensus estimates, then grow with revenue</t>
  </si>
  <si>
    <t>Less: Depreciation</t>
  </si>
  <si>
    <t>Capex x 'D&amp;A related to PP&amp;E as a % of capex' ratio (below)</t>
  </si>
  <si>
    <t>End of period</t>
  </si>
  <si>
    <t>BOP + Capex - Depreciation</t>
  </si>
  <si>
    <t>Step</t>
  </si>
  <si>
    <t>D&amp;A related to PP&amp;E as a % of capex</t>
  </si>
  <si>
    <t>IMPUTING TOTAL DEPRECIATION &amp; AMORTIZATION</t>
  </si>
  <si>
    <t>Revenue x 'as % of revenue' assumption</t>
  </si>
  <si>
    <t>as % of revenue</t>
  </si>
  <si>
    <t>Straight line last historical % of revenue - WSP assumption</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</si>
  <si>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</si>
  <si>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</si>
  <si>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</si>
  <si>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</si>
  <si>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</si>
  <si>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</si>
  <si>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Because we already know the EOP balance, this is a plug: EOP - D&amp;A not from PP&amp;E - BOP</t>
  </si>
  <si>
    <t>Referenced from balance sheet</t>
  </si>
  <si>
    <t>RETAINED EARNINGS</t>
  </si>
  <si>
    <t>Plus: Net income</t>
  </si>
  <si>
    <t>Reference from income statement</t>
  </si>
  <si>
    <t>Less: Dividends</t>
  </si>
  <si>
    <t>WSP assumption: Hold last historical year's dividend payout ratio constant</t>
  </si>
  <si>
    <t>Less: Repurchases</t>
  </si>
  <si>
    <t>WSP assumption: Straight-line last historical year repurchases</t>
  </si>
  <si>
    <t>BOP + net income - dividends - repurchases</t>
  </si>
  <si>
    <t>REVOLVER (MODEL PLUG)</t>
  </si>
  <si>
    <t>Revolver needs analysis</t>
  </si>
  <si>
    <t>Cash at beginning of period (BOP)</t>
  </si>
  <si>
    <t>Reference prior period EOP from B/S</t>
  </si>
  <si>
    <t>Less: Minimum cash balance</t>
  </si>
  <si>
    <t>WSP assumption</t>
  </si>
  <si>
    <t>Plus: Free cash flows generated during period</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</si>
  <si>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</si>
  <si>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</si>
  <si>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</si>
  <si>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</si>
  <si>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</si>
  <si>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</si>
  <si>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</si>
  <si>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</si>
  <si>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</si>
  <si>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</si>
  <si>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</si>
  <si>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WSP assumption: Straight-line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</si>
  <si>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</si>
  <si>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</si>
  <si>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</si>
  <si>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</si>
  <si>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</si>
  <si>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</si>
  <si>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</si>
  <si>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</si>
  <si>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</si>
  <si>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EARNINGS PER SHARE</t>
  </si>
  <si>
    <t>Reference from I/S</t>
  </si>
  <si>
    <t xml:space="preserve">Basic shares </t>
  </si>
  <si>
    <t>Last period basic shares + ($ shares issued - $ shares repurchased)/Current period average share price OR reference average Basic shares from schedule below</t>
  </si>
  <si>
    <t>Net income / Basic shares</t>
  </si>
  <si>
    <t>Diluted Shares</t>
  </si>
  <si>
    <t>Basic shares + Dilutive securities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</si>
  <si>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</si>
  <si>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</si>
  <si>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</si>
  <si>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</si>
  <si>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</si>
  <si>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</si>
  <si>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</si>
  <si>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</si>
  <si>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WSP assumption OR grow with net income growth rate (calculated below)</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</si>
  <si>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</si>
  <si>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</si>
  <si>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</si>
  <si>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</si>
  <si>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</si>
  <si>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</si>
  <si>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</si>
  <si>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</si>
  <si>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</si>
  <si>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</si>
  <si>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SCENARIO ANALYSIS</t>
  </si>
  <si>
    <t>Active case:</t>
  </si>
  <si>
    <t xml:space="preserve">Variance from </t>
  </si>
  <si>
    <t>base case</t>
  </si>
  <si>
    <t>Best case</t>
  </si>
  <si>
    <t>NM</t>
  </si>
  <si>
    <t>Weak case</t>
  </si>
  <si>
    <r>
      <t xml:space="preserve">D&amp;A </t>
    </r>
    <r>
      <rPr>
        <u/>
        <sz val="9"/>
        <color theme="1"/>
        <rFont val="Calibri"/>
        <family val="2"/>
      </rPr>
      <t>not</t>
    </r>
    <r>
      <rPr>
        <sz val="9"/>
        <color theme="1"/>
        <rFont val="Calibri"/>
        <family val="2"/>
      </rPr>
      <t xml:space="preserve"> related to PP&amp;E</t>
    </r>
  </si>
  <si>
    <r>
      <t xml:space="preserve">CFO + CFI + CFF </t>
    </r>
    <r>
      <rPr>
        <u/>
        <sz val="9"/>
        <color theme="1"/>
        <rFont val="Calibri"/>
        <family val="2"/>
      </rPr>
      <t>except revolver</t>
    </r>
  </si>
  <si>
    <t>High</t>
  </si>
  <si>
    <t>Apple Inc. (NASDAQ: AAPL)</t>
  </si>
  <si>
    <t>Cash/Equivalents</t>
  </si>
  <si>
    <t>Other Current Assets</t>
  </si>
  <si>
    <t>PP&amp;E</t>
  </si>
  <si>
    <t>Other Assets</t>
  </si>
  <si>
    <t>Deferred Revenue - Current</t>
  </si>
  <si>
    <t>Other Current Liabilities (accrued exp)</t>
  </si>
  <si>
    <t>Deferred Revenue - Non-Current</t>
  </si>
  <si>
    <t>Other Non-Current Liabilities</t>
  </si>
  <si>
    <t>Long-Term Debt</t>
  </si>
  <si>
    <t>Retained Earnings (Deficit)</t>
  </si>
  <si>
    <t xml:space="preserve">Accumulated Other comprehensive income </t>
  </si>
  <si>
    <t>Treasury Stock</t>
  </si>
  <si>
    <t>Depreciation and Amortization</t>
  </si>
  <si>
    <t>Stock Based Compensation</t>
  </si>
  <si>
    <t>Deferred Taxes</t>
  </si>
  <si>
    <t>Other - Loss on disposition of PPE</t>
  </si>
  <si>
    <t>Deferred Revenue</t>
  </si>
  <si>
    <t xml:space="preserve">Other Asset and Other Liabilities </t>
  </si>
  <si>
    <t>Capital Expenditures</t>
  </si>
  <si>
    <t>Proceeds of investments</t>
  </si>
  <si>
    <t>Purchase of Investments</t>
  </si>
  <si>
    <t>Acquisitions/intang assets</t>
  </si>
  <si>
    <t>Other/Strategic investments</t>
  </si>
  <si>
    <t>Proceeds from the issuance of term debt, net</t>
  </si>
  <si>
    <t>Repayments of term debt</t>
  </si>
  <si>
    <t>Issuance of Common</t>
  </si>
  <si>
    <t>Change in commercial paper, net</t>
  </si>
  <si>
    <t>Preferred Stock</t>
  </si>
  <si>
    <t>Dividends</t>
  </si>
  <si>
    <t xml:space="preserve">Research &amp; Development </t>
  </si>
  <si>
    <t>Selling, General &amp; Administrative</t>
  </si>
  <si>
    <t>Other income/(expense), net</t>
  </si>
  <si>
    <t>Cash paid for income taxes, net</t>
  </si>
  <si>
    <t>Cash paid for interest</t>
  </si>
  <si>
    <t>Adjusted Cash Position BOP</t>
  </si>
  <si>
    <t>Adjusted Cash Position EOP</t>
  </si>
  <si>
    <t xml:space="preserve">EOP Restricted Cash Adjustments </t>
  </si>
  <si>
    <t xml:space="preserve">BOP Restricted Cash Adjustments </t>
  </si>
  <si>
    <t>Revenue by End Product</t>
  </si>
  <si>
    <t xml:space="preserve">Revenue by Product Offerings: Wearables, Home, and Accessories </t>
  </si>
  <si>
    <t>Accessories</t>
  </si>
  <si>
    <t>Apple Watch</t>
  </si>
  <si>
    <t>iPhone Revenue</t>
  </si>
  <si>
    <t>Mac Revenue</t>
  </si>
  <si>
    <t>iPad Revenue</t>
  </si>
  <si>
    <t>Services Revenue</t>
  </si>
  <si>
    <t>Wearables, Home, and Accessories Revenue</t>
  </si>
  <si>
    <t>(-) Selling, General &amp; Administrative (SG&amp;A)</t>
  </si>
  <si>
    <t xml:space="preserve">(-) Cash Interest </t>
  </si>
  <si>
    <t>(+/-) Proceeds / (Purchases) of Investments</t>
  </si>
  <si>
    <t>(+/-) Proceeds / (Purchases) of Other/Strategic investments</t>
  </si>
  <si>
    <t>(+/-) Issuances / (Share Repurchases)</t>
  </si>
  <si>
    <t>(+/-) Change in commercial paper, net</t>
  </si>
  <si>
    <t>Commerical Paper</t>
  </si>
  <si>
    <t>Term Debt, Current Portion</t>
  </si>
  <si>
    <r>
      <t xml:space="preserve">Reference from interest on cash schedule; </t>
    </r>
    <r>
      <rPr>
        <sz val="9"/>
        <color rgb="FFFF0000"/>
        <rFont val="Calibri"/>
        <family val="2"/>
      </rPr>
      <t>Area of Model Mess Up</t>
    </r>
  </si>
  <si>
    <t>Commercial Paper Outstanding</t>
  </si>
  <si>
    <t>Aggregate Term Debt, Current Portion</t>
  </si>
  <si>
    <t>Aggregate Term Debt, Net of Current Portion</t>
  </si>
  <si>
    <t>WACC Buildup</t>
  </si>
  <si>
    <t>Cost of capital assumptions</t>
  </si>
  <si>
    <t>Source</t>
  </si>
  <si>
    <t>Cost of debt</t>
  </si>
  <si>
    <t>Bloomberg - YTM on 2.2% 9/29 Bond</t>
  </si>
  <si>
    <t>From terminal year of UFCF forecast</t>
  </si>
  <si>
    <t>Cost of debt (after tax)</t>
  </si>
  <si>
    <t>Cost of debt x (1 - tax rate)</t>
  </si>
  <si>
    <t xml:space="preserve">Risk free rate </t>
  </si>
  <si>
    <t>WSJ: 10 Year US Treasury Yield</t>
  </si>
  <si>
    <t>Bloomberg 2 year weekly adjusted beta</t>
  </si>
  <si>
    <t>Market risk premium</t>
  </si>
  <si>
    <t>Market risk premium from D&amp;P May 1, 2019</t>
  </si>
  <si>
    <t>Cost of equity</t>
  </si>
  <si>
    <t>RfR + Beta x MRP</t>
  </si>
  <si>
    <t>Capital weights (capital structure)</t>
  </si>
  <si>
    <t xml:space="preserve">Target </t>
  </si>
  <si>
    <t xml:space="preserve">Current </t>
  </si>
  <si>
    <t>(override)</t>
  </si>
  <si>
    <t>% of total</t>
  </si>
  <si>
    <t>Equity</t>
  </si>
  <si>
    <t>Cost of capital (WACC)</t>
  </si>
  <si>
    <t>WACC sensitivity to MRP and Beta</t>
  </si>
  <si>
    <t>Market</t>
  </si>
  <si>
    <t>Risk</t>
  </si>
  <si>
    <t>Premium</t>
  </si>
  <si>
    <t>Select Beta for model</t>
  </si>
  <si>
    <t>Observed</t>
  </si>
  <si>
    <t>Industry beta</t>
  </si>
  <si>
    <t>From schedule below</t>
  </si>
  <si>
    <t>Share price</t>
  </si>
  <si>
    <t>Dil. shares</t>
  </si>
  <si>
    <t>Market cap</t>
  </si>
  <si>
    <t>Microsoft MSFT</t>
  </si>
  <si>
    <t>Alphabet (GOOG)</t>
  </si>
  <si>
    <t>Amazon (AMZN)</t>
  </si>
  <si>
    <t>Apple (AAPL)</t>
  </si>
  <si>
    <t>Industry average delevered beta</t>
  </si>
  <si>
    <t>Observed b</t>
  </si>
  <si>
    <t>Delev. b</t>
  </si>
  <si>
    <t>Shares - Options and Convertibles</t>
  </si>
  <si>
    <t>Current share price</t>
  </si>
  <si>
    <t xml:space="preserve">Stock options - Treasury stock method </t>
  </si>
  <si>
    <t>Outstanding</t>
  </si>
  <si>
    <t xml:space="preserve">Exercise </t>
  </si>
  <si>
    <t>In-the-$</t>
  </si>
  <si>
    <t>options</t>
  </si>
  <si>
    <t>price</t>
  </si>
  <si>
    <t>Tranche 1</t>
  </si>
  <si>
    <t>Tranche 2</t>
  </si>
  <si>
    <t>Tranche 3</t>
  </si>
  <si>
    <t>Tranche 4</t>
  </si>
  <si>
    <t>Tranche 5</t>
  </si>
  <si>
    <t>Tranche 6</t>
  </si>
  <si>
    <t>Tranche 7</t>
  </si>
  <si>
    <t>Total</t>
  </si>
  <si>
    <t>Total proceeds ($mm)</t>
  </si>
  <si>
    <t>Total shares repurchased (mm)</t>
  </si>
  <si>
    <t>Net dilutive impact of stock options</t>
  </si>
  <si>
    <t>Convertible securities "if-converted" test</t>
  </si>
  <si>
    <t>Convertible Debt</t>
  </si>
  <si>
    <t xml:space="preserve">Principal Outstanding </t>
  </si>
  <si>
    <t>Each $1,000 in principal convertible into (Conversion ratio)</t>
  </si>
  <si>
    <t>Conversion price</t>
  </si>
  <si>
    <t>Common shares convertible into</t>
  </si>
  <si>
    <t>Dilutive impact of convertible securities</t>
  </si>
  <si>
    <t>Elimination of liability from net debt</t>
  </si>
  <si>
    <t>Convertible Preferred Stock</t>
  </si>
  <si>
    <t>Convertible Preferred Par Value</t>
  </si>
  <si>
    <t>Preferred shares outstanding</t>
  </si>
  <si>
    <t>Conversion ratio</t>
  </si>
  <si>
    <t>Discounted Cash Flow Valuation</t>
  </si>
  <si>
    <t>Most recent fiscal year end</t>
  </si>
  <si>
    <t>Discount rate (WACC)</t>
  </si>
  <si>
    <t>Link from WACC</t>
  </si>
  <si>
    <t>End of first fiscal year</t>
  </si>
  <si>
    <t>Share price (Public Co)</t>
  </si>
  <si>
    <t>Source: CIQ</t>
  </si>
  <si>
    <t>Most recent quarter end date</t>
  </si>
  <si>
    <t>Share price date</t>
  </si>
  <si>
    <t xml:space="preserve">Valuation date </t>
  </si>
  <si>
    <t>Midyear adjustment?</t>
  </si>
  <si>
    <t>Portion of First Year Cash Flows</t>
  </si>
  <si>
    <t>Case active:</t>
  </si>
  <si>
    <t>Unlevered Free Cash Flows</t>
  </si>
  <si>
    <t>Actual</t>
  </si>
  <si>
    <t>Forecasts</t>
  </si>
  <si>
    <t>Fiscal year ended</t>
  </si>
  <si>
    <t>% growth</t>
  </si>
  <si>
    <t>% margin</t>
  </si>
  <si>
    <t>Tax on EBIT</t>
  </si>
  <si>
    <t>NOPAT (aka EBIAT)</t>
  </si>
  <si>
    <t>Changes in net working capital</t>
  </si>
  <si>
    <t>Unlevered free cash flows (UFCF)</t>
  </si>
  <si>
    <t>Net working capital (WC Assets - WC liabilities)</t>
  </si>
  <si>
    <t>Val date</t>
  </si>
  <si>
    <t xml:space="preserve">Yr 1 - Stub </t>
  </si>
  <si>
    <t>Year 2</t>
  </si>
  <si>
    <t>Year 3</t>
  </si>
  <si>
    <t>Year 4</t>
  </si>
  <si>
    <t>Year 5</t>
  </si>
  <si>
    <t>Date for discounting cash flows</t>
  </si>
  <si>
    <t>Unlevered free cash flows (UFCF) stub adjusted</t>
  </si>
  <si>
    <t>&lt;-Stub year counts first year cash flows starting at the valuation date</t>
  </si>
  <si>
    <t>Present value of of unlevered free cash flows</t>
  </si>
  <si>
    <t>Terminal value - growth in perpetuity approach</t>
  </si>
  <si>
    <t>Terminal value - EBITDA multiple approach</t>
  </si>
  <si>
    <t>Long term growth rate</t>
  </si>
  <si>
    <t>Terminal year EBITDA</t>
  </si>
  <si>
    <t>EBITDA multiple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</si>
  <si>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</si>
  <si>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</si>
  <si>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</si>
  <si>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</si>
  <si>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</si>
  <si>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</si>
  <si>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</si>
  <si>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</si>
  <si>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</si>
  <si>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</si>
  <si>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Shares outstanding</t>
  </si>
  <si>
    <t>Source doc</t>
  </si>
  <si>
    <t>Source date</t>
  </si>
  <si>
    <t>Date</t>
  </si>
  <si>
    <t>Shares</t>
  </si>
  <si>
    <t>Gross debt and equivalents</t>
  </si>
  <si>
    <t>Restricted stock / RSUs</t>
  </si>
  <si>
    <t>Convertible debt</t>
  </si>
  <si>
    <t>Options / warrants</t>
  </si>
  <si>
    <t>&lt;-These are for illustrative purposes, Apple doesn't have options</t>
  </si>
  <si>
    <t>Preferred stock</t>
  </si>
  <si>
    <t>&lt;-These are for illustrative purposes, Apple doesn't have convertible debt</t>
  </si>
  <si>
    <t>Noncontrolling (minority) interests</t>
  </si>
  <si>
    <t>Convertible preferred stock</t>
  </si>
  <si>
    <t>&lt;-These are for illustrative purposes, Apple doesn't have convertible preferred stock</t>
  </si>
  <si>
    <t>Nonoperating assets</t>
  </si>
  <si>
    <t>Net diluted shares outstanding</t>
  </si>
  <si>
    <t xml:space="preserve">Cash </t>
  </si>
  <si>
    <t xml:space="preserve">Equity investments </t>
  </si>
  <si>
    <t>Valuation</t>
  </si>
  <si>
    <t>Enterprise value</t>
  </si>
  <si>
    <t xml:space="preserve">Equity value </t>
  </si>
  <si>
    <t>Equity value per share</t>
  </si>
  <si>
    <t>Last twelve months (LTM)</t>
  </si>
  <si>
    <t>EV / Revenue</t>
  </si>
  <si>
    <t xml:space="preserve">EV / EBITDA </t>
  </si>
  <si>
    <t>EV / EBIT</t>
  </si>
  <si>
    <t>Year 1</t>
  </si>
  <si>
    <t>Outputs</t>
  </si>
  <si>
    <t>LTM EBITDA multiple</t>
  </si>
  <si>
    <t>Long term growth rate (g):</t>
  </si>
  <si>
    <t>WACC:</t>
  </si>
  <si>
    <t xml:space="preserve">Data </t>
  </si>
  <si>
    <t>Tables</t>
  </si>
  <si>
    <t>Exit EBITDA Multiple</t>
  </si>
  <si>
    <t>Equity value range</t>
  </si>
  <si>
    <t>Football field</t>
  </si>
  <si>
    <t>Low</t>
  </si>
  <si>
    <t>Diff.</t>
  </si>
  <si>
    <t>52 Week Market High/Low</t>
  </si>
  <si>
    <t>3Q25 10Q</t>
  </si>
  <si>
    <t>Capital IQ</t>
  </si>
  <si>
    <t>Marketable Securities, Current</t>
  </si>
  <si>
    <t>Marketable Securities, Net of Current Portion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</si>
</sst>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5" formatCode="&quot;$&quot;#,##0_);\(&quot;$&quot;#,##0\)"/>
    <numFmt numFmtId="7" formatCode="&quot;$&quot;#,##0.00_);\(&quot;$&quot;#,##0.00\)"/>
    <numFmt numFmtId="8" formatCode="&quot;$&quot;#,##0.00_);[Red]\(&quot;$&quot;#,##0.00\)"/>
    <numFmt numFmtId="41" formatCode="_(* #,##0_);_(* \(#,##0\);_(* &quot;-&quot;_);_(@_)"/>
    <numFmt numFmtId="43" formatCode="_(* #,##0.00_);_(* \(#,##0.00\);_(* &quot;-&quot;??_);_(@_)"/>
    <numFmt numFmtId="165" formatCode="_(* #,##0_);_(* \(#,##0\);_(* &quot;-&quot;??_);_(@_)"/>
    <numFmt numFmtId="166" formatCode="_(&quot;$ &quot;#,##0_);_(&quot;$ &quot;\(#,##0\)"/>
    <numFmt numFmtId="169" formatCode="0.0%"/>
    <numFmt numFmtId="170" formatCode="#,##0.0%;\(#,##0.0%\)"/>
    <numFmt numFmtId="171" formatCode="#,##0.0&quot;bps&quot;_);\(#,##0.0&quot;bps&quot;\)"/>
    <numFmt numFmtId="177" formatCode="#,##0.00&quot;bps&quot;_);\(#,##0.00&quot;bps&quot;\)"/>
    <numFmt numFmtId="180" formatCode="_(* #,##0.00&quot;x&quot;_);_(* \(#,##0.00&quot;x&quot;\);_(* &quot;-&quot;_);_(@_)"/>
    <numFmt numFmtId="181" formatCode="_(#,##0_)_%;\(#,##0\)_%;_(&quot;–&quot;_)_%;_(@_)_%"/>
    <numFmt numFmtId="182" formatCode="m/d/yy;@"/>
    <numFmt numFmtId="183" formatCode="#,##0.000_);\(#,##0.000\)"/>
    <numFmt numFmtId="184" formatCode="0\A;[Red]0\A"/>
    <numFmt numFmtId="185" formatCode="0\P_);\(0\P\)"/>
    <numFmt numFmtId="186" formatCode="0.0%_);\(0.0%\);@_)"/>
    <numFmt numFmtId="187" formatCode="_(#,##0.0%_);\(#,##0.0%\);_(&quot;–&quot;_)_%;_(@_)_%"/>
    <numFmt numFmtId="188" formatCode="0.00%_);\(0.00%\);@_)"/>
    <numFmt numFmtId="189" formatCode="_(#,##0.00%_);\(#,##0.00%\);_(&quot;–&quot;_)_%;_(@_)_%"/>
    <numFmt numFmtId="190" formatCode="0%_);\(0%\);@_)"/>
    <numFmt numFmtId="194" formatCode="_(* #,##0.0000_);_(* \(#,##0.0000\);_(* &quot;-&quot;??_);_(@_)"/>
    <numFmt numFmtId="195" formatCode="_(* #,##0.00000_);_(* \(#,##0.00000\);_(* &quot;-&quot;??_);_(@_)"/>
    <numFmt numFmtId="196" formatCode="_(* #,##0.0_);_(* \(#,##0.0\);_(* &quot;-&quot;??_);_(@_)"/>
    <numFmt numFmtId="198" formatCode="#,##0.0_);\(#,##0.0\);@_)"/>
    <numFmt numFmtId="199" formatCode="0.000"/>
    <numFmt numFmtId="200" formatCode="_([$$]#,##0.00_)_%;\([$$]#,##0.00\)_%;_(&quot;–&quot;_)_%;_(@_)_%"/>
    <numFmt numFmtId="201" formatCode="_([$$]#,##0_)_%;\([$$]#,##0\)_%;_(&quot;–&quot;_)_%;_(@_)_%"/>
    <numFmt numFmtId="202" formatCode="[$$-380A]\ #,##0.00;\-[$$-380A]\ #,##0.00"/>
    <numFmt numFmtId="203" formatCode="0000\A"/>
    <numFmt numFmtId="204" formatCode="0000\P"/>
    <numFmt numFmtId="205" formatCode="#,##0_);\(#,##0\);@_)"/>
    <numFmt numFmtId="206" formatCode="0.0\x_);\(0.0\x\);@_)"/>
    <numFmt numFmtId="207" formatCode="0.000%_);\(0.000%\);@_)"/>
    <numFmt numFmtId="208" formatCode="#,##0.000_);\(#,##0.000\);@_)"/>
    <numFmt numFmtId="209" formatCode="#,##0.000"/>
    <numFmt numFmtId="210" formatCode="&quot;$&quot;#,##0.00_);\(&quot;$&quot;#,##0.00\);@_)"/>
    <numFmt numFmtId="211" formatCode="_(0.0\x_)_';_(\(0.0\x\)_';_(&quot;–&quot;_)_%;_(@_)_%"/>
    <numFmt numFmtId="212" formatCode="_(0.0_)_'_x;_(\(0.0\)_';_(&quot;–&quot;_)_%;_(@_)_%"/>
    <numFmt numFmtId="213" formatCode="#,##0.00_);\(#,##0.00\);\-_);@_)"/>
    <numFmt numFmtId="214" formatCode="#,##0.0_);\(#,##0.0\);\-_);@_)"/>
  </numFmts>
  <fonts count="48">
    <font>
      <sz val="11"/>
      <color theme="1"/>
      <name val="Tw Cen MT"/>
      <family val="2"/>
      <scheme val="minor"/>
    </font>
    <font>
      <sz val="11"/>
      <color theme="1"/>
      <name val="Tw Cen MT"/>
      <family val="2"/>
      <scheme val="minor"/>
    </font>
    <font>
      <b/>
      <sz val="9"/>
      <color theme="0"/>
      <name val="Calibri"/>
      <family val="2"/>
    </font>
    <font>
      <i/>
      <sz val="9"/>
      <color theme="0"/>
      <name val="Calibri"/>
      <family val="2"/>
    </font>
    <font>
      <sz val="9"/>
      <color theme="1"/>
      <name val="Calibri"/>
      <family val="2"/>
    </font>
    <font>
      <b/>
      <i/>
      <sz val="9"/>
      <color theme="0"/>
      <name val="Calibri"/>
      <family val="2"/>
    </font>
    <font>
      <sz val="9"/>
      <name val="Calibri"/>
      <family val="2"/>
    </font>
    <font>
      <i/>
      <sz val="9"/>
      <name val="Calibri"/>
      <family val="2"/>
    </font>
    <font>
      <b/>
      <sz val="9"/>
      <name val="Calibri"/>
      <family val="2"/>
    </font>
    <font>
      <b/>
      <i/>
      <sz val="9"/>
      <name val="Calibri"/>
      <family val="2"/>
    </font>
    <font>
      <i/>
      <sz val="8"/>
      <name val="Calibri"/>
      <family val="2"/>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
      <i/>
      <sz val="9"/>
      <color theme="1"/>
      <name val="Calibri"/>
      <family val="2"/>
    </font>
    <font>
      <b/>
      <sz val="9"/>
      <color indexed="8"/>
      <name val="Calibri"/>
      <family val="2"/>
    </font>
    <font>
      <b/>
      <sz val="9"/>
      <color rgb="FF0000FF"/>
      <name val="Calibri"/>
      <family val="2"/>
    </font>
    <font>
      <sz val="9"/>
      <color rgb="FF0000E1"/>
      <name val="Calibri"/>
      <family val="2"/>
    </font>
    <font>
      <sz val="10"/>
      <name val="Arial"/>
      <family val="2"/>
    </font>
    <font>
      <sz val="9"/>
      <color rgb="FFFF0000"/>
      <name val="Tw Cen MT"/>
      <family val="2"/>
      <scheme val="minor"/>
    </font>
    <font>
      <sz val="9"/>
      <color rgb="FFFF0000"/>
      <name val="Calibri"/>
      <family val="2"/>
    </font>
    <font>
      <sz val="8"/>
      <color rgb="FFFF0000"/>
      <name val="Calibri"/>
      <family val="2"/>
    </font>
    <font>
      <b/>
      <sz val="8"/>
      <color theme="1"/>
      <name val="Calibri"/>
      <family val="2"/>
    </font>
    <font>
      <i/>
      <sz val="8"/>
      <color theme="1"/>
      <name val="Calibri"/>
      <family val="2"/>
    </font>
    <font>
      <sz val="9"/>
      <color indexed="81"/>
      <name val="Tahoma"/>
      <family val="2"/>
    </font>
    <font>
      <sz val="7"/>
      <color rgb="FFFF0000"/>
      <name val="Calibri"/>
      <family val="2"/>
    </font>
    <font>
      <sz val="9"/>
      <color rgb="FF00B050"/>
      <name val="Calibri"/>
      <family val="2"/>
    </font>
    <font>
      <b/>
      <sz val="9"/>
      <color indexed="81"/>
      <name val="Tahoma"/>
      <family val="2"/>
    </font>
    <font>
      <sz val="9"/>
      <color rgb="FF008000"/>
      <name val="Calibri"/>
      <family val="2"/>
    </font>
    <font>
      <i/>
      <sz val="9"/>
      <color rgb="FF000000"/>
      <name val="Calibri"/>
      <family val="2"/>
    </font>
    <font>
      <sz val="9"/>
      <color rgb="FF000000"/>
      <name val="Calibri"/>
      <family val="2"/>
    </font>
    <font>
      <i/>
      <sz val="9"/>
      <color rgb="FF0000FF"/>
      <name val="Calibri"/>
      <family val="2"/>
    </font>
    <font>
      <b/>
      <sz val="9"/>
      <color rgb="FF000000"/>
      <name val="Calibri"/>
      <family val="2"/>
    </font>
    <font>
      <u/>
      <sz val="9"/>
      <color theme="1"/>
      <name val="Calibri"/>
      <family val="2"/>
    </font>
    <font>
      <b/>
      <u/>
      <sz val="9"/>
      <color theme="1"/>
      <name val="Calibri"/>
      <family val="2"/>
    </font>
    <font>
      <sz val="10"/>
      <name val="Arial Narrow MT"/>
      <family val="2"/>
    </font>
    <font>
      <i/>
      <sz val="9"/>
      <color rgb="FFFF0000"/>
      <name val="Calibri"/>
      <family val="2"/>
    </font>
    <font>
      <u val="singleAccounting"/>
      <sz val="9"/>
      <color rgb="FF000000"/>
      <name val="Calibri"/>
      <family val="2"/>
    </font>
    <font>
      <u val="singleAccounting"/>
      <sz val="9"/>
      <color theme="1"/>
      <name val="Calibri"/>
      <family val="2"/>
    </font>
    <font>
      <u val="singleAccounting"/>
      <sz val="9"/>
      <color rgb="FF0000FF"/>
      <name val="Calibri"/>
      <family val="2"/>
    </font>
    <font>
      <sz val="10"/>
      <name val="Times New Roman"/>
      <family val="1"/>
    </font>
    <font>
      <u/>
      <sz val="11"/>
      <color theme="10"/>
      <name val="Tw Cen MT"/>
      <family val="2"/>
      <scheme val="minor"/>
    </font>
    <font>
      <u/>
      <sz val="9"/>
      <color theme="10"/>
      <name val="Calibri"/>
      <family val="2"/>
    </font>
    <font>
      <b/>
      <u/>
      <sz val="9"/>
      <color rgb="FF0070C0"/>
      <name val="Calibri"/>
      <family val="2"/>
    </font>
    <font>
      <u/>
      <sz val="9"/>
      <color rgb="FF0000FF"/>
      <name val="Calibri"/>
      <family val="2"/>
    </font>
    <font>
      <b/>
      <u val="singleAccounting"/>
      <sz val="9"/>
      <color theme="1"/>
      <name val="Calibri"/>
      <family val="2"/>
    </font>
  </fonts>
  <fills count="15">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lightGray"/>
    </fill>
    <fill>
      <patternFill patternType="solid">
        <fgColor theme="9" tint="0.79998168889431442"/>
        <bgColor indexed="64"/>
      </patternFill>
    </fill>
    <fill>
      <patternFill patternType="solid">
        <fgColor theme="3" tint="0.79998168889431442"/>
        <bgColor indexed="64"/>
      </patternFill>
    </fill>
    <fill>
      <patternFill patternType="solid">
        <fgColor rgb="FFFCE5CD"/>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C9DAF8"/>
        <bgColor indexed="64"/>
      </patternFill>
    </fill>
    <fill>
      <patternFill patternType="solid">
        <fgColor rgb="FFC9DAF8"/>
        <bgColor rgb="FF000000"/>
      </patternFill>
    </fill>
    <fill>
      <patternFill patternType="solid">
        <fgColor rgb="FFD2F2FF"/>
        <bgColor rgb="FF000000"/>
      </patternFill>
    </fill>
    <fill>
      <patternFill patternType="solid">
        <fgColor rgb="FFCCFFFF"/>
        <bgColor indexed="64"/>
      </patternFill>
    </fill>
    <fill>
      <patternFill patternType="solid">
        <fgColor rgb="FFC0C0C0"/>
        <bgColor indexed="64"/>
      </patternFill>
    </fill>
  </fills>
  <borders count="50">
    <border>
      <left/>
      <right/>
      <top/>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theme="0"/>
      </bottom>
      <diagonal/>
    </border>
    <border>
      <left/>
      <right/>
      <top style="thin">
        <color theme="0"/>
      </top>
      <bottom/>
      <diagonal/>
    </border>
    <border>
      <left/>
      <right/>
      <top/>
      <bottom style="thin">
        <color indexed="64"/>
      </bottom>
      <diagonal/>
    </border>
    <border>
      <left/>
      <right/>
      <top style="medium">
        <color rgb="FF000000"/>
      </top>
      <bottom style="medium">
        <color rgb="FF000000"/>
      </bottom>
      <diagonal/>
    </border>
    <border>
      <left/>
      <right/>
      <top style="medium">
        <color rgb="FF000000"/>
      </top>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style="thin">
        <color rgb="FF000000"/>
      </top>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hair">
        <color indexed="64"/>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style="thin">
        <color indexed="64"/>
      </top>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bottom/>
      <diagonal/>
    </border>
    <border>
      <left style="hair">
        <color rgb="FF000000"/>
      </left>
      <right/>
      <top/>
      <bottom/>
      <diagonal/>
    </border>
    <border>
      <left/>
      <right/>
      <top style="thin">
        <color rgb="FF000000"/>
      </top>
      <bottom style="medium">
        <color rgb="FF000000"/>
      </bottom>
      <diagonal/>
    </border>
    <border>
      <left/>
      <right style="hair">
        <color rgb="FF000000"/>
      </right>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hair">
        <color rgb="FF000000"/>
      </left>
      <right/>
      <top/>
      <bottom style="thin">
        <color rgb="FF000000"/>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20" fillId="0" borderId="0"/>
    <xf numFmtId="0" fontId="37" fillId="0" borderId="0" applyNumberFormat="0" applyFont="0" applyFill="0" applyBorder="0" applyAlignment="0" applyProtection="0"/>
    <xf numFmtId="37" fontId="42" fillId="0" borderId="0"/>
    <xf numFmtId="0" fontId="43" fillId="0" borderId="0" applyNumberFormat="0" applyFill="0" applyBorder="0" applyAlignment="0" applyProtection="0"/>
  </cellStyleXfs>
  <cellXfs count="430">
    <xf numFmtId="0" fontId="0" fillId="0" borderId="0" xfId="0"/>
    <xf numFmtId="0" fontId="2" fillId="2" borderId="0" xfId="0" applyFont="1" applyFill="1" applyAlignment="1">
      <alignment vertical="center" wrapText="1"/>
    </xf>
    <xf numFmtId="0" fontId="2" fillId="2" borderId="4" xfId="0" applyFont="1" applyFill="1" applyBorder="1" applyAlignment="1">
      <alignment horizontal="centerContinuous" vertical="center" wrapText="1"/>
    </xf>
    <xf numFmtId="14" fontId="3"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wrapText="1"/>
    </xf>
    <xf numFmtId="0" fontId="3" fillId="2" borderId="0" xfId="0" applyFont="1" applyFill="1" applyAlignment="1">
      <alignment vertical="center" wrapText="1"/>
    </xf>
    <xf numFmtId="0" fontId="5" fillId="2" borderId="0" xfId="0"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xf numFmtId="0" fontId="4" fillId="3" borderId="0" xfId="0" applyFont="1" applyFill="1"/>
    <xf numFmtId="0" fontId="6" fillId="0" borderId="0" xfId="0" applyFont="1" applyAlignment="1">
      <alignment vertical="top" wrapText="1"/>
    </xf>
    <xf numFmtId="41" fontId="4" fillId="0" borderId="0" xfId="0" applyNumberFormat="1" applyFont="1"/>
    <xf numFmtId="37" fontId="4" fillId="0" borderId="0" xfId="0" applyNumberFormat="1" applyFont="1" applyAlignment="1">
      <alignment wrapText="1"/>
    </xf>
    <xf numFmtId="170" fontId="7" fillId="3" borderId="0" xfId="1" applyNumberFormat="1" applyFont="1" applyFill="1" applyBorder="1" applyAlignment="1">
      <alignment horizontal="right" vertical="center" wrapText="1"/>
    </xf>
    <xf numFmtId="0" fontId="8" fillId="3" borderId="5" xfId="0" applyFont="1" applyFill="1" applyBorder="1" applyAlignment="1">
      <alignment vertical="top" wrapText="1"/>
    </xf>
    <xf numFmtId="5" fontId="8" fillId="3" borderId="2" xfId="0" applyNumberFormat="1" applyFont="1" applyFill="1" applyBorder="1" applyAlignment="1">
      <alignment horizontal="right" vertical="top" wrapText="1"/>
    </xf>
    <xf numFmtId="170" fontId="9" fillId="3" borderId="0" xfId="1" applyNumberFormat="1" applyFont="1" applyFill="1" applyBorder="1" applyAlignment="1">
      <alignment horizontal="right" vertical="center" wrapText="1"/>
    </xf>
    <xf numFmtId="0" fontId="10" fillId="0" borderId="0" xfId="0" applyFont="1" applyAlignment="1">
      <alignment horizontal="left" vertical="center" wrapText="1" indent="1"/>
    </xf>
    <xf numFmtId="5" fontId="8" fillId="4" borderId="0" xfId="0" applyNumberFormat="1" applyFont="1" applyFill="1" applyAlignment="1">
      <alignment horizontal="right" vertical="top" wrapText="1"/>
    </xf>
    <xf numFmtId="170" fontId="10" fillId="0" borderId="0" xfId="1" applyNumberFormat="1" applyFont="1" applyBorder="1" applyAlignment="1">
      <alignment horizontal="right" vertical="center" wrapText="1"/>
    </xf>
    <xf numFmtId="171" fontId="9" fillId="3" borderId="0" xfId="1" applyNumberFormat="1" applyFont="1" applyFill="1" applyBorder="1" applyAlignment="1">
      <alignment horizontal="right" vertical="center" wrapText="1"/>
    </xf>
    <xf numFmtId="9" fontId="6" fillId="0" borderId="0" xfId="1" applyFont="1" applyAlignment="1">
      <alignment horizontal="left" vertical="top" wrapText="1" indent="1"/>
    </xf>
    <xf numFmtId="9" fontId="11" fillId="0" borderId="0" xfId="1" applyFont="1" applyAlignment="1">
      <alignment horizontal="right" vertical="top" wrapText="1"/>
    </xf>
    <xf numFmtId="9" fontId="4" fillId="0" borderId="0" xfId="1" applyFont="1" applyAlignment="1">
      <alignment wrapText="1"/>
    </xf>
    <xf numFmtId="9" fontId="12" fillId="0" borderId="0" xfId="1" applyFont="1" applyAlignment="1">
      <alignment horizontal="right" vertical="top" wrapText="1"/>
    </xf>
    <xf numFmtId="9" fontId="4" fillId="0" borderId="0" xfId="1" applyFont="1"/>
    <xf numFmtId="0" fontId="6" fillId="0" borderId="0" xfId="0" quotePrefix="1" applyFont="1" applyAlignment="1">
      <alignment vertical="top" wrapText="1"/>
    </xf>
    <xf numFmtId="37" fontId="6" fillId="0" borderId="0" xfId="0" applyNumberFormat="1" applyFont="1" applyAlignment="1">
      <alignment horizontal="right" vertical="top" wrapText="1"/>
    </xf>
    <xf numFmtId="0" fontId="8" fillId="0" borderId="0" xfId="0" applyFont="1" applyAlignment="1">
      <alignment vertical="top" wrapText="1"/>
    </xf>
    <xf numFmtId="5" fontId="8" fillId="0" borderId="2" xfId="0" applyNumberFormat="1" applyFont="1" applyBorder="1" applyAlignment="1">
      <alignment horizontal="right" vertical="top" wrapText="1"/>
    </xf>
    <xf numFmtId="9" fontId="13" fillId="0" borderId="0" xfId="1" applyFont="1" applyBorder="1" applyAlignment="1">
      <alignment horizontal="right" vertical="center" wrapText="1"/>
    </xf>
    <xf numFmtId="0" fontId="14" fillId="0" borderId="0" xfId="0" applyFont="1" applyAlignment="1">
      <alignment wrapText="1"/>
    </xf>
    <xf numFmtId="0" fontId="7" fillId="0" borderId="0" xfId="0" applyFont="1" applyAlignment="1">
      <alignment horizontal="left" vertical="center" wrapText="1" indent="1"/>
    </xf>
    <xf numFmtId="9" fontId="6" fillId="0" borderId="0" xfId="1" applyFont="1" applyBorder="1" applyAlignment="1">
      <alignment horizontal="right" vertical="center" wrapText="1"/>
    </xf>
    <xf numFmtId="0" fontId="4" fillId="0" borderId="0" xfId="0" quotePrefix="1" applyFont="1"/>
    <xf numFmtId="41" fontId="6" fillId="0" borderId="0" xfId="0" applyNumberFormat="1" applyFont="1" applyAlignment="1">
      <alignment horizontal="right" vertical="top" wrapText="1"/>
    </xf>
    <xf numFmtId="0" fontId="2" fillId="2" borderId="0" xfId="0" applyFont="1" applyFill="1" applyAlignment="1">
      <alignment wrapText="1"/>
    </xf>
    <xf numFmtId="41" fontId="8" fillId="3" borderId="2" xfId="0" applyNumberFormat="1" applyFont="1" applyFill="1" applyBorder="1" applyAlignment="1">
      <alignment horizontal="right" vertical="top" wrapText="1"/>
    </xf>
    <xf numFmtId="0" fontId="15" fillId="0" borderId="6" xfId="0" applyFont="1" applyBorder="1"/>
    <xf numFmtId="0" fontId="4" fillId="0" borderId="0" xfId="0" quotePrefix="1" applyFont="1" applyAlignment="1">
      <alignment wrapText="1"/>
    </xf>
    <xf numFmtId="0" fontId="15" fillId="0" borderId="0" xfId="0" applyFont="1"/>
    <xf numFmtId="0" fontId="4" fillId="4" borderId="0" xfId="0" applyFont="1" applyFill="1"/>
    <xf numFmtId="0" fontId="4" fillId="0" borderId="1" xfId="0" applyFont="1" applyBorder="1"/>
    <xf numFmtId="0" fontId="4" fillId="2" borderId="0" xfId="0" applyFont="1" applyFill="1" applyAlignment="1">
      <alignment wrapText="1"/>
    </xf>
    <xf numFmtId="0" fontId="4" fillId="3" borderId="0" xfId="0" applyFont="1" applyFill="1" applyAlignment="1">
      <alignment wrapText="1"/>
    </xf>
    <xf numFmtId="166" fontId="4" fillId="0" borderId="0" xfId="0" applyNumberFormat="1" applyFont="1" applyAlignment="1">
      <alignment wrapText="1"/>
    </xf>
    <xf numFmtId="37" fontId="8" fillId="0" borderId="0" xfId="0" applyNumberFormat="1" applyFont="1" applyAlignment="1">
      <alignment horizontal="right" vertical="top" wrapText="1"/>
    </xf>
    <xf numFmtId="166" fontId="15" fillId="0" borderId="0" xfId="0" applyNumberFormat="1" applyFont="1" applyAlignment="1">
      <alignment wrapText="1"/>
    </xf>
    <xf numFmtId="9" fontId="6" fillId="0" borderId="0" xfId="1" applyFont="1" applyFill="1" applyBorder="1" applyAlignment="1">
      <alignment horizontal="right" vertical="center" wrapText="1"/>
    </xf>
    <xf numFmtId="170" fontId="7" fillId="0" borderId="0" xfId="1" applyNumberFormat="1" applyFont="1" applyBorder="1" applyAlignment="1">
      <alignment horizontal="right" vertical="center" wrapText="1"/>
    </xf>
    <xf numFmtId="37" fontId="15" fillId="0" borderId="0" xfId="0" applyNumberFormat="1" applyFont="1"/>
    <xf numFmtId="37" fontId="6" fillId="0" borderId="0" xfId="1" applyNumberFormat="1" applyFont="1" applyBorder="1" applyAlignment="1">
      <alignment horizontal="right" vertical="center" wrapText="1"/>
    </xf>
    <xf numFmtId="0" fontId="6" fillId="0" borderId="0" xfId="0" applyFont="1" applyAlignment="1">
      <alignment horizontal="left" vertical="top" wrapText="1"/>
    </xf>
    <xf numFmtId="10" fontId="16" fillId="0" borderId="0" xfId="1" applyNumberFormat="1"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5" fontId="8" fillId="0" borderId="0" xfId="0" applyNumberFormat="1" applyFont="1" applyAlignment="1">
      <alignment horizontal="right" vertical="top" wrapText="1"/>
    </xf>
    <xf numFmtId="37" fontId="15" fillId="0" borderId="0" xfId="0" applyNumberFormat="1" applyFont="1" applyAlignment="1">
      <alignment wrapText="1"/>
    </xf>
    <xf numFmtId="37" fontId="8" fillId="0" borderId="0" xfId="0" applyNumberFormat="1" applyFont="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2" fillId="2" borderId="0" xfId="0" applyFont="1" applyFill="1" applyAlignment="1">
      <alignment horizontal="center" wrapText="1"/>
    </xf>
    <xf numFmtId="0" fontId="3" fillId="0" borderId="0" xfId="0" applyFont="1" applyAlignment="1">
      <alignment wrapText="1"/>
    </xf>
    <xf numFmtId="0" fontId="17" fillId="0" borderId="0" xfId="0" applyFont="1" applyAlignment="1">
      <alignment wrapText="1"/>
    </xf>
    <xf numFmtId="165" fontId="4" fillId="0" borderId="0" xfId="2" applyNumberFormat="1" applyFont="1" applyBorder="1" applyAlignment="1">
      <alignment wrapText="1"/>
    </xf>
    <xf numFmtId="0" fontId="4" fillId="0" borderId="0" xfId="0" applyFont="1" applyAlignment="1">
      <alignment horizontal="left" wrapText="1" indent="1"/>
    </xf>
    <xf numFmtId="37" fontId="11" fillId="0" borderId="0" xfId="2" applyNumberFormat="1" applyFont="1" applyBorder="1" applyAlignment="1">
      <alignment wrapText="1"/>
    </xf>
    <xf numFmtId="37" fontId="11" fillId="0" borderId="0" xfId="2" applyNumberFormat="1" applyFont="1" applyFill="1" applyBorder="1" applyAlignment="1">
      <alignment wrapText="1"/>
    </xf>
    <xf numFmtId="0" fontId="4" fillId="0" borderId="0" xfId="0" applyFont="1" applyAlignment="1">
      <alignment horizontal="left" indent="1"/>
    </xf>
    <xf numFmtId="37" fontId="8" fillId="0" borderId="0" xfId="2" applyNumberFormat="1" applyFont="1" applyBorder="1" applyAlignment="1">
      <alignment wrapText="1"/>
    </xf>
    <xf numFmtId="37" fontId="6" fillId="0" borderId="0" xfId="2" applyNumberFormat="1" applyFont="1" applyBorder="1" applyAlignment="1">
      <alignment wrapText="1"/>
    </xf>
    <xf numFmtId="37" fontId="15" fillId="0" borderId="0" xfId="2" applyNumberFormat="1" applyFont="1" applyBorder="1" applyAlignment="1">
      <alignment wrapText="1"/>
    </xf>
    <xf numFmtId="37" fontId="18" fillId="0" borderId="0" xfId="2" applyNumberFormat="1" applyFont="1" applyBorder="1" applyAlignment="1">
      <alignment wrapText="1"/>
    </xf>
    <xf numFmtId="37" fontId="15" fillId="0" borderId="0" xfId="2" applyNumberFormat="1" applyFont="1" applyFill="1" applyBorder="1" applyAlignment="1">
      <alignment wrapText="1"/>
    </xf>
    <xf numFmtId="37" fontId="4" fillId="0" borderId="0" xfId="0" applyNumberFormat="1" applyFont="1"/>
    <xf numFmtId="37" fontId="19" fillId="0" borderId="0" xfId="2" applyNumberFormat="1" applyFont="1" applyFill="1" applyBorder="1" applyAlignment="1">
      <alignment wrapText="1"/>
    </xf>
    <xf numFmtId="37" fontId="12" fillId="0" borderId="0" xfId="2" applyNumberFormat="1" applyFont="1" applyFill="1" applyBorder="1" applyAlignment="1">
      <alignment wrapText="1"/>
    </xf>
    <xf numFmtId="37" fontId="12" fillId="0" borderId="0" xfId="2" applyNumberFormat="1" applyFont="1" applyBorder="1" applyAlignment="1">
      <alignment wrapText="1"/>
    </xf>
    <xf numFmtId="37" fontId="6" fillId="0" borderId="0" xfId="2" applyNumberFormat="1" applyFont="1" applyFill="1" applyBorder="1" applyAlignment="1">
      <alignment wrapText="1"/>
    </xf>
    <xf numFmtId="165" fontId="15" fillId="0" borderId="0" xfId="2" applyNumberFormat="1" applyFont="1" applyBorder="1" applyAlignment="1">
      <alignment wrapText="1"/>
    </xf>
    <xf numFmtId="0" fontId="21" fillId="0" borderId="0" xfId="0" applyFont="1" applyAlignment="1">
      <alignment vertical="top" wrapText="1"/>
    </xf>
    <xf numFmtId="43" fontId="21" fillId="0" borderId="0" xfId="0" applyNumberFormat="1" applyFont="1" applyAlignment="1">
      <alignment wrapText="1"/>
    </xf>
    <xf numFmtId="0" fontId="23" fillId="0" borderId="0" xfId="0" applyFont="1" applyAlignment="1">
      <alignment vertical="top" wrapText="1"/>
    </xf>
    <xf numFmtId="43" fontId="23" fillId="0" borderId="0" xfId="0" applyNumberFormat="1" applyFont="1" applyAlignment="1">
      <alignment wrapText="1"/>
    </xf>
    <xf numFmtId="0" fontId="24" fillId="0" borderId="0" xfId="0" applyFont="1" applyAlignment="1">
      <alignment wrapText="1"/>
    </xf>
    <xf numFmtId="41" fontId="8" fillId="0" borderId="0" xfId="0" applyNumberFormat="1" applyFont="1" applyAlignment="1">
      <alignment horizontal="right" vertical="top" wrapText="1"/>
    </xf>
    <xf numFmtId="0" fontId="17" fillId="0" borderId="6" xfId="0" applyFont="1" applyBorder="1"/>
    <xf numFmtId="0" fontId="4" fillId="0" borderId="1" xfId="0" applyFont="1" applyBorder="1" applyAlignment="1">
      <alignment wrapText="1"/>
    </xf>
    <xf numFmtId="165" fontId="4" fillId="0" borderId="1" xfId="2" applyNumberFormat="1" applyFont="1" applyBorder="1" applyAlignment="1">
      <alignment wrapText="1"/>
    </xf>
    <xf numFmtId="0" fontId="25" fillId="0" borderId="3" xfId="0" applyFont="1" applyBorder="1" applyAlignment="1">
      <alignment horizontal="left" wrapText="1"/>
    </xf>
    <xf numFmtId="170" fontId="7" fillId="5" borderId="0" xfId="1" applyNumberFormat="1" applyFont="1" applyFill="1" applyBorder="1" applyAlignment="1">
      <alignment horizontal="right" vertical="center" wrapText="1"/>
    </xf>
    <xf numFmtId="170" fontId="9" fillId="5" borderId="0" xfId="1" applyNumberFormat="1" applyFont="1" applyFill="1" applyBorder="1" applyAlignment="1">
      <alignment horizontal="right" vertical="center" wrapText="1"/>
    </xf>
    <xf numFmtId="177" fontId="9" fillId="5" borderId="0" xfId="1" applyNumberFormat="1" applyFont="1" applyFill="1" applyBorder="1" applyAlignment="1">
      <alignment horizontal="right" vertical="center" wrapText="1"/>
    </xf>
    <xf numFmtId="7" fontId="8" fillId="3" borderId="2" xfId="0" applyNumberFormat="1" applyFont="1" applyFill="1" applyBorder="1" applyAlignment="1">
      <alignment horizontal="right" vertical="top" wrapText="1"/>
    </xf>
    <xf numFmtId="0" fontId="15" fillId="0" borderId="0" xfId="0" applyFont="1" applyBorder="1"/>
    <xf numFmtId="0" fontId="8" fillId="0" borderId="6" xfId="0" applyFont="1" applyBorder="1" applyAlignment="1">
      <alignment vertical="top" wrapText="1"/>
    </xf>
    <xf numFmtId="0" fontId="27" fillId="0" borderId="0" xfId="0" applyFont="1" applyAlignment="1">
      <alignment horizontal="right" vertical="center" wrapText="1"/>
    </xf>
    <xf numFmtId="41" fontId="27" fillId="0" borderId="0" xfId="0" applyNumberFormat="1" applyFont="1" applyAlignment="1">
      <alignment horizontal="right" vertical="center" wrapText="1"/>
    </xf>
    <xf numFmtId="0" fontId="15" fillId="0" borderId="0" xfId="0" applyFont="1" applyAlignment="1">
      <alignment horizontal="center"/>
    </xf>
    <xf numFmtId="41" fontId="11" fillId="0" borderId="0" xfId="0" applyNumberFormat="1" applyFont="1"/>
    <xf numFmtId="9" fontId="11" fillId="0" borderId="0" xfId="1" applyFont="1" applyAlignment="1">
      <alignment wrapText="1"/>
    </xf>
    <xf numFmtId="41" fontId="11" fillId="0" borderId="0" xfId="0" applyNumberFormat="1" applyFont="1" applyAlignment="1">
      <alignment horizontal="right" vertical="top" wrapText="1"/>
    </xf>
    <xf numFmtId="180" fontId="4" fillId="0" borderId="0" xfId="0" applyNumberFormat="1" applyFont="1"/>
    <xf numFmtId="0" fontId="6" fillId="0" borderId="0" xfId="0" applyFont="1"/>
    <xf numFmtId="0" fontId="30" fillId="0" borderId="13" xfId="0" applyFont="1" applyBorder="1" applyAlignment="1">
      <alignment horizontal="left" indent="2"/>
    </xf>
    <xf numFmtId="0" fontId="30" fillId="0" borderId="14" xfId="0" applyFont="1" applyBorder="1" applyAlignment="1">
      <alignment horizontal="left" indent="2"/>
    </xf>
    <xf numFmtId="0" fontId="30" fillId="0" borderId="0" xfId="0" applyFont="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7" xfId="0" applyFont="1" applyBorder="1"/>
    <xf numFmtId="0" fontId="4" fillId="0" borderId="7" xfId="0" applyFont="1" applyBorder="1"/>
    <xf numFmtId="14" fontId="31" fillId="0" borderId="0" xfId="0" applyNumberFormat="1" applyFont="1" applyAlignment="1">
      <alignment horizontal="left"/>
    </xf>
    <xf numFmtId="0" fontId="4" fillId="0" borderId="8" xfId="0" applyFont="1" applyBorder="1"/>
    <xf numFmtId="0" fontId="32" fillId="0" borderId="0" xfId="0" applyFont="1"/>
    <xf numFmtId="0" fontId="12" fillId="0" borderId="0" xfId="0" applyFont="1" applyAlignment="1">
      <alignment horizontal="center"/>
    </xf>
    <xf numFmtId="181" fontId="12" fillId="7" borderId="9" xfId="0" applyNumberFormat="1" applyFont="1" applyFill="1" applyBorder="1" applyAlignment="1">
      <alignment horizontal="center"/>
    </xf>
    <xf numFmtId="8" fontId="12" fillId="0" borderId="0" xfId="0" applyNumberFormat="1" applyFont="1" applyAlignment="1">
      <alignment horizontal="center"/>
    </xf>
    <xf numFmtId="14" fontId="12" fillId="0" borderId="0" xfId="0" applyNumberFormat="1" applyFont="1" applyAlignment="1">
      <alignment horizontal="center"/>
    </xf>
    <xf numFmtId="182" fontId="12" fillId="0" borderId="0" xfId="0" applyNumberFormat="1" applyFont="1" applyAlignment="1">
      <alignment horizontal="center"/>
    </xf>
    <xf numFmtId="183" fontId="12" fillId="0" borderId="0" xfId="0" applyNumberFormat="1" applyFont="1" applyAlignment="1">
      <alignment horizontal="center"/>
    </xf>
    <xf numFmtId="0" fontId="15" fillId="0" borderId="10" xfId="0" applyFont="1" applyBorder="1"/>
    <xf numFmtId="0" fontId="4" fillId="0" borderId="10" xfId="0" applyFont="1" applyBorder="1"/>
    <xf numFmtId="184" fontId="15" fillId="0" borderId="0" xfId="0" applyNumberFormat="1" applyFont="1"/>
    <xf numFmtId="185" fontId="15" fillId="0" borderId="0" xfId="0" applyNumberFormat="1" applyFont="1"/>
    <xf numFmtId="0" fontId="16" fillId="0" borderId="10" xfId="0" applyFont="1" applyBorder="1"/>
    <xf numFmtId="182" fontId="16" fillId="0" borderId="6" xfId="0" applyNumberFormat="1" applyFont="1" applyBorder="1"/>
    <xf numFmtId="0" fontId="4" fillId="0" borderId="6" xfId="0" applyFont="1" applyBorder="1"/>
    <xf numFmtId="0" fontId="16" fillId="0" borderId="0" xfId="0" applyFont="1"/>
    <xf numFmtId="182" fontId="33" fillId="0" borderId="0" xfId="0" applyNumberFormat="1" applyFont="1"/>
    <xf numFmtId="182" fontId="16" fillId="0" borderId="0" xfId="0" applyNumberFormat="1" applyFont="1"/>
    <xf numFmtId="9" fontId="16" fillId="0" borderId="0" xfId="0" applyNumberFormat="1" applyFont="1"/>
    <xf numFmtId="169" fontId="16" fillId="0" borderId="0" xfId="0" applyNumberFormat="1" applyFont="1"/>
    <xf numFmtId="37" fontId="12" fillId="0" borderId="0" xfId="0" applyNumberFormat="1" applyFont="1"/>
    <xf numFmtId="37" fontId="32" fillId="0" borderId="0" xfId="0" applyNumberFormat="1" applyFont="1"/>
    <xf numFmtId="37" fontId="34" fillId="0" borderId="0" xfId="0" applyNumberFormat="1" applyFont="1"/>
    <xf numFmtId="0" fontId="4" fillId="0" borderId="0" xfId="0" applyFont="1" applyAlignment="1">
      <alignment horizontal="left"/>
    </xf>
    <xf numFmtId="0" fontId="15" fillId="0" borderId="0" xfId="0" applyFont="1" applyAlignment="1">
      <alignment horizontal="left"/>
    </xf>
    <xf numFmtId="4" fontId="4" fillId="0" borderId="0" xfId="0" applyNumberFormat="1" applyFont="1"/>
    <xf numFmtId="0" fontId="35" fillId="0" borderId="0" xfId="0" applyFont="1"/>
    <xf numFmtId="186" fontId="32" fillId="0" borderId="0" xfId="0" applyNumberFormat="1" applyFont="1"/>
    <xf numFmtId="186" fontId="12" fillId="0" borderId="0" xfId="0" applyNumberFormat="1" applyFont="1"/>
    <xf numFmtId="182" fontId="16" fillId="0" borderId="10" xfId="0" applyNumberFormat="1" applyFont="1" applyBorder="1"/>
    <xf numFmtId="14" fontId="16" fillId="0" borderId="0" xfId="0" applyNumberFormat="1" applyFont="1"/>
    <xf numFmtId="184" fontId="34" fillId="0" borderId="0" xfId="0" applyNumberFormat="1" applyFont="1"/>
    <xf numFmtId="185" fontId="34" fillId="0" borderId="0" xfId="0" applyNumberFormat="1" applyFont="1"/>
    <xf numFmtId="182" fontId="31" fillId="0" borderId="10" xfId="0" applyNumberFormat="1" applyFont="1" applyBorder="1"/>
    <xf numFmtId="3" fontId="4" fillId="0" borderId="0" xfId="0" applyNumberFormat="1" applyFont="1"/>
    <xf numFmtId="0" fontId="15" fillId="0" borderId="11" xfId="0" applyFont="1" applyBorder="1" applyAlignment="1">
      <alignment horizontal="centerContinuous"/>
    </xf>
    <xf numFmtId="0" fontId="4" fillId="0" borderId="0" xfId="0" quotePrefix="1" applyFont="1" applyAlignment="1">
      <alignment horizontal="left" indent="1"/>
    </xf>
    <xf numFmtId="0" fontId="4" fillId="0" borderId="12" xfId="0" quotePrefix="1" applyFont="1" applyBorder="1" applyAlignment="1">
      <alignment horizontal="left" indent="1"/>
    </xf>
    <xf numFmtId="37" fontId="12" fillId="0" borderId="12" xfId="0" applyNumberFormat="1" applyFont="1" applyBorder="1"/>
    <xf numFmtId="37" fontId="4" fillId="0" borderId="12" xfId="0" applyNumberFormat="1" applyFont="1" applyBorder="1"/>
    <xf numFmtId="0" fontId="15" fillId="0" borderId="0" xfId="0" applyFont="1" applyAlignment="1">
      <alignment horizontal="left" indent="1"/>
    </xf>
    <xf numFmtId="186" fontId="4" fillId="0" borderId="0" xfId="0" applyNumberFormat="1" applyFont="1"/>
    <xf numFmtId="187" fontId="12" fillId="0" borderId="0" xfId="0" applyNumberFormat="1" applyFont="1"/>
    <xf numFmtId="181" fontId="4" fillId="0" borderId="0" xfId="0" applyNumberFormat="1" applyFont="1"/>
    <xf numFmtId="0" fontId="15" fillId="0" borderId="10" xfId="0" applyFont="1" applyBorder="1" applyAlignment="1">
      <alignment horizontal="left"/>
    </xf>
    <xf numFmtId="186" fontId="4" fillId="0" borderId="10" xfId="0" applyNumberFormat="1" applyFont="1" applyBorder="1"/>
    <xf numFmtId="186" fontId="32" fillId="0" borderId="10" xfId="0" applyNumberFormat="1" applyFont="1" applyBorder="1"/>
    <xf numFmtId="187" fontId="4" fillId="0" borderId="0" xfId="0" applyNumberFormat="1" applyFont="1"/>
    <xf numFmtId="37" fontId="15" fillId="0" borderId="10" xfId="0" applyNumberFormat="1" applyFont="1" applyBorder="1"/>
    <xf numFmtId="37" fontId="32" fillId="0" borderId="11" xfId="0" applyNumberFormat="1" applyFont="1" applyBorder="1"/>
    <xf numFmtId="0" fontId="4" fillId="0" borderId="12" xfId="0" applyFont="1" applyBorder="1" applyAlignment="1">
      <alignment horizontal="left" indent="1"/>
    </xf>
    <xf numFmtId="0" fontId="4" fillId="0" borderId="12" xfId="0" applyFont="1" applyBorder="1"/>
    <xf numFmtId="37" fontId="32" fillId="0" borderId="12" xfId="0" applyNumberFormat="1" applyFont="1" applyBorder="1"/>
    <xf numFmtId="37" fontId="15" fillId="0" borderId="10" xfId="0" applyNumberFormat="1" applyFont="1" applyBorder="1" applyAlignment="1">
      <alignment horizontal="left"/>
    </xf>
    <xf numFmtId="37" fontId="15" fillId="0" borderId="12" xfId="0" applyNumberFormat="1" applyFont="1" applyBorder="1"/>
    <xf numFmtId="37" fontId="4" fillId="0" borderId="14" xfId="0" applyNumberFormat="1" applyFont="1" applyBorder="1"/>
    <xf numFmtId="0" fontId="4" fillId="0" borderId="14" xfId="0" applyFont="1" applyBorder="1"/>
    <xf numFmtId="37" fontId="22" fillId="0" borderId="14" xfId="0" applyNumberFormat="1" applyFont="1" applyBorder="1" applyAlignment="1">
      <alignment horizontal="right"/>
    </xf>
    <xf numFmtId="37" fontId="22" fillId="0" borderId="0" xfId="0" applyNumberFormat="1" applyFont="1" applyAlignment="1">
      <alignment horizontal="right"/>
    </xf>
    <xf numFmtId="9" fontId="12" fillId="0" borderId="10" xfId="0" applyNumberFormat="1" applyFont="1" applyBorder="1"/>
    <xf numFmtId="3" fontId="32" fillId="0" borderId="0" xfId="0" applyNumberFormat="1" applyFont="1"/>
    <xf numFmtId="37" fontId="4" fillId="0" borderId="11" xfId="0" applyNumberFormat="1" applyFont="1" applyBorder="1"/>
    <xf numFmtId="0" fontId="35" fillId="0" borderId="0" xfId="0" applyFont="1" applyAlignment="1">
      <alignment horizontal="left" indent="1"/>
    </xf>
    <xf numFmtId="0" fontId="36" fillId="0" borderId="0" xfId="0" applyFont="1" applyAlignment="1">
      <alignment horizontal="left"/>
    </xf>
    <xf numFmtId="188" fontId="12" fillId="0" borderId="0" xfId="0" applyNumberFormat="1" applyFont="1"/>
    <xf numFmtId="0" fontId="34" fillId="0" borderId="15" xfId="0" applyFont="1" applyBorder="1" applyAlignment="1">
      <alignment horizontal="left" indent="1"/>
    </xf>
    <xf numFmtId="37" fontId="34" fillId="0" borderId="15" xfId="0" applyNumberFormat="1" applyFont="1" applyBorder="1"/>
    <xf numFmtId="0" fontId="4" fillId="0" borderId="0" xfId="0" applyFont="1" applyAlignment="1">
      <alignment horizontal="left" indent="2"/>
    </xf>
    <xf numFmtId="10" fontId="12" fillId="0" borderId="0" xfId="0" applyNumberFormat="1" applyFont="1"/>
    <xf numFmtId="189" fontId="32" fillId="0" borderId="0" xfId="0" applyNumberFormat="1" applyFont="1"/>
    <xf numFmtId="37" fontId="32" fillId="0" borderId="0" xfId="0" applyNumberFormat="1" applyFont="1" applyAlignment="1">
      <alignment horizontal="left" indent="1"/>
    </xf>
    <xf numFmtId="7" fontId="34" fillId="0" borderId="0" xfId="0" applyNumberFormat="1" applyFont="1"/>
    <xf numFmtId="8" fontId="4" fillId="0" borderId="0" xfId="0" applyNumberFormat="1" applyFont="1"/>
    <xf numFmtId="9" fontId="32" fillId="0" borderId="0" xfId="0" applyNumberFormat="1" applyFont="1"/>
    <xf numFmtId="0" fontId="4" fillId="0" borderId="0" xfId="0" applyFont="1" applyAlignment="1">
      <alignment horizontal="right"/>
    </xf>
    <xf numFmtId="37" fontId="15" fillId="0" borderId="16" xfId="0" applyNumberFormat="1" applyFont="1" applyBorder="1"/>
    <xf numFmtId="181" fontId="15" fillId="0" borderId="17" xfId="0" applyNumberFormat="1" applyFont="1" applyBorder="1"/>
    <xf numFmtId="186" fontId="4" fillId="0" borderId="20" xfId="0" applyNumberFormat="1" applyFont="1" applyBorder="1" applyAlignment="1">
      <alignment horizontal="center"/>
    </xf>
    <xf numFmtId="0" fontId="4" fillId="0" borderId="20" xfId="0" applyFont="1" applyBorder="1"/>
    <xf numFmtId="187" fontId="12" fillId="0" borderId="20" xfId="0" applyNumberFormat="1" applyFont="1" applyBorder="1" applyAlignment="1">
      <alignment horizontal="center"/>
    </xf>
    <xf numFmtId="0" fontId="4" fillId="0" borderId="20" xfId="0" applyFont="1" applyBorder="1" applyAlignment="1">
      <alignment horizontal="center"/>
    </xf>
    <xf numFmtId="190" fontId="4" fillId="0" borderId="0" xfId="0" applyNumberFormat="1" applyFont="1"/>
    <xf numFmtId="187" fontId="12" fillId="0" borderId="21" xfId="0" applyNumberFormat="1" applyFont="1" applyBorder="1" applyAlignment="1">
      <alignment horizontal="center"/>
    </xf>
    <xf numFmtId="37" fontId="28" fillId="0" borderId="0" xfId="0" applyNumberFormat="1" applyFont="1"/>
    <xf numFmtId="14" fontId="3" fillId="2" borderId="0" xfId="0" quotePrefix="1" applyNumberFormat="1" applyFont="1" applyFill="1" applyAlignment="1">
      <alignment horizontal="center" vertical="center" wrapText="1"/>
    </xf>
    <xf numFmtId="41" fontId="6" fillId="6" borderId="2" xfId="0" applyNumberFormat="1" applyFont="1" applyFill="1" applyBorder="1" applyAlignment="1">
      <alignment horizontal="right" vertical="top" wrapText="1"/>
    </xf>
    <xf numFmtId="41" fontId="8" fillId="6" borderId="2" xfId="0" applyNumberFormat="1" applyFont="1" applyFill="1" applyBorder="1" applyAlignment="1">
      <alignment horizontal="right" vertical="top" wrapText="1"/>
    </xf>
    <xf numFmtId="3" fontId="4" fillId="0" borderId="0" xfId="0" applyNumberFormat="1" applyFont="1" applyAlignment="1">
      <alignment wrapText="1"/>
    </xf>
    <xf numFmtId="41" fontId="6" fillId="0" borderId="0" xfId="0" applyNumberFormat="1" applyFont="1" applyBorder="1" applyAlignment="1">
      <alignment horizontal="right" vertical="top" wrapText="1"/>
    </xf>
    <xf numFmtId="41" fontId="11" fillId="0" borderId="0" xfId="0" applyNumberFormat="1" applyFont="1" applyBorder="1" applyAlignment="1">
      <alignment horizontal="right" vertical="top" wrapText="1"/>
    </xf>
    <xf numFmtId="0" fontId="4" fillId="0" borderId="0" xfId="0" applyFont="1" applyBorder="1" applyAlignment="1">
      <alignment wrapText="1"/>
    </xf>
    <xf numFmtId="37" fontId="4" fillId="0" borderId="0" xfId="0" applyNumberFormat="1" applyFont="1" applyBorder="1" applyAlignment="1">
      <alignment wrapText="1"/>
    </xf>
    <xf numFmtId="43" fontId="23" fillId="0" borderId="22" xfId="0" applyNumberFormat="1" applyFont="1" applyBorder="1" applyAlignment="1">
      <alignment wrapText="1"/>
    </xf>
    <xf numFmtId="195" fontId="23" fillId="0" borderId="22" xfId="0" applyNumberFormat="1" applyFont="1" applyBorder="1" applyAlignment="1">
      <alignment wrapText="1"/>
    </xf>
    <xf numFmtId="194" fontId="23" fillId="0" borderId="22" xfId="0" applyNumberFormat="1" applyFont="1" applyBorder="1" applyAlignment="1">
      <alignment wrapText="1"/>
    </xf>
    <xf numFmtId="41" fontId="6" fillId="0" borderId="22" xfId="0" applyNumberFormat="1" applyFont="1" applyBorder="1" applyAlignment="1">
      <alignment horizontal="right" vertical="top" wrapText="1"/>
    </xf>
    <xf numFmtId="196" fontId="23" fillId="0" borderId="22" xfId="0" applyNumberFormat="1" applyFont="1" applyBorder="1" applyAlignment="1">
      <alignment wrapText="1"/>
    </xf>
    <xf numFmtId="0" fontId="4" fillId="0" borderId="22" xfId="0" applyFont="1" applyBorder="1" applyAlignment="1">
      <alignment wrapText="1"/>
    </xf>
    <xf numFmtId="41" fontId="8" fillId="0" borderId="24" xfId="0" applyNumberFormat="1" applyFont="1" applyBorder="1" applyAlignment="1">
      <alignment horizontal="right" vertical="top" wrapText="1"/>
    </xf>
    <xf numFmtId="0" fontId="8" fillId="0" borderId="24" xfId="0" applyFont="1" applyBorder="1" applyAlignment="1">
      <alignment horizontal="right" vertical="center" wrapText="1"/>
    </xf>
    <xf numFmtId="0" fontId="8" fillId="6" borderId="24" xfId="0" applyFont="1" applyFill="1" applyBorder="1" applyAlignment="1">
      <alignment horizontal="right" vertical="center" wrapText="1"/>
    </xf>
    <xf numFmtId="0" fontId="4" fillId="0" borderId="24" xfId="0" applyFont="1" applyBorder="1"/>
    <xf numFmtId="0" fontId="23" fillId="0" borderId="23" xfId="0" applyFont="1" applyBorder="1" applyAlignment="1">
      <alignment horizontal="right" vertical="top" wrapText="1"/>
    </xf>
    <xf numFmtId="41" fontId="6" fillId="0" borderId="25" xfId="0" applyNumberFormat="1" applyFont="1" applyBorder="1" applyAlignment="1">
      <alignment horizontal="right" vertical="top" wrapText="1"/>
    </xf>
    <xf numFmtId="41" fontId="8" fillId="6" borderId="26" xfId="0" applyNumberFormat="1" applyFont="1" applyFill="1" applyBorder="1" applyAlignment="1">
      <alignment horizontal="right" vertical="top" wrapText="1"/>
    </xf>
    <xf numFmtId="41" fontId="6" fillId="6" borderId="26" xfId="0" applyNumberFormat="1" applyFont="1" applyFill="1" applyBorder="1" applyAlignment="1">
      <alignment horizontal="right" vertical="top" wrapText="1"/>
    </xf>
    <xf numFmtId="37" fontId="4" fillId="0" borderId="25" xfId="0" applyNumberFormat="1" applyFont="1" applyBorder="1" applyAlignment="1">
      <alignment wrapText="1"/>
    </xf>
    <xf numFmtId="196" fontId="23" fillId="0" borderId="27" xfId="0" applyNumberFormat="1" applyFont="1" applyBorder="1" applyAlignment="1">
      <alignment wrapText="1"/>
    </xf>
    <xf numFmtId="41" fontId="8" fillId="0" borderId="28" xfId="0" applyNumberFormat="1" applyFont="1" applyBorder="1" applyAlignment="1">
      <alignment horizontal="right" vertical="top" wrapText="1"/>
    </xf>
    <xf numFmtId="41" fontId="6" fillId="0" borderId="29" xfId="0" applyNumberFormat="1" applyFont="1" applyBorder="1" applyAlignment="1">
      <alignment horizontal="right" vertical="top" wrapText="1"/>
    </xf>
    <xf numFmtId="41" fontId="6" fillId="0" borderId="30" xfId="0" applyNumberFormat="1" applyFont="1" applyBorder="1" applyAlignment="1">
      <alignment horizontal="right" vertical="top" wrapText="1"/>
    </xf>
    <xf numFmtId="41" fontId="28" fillId="0" borderId="0" xfId="0" applyNumberFormat="1" applyFont="1"/>
    <xf numFmtId="0" fontId="15" fillId="0" borderId="29" xfId="0" applyFont="1" applyBorder="1" applyAlignment="1">
      <alignment horizontal="left"/>
    </xf>
    <xf numFmtId="37" fontId="34" fillId="0" borderId="29" xfId="0" applyNumberFormat="1" applyFont="1" applyBorder="1"/>
    <xf numFmtId="0" fontId="15" fillId="0" borderId="29" xfId="0" applyFont="1" applyBorder="1"/>
    <xf numFmtId="0" fontId="4" fillId="0" borderId="29" xfId="0" applyFont="1" applyBorder="1"/>
    <xf numFmtId="0" fontId="35" fillId="9" borderId="28" xfId="0" applyFont="1" applyFill="1" applyBorder="1"/>
    <xf numFmtId="0" fontId="4" fillId="9" borderId="29" xfId="0" applyFont="1" applyFill="1" applyBorder="1"/>
    <xf numFmtId="0" fontId="4" fillId="9" borderId="30" xfId="0" applyFont="1" applyFill="1" applyBorder="1"/>
    <xf numFmtId="0" fontId="4" fillId="9" borderId="24" xfId="0" applyFont="1" applyFill="1" applyBorder="1" applyAlignment="1">
      <alignment horizontal="left" indent="1"/>
    </xf>
    <xf numFmtId="186" fontId="32" fillId="9" borderId="0" xfId="0" applyNumberFormat="1" applyFont="1" applyFill="1" applyBorder="1"/>
    <xf numFmtId="186" fontId="32" fillId="9" borderId="25" xfId="0" applyNumberFormat="1" applyFont="1" applyFill="1" applyBorder="1"/>
    <xf numFmtId="0" fontId="4" fillId="9" borderId="23" xfId="0" applyFont="1" applyFill="1" applyBorder="1" applyAlignment="1">
      <alignment horizontal="left" indent="1"/>
    </xf>
    <xf numFmtId="186" fontId="32" fillId="9" borderId="22" xfId="0" applyNumberFormat="1" applyFont="1" applyFill="1" applyBorder="1"/>
    <xf numFmtId="186" fontId="12" fillId="9" borderId="22" xfId="0" applyNumberFormat="1" applyFont="1" applyFill="1" applyBorder="1"/>
    <xf numFmtId="186" fontId="12" fillId="9" borderId="27" xfId="0" applyNumberFormat="1" applyFont="1" applyFill="1" applyBorder="1"/>
    <xf numFmtId="37" fontId="15" fillId="0" borderId="29" xfId="0" applyNumberFormat="1" applyFont="1" applyBorder="1"/>
    <xf numFmtId="37" fontId="12" fillId="8" borderId="0" xfId="0" applyNumberFormat="1" applyFont="1" applyFill="1"/>
    <xf numFmtId="37" fontId="4" fillId="6" borderId="0" xfId="0" applyNumberFormat="1" applyFont="1" applyFill="1"/>
    <xf numFmtId="8" fontId="28" fillId="0" borderId="0" xfId="0" applyNumberFormat="1" applyFont="1"/>
    <xf numFmtId="0" fontId="15" fillId="0" borderId="29" xfId="0" applyFont="1" applyBorder="1" applyAlignment="1">
      <alignment horizontal="left" indent="1"/>
    </xf>
    <xf numFmtId="37" fontId="11" fillId="6" borderId="0" xfId="0" applyNumberFormat="1" applyFont="1" applyFill="1"/>
    <xf numFmtId="41" fontId="6" fillId="0" borderId="0" xfId="0" applyNumberFormat="1" applyFont="1" applyFill="1" applyAlignment="1">
      <alignment horizontal="right" vertical="top" wrapText="1"/>
    </xf>
    <xf numFmtId="37" fontId="4" fillId="0" borderId="0" xfId="0" applyNumberFormat="1" applyFont="1" applyFill="1"/>
    <xf numFmtId="0" fontId="4" fillId="0" borderId="0" xfId="0" applyFont="1" applyFill="1"/>
    <xf numFmtId="37" fontId="32" fillId="6" borderId="11" xfId="0" applyNumberFormat="1" applyFont="1" applyFill="1" applyBorder="1"/>
    <xf numFmtId="37" fontId="32" fillId="6" borderId="12" xfId="0" applyNumberFormat="1" applyFont="1" applyFill="1" applyBorder="1"/>
    <xf numFmtId="37" fontId="32" fillId="6" borderId="0" xfId="0" applyNumberFormat="1" applyFont="1" applyFill="1"/>
    <xf numFmtId="186" fontId="32" fillId="6" borderId="0" xfId="0" applyNumberFormat="1" applyFont="1" applyFill="1"/>
    <xf numFmtId="37" fontId="34" fillId="6" borderId="0" xfId="0" applyNumberFormat="1" applyFont="1" applyFill="1"/>
    <xf numFmtId="37" fontId="12" fillId="6" borderId="0" xfId="0" applyNumberFormat="1" applyFont="1" applyFill="1"/>
    <xf numFmtId="37" fontId="4" fillId="6" borderId="12" xfId="0" applyNumberFormat="1" applyFont="1" applyFill="1" applyBorder="1"/>
    <xf numFmtId="37" fontId="12" fillId="6" borderId="12" xfId="0" applyNumberFormat="1" applyFont="1" applyFill="1" applyBorder="1"/>
    <xf numFmtId="189" fontId="6" fillId="6" borderId="0" xfId="0" applyNumberFormat="1" applyFont="1" applyFill="1"/>
    <xf numFmtId="187" fontId="6" fillId="6" borderId="0" xfId="0" applyNumberFormat="1" applyFont="1" applyFill="1"/>
    <xf numFmtId="189" fontId="32" fillId="6" borderId="0" xfId="0" applyNumberFormat="1" applyFont="1" applyFill="1"/>
    <xf numFmtId="0" fontId="38" fillId="0" borderId="0" xfId="0" applyFont="1"/>
    <xf numFmtId="41" fontId="22" fillId="0" borderId="0" xfId="0" applyNumberFormat="1" applyFont="1" applyAlignment="1">
      <alignment horizontal="right" vertical="top" wrapText="1"/>
    </xf>
    <xf numFmtId="0" fontId="31" fillId="0" borderId="8" xfId="0" applyFont="1" applyBorder="1"/>
    <xf numFmtId="0" fontId="34" fillId="0" borderId="12" xfId="0" applyFont="1" applyBorder="1"/>
    <xf numFmtId="0" fontId="32" fillId="0" borderId="12" xfId="0" applyFont="1" applyBorder="1"/>
    <xf numFmtId="0" fontId="34" fillId="0" borderId="12" xfId="0" applyFont="1" applyBorder="1" applyAlignment="1">
      <alignment horizontal="right"/>
    </xf>
    <xf numFmtId="0" fontId="35" fillId="0" borderId="0" xfId="0" applyFont="1" applyAlignment="1">
      <alignment horizontal="left"/>
    </xf>
    <xf numFmtId="169" fontId="32" fillId="0" borderId="0" xfId="0" applyNumberFormat="1" applyFont="1"/>
    <xf numFmtId="169" fontId="39" fillId="0" borderId="0" xfId="0" applyNumberFormat="1" applyFont="1" applyAlignment="1">
      <alignment horizontal="right"/>
    </xf>
    <xf numFmtId="0" fontId="15" fillId="0" borderId="31" xfId="0" applyFont="1" applyBorder="1"/>
    <xf numFmtId="0" fontId="15" fillId="0" borderId="32" xfId="0" applyFont="1" applyBorder="1"/>
    <xf numFmtId="0" fontId="4" fillId="0" borderId="32" xfId="0" applyFont="1" applyBorder="1"/>
    <xf numFmtId="183" fontId="12" fillId="0" borderId="0" xfId="0" applyNumberFormat="1" applyFont="1"/>
    <xf numFmtId="189" fontId="30" fillId="0" borderId="12" xfId="0" applyNumberFormat="1" applyFont="1" applyBorder="1"/>
    <xf numFmtId="183" fontId="32" fillId="0" borderId="0" xfId="0" applyNumberFormat="1" applyFont="1"/>
    <xf numFmtId="198" fontId="30" fillId="0" borderId="0" xfId="0" applyNumberFormat="1" applyFont="1"/>
    <xf numFmtId="9" fontId="12" fillId="10" borderId="0" xfId="0" applyNumberFormat="1" applyFont="1" applyFill="1"/>
    <xf numFmtId="186" fontId="15" fillId="0" borderId="33" xfId="0" applyNumberFormat="1" applyFont="1" applyBorder="1"/>
    <xf numFmtId="39" fontId="15" fillId="0" borderId="0" xfId="0" applyNumberFormat="1" applyFont="1"/>
    <xf numFmtId="0" fontId="4" fillId="0" borderId="0" xfId="0" applyFont="1" applyAlignment="1">
      <alignment horizontal="centerContinuous"/>
    </xf>
    <xf numFmtId="0" fontId="4" fillId="0" borderId="11" xfId="0" applyFont="1" applyBorder="1" applyAlignment="1">
      <alignment horizontal="centerContinuous"/>
    </xf>
    <xf numFmtId="186" fontId="4" fillId="10" borderId="0" xfId="0" applyNumberFormat="1" applyFont="1" applyFill="1"/>
    <xf numFmtId="199" fontId="32" fillId="0" borderId="34" xfId="0" applyNumberFormat="1" applyFont="1" applyBorder="1"/>
    <xf numFmtId="183" fontId="12" fillId="0" borderId="35" xfId="0" applyNumberFormat="1" applyFont="1" applyBorder="1"/>
    <xf numFmtId="199" fontId="32" fillId="0" borderId="35" xfId="0" applyNumberFormat="1" applyFont="1" applyBorder="1"/>
    <xf numFmtId="10" fontId="32" fillId="0" borderId="36" xfId="0" applyNumberFormat="1" applyFont="1" applyBorder="1"/>
    <xf numFmtId="187" fontId="4" fillId="0" borderId="11" xfId="0" applyNumberFormat="1" applyFont="1" applyBorder="1"/>
    <xf numFmtId="10" fontId="12" fillId="0" borderId="36" xfId="0" applyNumberFormat="1" applyFont="1" applyBorder="1"/>
    <xf numFmtId="10" fontId="32" fillId="0" borderId="37" xfId="0" applyNumberFormat="1" applyFont="1" applyBorder="1"/>
    <xf numFmtId="0" fontId="12" fillId="12" borderId="9" xfId="0" applyFont="1" applyFill="1" applyBorder="1" applyAlignment="1">
      <alignment horizontal="right"/>
    </xf>
    <xf numFmtId="183" fontId="4" fillId="0" borderId="0" xfId="0" applyNumberFormat="1" applyFont="1"/>
    <xf numFmtId="0" fontId="4" fillId="0" borderId="38" xfId="0" applyFont="1" applyBorder="1"/>
    <xf numFmtId="0" fontId="4" fillId="0" borderId="38" xfId="0" applyFont="1" applyBorder="1" applyAlignment="1">
      <alignment wrapText="1"/>
    </xf>
    <xf numFmtId="0" fontId="12" fillId="0" borderId="0" xfId="0" applyFont="1"/>
    <xf numFmtId="39" fontId="12" fillId="0" borderId="0" xfId="0" applyNumberFormat="1" applyFont="1"/>
    <xf numFmtId="39" fontId="30" fillId="0" borderId="0" xfId="0" applyNumberFormat="1" applyFont="1"/>
    <xf numFmtId="37" fontId="30" fillId="0" borderId="0" xfId="0" applyNumberFormat="1" applyFont="1"/>
    <xf numFmtId="186" fontId="32" fillId="0" borderId="39" xfId="0" applyNumberFormat="1" applyFont="1" applyBorder="1"/>
    <xf numFmtId="183" fontId="15" fillId="0" borderId="0" xfId="0" applyNumberFormat="1" applyFont="1"/>
    <xf numFmtId="39" fontId="4" fillId="0" borderId="0" xfId="0" applyNumberFormat="1" applyFont="1"/>
    <xf numFmtId="7" fontId="30" fillId="0" borderId="0" xfId="0" applyNumberFormat="1" applyFont="1"/>
    <xf numFmtId="0" fontId="4" fillId="0" borderId="12" xfId="0" applyFont="1" applyBorder="1" applyAlignment="1">
      <alignment horizontal="center"/>
    </xf>
    <xf numFmtId="0" fontId="40" fillId="0" borderId="0" xfId="0" applyFont="1" applyAlignment="1">
      <alignment horizontal="center"/>
    </xf>
    <xf numFmtId="200" fontId="12" fillId="0" borderId="0" xfId="0" applyNumberFormat="1" applyFont="1"/>
    <xf numFmtId="183" fontId="41" fillId="0" borderId="0" xfId="0" applyNumberFormat="1" applyFont="1"/>
    <xf numFmtId="201" fontId="12" fillId="0" borderId="0" xfId="0" applyNumberFormat="1" applyFont="1"/>
    <xf numFmtId="183" fontId="39" fillId="0" borderId="0" xfId="0" applyNumberFormat="1" applyFont="1"/>
    <xf numFmtId="183" fontId="34" fillId="0" borderId="0" xfId="0" applyNumberFormat="1" applyFont="1"/>
    <xf numFmtId="0" fontId="15" fillId="0" borderId="12" xfId="0" applyFont="1" applyBorder="1"/>
    <xf numFmtId="183" fontId="15" fillId="0" borderId="12" xfId="0" applyNumberFormat="1" applyFont="1" applyBorder="1"/>
    <xf numFmtId="202" fontId="32" fillId="0" borderId="0" xfId="0" applyNumberFormat="1" applyFont="1"/>
    <xf numFmtId="39" fontId="32" fillId="0" borderId="0" xfId="0" applyNumberFormat="1" applyFont="1"/>
    <xf numFmtId="7" fontId="4" fillId="0" borderId="0" xfId="0" applyNumberFormat="1" applyFont="1"/>
    <xf numFmtId="37" fontId="31" fillId="0" borderId="0" xfId="0" applyNumberFormat="1" applyFont="1"/>
    <xf numFmtId="7" fontId="32" fillId="0" borderId="0" xfId="0" applyNumberFormat="1" applyFont="1"/>
    <xf numFmtId="14" fontId="12" fillId="0" borderId="0" xfId="5" applyNumberFormat="1" applyFont="1" applyAlignment="1">
      <alignment horizontal="right"/>
    </xf>
    <xf numFmtId="186" fontId="30" fillId="0" borderId="0" xfId="0" applyNumberFormat="1" applyFont="1"/>
    <xf numFmtId="14" fontId="32" fillId="0" borderId="0" xfId="5" applyNumberFormat="1" applyFont="1" applyAlignment="1">
      <alignment horizontal="right"/>
    </xf>
    <xf numFmtId="7" fontId="12" fillId="0" borderId="0" xfId="0" applyNumberFormat="1" applyFont="1"/>
    <xf numFmtId="14" fontId="12" fillId="0" borderId="0" xfId="0" applyNumberFormat="1" applyFont="1" applyAlignment="1">
      <alignment horizontal="right"/>
    </xf>
    <xf numFmtId="0" fontId="44" fillId="0" borderId="0" xfId="6" applyFont="1" applyBorder="1"/>
    <xf numFmtId="0" fontId="45" fillId="0" borderId="0" xfId="0" applyFont="1" applyAlignment="1">
      <alignment horizontal="center"/>
    </xf>
    <xf numFmtId="187" fontId="32" fillId="0" borderId="0" xfId="0" applyNumberFormat="1" applyFont="1"/>
    <xf numFmtId="7" fontId="30" fillId="0" borderId="0" xfId="0" applyNumberFormat="1" applyFont="1" applyAlignment="1">
      <alignment horizontal="right"/>
    </xf>
    <xf numFmtId="7" fontId="30" fillId="0" borderId="12" xfId="0" applyNumberFormat="1" applyFont="1" applyBorder="1" applyAlignment="1">
      <alignment horizontal="right"/>
    </xf>
    <xf numFmtId="0" fontId="40" fillId="0" borderId="0" xfId="0" applyFont="1" applyAlignment="1">
      <alignment horizontal="centerContinuous"/>
    </xf>
    <xf numFmtId="0" fontId="39" fillId="0" borderId="14" xfId="0" applyFont="1" applyBorder="1" applyAlignment="1">
      <alignment horizontal="centerContinuous"/>
    </xf>
    <xf numFmtId="14" fontId="4" fillId="0" borderId="0" xfId="0" applyNumberFormat="1" applyFont="1" applyAlignment="1">
      <alignment horizontal="center"/>
    </xf>
    <xf numFmtId="182" fontId="4" fillId="0" borderId="40" xfId="0" applyNumberFormat="1" applyFont="1" applyBorder="1" applyAlignment="1">
      <alignment horizontal="center"/>
    </xf>
    <xf numFmtId="182" fontId="4" fillId="0" borderId="37" xfId="0" applyNumberFormat="1" applyFont="1" applyBorder="1" applyAlignment="1">
      <alignment horizontal="center"/>
    </xf>
    <xf numFmtId="182" fontId="4" fillId="0" borderId="0" xfId="0" applyNumberFormat="1" applyFont="1" applyAlignment="1">
      <alignment horizontal="center"/>
    </xf>
    <xf numFmtId="203" fontId="15" fillId="0" borderId="40" xfId="0" applyNumberFormat="1" applyFont="1" applyBorder="1"/>
    <xf numFmtId="204" fontId="15" fillId="0" borderId="0" xfId="0" applyNumberFormat="1" applyFont="1"/>
    <xf numFmtId="205" fontId="32" fillId="11" borderId="0" xfId="0" applyNumberFormat="1" applyFont="1" applyFill="1"/>
    <xf numFmtId="205" fontId="30" fillId="11" borderId="40" xfId="0" applyNumberFormat="1" applyFont="1" applyFill="1" applyBorder="1"/>
    <xf numFmtId="205" fontId="30" fillId="11" borderId="0" xfId="0" applyNumberFormat="1" applyFont="1" applyFill="1"/>
    <xf numFmtId="0" fontId="4" fillId="0" borderId="40" xfId="0" applyFont="1" applyBorder="1"/>
    <xf numFmtId="187" fontId="32" fillId="11" borderId="0" xfId="0" applyNumberFormat="1" applyFont="1" applyFill="1"/>
    <xf numFmtId="187" fontId="32" fillId="11" borderId="40" xfId="0" applyNumberFormat="1" applyFont="1" applyFill="1" applyBorder="1"/>
    <xf numFmtId="205" fontId="30" fillId="0" borderId="40" xfId="0" applyNumberFormat="1" applyFont="1" applyBorder="1"/>
    <xf numFmtId="205" fontId="30" fillId="0" borderId="0" xfId="0" applyNumberFormat="1" applyFont="1"/>
    <xf numFmtId="205" fontId="32" fillId="11" borderId="40" xfId="0" applyNumberFormat="1" applyFont="1" applyFill="1" applyBorder="1"/>
    <xf numFmtId="186" fontId="30" fillId="11" borderId="37" xfId="0" applyNumberFormat="1" applyFont="1" applyFill="1" applyBorder="1"/>
    <xf numFmtId="186" fontId="30" fillId="11" borderId="0" xfId="0" applyNumberFormat="1" applyFont="1" applyFill="1"/>
    <xf numFmtId="205" fontId="34" fillId="11" borderId="41" xfId="0" applyNumberFormat="1" applyFont="1" applyFill="1" applyBorder="1"/>
    <xf numFmtId="205" fontId="34" fillId="11" borderId="0" xfId="0" applyNumberFormat="1" applyFont="1" applyFill="1"/>
    <xf numFmtId="205" fontId="32" fillId="0" borderId="0" xfId="0" applyNumberFormat="1" applyFont="1"/>
    <xf numFmtId="205" fontId="4" fillId="0" borderId="0" xfId="0" applyNumberFormat="1" applyFont="1"/>
    <xf numFmtId="205" fontId="34" fillId="0" borderId="0" xfId="0" applyNumberFormat="1" applyFont="1"/>
    <xf numFmtId="205" fontId="30" fillId="0" borderId="12" xfId="0" applyNumberFormat="1" applyFont="1" applyBorder="1"/>
    <xf numFmtId="205" fontId="39" fillId="0" borderId="12" xfId="0" applyNumberFormat="1" applyFont="1" applyBorder="1" applyAlignment="1">
      <alignment horizontal="center"/>
    </xf>
    <xf numFmtId="205" fontId="39" fillId="0" borderId="0" xfId="0" applyNumberFormat="1" applyFont="1"/>
    <xf numFmtId="14" fontId="4" fillId="0" borderId="0" xfId="0" applyNumberFormat="1" applyFont="1"/>
    <xf numFmtId="187" fontId="4" fillId="0" borderId="0" xfId="0" applyNumberFormat="1" applyFont="1" applyAlignment="1">
      <alignment horizontal="center"/>
    </xf>
    <xf numFmtId="205" fontId="32" fillId="0" borderId="12" xfId="0" applyNumberFormat="1" applyFont="1" applyBorder="1"/>
    <xf numFmtId="0" fontId="34" fillId="0" borderId="0" xfId="0" applyFont="1"/>
    <xf numFmtId="204" fontId="4" fillId="0" borderId="0" xfId="0" applyNumberFormat="1" applyFont="1"/>
    <xf numFmtId="206" fontId="12" fillId="0" borderId="0" xfId="0" applyNumberFormat="1" applyFont="1"/>
    <xf numFmtId="205" fontId="15" fillId="0" borderId="0" xfId="0" applyNumberFormat="1" applyFont="1"/>
    <xf numFmtId="0" fontId="16" fillId="0" borderId="0" xfId="0" applyFont="1" applyAlignment="1">
      <alignment horizontal="left"/>
    </xf>
    <xf numFmtId="187" fontId="16" fillId="0" borderId="0" xfId="0" applyNumberFormat="1" applyFont="1"/>
    <xf numFmtId="207" fontId="16" fillId="0" borderId="0" xfId="0" applyNumberFormat="1" applyFont="1"/>
    <xf numFmtId="206" fontId="16" fillId="0" borderId="0" xfId="0" applyNumberFormat="1" applyFont="1"/>
    <xf numFmtId="186" fontId="4" fillId="0" borderId="0" xfId="0" quotePrefix="1" applyNumberFormat="1" applyFont="1"/>
    <xf numFmtId="0" fontId="35" fillId="0" borderId="0" xfId="0" applyFont="1" applyAlignment="1">
      <alignment horizontal="right"/>
    </xf>
    <xf numFmtId="0" fontId="35" fillId="0" borderId="0" xfId="0" applyFont="1" applyAlignment="1">
      <alignment horizontal="left" vertical="center"/>
    </xf>
    <xf numFmtId="14" fontId="32" fillId="0" borderId="0" xfId="0" applyNumberFormat="1" applyFont="1"/>
    <xf numFmtId="208" fontId="12" fillId="0" borderId="0" xfId="0" applyNumberFormat="1" applyFont="1"/>
    <xf numFmtId="183" fontId="30" fillId="0" borderId="0" xfId="0" applyNumberFormat="1" applyFont="1" applyAlignment="1">
      <alignment horizontal="right"/>
    </xf>
    <xf numFmtId="0" fontId="32" fillId="0" borderId="0" xfId="0" applyFont="1" applyAlignment="1">
      <alignment horizontal="left" indent="1"/>
    </xf>
    <xf numFmtId="0" fontId="4" fillId="0" borderId="0" xfId="0" applyFont="1" applyAlignment="1">
      <alignment horizontal="left" vertical="center" indent="1"/>
    </xf>
    <xf numFmtId="208" fontId="46" fillId="0" borderId="0" xfId="0" applyNumberFormat="1" applyFont="1"/>
    <xf numFmtId="0" fontId="40" fillId="0" borderId="0" xfId="0" applyFont="1" applyAlignment="1">
      <alignment horizontal="right"/>
    </xf>
    <xf numFmtId="205" fontId="4" fillId="0" borderId="0" xfId="0" applyNumberFormat="1" applyFont="1" applyAlignment="1">
      <alignment horizontal="right"/>
    </xf>
    <xf numFmtId="37" fontId="16" fillId="0" borderId="12" xfId="0" applyNumberFormat="1" applyFont="1" applyBorder="1" applyAlignment="1">
      <alignment horizontal="right"/>
    </xf>
    <xf numFmtId="37" fontId="4" fillId="0" borderId="0" xfId="0" applyNumberFormat="1" applyFont="1" applyAlignment="1">
      <alignment horizontal="right"/>
    </xf>
    <xf numFmtId="210" fontId="15" fillId="0" borderId="0" xfId="0" applyNumberFormat="1" applyFont="1" applyAlignment="1">
      <alignment horizontal="right"/>
    </xf>
    <xf numFmtId="211" fontId="4" fillId="11" borderId="0" xfId="0" applyNumberFormat="1" applyFont="1" applyFill="1" applyAlignment="1">
      <alignment horizontal="right"/>
    </xf>
    <xf numFmtId="212" fontId="4" fillId="11" borderId="0" xfId="0" applyNumberFormat="1" applyFont="1" applyFill="1" applyAlignment="1">
      <alignment horizontal="right"/>
    </xf>
    <xf numFmtId="212" fontId="4" fillId="0" borderId="0" xfId="0" applyNumberFormat="1" applyFont="1" applyAlignment="1">
      <alignment horizontal="right"/>
    </xf>
    <xf numFmtId="211" fontId="4" fillId="0" borderId="0" xfId="0" applyNumberFormat="1" applyFont="1" applyAlignment="1">
      <alignment horizontal="right"/>
    </xf>
    <xf numFmtId="0" fontId="32" fillId="12" borderId="0" xfId="0" applyFont="1" applyFill="1"/>
    <xf numFmtId="0" fontId="47" fillId="0" borderId="0" xfId="0" applyFont="1" applyAlignment="1">
      <alignment horizontal="centerContinuous"/>
    </xf>
    <xf numFmtId="0" fontId="40" fillId="0" borderId="37" xfId="0" applyFont="1" applyBorder="1" applyAlignment="1">
      <alignment horizontal="centerContinuous"/>
    </xf>
    <xf numFmtId="0" fontId="4" fillId="0" borderId="37" xfId="0" applyFont="1" applyBorder="1" applyAlignment="1">
      <alignment horizontal="centerContinuous"/>
    </xf>
    <xf numFmtId="210" fontId="4" fillId="0" borderId="10" xfId="0" applyNumberFormat="1" applyFont="1" applyBorder="1" applyAlignment="1">
      <alignment horizontal="right"/>
    </xf>
    <xf numFmtId="169" fontId="32" fillId="13" borderId="31" xfId="0" applyNumberFormat="1" applyFont="1" applyFill="1" applyBorder="1"/>
    <xf numFmtId="169" fontId="32" fillId="13" borderId="32" xfId="0" applyNumberFormat="1" applyFont="1" applyFill="1" applyBorder="1"/>
    <xf numFmtId="169" fontId="12" fillId="13" borderId="32" xfId="0" applyNumberFormat="1" applyFont="1" applyFill="1" applyBorder="1"/>
    <xf numFmtId="169" fontId="32" fillId="13" borderId="37" xfId="0" applyNumberFormat="1" applyFont="1" applyFill="1" applyBorder="1"/>
    <xf numFmtId="206" fontId="4" fillId="0" borderId="42" xfId="0" applyNumberFormat="1" applyFont="1" applyBorder="1" applyAlignment="1">
      <alignment horizontal="right"/>
    </xf>
    <xf numFmtId="169" fontId="32" fillId="13" borderId="33" xfId="0" applyNumberFormat="1" applyFont="1" applyFill="1" applyBorder="1"/>
    <xf numFmtId="169" fontId="32" fillId="13" borderId="43" xfId="0" applyNumberFormat="1" applyFont="1" applyFill="1" applyBorder="1" applyAlignment="1">
      <alignment horizontal="right"/>
    </xf>
    <xf numFmtId="213" fontId="4" fillId="0" borderId="0" xfId="0" applyNumberFormat="1" applyFont="1"/>
    <xf numFmtId="213" fontId="4" fillId="0" borderId="37" xfId="0" applyNumberFormat="1" applyFont="1" applyBorder="1"/>
    <xf numFmtId="206" fontId="4" fillId="0" borderId="0" xfId="0" applyNumberFormat="1" applyFont="1" applyAlignment="1">
      <alignment horizontal="right"/>
    </xf>
    <xf numFmtId="169" fontId="12" fillId="13" borderId="43" xfId="0" applyNumberFormat="1" applyFont="1" applyFill="1" applyBorder="1" applyAlignment="1">
      <alignment horizontal="right"/>
    </xf>
    <xf numFmtId="0" fontId="34" fillId="12" borderId="0" xfId="0" applyFont="1" applyFill="1" applyAlignment="1">
      <alignment horizontal="center"/>
    </xf>
    <xf numFmtId="169" fontId="32" fillId="13" borderId="44" xfId="0" applyNumberFormat="1" applyFont="1" applyFill="1" applyBorder="1" applyAlignment="1">
      <alignment horizontal="right"/>
    </xf>
    <xf numFmtId="214" fontId="4" fillId="0" borderId="0" xfId="0" applyNumberFormat="1" applyFont="1"/>
    <xf numFmtId="214" fontId="4" fillId="0" borderId="37" xfId="0" applyNumberFormat="1" applyFont="1" applyBorder="1"/>
    <xf numFmtId="210" fontId="4" fillId="0" borderId="42" xfId="0" applyNumberFormat="1" applyFont="1" applyBorder="1"/>
    <xf numFmtId="206" fontId="32" fillId="13" borderId="32" xfId="0" applyNumberFormat="1" applyFont="1" applyFill="1" applyBorder="1"/>
    <xf numFmtId="206" fontId="12" fillId="13" borderId="32" xfId="0" applyNumberFormat="1" applyFont="1" applyFill="1" applyBorder="1"/>
    <xf numFmtId="206" fontId="32" fillId="13" borderId="37" xfId="0" applyNumberFormat="1" applyFont="1" applyFill="1" applyBorder="1"/>
    <xf numFmtId="206" fontId="32" fillId="13" borderId="33" xfId="0" applyNumberFormat="1" applyFont="1" applyFill="1" applyBorder="1"/>
    <xf numFmtId="0" fontId="4" fillId="0" borderId="37" xfId="0" applyFont="1" applyBorder="1"/>
    <xf numFmtId="0" fontId="15" fillId="14" borderId="0" xfId="0" applyFont="1" applyFill="1"/>
    <xf numFmtId="0" fontId="15" fillId="14" borderId="37" xfId="0" applyFont="1" applyFill="1" applyBorder="1"/>
    <xf numFmtId="189" fontId="4" fillId="0" borderId="0" xfId="0" applyNumberFormat="1" applyFont="1"/>
    <xf numFmtId="0" fontId="4" fillId="0" borderId="31" xfId="0" applyFont="1" applyBorder="1"/>
    <xf numFmtId="0" fontId="4" fillId="0" borderId="32" xfId="0" applyFont="1" applyBorder="1" applyAlignment="1">
      <alignment horizontal="right"/>
    </xf>
    <xf numFmtId="0" fontId="4" fillId="0" borderId="33" xfId="0" applyFont="1" applyBorder="1" applyAlignment="1">
      <alignment horizontal="right"/>
    </xf>
    <xf numFmtId="0" fontId="4" fillId="0" borderId="45" xfId="0" applyFont="1" applyBorder="1"/>
    <xf numFmtId="0" fontId="4" fillId="0" borderId="46" xfId="0" quotePrefix="1" applyFont="1" applyBorder="1"/>
    <xf numFmtId="39" fontId="4" fillId="0" borderId="47" xfId="0" applyNumberFormat="1" applyFont="1" applyBorder="1"/>
    <xf numFmtId="39" fontId="32" fillId="0" borderId="47" xfId="0" applyNumberFormat="1" applyFont="1" applyBorder="1"/>
    <xf numFmtId="0" fontId="4" fillId="0" borderId="46" xfId="0" applyFont="1" applyBorder="1"/>
    <xf numFmtId="0" fontId="4" fillId="0" borderId="48" xfId="0" applyFont="1" applyBorder="1"/>
    <xf numFmtId="39" fontId="4" fillId="0" borderId="10" xfId="0" applyNumberFormat="1" applyFont="1" applyBorder="1"/>
    <xf numFmtId="39" fontId="32" fillId="0" borderId="10" xfId="0" applyNumberFormat="1" applyFont="1" applyBorder="1"/>
    <xf numFmtId="39" fontId="4" fillId="0" borderId="42" xfId="0" applyNumberFormat="1" applyFont="1" applyBorder="1"/>
    <xf numFmtId="0" fontId="4" fillId="0" borderId="49" xfId="0" applyFont="1" applyBorder="1"/>
    <xf numFmtId="39" fontId="32" fillId="0" borderId="42" xfId="0" applyNumberFormat="1" applyFont="1" applyBorder="1"/>
    <xf numFmtId="37" fontId="4" fillId="1" borderId="0" xfId="0" applyNumberFormat="1" applyFont="1" applyFill="1"/>
    <xf numFmtId="0" fontId="4" fillId="1" borderId="0" xfId="0" applyFont="1" applyFill="1"/>
    <xf numFmtId="209" fontId="15" fillId="0" borderId="29" xfId="0" applyNumberFormat="1" applyFont="1" applyBorder="1"/>
    <xf numFmtId="0" fontId="15" fillId="0" borderId="29" xfId="0" applyFont="1" applyBorder="1" applyAlignment="1">
      <alignment vertical="center"/>
    </xf>
    <xf numFmtId="37" fontId="11" fillId="0" borderId="0" xfId="0" applyNumberFormat="1" applyFont="1" applyAlignment="1">
      <alignment horizontal="right" vertical="top" wrapText="1"/>
    </xf>
    <xf numFmtId="41" fontId="11" fillId="0" borderId="0" xfId="0" applyNumberFormat="1" applyFont="1" applyFill="1" applyAlignment="1">
      <alignment horizontal="right" vertical="top" wrapText="1"/>
    </xf>
  </cellXfs>
  <cellStyles count="7">
    <cellStyle name="%" xfId="3" xr:uid="{B2D0E839-0EB6-4A26-A036-4291FCE77A81}"/>
    <cellStyle name="******************************************" xfId="4" xr:uid="{7C8B12D3-B631-462E-992D-9CE2477EE747}"/>
    <cellStyle name="Comma" xfId="2" builtinId="3"/>
    <cellStyle name="Hyperlink" xfId="6" builtinId="8"/>
    <cellStyle name="Normal" xfId="0" builtinId="0"/>
    <cellStyle name="Normal_DCF_Model" xfId="5" xr:uid="{82C2EF57-1428-4F27-93CB-A7C5310C2F37}"/>
    <cellStyle name="Percent" xfId="1" builtinId="5"/>
  </cellStyles>
  <dxfs count="5">
    <dxf>
      <font>
        <b/>
        <i val="0"/>
      </font>
      <fill>
        <patternFill patternType="solid">
          <bgColor theme="2"/>
        </patternFill>
      </fill>
      <border>
        <left/>
        <right/>
        <top/>
        <bottom/>
      </border>
    </dxf>
    <dxf>
      <font>
        <color rgb="FF9C0006"/>
      </font>
      <fill>
        <patternFill>
          <bgColor rgb="FFFFC7CE"/>
        </patternFill>
      </fill>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DCF Equity Valuation Range </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Empty'!$C$128:$C$130</c:f>
              <c:numCache>
                <c:formatCode>#,##0.00_);\(#,##0.00\)</c:formatCode>
                <c:ptCount val="3"/>
                <c:pt idx="0">
                  <c:v>20.680633001583054</c:v>
                </c:pt>
                <c:pt idx="1">
                  <c:v>20.680633001583054</c:v>
                </c:pt>
                <c:pt idx="2">
                  <c:v>169.5</c:v>
                </c:pt>
              </c:numCache>
            </c:numRef>
          </c:val>
          <c:extLst>
            <c:ext xmlns:c16="http://schemas.microsoft.com/office/drawing/2014/chart" uri="{C3380CC4-5D6E-409C-BE32-E72D297353CC}">
              <c16:uniqueId val="{00000000-798B-4D7B-A8BB-5FCC91725BB4}"/>
            </c:ext>
          </c:extLst>
        </c:ser>
        <c:ser>
          <c:idx val="1"/>
          <c:order val="1"/>
          <c:invertIfNegative val="0"/>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Empty'!$D$128:$D$130</c:f>
              <c:numCache>
                <c:formatCode>#,##0.00_);\(#,##0.00\)</c:formatCode>
                <c:ptCount val="3"/>
                <c:pt idx="0">
                  <c:v>0</c:v>
                </c:pt>
                <c:pt idx="1">
                  <c:v>0</c:v>
                </c:pt>
                <c:pt idx="2">
                  <c:v>158.35000000000002</c:v>
                </c:pt>
              </c:numCache>
            </c:numRef>
          </c:val>
          <c:extLst>
            <c:ext xmlns:c16="http://schemas.microsoft.com/office/drawing/2014/chart" uri="{C3380CC4-5D6E-409C-BE32-E72D297353CC}">
              <c16:uniqueId val="{00000001-798B-4D7B-A8BB-5FCC91725BB4}"/>
            </c:ext>
          </c:extLst>
        </c:ser>
        <c:ser>
          <c:idx val="2"/>
          <c:order val="2"/>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Empty'!$E$128:$E$130</c:f>
              <c:numCache>
                <c:formatCode>#,##0.00_);\(#,##0.00\)</c:formatCode>
                <c:ptCount val="3"/>
                <c:pt idx="0">
                  <c:v>20.680633001583054</c:v>
                </c:pt>
                <c:pt idx="1">
                  <c:v>20.680633001583054</c:v>
                </c:pt>
                <c:pt idx="2">
                  <c:v>327.85</c:v>
                </c:pt>
              </c:numCache>
            </c:numRef>
          </c:val>
          <c:extLst>
            <c:ext xmlns:c16="http://schemas.microsoft.com/office/drawing/2014/chart" uri="{C3380CC4-5D6E-409C-BE32-E72D297353CC}">
              <c16:uniqueId val="{00000002-798B-4D7B-A8BB-5FCC91725BB4}"/>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400"/>
          <c:min val="100"/>
        </c:scaling>
        <c:delete val="0"/>
        <c:axPos val="l"/>
        <c:numFmt formatCode="#,##0.00_);\(#,##0.00\)" sourceLinked="1"/>
        <c:majorTickMark val="out"/>
        <c:minorTickMark val="none"/>
        <c:tickLblPos val="nextTo"/>
        <c:crossAx val="9963968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LTM EBITDA Multiple Range</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numFmt formatCode="#,##0.0\x;\-#,##0.0\x"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Empty'!$O$128:$O$130</c:f>
              <c:numCache>
                <c:formatCode>#,##0.00_);\(#,##0.00\)</c:formatCode>
                <c:ptCount val="3"/>
                <c:pt idx="0">
                  <c:v>0</c:v>
                </c:pt>
                <c:pt idx="1">
                  <c:v>0</c:v>
                </c:pt>
                <c:pt idx="2">
                  <c:v>0</c:v>
                </c:pt>
              </c:numCache>
            </c:numRef>
          </c:val>
          <c:extLst>
            <c:ext xmlns:c16="http://schemas.microsoft.com/office/drawing/2014/chart" uri="{C3380CC4-5D6E-409C-BE32-E72D297353CC}">
              <c16:uniqueId val="{00000000-54D9-436E-9E1B-1B378FFDFC98}"/>
            </c:ext>
          </c:extLst>
        </c:ser>
        <c:ser>
          <c:idx val="1"/>
          <c:order val="1"/>
          <c:spPr>
            <a:solidFill>
              <a:schemeClr val="tx2"/>
            </a:solidFill>
          </c:spPr>
          <c:invertIfNegative val="0"/>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Empty'!$P$128:$P$130</c:f>
              <c:numCache>
                <c:formatCode>#,##0.00_);\(#,##0.00\)</c:formatCode>
                <c:ptCount val="3"/>
                <c:pt idx="0">
                  <c:v>0</c:v>
                </c:pt>
                <c:pt idx="1">
                  <c:v>0</c:v>
                </c:pt>
                <c:pt idx="2">
                  <c:v>0</c:v>
                </c:pt>
              </c:numCache>
            </c:numRef>
          </c:val>
          <c:extLst>
            <c:ext xmlns:c16="http://schemas.microsoft.com/office/drawing/2014/chart" uri="{C3380CC4-5D6E-409C-BE32-E72D297353CC}">
              <c16:uniqueId val="{00000001-54D9-436E-9E1B-1B378FFDFC98}"/>
            </c:ext>
          </c:extLst>
        </c:ser>
        <c:ser>
          <c:idx val="2"/>
          <c:order val="2"/>
          <c:spPr>
            <a:noFill/>
          </c:spPr>
          <c:invertIfNegative val="0"/>
          <c:dLbls>
            <c:numFmt formatCode="#,##0.0\x;\-#,##0.0\x"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Empty'!$Q$128:$Q$130</c:f>
              <c:numCache>
                <c:formatCode>#,##0.00_);\(#,##0.00\)</c:formatCode>
                <c:ptCount val="3"/>
                <c:pt idx="0">
                  <c:v>0</c:v>
                </c:pt>
                <c:pt idx="1">
                  <c:v>0</c:v>
                </c:pt>
                <c:pt idx="2">
                  <c:v>0</c:v>
                </c:pt>
              </c:numCache>
            </c:numRef>
          </c:val>
          <c:extLst>
            <c:ext xmlns:c16="http://schemas.microsoft.com/office/drawing/2014/chart" uri="{C3380CC4-5D6E-409C-BE32-E72D297353CC}">
              <c16:uniqueId val="{00000002-54D9-436E-9E1B-1B378FFDFC98}"/>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20"/>
          <c:min val="10"/>
        </c:scaling>
        <c:delete val="0"/>
        <c:axPos val="l"/>
        <c:numFmt formatCode="#,##0.0\x;\-#,##0.0\x" sourceLinked="0"/>
        <c:majorTickMark val="out"/>
        <c:minorTickMark val="none"/>
        <c:tickLblPos val="nextTo"/>
        <c:crossAx val="99639680"/>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106</xdr:row>
      <xdr:rowOff>149424</xdr:rowOff>
    </xdr:from>
    <xdr:to>
      <xdr:col>4</xdr:col>
      <xdr:colOff>654844</xdr:colOff>
      <xdr:row>125</xdr:row>
      <xdr:rowOff>53578</xdr:rowOff>
    </xdr:to>
    <xdr:graphicFrame macro="">
      <xdr:nvGraphicFramePr>
        <xdr:cNvPr id="2" name="Chart 1">
          <a:extLst>
            <a:ext uri="{FF2B5EF4-FFF2-40B4-BE49-F238E27FC236}">
              <a16:creationId xmlns:a16="http://schemas.microsoft.com/office/drawing/2014/main" id="{5AB26EB3-2259-42F5-8869-FD56CD6E6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47228</xdr:colOff>
      <xdr:row>106</xdr:row>
      <xdr:rowOff>149424</xdr:rowOff>
    </xdr:from>
    <xdr:to>
      <xdr:col>15</xdr:col>
      <xdr:colOff>657225</xdr:colOff>
      <xdr:row>125</xdr:row>
      <xdr:rowOff>47228</xdr:rowOff>
    </xdr:to>
    <xdr:graphicFrame macro="">
      <xdr:nvGraphicFramePr>
        <xdr:cNvPr id="3" name="Chart 2">
          <a:extLst>
            <a:ext uri="{FF2B5EF4-FFF2-40B4-BE49-F238E27FC236}">
              <a16:creationId xmlns:a16="http://schemas.microsoft.com/office/drawing/2014/main" id="{5E518025-7C3E-418F-9001-E2CCB020E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x\AppData\Local\Temp\4819e2e9-aa78-4b81-b055-71c9923ae613_DCF-Modeling-Course-DL-Kit%20(7).zip.613\DCF%20Model.xlsx" TargetMode="External"/><Relationship Id="rId1" Type="http://schemas.openxmlformats.org/officeDocument/2006/relationships/externalLinkPath" Target="/Users/Felix/AppData/Local/Temp/4819e2e9-aa78-4b81-b055-71c9923ae613_DCF-Modeling-Course-DL-Kit%20(7).zip.613/DCF%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 "/>
      <sheetName val="Simple DCF Empty"/>
      <sheetName val="Simple DCF Done"/>
      <sheetName val="WACC Empty"/>
      <sheetName val="WACC Done"/>
      <sheetName val="Shares Empty"/>
      <sheetName val="Shares"/>
      <sheetName val="DCF 1-Pager"/>
      <sheetName val="2019 FSM Update Complete"/>
      <sheetName val="Integrated DCF Empty"/>
      <sheetName val="Integrated DCF"/>
    </sheetNames>
    <sheetDataSet>
      <sheetData sheetId="0">
        <row r="3">
          <cell r="B3" t="str">
            <v xml:space="preserve">$ and shares in millions, except per share data </v>
          </cell>
        </row>
      </sheetData>
      <sheetData sheetId="1"/>
      <sheetData sheetId="2">
        <row r="5">
          <cell r="H5">
            <v>273.52</v>
          </cell>
        </row>
        <row r="22">
          <cell r="I22">
            <v>0.17299999999999999</v>
          </cell>
        </row>
        <row r="61">
          <cell r="I61">
            <v>4471.5</v>
          </cell>
        </row>
        <row r="65">
          <cell r="C65">
            <v>-98769</v>
          </cell>
        </row>
      </sheetData>
      <sheetData sheetId="3"/>
      <sheetData sheetId="4">
        <row r="21">
          <cell r="E21">
            <v>7.7864310730353978E-2</v>
          </cell>
        </row>
      </sheetData>
      <sheetData sheetId="5"/>
      <sheetData sheetId="6">
        <row r="25">
          <cell r="E25">
            <v>14543</v>
          </cell>
        </row>
        <row r="31">
          <cell r="E31">
            <v>-14543</v>
          </cell>
        </row>
        <row r="34">
          <cell r="E34">
            <v>34654</v>
          </cell>
        </row>
        <row r="41">
          <cell r="E41">
            <v>-34654</v>
          </cell>
        </row>
      </sheetData>
      <sheetData sheetId="7"/>
      <sheetData sheetId="8">
        <row r="5">
          <cell r="L5" t="str">
            <v>Base case</v>
          </cell>
        </row>
      </sheetData>
      <sheetData sheetId="9">
        <row r="128">
          <cell r="B128" t="str">
            <v>DCF Value at 11.0x-15.0x Exit EBITDA Range at 9.0% WACC</v>
          </cell>
          <cell r="C128">
            <v>20.680633001583054</v>
          </cell>
          <cell r="D128">
            <v>0</v>
          </cell>
          <cell r="E128">
            <v>20.680633001583054</v>
          </cell>
          <cell r="G128" t="str">
            <v>LTM EBITDA Purchase Multiple at 2.0%-4.0% Perpetuity Growth at 9.0% WACC</v>
          </cell>
          <cell r="O128" t="e">
            <v>#DIV/0!</v>
          </cell>
          <cell r="P128" t="e">
            <v>#DIV/0!</v>
          </cell>
          <cell r="Q128" t="e">
            <v>#DIV/0!</v>
          </cell>
        </row>
        <row r="129">
          <cell r="B129" t="str">
            <v>DCF Value at 2.0%-4.0% Perpetuity Range at 9.0% WACC</v>
          </cell>
          <cell r="C129">
            <v>20.680633001583054</v>
          </cell>
          <cell r="D129">
            <v>0</v>
          </cell>
          <cell r="E129">
            <v>20.680633001583054</v>
          </cell>
          <cell r="G129" t="e">
            <v>#DIV/0!</v>
          </cell>
          <cell r="O129" t="e">
            <v>#DIV/0!</v>
          </cell>
          <cell r="P129" t="e">
            <v>#DIV/0!</v>
          </cell>
          <cell r="Q129" t="e">
            <v>#DIV/0!</v>
          </cell>
        </row>
        <row r="130">
          <cell r="B130" t="str">
            <v>52 Week Market High/Low</v>
          </cell>
          <cell r="C130">
            <v>169.5</v>
          </cell>
          <cell r="D130">
            <v>158.35000000000002</v>
          </cell>
          <cell r="E130">
            <v>327.85</v>
          </cell>
          <cell r="G130" t="str">
            <v>LTM EBITDA Purchase Multiple at 7.0%-11.0% WACC at 13.0x Exit EBITDA</v>
          </cell>
          <cell r="O130" t="e">
            <v>#DIV/0!</v>
          </cell>
          <cell r="P130" t="e">
            <v>#DIV/0!</v>
          </cell>
          <cell r="Q130" t="e">
            <v>#DIV/0!</v>
          </cell>
        </row>
      </sheetData>
      <sheetData sheetId="10"/>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A1EF-DD86-43F0-AF53-6181CD7220DC}">
  <sheetPr>
    <tabColor rgb="FF002060"/>
  </sheetPr>
  <dimension ref="A2:AO134"/>
  <sheetViews>
    <sheetView showGridLines="0" topLeftCell="A4" zoomScaleNormal="100" workbookViewId="0">
      <selection activeCell="B4" sqref="B4"/>
    </sheetView>
  </sheetViews>
  <sheetFormatPr defaultRowHeight="12" outlineLevelCol="1"/>
  <cols>
    <col min="1" max="1" width="1.625" style="5" bestFit="1" customWidth="1"/>
    <col min="2" max="2" width="43.25" style="5" bestFit="1" customWidth="1"/>
    <col min="3" max="8" width="8.625" style="5" hidden="1" customWidth="1" outlineLevel="1"/>
    <col min="9" max="9" width="8.75" style="5" bestFit="1" customWidth="1" collapsed="1"/>
    <col min="10" max="10" width="8.75" style="5" bestFit="1" customWidth="1"/>
    <col min="11" max="11" width="9.5" style="5" bestFit="1" customWidth="1"/>
    <col min="12" max="12" width="1.5" style="5" customWidth="1"/>
    <col min="13" max="13" width="8.625" style="5" hidden="1" customWidth="1" outlineLevel="1"/>
    <col min="14" max="15" width="7.875" style="5" hidden="1" customWidth="1" outlineLevel="1"/>
    <col min="16" max="17" width="8.625" style="5" hidden="1" customWidth="1" outlineLevel="1"/>
    <col min="18" max="18" width="8" style="5" hidden="1" customWidth="1" outlineLevel="1"/>
    <col min="19" max="19" width="8.25" style="5" hidden="1" customWidth="1" outlineLevel="1"/>
    <col min="20" max="22" width="8.625" style="5" hidden="1" customWidth="1" outlineLevel="1"/>
    <col min="23" max="23" width="8.75" style="5" bestFit="1" customWidth="1" collapsed="1"/>
    <col min="24" max="27" width="9.5" style="5" bestFit="1" customWidth="1"/>
    <col min="28" max="28" width="1.5" style="5" customWidth="1"/>
    <col min="29" max="34" width="9" style="5" hidden="1" customWidth="1" outlineLevel="1"/>
    <col min="35" max="35" width="9" style="5" bestFit="1" customWidth="1" collapsed="1"/>
    <col min="36" max="38" width="9" style="5" hidden="1" customWidth="1" outlineLevel="1"/>
    <col min="39" max="39" width="9" style="5" bestFit="1" customWidth="1" collapsed="1"/>
    <col min="40" max="40" width="1.25" style="5" customWidth="1"/>
    <col min="41" max="41" width="8.125" style="5" bestFit="1" customWidth="1"/>
    <col min="42" max="42" width="1.375" style="5" customWidth="1"/>
    <col min="43" max="16384" width="9" style="5"/>
  </cols>
  <sheetData>
    <row r="2" spans="1:41" ht="12.75" customHeight="1">
      <c r="B2" s="1" t="s">
        <v>308</v>
      </c>
      <c r="C2" s="2" t="s">
        <v>0</v>
      </c>
      <c r="D2" s="2" t="s">
        <v>0</v>
      </c>
      <c r="E2" s="2" t="s">
        <v>0</v>
      </c>
      <c r="F2" s="2" t="s">
        <v>0</v>
      </c>
      <c r="G2" s="2" t="s">
        <v>0</v>
      </c>
      <c r="H2" s="2"/>
      <c r="I2" s="2" t="s">
        <v>0</v>
      </c>
      <c r="J2" s="2"/>
      <c r="K2" s="2"/>
      <c r="L2" s="3"/>
      <c r="M2" s="2" t="s">
        <v>1</v>
      </c>
      <c r="N2" s="2"/>
      <c r="O2" s="2"/>
      <c r="P2" s="2"/>
      <c r="Q2" s="2"/>
      <c r="R2" s="2"/>
      <c r="S2" s="2" t="s">
        <v>1</v>
      </c>
      <c r="T2" s="2"/>
      <c r="U2" s="2"/>
      <c r="V2" s="2" t="s">
        <v>1</v>
      </c>
      <c r="W2" s="2" t="s">
        <v>1</v>
      </c>
      <c r="X2" s="2"/>
      <c r="Y2" s="2"/>
      <c r="Z2" s="2"/>
      <c r="AA2" s="2"/>
      <c r="AB2" s="3"/>
      <c r="AC2" s="2"/>
      <c r="AD2" s="2"/>
      <c r="AE2" s="2"/>
      <c r="AF2" s="2"/>
      <c r="AG2" s="2"/>
      <c r="AH2" s="2"/>
      <c r="AI2" s="2" t="s">
        <v>10</v>
      </c>
      <c r="AJ2" s="2"/>
      <c r="AK2" s="2"/>
      <c r="AL2" s="2"/>
      <c r="AM2" s="2"/>
      <c r="AN2" s="3"/>
      <c r="AO2" s="4" t="s">
        <v>40</v>
      </c>
    </row>
    <row r="3" spans="1:41" ht="12.75" customHeight="1">
      <c r="B3" s="6" t="s">
        <v>97</v>
      </c>
      <c r="C3" s="7">
        <v>2016</v>
      </c>
      <c r="D3" s="7">
        <v>2017</v>
      </c>
      <c r="E3" s="7">
        <v>2018</v>
      </c>
      <c r="F3" s="7">
        <v>2019</v>
      </c>
      <c r="G3" s="7">
        <v>2020</v>
      </c>
      <c r="H3" s="7">
        <v>2021</v>
      </c>
      <c r="I3" s="7">
        <v>2022</v>
      </c>
      <c r="J3" s="7">
        <v>2023</v>
      </c>
      <c r="K3" s="7">
        <v>2024</v>
      </c>
      <c r="L3" s="3"/>
      <c r="M3" s="8" t="s">
        <v>42</v>
      </c>
      <c r="N3" s="8" t="s">
        <v>43</v>
      </c>
      <c r="O3" s="8" t="s">
        <v>44</v>
      </c>
      <c r="P3" s="8" t="s">
        <v>45</v>
      </c>
      <c r="Q3" s="8" t="s">
        <v>6</v>
      </c>
      <c r="R3" s="8" t="s">
        <v>7</v>
      </c>
      <c r="S3" s="8" t="s">
        <v>8</v>
      </c>
      <c r="T3" s="8" t="s">
        <v>9</v>
      </c>
      <c r="U3" s="8" t="s">
        <v>2</v>
      </c>
      <c r="V3" s="8" t="s">
        <v>3</v>
      </c>
      <c r="W3" s="8" t="s">
        <v>4</v>
      </c>
      <c r="X3" s="8" t="s">
        <v>5</v>
      </c>
      <c r="Y3" s="8" t="s">
        <v>46</v>
      </c>
      <c r="Z3" s="8" t="s">
        <v>47</v>
      </c>
      <c r="AA3" s="8" t="s">
        <v>109</v>
      </c>
      <c r="AB3" s="3"/>
      <c r="AC3" s="8" t="str">
        <f>Q3</f>
        <v>1Q23</v>
      </c>
      <c r="AD3" s="8" t="str">
        <f>R3</f>
        <v>2Q23</v>
      </c>
      <c r="AE3" s="8" t="str">
        <f>S3</f>
        <v>3Q23</v>
      </c>
      <c r="AF3" s="8" t="str">
        <f>T3</f>
        <v>4Q23</v>
      </c>
      <c r="AG3" s="8" t="str">
        <f>U3</f>
        <v>1Q24</v>
      </c>
      <c r="AH3" s="8" t="str">
        <f>V3</f>
        <v>2Q24</v>
      </c>
      <c r="AI3" s="8" t="str">
        <f>W3</f>
        <v>3Q24</v>
      </c>
      <c r="AJ3" s="8" t="str">
        <f>X3</f>
        <v>4Q24</v>
      </c>
      <c r="AK3" s="8" t="str">
        <f>Y3</f>
        <v>1Q25</v>
      </c>
      <c r="AL3" s="8" t="str">
        <f t="shared" ref="AL3:AL4" si="0">Z3</f>
        <v>2Q25</v>
      </c>
      <c r="AM3" s="8" t="str">
        <f>AA3</f>
        <v>3Q25</v>
      </c>
      <c r="AN3" s="3"/>
      <c r="AO3" s="4"/>
    </row>
    <row r="4" spans="1:41" ht="12.75" customHeight="1">
      <c r="B4" s="6" t="s">
        <v>110</v>
      </c>
      <c r="C4" s="3">
        <v>42643</v>
      </c>
      <c r="D4" s="3">
        <v>43008</v>
      </c>
      <c r="E4" s="3">
        <v>43372</v>
      </c>
      <c r="F4" s="3">
        <v>43737</v>
      </c>
      <c r="G4" s="3">
        <v>44104</v>
      </c>
      <c r="H4" s="3">
        <v>44469</v>
      </c>
      <c r="I4" s="3">
        <v>44834</v>
      </c>
      <c r="J4" s="198">
        <v>45192</v>
      </c>
      <c r="K4" s="3">
        <v>45559</v>
      </c>
      <c r="L4" s="3"/>
      <c r="M4" s="3">
        <v>44560</v>
      </c>
      <c r="N4" s="3">
        <v>44650</v>
      </c>
      <c r="O4" s="3">
        <v>44742</v>
      </c>
      <c r="P4" s="3">
        <f>I4</f>
        <v>44834</v>
      </c>
      <c r="Q4" s="3">
        <v>44917</v>
      </c>
      <c r="R4" s="3">
        <v>45008</v>
      </c>
      <c r="S4" s="3">
        <v>45100</v>
      </c>
      <c r="T4" s="3">
        <f>J4</f>
        <v>45192</v>
      </c>
      <c r="U4" s="3">
        <v>45283</v>
      </c>
      <c r="V4" s="3">
        <v>45375</v>
      </c>
      <c r="W4" s="3">
        <v>45467</v>
      </c>
      <c r="X4" s="3">
        <f>K4</f>
        <v>45559</v>
      </c>
      <c r="Y4" s="3">
        <v>45650</v>
      </c>
      <c r="Z4" s="3">
        <v>45741</v>
      </c>
      <c r="AA4" s="3">
        <v>45833</v>
      </c>
      <c r="AB4" s="3"/>
      <c r="AC4" s="3">
        <f>Q4</f>
        <v>44917</v>
      </c>
      <c r="AD4" s="3">
        <f>R4</f>
        <v>45008</v>
      </c>
      <c r="AE4" s="3">
        <f>S4</f>
        <v>45100</v>
      </c>
      <c r="AF4" s="3">
        <f>T4</f>
        <v>45192</v>
      </c>
      <c r="AG4" s="3">
        <f>U4</f>
        <v>45283</v>
      </c>
      <c r="AH4" s="3">
        <f>V4</f>
        <v>45375</v>
      </c>
      <c r="AI4" s="3">
        <f>W4</f>
        <v>45467</v>
      </c>
      <c r="AJ4" s="3">
        <f>X4</f>
        <v>45559</v>
      </c>
      <c r="AK4" s="3">
        <f>Y4</f>
        <v>45650</v>
      </c>
      <c r="AL4" s="3">
        <f t="shared" si="0"/>
        <v>45741</v>
      </c>
      <c r="AM4" s="3">
        <f>AA4</f>
        <v>45833</v>
      </c>
      <c r="AN4" s="3"/>
      <c r="AO4" s="4"/>
    </row>
    <row r="5" spans="1:41" ht="5.0999999999999996" customHeight="1"/>
    <row r="6" spans="1:41" ht="12.75" customHeight="1">
      <c r="A6" s="5" t="s">
        <v>27</v>
      </c>
      <c r="B6" s="37" t="s">
        <v>25</v>
      </c>
      <c r="C6" s="8"/>
      <c r="D6" s="8"/>
      <c r="E6" s="8"/>
      <c r="F6" s="8"/>
      <c r="G6" s="8"/>
      <c r="H6" s="8"/>
      <c r="I6" s="8"/>
      <c r="J6" s="8"/>
      <c r="K6" s="8"/>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row>
    <row r="7" spans="1:41" ht="5.0999999999999996" customHeight="1">
      <c r="AO7" s="92"/>
    </row>
    <row r="8" spans="1:41" ht="12.75" customHeight="1">
      <c r="B8" s="11" t="s">
        <v>98</v>
      </c>
      <c r="C8" s="28">
        <v>215639</v>
      </c>
      <c r="D8" s="428">
        <v>229234</v>
      </c>
      <c r="E8" s="428">
        <v>265595</v>
      </c>
      <c r="F8" s="428">
        <v>260174</v>
      </c>
      <c r="G8" s="428">
        <v>274515</v>
      </c>
      <c r="H8" s="428">
        <v>365817</v>
      </c>
      <c r="I8" s="428">
        <v>394328</v>
      </c>
      <c r="J8" s="428">
        <v>383285</v>
      </c>
      <c r="K8" s="428">
        <v>391035</v>
      </c>
      <c r="L8" s="13"/>
      <c r="M8" s="428">
        <v>123945</v>
      </c>
      <c r="N8" s="428">
        <v>97278</v>
      </c>
      <c r="O8" s="428">
        <v>82959</v>
      </c>
      <c r="P8" s="36">
        <f t="shared" ref="P8" si="1">SUM(I8-SUM(M8:O8))</f>
        <v>90146</v>
      </c>
      <c r="Q8" s="428">
        <v>117154</v>
      </c>
      <c r="R8" s="428">
        <v>94836</v>
      </c>
      <c r="S8" s="428">
        <v>81797</v>
      </c>
      <c r="T8" s="36">
        <f t="shared" ref="T8" si="2">SUM(J8-SUM(Q8:S8))</f>
        <v>89498</v>
      </c>
      <c r="U8" s="428">
        <v>119575</v>
      </c>
      <c r="V8" s="428">
        <v>90753</v>
      </c>
      <c r="W8" s="428">
        <v>85777</v>
      </c>
      <c r="X8" s="36">
        <f t="shared" ref="X8" si="3">SUM(K8-SUM(U8:W8))</f>
        <v>94930</v>
      </c>
      <c r="Y8" s="103">
        <v>124300</v>
      </c>
      <c r="Z8" s="103">
        <v>95359</v>
      </c>
      <c r="AA8" s="103">
        <v>94036</v>
      </c>
      <c r="AC8" s="36">
        <f>SUM(N8:Q8)</f>
        <v>387537</v>
      </c>
      <c r="AD8" s="36">
        <f>SUM(O8:R8)</f>
        <v>385095</v>
      </c>
      <c r="AE8" s="36">
        <f>SUM(P8:S8)</f>
        <v>383933</v>
      </c>
      <c r="AF8" s="36">
        <f>SUM(Q8:T8)</f>
        <v>383285</v>
      </c>
      <c r="AG8" s="36">
        <f>SUM(R8:U8)</f>
        <v>385706</v>
      </c>
      <c r="AH8" s="36">
        <f>SUM(S8:V8)</f>
        <v>381623</v>
      </c>
      <c r="AI8" s="36">
        <f>SUM(T8:W8)</f>
        <v>385603</v>
      </c>
      <c r="AJ8" s="36">
        <f>SUM(U8:X8)</f>
        <v>391035</v>
      </c>
      <c r="AK8" s="36">
        <f>SUM(V8:Y8)</f>
        <v>395760</v>
      </c>
      <c r="AL8" s="36">
        <f>SUM(W8:Z8)</f>
        <v>400366</v>
      </c>
      <c r="AM8" s="36">
        <f>SUM(X8:AA8)</f>
        <v>408625</v>
      </c>
      <c r="AN8" s="46"/>
      <c r="AO8" s="92">
        <f>SUM(AM8/AI8)-1</f>
        <v>5.9703892345235987E-2</v>
      </c>
    </row>
    <row r="9" spans="1:41" ht="12.75" customHeight="1">
      <c r="B9" s="15" t="s">
        <v>13</v>
      </c>
      <c r="C9" s="16">
        <f t="shared" ref="C9:F9" si="4">+SUM(C8:C8)</f>
        <v>215639</v>
      </c>
      <c r="D9" s="16">
        <f t="shared" si="4"/>
        <v>229234</v>
      </c>
      <c r="E9" s="16">
        <f t="shared" si="4"/>
        <v>265595</v>
      </c>
      <c r="F9" s="16">
        <f t="shared" si="4"/>
        <v>260174</v>
      </c>
      <c r="G9" s="16">
        <f>+SUM(G8:G8)</f>
        <v>274515</v>
      </c>
      <c r="H9" s="16">
        <f>+SUM(H8:H8)</f>
        <v>365817</v>
      </c>
      <c r="I9" s="16">
        <f>+SUM(I8:I8)</f>
        <v>394328</v>
      </c>
      <c r="J9" s="16">
        <f>+SUM(J8:J8)</f>
        <v>383285</v>
      </c>
      <c r="K9" s="16">
        <f>+SUM(K8:K8)</f>
        <v>391035</v>
      </c>
      <c r="L9" s="13"/>
      <c r="M9" s="16">
        <f>+SUM(M8:M8)</f>
        <v>123945</v>
      </c>
      <c r="N9" s="16">
        <f>+SUM(N8:N8)</f>
        <v>97278</v>
      </c>
      <c r="O9" s="16">
        <f>+SUM(O8:O8)</f>
        <v>82959</v>
      </c>
      <c r="P9" s="16">
        <f>+SUM(P8:P8)</f>
        <v>90146</v>
      </c>
      <c r="Q9" s="16">
        <f>+SUM(Q8:Q8)</f>
        <v>117154</v>
      </c>
      <c r="R9" s="16">
        <f>+SUM(R8:R8)</f>
        <v>94836</v>
      </c>
      <c r="S9" s="16">
        <f>+SUM(S8:S8)</f>
        <v>81797</v>
      </c>
      <c r="T9" s="16">
        <f>+SUM(T8:T8)</f>
        <v>89498</v>
      </c>
      <c r="U9" s="16">
        <f>+SUM(U8:U8)</f>
        <v>119575</v>
      </c>
      <c r="V9" s="16">
        <f>+SUM(V8:V8)</f>
        <v>90753</v>
      </c>
      <c r="W9" s="16">
        <f>+SUM(W8:W8)</f>
        <v>85777</v>
      </c>
      <c r="X9" s="16">
        <f>+SUM(X8:X8)</f>
        <v>94930</v>
      </c>
      <c r="Y9" s="16">
        <f>+SUM(Y8:Y8)</f>
        <v>124300</v>
      </c>
      <c r="Z9" s="16">
        <f>+SUM(Z8:Z8)</f>
        <v>95359</v>
      </c>
      <c r="AA9" s="16">
        <f>+SUM(AA8:AA8)</f>
        <v>94036</v>
      </c>
      <c r="AC9" s="16">
        <f t="shared" ref="AC9:AD9" si="5">+SUM(AC8:AC8)</f>
        <v>387537</v>
      </c>
      <c r="AD9" s="16">
        <f t="shared" si="5"/>
        <v>385095</v>
      </c>
      <c r="AE9" s="16">
        <f t="shared" ref="AE9" si="6">+SUM(AE8:AE8)</f>
        <v>383933</v>
      </c>
      <c r="AF9" s="16">
        <f t="shared" ref="AF9" si="7">+SUM(AF8:AF8)</f>
        <v>383285</v>
      </c>
      <c r="AG9" s="16">
        <f t="shared" ref="AG9" si="8">+SUM(AG8:AG8)</f>
        <v>385706</v>
      </c>
      <c r="AH9" s="16">
        <f t="shared" ref="AH9" si="9">+SUM(AH8:AH8)</f>
        <v>381623</v>
      </c>
      <c r="AI9" s="16">
        <f t="shared" ref="AI9" si="10">+SUM(AI8:AI8)</f>
        <v>385603</v>
      </c>
      <c r="AJ9" s="16">
        <f t="shared" ref="AJ9:AL9" si="11">+SUM(AJ8:AJ8)</f>
        <v>391035</v>
      </c>
      <c r="AK9" s="16">
        <f t="shared" si="11"/>
        <v>395760</v>
      </c>
      <c r="AL9" s="16">
        <f t="shared" si="11"/>
        <v>400366</v>
      </c>
      <c r="AM9" s="16">
        <f>+SUM(AM8:AM8)</f>
        <v>408625</v>
      </c>
      <c r="AN9" s="46"/>
      <c r="AO9" s="93">
        <f t="shared" ref="AO9:AO24" si="12">SUM(AM9/AI9)-1</f>
        <v>5.9703892345235987E-2</v>
      </c>
    </row>
    <row r="10" spans="1:41" s="24" customFormat="1" ht="5.0999999999999996" customHeight="1">
      <c r="B10" s="22"/>
      <c r="C10" s="23"/>
      <c r="D10" s="23"/>
      <c r="E10" s="23"/>
      <c r="F10" s="23"/>
      <c r="G10" s="23"/>
      <c r="H10" s="23"/>
      <c r="I10" s="23"/>
      <c r="J10" s="23"/>
      <c r="K10" s="23"/>
      <c r="M10" s="25"/>
      <c r="N10" s="25"/>
      <c r="O10" s="25"/>
      <c r="P10" s="26"/>
      <c r="Q10" s="25"/>
      <c r="R10" s="25"/>
      <c r="S10" s="25"/>
      <c r="T10" s="26"/>
      <c r="U10" s="25"/>
      <c r="V10" s="25"/>
      <c r="W10" s="25"/>
      <c r="X10" s="25"/>
      <c r="Y10" s="25"/>
      <c r="Z10" s="25"/>
      <c r="AA10" s="25"/>
      <c r="AO10" s="92"/>
    </row>
    <row r="11" spans="1:41" ht="12.75" customHeight="1">
      <c r="B11" s="11" t="s">
        <v>14</v>
      </c>
      <c r="C11" s="36">
        <v>-131376</v>
      </c>
      <c r="D11" s="103">
        <v>-141048</v>
      </c>
      <c r="E11" s="103">
        <v>-163756</v>
      </c>
      <c r="F11" s="103">
        <v>-161782</v>
      </c>
      <c r="G11" s="103">
        <v>-169559</v>
      </c>
      <c r="H11" s="103">
        <v>-212981</v>
      </c>
      <c r="I11" s="103">
        <v>-223546</v>
      </c>
      <c r="J11" s="103">
        <v>-214137</v>
      </c>
      <c r="K11" s="103">
        <v>-210352</v>
      </c>
      <c r="L11" s="28"/>
      <c r="M11" s="103">
        <v>-69702</v>
      </c>
      <c r="N11" s="103">
        <v>-54719</v>
      </c>
      <c r="O11" s="103">
        <v>-47074</v>
      </c>
      <c r="P11" s="36">
        <f t="shared" ref="P11" si="13">SUM(I11-SUM(M11:O11))</f>
        <v>-52051</v>
      </c>
      <c r="Q11" s="103">
        <v>-66822</v>
      </c>
      <c r="R11" s="103">
        <v>-52860</v>
      </c>
      <c r="S11" s="103">
        <v>-45384</v>
      </c>
      <c r="T11" s="36">
        <f t="shared" ref="T11" si="14">SUM(J11-SUM(Q11:S11))</f>
        <v>-49071</v>
      </c>
      <c r="U11" s="428">
        <v>-64720</v>
      </c>
      <c r="V11" s="428">
        <v>-48482</v>
      </c>
      <c r="W11" s="428">
        <v>-46099</v>
      </c>
      <c r="X11" s="36">
        <f t="shared" ref="X11" si="15">SUM(K11-SUM(U11:W11))</f>
        <v>-51051</v>
      </c>
      <c r="Y11" s="103">
        <v>-66025</v>
      </c>
      <c r="Z11" s="103">
        <v>-50492</v>
      </c>
      <c r="AA11" s="103">
        <v>-50318</v>
      </c>
      <c r="AC11" s="36">
        <f>SUM(N11:Q11)</f>
        <v>-220666</v>
      </c>
      <c r="AD11" s="36">
        <f>SUM(O11:R11)</f>
        <v>-218807</v>
      </c>
      <c r="AE11" s="36">
        <f>SUM(P11:S11)</f>
        <v>-217117</v>
      </c>
      <c r="AF11" s="36">
        <f>SUM(Q11:T11)</f>
        <v>-214137</v>
      </c>
      <c r="AG11" s="36">
        <f>SUM(R11:U11)</f>
        <v>-212035</v>
      </c>
      <c r="AH11" s="36">
        <f>SUM(S11:V11)</f>
        <v>-207657</v>
      </c>
      <c r="AI11" s="36">
        <f>SUM(T11:W11)</f>
        <v>-208372</v>
      </c>
      <c r="AJ11" s="36">
        <f>SUM(U11:X11)</f>
        <v>-210352</v>
      </c>
      <c r="AK11" s="36">
        <f>SUM(V11:Y11)</f>
        <v>-211657</v>
      </c>
      <c r="AL11" s="36">
        <f>SUM(W11:Z11)</f>
        <v>-213667</v>
      </c>
      <c r="AM11" s="36">
        <f>SUM(X11:AA11)</f>
        <v>-217886</v>
      </c>
      <c r="AN11" s="13"/>
      <c r="AO11" s="92">
        <f t="shared" si="12"/>
        <v>4.5658725740502559E-2</v>
      </c>
    </row>
    <row r="12" spans="1:41" ht="12.75" customHeight="1">
      <c r="B12" s="29" t="s">
        <v>33</v>
      </c>
      <c r="C12" s="30">
        <f t="shared" ref="C12:F12" si="16">+SUM(C9+SUM(C11:C11))</f>
        <v>84263</v>
      </c>
      <c r="D12" s="30">
        <f t="shared" si="16"/>
        <v>88186</v>
      </c>
      <c r="E12" s="30">
        <f t="shared" si="16"/>
        <v>101839</v>
      </c>
      <c r="F12" s="30">
        <f t="shared" si="16"/>
        <v>98392</v>
      </c>
      <c r="G12" s="30">
        <f>+SUM(G9+SUM(G11:G11))</f>
        <v>104956</v>
      </c>
      <c r="H12" s="30">
        <f>+SUM(H9+SUM(H11:H11))</f>
        <v>152836</v>
      </c>
      <c r="I12" s="30">
        <f>+SUM(I9+SUM(I11:I11))</f>
        <v>170782</v>
      </c>
      <c r="J12" s="30">
        <f>+SUM(J9+SUM(J11:J11))</f>
        <v>169148</v>
      </c>
      <c r="K12" s="30">
        <f>+SUM(K9+SUM(K11:K11))</f>
        <v>180683</v>
      </c>
      <c r="M12" s="30">
        <f>+SUM(M9+SUM(M11:M11))</f>
        <v>54243</v>
      </c>
      <c r="N12" s="30">
        <f>+SUM(N9+SUM(N11:N11))</f>
        <v>42559</v>
      </c>
      <c r="O12" s="30">
        <f>+SUM(O9+SUM(O11:O11))</f>
        <v>35885</v>
      </c>
      <c r="P12" s="30">
        <f>+SUM(P9+SUM(P11:P11))</f>
        <v>38095</v>
      </c>
      <c r="Q12" s="30">
        <f>+SUM(Q9+SUM(Q11:Q11))</f>
        <v>50332</v>
      </c>
      <c r="R12" s="30">
        <f>+SUM(R9+SUM(R11:R11))</f>
        <v>41976</v>
      </c>
      <c r="S12" s="30">
        <f>+SUM(S9+SUM(S11:S11))</f>
        <v>36413</v>
      </c>
      <c r="T12" s="30">
        <f>+SUM(T9+SUM(T11:T11))</f>
        <v>40427</v>
      </c>
      <c r="U12" s="30">
        <f>+SUM(U9+SUM(U11:U11))</f>
        <v>54855</v>
      </c>
      <c r="V12" s="30">
        <f>+SUM(V9+SUM(V11:V11))</f>
        <v>42271</v>
      </c>
      <c r="W12" s="30">
        <f>+SUM(W9+SUM(W11:W11))</f>
        <v>39678</v>
      </c>
      <c r="X12" s="30">
        <f>+SUM(X9+SUM(X11:X11))</f>
        <v>43879</v>
      </c>
      <c r="Y12" s="30">
        <f>+SUM(Y9+SUM(Y11:Y11))</f>
        <v>58275</v>
      </c>
      <c r="Z12" s="30">
        <f>+SUM(Z9+SUM(Z11:Z11))</f>
        <v>44867</v>
      </c>
      <c r="AA12" s="30">
        <f>+SUM(AA9+SUM(AA11:AA11))</f>
        <v>43718</v>
      </c>
      <c r="AC12" s="30">
        <f t="shared" ref="AC12:AD12" si="17">+SUM(AC9+SUM(AC11:AC11))</f>
        <v>166871</v>
      </c>
      <c r="AD12" s="30">
        <f t="shared" si="17"/>
        <v>166288</v>
      </c>
      <c r="AE12" s="30">
        <f t="shared" ref="AE12" si="18">+SUM(AE9+SUM(AE11:AE11))</f>
        <v>166816</v>
      </c>
      <c r="AF12" s="30">
        <f t="shared" ref="AF12" si="19">+SUM(AF9+SUM(AF11:AF11))</f>
        <v>169148</v>
      </c>
      <c r="AG12" s="30">
        <f t="shared" ref="AG12" si="20">+SUM(AG9+SUM(AG11:AG11))</f>
        <v>173671</v>
      </c>
      <c r="AH12" s="30">
        <f t="shared" ref="AH12" si="21">+SUM(AH9+SUM(AH11:AH11))</f>
        <v>173966</v>
      </c>
      <c r="AI12" s="30">
        <f t="shared" ref="AI12" si="22">+SUM(AI9+SUM(AI11:AI11))</f>
        <v>177231</v>
      </c>
      <c r="AJ12" s="30">
        <f t="shared" ref="AJ12:AL12" si="23">+SUM(AJ9+SUM(AJ11:AJ11))</f>
        <v>180683</v>
      </c>
      <c r="AK12" s="30">
        <f t="shared" si="23"/>
        <v>184103</v>
      </c>
      <c r="AL12" s="30">
        <f t="shared" si="23"/>
        <v>186699</v>
      </c>
      <c r="AM12" s="30">
        <f>+SUM(AM9+SUM(AM11:AM11))</f>
        <v>190739</v>
      </c>
      <c r="AN12" s="48"/>
      <c r="AO12" s="93">
        <f t="shared" si="12"/>
        <v>7.6216914648114642E-2</v>
      </c>
    </row>
    <row r="13" spans="1:41" ht="12.75" customHeight="1">
      <c r="B13" s="18" t="s">
        <v>53</v>
      </c>
      <c r="C13" s="20">
        <f t="shared" ref="C13:F13" si="24">C12/C9</f>
        <v>0.39075955648097049</v>
      </c>
      <c r="D13" s="20">
        <f t="shared" si="24"/>
        <v>0.38469860491899105</v>
      </c>
      <c r="E13" s="20">
        <f t="shared" si="24"/>
        <v>0.38343718820007905</v>
      </c>
      <c r="F13" s="20">
        <f t="shared" si="24"/>
        <v>0.37817768109034722</v>
      </c>
      <c r="G13" s="20">
        <f>G12/G9</f>
        <v>0.38233247727810865</v>
      </c>
      <c r="H13" s="20">
        <f>H12/H9</f>
        <v>0.41779359625167778</v>
      </c>
      <c r="I13" s="20">
        <f>I12/I9</f>
        <v>0.43309630561360085</v>
      </c>
      <c r="J13" s="20">
        <f>J12/J9</f>
        <v>0.44131129577207562</v>
      </c>
      <c r="K13" s="20">
        <f>K12/K9</f>
        <v>0.46206349815233932</v>
      </c>
      <c r="L13" s="31"/>
      <c r="M13" s="20">
        <f>M12/M9</f>
        <v>0.43763766186615033</v>
      </c>
      <c r="N13" s="20">
        <f>N12/N9</f>
        <v>0.43749871502292398</v>
      </c>
      <c r="O13" s="20">
        <f>O12/O9</f>
        <v>0.43256307332537758</v>
      </c>
      <c r="P13" s="20">
        <f>P12/P9</f>
        <v>0.4225922392563175</v>
      </c>
      <c r="Q13" s="20">
        <f>Q12/Q9</f>
        <v>0.42962254809908323</v>
      </c>
      <c r="R13" s="20">
        <f>R12/R9</f>
        <v>0.44261672782487665</v>
      </c>
      <c r="S13" s="20">
        <f>S12/S9</f>
        <v>0.44516302553883397</v>
      </c>
      <c r="T13" s="20">
        <f>T12/T9</f>
        <v>0.45170841806520817</v>
      </c>
      <c r="U13" s="20">
        <f>U12/U9</f>
        <v>0.45874973865774621</v>
      </c>
      <c r="V13" s="20">
        <f>V12/V9</f>
        <v>0.46578074554009236</v>
      </c>
      <c r="W13" s="20">
        <f>W12/W9</f>
        <v>0.46257155181458898</v>
      </c>
      <c r="X13" s="20">
        <f>X12/X9</f>
        <v>0.4622247972190035</v>
      </c>
      <c r="Y13" s="20">
        <f>Y12/Y9</f>
        <v>0.46882542236524538</v>
      </c>
      <c r="Z13" s="20">
        <f>Z12/Z9</f>
        <v>0.47050619238876246</v>
      </c>
      <c r="AA13" s="20">
        <f>AA12/AA9</f>
        <v>0.46490705687183631</v>
      </c>
      <c r="AB13" s="32"/>
      <c r="AC13" s="20">
        <f t="shared" ref="AC13:AD13" si="25">AC12/AC9</f>
        <v>0.43059372395409989</v>
      </c>
      <c r="AD13" s="20">
        <f t="shared" si="25"/>
        <v>0.43181033251535333</v>
      </c>
      <c r="AE13" s="20">
        <f t="shared" ref="AE13" si="26">AE12/AE9</f>
        <v>0.43449247655189838</v>
      </c>
      <c r="AF13" s="20">
        <f t="shared" ref="AF13" si="27">AF12/AF9</f>
        <v>0.44131129577207562</v>
      </c>
      <c r="AG13" s="20">
        <f t="shared" ref="AG13" si="28">AG12/AG9</f>
        <v>0.45026782056799741</v>
      </c>
      <c r="AH13" s="20">
        <f t="shared" ref="AH13" si="29">AH12/AH9</f>
        <v>0.4558582685005883</v>
      </c>
      <c r="AI13" s="20">
        <f t="shared" ref="AI13" si="30">AI12/AI9</f>
        <v>0.45962038677084982</v>
      </c>
      <c r="AJ13" s="20">
        <f t="shared" ref="AJ13:AL13" si="31">AJ12/AJ9</f>
        <v>0.46206349815233932</v>
      </c>
      <c r="AK13" s="20">
        <f t="shared" si="31"/>
        <v>0.46518849807964424</v>
      </c>
      <c r="AL13" s="20">
        <f t="shared" si="31"/>
        <v>0.46632081645294554</v>
      </c>
      <c r="AM13" s="20">
        <f>AM12/AM9</f>
        <v>0.46678250229427959</v>
      </c>
      <c r="AN13" s="48"/>
      <c r="AO13" s="94">
        <f>SUM(AM13-AI13)*1000</f>
        <v>7.1621155234297689</v>
      </c>
    </row>
    <row r="14" spans="1:41" ht="5.0999999999999996" customHeight="1">
      <c r="B14" s="33"/>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C14" s="34"/>
      <c r="AD14" s="34"/>
      <c r="AE14" s="34"/>
      <c r="AF14" s="34"/>
      <c r="AG14" s="34"/>
      <c r="AH14" s="34"/>
      <c r="AI14" s="34"/>
      <c r="AJ14" s="34"/>
      <c r="AK14" s="34"/>
      <c r="AL14" s="34"/>
      <c r="AM14" s="34"/>
      <c r="AN14" s="48"/>
      <c r="AO14" s="92"/>
    </row>
    <row r="15" spans="1:41" ht="12.75" customHeight="1">
      <c r="B15" s="11" t="s">
        <v>338</v>
      </c>
      <c r="C15" s="36">
        <v>-10045</v>
      </c>
      <c r="D15" s="103">
        <v>-11581</v>
      </c>
      <c r="E15" s="103">
        <v>-14236</v>
      </c>
      <c r="F15" s="103">
        <v>-16217</v>
      </c>
      <c r="G15" s="103">
        <v>-18752</v>
      </c>
      <c r="H15" s="103">
        <v>-21914</v>
      </c>
      <c r="I15" s="103">
        <v>-26251</v>
      </c>
      <c r="J15" s="103">
        <v>-29915</v>
      </c>
      <c r="K15" s="103">
        <v>-31370</v>
      </c>
      <c r="L15" s="36"/>
      <c r="M15" s="103">
        <v>-6306</v>
      </c>
      <c r="N15" s="103">
        <v>-6387</v>
      </c>
      <c r="O15" s="103">
        <v>-6797</v>
      </c>
      <c r="P15" s="36">
        <f t="shared" ref="P15:P16" si="32">SUM(I15-SUM(M15:O15))</f>
        <v>-6761</v>
      </c>
      <c r="Q15" s="103">
        <v>-7709</v>
      </c>
      <c r="R15" s="103">
        <v>-7457</v>
      </c>
      <c r="S15" s="103">
        <v>-7442</v>
      </c>
      <c r="T15" s="36">
        <f t="shared" ref="T15:T16" si="33">SUM(J15-SUM(Q15:S15))</f>
        <v>-7307</v>
      </c>
      <c r="U15" s="428">
        <v>-7696</v>
      </c>
      <c r="V15" s="428">
        <v>-7903</v>
      </c>
      <c r="W15" s="428">
        <v>-8006</v>
      </c>
      <c r="X15" s="36">
        <f t="shared" ref="X15:X16" si="34">SUM(K15-SUM(U15:W15))</f>
        <v>-7765</v>
      </c>
      <c r="Y15" s="103">
        <v>-8268</v>
      </c>
      <c r="Z15" s="103">
        <v>-8550</v>
      </c>
      <c r="AA15" s="103">
        <v>-8866</v>
      </c>
      <c r="AC15" s="36">
        <f>SUM(N15:Q15)</f>
        <v>-27654</v>
      </c>
      <c r="AD15" s="36">
        <f>SUM(O15:R15)</f>
        <v>-28724</v>
      </c>
      <c r="AE15" s="36">
        <f>SUM(P15:S15)</f>
        <v>-29369</v>
      </c>
      <c r="AF15" s="36">
        <f>SUM(Q15:T15)</f>
        <v>-29915</v>
      </c>
      <c r="AG15" s="36">
        <f>SUM(R15:U15)</f>
        <v>-29902</v>
      </c>
      <c r="AH15" s="36">
        <f>SUM(S15:V15)</f>
        <v>-30348</v>
      </c>
      <c r="AI15" s="36">
        <f>SUM(T15:W15)</f>
        <v>-30912</v>
      </c>
      <c r="AJ15" s="36">
        <f>SUM(U15:X15)</f>
        <v>-31370</v>
      </c>
      <c r="AK15" s="36">
        <f>SUM(V15:Y15)</f>
        <v>-31942</v>
      </c>
      <c r="AL15" s="36">
        <f>SUM(W15:Z15)</f>
        <v>-32589</v>
      </c>
      <c r="AM15" s="36">
        <f>SUM(X15:AA15)</f>
        <v>-33449</v>
      </c>
      <c r="AN15" s="13"/>
      <c r="AO15" s="92">
        <f t="shared" si="12"/>
        <v>8.2071687370600444E-2</v>
      </c>
    </row>
    <row r="16" spans="1:41" ht="12.75" customHeight="1">
      <c r="B16" s="11" t="s">
        <v>339</v>
      </c>
      <c r="C16" s="36">
        <v>-14194</v>
      </c>
      <c r="D16" s="103">
        <v>-15261</v>
      </c>
      <c r="E16" s="103">
        <v>-16705</v>
      </c>
      <c r="F16" s="103">
        <v>-18245</v>
      </c>
      <c r="G16" s="103">
        <v>-19916</v>
      </c>
      <c r="H16" s="103">
        <v>-21973</v>
      </c>
      <c r="I16" s="103">
        <v>-25094</v>
      </c>
      <c r="J16" s="103">
        <v>-24932</v>
      </c>
      <c r="K16" s="103">
        <v>-26097</v>
      </c>
      <c r="L16" s="36"/>
      <c r="M16" s="103">
        <v>-6449</v>
      </c>
      <c r="N16" s="103">
        <v>-6193</v>
      </c>
      <c r="O16" s="103">
        <v>-6012</v>
      </c>
      <c r="P16" s="36">
        <f t="shared" si="32"/>
        <v>-6440</v>
      </c>
      <c r="Q16" s="103">
        <v>-6607</v>
      </c>
      <c r="R16" s="103">
        <v>-6201</v>
      </c>
      <c r="S16" s="103">
        <v>-5973</v>
      </c>
      <c r="T16" s="36">
        <f t="shared" si="33"/>
        <v>-6151</v>
      </c>
      <c r="U16" s="428">
        <v>-6786</v>
      </c>
      <c r="V16" s="428">
        <v>-6468</v>
      </c>
      <c r="W16" s="428">
        <v>-6320</v>
      </c>
      <c r="X16" s="36">
        <f t="shared" si="34"/>
        <v>-6523</v>
      </c>
      <c r="Y16" s="103">
        <v>-7175</v>
      </c>
      <c r="Z16" s="103">
        <v>-6728</v>
      </c>
      <c r="AA16" s="103">
        <v>-6650</v>
      </c>
      <c r="AC16" s="36">
        <f>SUM(N16:Q16)</f>
        <v>-25252</v>
      </c>
      <c r="AD16" s="36">
        <f>SUM(O16:R16)</f>
        <v>-25260</v>
      </c>
      <c r="AE16" s="36">
        <f>SUM(P16:S16)</f>
        <v>-25221</v>
      </c>
      <c r="AF16" s="36">
        <f>SUM(Q16:T16)</f>
        <v>-24932</v>
      </c>
      <c r="AG16" s="36">
        <f>SUM(R16:U16)</f>
        <v>-25111</v>
      </c>
      <c r="AH16" s="36">
        <f>SUM(S16:V16)</f>
        <v>-25378</v>
      </c>
      <c r="AI16" s="36">
        <f>SUM(T16:W16)</f>
        <v>-25725</v>
      </c>
      <c r="AJ16" s="36">
        <f>SUM(U16:X16)</f>
        <v>-26097</v>
      </c>
      <c r="AK16" s="36">
        <f>SUM(V16:Y16)</f>
        <v>-26486</v>
      </c>
      <c r="AL16" s="36">
        <f>SUM(W16:Z16)</f>
        <v>-26746</v>
      </c>
      <c r="AM16" s="36">
        <f>SUM(X16:AA16)</f>
        <v>-27076</v>
      </c>
      <c r="AN16" s="13"/>
      <c r="AO16" s="92">
        <f t="shared" si="12"/>
        <v>5.2517006802720978E-2</v>
      </c>
    </row>
    <row r="17" spans="2:41" ht="12.75" customHeight="1">
      <c r="B17" s="29" t="s">
        <v>85</v>
      </c>
      <c r="C17" s="30">
        <f t="shared" ref="C17:F17" si="35">SUM(C12+SUM(C15:C16))</f>
        <v>60024</v>
      </c>
      <c r="D17" s="30">
        <f t="shared" si="35"/>
        <v>61344</v>
      </c>
      <c r="E17" s="30">
        <f t="shared" si="35"/>
        <v>70898</v>
      </c>
      <c r="F17" s="30">
        <f t="shared" si="35"/>
        <v>63930</v>
      </c>
      <c r="G17" s="30">
        <f>SUM(G12+SUM(G15:G16))</f>
        <v>66288</v>
      </c>
      <c r="H17" s="30">
        <f>SUM(H12+SUM(H15:H16))</f>
        <v>108949</v>
      </c>
      <c r="I17" s="30">
        <f>SUM(I12+SUM(I15:I16))</f>
        <v>119437</v>
      </c>
      <c r="J17" s="30">
        <f>SUM(J12+SUM(J15:J16))</f>
        <v>114301</v>
      </c>
      <c r="K17" s="30">
        <f>SUM(K12+SUM(K15:K16))</f>
        <v>123216</v>
      </c>
      <c r="M17" s="30">
        <f>SUM(M12+SUM(M15:M16))</f>
        <v>41488</v>
      </c>
      <c r="N17" s="30">
        <f>SUM(N12+SUM(N15:N16))</f>
        <v>29979</v>
      </c>
      <c r="O17" s="30">
        <f>SUM(O12+SUM(O15:O16))</f>
        <v>23076</v>
      </c>
      <c r="P17" s="30">
        <f>SUM(P12+SUM(P15:P16))</f>
        <v>24894</v>
      </c>
      <c r="Q17" s="30">
        <f>SUM(Q12+SUM(Q15:Q16))</f>
        <v>36016</v>
      </c>
      <c r="R17" s="30">
        <f>SUM(R12+SUM(R15:R16))</f>
        <v>28318</v>
      </c>
      <c r="S17" s="30">
        <f>SUM(S12+SUM(S15:S16))</f>
        <v>22998</v>
      </c>
      <c r="T17" s="30">
        <f>SUM(T12+SUM(T15:T16))</f>
        <v>26969</v>
      </c>
      <c r="U17" s="30">
        <f>SUM(U12+SUM(U15:U16))</f>
        <v>40373</v>
      </c>
      <c r="V17" s="30">
        <f>SUM(V12+SUM(V15:V16))</f>
        <v>27900</v>
      </c>
      <c r="W17" s="30">
        <f>SUM(W12+SUM(W15:W16))</f>
        <v>25352</v>
      </c>
      <c r="X17" s="30">
        <f>SUM(X12+SUM(X15:X16))</f>
        <v>29591</v>
      </c>
      <c r="Y17" s="30">
        <f>SUM(Y12+SUM(Y15:Y16))</f>
        <v>42832</v>
      </c>
      <c r="Z17" s="30">
        <f>SUM(Z12+SUM(Z15:Z16))</f>
        <v>29589</v>
      </c>
      <c r="AA17" s="30">
        <f>SUM(AA12+SUM(AA15:AA16))</f>
        <v>28202</v>
      </c>
      <c r="AC17" s="30">
        <f>SUM(AC12+SUM(AC15:AC16))</f>
        <v>113965</v>
      </c>
      <c r="AD17" s="30">
        <f>SUM(AD12+SUM(AD15:AD16))</f>
        <v>112304</v>
      </c>
      <c r="AE17" s="30">
        <f>SUM(AE12+SUM(AE15:AE16))</f>
        <v>112226</v>
      </c>
      <c r="AF17" s="30">
        <f>SUM(AF12+SUM(AF15:AF16))</f>
        <v>114301</v>
      </c>
      <c r="AG17" s="30">
        <f>SUM(AG12+SUM(AG15:AG16))</f>
        <v>118658</v>
      </c>
      <c r="AH17" s="30">
        <f>SUM(AH12+SUM(AH15:AH16))</f>
        <v>118240</v>
      </c>
      <c r="AI17" s="30">
        <f>SUM(AI12+SUM(AI15:AI16))</f>
        <v>120594</v>
      </c>
      <c r="AJ17" s="30">
        <f>SUM(AJ12+SUM(AJ15:AJ16))</f>
        <v>123216</v>
      </c>
      <c r="AK17" s="30">
        <f>SUM(AK12+SUM(AK15:AK16))</f>
        <v>125675</v>
      </c>
      <c r="AL17" s="30">
        <f>SUM(AL12+SUM(AL15:AL16))</f>
        <v>127364</v>
      </c>
      <c r="AM17" s="30">
        <f>SUM(AM12+SUM(AM15:AM16))</f>
        <v>130214</v>
      </c>
      <c r="AN17" s="48"/>
      <c r="AO17" s="92">
        <f t="shared" si="12"/>
        <v>7.9771796275105E-2</v>
      </c>
    </row>
    <row r="18" spans="2:41" ht="12.75" customHeight="1">
      <c r="B18" s="18" t="s">
        <v>55</v>
      </c>
      <c r="C18" s="20">
        <f t="shared" ref="C18:F18" si="36">C17/C9</f>
        <v>0.27835410106706115</v>
      </c>
      <c r="D18" s="20">
        <f t="shared" si="36"/>
        <v>0.26760428208729942</v>
      </c>
      <c r="E18" s="20">
        <f t="shared" si="36"/>
        <v>0.26694026619477024</v>
      </c>
      <c r="F18" s="20">
        <f t="shared" si="36"/>
        <v>0.24572017188496928</v>
      </c>
      <c r="G18" s="20">
        <f>G17/G9</f>
        <v>0.24147314354406862</v>
      </c>
      <c r="H18" s="20">
        <f>H17/H9</f>
        <v>0.29782377527561593</v>
      </c>
      <c r="I18" s="20">
        <f>I17/I9</f>
        <v>0.30288744395528594</v>
      </c>
      <c r="J18" s="20">
        <f>J17/J9</f>
        <v>0.29821412265024722</v>
      </c>
      <c r="K18" s="20">
        <f>K17/K9</f>
        <v>0.31510222870075566</v>
      </c>
      <c r="L18" s="31"/>
      <c r="M18" s="20">
        <f>M17/M9</f>
        <v>0.33472911371979508</v>
      </c>
      <c r="N18" s="20">
        <f>N17/N9</f>
        <v>0.30817862209338187</v>
      </c>
      <c r="O18" s="20">
        <f>O17/O9</f>
        <v>0.27816150146457891</v>
      </c>
      <c r="P18" s="20">
        <f>P17/P9</f>
        <v>0.27615202005635303</v>
      </c>
      <c r="Q18" s="20">
        <f>Q17/Q9</f>
        <v>0.30742441572630896</v>
      </c>
      <c r="R18" s="20">
        <f>R17/R9</f>
        <v>0.29859968788223878</v>
      </c>
      <c r="S18" s="20">
        <f>S17/S9</f>
        <v>0.28115945572576012</v>
      </c>
      <c r="T18" s="20">
        <f>T17/T9</f>
        <v>0.30133634271156895</v>
      </c>
      <c r="U18" s="20">
        <f>U17/U9</f>
        <v>0.33763746602550698</v>
      </c>
      <c r="V18" s="20">
        <f>V17/V9</f>
        <v>0.30742785362467356</v>
      </c>
      <c r="W18" s="20">
        <f>W17/W9</f>
        <v>0.29555708406682446</v>
      </c>
      <c r="X18" s="20">
        <f>X17/X9</f>
        <v>0.31171389444854103</v>
      </c>
      <c r="Y18" s="20">
        <f>Y17/Y9</f>
        <v>0.34458567980691873</v>
      </c>
      <c r="Z18" s="20">
        <f>Z17/Z9</f>
        <v>0.31029058610094484</v>
      </c>
      <c r="AA18" s="20">
        <f>AA17/AA9</f>
        <v>0.29990641881832492</v>
      </c>
      <c r="AB18" s="32"/>
      <c r="AC18" s="20">
        <f>AC17/AC9</f>
        <v>0.29407514637312049</v>
      </c>
      <c r="AD18" s="20">
        <f>AD17/AD9</f>
        <v>0.29162674145340761</v>
      </c>
      <c r="AE18" s="20">
        <f>AE17/AE9</f>
        <v>0.29230620967720933</v>
      </c>
      <c r="AF18" s="20">
        <f>AF17/AF9</f>
        <v>0.29821412265024722</v>
      </c>
      <c r="AG18" s="20">
        <f>AG17/AG9</f>
        <v>0.30763846038174153</v>
      </c>
      <c r="AH18" s="20">
        <f>AH17/AH9</f>
        <v>0.30983457496010458</v>
      </c>
      <c r="AI18" s="20">
        <f>AI17/AI9</f>
        <v>0.31274134278000948</v>
      </c>
      <c r="AJ18" s="20">
        <f>AJ17/AJ9</f>
        <v>0.31510222870075566</v>
      </c>
      <c r="AK18" s="20">
        <f>AK17/AK9</f>
        <v>0.31755356781888011</v>
      </c>
      <c r="AL18" s="20">
        <f>AL17/AL9</f>
        <v>0.31811892118711377</v>
      </c>
      <c r="AM18" s="20">
        <f>AM17/AM9</f>
        <v>0.31866381156316914</v>
      </c>
      <c r="AN18" s="49"/>
      <c r="AO18" s="94">
        <f>SUM(AM18-AI18)*1000</f>
        <v>5.9224687831596619</v>
      </c>
    </row>
    <row r="19" spans="2:41" ht="5.0999999999999996" customHeight="1">
      <c r="B19" s="33"/>
      <c r="C19" s="50"/>
      <c r="D19" s="50"/>
      <c r="E19" s="50"/>
      <c r="F19" s="50"/>
      <c r="G19" s="50"/>
      <c r="H19" s="50"/>
      <c r="I19" s="50"/>
      <c r="J19" s="50"/>
      <c r="K19" s="50"/>
      <c r="L19" s="34"/>
      <c r="M19" s="50"/>
      <c r="N19" s="50"/>
      <c r="O19" s="50"/>
      <c r="P19" s="50"/>
      <c r="Q19" s="50"/>
      <c r="R19" s="50"/>
      <c r="S19" s="50"/>
      <c r="T19" s="50"/>
      <c r="U19" s="50"/>
      <c r="V19" s="50"/>
      <c r="W19" s="50"/>
      <c r="X19" s="50"/>
      <c r="Y19" s="50"/>
      <c r="Z19" s="50"/>
      <c r="AA19" s="50"/>
      <c r="AC19" s="50"/>
      <c r="AD19" s="50"/>
      <c r="AE19" s="50"/>
      <c r="AF19" s="50"/>
      <c r="AG19" s="50"/>
      <c r="AH19" s="50"/>
      <c r="AI19" s="50"/>
      <c r="AJ19" s="50"/>
      <c r="AK19" s="50"/>
      <c r="AL19" s="50"/>
      <c r="AM19" s="50"/>
      <c r="AN19" s="49"/>
      <c r="AO19" s="92"/>
    </row>
    <row r="20" spans="2:41" ht="12.75" customHeight="1">
      <c r="B20" s="11" t="s">
        <v>340</v>
      </c>
      <c r="C20" s="36">
        <v>1348</v>
      </c>
      <c r="D20" s="103">
        <v>2745</v>
      </c>
      <c r="E20" s="103">
        <v>2005</v>
      </c>
      <c r="F20" s="103">
        <v>1807</v>
      </c>
      <c r="G20" s="103">
        <v>803</v>
      </c>
      <c r="H20" s="103">
        <v>258</v>
      </c>
      <c r="I20" s="103">
        <v>-334</v>
      </c>
      <c r="J20" s="103">
        <v>-565</v>
      </c>
      <c r="K20" s="103">
        <v>269</v>
      </c>
      <c r="L20" s="28"/>
      <c r="M20" s="103">
        <v>-247</v>
      </c>
      <c r="N20" s="103">
        <v>160</v>
      </c>
      <c r="O20" s="103">
        <v>-10</v>
      </c>
      <c r="P20" s="36">
        <f t="shared" ref="P20" si="37">SUM(I20-SUM(M20:O20))</f>
        <v>-237</v>
      </c>
      <c r="Q20" s="103">
        <v>-393</v>
      </c>
      <c r="R20" s="103">
        <v>64</v>
      </c>
      <c r="S20" s="103">
        <v>-265</v>
      </c>
      <c r="T20" s="36">
        <f t="shared" ref="T20" si="38">SUM(J20-SUM(Q20:S20))</f>
        <v>29</v>
      </c>
      <c r="U20" s="428">
        <v>-50</v>
      </c>
      <c r="V20" s="428">
        <v>158</v>
      </c>
      <c r="W20" s="428">
        <v>142</v>
      </c>
      <c r="X20" s="36">
        <f t="shared" ref="X20" si="39">SUM(K20-SUM(U20:W20))</f>
        <v>19</v>
      </c>
      <c r="Y20" s="103">
        <v>-248</v>
      </c>
      <c r="Z20" s="103">
        <v>-279</v>
      </c>
      <c r="AA20" s="103">
        <v>-171</v>
      </c>
      <c r="AB20" s="36"/>
      <c r="AC20" s="36">
        <f>SUM(N20:Q20)</f>
        <v>-480</v>
      </c>
      <c r="AD20" s="36">
        <f>SUM(O20:R20)</f>
        <v>-576</v>
      </c>
      <c r="AE20" s="36">
        <f>SUM(P20:S20)</f>
        <v>-831</v>
      </c>
      <c r="AF20" s="36">
        <f>SUM(Q20:T20)</f>
        <v>-565</v>
      </c>
      <c r="AG20" s="36">
        <f>SUM(R20:U20)</f>
        <v>-222</v>
      </c>
      <c r="AH20" s="36">
        <f>SUM(S20:V20)</f>
        <v>-128</v>
      </c>
      <c r="AI20" s="36">
        <f>SUM(T20:W20)</f>
        <v>279</v>
      </c>
      <c r="AJ20" s="36">
        <f>SUM(U20:X20)</f>
        <v>269</v>
      </c>
      <c r="AK20" s="36">
        <f>SUM(V20:Y20)</f>
        <v>71</v>
      </c>
      <c r="AL20" s="36">
        <f>SUM(W20:Z20)</f>
        <v>-366</v>
      </c>
      <c r="AM20" s="36">
        <f>SUM(X20:AA20)</f>
        <v>-679</v>
      </c>
      <c r="AN20" s="49"/>
      <c r="AO20" s="92">
        <f t="shared" si="12"/>
        <v>-3.4336917562724016</v>
      </c>
    </row>
    <row r="21" spans="2:41" ht="12.75" customHeight="1">
      <c r="B21" s="29" t="s">
        <v>86</v>
      </c>
      <c r="C21" s="30">
        <f t="shared" ref="C21:F21" si="40">SUM(C20:C20)+C17</f>
        <v>61372</v>
      </c>
      <c r="D21" s="30">
        <f t="shared" si="40"/>
        <v>64089</v>
      </c>
      <c r="E21" s="30">
        <f t="shared" si="40"/>
        <v>72903</v>
      </c>
      <c r="F21" s="30">
        <f t="shared" si="40"/>
        <v>65737</v>
      </c>
      <c r="G21" s="30">
        <f>SUM(G20:G20)+G17</f>
        <v>67091</v>
      </c>
      <c r="H21" s="30">
        <f>SUM(H20:H20)+H17</f>
        <v>109207</v>
      </c>
      <c r="I21" s="30">
        <f>SUM(I20:I20)+I17</f>
        <v>119103</v>
      </c>
      <c r="J21" s="30">
        <f>SUM(J20:J20)+J17</f>
        <v>113736</v>
      </c>
      <c r="K21" s="30">
        <f>SUM(K20:K20)+K17</f>
        <v>123485</v>
      </c>
      <c r="M21" s="30">
        <f>SUM(M20:M20)+M17</f>
        <v>41241</v>
      </c>
      <c r="N21" s="30">
        <f>SUM(N20:N20)+N17</f>
        <v>30139</v>
      </c>
      <c r="O21" s="30">
        <f>SUM(O20:O20)+O17</f>
        <v>23066</v>
      </c>
      <c r="P21" s="30">
        <f>SUM(P20:P20)+P17</f>
        <v>24657</v>
      </c>
      <c r="Q21" s="30">
        <f>SUM(Q20:Q20)+Q17</f>
        <v>35623</v>
      </c>
      <c r="R21" s="30">
        <f>SUM(R20:R20)+R17</f>
        <v>28382</v>
      </c>
      <c r="S21" s="30">
        <f>SUM(S20:S20)+S17</f>
        <v>22733</v>
      </c>
      <c r="T21" s="30">
        <f>SUM(T20:T20)+T17</f>
        <v>26998</v>
      </c>
      <c r="U21" s="30">
        <f>SUM(U20:U20)+U17</f>
        <v>40323</v>
      </c>
      <c r="V21" s="30">
        <f>SUM(V20:V20)+V17</f>
        <v>28058</v>
      </c>
      <c r="W21" s="30">
        <f>SUM(W20:W20)+W17</f>
        <v>25494</v>
      </c>
      <c r="X21" s="30">
        <f>SUM(X20:X20)+X17</f>
        <v>29610</v>
      </c>
      <c r="Y21" s="30">
        <f>SUM(Y20:Y20)+Y17</f>
        <v>42584</v>
      </c>
      <c r="Z21" s="30">
        <f>SUM(Z20:Z20)+Z17</f>
        <v>29310</v>
      </c>
      <c r="AA21" s="30">
        <f>SUM(AA20:AA20)+AA17</f>
        <v>28031</v>
      </c>
      <c r="AC21" s="30">
        <f>SUM(AC20:AC20)+AC17</f>
        <v>113485</v>
      </c>
      <c r="AD21" s="30">
        <f>SUM(AD20:AD20)+AD17</f>
        <v>111728</v>
      </c>
      <c r="AE21" s="30">
        <f>SUM(AE20:AE20)+AE17</f>
        <v>111395</v>
      </c>
      <c r="AF21" s="30">
        <f>SUM(AF20:AF20)+AF17</f>
        <v>113736</v>
      </c>
      <c r="AG21" s="30">
        <f>SUM(AG20:AG20)+AG17</f>
        <v>118436</v>
      </c>
      <c r="AH21" s="30">
        <f>SUM(AH20:AH20)+AH17</f>
        <v>118112</v>
      </c>
      <c r="AI21" s="30">
        <f>SUM(AI20:AI20)+AI17</f>
        <v>120873</v>
      </c>
      <c r="AJ21" s="30">
        <f>SUM(AJ20:AJ20)+AJ17</f>
        <v>123485</v>
      </c>
      <c r="AK21" s="30">
        <f>SUM(AK20:AK20)+AK17</f>
        <v>125746</v>
      </c>
      <c r="AL21" s="30">
        <f>SUM(AL20:AL20)+AL17</f>
        <v>126998</v>
      </c>
      <c r="AM21" s="30">
        <f>SUM(AM20:AM20)+AM17</f>
        <v>129535</v>
      </c>
      <c r="AN21" s="49"/>
      <c r="AO21" s="93">
        <f t="shared" si="12"/>
        <v>7.1661992339066671E-2</v>
      </c>
    </row>
    <row r="22" spans="2:41" ht="5.0999999999999996" customHeight="1">
      <c r="B22" s="29"/>
      <c r="C22" s="51"/>
      <c r="D22" s="51"/>
      <c r="E22" s="51"/>
      <c r="F22" s="51"/>
      <c r="G22" s="51"/>
      <c r="H22" s="51"/>
      <c r="I22" s="51"/>
      <c r="J22" s="51"/>
      <c r="K22" s="51"/>
      <c r="L22" s="52"/>
      <c r="M22" s="51"/>
      <c r="N22" s="51"/>
      <c r="O22" s="51"/>
      <c r="P22" s="51"/>
      <c r="Q22" s="51"/>
      <c r="R22" s="51"/>
      <c r="S22" s="51"/>
      <c r="T22" s="51"/>
      <c r="U22" s="51"/>
      <c r="V22" s="51"/>
      <c r="W22" s="51"/>
      <c r="X22" s="51"/>
      <c r="Y22" s="51"/>
      <c r="Z22" s="51"/>
      <c r="AA22" s="51"/>
      <c r="AC22" s="51"/>
      <c r="AD22" s="51"/>
      <c r="AE22" s="51"/>
      <c r="AF22" s="51"/>
      <c r="AG22" s="51"/>
      <c r="AH22" s="51"/>
      <c r="AI22" s="51"/>
      <c r="AJ22" s="51"/>
      <c r="AK22" s="51"/>
      <c r="AL22" s="51"/>
      <c r="AM22" s="51"/>
      <c r="AN22" s="49"/>
      <c r="AO22" s="92"/>
    </row>
    <row r="23" spans="2:41" ht="12.75" customHeight="1">
      <c r="B23" s="53" t="s">
        <v>106</v>
      </c>
      <c r="C23" s="36">
        <v>-15685</v>
      </c>
      <c r="D23" s="103">
        <v>-15738</v>
      </c>
      <c r="E23" s="103">
        <v>-13372</v>
      </c>
      <c r="F23" s="103">
        <v>-10481</v>
      </c>
      <c r="G23" s="103">
        <v>-9680</v>
      </c>
      <c r="H23" s="103">
        <v>-14527</v>
      </c>
      <c r="I23" s="103">
        <v>-19300</v>
      </c>
      <c r="J23" s="103">
        <v>-16741</v>
      </c>
      <c r="K23" s="103">
        <v>-29749</v>
      </c>
      <c r="L23" s="36"/>
      <c r="M23" s="103">
        <v>-6611</v>
      </c>
      <c r="N23" s="103">
        <v>-5129</v>
      </c>
      <c r="O23" s="103">
        <v>-3624</v>
      </c>
      <c r="P23" s="36">
        <f t="shared" ref="P23" si="41">SUM(I23-SUM(M23:O23))</f>
        <v>-3936</v>
      </c>
      <c r="Q23" s="103">
        <v>-5625</v>
      </c>
      <c r="R23" s="103">
        <v>-4222</v>
      </c>
      <c r="S23" s="103">
        <v>-2852</v>
      </c>
      <c r="T23" s="36">
        <f t="shared" ref="T23" si="42">SUM(J23-SUM(Q23:S23))</f>
        <v>-4042</v>
      </c>
      <c r="U23" s="428">
        <v>-6407</v>
      </c>
      <c r="V23" s="428">
        <v>-4422</v>
      </c>
      <c r="W23" s="428">
        <v>-4046</v>
      </c>
      <c r="X23" s="36">
        <f t="shared" ref="X23" si="43">SUM(K23-SUM(U23:W23))</f>
        <v>-14874</v>
      </c>
      <c r="Y23" s="103">
        <v>-6254</v>
      </c>
      <c r="Z23" s="103">
        <v>-4530</v>
      </c>
      <c r="AA23" s="103">
        <v>-4597</v>
      </c>
      <c r="AB23" s="36"/>
      <c r="AC23" s="36">
        <f>SUM(N23:Q23)</f>
        <v>-18314</v>
      </c>
      <c r="AD23" s="36">
        <f>SUM(O23:R23)</f>
        <v>-17407</v>
      </c>
      <c r="AE23" s="36">
        <f>SUM(P23:S23)</f>
        <v>-16635</v>
      </c>
      <c r="AF23" s="36">
        <f>SUM(Q23:T23)</f>
        <v>-16741</v>
      </c>
      <c r="AG23" s="36">
        <f>SUM(R23:U23)</f>
        <v>-17523</v>
      </c>
      <c r="AH23" s="36">
        <f>SUM(S23:V23)</f>
        <v>-17723</v>
      </c>
      <c r="AI23" s="36">
        <f>SUM(T23:W23)</f>
        <v>-18917</v>
      </c>
      <c r="AJ23" s="36">
        <f>SUM(U23:X23)</f>
        <v>-29749</v>
      </c>
      <c r="AK23" s="36">
        <f>SUM(V23:Y23)</f>
        <v>-29596</v>
      </c>
      <c r="AL23" s="36">
        <f>SUM(W23:Z23)</f>
        <v>-29704</v>
      </c>
      <c r="AM23" s="36">
        <f>SUM(X23:AA23)</f>
        <v>-30255</v>
      </c>
      <c r="AN23" s="49"/>
      <c r="AO23" s="92">
        <f t="shared" si="12"/>
        <v>0.5993550774435692</v>
      </c>
    </row>
    <row r="24" spans="2:41" ht="12.75" customHeight="1">
      <c r="B24" s="15" t="s">
        <v>87</v>
      </c>
      <c r="C24" s="16">
        <f t="shared" ref="C24:F24" si="44">SUM(C21+C23)</f>
        <v>45687</v>
      </c>
      <c r="D24" s="16">
        <f t="shared" si="44"/>
        <v>48351</v>
      </c>
      <c r="E24" s="16">
        <f t="shared" si="44"/>
        <v>59531</v>
      </c>
      <c r="F24" s="16">
        <f t="shared" si="44"/>
        <v>55256</v>
      </c>
      <c r="G24" s="16">
        <f>SUM(G21+G23)</f>
        <v>57411</v>
      </c>
      <c r="H24" s="16">
        <f>SUM(H21+H23)</f>
        <v>94680</v>
      </c>
      <c r="I24" s="16">
        <f t="shared" ref="I24:K24" si="45">SUM(I21+I23)</f>
        <v>99803</v>
      </c>
      <c r="J24" s="16">
        <f t="shared" si="45"/>
        <v>96995</v>
      </c>
      <c r="K24" s="16">
        <f t="shared" si="45"/>
        <v>93736</v>
      </c>
      <c r="L24" s="13"/>
      <c r="M24" s="16">
        <f t="shared" ref="M24:AM24" si="46">SUM(M21+M23)</f>
        <v>34630</v>
      </c>
      <c r="N24" s="16">
        <f t="shared" si="46"/>
        <v>25010</v>
      </c>
      <c r="O24" s="16">
        <f t="shared" si="46"/>
        <v>19442</v>
      </c>
      <c r="P24" s="16">
        <f t="shared" si="46"/>
        <v>20721</v>
      </c>
      <c r="Q24" s="16">
        <f t="shared" si="46"/>
        <v>29998</v>
      </c>
      <c r="R24" s="16">
        <f t="shared" si="46"/>
        <v>24160</v>
      </c>
      <c r="S24" s="16">
        <f t="shared" si="46"/>
        <v>19881</v>
      </c>
      <c r="T24" s="16">
        <f t="shared" si="46"/>
        <v>22956</v>
      </c>
      <c r="U24" s="16">
        <f t="shared" si="46"/>
        <v>33916</v>
      </c>
      <c r="V24" s="16">
        <f t="shared" si="46"/>
        <v>23636</v>
      </c>
      <c r="W24" s="16">
        <f t="shared" si="46"/>
        <v>21448</v>
      </c>
      <c r="X24" s="16">
        <f t="shared" si="46"/>
        <v>14736</v>
      </c>
      <c r="Y24" s="16">
        <f t="shared" si="46"/>
        <v>36330</v>
      </c>
      <c r="Z24" s="16">
        <f t="shared" si="46"/>
        <v>24780</v>
      </c>
      <c r="AA24" s="16">
        <f t="shared" ref="AA24" si="47">SUM(AA21+AA23)</f>
        <v>23434</v>
      </c>
      <c r="AC24" s="16">
        <f t="shared" ref="AC24" si="48">SUM(AC21+AC23)</f>
        <v>95171</v>
      </c>
      <c r="AD24" s="16">
        <f t="shared" ref="AD24:AI24" si="49">SUM(AD21+AD23)</f>
        <v>94321</v>
      </c>
      <c r="AE24" s="16">
        <f t="shared" si="49"/>
        <v>94760</v>
      </c>
      <c r="AF24" s="16">
        <f t="shared" si="49"/>
        <v>96995</v>
      </c>
      <c r="AG24" s="16">
        <f t="shared" si="49"/>
        <v>100913</v>
      </c>
      <c r="AH24" s="16">
        <f t="shared" si="49"/>
        <v>100389</v>
      </c>
      <c r="AI24" s="16">
        <f t="shared" si="49"/>
        <v>101956</v>
      </c>
      <c r="AJ24" s="16">
        <f t="shared" ref="AJ24:AL24" si="50">SUM(AJ21+AJ23)</f>
        <v>93736</v>
      </c>
      <c r="AK24" s="16">
        <f t="shared" si="50"/>
        <v>96150</v>
      </c>
      <c r="AL24" s="16">
        <f t="shared" si="50"/>
        <v>97294</v>
      </c>
      <c r="AM24" s="16">
        <f t="shared" si="46"/>
        <v>99280</v>
      </c>
      <c r="AN24" s="96"/>
      <c r="AO24" s="93">
        <f t="shared" si="12"/>
        <v>-2.6246616187374894E-2</v>
      </c>
    </row>
    <row r="25" spans="2:41" ht="12.75" customHeight="1">
      <c r="B25" s="18" t="s">
        <v>111</v>
      </c>
      <c r="C25" s="20">
        <f t="shared" ref="C25:F25" si="51">C24/C9</f>
        <v>0.211867983064288</v>
      </c>
      <c r="D25" s="20">
        <f t="shared" si="51"/>
        <v>0.21092420845075338</v>
      </c>
      <c r="E25" s="20">
        <f t="shared" si="51"/>
        <v>0.22414202074587247</v>
      </c>
      <c r="F25" s="20">
        <f t="shared" si="51"/>
        <v>0.21238094505984456</v>
      </c>
      <c r="G25" s="20">
        <f>G24/G9</f>
        <v>0.20913611278072236</v>
      </c>
      <c r="H25" s="20">
        <f>H24/H9</f>
        <v>0.25881793355694238</v>
      </c>
      <c r="I25" s="20">
        <f>I24/I9</f>
        <v>0.25309640705199732</v>
      </c>
      <c r="J25" s="20">
        <f>J24/J9</f>
        <v>0.25306234264320282</v>
      </c>
      <c r="K25" s="20">
        <f>K24/K9</f>
        <v>0.23971255769943867</v>
      </c>
      <c r="L25" s="31"/>
      <c r="M25" s="20">
        <f>M24/M9</f>
        <v>0.27939812013393039</v>
      </c>
      <c r="N25" s="20">
        <f>N24/N9</f>
        <v>0.25709821336787353</v>
      </c>
      <c r="O25" s="20">
        <f>O24/O9</f>
        <v>0.23435673043310551</v>
      </c>
      <c r="P25" s="20">
        <f>P24/P9</f>
        <v>0.22986044860559537</v>
      </c>
      <c r="Q25" s="20">
        <f>Q24/Q9</f>
        <v>0.2560561312460522</v>
      </c>
      <c r="R25" s="20">
        <f>R24/R9</f>
        <v>0.25475557805052934</v>
      </c>
      <c r="S25" s="20">
        <f>S24/S9</f>
        <v>0.24305292370135825</v>
      </c>
      <c r="T25" s="20">
        <f>T24/T9</f>
        <v>0.25649735189613176</v>
      </c>
      <c r="U25" s="20">
        <f>U24/U9</f>
        <v>0.28363788417311309</v>
      </c>
      <c r="V25" s="20">
        <f>V24/V9</f>
        <v>0.26044318094167684</v>
      </c>
      <c r="W25" s="20">
        <f>W24/W9</f>
        <v>0.25004371801298714</v>
      </c>
      <c r="X25" s="20">
        <f>X24/X9</f>
        <v>0.15523016959865163</v>
      </c>
      <c r="Y25" s="20">
        <f>Y24/Y9</f>
        <v>0.29227674979887369</v>
      </c>
      <c r="Z25" s="20">
        <f>Z24/Z9</f>
        <v>0.25986010759341016</v>
      </c>
      <c r="AA25" s="20">
        <f>AA24/AA9</f>
        <v>0.24920243311072354</v>
      </c>
      <c r="AB25" s="32"/>
      <c r="AC25" s="20">
        <f>AC24/AC9</f>
        <v>0.24557913179902821</v>
      </c>
      <c r="AD25" s="20">
        <f>AD24/AD9</f>
        <v>0.24492917332086889</v>
      </c>
      <c r="AE25" s="20">
        <f>AE24/AE9</f>
        <v>0.2468138972164414</v>
      </c>
      <c r="AF25" s="20">
        <f>AF24/AF9</f>
        <v>0.25306234264320282</v>
      </c>
      <c r="AG25" s="20">
        <f>AG24/AG9</f>
        <v>0.26163191653746637</v>
      </c>
      <c r="AH25" s="20">
        <f>AH24/AH9</f>
        <v>0.26305804419544943</v>
      </c>
      <c r="AI25" s="20">
        <f>AI24/AI9</f>
        <v>0.26440665658721535</v>
      </c>
      <c r="AJ25" s="20">
        <f>AJ24/AJ9</f>
        <v>0.23971255769943867</v>
      </c>
      <c r="AK25" s="20">
        <f>AK24/AK9</f>
        <v>0.24295027289266222</v>
      </c>
      <c r="AL25" s="20">
        <f>AL24/AL9</f>
        <v>0.24301264343126039</v>
      </c>
      <c r="AM25" s="20">
        <f>AM24/AM9</f>
        <v>0.24296115019883757</v>
      </c>
      <c r="AN25" s="49"/>
      <c r="AO25" s="94">
        <f>SUM(AM25-AI25)*1000</f>
        <v>-21.445506388377776</v>
      </c>
    </row>
    <row r="26" spans="2:41" ht="5.0999999999999996" customHeight="1">
      <c r="B26" s="18"/>
      <c r="C26" s="20"/>
      <c r="D26" s="20"/>
      <c r="E26" s="20"/>
      <c r="F26" s="20"/>
      <c r="G26" s="20"/>
      <c r="H26" s="20"/>
      <c r="I26" s="20"/>
      <c r="J26" s="20"/>
      <c r="K26" s="20"/>
      <c r="L26" s="31"/>
      <c r="M26" s="20"/>
      <c r="N26" s="20"/>
      <c r="O26" s="20"/>
      <c r="P26" s="20"/>
      <c r="Q26" s="20"/>
      <c r="R26" s="20"/>
      <c r="S26" s="20"/>
      <c r="T26" s="20"/>
      <c r="U26" s="20"/>
      <c r="V26" s="20"/>
      <c r="W26" s="20"/>
      <c r="X26" s="20"/>
      <c r="Y26" s="20"/>
      <c r="Z26" s="20"/>
      <c r="AA26" s="20"/>
      <c r="AB26" s="32"/>
      <c r="AC26" s="20"/>
      <c r="AD26" s="20"/>
      <c r="AE26" s="20"/>
      <c r="AF26" s="20"/>
      <c r="AG26" s="20"/>
      <c r="AH26" s="20"/>
      <c r="AI26" s="20"/>
      <c r="AJ26" s="20"/>
      <c r="AK26" s="20"/>
      <c r="AL26" s="20"/>
      <c r="AM26" s="20"/>
      <c r="AN26" s="49"/>
      <c r="AO26" s="94"/>
    </row>
    <row r="27" spans="2:41" ht="12.75" customHeight="1">
      <c r="B27" s="53" t="s">
        <v>112</v>
      </c>
      <c r="C27" s="36">
        <v>21883.281000000003</v>
      </c>
      <c r="D27" s="103">
        <v>20868.968000000001</v>
      </c>
      <c r="E27" s="103">
        <v>19821.510000000002</v>
      </c>
      <c r="F27" s="103">
        <v>18471.335999999999</v>
      </c>
      <c r="G27" s="103">
        <v>17352.118999999999</v>
      </c>
      <c r="H27" s="103">
        <v>16701.272000000001</v>
      </c>
      <c r="I27" s="103">
        <v>16215.963</v>
      </c>
      <c r="J27" s="103">
        <v>15744.231</v>
      </c>
      <c r="K27" s="103">
        <v>15343.782999999999</v>
      </c>
      <c r="L27" s="31"/>
      <c r="M27" s="103">
        <v>16391.723999999998</v>
      </c>
      <c r="N27" s="103">
        <v>16278.802</v>
      </c>
      <c r="O27" s="103">
        <v>16162.945</v>
      </c>
      <c r="P27" s="36">
        <f>I27</f>
        <v>16215.963</v>
      </c>
      <c r="Q27" s="103">
        <v>15892.723</v>
      </c>
      <c r="R27" s="103">
        <v>15787.154</v>
      </c>
      <c r="S27" s="103">
        <v>15697.614</v>
      </c>
      <c r="T27" s="36">
        <f>J27</f>
        <v>15744.231</v>
      </c>
      <c r="U27" s="428">
        <v>15509.763000000001</v>
      </c>
      <c r="V27" s="428">
        <v>15405.856</v>
      </c>
      <c r="W27" s="428">
        <v>15287.521000000001</v>
      </c>
      <c r="X27" s="36">
        <f>K27</f>
        <v>15343.782999999999</v>
      </c>
      <c r="Y27" s="103">
        <v>15081.724</v>
      </c>
      <c r="Z27" s="103">
        <v>14994.082</v>
      </c>
      <c r="AA27" s="103">
        <v>14902.886</v>
      </c>
      <c r="AB27" s="32"/>
      <c r="AC27" s="36">
        <f>Q27</f>
        <v>15892.723</v>
      </c>
      <c r="AD27" s="36">
        <f>R27</f>
        <v>15787.154</v>
      </c>
      <c r="AE27" s="36">
        <f>S27</f>
        <v>15697.614</v>
      </c>
      <c r="AF27" s="36">
        <f>T27</f>
        <v>15744.231</v>
      </c>
      <c r="AG27" s="36">
        <f>U27</f>
        <v>15509.763000000001</v>
      </c>
      <c r="AH27" s="36">
        <f>V27</f>
        <v>15405.856</v>
      </c>
      <c r="AI27" s="36">
        <f>W27</f>
        <v>15287.521000000001</v>
      </c>
      <c r="AJ27" s="36">
        <f>X27</f>
        <v>15343.782999999999</v>
      </c>
      <c r="AK27" s="36">
        <f>Y27</f>
        <v>15081.724</v>
      </c>
      <c r="AL27" s="36">
        <f>Z27</f>
        <v>14994.082</v>
      </c>
      <c r="AM27" s="36">
        <f>AA27</f>
        <v>14902.886</v>
      </c>
      <c r="AN27" s="49"/>
      <c r="AO27" s="94"/>
    </row>
    <row r="28" spans="2:41" ht="12.75" customHeight="1">
      <c r="B28" s="15" t="s">
        <v>113</v>
      </c>
      <c r="C28" s="95">
        <f t="shared" ref="C28:F28" si="52">C24/C27</f>
        <v>2.0877582296731463</v>
      </c>
      <c r="D28" s="95">
        <f t="shared" si="52"/>
        <v>2.3168850515272243</v>
      </c>
      <c r="E28" s="95">
        <f t="shared" si="52"/>
        <v>3.0033534276651976</v>
      </c>
      <c r="F28" s="95">
        <f t="shared" si="52"/>
        <v>2.9914457730615696</v>
      </c>
      <c r="G28" s="95">
        <f>G24/G27</f>
        <v>3.3085872682177895</v>
      </c>
      <c r="H28" s="95">
        <f t="shared" ref="H28:K28" si="53">H24/H27</f>
        <v>5.6690292811230183</v>
      </c>
      <c r="I28" s="95">
        <f t="shared" si="53"/>
        <v>6.1546144376377772</v>
      </c>
      <c r="J28" s="95">
        <f t="shared" si="53"/>
        <v>6.1606692635543778</v>
      </c>
      <c r="K28" s="95">
        <f t="shared" si="53"/>
        <v>6.1090540709549925</v>
      </c>
      <c r="L28" s="13"/>
      <c r="M28" s="95">
        <f t="shared" ref="M28" si="54">M24/M27</f>
        <v>2.1126514819307598</v>
      </c>
      <c r="N28" s="95">
        <f t="shared" ref="N28" si="55">N24/N27</f>
        <v>1.5363538422544853</v>
      </c>
      <c r="O28" s="95">
        <f t="shared" ref="O28" si="56">O24/O27</f>
        <v>1.2028748473746584</v>
      </c>
      <c r="P28" s="95">
        <f t="shared" ref="P28" si="57">P24/P27</f>
        <v>1.2778149530804923</v>
      </c>
      <c r="Q28" s="95">
        <f t="shared" ref="Q28" si="58">Q24/Q27</f>
        <v>1.8875305383476451</v>
      </c>
      <c r="R28" s="95">
        <f t="shared" ref="R28" si="59">R24/R27</f>
        <v>1.5303581633523053</v>
      </c>
      <c r="S28" s="95">
        <f t="shared" ref="S28" si="60">S24/S27</f>
        <v>1.2664982079442137</v>
      </c>
      <c r="T28" s="95">
        <f t="shared" ref="T28" si="61">T24/T27</f>
        <v>1.4580578752941316</v>
      </c>
      <c r="U28" s="95">
        <f t="shared" ref="U28" si="62">U24/U27</f>
        <v>2.1867516608732189</v>
      </c>
      <c r="V28" s="95">
        <f t="shared" ref="V28" si="63">V24/V27</f>
        <v>1.5342217920250585</v>
      </c>
      <c r="W28" s="95">
        <f t="shared" ref="W28" si="64">W24/W27</f>
        <v>1.4029743605912299</v>
      </c>
      <c r="X28" s="95">
        <f t="shared" ref="X28" si="65">X24/X27</f>
        <v>0.96038897317565042</v>
      </c>
      <c r="Y28" s="95">
        <f t="shared" ref="Y28" si="66">Y24/Y27</f>
        <v>2.408875802262394</v>
      </c>
      <c r="Z28" s="95">
        <f t="shared" ref="Z28" si="67">Z24/Z27</f>
        <v>1.6526520263127813</v>
      </c>
      <c r="AA28" s="95">
        <f t="shared" ref="AA28" si="68">AA24/AA27</f>
        <v>1.5724471085667568</v>
      </c>
      <c r="AB28" s="32"/>
      <c r="AC28" s="95">
        <f t="shared" ref="AC28:AD28" si="69">AC24/AC27</f>
        <v>5.9883381847151052</v>
      </c>
      <c r="AD28" s="95">
        <f t="shared" si="69"/>
        <v>5.9745410730775159</v>
      </c>
      <c r="AE28" s="95">
        <f t="shared" ref="AE28" si="70">AE24/AE27</f>
        <v>6.0365861971125039</v>
      </c>
      <c r="AF28" s="95">
        <f t="shared" ref="AF28" si="71">AF24/AF27</f>
        <v>6.1606692635543778</v>
      </c>
      <c r="AG28" s="95">
        <f t="shared" ref="AG28" si="72">AG24/AG27</f>
        <v>6.5064179252771304</v>
      </c>
      <c r="AH28" s="95">
        <f t="shared" ref="AH28" si="73">AH24/AH27</f>
        <v>6.5162883516501777</v>
      </c>
      <c r="AI28" s="95">
        <f t="shared" ref="AI28" si="74">AI24/AI27</f>
        <v>6.6692304134856135</v>
      </c>
      <c r="AJ28" s="95">
        <f t="shared" ref="AJ28" si="75">AJ24/AJ27</f>
        <v>6.1090540709549925</v>
      </c>
      <c r="AK28" s="95">
        <f t="shared" ref="AK28" si="76">AK24/AK27</f>
        <v>6.375265851569754</v>
      </c>
      <c r="AL28" s="95">
        <f t="shared" ref="AL28" si="77">AL24/AL27</f>
        <v>6.4888267251039444</v>
      </c>
      <c r="AM28" s="95">
        <f t="shared" ref="AM28" si="78">AM24/AM27</f>
        <v>6.6617969163825048</v>
      </c>
      <c r="AN28" s="96"/>
      <c r="AO28" s="93">
        <f t="shared" ref="AO28" si="79">SUM(AM28/AI28)-1</f>
        <v>-1.1145959341991585E-3</v>
      </c>
    </row>
    <row r="29" spans="2:41" ht="5.0999999999999996" customHeight="1">
      <c r="B29" s="18"/>
      <c r="C29" s="20"/>
      <c r="D29" s="20"/>
      <c r="E29" s="20"/>
      <c r="F29" s="20"/>
      <c r="G29" s="20"/>
      <c r="H29" s="20"/>
      <c r="I29" s="20"/>
      <c r="J29" s="20"/>
      <c r="K29" s="20"/>
      <c r="L29" s="31"/>
      <c r="M29" s="20"/>
      <c r="N29" s="20"/>
      <c r="O29" s="20"/>
      <c r="P29" s="36"/>
      <c r="Q29" s="20"/>
      <c r="R29" s="20"/>
      <c r="S29" s="20"/>
      <c r="T29" s="20"/>
      <c r="U29" s="20"/>
      <c r="V29" s="20"/>
      <c r="W29" s="20"/>
      <c r="X29" s="20"/>
      <c r="Y29" s="20"/>
      <c r="Z29" s="20"/>
      <c r="AA29" s="20"/>
      <c r="AB29" s="32"/>
      <c r="AC29" s="20"/>
      <c r="AD29" s="20"/>
      <c r="AE29" s="20"/>
      <c r="AF29" s="20"/>
      <c r="AG29" s="20"/>
      <c r="AH29" s="20"/>
      <c r="AI29" s="20"/>
      <c r="AJ29" s="20"/>
      <c r="AK29" s="20"/>
      <c r="AL29" s="20"/>
      <c r="AM29" s="20"/>
      <c r="AN29" s="49"/>
      <c r="AO29" s="94"/>
    </row>
    <row r="30" spans="2:41" ht="12.75" customHeight="1">
      <c r="B30" s="53" t="s">
        <v>114</v>
      </c>
      <c r="C30" s="36">
        <v>22001.127</v>
      </c>
      <c r="D30" s="103">
        <v>21006.767</v>
      </c>
      <c r="E30" s="103">
        <v>20000.436000000002</v>
      </c>
      <c r="F30" s="103">
        <v>18595.651000000002</v>
      </c>
      <c r="G30" s="103">
        <v>17528.214</v>
      </c>
      <c r="H30" s="103">
        <v>16864.919000000002</v>
      </c>
      <c r="I30" s="103">
        <v>16325.819</v>
      </c>
      <c r="J30" s="103">
        <v>15812.547</v>
      </c>
      <c r="K30" s="103">
        <v>15408.094999999999</v>
      </c>
      <c r="L30" s="31"/>
      <c r="M30" s="103">
        <v>16519.291000000001</v>
      </c>
      <c r="N30" s="103">
        <v>16403.315999999999</v>
      </c>
      <c r="O30" s="103">
        <v>16262.203</v>
      </c>
      <c r="P30" s="36">
        <f>I30</f>
        <v>16325.819</v>
      </c>
      <c r="Q30" s="103">
        <v>15955.718000000001</v>
      </c>
      <c r="R30" s="103">
        <v>15847.05</v>
      </c>
      <c r="S30" s="103">
        <v>15775.021000000001</v>
      </c>
      <c r="T30" s="36">
        <f>J30</f>
        <v>15812.547</v>
      </c>
      <c r="U30" s="428">
        <v>15576.641</v>
      </c>
      <c r="V30" s="428">
        <v>15464.709000000001</v>
      </c>
      <c r="W30" s="428">
        <v>15348.174999999999</v>
      </c>
      <c r="X30" s="36">
        <f>K30</f>
        <v>15408.094999999999</v>
      </c>
      <c r="Y30" s="103">
        <v>15150.865</v>
      </c>
      <c r="Z30" s="103">
        <v>15056.133</v>
      </c>
      <c r="AA30" s="103">
        <v>14948.179</v>
      </c>
      <c r="AB30" s="36"/>
      <c r="AC30" s="36">
        <f>Q30</f>
        <v>15955.718000000001</v>
      </c>
      <c r="AD30" s="36">
        <f>R30</f>
        <v>15847.05</v>
      </c>
      <c r="AE30" s="36">
        <f>S30</f>
        <v>15775.021000000001</v>
      </c>
      <c r="AF30" s="36">
        <f>T30</f>
        <v>15812.547</v>
      </c>
      <c r="AG30" s="36">
        <f>U30</f>
        <v>15576.641</v>
      </c>
      <c r="AH30" s="36">
        <f>V30</f>
        <v>15464.709000000001</v>
      </c>
      <c r="AI30" s="36">
        <f>W30</f>
        <v>15348.174999999999</v>
      </c>
      <c r="AJ30" s="36">
        <f>X30</f>
        <v>15408.094999999999</v>
      </c>
      <c r="AK30" s="36">
        <f>Y30</f>
        <v>15150.865</v>
      </c>
      <c r="AL30" s="36">
        <f>Z30</f>
        <v>15056.133</v>
      </c>
      <c r="AM30" s="36">
        <f>AA30</f>
        <v>14948.179</v>
      </c>
      <c r="AN30" s="49"/>
      <c r="AO30" s="94"/>
    </row>
    <row r="31" spans="2:41" ht="12.75" customHeight="1">
      <c r="B31" s="15" t="s">
        <v>115</v>
      </c>
      <c r="C31" s="95">
        <f t="shared" ref="C31:F31" si="80">C24/C30</f>
        <v>2.0765754408853692</v>
      </c>
      <c r="D31" s="95">
        <f t="shared" si="80"/>
        <v>2.301686880232451</v>
      </c>
      <c r="E31" s="95">
        <f t="shared" si="80"/>
        <v>2.9764851126245446</v>
      </c>
      <c r="F31" s="95">
        <f t="shared" si="80"/>
        <v>2.9714474637107351</v>
      </c>
      <c r="G31" s="95">
        <f>G24/G30</f>
        <v>3.2753479618630856</v>
      </c>
      <c r="H31" s="95">
        <f t="shared" ref="H31:K31" si="81">H24/H30</f>
        <v>5.6140204408927188</v>
      </c>
      <c r="I31" s="95">
        <f t="shared" si="81"/>
        <v>6.1132002014722815</v>
      </c>
      <c r="J31" s="95">
        <f t="shared" si="81"/>
        <v>6.1340529138031972</v>
      </c>
      <c r="K31" s="95">
        <f t="shared" si="81"/>
        <v>6.0835554297919376</v>
      </c>
      <c r="L31" s="31"/>
      <c r="M31" s="95">
        <f t="shared" ref="M31" si="82">M24/M30</f>
        <v>2.0963369432743812</v>
      </c>
      <c r="N31" s="95">
        <f t="shared" ref="N31" si="83">N24/N30</f>
        <v>1.5246917147727936</v>
      </c>
      <c r="O31" s="95">
        <f t="shared" ref="O31" si="84">O24/O30</f>
        <v>1.1955329791418789</v>
      </c>
      <c r="P31" s="95">
        <f t="shared" ref="P31" si="85">P24/P30</f>
        <v>1.2692165703907412</v>
      </c>
      <c r="Q31" s="95">
        <f t="shared" ref="Q31" si="86">Q24/Q30</f>
        <v>1.8800783518485347</v>
      </c>
      <c r="R31" s="95">
        <f t="shared" ref="R31" si="87">R24/R30</f>
        <v>1.5245739743359175</v>
      </c>
      <c r="S31" s="95">
        <f t="shared" ref="S31" si="88">S24/S30</f>
        <v>1.2602835837746269</v>
      </c>
      <c r="T31" s="95">
        <f t="shared" ref="T31" si="89">T24/T30</f>
        <v>1.4517585307414422</v>
      </c>
      <c r="U31" s="95">
        <f t="shared" ref="U31" si="90">U24/U30</f>
        <v>2.1773628858750742</v>
      </c>
      <c r="V31" s="95">
        <f t="shared" ref="V31" si="91">V24/V30</f>
        <v>1.5283831076291186</v>
      </c>
      <c r="W31" s="95">
        <f t="shared" ref="W31" si="92">W24/W30</f>
        <v>1.3974299876043894</v>
      </c>
      <c r="X31" s="95">
        <f t="shared" ref="X31" si="93">X24/X30</f>
        <v>0.95638039614890746</v>
      </c>
      <c r="Y31" s="95">
        <f t="shared" ref="Y31" si="94">Y24/Y30</f>
        <v>2.3978828931549452</v>
      </c>
      <c r="Z31" s="95">
        <f t="shared" ref="Z31" si="95">Z24/Z30</f>
        <v>1.6458409340565736</v>
      </c>
      <c r="AA31" s="95">
        <f t="shared" ref="AA31" si="96">AA24/AA30</f>
        <v>1.5676825919732431</v>
      </c>
      <c r="AB31" s="36"/>
      <c r="AC31" s="95">
        <f t="shared" ref="AC31:AD31" si="97">AC24/AC30</f>
        <v>5.9646955404952626</v>
      </c>
      <c r="AD31" s="95">
        <f t="shared" si="97"/>
        <v>5.9519595129692915</v>
      </c>
      <c r="AE31" s="95">
        <f t="shared" ref="AE31" si="98">AE24/AE30</f>
        <v>6.0069650620433404</v>
      </c>
      <c r="AF31" s="95">
        <f t="shared" ref="AF31" si="99">AF24/AF30</f>
        <v>6.1340529138031972</v>
      </c>
      <c r="AG31" s="95">
        <f t="shared" ref="AG31" si="100">AG24/AG30</f>
        <v>6.4784827486234038</v>
      </c>
      <c r="AH31" s="95">
        <f t="shared" ref="AH31" si="101">AH24/AH30</f>
        <v>6.4914897525714839</v>
      </c>
      <c r="AI31" s="95">
        <f t="shared" ref="AI31" si="102">AI24/AI30</f>
        <v>6.6428744785617839</v>
      </c>
      <c r="AJ31" s="95">
        <f t="shared" ref="AJ31" si="103">AJ24/AJ30</f>
        <v>6.0835554297919376</v>
      </c>
      <c r="AK31" s="95">
        <f t="shared" ref="AK31" si="104">AK24/AK30</f>
        <v>6.3461723142540043</v>
      </c>
      <c r="AL31" s="95">
        <f t="shared" ref="AL31" si="105">AL24/AL30</f>
        <v>6.4620842549677269</v>
      </c>
      <c r="AM31" s="95">
        <f t="shared" ref="AM31" si="106">AM24/AM30</f>
        <v>6.6416116638688898</v>
      </c>
      <c r="AN31" s="96"/>
      <c r="AO31" s="93">
        <f t="shared" ref="AO31" si="107">SUM(AM31/AI31)-1</f>
        <v>-1.9010064046365294E-4</v>
      </c>
    </row>
    <row r="32" spans="2:41" ht="5.0999999999999996" customHeight="1">
      <c r="B32" s="18"/>
      <c r="C32" s="20"/>
      <c r="D32" s="20"/>
      <c r="E32" s="20"/>
      <c r="F32" s="20"/>
      <c r="G32" s="20"/>
      <c r="H32" s="20"/>
      <c r="I32" s="20"/>
      <c r="J32" s="20"/>
      <c r="K32" s="20"/>
      <c r="L32" s="31"/>
      <c r="M32" s="20"/>
      <c r="N32" s="20"/>
      <c r="O32" s="20"/>
      <c r="P32" s="20"/>
      <c r="Q32" s="20"/>
      <c r="R32" s="20"/>
      <c r="S32" s="20"/>
      <c r="T32" s="20"/>
      <c r="U32" s="20"/>
      <c r="V32" s="20"/>
      <c r="W32" s="20"/>
      <c r="X32" s="20"/>
      <c r="Y32" s="20"/>
      <c r="Z32" s="20"/>
      <c r="AA32" s="20"/>
      <c r="AB32" s="32"/>
      <c r="AC32" s="20"/>
      <c r="AD32" s="20"/>
      <c r="AE32" s="20"/>
      <c r="AF32" s="20"/>
      <c r="AG32" s="20"/>
      <c r="AH32" s="20"/>
      <c r="AI32" s="20"/>
      <c r="AJ32" s="20"/>
      <c r="AK32" s="20"/>
      <c r="AL32" s="20"/>
      <c r="AM32" s="20"/>
      <c r="AN32" s="49"/>
      <c r="AO32" s="45"/>
    </row>
    <row r="33" spans="1:41" ht="12.75" customHeight="1">
      <c r="A33" s="5" t="s">
        <v>27</v>
      </c>
      <c r="B33" s="37" t="s">
        <v>24</v>
      </c>
      <c r="C33" s="8"/>
      <c r="D33" s="8"/>
      <c r="E33" s="8"/>
      <c r="F33" s="8"/>
      <c r="G33" s="8"/>
      <c r="H33" s="8"/>
      <c r="I33" s="8"/>
      <c r="J33" s="8"/>
      <c r="K33" s="8"/>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row>
    <row r="34" spans="1:41" ht="5.0999999999999996" customHeight="1">
      <c r="B34" s="55"/>
      <c r="C34" s="56"/>
      <c r="D34" s="56"/>
      <c r="E34" s="56"/>
      <c r="F34" s="56"/>
      <c r="G34" s="56"/>
      <c r="H34" s="56"/>
      <c r="I34" s="56"/>
      <c r="J34" s="56"/>
      <c r="K34" s="56"/>
      <c r="AO34" s="45"/>
    </row>
    <row r="35" spans="1:41" ht="12.75" customHeight="1">
      <c r="B35" s="11" t="s">
        <v>309</v>
      </c>
      <c r="C35" s="36">
        <v>20484</v>
      </c>
      <c r="D35" s="103">
        <v>20289</v>
      </c>
      <c r="E35" s="103">
        <v>25913</v>
      </c>
      <c r="F35" s="103">
        <v>48844</v>
      </c>
      <c r="G35" s="103">
        <v>38016</v>
      </c>
      <c r="H35" s="103">
        <v>34940</v>
      </c>
      <c r="I35" s="103">
        <v>23646</v>
      </c>
      <c r="J35" s="103">
        <v>29965</v>
      </c>
      <c r="K35" s="103">
        <v>29943</v>
      </c>
      <c r="M35" s="103">
        <v>37119</v>
      </c>
      <c r="N35" s="103">
        <v>28098</v>
      </c>
      <c r="O35" s="103">
        <v>27502</v>
      </c>
      <c r="P35" s="36">
        <f t="shared" ref="P35:P39" si="108">I35</f>
        <v>23646</v>
      </c>
      <c r="Q35" s="103">
        <v>20535</v>
      </c>
      <c r="R35" s="103">
        <v>24687</v>
      </c>
      <c r="S35" s="103">
        <v>28408</v>
      </c>
      <c r="T35" s="36">
        <f t="shared" ref="T35:T39" si="109">J35</f>
        <v>29965</v>
      </c>
      <c r="U35" s="103">
        <v>40760</v>
      </c>
      <c r="V35" s="103">
        <v>32695</v>
      </c>
      <c r="W35" s="103">
        <v>25565</v>
      </c>
      <c r="X35" s="36">
        <f t="shared" ref="X35:X39" si="110">K35</f>
        <v>29943</v>
      </c>
      <c r="Y35" s="103">
        <v>30299</v>
      </c>
      <c r="Z35" s="103">
        <v>28162</v>
      </c>
      <c r="AA35" s="103">
        <v>36269</v>
      </c>
      <c r="AC35" s="36">
        <f>Q35</f>
        <v>20535</v>
      </c>
      <c r="AD35" s="36">
        <f>R35</f>
        <v>24687</v>
      </c>
      <c r="AE35" s="36">
        <f>S35</f>
        <v>28408</v>
      </c>
      <c r="AF35" s="36">
        <f>T35</f>
        <v>29965</v>
      </c>
      <c r="AG35" s="36">
        <f>U35</f>
        <v>40760</v>
      </c>
      <c r="AH35" s="36">
        <f>V35</f>
        <v>32695</v>
      </c>
      <c r="AI35" s="36">
        <f>W35</f>
        <v>25565</v>
      </c>
      <c r="AJ35" s="36">
        <f>X35</f>
        <v>29943</v>
      </c>
      <c r="AK35" s="36">
        <f>Y35</f>
        <v>30299</v>
      </c>
      <c r="AL35" s="36">
        <f t="shared" ref="AL35:AL39" si="111">Z35</f>
        <v>28162</v>
      </c>
      <c r="AM35" s="36">
        <f>AA35</f>
        <v>36269</v>
      </c>
      <c r="AN35" s="13"/>
      <c r="AO35" s="92">
        <f t="shared" ref="AO35:AO63" si="112">SUM(AM35/AI35)-1</f>
        <v>0.41869743790338343</v>
      </c>
    </row>
    <row r="36" spans="1:41" ht="12.75" customHeight="1">
      <c r="B36" s="11" t="s">
        <v>530</v>
      </c>
      <c r="C36" s="36">
        <v>46671</v>
      </c>
      <c r="D36" s="103">
        <v>53892</v>
      </c>
      <c r="E36" s="103">
        <v>40388</v>
      </c>
      <c r="F36" s="103">
        <v>51713</v>
      </c>
      <c r="G36" s="103">
        <v>52927</v>
      </c>
      <c r="H36" s="103">
        <v>27699</v>
      </c>
      <c r="I36" s="103">
        <v>24658</v>
      </c>
      <c r="J36" s="103">
        <v>31590</v>
      </c>
      <c r="K36" s="103">
        <v>35228</v>
      </c>
      <c r="M36" s="103">
        <v>26794</v>
      </c>
      <c r="N36" s="103">
        <v>23413</v>
      </c>
      <c r="O36" s="103">
        <v>20729</v>
      </c>
      <c r="P36" s="36">
        <f t="shared" si="108"/>
        <v>24658</v>
      </c>
      <c r="Q36" s="103">
        <v>30820</v>
      </c>
      <c r="R36" s="103">
        <v>31185</v>
      </c>
      <c r="S36" s="103">
        <v>34074</v>
      </c>
      <c r="T36" s="36">
        <f t="shared" si="109"/>
        <v>31590</v>
      </c>
      <c r="U36" s="103">
        <v>32340</v>
      </c>
      <c r="V36" s="103">
        <v>34455</v>
      </c>
      <c r="W36" s="103">
        <v>36236</v>
      </c>
      <c r="X36" s="36">
        <f t="shared" si="110"/>
        <v>35228</v>
      </c>
      <c r="Y36" s="103">
        <v>23476</v>
      </c>
      <c r="Z36" s="103">
        <v>20336</v>
      </c>
      <c r="AA36" s="103">
        <v>19103</v>
      </c>
      <c r="AC36" s="36">
        <f>Q36</f>
        <v>30820</v>
      </c>
      <c r="AD36" s="36">
        <f>R36</f>
        <v>31185</v>
      </c>
      <c r="AE36" s="36">
        <f>S36</f>
        <v>34074</v>
      </c>
      <c r="AF36" s="36">
        <f>T36</f>
        <v>31590</v>
      </c>
      <c r="AG36" s="36">
        <f>U36</f>
        <v>32340</v>
      </c>
      <c r="AH36" s="36">
        <f>V36</f>
        <v>34455</v>
      </c>
      <c r="AI36" s="36">
        <f>W36</f>
        <v>36236</v>
      </c>
      <c r="AJ36" s="36">
        <f>X36</f>
        <v>35228</v>
      </c>
      <c r="AK36" s="36">
        <f>Y36</f>
        <v>23476</v>
      </c>
      <c r="AL36" s="36">
        <f t="shared" si="111"/>
        <v>20336</v>
      </c>
      <c r="AM36" s="36">
        <f t="shared" ref="AM36:AM39" si="113">AA36</f>
        <v>19103</v>
      </c>
      <c r="AN36" s="13"/>
      <c r="AO36" s="92">
        <f t="shared" si="112"/>
        <v>-0.47281708797880562</v>
      </c>
    </row>
    <row r="37" spans="1:41" ht="12.75" customHeight="1">
      <c r="B37" s="11" t="s">
        <v>70</v>
      </c>
      <c r="C37" s="36">
        <v>15754</v>
      </c>
      <c r="D37" s="103">
        <v>17874</v>
      </c>
      <c r="E37" s="103">
        <v>23186</v>
      </c>
      <c r="F37" s="103">
        <v>22926</v>
      </c>
      <c r="G37" s="103">
        <v>16120</v>
      </c>
      <c r="H37" s="103">
        <v>26278</v>
      </c>
      <c r="I37" s="103">
        <v>28184</v>
      </c>
      <c r="J37" s="103">
        <v>29508</v>
      </c>
      <c r="K37" s="103">
        <v>66243</v>
      </c>
      <c r="M37" s="103">
        <v>30213</v>
      </c>
      <c r="N37" s="103">
        <v>20815</v>
      </c>
      <c r="O37" s="103">
        <v>21803</v>
      </c>
      <c r="P37" s="36">
        <f t="shared" si="108"/>
        <v>28184</v>
      </c>
      <c r="Q37" s="103">
        <v>23752</v>
      </c>
      <c r="R37" s="103">
        <v>17936</v>
      </c>
      <c r="S37" s="103">
        <v>19549</v>
      </c>
      <c r="T37" s="36">
        <f t="shared" si="109"/>
        <v>29508</v>
      </c>
      <c r="U37" s="103">
        <v>23194</v>
      </c>
      <c r="V37" s="103">
        <v>21837</v>
      </c>
      <c r="W37" s="103">
        <v>22795</v>
      </c>
      <c r="X37" s="36">
        <f t="shared" si="110"/>
        <v>66243</v>
      </c>
      <c r="Y37" s="103">
        <v>29639</v>
      </c>
      <c r="Z37" s="103">
        <v>49798</v>
      </c>
      <c r="AA37" s="103">
        <v>46835</v>
      </c>
      <c r="AC37" s="36">
        <f>Q37</f>
        <v>23752</v>
      </c>
      <c r="AD37" s="36">
        <f>R37</f>
        <v>17936</v>
      </c>
      <c r="AE37" s="36">
        <f>S37</f>
        <v>19549</v>
      </c>
      <c r="AF37" s="36">
        <f>T37</f>
        <v>29508</v>
      </c>
      <c r="AG37" s="36">
        <f>U37</f>
        <v>23194</v>
      </c>
      <c r="AH37" s="36">
        <f>V37</f>
        <v>21837</v>
      </c>
      <c r="AI37" s="36">
        <f>W37</f>
        <v>22795</v>
      </c>
      <c r="AJ37" s="36">
        <f>X37</f>
        <v>66243</v>
      </c>
      <c r="AK37" s="36">
        <f>Y37</f>
        <v>29639</v>
      </c>
      <c r="AL37" s="36">
        <f t="shared" si="111"/>
        <v>49798</v>
      </c>
      <c r="AM37" s="36">
        <f t="shared" si="113"/>
        <v>46835</v>
      </c>
      <c r="AN37" s="13"/>
      <c r="AO37" s="92">
        <f t="shared" si="112"/>
        <v>1.0546172406229437</v>
      </c>
    </row>
    <row r="38" spans="1:41" ht="12.75" customHeight="1">
      <c r="B38" s="11" t="s">
        <v>104</v>
      </c>
      <c r="C38" s="36">
        <v>2132</v>
      </c>
      <c r="D38" s="103">
        <v>4855</v>
      </c>
      <c r="E38" s="103">
        <v>3956</v>
      </c>
      <c r="F38" s="103">
        <v>4106</v>
      </c>
      <c r="G38" s="103">
        <v>4061</v>
      </c>
      <c r="H38" s="103">
        <v>6580</v>
      </c>
      <c r="I38" s="103">
        <v>4946</v>
      </c>
      <c r="J38" s="103">
        <v>6331</v>
      </c>
      <c r="K38" s="103">
        <v>7286</v>
      </c>
      <c r="M38" s="103">
        <v>5876</v>
      </c>
      <c r="N38" s="103">
        <v>5460</v>
      </c>
      <c r="O38" s="103">
        <v>5433</v>
      </c>
      <c r="P38" s="36">
        <f t="shared" si="108"/>
        <v>4946</v>
      </c>
      <c r="Q38" s="103">
        <v>6820</v>
      </c>
      <c r="R38" s="103">
        <v>7482</v>
      </c>
      <c r="S38" s="103">
        <v>7351</v>
      </c>
      <c r="T38" s="36">
        <f t="shared" si="109"/>
        <v>6331</v>
      </c>
      <c r="U38" s="103">
        <v>6511</v>
      </c>
      <c r="V38" s="103">
        <v>6232</v>
      </c>
      <c r="W38" s="103">
        <v>6165</v>
      </c>
      <c r="X38" s="36">
        <f t="shared" si="110"/>
        <v>7286</v>
      </c>
      <c r="Y38" s="103">
        <v>6911</v>
      </c>
      <c r="Z38" s="103">
        <v>6269</v>
      </c>
      <c r="AA38" s="103">
        <v>5925</v>
      </c>
      <c r="AC38" s="36">
        <f>Q38</f>
        <v>6820</v>
      </c>
      <c r="AD38" s="36">
        <f>R38</f>
        <v>7482</v>
      </c>
      <c r="AE38" s="36">
        <f>S38</f>
        <v>7351</v>
      </c>
      <c r="AF38" s="36">
        <f>T38</f>
        <v>6331</v>
      </c>
      <c r="AG38" s="36">
        <f>U38</f>
        <v>6511</v>
      </c>
      <c r="AH38" s="36">
        <f>V38</f>
        <v>6232</v>
      </c>
      <c r="AI38" s="36">
        <f>W38</f>
        <v>6165</v>
      </c>
      <c r="AJ38" s="36">
        <f>X38</f>
        <v>7286</v>
      </c>
      <c r="AK38" s="36">
        <f>Y38</f>
        <v>6911</v>
      </c>
      <c r="AL38" s="36">
        <f t="shared" si="111"/>
        <v>6269</v>
      </c>
      <c r="AM38" s="36">
        <f t="shared" si="113"/>
        <v>5925</v>
      </c>
      <c r="AN38" s="13"/>
      <c r="AO38" s="92">
        <f t="shared" si="112"/>
        <v>-3.8929440389294356E-2</v>
      </c>
    </row>
    <row r="39" spans="1:41" ht="12.75" customHeight="1">
      <c r="B39" s="11" t="s">
        <v>310</v>
      </c>
      <c r="C39" s="36">
        <v>21828</v>
      </c>
      <c r="D39" s="103">
        <f>13936+17799</f>
        <v>31735</v>
      </c>
      <c r="E39" s="103">
        <v>37896</v>
      </c>
      <c r="F39" s="103">
        <v>35230</v>
      </c>
      <c r="G39" s="103">
        <v>32589</v>
      </c>
      <c r="H39" s="103">
        <v>39339</v>
      </c>
      <c r="I39" s="103">
        <v>53971</v>
      </c>
      <c r="J39" s="103">
        <v>46172</v>
      </c>
      <c r="K39" s="103">
        <v>14287</v>
      </c>
      <c r="M39" s="103">
        <v>53152</v>
      </c>
      <c r="N39" s="103">
        <v>40394</v>
      </c>
      <c r="O39" s="103">
        <v>36825</v>
      </c>
      <c r="P39" s="36">
        <f t="shared" si="108"/>
        <v>53971</v>
      </c>
      <c r="Q39" s="103">
        <v>46850</v>
      </c>
      <c r="R39" s="103">
        <v>31623</v>
      </c>
      <c r="S39" s="103">
        <v>33277</v>
      </c>
      <c r="T39" s="36">
        <f t="shared" si="109"/>
        <v>46172</v>
      </c>
      <c r="U39" s="103">
        <v>40887</v>
      </c>
      <c r="V39" s="103">
        <v>33197</v>
      </c>
      <c r="W39" s="103">
        <v>34674</v>
      </c>
      <c r="X39" s="36">
        <f t="shared" si="110"/>
        <v>14287</v>
      </c>
      <c r="Y39" s="103">
        <v>42915</v>
      </c>
      <c r="Z39" s="103">
        <v>14109</v>
      </c>
      <c r="AA39" s="103">
        <v>14359</v>
      </c>
      <c r="AC39" s="36">
        <f>Q39</f>
        <v>46850</v>
      </c>
      <c r="AD39" s="36">
        <f>R39</f>
        <v>31623</v>
      </c>
      <c r="AE39" s="36">
        <f>S39</f>
        <v>33277</v>
      </c>
      <c r="AF39" s="36">
        <f>T39</f>
        <v>46172</v>
      </c>
      <c r="AG39" s="36">
        <f>U39</f>
        <v>40887</v>
      </c>
      <c r="AH39" s="36">
        <f>V39</f>
        <v>33197</v>
      </c>
      <c r="AI39" s="36">
        <f>W39</f>
        <v>34674</v>
      </c>
      <c r="AJ39" s="36">
        <f>X39</f>
        <v>14287</v>
      </c>
      <c r="AK39" s="36">
        <f>Y39</f>
        <v>42915</v>
      </c>
      <c r="AL39" s="36">
        <f t="shared" si="111"/>
        <v>14109</v>
      </c>
      <c r="AM39" s="36">
        <f t="shared" si="113"/>
        <v>14359</v>
      </c>
      <c r="AN39" s="13"/>
      <c r="AO39" s="92">
        <f t="shared" si="112"/>
        <v>-0.58588567802964753</v>
      </c>
    </row>
    <row r="40" spans="1:41" ht="12.75" customHeight="1">
      <c r="B40" s="29" t="s">
        <v>31</v>
      </c>
      <c r="C40" s="30">
        <f>SUM(C35:C39)</f>
        <v>106869</v>
      </c>
      <c r="D40" s="30">
        <f>SUM(D35:D39)</f>
        <v>128645</v>
      </c>
      <c r="E40" s="30">
        <f>SUM(E35:E39)</f>
        <v>131339</v>
      </c>
      <c r="F40" s="30">
        <f>SUM(F35:F39)</f>
        <v>162819</v>
      </c>
      <c r="G40" s="30">
        <f>SUM(G35:G39)</f>
        <v>143713</v>
      </c>
      <c r="H40" s="30">
        <f>SUM(H35:H39)</f>
        <v>134836</v>
      </c>
      <c r="I40" s="30">
        <f>SUM(I35:I39)</f>
        <v>135405</v>
      </c>
      <c r="J40" s="30">
        <f>SUM(J35:J39)</f>
        <v>143566</v>
      </c>
      <c r="K40" s="30">
        <f>SUM(K35:K39)</f>
        <v>152987</v>
      </c>
      <c r="L40" s="57"/>
      <c r="M40" s="30">
        <f>SUM(M35:M39)</f>
        <v>153154</v>
      </c>
      <c r="N40" s="30">
        <f>SUM(N35:N39)</f>
        <v>118180</v>
      </c>
      <c r="O40" s="30">
        <f>SUM(O35:O39)</f>
        <v>112292</v>
      </c>
      <c r="P40" s="30">
        <f>SUM(P35:P39)</f>
        <v>135405</v>
      </c>
      <c r="Q40" s="30">
        <f>SUM(Q35:Q39)</f>
        <v>128777</v>
      </c>
      <c r="R40" s="30">
        <f>SUM(R35:R39)</f>
        <v>112913</v>
      </c>
      <c r="S40" s="30">
        <f>SUM(S35:S39)</f>
        <v>122659</v>
      </c>
      <c r="T40" s="30">
        <f>SUM(T35:T39)</f>
        <v>143566</v>
      </c>
      <c r="U40" s="30">
        <f>SUM(U35:U39)</f>
        <v>143692</v>
      </c>
      <c r="V40" s="30">
        <f>SUM(V35:V39)</f>
        <v>128416</v>
      </c>
      <c r="W40" s="30">
        <f>SUM(W35:W39)</f>
        <v>125435</v>
      </c>
      <c r="X40" s="30">
        <f>SUM(X35:X39)</f>
        <v>152987</v>
      </c>
      <c r="Y40" s="30">
        <f>SUM(Y35:Y39)</f>
        <v>133240</v>
      </c>
      <c r="Z40" s="30">
        <f>SUM(Z35:Z39)</f>
        <v>118674</v>
      </c>
      <c r="AA40" s="30">
        <f>SUM(AA35:AA39)</f>
        <v>122491</v>
      </c>
      <c r="AB40" s="57"/>
      <c r="AC40" s="30">
        <f>SUM(AC35:AC39)</f>
        <v>128777</v>
      </c>
      <c r="AD40" s="30">
        <f>SUM(AD35:AD39)</f>
        <v>112913</v>
      </c>
      <c r="AE40" s="30">
        <f>SUM(AE35:AE39)</f>
        <v>122659</v>
      </c>
      <c r="AF40" s="30">
        <f>SUM(AF35:AF39)</f>
        <v>143566</v>
      </c>
      <c r="AG40" s="30">
        <f>SUM(AG35:AG39)</f>
        <v>143692</v>
      </c>
      <c r="AH40" s="30">
        <f>SUM(AH35:AH39)</f>
        <v>128416</v>
      </c>
      <c r="AI40" s="30">
        <f>SUM(AI35:AI39)</f>
        <v>125435</v>
      </c>
      <c r="AJ40" s="30">
        <f>SUM(AJ35:AJ39)</f>
        <v>152987</v>
      </c>
      <c r="AK40" s="30">
        <f>SUM(AK35:AK39)</f>
        <v>133240</v>
      </c>
      <c r="AL40" s="30">
        <f>SUM(AL35:AL39)</f>
        <v>118674</v>
      </c>
      <c r="AM40" s="30">
        <f>SUM(AM35:AM39)</f>
        <v>122491</v>
      </c>
      <c r="AN40" s="48"/>
      <c r="AO40" s="93">
        <f t="shared" si="112"/>
        <v>-2.347032327500298E-2</v>
      </c>
    </row>
    <row r="41" spans="1:41" ht="5.0999999999999996" customHeight="1">
      <c r="B41" s="29"/>
      <c r="C41" s="58"/>
      <c r="D41" s="58"/>
      <c r="E41" s="58"/>
      <c r="F41" s="58"/>
      <c r="G41" s="58"/>
      <c r="H41" s="58"/>
      <c r="I41" s="58"/>
      <c r="J41" s="47"/>
      <c r="K41" s="47"/>
      <c r="M41" s="47"/>
      <c r="N41" s="47"/>
      <c r="O41" s="47"/>
      <c r="P41" s="47"/>
      <c r="Q41" s="47"/>
      <c r="R41" s="47"/>
      <c r="S41" s="47"/>
      <c r="T41" s="47"/>
      <c r="U41" s="47"/>
      <c r="V41" s="47"/>
      <c r="AC41" s="48"/>
      <c r="AD41" s="48"/>
      <c r="AE41" s="48"/>
      <c r="AF41" s="48"/>
      <c r="AG41" s="48"/>
      <c r="AH41" s="48"/>
      <c r="AI41" s="48"/>
      <c r="AJ41" s="48"/>
      <c r="AK41" s="48"/>
      <c r="AL41" s="48"/>
      <c r="AM41" s="48"/>
      <c r="AN41" s="48"/>
      <c r="AO41" s="45"/>
    </row>
    <row r="42" spans="1:41" ht="12.75" customHeight="1">
      <c r="B42" s="11" t="s">
        <v>311</v>
      </c>
      <c r="C42" s="246">
        <v>27010</v>
      </c>
      <c r="D42" s="429">
        <v>33783</v>
      </c>
      <c r="E42" s="429">
        <v>41304</v>
      </c>
      <c r="F42" s="429">
        <v>37378</v>
      </c>
      <c r="G42" s="429">
        <v>36766</v>
      </c>
      <c r="H42" s="429">
        <v>39440</v>
      </c>
      <c r="I42" s="429">
        <v>42117</v>
      </c>
      <c r="J42" s="429">
        <v>43715</v>
      </c>
      <c r="K42" s="429">
        <v>45680</v>
      </c>
      <c r="M42" s="103">
        <v>39245</v>
      </c>
      <c r="N42" s="103">
        <v>39304</v>
      </c>
      <c r="O42" s="103">
        <v>40335</v>
      </c>
      <c r="P42" s="36">
        <f t="shared" ref="P42:P44" si="114">I42</f>
        <v>42117</v>
      </c>
      <c r="Q42" s="103">
        <v>42951</v>
      </c>
      <c r="R42" s="103">
        <v>43398</v>
      </c>
      <c r="S42" s="103">
        <v>43550</v>
      </c>
      <c r="T42" s="36">
        <f t="shared" ref="T42:T44" si="115">J42</f>
        <v>43715</v>
      </c>
      <c r="U42" s="103">
        <v>43666</v>
      </c>
      <c r="V42" s="103">
        <v>43546</v>
      </c>
      <c r="W42" s="103">
        <v>44502</v>
      </c>
      <c r="X42" s="36">
        <f t="shared" ref="X42:X44" si="116">K42</f>
        <v>45680</v>
      </c>
      <c r="Y42" s="103">
        <v>46069</v>
      </c>
      <c r="Z42" s="103">
        <v>46876</v>
      </c>
      <c r="AA42" s="103">
        <v>48508</v>
      </c>
      <c r="AC42" s="36">
        <f>Q42</f>
        <v>42951</v>
      </c>
      <c r="AD42" s="36">
        <f>R42</f>
        <v>43398</v>
      </c>
      <c r="AE42" s="36">
        <f>S42</f>
        <v>43550</v>
      </c>
      <c r="AF42" s="36">
        <f>T42</f>
        <v>43715</v>
      </c>
      <c r="AG42" s="36">
        <f>U42</f>
        <v>43666</v>
      </c>
      <c r="AH42" s="36">
        <f>V42</f>
        <v>43546</v>
      </c>
      <c r="AI42" s="36">
        <f>W42</f>
        <v>44502</v>
      </c>
      <c r="AJ42" s="36">
        <f>X42</f>
        <v>45680</v>
      </c>
      <c r="AK42" s="36">
        <f>Y42</f>
        <v>46069</v>
      </c>
      <c r="AL42" s="36">
        <f t="shared" ref="AL42:AL44" si="117">Z42</f>
        <v>46876</v>
      </c>
      <c r="AM42" s="36">
        <f t="shared" ref="AM42:AM44" si="118">AA42</f>
        <v>48508</v>
      </c>
      <c r="AN42" s="13"/>
      <c r="AO42" s="92">
        <f t="shared" si="112"/>
        <v>9.0018426138151142E-2</v>
      </c>
    </row>
    <row r="43" spans="1:41" ht="12.75" customHeight="1">
      <c r="B43" s="11" t="s">
        <v>531</v>
      </c>
      <c r="C43" s="246">
        <v>170430</v>
      </c>
      <c r="D43" s="429">
        <v>194714</v>
      </c>
      <c r="E43" s="429">
        <v>170799</v>
      </c>
      <c r="F43" s="429">
        <v>105341</v>
      </c>
      <c r="G43" s="429">
        <v>100887</v>
      </c>
      <c r="H43" s="429">
        <v>127877</v>
      </c>
      <c r="I43" s="429">
        <v>120805</v>
      </c>
      <c r="J43" s="429">
        <v>100544</v>
      </c>
      <c r="K43" s="429">
        <v>91479</v>
      </c>
      <c r="M43" s="103">
        <v>138683</v>
      </c>
      <c r="N43" s="103">
        <v>141219</v>
      </c>
      <c r="O43" s="103">
        <v>131077</v>
      </c>
      <c r="P43" s="36">
        <f t="shared" si="114"/>
        <v>120805</v>
      </c>
      <c r="Q43" s="103">
        <v>114095</v>
      </c>
      <c r="R43" s="103">
        <v>110461</v>
      </c>
      <c r="S43" s="103">
        <v>104061</v>
      </c>
      <c r="T43" s="36">
        <f t="shared" si="115"/>
        <v>100544</v>
      </c>
      <c r="U43" s="103">
        <v>99475</v>
      </c>
      <c r="V43" s="103">
        <v>95187</v>
      </c>
      <c r="W43" s="103">
        <v>91240</v>
      </c>
      <c r="X43" s="36">
        <f t="shared" si="116"/>
        <v>91479</v>
      </c>
      <c r="Y43" s="103">
        <v>87593</v>
      </c>
      <c r="Z43" s="103">
        <v>84424</v>
      </c>
      <c r="AA43" s="103">
        <v>77614</v>
      </c>
      <c r="AC43" s="36">
        <f>Q43</f>
        <v>114095</v>
      </c>
      <c r="AD43" s="36">
        <f>R43</f>
        <v>110461</v>
      </c>
      <c r="AE43" s="36">
        <f>S43</f>
        <v>104061</v>
      </c>
      <c r="AF43" s="36">
        <f>T43</f>
        <v>100544</v>
      </c>
      <c r="AG43" s="36">
        <f>U43</f>
        <v>99475</v>
      </c>
      <c r="AH43" s="36">
        <f>V43</f>
        <v>95187</v>
      </c>
      <c r="AI43" s="36">
        <f>W43</f>
        <v>91240</v>
      </c>
      <c r="AJ43" s="36">
        <f>X43</f>
        <v>91479</v>
      </c>
      <c r="AK43" s="36">
        <f>Y43</f>
        <v>87593</v>
      </c>
      <c r="AL43" s="36">
        <f t="shared" si="117"/>
        <v>84424</v>
      </c>
      <c r="AM43" s="36">
        <f t="shared" si="118"/>
        <v>77614</v>
      </c>
      <c r="AN43" s="13"/>
      <c r="AO43" s="92">
        <f t="shared" si="112"/>
        <v>-0.14934239368697944</v>
      </c>
    </row>
    <row r="44" spans="1:41" ht="12.75" customHeight="1">
      <c r="B44" s="11" t="s">
        <v>312</v>
      </c>
      <c r="C44" s="246">
        <f>5414+3206+8757</f>
        <v>17377</v>
      </c>
      <c r="D44" s="429">
        <v>18177</v>
      </c>
      <c r="E44" s="429">
        <v>22283</v>
      </c>
      <c r="F44" s="429">
        <v>32978</v>
      </c>
      <c r="G44" s="429">
        <v>42522</v>
      </c>
      <c r="H44" s="429">
        <v>48849</v>
      </c>
      <c r="I44" s="429">
        <v>54428</v>
      </c>
      <c r="J44" s="429">
        <v>64758</v>
      </c>
      <c r="K44" s="429">
        <v>74834</v>
      </c>
      <c r="M44" s="103">
        <v>42071</v>
      </c>
      <c r="N44" s="103">
        <v>43921</v>
      </c>
      <c r="O44" s="103">
        <v>44567</v>
      </c>
      <c r="P44" s="36">
        <f t="shared" si="114"/>
        <v>54428</v>
      </c>
      <c r="Q44" s="103">
        <v>52886</v>
      </c>
      <c r="R44" s="103">
        <v>57350</v>
      </c>
      <c r="S44" s="103">
        <v>56730</v>
      </c>
      <c r="T44" s="36">
        <f t="shared" si="115"/>
        <v>64758</v>
      </c>
      <c r="U44" s="103">
        <v>58643</v>
      </c>
      <c r="V44" s="103">
        <v>62224</v>
      </c>
      <c r="W44" s="103">
        <v>62397</v>
      </c>
      <c r="X44" s="36">
        <f t="shared" si="116"/>
        <v>74834</v>
      </c>
      <c r="Y44" s="103">
        <v>77183</v>
      </c>
      <c r="Z44" s="103">
        <v>81259</v>
      </c>
      <c r="AA44" s="103">
        <v>82882</v>
      </c>
      <c r="AC44" s="36">
        <f>Q44</f>
        <v>52886</v>
      </c>
      <c r="AD44" s="36">
        <f>R44</f>
        <v>57350</v>
      </c>
      <c r="AE44" s="36">
        <f>S44</f>
        <v>56730</v>
      </c>
      <c r="AF44" s="36">
        <f>T44</f>
        <v>64758</v>
      </c>
      <c r="AG44" s="36">
        <f>U44</f>
        <v>58643</v>
      </c>
      <c r="AH44" s="36">
        <f>V44</f>
        <v>62224</v>
      </c>
      <c r="AI44" s="36">
        <f>W44</f>
        <v>62397</v>
      </c>
      <c r="AJ44" s="36">
        <f>X44</f>
        <v>74834</v>
      </c>
      <c r="AK44" s="36">
        <f>Y44</f>
        <v>77183</v>
      </c>
      <c r="AL44" s="36">
        <f t="shared" si="117"/>
        <v>81259</v>
      </c>
      <c r="AM44" s="36">
        <f t="shared" si="118"/>
        <v>82882</v>
      </c>
      <c r="AN44" s="13"/>
      <c r="AO44" s="92">
        <f t="shared" si="112"/>
        <v>0.32830104011410799</v>
      </c>
    </row>
    <row r="45" spans="1:41" ht="12.75" customHeight="1">
      <c r="B45" s="15" t="s">
        <v>32</v>
      </c>
      <c r="C45" s="16">
        <f t="shared" ref="C45:F45" si="119">SUM(C42:C44)+C40</f>
        <v>321686</v>
      </c>
      <c r="D45" s="16">
        <f t="shared" si="119"/>
        <v>375319</v>
      </c>
      <c r="E45" s="16">
        <f t="shared" si="119"/>
        <v>365725</v>
      </c>
      <c r="F45" s="16">
        <f t="shared" si="119"/>
        <v>338516</v>
      </c>
      <c r="G45" s="16">
        <f>SUM(G42:G44)+G40</f>
        <v>323888</v>
      </c>
      <c r="H45" s="38">
        <f>SUM(H42:H44)+H40</f>
        <v>351002</v>
      </c>
      <c r="I45" s="16">
        <f>SUM(I42:I44)+I40</f>
        <v>352755</v>
      </c>
      <c r="J45" s="16">
        <f>SUM(J42:J44)+J40</f>
        <v>352583</v>
      </c>
      <c r="K45" s="16">
        <f>SUM(K42:K44)+K40</f>
        <v>364980</v>
      </c>
      <c r="M45" s="16">
        <f>SUM(M42:M44)+M40</f>
        <v>373153</v>
      </c>
      <c r="N45" s="16">
        <f>SUM(N42:N44)+N40</f>
        <v>342624</v>
      </c>
      <c r="O45" s="16">
        <f>SUM(O42:O44)+O40</f>
        <v>328271</v>
      </c>
      <c r="P45" s="16">
        <f>SUM(P42:P44)+P40</f>
        <v>352755</v>
      </c>
      <c r="Q45" s="16">
        <f>SUM(Q42:Q44)+Q40</f>
        <v>338709</v>
      </c>
      <c r="R45" s="16">
        <f>SUM(R42:R44)+R40</f>
        <v>324122</v>
      </c>
      <c r="S45" s="16">
        <f>SUM(S42:S44)+S40</f>
        <v>327000</v>
      </c>
      <c r="T45" s="16">
        <f>SUM(T42:T44)+T40</f>
        <v>352583</v>
      </c>
      <c r="U45" s="16">
        <f>SUM(U42:U44)+U40</f>
        <v>345476</v>
      </c>
      <c r="V45" s="16">
        <f>SUM(V42:V44)+V40</f>
        <v>329373</v>
      </c>
      <c r="W45" s="16">
        <f>SUM(W42:W44)+W40</f>
        <v>323574</v>
      </c>
      <c r="X45" s="16">
        <f>SUM(X42:X44)+X40</f>
        <v>364980</v>
      </c>
      <c r="Y45" s="16">
        <f>SUM(Y42:Y44)+Y40</f>
        <v>344085</v>
      </c>
      <c r="Z45" s="16">
        <f>SUM(Z42:Z44)+Z40</f>
        <v>331233</v>
      </c>
      <c r="AA45" s="16">
        <f>SUM(AA42:AA44)+AA40</f>
        <v>331495</v>
      </c>
      <c r="AC45" s="16">
        <f>SUM(AC42:AC44)+AC40</f>
        <v>338709</v>
      </c>
      <c r="AD45" s="16">
        <f>SUM(AD42:AD44)+AD40</f>
        <v>324122</v>
      </c>
      <c r="AE45" s="16">
        <f>SUM(AE42:AE44)+AE40</f>
        <v>327000</v>
      </c>
      <c r="AF45" s="16">
        <f>SUM(AF42:AF44)+AF40</f>
        <v>352583</v>
      </c>
      <c r="AG45" s="16">
        <f>SUM(AG42:AG44)+AG40</f>
        <v>345476</v>
      </c>
      <c r="AH45" s="16">
        <f>SUM(AH42:AH44)+AH40</f>
        <v>329373</v>
      </c>
      <c r="AI45" s="16">
        <f>SUM(AI42:AI44)+AI40</f>
        <v>323574</v>
      </c>
      <c r="AJ45" s="16">
        <f>SUM(AJ42:AJ44)+AJ40</f>
        <v>364980</v>
      </c>
      <c r="AK45" s="16">
        <f>SUM(AK42:AK44)+AK40</f>
        <v>344085</v>
      </c>
      <c r="AL45" s="16">
        <f>SUM(AL42:AL44)+AL40</f>
        <v>331233</v>
      </c>
      <c r="AM45" s="16">
        <f>SUM(AM42:AM44)+AM40</f>
        <v>331495</v>
      </c>
      <c r="AN45" s="48"/>
      <c r="AO45" s="93">
        <f t="shared" si="112"/>
        <v>2.4479717158980563E-2</v>
      </c>
    </row>
    <row r="46" spans="1:41" ht="12.75" customHeight="1">
      <c r="B46" s="29"/>
      <c r="C46" s="59"/>
      <c r="D46" s="59"/>
      <c r="E46" s="59"/>
      <c r="F46" s="59"/>
      <c r="G46" s="59"/>
      <c r="H46" s="59"/>
      <c r="I46" s="59"/>
      <c r="J46" s="47"/>
      <c r="K46" s="47"/>
      <c r="M46" s="47"/>
      <c r="N46" s="47"/>
      <c r="O46" s="47"/>
      <c r="P46" s="47"/>
      <c r="Q46" s="47"/>
      <c r="R46" s="47"/>
      <c r="S46" s="47"/>
      <c r="T46" s="47"/>
      <c r="U46" s="47"/>
      <c r="V46" s="47"/>
      <c r="AC46" s="48"/>
      <c r="AD46" s="48"/>
      <c r="AE46" s="48"/>
      <c r="AF46" s="48"/>
      <c r="AG46" s="48"/>
      <c r="AH46" s="48"/>
      <c r="AI46" s="48"/>
      <c r="AJ46" s="48"/>
      <c r="AK46" s="48"/>
      <c r="AL46" s="48"/>
      <c r="AM46" s="48"/>
      <c r="AN46" s="48"/>
      <c r="AO46" s="45"/>
    </row>
    <row r="47" spans="1:41" ht="12.75" customHeight="1">
      <c r="B47" s="11" t="s">
        <v>71</v>
      </c>
      <c r="C47" s="36">
        <v>37294</v>
      </c>
      <c r="D47" s="103">
        <v>44242</v>
      </c>
      <c r="E47" s="103">
        <v>55888</v>
      </c>
      <c r="F47" s="103">
        <v>46236</v>
      </c>
      <c r="G47" s="429">
        <v>42296</v>
      </c>
      <c r="H47" s="429">
        <v>54763</v>
      </c>
      <c r="I47" s="429">
        <v>64115</v>
      </c>
      <c r="J47" s="429">
        <v>62611</v>
      </c>
      <c r="K47" s="429">
        <v>68960</v>
      </c>
      <c r="M47" s="103">
        <v>74362</v>
      </c>
      <c r="N47" s="103">
        <v>52682</v>
      </c>
      <c r="O47" s="103">
        <v>48343</v>
      </c>
      <c r="P47" s="36">
        <f t="shared" ref="P47:P49" si="120">I47</f>
        <v>64115</v>
      </c>
      <c r="Q47" s="103">
        <v>57918</v>
      </c>
      <c r="R47" s="103">
        <v>42945</v>
      </c>
      <c r="S47" s="103">
        <v>46699</v>
      </c>
      <c r="T47" s="36">
        <f t="shared" ref="T47:T49" si="121">J47</f>
        <v>62611</v>
      </c>
      <c r="U47" s="103">
        <v>58146</v>
      </c>
      <c r="V47" s="103">
        <v>45753</v>
      </c>
      <c r="W47" s="103">
        <v>47574</v>
      </c>
      <c r="X47" s="36">
        <f t="shared" ref="X47:X49" si="122">K47</f>
        <v>68960</v>
      </c>
      <c r="Y47" s="103">
        <v>61910</v>
      </c>
      <c r="Z47" s="103">
        <v>54126</v>
      </c>
      <c r="AA47" s="103">
        <v>50374</v>
      </c>
      <c r="AC47" s="36">
        <f>Q47</f>
        <v>57918</v>
      </c>
      <c r="AD47" s="36">
        <f>R47</f>
        <v>42945</v>
      </c>
      <c r="AE47" s="36">
        <f>S47</f>
        <v>46699</v>
      </c>
      <c r="AF47" s="36">
        <f>T47</f>
        <v>62611</v>
      </c>
      <c r="AG47" s="36">
        <f>U47</f>
        <v>58146</v>
      </c>
      <c r="AH47" s="36">
        <f>V47</f>
        <v>45753</v>
      </c>
      <c r="AI47" s="36">
        <f>W47</f>
        <v>47574</v>
      </c>
      <c r="AJ47" s="36">
        <f>X47</f>
        <v>68960</v>
      </c>
      <c r="AK47" s="36">
        <f>Y47</f>
        <v>61910</v>
      </c>
      <c r="AL47" s="36">
        <f t="shared" ref="AL47:AL51" si="123">Z47</f>
        <v>54126</v>
      </c>
      <c r="AM47" s="36">
        <f t="shared" ref="AM47:AM51" si="124">AA47</f>
        <v>50374</v>
      </c>
      <c r="AN47" s="13"/>
      <c r="AO47" s="92">
        <f t="shared" si="112"/>
        <v>5.8855677470887491E-2</v>
      </c>
    </row>
    <row r="48" spans="1:41" ht="12.75" customHeight="1">
      <c r="B48" s="11" t="s">
        <v>313</v>
      </c>
      <c r="C48" s="36">
        <v>8080</v>
      </c>
      <c r="D48" s="103">
        <v>7548</v>
      </c>
      <c r="E48" s="103">
        <v>7543</v>
      </c>
      <c r="F48" s="103">
        <v>5522</v>
      </c>
      <c r="G48" s="429">
        <v>6643</v>
      </c>
      <c r="H48" s="429">
        <v>7612</v>
      </c>
      <c r="I48" s="429">
        <v>7912</v>
      </c>
      <c r="J48" s="429">
        <v>8061</v>
      </c>
      <c r="K48" s="429">
        <v>8249</v>
      </c>
      <c r="M48" s="103">
        <v>7876</v>
      </c>
      <c r="N48" s="103">
        <v>7920</v>
      </c>
      <c r="O48" s="103">
        <v>7728</v>
      </c>
      <c r="P48" s="36">
        <f t="shared" si="120"/>
        <v>7912</v>
      </c>
      <c r="Q48" s="103">
        <v>7992</v>
      </c>
      <c r="R48" s="103">
        <v>8131</v>
      </c>
      <c r="S48" s="103">
        <v>8158</v>
      </c>
      <c r="T48" s="36">
        <f t="shared" si="121"/>
        <v>8061</v>
      </c>
      <c r="U48" s="103">
        <v>8264</v>
      </c>
      <c r="V48" s="103">
        <v>8012</v>
      </c>
      <c r="W48" s="103">
        <v>8053</v>
      </c>
      <c r="X48" s="36">
        <f t="shared" si="122"/>
        <v>8249</v>
      </c>
      <c r="Y48" s="103">
        <v>8461</v>
      </c>
      <c r="Z48" s="103">
        <v>8976</v>
      </c>
      <c r="AA48" s="103">
        <v>8979</v>
      </c>
      <c r="AC48" s="36">
        <f>Q48</f>
        <v>7992</v>
      </c>
      <c r="AD48" s="36">
        <f>R48</f>
        <v>8131</v>
      </c>
      <c r="AE48" s="36">
        <f>S48</f>
        <v>8158</v>
      </c>
      <c r="AF48" s="36">
        <f>T48</f>
        <v>8061</v>
      </c>
      <c r="AG48" s="36">
        <f>U48</f>
        <v>8264</v>
      </c>
      <c r="AH48" s="36">
        <f>V48</f>
        <v>8012</v>
      </c>
      <c r="AI48" s="36">
        <f>W48</f>
        <v>8053</v>
      </c>
      <c r="AJ48" s="36">
        <f>X48</f>
        <v>8249</v>
      </c>
      <c r="AK48" s="36">
        <f>Y48</f>
        <v>8461</v>
      </c>
      <c r="AL48" s="36">
        <f t="shared" si="123"/>
        <v>8976</v>
      </c>
      <c r="AM48" s="36">
        <f t="shared" si="124"/>
        <v>8979</v>
      </c>
      <c r="AN48" s="13"/>
      <c r="AO48" s="92">
        <f t="shared" si="112"/>
        <v>0.11498820315410407</v>
      </c>
    </row>
    <row r="49" spans="2:41" ht="12.75" customHeight="1">
      <c r="B49" s="11" t="s">
        <v>314</v>
      </c>
      <c r="C49" s="36">
        <v>22027</v>
      </c>
      <c r="D49" s="103">
        <v>30551</v>
      </c>
      <c r="E49" s="103">
        <v>32687</v>
      </c>
      <c r="F49" s="103">
        <v>37720</v>
      </c>
      <c r="G49" s="429">
        <v>42684</v>
      </c>
      <c r="H49" s="429">
        <v>47493</v>
      </c>
      <c r="I49" s="429">
        <v>60845</v>
      </c>
      <c r="J49" s="429">
        <v>58829</v>
      </c>
      <c r="K49" s="429">
        <v>78304</v>
      </c>
      <c r="M49" s="103">
        <v>49167</v>
      </c>
      <c r="N49" s="103">
        <v>50248</v>
      </c>
      <c r="O49" s="103">
        <v>48811</v>
      </c>
      <c r="P49" s="36">
        <f t="shared" si="120"/>
        <v>60845</v>
      </c>
      <c r="Q49" s="103">
        <v>59893</v>
      </c>
      <c r="R49" s="103">
        <v>56425</v>
      </c>
      <c r="S49" s="103">
        <v>58897</v>
      </c>
      <c r="T49" s="36">
        <f t="shared" si="121"/>
        <v>58829</v>
      </c>
      <c r="U49" s="103">
        <v>54611</v>
      </c>
      <c r="V49" s="103">
        <v>57298</v>
      </c>
      <c r="W49" s="103">
        <v>60889</v>
      </c>
      <c r="X49" s="36">
        <f t="shared" si="122"/>
        <v>78304</v>
      </c>
      <c r="Y49" s="103">
        <v>61151</v>
      </c>
      <c r="Z49" s="103">
        <v>61849</v>
      </c>
      <c r="AA49" s="103">
        <v>62499</v>
      </c>
      <c r="AC49" s="36">
        <f>Q49</f>
        <v>59893</v>
      </c>
      <c r="AD49" s="36">
        <f>R49</f>
        <v>56425</v>
      </c>
      <c r="AE49" s="36">
        <f>S49</f>
        <v>58897</v>
      </c>
      <c r="AF49" s="36">
        <f>T49</f>
        <v>58829</v>
      </c>
      <c r="AG49" s="36">
        <f>U49</f>
        <v>54611</v>
      </c>
      <c r="AH49" s="36">
        <f>V49</f>
        <v>57298</v>
      </c>
      <c r="AI49" s="36">
        <f>W49</f>
        <v>60889</v>
      </c>
      <c r="AJ49" s="36">
        <f>X49</f>
        <v>78304</v>
      </c>
      <c r="AK49" s="36">
        <f>Y49</f>
        <v>61151</v>
      </c>
      <c r="AL49" s="36">
        <f t="shared" si="123"/>
        <v>61849</v>
      </c>
      <c r="AM49" s="36">
        <f t="shared" si="124"/>
        <v>62499</v>
      </c>
      <c r="AN49" s="13"/>
      <c r="AO49" s="92">
        <f t="shared" si="112"/>
        <v>2.6441557588398501E-2</v>
      </c>
    </row>
    <row r="50" spans="2:41" ht="12.75" customHeight="1">
      <c r="B50" s="11" t="s">
        <v>362</v>
      </c>
      <c r="C50" s="36">
        <v>8105</v>
      </c>
      <c r="D50" s="103">
        <v>11977</v>
      </c>
      <c r="E50" s="103">
        <v>11964</v>
      </c>
      <c r="F50" s="103">
        <v>5980</v>
      </c>
      <c r="G50" s="429">
        <v>4996</v>
      </c>
      <c r="H50" s="429">
        <v>6000</v>
      </c>
      <c r="I50" s="429">
        <v>9982</v>
      </c>
      <c r="J50" s="429">
        <v>5985</v>
      </c>
      <c r="K50" s="429">
        <v>9967</v>
      </c>
      <c r="M50" s="103">
        <v>5000</v>
      </c>
      <c r="N50" s="103">
        <v>6999</v>
      </c>
      <c r="O50" s="103">
        <v>10982</v>
      </c>
      <c r="P50" s="36">
        <v>9982</v>
      </c>
      <c r="Q50" s="103">
        <v>1743</v>
      </c>
      <c r="R50" s="103">
        <v>1996</v>
      </c>
      <c r="S50" s="103">
        <v>3993</v>
      </c>
      <c r="T50" s="36">
        <v>5985</v>
      </c>
      <c r="U50" s="103">
        <v>1998</v>
      </c>
      <c r="V50" s="103">
        <v>1997</v>
      </c>
      <c r="W50" s="103">
        <v>2994</v>
      </c>
      <c r="X50" s="36">
        <v>9967</v>
      </c>
      <c r="Y50" s="103">
        <v>1995</v>
      </c>
      <c r="Z50" s="103">
        <v>5982</v>
      </c>
      <c r="AA50" s="103">
        <v>9923</v>
      </c>
      <c r="AC50" s="36"/>
      <c r="AD50" s="36"/>
      <c r="AE50" s="36"/>
      <c r="AF50" s="36"/>
      <c r="AG50" s="36"/>
      <c r="AH50" s="36"/>
      <c r="AI50" s="36">
        <f>W50</f>
        <v>2994</v>
      </c>
      <c r="AJ50" s="36">
        <f>X50</f>
        <v>9967</v>
      </c>
      <c r="AK50" s="36">
        <f>Y50</f>
        <v>1995</v>
      </c>
      <c r="AL50" s="36">
        <f t="shared" ref="AL50" si="125">Z50</f>
        <v>5982</v>
      </c>
      <c r="AM50" s="36">
        <f t="shared" ref="AM50" si="126">AA50</f>
        <v>9923</v>
      </c>
      <c r="AN50" s="13"/>
      <c r="AO50" s="92"/>
    </row>
    <row r="51" spans="2:41" ht="12.75" customHeight="1">
      <c r="B51" s="11" t="s">
        <v>363</v>
      </c>
      <c r="C51" s="36">
        <v>3500</v>
      </c>
      <c r="D51" s="103">
        <v>6496</v>
      </c>
      <c r="E51" s="103">
        <v>8784</v>
      </c>
      <c r="F51" s="103">
        <v>10260</v>
      </c>
      <c r="G51" s="429">
        <v>8773</v>
      </c>
      <c r="H51" s="429">
        <v>9613</v>
      </c>
      <c r="I51" s="429">
        <v>11128</v>
      </c>
      <c r="J51" s="429">
        <v>9822</v>
      </c>
      <c r="K51" s="429">
        <v>10912</v>
      </c>
      <c r="M51" s="103">
        <v>11169</v>
      </c>
      <c r="N51" s="103">
        <v>9659</v>
      </c>
      <c r="O51" s="103">
        <v>14009</v>
      </c>
      <c r="P51" s="36">
        <v>11128</v>
      </c>
      <c r="Q51" s="103">
        <v>9740</v>
      </c>
      <c r="R51" s="103">
        <v>10578</v>
      </c>
      <c r="S51" s="103">
        <v>7216</v>
      </c>
      <c r="T51" s="36">
        <v>9822</v>
      </c>
      <c r="U51" s="103">
        <v>10954</v>
      </c>
      <c r="V51" s="103">
        <v>10762</v>
      </c>
      <c r="W51" s="103">
        <v>12114</v>
      </c>
      <c r="X51" s="36">
        <v>10912</v>
      </c>
      <c r="Y51" s="103">
        <v>10848</v>
      </c>
      <c r="Z51" s="103">
        <v>13638</v>
      </c>
      <c r="AA51" s="103">
        <v>9345</v>
      </c>
      <c r="AC51" s="36">
        <f>Q51</f>
        <v>9740</v>
      </c>
      <c r="AD51" s="36">
        <f>R51</f>
        <v>10578</v>
      </c>
      <c r="AE51" s="36">
        <f>S51</f>
        <v>7216</v>
      </c>
      <c r="AF51" s="36">
        <f>T51</f>
        <v>9822</v>
      </c>
      <c r="AG51" s="36">
        <f>U51</f>
        <v>10954</v>
      </c>
      <c r="AH51" s="36">
        <f>V51</f>
        <v>10762</v>
      </c>
      <c r="AI51" s="36">
        <f>W51</f>
        <v>12114</v>
      </c>
      <c r="AJ51" s="36">
        <f>X51</f>
        <v>10912</v>
      </c>
      <c r="AK51" s="36">
        <f>Y51</f>
        <v>10848</v>
      </c>
      <c r="AL51" s="36">
        <f t="shared" si="123"/>
        <v>13638</v>
      </c>
      <c r="AM51" s="36">
        <f t="shared" si="124"/>
        <v>9345</v>
      </c>
      <c r="AN51" s="13"/>
      <c r="AO51" s="92">
        <f t="shared" si="112"/>
        <v>-0.22857850421000492</v>
      </c>
    </row>
    <row r="52" spans="2:41" ht="12.75" customHeight="1">
      <c r="B52" s="29" t="s">
        <v>28</v>
      </c>
      <c r="C52" s="30">
        <f t="shared" ref="C52:F52" si="127">SUM(C47:C51)</f>
        <v>79006</v>
      </c>
      <c r="D52" s="30">
        <f t="shared" si="127"/>
        <v>100814</v>
      </c>
      <c r="E52" s="30">
        <f t="shared" si="127"/>
        <v>116866</v>
      </c>
      <c r="F52" s="30">
        <f t="shared" si="127"/>
        <v>105718</v>
      </c>
      <c r="G52" s="30">
        <f>SUM(G47:G51)</f>
        <v>105392</v>
      </c>
      <c r="H52" s="30">
        <f>SUM(H47:H51)</f>
        <v>125481</v>
      </c>
      <c r="I52" s="30">
        <f>SUM(I47:I51)</f>
        <v>153982</v>
      </c>
      <c r="J52" s="30">
        <f>SUM(J47:J51)</f>
        <v>145308</v>
      </c>
      <c r="K52" s="30">
        <f>SUM(K47:K51)</f>
        <v>176392</v>
      </c>
      <c r="M52" s="30">
        <f>SUM(M47:M51)</f>
        <v>147574</v>
      </c>
      <c r="N52" s="30">
        <f>SUM(N47:N51)</f>
        <v>127508</v>
      </c>
      <c r="O52" s="30">
        <f>SUM(O47:O51)</f>
        <v>129873</v>
      </c>
      <c r="P52" s="30">
        <f>SUM(P47:P51)</f>
        <v>153982</v>
      </c>
      <c r="Q52" s="30">
        <f>SUM(Q47:Q51)</f>
        <v>137286</v>
      </c>
      <c r="R52" s="30">
        <f>SUM(R47:R51)</f>
        <v>120075</v>
      </c>
      <c r="S52" s="30">
        <f>SUM(S47:S51)</f>
        <v>124963</v>
      </c>
      <c r="T52" s="30">
        <f>SUM(T47:T51)</f>
        <v>145308</v>
      </c>
      <c r="U52" s="30">
        <f>SUM(U47:U51)</f>
        <v>133973</v>
      </c>
      <c r="V52" s="30">
        <f>SUM(V47:V51)</f>
        <v>123822</v>
      </c>
      <c r="W52" s="30">
        <f>SUM(W47:W51)</f>
        <v>131624</v>
      </c>
      <c r="X52" s="30">
        <f>SUM(X47:X51)</f>
        <v>176392</v>
      </c>
      <c r="Y52" s="30">
        <f>SUM(Y47:Y51)</f>
        <v>144365</v>
      </c>
      <c r="Z52" s="30">
        <f>SUM(Z47:Z51)</f>
        <v>144571</v>
      </c>
      <c r="AA52" s="30">
        <f>SUM(AA47:AA51)</f>
        <v>141120</v>
      </c>
      <c r="AB52" s="57"/>
      <c r="AC52" s="30">
        <f>SUM(AC47:AC51)</f>
        <v>135543</v>
      </c>
      <c r="AD52" s="30">
        <f>SUM(AD47:AD51)</f>
        <v>118079</v>
      </c>
      <c r="AE52" s="30">
        <f>SUM(AE47:AE51)</f>
        <v>120970</v>
      </c>
      <c r="AF52" s="30">
        <f>SUM(AF47:AF51)</f>
        <v>139323</v>
      </c>
      <c r="AG52" s="30">
        <f>SUM(AG47:AG51)</f>
        <v>131975</v>
      </c>
      <c r="AH52" s="30">
        <f>SUM(AH47:AH51)</f>
        <v>121825</v>
      </c>
      <c r="AI52" s="30">
        <f>SUM(AI47:AI51)</f>
        <v>131624</v>
      </c>
      <c r="AJ52" s="30">
        <f>SUM(AJ47:AJ51)</f>
        <v>176392</v>
      </c>
      <c r="AK52" s="30">
        <f>SUM(AK47:AK51)</f>
        <v>144365</v>
      </c>
      <c r="AL52" s="30">
        <f>SUM(AL47:AL51)</f>
        <v>144571</v>
      </c>
      <c r="AM52" s="30">
        <f>SUM(AM47:AM51)</f>
        <v>141120</v>
      </c>
      <c r="AN52" s="48"/>
      <c r="AO52" s="93">
        <f t="shared" si="112"/>
        <v>7.2144897587066215E-2</v>
      </c>
    </row>
    <row r="53" spans="2:41" ht="5.0999999999999996" customHeight="1">
      <c r="B53" s="29"/>
      <c r="C53" s="59"/>
      <c r="D53" s="59"/>
      <c r="E53" s="59"/>
      <c r="F53" s="59"/>
      <c r="G53" s="59"/>
      <c r="H53" s="59"/>
      <c r="I53" s="59"/>
      <c r="J53" s="47"/>
      <c r="K53" s="47"/>
      <c r="M53" s="47"/>
      <c r="N53" s="47"/>
      <c r="O53" s="47"/>
      <c r="P53" s="47"/>
      <c r="Q53" s="47"/>
      <c r="R53" s="47"/>
      <c r="S53" s="47"/>
      <c r="T53" s="47"/>
      <c r="U53" s="47"/>
      <c r="V53" s="47"/>
      <c r="AC53" s="48"/>
      <c r="AD53" s="48"/>
      <c r="AE53" s="48"/>
      <c r="AF53" s="48"/>
      <c r="AG53" s="48"/>
      <c r="AH53" s="48"/>
      <c r="AI53" s="48"/>
      <c r="AJ53" s="48"/>
      <c r="AK53" s="48"/>
      <c r="AL53" s="48"/>
      <c r="AM53" s="48"/>
      <c r="AN53" s="48"/>
      <c r="AO53" s="45"/>
    </row>
    <row r="54" spans="2:41" ht="12.75" customHeight="1">
      <c r="B54" s="11" t="s">
        <v>317</v>
      </c>
      <c r="C54" s="36">
        <v>75427</v>
      </c>
      <c r="D54" s="103">
        <v>97207</v>
      </c>
      <c r="E54" s="103">
        <v>93735</v>
      </c>
      <c r="F54" s="103">
        <v>91807</v>
      </c>
      <c r="G54" s="429">
        <v>98667</v>
      </c>
      <c r="H54" s="429">
        <v>109106</v>
      </c>
      <c r="I54" s="429">
        <v>98959</v>
      </c>
      <c r="J54" s="429">
        <v>95281</v>
      </c>
      <c r="K54" s="429">
        <v>85750</v>
      </c>
      <c r="L54" s="60"/>
      <c r="M54" s="103">
        <v>106629</v>
      </c>
      <c r="N54" s="103">
        <v>103323</v>
      </c>
      <c r="O54" s="103">
        <v>94700</v>
      </c>
      <c r="P54" s="36">
        <f t="shared" ref="P54:P56" si="128">I54</f>
        <v>98959</v>
      </c>
      <c r="Q54" s="103">
        <v>99627</v>
      </c>
      <c r="R54" s="103">
        <v>97041</v>
      </c>
      <c r="S54" s="103">
        <v>98071</v>
      </c>
      <c r="T54" s="36">
        <f t="shared" ref="T54:T56" si="129">J54</f>
        <v>95281</v>
      </c>
      <c r="U54" s="103">
        <v>95088</v>
      </c>
      <c r="V54" s="103">
        <v>91831</v>
      </c>
      <c r="W54" s="103">
        <v>86196</v>
      </c>
      <c r="X54" s="36">
        <f t="shared" ref="X54:X56" si="130">K54</f>
        <v>85750</v>
      </c>
      <c r="Y54" s="103">
        <v>83956</v>
      </c>
      <c r="Z54" s="103">
        <v>78566</v>
      </c>
      <c r="AA54" s="103">
        <v>82430</v>
      </c>
      <c r="AC54" s="36">
        <f>Q54</f>
        <v>99627</v>
      </c>
      <c r="AD54" s="36">
        <f>R54</f>
        <v>97041</v>
      </c>
      <c r="AE54" s="36">
        <f>S54</f>
        <v>98071</v>
      </c>
      <c r="AF54" s="36">
        <f>T54</f>
        <v>95281</v>
      </c>
      <c r="AG54" s="36">
        <f>U54</f>
        <v>95088</v>
      </c>
      <c r="AH54" s="36">
        <f>V54</f>
        <v>91831</v>
      </c>
      <c r="AI54" s="36">
        <f>W54</f>
        <v>86196</v>
      </c>
      <c r="AJ54" s="36">
        <f>X54</f>
        <v>85750</v>
      </c>
      <c r="AK54" s="36">
        <f>Y54</f>
        <v>83956</v>
      </c>
      <c r="AL54" s="36">
        <f t="shared" ref="AL54:AL56" si="131">Z54</f>
        <v>78566</v>
      </c>
      <c r="AM54" s="36">
        <f t="shared" ref="AM54:AM56" si="132">AA54</f>
        <v>82430</v>
      </c>
      <c r="AN54" s="48"/>
      <c r="AO54" s="92">
        <f t="shared" si="112"/>
        <v>-4.3691122557891315E-2</v>
      </c>
    </row>
    <row r="55" spans="2:41" ht="12.75" customHeight="1">
      <c r="B55" s="11" t="s">
        <v>315</v>
      </c>
      <c r="C55" s="36">
        <v>2930</v>
      </c>
      <c r="D55" s="103">
        <v>2836</v>
      </c>
      <c r="E55" s="103">
        <v>2797</v>
      </c>
      <c r="F55" s="103">
        <v>0</v>
      </c>
      <c r="G55" s="429">
        <v>0</v>
      </c>
      <c r="H55" s="429">
        <v>0</v>
      </c>
      <c r="I55" s="429">
        <v>0</v>
      </c>
      <c r="J55" s="429">
        <v>0</v>
      </c>
      <c r="K55" s="429">
        <v>0</v>
      </c>
      <c r="L55" s="60"/>
      <c r="M55" s="103">
        <v>0</v>
      </c>
      <c r="N55" s="103">
        <v>0</v>
      </c>
      <c r="O55" s="103">
        <v>0</v>
      </c>
      <c r="P55" s="36">
        <f t="shared" si="128"/>
        <v>0</v>
      </c>
      <c r="Q55" s="103">
        <v>0</v>
      </c>
      <c r="R55" s="103">
        <v>0</v>
      </c>
      <c r="S55" s="103">
        <v>0</v>
      </c>
      <c r="T55" s="36">
        <f t="shared" si="129"/>
        <v>0</v>
      </c>
      <c r="U55" s="103">
        <v>0</v>
      </c>
      <c r="V55" s="103">
        <v>0</v>
      </c>
      <c r="W55" s="103">
        <v>0</v>
      </c>
      <c r="X55" s="36">
        <f t="shared" si="130"/>
        <v>0</v>
      </c>
      <c r="Y55" s="103">
        <v>0</v>
      </c>
      <c r="Z55" s="103">
        <v>0</v>
      </c>
      <c r="AA55" s="103">
        <v>0</v>
      </c>
      <c r="AC55" s="36">
        <f>Q55</f>
        <v>0</v>
      </c>
      <c r="AD55" s="36">
        <f>R55</f>
        <v>0</v>
      </c>
      <c r="AE55" s="36">
        <f>S55</f>
        <v>0</v>
      </c>
      <c r="AF55" s="36">
        <f>T55</f>
        <v>0</v>
      </c>
      <c r="AG55" s="36">
        <f>U55</f>
        <v>0</v>
      </c>
      <c r="AH55" s="36">
        <f>V55</f>
        <v>0</v>
      </c>
      <c r="AI55" s="36">
        <f>W55</f>
        <v>0</v>
      </c>
      <c r="AJ55" s="36">
        <f>X55</f>
        <v>0</v>
      </c>
      <c r="AK55" s="36">
        <f>Y55</f>
        <v>0</v>
      </c>
      <c r="AL55" s="36">
        <f t="shared" ref="AL55" si="133">Z55</f>
        <v>0</v>
      </c>
      <c r="AM55" s="36">
        <f t="shared" ref="AM55" si="134">AA55</f>
        <v>0</v>
      </c>
      <c r="AN55" s="48"/>
      <c r="AO55" s="92"/>
    </row>
    <row r="56" spans="2:41" ht="12.75" customHeight="1">
      <c r="B56" s="11" t="s">
        <v>316</v>
      </c>
      <c r="C56" s="36">
        <v>36074</v>
      </c>
      <c r="D56" s="103">
        <v>40415</v>
      </c>
      <c r="E56" s="103">
        <v>45180</v>
      </c>
      <c r="F56" s="103">
        <v>50503</v>
      </c>
      <c r="G56" s="429">
        <v>54490</v>
      </c>
      <c r="H56" s="429">
        <v>53325</v>
      </c>
      <c r="I56" s="429">
        <v>49142</v>
      </c>
      <c r="J56" s="429">
        <v>49848</v>
      </c>
      <c r="K56" s="429">
        <v>45888</v>
      </c>
      <c r="L56" s="60"/>
      <c r="M56" s="103">
        <v>55056</v>
      </c>
      <c r="N56" s="103">
        <v>52432</v>
      </c>
      <c r="O56" s="103">
        <v>53629</v>
      </c>
      <c r="P56" s="36">
        <f t="shared" si="128"/>
        <v>49142</v>
      </c>
      <c r="Q56" s="103">
        <v>53107</v>
      </c>
      <c r="R56" s="103">
        <v>52886</v>
      </c>
      <c r="S56" s="103">
        <v>51730</v>
      </c>
      <c r="T56" s="36">
        <f t="shared" si="129"/>
        <v>49848</v>
      </c>
      <c r="U56" s="103">
        <v>50353</v>
      </c>
      <c r="V56" s="103">
        <v>47564</v>
      </c>
      <c r="W56" s="103">
        <v>47084</v>
      </c>
      <c r="X56" s="36">
        <f t="shared" si="130"/>
        <v>45888</v>
      </c>
      <c r="Y56" s="103">
        <v>49006</v>
      </c>
      <c r="Z56" s="103">
        <v>41300</v>
      </c>
      <c r="AA56" s="103">
        <v>42115</v>
      </c>
      <c r="AC56" s="36">
        <f>Q56</f>
        <v>53107</v>
      </c>
      <c r="AD56" s="36">
        <f>R56</f>
        <v>52886</v>
      </c>
      <c r="AE56" s="36">
        <f>S56</f>
        <v>51730</v>
      </c>
      <c r="AF56" s="36">
        <f>T56</f>
        <v>49848</v>
      </c>
      <c r="AG56" s="36">
        <f>U56</f>
        <v>50353</v>
      </c>
      <c r="AH56" s="36">
        <f>V56</f>
        <v>47564</v>
      </c>
      <c r="AI56" s="36">
        <f>W56</f>
        <v>47084</v>
      </c>
      <c r="AJ56" s="36">
        <f>X56</f>
        <v>45888</v>
      </c>
      <c r="AK56" s="36">
        <f>Y56</f>
        <v>49006</v>
      </c>
      <c r="AL56" s="36">
        <f t="shared" si="131"/>
        <v>41300</v>
      </c>
      <c r="AM56" s="36">
        <f t="shared" si="132"/>
        <v>42115</v>
      </c>
      <c r="AN56" s="13"/>
      <c r="AO56" s="92">
        <f t="shared" si="112"/>
        <v>-0.10553478888794499</v>
      </c>
    </row>
    <row r="57" spans="2:41" ht="12.75" customHeight="1">
      <c r="B57" s="15" t="s">
        <v>26</v>
      </c>
      <c r="C57" s="16">
        <f>SUM(C54:C56)+C52</f>
        <v>193437</v>
      </c>
      <c r="D57" s="16">
        <f>SUM(D54:D56)+D52</f>
        <v>241272</v>
      </c>
      <c r="E57" s="16">
        <f>SUM(E54:E56)+E52</f>
        <v>258578</v>
      </c>
      <c r="F57" s="16">
        <f>SUM(F54:F56)+F52</f>
        <v>248028</v>
      </c>
      <c r="G57" s="16">
        <f>SUM(G54:G56)+G52</f>
        <v>258549</v>
      </c>
      <c r="H57" s="16">
        <f>SUM(H54:H56)+H52</f>
        <v>287912</v>
      </c>
      <c r="I57" s="16">
        <f>SUM(I54:I56)+I52</f>
        <v>302083</v>
      </c>
      <c r="J57" s="16">
        <f>SUM(J54:J56)+J52</f>
        <v>290437</v>
      </c>
      <c r="K57" s="16">
        <f>SUM(K54:K56)+K52</f>
        <v>308030</v>
      </c>
      <c r="M57" s="16">
        <f>SUM(M54:M56)+M52</f>
        <v>309259</v>
      </c>
      <c r="N57" s="16">
        <f>SUM(N54:N56)+N52</f>
        <v>283263</v>
      </c>
      <c r="O57" s="16">
        <f>SUM(O54:O56)+O52</f>
        <v>278202</v>
      </c>
      <c r="P57" s="16">
        <f>SUM(P54:P56)+P52</f>
        <v>302083</v>
      </c>
      <c r="Q57" s="16">
        <f>SUM(Q54:Q56)+Q52</f>
        <v>290020</v>
      </c>
      <c r="R57" s="16">
        <f>SUM(R54:R56)+R52</f>
        <v>270002</v>
      </c>
      <c r="S57" s="16">
        <f>SUM(S54:S56)+S52</f>
        <v>274764</v>
      </c>
      <c r="T57" s="16">
        <f>SUM(T54:T56)+T52</f>
        <v>290437</v>
      </c>
      <c r="U57" s="16">
        <f>SUM(U54:U56)+U52</f>
        <v>279414</v>
      </c>
      <c r="V57" s="16">
        <f>SUM(V54:V56)+V52</f>
        <v>263217</v>
      </c>
      <c r="W57" s="16">
        <f>SUM(W54:W56)+W52</f>
        <v>264904</v>
      </c>
      <c r="X57" s="16">
        <f>SUM(X54:X56)+X52</f>
        <v>308030</v>
      </c>
      <c r="Y57" s="16">
        <f>SUM(Y54:Y56)+Y52</f>
        <v>277327</v>
      </c>
      <c r="Z57" s="16">
        <f>SUM(Z54:Z56)+Z52</f>
        <v>264437</v>
      </c>
      <c r="AA57" s="16">
        <f>SUM(AA54:AA56)+AA52</f>
        <v>265665</v>
      </c>
      <c r="AC57" s="16">
        <f>SUM(AC54:AC56)+AC52</f>
        <v>288277</v>
      </c>
      <c r="AD57" s="16">
        <f>SUM(AD54:AD56)+AD52</f>
        <v>268006</v>
      </c>
      <c r="AE57" s="16">
        <f>SUM(AE54:AE56)+AE52</f>
        <v>270771</v>
      </c>
      <c r="AF57" s="16">
        <f>SUM(AF54:AF56)+AF52</f>
        <v>284452</v>
      </c>
      <c r="AG57" s="16">
        <f>SUM(AG54:AG56)+AG52</f>
        <v>277416</v>
      </c>
      <c r="AH57" s="16">
        <f>SUM(AH54:AH56)+AH52</f>
        <v>261220</v>
      </c>
      <c r="AI57" s="16">
        <f>SUM(AI54:AI56)+AI52</f>
        <v>264904</v>
      </c>
      <c r="AJ57" s="16">
        <f>SUM(AJ54:AJ56)+AJ52</f>
        <v>308030</v>
      </c>
      <c r="AK57" s="16">
        <f>SUM(AK54:AK56)+AK52</f>
        <v>277327</v>
      </c>
      <c r="AL57" s="16">
        <f>SUM(AL54:AL56)+AL52</f>
        <v>264437</v>
      </c>
      <c r="AM57" s="16">
        <f>SUM(AM54:AM56)+AM52</f>
        <v>265665</v>
      </c>
      <c r="AN57" s="48"/>
      <c r="AO57" s="93">
        <f t="shared" si="112"/>
        <v>2.8727388034910373E-3</v>
      </c>
    </row>
    <row r="58" spans="2:41" ht="5.0999999999999996" customHeight="1">
      <c r="B58" s="29"/>
      <c r="C58" s="58"/>
      <c r="D58" s="58"/>
      <c r="E58" s="58"/>
      <c r="F58" s="58"/>
      <c r="G58" s="58"/>
      <c r="H58" s="58"/>
      <c r="I58" s="58"/>
      <c r="J58" s="47"/>
      <c r="K58" s="47"/>
      <c r="M58" s="47"/>
      <c r="N58" s="47"/>
      <c r="O58" s="47"/>
      <c r="P58" s="47"/>
      <c r="Q58" s="47"/>
      <c r="R58" s="47"/>
      <c r="S58" s="47"/>
      <c r="T58" s="47"/>
      <c r="U58" s="47"/>
      <c r="V58" s="47"/>
      <c r="AC58" s="48"/>
      <c r="AD58" s="48"/>
      <c r="AE58" s="48"/>
      <c r="AF58" s="48"/>
      <c r="AG58" s="48"/>
      <c r="AH58" s="48"/>
      <c r="AI58" s="48"/>
      <c r="AJ58" s="48"/>
      <c r="AK58" s="48"/>
      <c r="AL58" s="48"/>
      <c r="AM58" s="48"/>
      <c r="AN58" s="48"/>
      <c r="AO58" s="45"/>
    </row>
    <row r="59" spans="2:41" ht="12.75" customHeight="1">
      <c r="B59" s="11" t="s">
        <v>99</v>
      </c>
      <c r="C59" s="36">
        <v>31251</v>
      </c>
      <c r="D59" s="103">
        <v>35867</v>
      </c>
      <c r="E59" s="103">
        <v>40201</v>
      </c>
      <c r="F59" s="103">
        <v>45174</v>
      </c>
      <c r="G59" s="429">
        <v>50779</v>
      </c>
      <c r="H59" s="429">
        <v>57365</v>
      </c>
      <c r="I59" s="429">
        <v>64849</v>
      </c>
      <c r="J59" s="429">
        <v>73812</v>
      </c>
      <c r="K59" s="429">
        <v>83276</v>
      </c>
      <c r="L59" s="36"/>
      <c r="M59" s="103">
        <v>58424</v>
      </c>
      <c r="N59" s="103">
        <v>61181</v>
      </c>
      <c r="O59" s="103">
        <v>62115</v>
      </c>
      <c r="P59" s="36">
        <f t="shared" ref="P59:P61" si="135">I59</f>
        <v>64849</v>
      </c>
      <c r="Q59" s="103">
        <v>66399</v>
      </c>
      <c r="R59" s="103">
        <v>69568</v>
      </c>
      <c r="S59" s="103">
        <v>70667</v>
      </c>
      <c r="T59" s="36">
        <f t="shared" ref="T59:T61" si="136">J59</f>
        <v>73812</v>
      </c>
      <c r="U59" s="103">
        <v>75236</v>
      </c>
      <c r="V59" s="103">
        <v>75236</v>
      </c>
      <c r="W59" s="103">
        <v>79850</v>
      </c>
      <c r="X59" s="36">
        <f t="shared" ref="X59:X61" si="137">K59</f>
        <v>83276</v>
      </c>
      <c r="Y59" s="103">
        <v>84768</v>
      </c>
      <c r="Z59" s="103">
        <v>88711</v>
      </c>
      <c r="AA59" s="103">
        <v>89806</v>
      </c>
      <c r="AC59" s="36">
        <f>Q59</f>
        <v>66399</v>
      </c>
      <c r="AD59" s="36">
        <f>R59</f>
        <v>69568</v>
      </c>
      <c r="AE59" s="36">
        <f>S59</f>
        <v>70667</v>
      </c>
      <c r="AF59" s="36">
        <f>T59</f>
        <v>73812</v>
      </c>
      <c r="AG59" s="36">
        <f>U59</f>
        <v>75236</v>
      </c>
      <c r="AH59" s="36">
        <f>V59</f>
        <v>75236</v>
      </c>
      <c r="AI59" s="36">
        <f>W59</f>
        <v>79850</v>
      </c>
      <c r="AJ59" s="36">
        <f>X59</f>
        <v>83276</v>
      </c>
      <c r="AK59" s="36">
        <f>Y59</f>
        <v>84768</v>
      </c>
      <c r="AL59" s="36">
        <f t="shared" ref="AL59:AL61" si="138">Z59</f>
        <v>88711</v>
      </c>
      <c r="AM59" s="36">
        <f t="shared" ref="AM59:AM61" si="139">AA59</f>
        <v>89806</v>
      </c>
      <c r="AN59" s="13"/>
      <c r="AO59" s="92">
        <f t="shared" si="112"/>
        <v>0.1246837820914215</v>
      </c>
    </row>
    <row r="60" spans="2:41" ht="12.75" customHeight="1">
      <c r="B60" s="11" t="s">
        <v>318</v>
      </c>
      <c r="C60" s="36">
        <v>96364</v>
      </c>
      <c r="D60" s="103">
        <v>98330</v>
      </c>
      <c r="E60" s="103">
        <v>70400</v>
      </c>
      <c r="F60" s="103">
        <v>45898</v>
      </c>
      <c r="G60" s="429">
        <v>14966</v>
      </c>
      <c r="H60" s="429">
        <v>5562</v>
      </c>
      <c r="I60" s="429">
        <v>-3068</v>
      </c>
      <c r="J60" s="429">
        <v>-214</v>
      </c>
      <c r="K60" s="429">
        <v>-19154</v>
      </c>
      <c r="L60" s="36"/>
      <c r="M60" s="103">
        <v>6397</v>
      </c>
      <c r="N60" s="103">
        <v>4674</v>
      </c>
      <c r="O60" s="103">
        <v>-2749</v>
      </c>
      <c r="P60" s="36">
        <f t="shared" si="135"/>
        <v>-3068</v>
      </c>
      <c r="Q60" s="103">
        <v>-4798</v>
      </c>
      <c r="R60" s="103">
        <v>-3702</v>
      </c>
      <c r="S60" s="103">
        <v>-6630</v>
      </c>
      <c r="T60" s="36">
        <f t="shared" si="136"/>
        <v>-214</v>
      </c>
      <c r="U60" s="103">
        <v>204</v>
      </c>
      <c r="V60" s="103">
        <v>-120</v>
      </c>
      <c r="W60" s="103">
        <v>-12764</v>
      </c>
      <c r="X60" s="36">
        <f t="shared" si="137"/>
        <v>-19154</v>
      </c>
      <c r="Y60" s="103">
        <v>-11221</v>
      </c>
      <c r="Z60" s="103">
        <v>-15552</v>
      </c>
      <c r="AA60" s="103">
        <v>-17613</v>
      </c>
      <c r="AC60" s="36">
        <f>Q60</f>
        <v>-4798</v>
      </c>
      <c r="AD60" s="36">
        <f>R60</f>
        <v>-3702</v>
      </c>
      <c r="AE60" s="36">
        <f>S60</f>
        <v>-6630</v>
      </c>
      <c r="AF60" s="36">
        <f>T60</f>
        <v>-214</v>
      </c>
      <c r="AG60" s="36">
        <f>U60</f>
        <v>204</v>
      </c>
      <c r="AH60" s="36">
        <f>V60</f>
        <v>-120</v>
      </c>
      <c r="AI60" s="36">
        <f>W60</f>
        <v>-12764</v>
      </c>
      <c r="AJ60" s="36">
        <f>X60</f>
        <v>-19154</v>
      </c>
      <c r="AK60" s="36">
        <f>Y60</f>
        <v>-11221</v>
      </c>
      <c r="AL60" s="36">
        <f t="shared" si="138"/>
        <v>-15552</v>
      </c>
      <c r="AM60" s="36">
        <f t="shared" si="139"/>
        <v>-17613</v>
      </c>
      <c r="AN60" s="13"/>
      <c r="AO60" s="92">
        <f t="shared" si="112"/>
        <v>0.37989658414290184</v>
      </c>
    </row>
    <row r="61" spans="2:41" ht="12.75" customHeight="1">
      <c r="B61" s="11" t="s">
        <v>319</v>
      </c>
      <c r="C61" s="36">
        <v>634</v>
      </c>
      <c r="D61" s="103">
        <v>-150</v>
      </c>
      <c r="E61" s="103">
        <v>-3454</v>
      </c>
      <c r="F61" s="103">
        <v>-584</v>
      </c>
      <c r="G61" s="429">
        <v>-406</v>
      </c>
      <c r="H61" s="429">
        <v>163</v>
      </c>
      <c r="I61" s="429">
        <v>-11109</v>
      </c>
      <c r="J61" s="429">
        <v>-11452</v>
      </c>
      <c r="K61" s="429">
        <v>-7172</v>
      </c>
      <c r="L61" s="36"/>
      <c r="M61" s="103">
        <v>-927</v>
      </c>
      <c r="N61" s="103">
        <v>-6494</v>
      </c>
      <c r="O61" s="103">
        <v>-9297</v>
      </c>
      <c r="P61" s="36">
        <f t="shared" si="135"/>
        <v>-11109</v>
      </c>
      <c r="Q61" s="103">
        <v>-12912</v>
      </c>
      <c r="R61" s="103">
        <v>-11746</v>
      </c>
      <c r="S61" s="103">
        <v>-11801</v>
      </c>
      <c r="T61" s="36">
        <f t="shared" si="136"/>
        <v>-11452</v>
      </c>
      <c r="U61" s="103">
        <v>-9378</v>
      </c>
      <c r="V61" s="103">
        <v>-8960</v>
      </c>
      <c r="W61" s="103">
        <v>-8416</v>
      </c>
      <c r="X61" s="36">
        <f t="shared" si="137"/>
        <v>-7172</v>
      </c>
      <c r="Y61" s="103">
        <v>-6789</v>
      </c>
      <c r="Z61" s="103">
        <v>-6363</v>
      </c>
      <c r="AA61" s="103">
        <v>-6363</v>
      </c>
      <c r="AC61" s="36">
        <f>Q61</f>
        <v>-12912</v>
      </c>
      <c r="AD61" s="36">
        <f>R61</f>
        <v>-11746</v>
      </c>
      <c r="AE61" s="36">
        <f>S61</f>
        <v>-11801</v>
      </c>
      <c r="AF61" s="36">
        <f>T61</f>
        <v>-11452</v>
      </c>
      <c r="AG61" s="36">
        <f>U61</f>
        <v>-9378</v>
      </c>
      <c r="AH61" s="36">
        <f>V61</f>
        <v>-8960</v>
      </c>
      <c r="AI61" s="36">
        <f>W61</f>
        <v>-8416</v>
      </c>
      <c r="AJ61" s="36">
        <f>X61</f>
        <v>-7172</v>
      </c>
      <c r="AK61" s="36">
        <f>Y61</f>
        <v>-6789</v>
      </c>
      <c r="AL61" s="36">
        <f t="shared" si="138"/>
        <v>-6363</v>
      </c>
      <c r="AM61" s="36">
        <f t="shared" si="139"/>
        <v>-6363</v>
      </c>
      <c r="AN61" s="13"/>
      <c r="AO61" s="92">
        <f t="shared" si="112"/>
        <v>-0.24394011406844107</v>
      </c>
    </row>
    <row r="62" spans="2:41" ht="12.75" customHeight="1">
      <c r="B62" s="15" t="s">
        <v>23</v>
      </c>
      <c r="C62" s="16">
        <f>SUM(C59:C61)</f>
        <v>128249</v>
      </c>
      <c r="D62" s="16">
        <f>SUM(D59:D61)</f>
        <v>134047</v>
      </c>
      <c r="E62" s="16">
        <f>SUM(E59:E61)</f>
        <v>107147</v>
      </c>
      <c r="F62" s="16">
        <f>SUM(F59:F61)</f>
        <v>90488</v>
      </c>
      <c r="G62" s="16">
        <f>SUM(G59:G61)</f>
        <v>65339</v>
      </c>
      <c r="H62" s="16">
        <f>SUM(H59:H61)</f>
        <v>63090</v>
      </c>
      <c r="I62" s="16">
        <f>SUM(I59:I61)</f>
        <v>50672</v>
      </c>
      <c r="J62" s="16">
        <f>SUM(J59:J61)</f>
        <v>62146</v>
      </c>
      <c r="K62" s="16">
        <f>SUM(K59:K61)</f>
        <v>56950</v>
      </c>
      <c r="L62" s="61"/>
      <c r="M62" s="16">
        <f>SUM(M59:M61)</f>
        <v>63894</v>
      </c>
      <c r="N62" s="16">
        <f>SUM(N59:N61)</f>
        <v>59361</v>
      </c>
      <c r="O62" s="16">
        <f>SUM(O59:O61)</f>
        <v>50069</v>
      </c>
      <c r="P62" s="16">
        <f>SUM(P59:P61)</f>
        <v>50672</v>
      </c>
      <c r="Q62" s="16">
        <f>SUM(Q59:Q61)</f>
        <v>48689</v>
      </c>
      <c r="R62" s="16">
        <f>SUM(R59:R61)</f>
        <v>54120</v>
      </c>
      <c r="S62" s="16">
        <f>SUM(S59:S61)</f>
        <v>52236</v>
      </c>
      <c r="T62" s="16">
        <f>SUM(T59:T61)</f>
        <v>62146</v>
      </c>
      <c r="U62" s="16">
        <f>SUM(U59:U61)</f>
        <v>66062</v>
      </c>
      <c r="V62" s="16">
        <f>SUM(V59:V61)</f>
        <v>66156</v>
      </c>
      <c r="W62" s="16">
        <f>SUM(W59:W61)</f>
        <v>58670</v>
      </c>
      <c r="X62" s="16">
        <f>SUM(X59:X61)</f>
        <v>56950</v>
      </c>
      <c r="Y62" s="38">
        <f>SUM(Y59:Y61)</f>
        <v>66758</v>
      </c>
      <c r="Z62" s="38">
        <f>SUM(Z59:Z61)</f>
        <v>66796</v>
      </c>
      <c r="AA62" s="38">
        <f>SUM(AA59:AA61)</f>
        <v>65830</v>
      </c>
      <c r="AC62" s="16">
        <f>SUM(AC59:AC61)</f>
        <v>48689</v>
      </c>
      <c r="AD62" s="16">
        <f>SUM(AD59:AD61)</f>
        <v>54120</v>
      </c>
      <c r="AE62" s="16">
        <f>SUM(AE59:AE61)</f>
        <v>52236</v>
      </c>
      <c r="AF62" s="16">
        <f>SUM(AF59:AF61)</f>
        <v>62146</v>
      </c>
      <c r="AG62" s="16">
        <f>SUM(AG59:AG61)</f>
        <v>66062</v>
      </c>
      <c r="AH62" s="16">
        <f>SUM(AH59:AH61)</f>
        <v>66156</v>
      </c>
      <c r="AI62" s="16">
        <f>SUM(AI59:AI61)</f>
        <v>58670</v>
      </c>
      <c r="AJ62" s="16">
        <f>SUM(AJ59:AJ61)</f>
        <v>56950</v>
      </c>
      <c r="AK62" s="16">
        <f>SUM(AK59:AK61)</f>
        <v>66758</v>
      </c>
      <c r="AL62" s="16">
        <f>SUM(AL59:AL61)</f>
        <v>66796</v>
      </c>
      <c r="AM62" s="16">
        <f>SUM(AM59:AM61)</f>
        <v>65830</v>
      </c>
      <c r="AN62" s="48"/>
      <c r="AO62" s="93">
        <f t="shared" si="112"/>
        <v>0.12203852053860587</v>
      </c>
    </row>
    <row r="63" spans="2:41" ht="12.75" customHeight="1">
      <c r="B63" s="29" t="s">
        <v>88</v>
      </c>
      <c r="C63" s="36">
        <f>SUM(C62+C57)</f>
        <v>321686</v>
      </c>
      <c r="D63" s="36">
        <f>SUM(D62+D57)</f>
        <v>375319</v>
      </c>
      <c r="E63" s="36">
        <f>SUM(E62+E57)</f>
        <v>365725</v>
      </c>
      <c r="F63" s="36">
        <f>SUM(F62+F57)</f>
        <v>338516</v>
      </c>
      <c r="G63" s="36">
        <f>SUM(G62+G57)</f>
        <v>323888</v>
      </c>
      <c r="H63" s="36">
        <f>SUM(H62+H57)</f>
        <v>351002</v>
      </c>
      <c r="I63" s="36">
        <f>SUM(I62+I57)</f>
        <v>352755</v>
      </c>
      <c r="J63" s="36">
        <f>SUM(J62+J57)</f>
        <v>352583</v>
      </c>
      <c r="K63" s="36">
        <f>SUM(K62+K57)</f>
        <v>364980</v>
      </c>
      <c r="L63" s="36"/>
      <c r="M63" s="36">
        <f>SUM(M62+M57)</f>
        <v>373153</v>
      </c>
      <c r="N63" s="36">
        <f>SUM(N62+N57)</f>
        <v>342624</v>
      </c>
      <c r="O63" s="36">
        <f>SUM(O62+O57)</f>
        <v>328271</v>
      </c>
      <c r="P63" s="36">
        <f>SUM(P62+P57)</f>
        <v>352755</v>
      </c>
      <c r="Q63" s="36">
        <f>SUM(Q62+Q57)</f>
        <v>338709</v>
      </c>
      <c r="R63" s="36">
        <f>SUM(R62+R57)</f>
        <v>324122</v>
      </c>
      <c r="S63" s="36">
        <f>SUM(S62+S57)</f>
        <v>327000</v>
      </c>
      <c r="T63" s="36">
        <f>SUM(T62+T57)</f>
        <v>352583</v>
      </c>
      <c r="U63" s="36">
        <f>SUM(U62+U57)</f>
        <v>345476</v>
      </c>
      <c r="V63" s="36">
        <f>SUM(V62+V57)</f>
        <v>329373</v>
      </c>
      <c r="W63" s="36">
        <f>SUM(W62+W57)</f>
        <v>323574</v>
      </c>
      <c r="X63" s="36">
        <f>SUM(X62+X57)</f>
        <v>364980</v>
      </c>
      <c r="Y63" s="36">
        <f>SUM(Y62+Y57)</f>
        <v>344085</v>
      </c>
      <c r="Z63" s="36">
        <f>SUM(Z62+Z57)</f>
        <v>331233</v>
      </c>
      <c r="AA63" s="36">
        <f>SUM(AA62+AA57)</f>
        <v>331495</v>
      </c>
      <c r="AB63" s="36"/>
      <c r="AC63" s="36">
        <f>SUM(AC62+AC57)</f>
        <v>336966</v>
      </c>
      <c r="AD63" s="36">
        <f>SUM(AD62+AD57)</f>
        <v>322126</v>
      </c>
      <c r="AE63" s="36">
        <f>SUM(AE62+AE57)</f>
        <v>323007</v>
      </c>
      <c r="AF63" s="36">
        <f>SUM(AF62+AF57)</f>
        <v>346598</v>
      </c>
      <c r="AG63" s="36">
        <f>SUM(AG62+AG57)</f>
        <v>343478</v>
      </c>
      <c r="AH63" s="36">
        <f>SUM(AH62+AH57)</f>
        <v>327376</v>
      </c>
      <c r="AI63" s="36">
        <f>SUM(AI62+AI57)</f>
        <v>323574</v>
      </c>
      <c r="AJ63" s="36">
        <f>SUM(AJ62+AJ57)</f>
        <v>364980</v>
      </c>
      <c r="AK63" s="36">
        <f>SUM(AK62+AK57)</f>
        <v>344085</v>
      </c>
      <c r="AL63" s="36">
        <f>SUM(AL62+AL57)</f>
        <v>331233</v>
      </c>
      <c r="AM63" s="36">
        <f>SUM(AM62+AM57)</f>
        <v>331495</v>
      </c>
      <c r="AN63" s="13"/>
      <c r="AO63" s="93">
        <f t="shared" si="112"/>
        <v>2.4479717158980563E-2</v>
      </c>
    </row>
    <row r="64" spans="2:41" ht="5.0999999999999996" customHeight="1">
      <c r="B64" s="29"/>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13"/>
    </row>
    <row r="65" spans="1:41" ht="12.75" customHeight="1">
      <c r="B65" s="84" t="s">
        <v>102</v>
      </c>
      <c r="C65" s="85">
        <f>C63-C45</f>
        <v>0</v>
      </c>
      <c r="D65" s="85">
        <f>D63-D45</f>
        <v>0</v>
      </c>
      <c r="E65" s="85">
        <f>E63-E45</f>
        <v>0</v>
      </c>
      <c r="F65" s="85">
        <f>F63-F45</f>
        <v>0</v>
      </c>
      <c r="G65" s="85">
        <f>G63-G45</f>
        <v>0</v>
      </c>
      <c r="H65" s="85">
        <f>H63-H45</f>
        <v>0</v>
      </c>
      <c r="I65" s="85">
        <f>I63-I45</f>
        <v>0</v>
      </c>
      <c r="J65" s="85">
        <f>J63-J45</f>
        <v>0</v>
      </c>
      <c r="K65" s="85">
        <f>K63-K45</f>
        <v>0</v>
      </c>
      <c r="L65" s="86"/>
      <c r="M65" s="85">
        <f>M63-M45</f>
        <v>0</v>
      </c>
      <c r="N65" s="85">
        <f>N63-N45</f>
        <v>0</v>
      </c>
      <c r="O65" s="85">
        <f>O63-O45</f>
        <v>0</v>
      </c>
      <c r="P65" s="85">
        <f>P63-P45</f>
        <v>0</v>
      </c>
      <c r="Q65" s="85">
        <f>Q63-Q45</f>
        <v>0</v>
      </c>
      <c r="R65" s="85">
        <f>R63-R45</f>
        <v>0</v>
      </c>
      <c r="S65" s="85">
        <f>S63-S45</f>
        <v>0</v>
      </c>
      <c r="T65" s="85">
        <f>T63-T45</f>
        <v>0</v>
      </c>
      <c r="U65" s="85">
        <f>U63-U45</f>
        <v>0</v>
      </c>
      <c r="V65" s="85">
        <f>V63-V45</f>
        <v>0</v>
      </c>
      <c r="W65" s="85">
        <f>W63-W45</f>
        <v>0</v>
      </c>
      <c r="X65" s="85">
        <f>X63-X45</f>
        <v>0</v>
      </c>
      <c r="Y65" s="85">
        <f>Y63-Y45</f>
        <v>0</v>
      </c>
      <c r="Z65" s="85">
        <f>Z63-Z45</f>
        <v>0</v>
      </c>
      <c r="AA65" s="85">
        <f>AA63-AA45</f>
        <v>0</v>
      </c>
      <c r="AB65" s="32"/>
      <c r="AC65" s="85">
        <f>AC63-AC45</f>
        <v>-1743</v>
      </c>
      <c r="AD65" s="85">
        <f>AD63-AD45</f>
        <v>-1996</v>
      </c>
      <c r="AE65" s="85">
        <f>AE63-AE45</f>
        <v>-3993</v>
      </c>
      <c r="AF65" s="85">
        <f>AF63-AF45</f>
        <v>-5985</v>
      </c>
      <c r="AG65" s="85">
        <f>AG63-AG45</f>
        <v>-1998</v>
      </c>
      <c r="AH65" s="85">
        <f>AH63-AH45</f>
        <v>-1997</v>
      </c>
      <c r="AI65" s="85">
        <f>AI63-AI45</f>
        <v>0</v>
      </c>
      <c r="AJ65" s="85">
        <f>AJ63-AJ45</f>
        <v>0</v>
      </c>
      <c r="AK65" s="85">
        <f>AK63-AK45</f>
        <v>0</v>
      </c>
      <c r="AL65" s="85">
        <f>AL63-AL45</f>
        <v>0</v>
      </c>
      <c r="AM65" s="85">
        <f>AM63-AM45</f>
        <v>0</v>
      </c>
    </row>
    <row r="66" spans="1:41" ht="5.0999999999999996" customHeight="1">
      <c r="B66" s="82"/>
      <c r="C66" s="83"/>
      <c r="D66" s="83"/>
      <c r="E66" s="83"/>
      <c r="F66" s="83"/>
      <c r="G66" s="83"/>
      <c r="H66" s="62"/>
      <c r="I66" s="28"/>
      <c r="J66" s="28"/>
      <c r="K66" s="28"/>
      <c r="L66" s="62"/>
    </row>
    <row r="67" spans="1:41" ht="12.75" customHeight="1">
      <c r="A67" s="5" t="s">
        <v>27</v>
      </c>
      <c r="B67" s="37" t="s">
        <v>20</v>
      </c>
      <c r="C67" s="63"/>
      <c r="D67" s="63"/>
      <c r="E67" s="63"/>
      <c r="F67" s="63"/>
      <c r="G67" s="63"/>
      <c r="H67" s="63"/>
      <c r="I67" s="63"/>
      <c r="J67" s="63"/>
      <c r="K67" s="63"/>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row>
    <row r="68" spans="1:41" ht="5.0999999999999996" customHeight="1">
      <c r="B68" s="64"/>
      <c r="C68" s="56"/>
      <c r="D68" s="56"/>
      <c r="E68" s="56"/>
      <c r="F68" s="56"/>
      <c r="G68" s="56"/>
      <c r="H68" s="56"/>
      <c r="I68" s="56"/>
      <c r="J68" s="56"/>
      <c r="K68" s="56"/>
      <c r="AO68" s="45"/>
    </row>
    <row r="69" spans="1:41" ht="12.75" customHeight="1">
      <c r="B69" s="65" t="s">
        <v>89</v>
      </c>
      <c r="C69" s="66"/>
      <c r="D69" s="66"/>
      <c r="E69" s="66"/>
      <c r="F69" s="66"/>
      <c r="G69" s="66"/>
      <c r="H69" s="66"/>
      <c r="I69" s="66"/>
      <c r="J69" s="66"/>
      <c r="K69" s="66"/>
      <c r="AO69" s="45"/>
    </row>
    <row r="70" spans="1:41" ht="12.75" customHeight="1">
      <c r="B70" s="67" t="s">
        <v>90</v>
      </c>
      <c r="C70" s="36">
        <f>C24</f>
        <v>45687</v>
      </c>
      <c r="D70" s="36">
        <f>D24</f>
        <v>48351</v>
      </c>
      <c r="E70" s="36">
        <f>E24</f>
        <v>59531</v>
      </c>
      <c r="F70" s="36">
        <f>F24</f>
        <v>55256</v>
      </c>
      <c r="G70" s="36">
        <f>G24</f>
        <v>57411</v>
      </c>
      <c r="H70" s="36">
        <f>H24</f>
        <v>94680</v>
      </c>
      <c r="I70" s="36">
        <f>I24</f>
        <v>99803</v>
      </c>
      <c r="J70" s="36">
        <f>J24</f>
        <v>96995</v>
      </c>
      <c r="K70" s="36">
        <f>K24</f>
        <v>93736</v>
      </c>
      <c r="L70" s="36"/>
      <c r="M70" s="36">
        <f>M24</f>
        <v>34630</v>
      </c>
      <c r="N70" s="36">
        <f>N24</f>
        <v>25010</v>
      </c>
      <c r="O70" s="36">
        <f>O24</f>
        <v>19442</v>
      </c>
      <c r="P70" s="36">
        <f>P24</f>
        <v>20721</v>
      </c>
      <c r="Q70" s="36">
        <f>Q24</f>
        <v>29998</v>
      </c>
      <c r="R70" s="36">
        <f>R24</f>
        <v>24160</v>
      </c>
      <c r="S70" s="36">
        <f>S24</f>
        <v>19881</v>
      </c>
      <c r="T70" s="36">
        <f>T24</f>
        <v>22956</v>
      </c>
      <c r="U70" s="36">
        <f>U24</f>
        <v>33916</v>
      </c>
      <c r="V70" s="36">
        <f>V24</f>
        <v>23636</v>
      </c>
      <c r="W70" s="36">
        <f>W24</f>
        <v>21448</v>
      </c>
      <c r="X70" s="36">
        <f>X24</f>
        <v>14736</v>
      </c>
      <c r="Y70" s="36">
        <f>Y24</f>
        <v>36330</v>
      </c>
      <c r="Z70" s="36">
        <f>Z24</f>
        <v>24780</v>
      </c>
      <c r="AA70" s="36">
        <f>AA24</f>
        <v>23434</v>
      </c>
      <c r="AC70" s="36">
        <f>SUM(N70:Q70)</f>
        <v>95171</v>
      </c>
      <c r="AD70" s="36">
        <f>SUM(O70:R70)</f>
        <v>94321</v>
      </c>
      <c r="AE70" s="36">
        <f>SUM(P70:S70)</f>
        <v>94760</v>
      </c>
      <c r="AF70" s="36">
        <f>SUM(Q70:T70)</f>
        <v>96995</v>
      </c>
      <c r="AG70" s="36">
        <f>SUM(R70:U70)</f>
        <v>100913</v>
      </c>
      <c r="AH70" s="36">
        <f>SUM(S70:V70)</f>
        <v>100389</v>
      </c>
      <c r="AI70" s="36">
        <f>SUM(T70:W70)</f>
        <v>101956</v>
      </c>
      <c r="AJ70" s="36">
        <f>SUM(U70:X70)</f>
        <v>93736</v>
      </c>
      <c r="AK70" s="36">
        <f>SUM(V70:Y70)</f>
        <v>96150</v>
      </c>
      <c r="AL70" s="36">
        <f>SUM(W70:Z70)</f>
        <v>97294</v>
      </c>
      <c r="AM70" s="36">
        <f>SUM(X70:AA70)</f>
        <v>99280</v>
      </c>
      <c r="AN70" s="13"/>
      <c r="AO70" s="92">
        <f t="shared" ref="AO70:AO84" si="140">SUM(AM70/AI70)-1</f>
        <v>-2.6246616187374894E-2</v>
      </c>
    </row>
    <row r="71" spans="1:41" ht="5.0999999999999996" customHeight="1">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C71" s="36"/>
      <c r="AD71" s="36"/>
      <c r="AE71" s="36"/>
      <c r="AF71" s="36"/>
      <c r="AG71" s="36"/>
      <c r="AH71" s="36"/>
      <c r="AI71" s="36"/>
      <c r="AJ71" s="36"/>
      <c r="AK71" s="36"/>
      <c r="AL71" s="36"/>
      <c r="AM71" s="36"/>
      <c r="AN71" s="13"/>
      <c r="AO71" s="92"/>
    </row>
    <row r="72" spans="1:41" ht="12.75" customHeight="1">
      <c r="B72" s="41" t="s">
        <v>100</v>
      </c>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C72" s="36"/>
      <c r="AD72" s="36"/>
      <c r="AE72" s="36"/>
      <c r="AF72" s="36"/>
      <c r="AG72" s="36"/>
      <c r="AH72" s="36"/>
      <c r="AI72" s="36"/>
      <c r="AJ72" s="36"/>
      <c r="AK72" s="36"/>
      <c r="AL72" s="36"/>
      <c r="AM72" s="36"/>
      <c r="AN72" s="69"/>
      <c r="AO72" s="92" t="e">
        <f t="shared" si="140"/>
        <v>#DIV/0!</v>
      </c>
    </row>
    <row r="73" spans="1:41" ht="12.75" customHeight="1">
      <c r="B73" s="70" t="s">
        <v>321</v>
      </c>
      <c r="C73" s="36">
        <v>10505</v>
      </c>
      <c r="D73" s="103">
        <v>10157</v>
      </c>
      <c r="E73" s="103">
        <v>10903</v>
      </c>
      <c r="F73" s="103">
        <v>12547</v>
      </c>
      <c r="G73" s="103">
        <v>11056</v>
      </c>
      <c r="H73" s="103">
        <v>11284</v>
      </c>
      <c r="I73" s="103">
        <v>11104</v>
      </c>
      <c r="J73" s="103">
        <v>11519</v>
      </c>
      <c r="K73" s="103">
        <v>11445</v>
      </c>
      <c r="L73" s="36"/>
      <c r="M73" s="103">
        <v>2697</v>
      </c>
      <c r="N73" s="36">
        <f>5434-M73</f>
        <v>2737</v>
      </c>
      <c r="O73" s="36">
        <f>8239-SUM(M73:N73)</f>
        <v>2805</v>
      </c>
      <c r="P73" s="36">
        <f t="shared" ref="P73:P76" si="141">SUM(I73-SUM(M73:O73))</f>
        <v>2865</v>
      </c>
      <c r="Q73" s="103">
        <v>2916</v>
      </c>
      <c r="R73" s="36">
        <f>5814-Q73</f>
        <v>2898</v>
      </c>
      <c r="S73" s="36">
        <v>3052</v>
      </c>
      <c r="T73" s="36">
        <f t="shared" ref="T73:T76" si="142">SUM(J73-SUM(Q73:S73))</f>
        <v>2653</v>
      </c>
      <c r="U73" s="103">
        <v>2848</v>
      </c>
      <c r="V73" s="36">
        <f>5684-U73</f>
        <v>2836</v>
      </c>
      <c r="W73" s="36">
        <f>8534-V73-U73</f>
        <v>2850</v>
      </c>
      <c r="X73" s="36">
        <f t="shared" ref="X73:X76" si="143">SUM(K73-SUM(U73:W73))</f>
        <v>2911</v>
      </c>
      <c r="Y73" s="103">
        <v>3080</v>
      </c>
      <c r="Z73" s="36">
        <f>5741-Y73</f>
        <v>2661</v>
      </c>
      <c r="AA73" s="36">
        <f>8571-Z73-Y73</f>
        <v>2830</v>
      </c>
      <c r="AC73" s="36">
        <f>SUM(N73:Q73)</f>
        <v>11323</v>
      </c>
      <c r="AD73" s="36">
        <f>SUM(O73:R73)</f>
        <v>11484</v>
      </c>
      <c r="AE73" s="36">
        <f>SUM(P73:S73)</f>
        <v>11731</v>
      </c>
      <c r="AF73" s="36">
        <f>SUM(Q73:T73)</f>
        <v>11519</v>
      </c>
      <c r="AG73" s="36">
        <f>SUM(R73:U73)</f>
        <v>11451</v>
      </c>
      <c r="AH73" s="36">
        <f>SUM(S73:V73)</f>
        <v>11389</v>
      </c>
      <c r="AI73" s="36">
        <f>SUM(T73:W73)</f>
        <v>11187</v>
      </c>
      <c r="AJ73" s="36">
        <f>SUM(U73:X73)</f>
        <v>11445</v>
      </c>
      <c r="AK73" s="36">
        <f>SUM(V73:Y73)</f>
        <v>11677</v>
      </c>
      <c r="AL73" s="36">
        <f>SUM(W73:Z73)</f>
        <v>11502</v>
      </c>
      <c r="AM73" s="36">
        <f>SUM(X73:AA73)</f>
        <v>11482</v>
      </c>
      <c r="AN73" s="13"/>
      <c r="AO73" s="92">
        <f t="shared" si="140"/>
        <v>2.636989362653086E-2</v>
      </c>
    </row>
    <row r="74" spans="1:41" ht="12.75" customHeight="1">
      <c r="B74" s="70" t="s">
        <v>322</v>
      </c>
      <c r="C74" s="36">
        <v>4210</v>
      </c>
      <c r="D74" s="103">
        <v>4840</v>
      </c>
      <c r="E74" s="103">
        <v>5340</v>
      </c>
      <c r="F74" s="103">
        <v>6068</v>
      </c>
      <c r="G74" s="103">
        <v>6829</v>
      </c>
      <c r="H74" s="103">
        <v>7906</v>
      </c>
      <c r="I74" s="103">
        <v>9038</v>
      </c>
      <c r="J74" s="103">
        <v>10833</v>
      </c>
      <c r="K74" s="103">
        <v>11688</v>
      </c>
      <c r="L74" s="36"/>
      <c r="M74" s="103">
        <v>2265</v>
      </c>
      <c r="N74" s="36">
        <f>4517-M74</f>
        <v>2252</v>
      </c>
      <c r="O74" s="36">
        <f>6760-SUM(M74:N74)</f>
        <v>2243</v>
      </c>
      <c r="P74" s="36">
        <f t="shared" si="141"/>
        <v>2278</v>
      </c>
      <c r="Q74" s="103">
        <v>2905</v>
      </c>
      <c r="R74" s="36">
        <f>5591-Q74</f>
        <v>2686</v>
      </c>
      <c r="S74" s="36">
        <v>2617</v>
      </c>
      <c r="T74" s="36">
        <f t="shared" si="142"/>
        <v>2625</v>
      </c>
      <c r="U74" s="103">
        <v>2997</v>
      </c>
      <c r="V74" s="36">
        <f>5961-U74+3</f>
        <v>2967</v>
      </c>
      <c r="W74" s="36">
        <f>8830-V74-U74</f>
        <v>2866</v>
      </c>
      <c r="X74" s="36">
        <f t="shared" si="143"/>
        <v>2858</v>
      </c>
      <c r="Y74" s="103">
        <v>3286</v>
      </c>
      <c r="Z74" s="36">
        <f>6512-Y74</f>
        <v>3226</v>
      </c>
      <c r="AA74" s="36">
        <f>9680-Z74-Y74</f>
        <v>3168</v>
      </c>
      <c r="AC74" s="36">
        <f>SUM(N74:Q74)</f>
        <v>9678</v>
      </c>
      <c r="AD74" s="36">
        <f>SUM(O74:R74)</f>
        <v>10112</v>
      </c>
      <c r="AE74" s="36">
        <f>SUM(P74:S74)</f>
        <v>10486</v>
      </c>
      <c r="AF74" s="36">
        <f>SUM(Q74:T74)</f>
        <v>10833</v>
      </c>
      <c r="AG74" s="36">
        <f>SUM(R74:U74)</f>
        <v>10925</v>
      </c>
      <c r="AH74" s="36">
        <f>SUM(S74:V74)</f>
        <v>11206</v>
      </c>
      <c r="AI74" s="36">
        <f>SUM(T74:W74)</f>
        <v>11455</v>
      </c>
      <c r="AJ74" s="36">
        <f>SUM(U74:X74)</f>
        <v>11688</v>
      </c>
      <c r="AK74" s="36">
        <f>SUM(V74:Y74)</f>
        <v>11977</v>
      </c>
      <c r="AL74" s="36">
        <f>SUM(W74:Z74)</f>
        <v>12236</v>
      </c>
      <c r="AM74" s="36">
        <f>SUM(X74:AA74)</f>
        <v>12538</v>
      </c>
      <c r="AN74" s="13"/>
      <c r="AO74" s="92">
        <f t="shared" si="140"/>
        <v>9.4543867306852825E-2</v>
      </c>
    </row>
    <row r="75" spans="1:41" ht="12.75" customHeight="1">
      <c r="B75" s="70" t="s">
        <v>323</v>
      </c>
      <c r="C75" s="36">
        <v>4938</v>
      </c>
      <c r="D75" s="103">
        <v>5966</v>
      </c>
      <c r="E75" s="103">
        <v>-32590</v>
      </c>
      <c r="F75" s="103">
        <v>-340</v>
      </c>
      <c r="G75" s="103">
        <v>-215</v>
      </c>
      <c r="H75" s="103">
        <v>-4774</v>
      </c>
      <c r="I75" s="103">
        <v>895</v>
      </c>
      <c r="J75" s="103">
        <v>0</v>
      </c>
      <c r="K75" s="103">
        <v>0</v>
      </c>
      <c r="L75" s="36"/>
      <c r="M75" s="103">
        <v>682</v>
      </c>
      <c r="N75" s="36">
        <f>1088-M75</f>
        <v>406</v>
      </c>
      <c r="O75" s="36">
        <f>2756-SUM(M75:N75)</f>
        <v>1668</v>
      </c>
      <c r="P75" s="36">
        <f t="shared" si="141"/>
        <v>-1861</v>
      </c>
      <c r="Q75" s="103">
        <v>0</v>
      </c>
      <c r="R75" s="36">
        <f t="shared" ref="R75" si="144">Q75</f>
        <v>0</v>
      </c>
      <c r="S75" s="36">
        <v>0</v>
      </c>
      <c r="T75" s="36">
        <f t="shared" si="142"/>
        <v>0</v>
      </c>
      <c r="U75" s="103">
        <f t="shared" ref="U75" si="145">T75</f>
        <v>0</v>
      </c>
      <c r="V75" s="36">
        <v>0</v>
      </c>
      <c r="W75" s="36">
        <v>0</v>
      </c>
      <c r="X75" s="36">
        <f t="shared" si="143"/>
        <v>0</v>
      </c>
      <c r="Y75" s="103">
        <f t="shared" ref="Y75:Z75" si="146">X75</f>
        <v>0</v>
      </c>
      <c r="Z75" s="36">
        <f t="shared" si="146"/>
        <v>0</v>
      </c>
      <c r="AA75" s="36">
        <v>0</v>
      </c>
      <c r="AC75" s="36">
        <f>SUM(N75:Q75)</f>
        <v>213</v>
      </c>
      <c r="AD75" s="36">
        <f>SUM(O75:R75)</f>
        <v>-193</v>
      </c>
      <c r="AE75" s="36">
        <f>SUM(P75:S75)</f>
        <v>-1861</v>
      </c>
      <c r="AF75" s="36">
        <f>SUM(Q75:T75)</f>
        <v>0</v>
      </c>
      <c r="AG75" s="36">
        <f>SUM(R75:U75)</f>
        <v>0</v>
      </c>
      <c r="AH75" s="36">
        <f>SUM(S75:V75)</f>
        <v>0</v>
      </c>
      <c r="AI75" s="36">
        <f>SUM(T75:W75)</f>
        <v>0</v>
      </c>
      <c r="AJ75" s="36">
        <f>SUM(U75:X75)</f>
        <v>0</v>
      </c>
      <c r="AK75" s="36">
        <f>SUM(V75:Y75)</f>
        <v>0</v>
      </c>
      <c r="AL75" s="36">
        <f>SUM(W75:Z75)</f>
        <v>0</v>
      </c>
      <c r="AM75" s="36">
        <f>SUM(X75:AA75)</f>
        <v>0</v>
      </c>
      <c r="AN75" s="13"/>
      <c r="AO75" s="92" t="e">
        <f t="shared" si="140"/>
        <v>#DIV/0!</v>
      </c>
    </row>
    <row r="76" spans="1:41" ht="12.75" customHeight="1">
      <c r="B76" s="70" t="s">
        <v>324</v>
      </c>
      <c r="C76" s="36">
        <v>0</v>
      </c>
      <c r="D76" s="103">
        <v>-166</v>
      </c>
      <c r="E76" s="103">
        <v>-444</v>
      </c>
      <c r="F76" s="103">
        <v>-652</v>
      </c>
      <c r="G76" s="103">
        <v>-97</v>
      </c>
      <c r="H76" s="103">
        <v>-147</v>
      </c>
      <c r="I76" s="103">
        <v>111</v>
      </c>
      <c r="J76" s="103">
        <v>-2227</v>
      </c>
      <c r="K76" s="103">
        <v>-2266</v>
      </c>
      <c r="L76" s="36"/>
      <c r="M76" s="103">
        <v>167</v>
      </c>
      <c r="N76" s="36">
        <f>-20-M76</f>
        <v>-187</v>
      </c>
      <c r="O76" s="36">
        <f>-61-SUM(M76:N76)</f>
        <v>-41</v>
      </c>
      <c r="P76" s="36">
        <f t="shared" si="141"/>
        <v>172</v>
      </c>
      <c r="Q76" s="103">
        <v>-317</v>
      </c>
      <c r="R76" s="36">
        <f>-1732-Q76</f>
        <v>-1415</v>
      </c>
      <c r="S76" s="36">
        <v>81</v>
      </c>
      <c r="T76" s="36">
        <f t="shared" si="142"/>
        <v>-576</v>
      </c>
      <c r="U76" s="103">
        <v>-989</v>
      </c>
      <c r="V76" s="36">
        <f>-1971-U76</f>
        <v>-982</v>
      </c>
      <c r="W76" s="36">
        <f>-1964-V76-U76</f>
        <v>7</v>
      </c>
      <c r="X76" s="36">
        <f t="shared" si="143"/>
        <v>-302</v>
      </c>
      <c r="Y76" s="103">
        <v>-2009</v>
      </c>
      <c r="Z76" s="36">
        <f>-2217-Y76</f>
        <v>-208</v>
      </c>
      <c r="AA76" s="36">
        <f>-1748-Z76-Y76</f>
        <v>469</v>
      </c>
      <c r="AC76" s="36">
        <f>SUM(N76:Q76)</f>
        <v>-373</v>
      </c>
      <c r="AD76" s="36">
        <f>SUM(O76:R76)</f>
        <v>-1601</v>
      </c>
      <c r="AE76" s="36">
        <f>SUM(P76:S76)</f>
        <v>-1479</v>
      </c>
      <c r="AF76" s="36">
        <f>SUM(Q76:T76)</f>
        <v>-2227</v>
      </c>
      <c r="AG76" s="36">
        <f>SUM(R76:U76)</f>
        <v>-2899</v>
      </c>
      <c r="AH76" s="36">
        <f>SUM(S76:V76)</f>
        <v>-2466</v>
      </c>
      <c r="AI76" s="36">
        <f>SUM(T76:W76)</f>
        <v>-2540</v>
      </c>
      <c r="AJ76" s="36">
        <f>SUM(U76:X76)</f>
        <v>-2266</v>
      </c>
      <c r="AK76" s="36">
        <f>SUM(V76:Y76)</f>
        <v>-3286</v>
      </c>
      <c r="AL76" s="36">
        <f>SUM(W76:Z76)</f>
        <v>-2512</v>
      </c>
      <c r="AM76" s="36">
        <f>SUM(X76:AA76)</f>
        <v>-2050</v>
      </c>
      <c r="AN76" s="13"/>
      <c r="AO76" s="92">
        <f t="shared" si="140"/>
        <v>-0.19291338582677164</v>
      </c>
    </row>
    <row r="77" spans="1:41" ht="5.0999999999999996" customHeight="1">
      <c r="B77" s="9"/>
      <c r="C77" s="36"/>
      <c r="D77" s="103"/>
      <c r="E77" s="103"/>
      <c r="F77" s="103"/>
      <c r="G77" s="103"/>
      <c r="H77" s="103"/>
      <c r="I77" s="103"/>
      <c r="J77" s="103"/>
      <c r="K77" s="103"/>
      <c r="L77" s="36"/>
      <c r="M77" s="103"/>
      <c r="N77" s="36"/>
      <c r="O77" s="36"/>
      <c r="P77" s="36"/>
      <c r="Q77" s="103"/>
      <c r="R77" s="36"/>
      <c r="S77" s="36"/>
      <c r="T77" s="36"/>
      <c r="U77" s="103"/>
      <c r="V77" s="36"/>
      <c r="W77" s="36"/>
      <c r="X77" s="36"/>
      <c r="Y77" s="103"/>
      <c r="Z77" s="36"/>
      <c r="AA77" s="36"/>
      <c r="AC77" s="36"/>
      <c r="AD77" s="36"/>
      <c r="AE77" s="36"/>
      <c r="AF77" s="36"/>
      <c r="AG77" s="36"/>
      <c r="AH77" s="36"/>
      <c r="AI77" s="36"/>
      <c r="AJ77" s="36"/>
      <c r="AK77" s="36"/>
      <c r="AL77" s="36"/>
      <c r="AM77" s="36"/>
      <c r="AN77" s="13"/>
      <c r="AO77" s="92"/>
    </row>
    <row r="78" spans="1:41" ht="12.75" customHeight="1">
      <c r="B78" s="41" t="s">
        <v>19</v>
      </c>
      <c r="C78" s="36"/>
      <c r="D78" s="103"/>
      <c r="E78" s="103"/>
      <c r="F78" s="103"/>
      <c r="G78" s="103"/>
      <c r="H78" s="103"/>
      <c r="I78" s="103"/>
      <c r="J78" s="103"/>
      <c r="K78" s="103"/>
      <c r="L78" s="36"/>
      <c r="M78" s="103"/>
      <c r="N78" s="36"/>
      <c r="O78" s="36"/>
      <c r="P78" s="36"/>
      <c r="Q78" s="103"/>
      <c r="R78" s="36"/>
      <c r="S78" s="36"/>
      <c r="T78" s="36"/>
      <c r="U78" s="103"/>
      <c r="V78" s="36"/>
      <c r="W78" s="36"/>
      <c r="X78" s="36"/>
      <c r="Y78" s="103"/>
      <c r="Z78" s="36"/>
      <c r="AA78" s="36"/>
      <c r="AC78" s="36"/>
      <c r="AD78" s="36"/>
      <c r="AE78" s="36"/>
      <c r="AF78" s="36"/>
      <c r="AG78" s="36"/>
      <c r="AH78" s="36"/>
      <c r="AI78" s="36"/>
      <c r="AJ78" s="36"/>
      <c r="AK78" s="36"/>
      <c r="AL78" s="36"/>
      <c r="AM78" s="36"/>
      <c r="AN78" s="69"/>
      <c r="AO78" s="92" t="e">
        <f t="shared" si="140"/>
        <v>#DIV/0!</v>
      </c>
    </row>
    <row r="79" spans="1:41" ht="12.75" customHeight="1">
      <c r="B79" s="70" t="s">
        <v>70</v>
      </c>
      <c r="C79" s="36">
        <v>1095</v>
      </c>
      <c r="D79" s="103">
        <v>-2093</v>
      </c>
      <c r="E79" s="103">
        <v>-5322</v>
      </c>
      <c r="F79" s="103">
        <v>245</v>
      </c>
      <c r="G79" s="103">
        <v>6917</v>
      </c>
      <c r="H79" s="103">
        <v>-10125</v>
      </c>
      <c r="I79" s="103">
        <v>-1823</v>
      </c>
      <c r="J79" s="103">
        <v>-1688</v>
      </c>
      <c r="K79" s="103">
        <v>-3788</v>
      </c>
      <c r="L79" s="36"/>
      <c r="M79" s="103">
        <v>-3934</v>
      </c>
      <c r="N79" s="36">
        <f>5542-M79</f>
        <v>9476</v>
      </c>
      <c r="O79" s="36">
        <f>4561-SUM(M79:N79)</f>
        <v>-981</v>
      </c>
      <c r="P79" s="36">
        <f t="shared" ref="P79:P84" si="147">SUM(I79-SUM(M79:O79))</f>
        <v>-6384</v>
      </c>
      <c r="Q79" s="103">
        <v>4275</v>
      </c>
      <c r="R79" s="36">
        <f>9596-Q79</f>
        <v>5321</v>
      </c>
      <c r="S79" s="36">
        <v>-1987</v>
      </c>
      <c r="T79" s="36">
        <f t="shared" ref="T79:T84" si="148">SUM(J79-SUM(Q79:S79))</f>
        <v>-9297</v>
      </c>
      <c r="U79" s="103">
        <v>6555</v>
      </c>
      <c r="V79" s="36">
        <f>7727-U79</f>
        <v>1172</v>
      </c>
      <c r="W79" s="36">
        <f>6697-V79-U79</f>
        <v>-1030</v>
      </c>
      <c r="X79" s="36">
        <f t="shared" ref="X79:X84" si="149">SUM(K79-SUM(U79:W79))</f>
        <v>-10485</v>
      </c>
      <c r="Y79" s="103">
        <v>3597</v>
      </c>
      <c r="Z79" s="36">
        <f>7266-Y79</f>
        <v>3669</v>
      </c>
      <c r="AA79" s="36">
        <f>5685-Z79-Y79</f>
        <v>-1581</v>
      </c>
      <c r="AC79" s="36">
        <f>SUM(N79:Q79)</f>
        <v>6386</v>
      </c>
      <c r="AD79" s="36">
        <f>SUM(O79:R79)</f>
        <v>2231</v>
      </c>
      <c r="AE79" s="36">
        <f>SUM(P79:S79)</f>
        <v>1225</v>
      </c>
      <c r="AF79" s="36">
        <f>SUM(Q79:T79)</f>
        <v>-1688</v>
      </c>
      <c r="AG79" s="36">
        <f>SUM(R79:U79)</f>
        <v>592</v>
      </c>
      <c r="AH79" s="36">
        <f>SUM(S79:V79)</f>
        <v>-3557</v>
      </c>
      <c r="AI79" s="36">
        <f>SUM(T79:W79)</f>
        <v>-2600</v>
      </c>
      <c r="AJ79" s="36">
        <f>SUM(U79:X79)</f>
        <v>-3788</v>
      </c>
      <c r="AK79" s="36">
        <f>SUM(V79:Y79)</f>
        <v>-6746</v>
      </c>
      <c r="AL79" s="36">
        <f>SUM(W79:Z79)</f>
        <v>-4249</v>
      </c>
      <c r="AM79" s="36">
        <f>SUM(X79:AA79)</f>
        <v>-4800</v>
      </c>
      <c r="AN79" s="69"/>
      <c r="AO79" s="92">
        <f t="shared" si="140"/>
        <v>0.84615384615384626</v>
      </c>
    </row>
    <row r="80" spans="1:41" ht="12.75" customHeight="1">
      <c r="B80" s="70" t="s">
        <v>104</v>
      </c>
      <c r="C80" s="36">
        <v>217</v>
      </c>
      <c r="D80" s="103">
        <v>-2723</v>
      </c>
      <c r="E80" s="103">
        <v>828</v>
      </c>
      <c r="F80" s="103">
        <v>-289</v>
      </c>
      <c r="G80" s="103">
        <v>-127</v>
      </c>
      <c r="H80" s="103">
        <v>-2642</v>
      </c>
      <c r="I80" s="103">
        <v>1484</v>
      </c>
      <c r="J80" s="103">
        <v>-1618</v>
      </c>
      <c r="K80" s="103">
        <v>-1046</v>
      </c>
      <c r="L80" s="36"/>
      <c r="M80" s="103">
        <v>681</v>
      </c>
      <c r="N80" s="36">
        <f>1065-M80</f>
        <v>384</v>
      </c>
      <c r="O80" s="36">
        <f>1049-SUM(M80:N80)</f>
        <v>-16</v>
      </c>
      <c r="P80" s="36">
        <f t="shared" si="147"/>
        <v>435</v>
      </c>
      <c r="Q80" s="103">
        <v>-1807</v>
      </c>
      <c r="R80" s="36">
        <f>-2548-Q80</f>
        <v>-741</v>
      </c>
      <c r="S80" s="36">
        <v>-22</v>
      </c>
      <c r="T80" s="36">
        <f t="shared" si="148"/>
        <v>952</v>
      </c>
      <c r="U80" s="103">
        <v>-137</v>
      </c>
      <c r="V80" s="36">
        <f>53-U80</f>
        <v>190</v>
      </c>
      <c r="W80" s="36">
        <f>41-V80-U80</f>
        <v>-12</v>
      </c>
      <c r="X80" s="36">
        <f t="shared" si="149"/>
        <v>-1087</v>
      </c>
      <c r="Y80" s="103">
        <v>215</v>
      </c>
      <c r="Z80" s="36">
        <f>858-Y80</f>
        <v>643</v>
      </c>
      <c r="AA80" s="36">
        <f>1223-Z80-Y80</f>
        <v>365</v>
      </c>
      <c r="AC80" s="36">
        <f>SUM(N80:Q80)</f>
        <v>-1004</v>
      </c>
      <c r="AD80" s="36">
        <f>SUM(O80:R80)</f>
        <v>-2129</v>
      </c>
      <c r="AE80" s="36">
        <f>SUM(P80:S80)</f>
        <v>-2135</v>
      </c>
      <c r="AF80" s="36">
        <f>SUM(Q80:T80)</f>
        <v>-1618</v>
      </c>
      <c r="AG80" s="36">
        <f>SUM(R80:U80)</f>
        <v>52</v>
      </c>
      <c r="AH80" s="36">
        <f>SUM(S80:V80)</f>
        <v>983</v>
      </c>
      <c r="AI80" s="36">
        <f>SUM(T80:W80)</f>
        <v>993</v>
      </c>
      <c r="AJ80" s="36">
        <f>SUM(U80:X80)</f>
        <v>-1046</v>
      </c>
      <c r="AK80" s="36">
        <f>SUM(V80:Y80)</f>
        <v>-694</v>
      </c>
      <c r="AL80" s="36">
        <f>SUM(W80:Z80)</f>
        <v>-241</v>
      </c>
      <c r="AM80" s="36">
        <f>SUM(X80:AA80)</f>
        <v>136</v>
      </c>
      <c r="AN80" s="69"/>
      <c r="AO80" s="92">
        <f t="shared" si="140"/>
        <v>-0.86304128902316213</v>
      </c>
    </row>
    <row r="81" spans="2:41" ht="12.75" customHeight="1">
      <c r="B81" s="70" t="s">
        <v>310</v>
      </c>
      <c r="C81" s="36">
        <v>1039</v>
      </c>
      <c r="D81" s="103">
        <v>-9572</v>
      </c>
      <c r="E81" s="103">
        <v>-8433</v>
      </c>
      <c r="F81" s="103">
        <v>3804</v>
      </c>
      <c r="G81" s="103">
        <v>-8035</v>
      </c>
      <c r="H81" s="103">
        <v>-11945</v>
      </c>
      <c r="I81" s="103">
        <v>-14019</v>
      </c>
      <c r="J81" s="103">
        <v>-4413</v>
      </c>
      <c r="K81" s="103">
        <v>-13087</v>
      </c>
      <c r="L81" s="36"/>
      <c r="M81" s="103">
        <f>-9812-4921</f>
        <v>-14733</v>
      </c>
      <c r="N81" s="36">
        <f>643-3542-M81</f>
        <v>11834</v>
      </c>
      <c r="O81" s="36">
        <f>4789-3289-SUM(M81:N81)</f>
        <v>4399</v>
      </c>
      <c r="P81" s="36">
        <f t="shared" si="147"/>
        <v>-15519</v>
      </c>
      <c r="Q81" s="103">
        <f>-4099+2320</f>
        <v>-1779</v>
      </c>
      <c r="R81" s="36">
        <f>14785-4092-Q81</f>
        <v>12472</v>
      </c>
      <c r="S81" s="36">
        <v>-2445</v>
      </c>
      <c r="T81" s="36">
        <f t="shared" si="148"/>
        <v>-12661</v>
      </c>
      <c r="U81" s="103">
        <f>4569-1457</f>
        <v>3112</v>
      </c>
      <c r="V81" s="36">
        <f>12161-4438-U81</f>
        <v>4611</v>
      </c>
      <c r="W81" s="36">
        <f>11100-5626-V81-U81</f>
        <v>-2249</v>
      </c>
      <c r="X81" s="36">
        <f t="shared" si="149"/>
        <v>-18561</v>
      </c>
      <c r="Y81" s="103">
        <v>4105</v>
      </c>
      <c r="Z81" s="36">
        <f>9171+-4371-Y81</f>
        <v>695</v>
      </c>
      <c r="AA81" s="36">
        <f>13555+-6116-Z81-Y81</f>
        <v>2639</v>
      </c>
      <c r="AC81" s="36">
        <f>SUM(N81:Q81)</f>
        <v>-1065</v>
      </c>
      <c r="AD81" s="36">
        <f>SUM(O81:R81)</f>
        <v>-427</v>
      </c>
      <c r="AE81" s="36">
        <f>SUM(P81:S81)</f>
        <v>-7271</v>
      </c>
      <c r="AF81" s="36">
        <f>SUM(Q81:T81)</f>
        <v>-4413</v>
      </c>
      <c r="AG81" s="36">
        <f>SUM(R81:U81)</f>
        <v>478</v>
      </c>
      <c r="AH81" s="36">
        <f>SUM(S81:V81)</f>
        <v>-7383</v>
      </c>
      <c r="AI81" s="36">
        <f>SUM(T81:W81)</f>
        <v>-7187</v>
      </c>
      <c r="AJ81" s="36">
        <f>SUM(U81:X81)</f>
        <v>-13087</v>
      </c>
      <c r="AK81" s="36">
        <f>SUM(V81:Y81)</f>
        <v>-12094</v>
      </c>
      <c r="AL81" s="36">
        <f>SUM(W81:Z81)</f>
        <v>-16010</v>
      </c>
      <c r="AM81" s="36">
        <f>SUM(X81:AA81)</f>
        <v>-11122</v>
      </c>
      <c r="AN81" s="69"/>
      <c r="AO81" s="92">
        <f t="shared" si="140"/>
        <v>0.54751634896340606</v>
      </c>
    </row>
    <row r="82" spans="2:41" ht="12.75" customHeight="1">
      <c r="B82" s="70" t="s">
        <v>71</v>
      </c>
      <c r="C82" s="36">
        <v>1791</v>
      </c>
      <c r="D82" s="103">
        <v>9618</v>
      </c>
      <c r="E82" s="103">
        <v>9175</v>
      </c>
      <c r="F82" s="103">
        <v>-1923</v>
      </c>
      <c r="G82" s="103">
        <v>-4062</v>
      </c>
      <c r="H82" s="103">
        <v>12326</v>
      </c>
      <c r="I82" s="103">
        <v>9448</v>
      </c>
      <c r="J82" s="103">
        <v>-1889</v>
      </c>
      <c r="K82" s="103">
        <v>6020</v>
      </c>
      <c r="L82" s="36"/>
      <c r="M82" s="103">
        <v>19813</v>
      </c>
      <c r="N82" s="36">
        <f>-1750-M82</f>
        <v>-21563</v>
      </c>
      <c r="O82" s="36">
        <f>-6108-SUM(M82:N82)</f>
        <v>-4358</v>
      </c>
      <c r="P82" s="36">
        <f t="shared" si="147"/>
        <v>15556</v>
      </c>
      <c r="Q82" s="103">
        <v>-6075</v>
      </c>
      <c r="R82" s="36">
        <f>-20764-Q82</f>
        <v>-14689</v>
      </c>
      <c r="S82" s="36">
        <v>3974</v>
      </c>
      <c r="T82" s="36">
        <f t="shared" si="148"/>
        <v>14901</v>
      </c>
      <c r="U82" s="103">
        <v>-4542</v>
      </c>
      <c r="V82" s="36">
        <f>-16710-U82</f>
        <v>-12168</v>
      </c>
      <c r="W82" s="36">
        <f>-15171-V82-U82</f>
        <v>1539</v>
      </c>
      <c r="X82" s="36">
        <f t="shared" si="149"/>
        <v>21191</v>
      </c>
      <c r="Y82" s="103">
        <v>-6671</v>
      </c>
      <c r="Z82" s="36">
        <f>-14604-Y82</f>
        <v>-7933</v>
      </c>
      <c r="AA82" s="36">
        <f>-18479-Z82-Y82</f>
        <v>-3875</v>
      </c>
      <c r="AC82" s="36">
        <f>SUM(N82:Q82)</f>
        <v>-16440</v>
      </c>
      <c r="AD82" s="36">
        <f>SUM(O82:R82)</f>
        <v>-9566</v>
      </c>
      <c r="AE82" s="36">
        <f>SUM(P82:S82)</f>
        <v>-1234</v>
      </c>
      <c r="AF82" s="36">
        <f>SUM(Q82:T82)</f>
        <v>-1889</v>
      </c>
      <c r="AG82" s="36">
        <f>SUM(R82:U82)</f>
        <v>-356</v>
      </c>
      <c r="AH82" s="36">
        <f>SUM(S82:V82)</f>
        <v>2165</v>
      </c>
      <c r="AI82" s="36">
        <f>SUM(T82:W82)</f>
        <v>-270</v>
      </c>
      <c r="AJ82" s="36">
        <f>SUM(U82:X82)</f>
        <v>6020</v>
      </c>
      <c r="AK82" s="36">
        <f>SUM(V82:Y82)</f>
        <v>3891</v>
      </c>
      <c r="AL82" s="36">
        <f>SUM(W82:Z82)</f>
        <v>8126</v>
      </c>
      <c r="AM82" s="36">
        <f>SUM(X82:AA82)</f>
        <v>2712</v>
      </c>
      <c r="AN82" s="69"/>
      <c r="AO82" s="92">
        <f t="shared" si="140"/>
        <v>-11.044444444444444</v>
      </c>
    </row>
    <row r="83" spans="2:41" ht="12.75" customHeight="1">
      <c r="B83" s="70" t="s">
        <v>325</v>
      </c>
      <c r="C83" s="36">
        <v>-1554</v>
      </c>
      <c r="D83" s="103">
        <v>-626</v>
      </c>
      <c r="E83" s="103">
        <v>-44</v>
      </c>
      <c r="F83" s="103">
        <v>-625</v>
      </c>
      <c r="G83" s="103">
        <v>2081</v>
      </c>
      <c r="H83" s="103">
        <v>1676</v>
      </c>
      <c r="I83" s="103">
        <v>478</v>
      </c>
      <c r="J83" s="103">
        <v>0</v>
      </c>
      <c r="K83" s="103">
        <v>0</v>
      </c>
      <c r="L83" s="36"/>
      <c r="M83" s="103">
        <v>462</v>
      </c>
      <c r="N83" s="36">
        <f>627-M83</f>
        <v>165</v>
      </c>
      <c r="O83" s="36">
        <f>260-SUM(M83:N83)</f>
        <v>-367</v>
      </c>
      <c r="P83" s="36">
        <f t="shared" si="147"/>
        <v>218</v>
      </c>
      <c r="Q83" s="103">
        <v>131</v>
      </c>
      <c r="R83" s="36">
        <f>0-Q83</f>
        <v>-131</v>
      </c>
      <c r="S83" s="36">
        <v>0</v>
      </c>
      <c r="T83" s="36">
        <f t="shared" si="148"/>
        <v>0</v>
      </c>
      <c r="U83" s="103">
        <v>0</v>
      </c>
      <c r="V83" s="36">
        <v>0</v>
      </c>
      <c r="W83" s="36">
        <v>0</v>
      </c>
      <c r="X83" s="36">
        <f t="shared" si="149"/>
        <v>0</v>
      </c>
      <c r="Y83" s="103">
        <v>0</v>
      </c>
      <c r="Z83" s="36"/>
      <c r="AA83" s="36">
        <v>0</v>
      </c>
      <c r="AC83" s="36">
        <f>SUM(N83:Q83)</f>
        <v>147</v>
      </c>
      <c r="AD83" s="36">
        <f>SUM(O83:R83)</f>
        <v>-149</v>
      </c>
      <c r="AE83" s="36">
        <f>SUM(P83:S83)</f>
        <v>218</v>
      </c>
      <c r="AF83" s="36">
        <f>SUM(Q83:T83)</f>
        <v>0</v>
      </c>
      <c r="AG83" s="36">
        <f>SUM(R83:U83)</f>
        <v>-131</v>
      </c>
      <c r="AH83" s="36">
        <f>SUM(S83:V83)</f>
        <v>0</v>
      </c>
      <c r="AI83" s="36">
        <f>SUM(T83:W83)</f>
        <v>0</v>
      </c>
      <c r="AJ83" s="36">
        <f>SUM(U83:X83)</f>
        <v>0</v>
      </c>
      <c r="AK83" s="36">
        <f>SUM(V83:Y83)</f>
        <v>0</v>
      </c>
      <c r="AL83" s="36">
        <f>SUM(W83:Z83)</f>
        <v>0</v>
      </c>
      <c r="AM83" s="36">
        <f>SUM(X83:AA83)</f>
        <v>0</v>
      </c>
      <c r="AN83" s="69"/>
      <c r="AO83" s="92" t="e">
        <f t="shared" si="140"/>
        <v>#DIV/0!</v>
      </c>
    </row>
    <row r="84" spans="2:41" ht="12.75" customHeight="1">
      <c r="B84" s="70" t="s">
        <v>326</v>
      </c>
      <c r="C84" s="36">
        <v>-2104</v>
      </c>
      <c r="D84" s="103">
        <v>-154</v>
      </c>
      <c r="E84" s="103">
        <v>38490</v>
      </c>
      <c r="F84" s="103">
        <v>-4700</v>
      </c>
      <c r="G84" s="103">
        <v>8916</v>
      </c>
      <c r="H84" s="103">
        <v>5799</v>
      </c>
      <c r="I84" s="103">
        <v>5632</v>
      </c>
      <c r="J84" s="103">
        <v>3031</v>
      </c>
      <c r="K84" s="103">
        <v>15552</v>
      </c>
      <c r="L84" s="36"/>
      <c r="M84" s="103">
        <v>4236</v>
      </c>
      <c r="N84" s="36">
        <f>1888-M84</f>
        <v>-2348</v>
      </c>
      <c r="O84" s="36">
        <f>-14-SUM(M84:N84)</f>
        <v>-1902</v>
      </c>
      <c r="P84" s="36">
        <f t="shared" si="147"/>
        <v>5646</v>
      </c>
      <c r="Q84" s="103">
        <v>3758</v>
      </c>
      <c r="R84" s="36">
        <f>1757-Q84</f>
        <v>-2001</v>
      </c>
      <c r="S84" s="36">
        <v>1229</v>
      </c>
      <c r="T84" s="36">
        <f t="shared" si="148"/>
        <v>45</v>
      </c>
      <c r="U84" s="103">
        <v>-3865</v>
      </c>
      <c r="V84" s="36">
        <f>-3437-U84</f>
        <v>428</v>
      </c>
      <c r="W84" s="36">
        <f>2-V84-U84</f>
        <v>3439</v>
      </c>
      <c r="X84" s="36">
        <f t="shared" si="149"/>
        <v>15550</v>
      </c>
      <c r="Y84" s="103">
        <v>-11998</v>
      </c>
      <c r="Z84" s="36">
        <f>-15579-Y84</f>
        <v>-3581</v>
      </c>
      <c r="AA84" s="36">
        <f>-15161-Z84-Y84</f>
        <v>418</v>
      </c>
      <c r="AC84" s="36">
        <f>SUM(N84:Q84)</f>
        <v>5154</v>
      </c>
      <c r="AD84" s="36">
        <f>SUM(O84:R84)</f>
        <v>5501</v>
      </c>
      <c r="AE84" s="36">
        <f>SUM(P84:S84)</f>
        <v>8632</v>
      </c>
      <c r="AF84" s="36">
        <f>SUM(Q84:T84)</f>
        <v>3031</v>
      </c>
      <c r="AG84" s="36">
        <f>SUM(R84:U84)</f>
        <v>-4592</v>
      </c>
      <c r="AH84" s="36">
        <f>SUM(S84:V84)</f>
        <v>-2163</v>
      </c>
      <c r="AI84" s="36">
        <f>SUM(T84:W84)</f>
        <v>47</v>
      </c>
      <c r="AJ84" s="36">
        <f>SUM(U84:X84)</f>
        <v>15552</v>
      </c>
      <c r="AK84" s="36">
        <f>SUM(V84:Y84)</f>
        <v>7419</v>
      </c>
      <c r="AL84" s="36">
        <f>SUM(W84:Z84)</f>
        <v>3410</v>
      </c>
      <c r="AM84" s="36">
        <f>SUM(X84:AA84)</f>
        <v>389</v>
      </c>
      <c r="AN84" s="69"/>
      <c r="AO84" s="92">
        <f t="shared" si="140"/>
        <v>7.2765957446808507</v>
      </c>
    </row>
    <row r="85" spans="2:41" ht="12.75" customHeight="1">
      <c r="B85" s="15" t="s">
        <v>92</v>
      </c>
      <c r="C85" s="38">
        <f>SUM(C70:C84)</f>
        <v>65824</v>
      </c>
      <c r="D85" s="38">
        <f>SUM(D70:D84)</f>
        <v>63598</v>
      </c>
      <c r="E85" s="38">
        <f>SUM(E70:E84)</f>
        <v>77434</v>
      </c>
      <c r="F85" s="38">
        <f>SUM(F70:F84)</f>
        <v>69391</v>
      </c>
      <c r="G85" s="38">
        <f>SUM(G70:G84)</f>
        <v>80674</v>
      </c>
      <c r="H85" s="16">
        <f>SUM(H70:H84)</f>
        <v>104038</v>
      </c>
      <c r="I85" s="16">
        <f>SUM(I70:I84)</f>
        <v>122151</v>
      </c>
      <c r="J85" s="16">
        <f>SUM(J70:J84)</f>
        <v>110543</v>
      </c>
      <c r="K85" s="16">
        <f>SUM(K70:K84)</f>
        <v>118254</v>
      </c>
      <c r="M85" s="16">
        <f>SUM(M70:M84)</f>
        <v>46966</v>
      </c>
      <c r="N85" s="16">
        <f>SUM(N70:N84)</f>
        <v>28166</v>
      </c>
      <c r="O85" s="16">
        <f>SUM(O70:O84)</f>
        <v>22892</v>
      </c>
      <c r="P85" s="16">
        <f>SUM(P70:P84)</f>
        <v>24127</v>
      </c>
      <c r="Q85" s="16">
        <f>SUM(Q70:Q84)</f>
        <v>34005</v>
      </c>
      <c r="R85" s="16">
        <f>SUM(R70:R84)</f>
        <v>28560</v>
      </c>
      <c r="S85" s="16">
        <f>SUM(S70:S84)</f>
        <v>26380</v>
      </c>
      <c r="T85" s="16">
        <f>SUM(T70:T84)</f>
        <v>21598</v>
      </c>
      <c r="U85" s="16">
        <f>SUM(U70:U84)</f>
        <v>39895</v>
      </c>
      <c r="V85" s="16">
        <f>SUM(V70:V84)</f>
        <v>22690</v>
      </c>
      <c r="W85" s="16">
        <f>SUM(W70:W84)</f>
        <v>28858</v>
      </c>
      <c r="X85" s="16">
        <f>SUM(X70:X84)</f>
        <v>26811</v>
      </c>
      <c r="Y85" s="16">
        <f>SUM(Y70:Y84)</f>
        <v>29935</v>
      </c>
      <c r="Z85" s="38">
        <f>SUM(Z70:Z84)</f>
        <v>23952</v>
      </c>
      <c r="AA85" s="38">
        <f>SUM(AA70:AA84)</f>
        <v>27867</v>
      </c>
      <c r="AC85" s="16">
        <f>SUM(AC70:AC84)</f>
        <v>109190</v>
      </c>
      <c r="AD85" s="16">
        <f>SUM(AD70:AD84)</f>
        <v>109584</v>
      </c>
      <c r="AE85" s="16">
        <f>SUM(AE70:AE84)</f>
        <v>113072</v>
      </c>
      <c r="AF85" s="16">
        <f>SUM(AF70:AF84)</f>
        <v>110543</v>
      </c>
      <c r="AG85" s="16">
        <f>SUM(AG70:AG84)</f>
        <v>116433</v>
      </c>
      <c r="AH85" s="16">
        <f>SUM(AH70:AH84)</f>
        <v>110563</v>
      </c>
      <c r="AI85" s="16">
        <f>SUM(AI70:AI84)</f>
        <v>113041</v>
      </c>
      <c r="AJ85" s="16">
        <f>SUM(AJ70:AJ84)</f>
        <v>118254</v>
      </c>
      <c r="AK85" s="16">
        <f>SUM(AK70:AK84)</f>
        <v>108294</v>
      </c>
      <c r="AL85" s="16">
        <f>SUM(AL70:AL84)</f>
        <v>109556</v>
      </c>
      <c r="AM85" s="16">
        <f>SUM(AM70:AM84)</f>
        <v>108565</v>
      </c>
      <c r="AN85" s="48"/>
      <c r="AO85" s="93">
        <f>SUM(AM85/AI85)-1</f>
        <v>-3.9596252687078115E-2</v>
      </c>
    </row>
    <row r="86" spans="2:41" ht="12.75" customHeight="1">
      <c r="B86" s="62"/>
      <c r="C86" s="71"/>
      <c r="D86" s="71"/>
      <c r="E86" s="71"/>
      <c r="F86" s="71"/>
      <c r="G86" s="71"/>
      <c r="H86" s="71"/>
      <c r="I86" s="71"/>
      <c r="J86" s="71"/>
      <c r="K86" s="71"/>
      <c r="M86" s="71"/>
      <c r="N86" s="71"/>
      <c r="O86" s="71"/>
      <c r="P86" s="71"/>
      <c r="Q86" s="71"/>
      <c r="R86" s="71"/>
      <c r="S86" s="71"/>
      <c r="T86" s="71"/>
      <c r="U86" s="71"/>
      <c r="V86" s="71"/>
      <c r="W86" s="71"/>
      <c r="X86" s="71"/>
      <c r="Y86" s="71"/>
      <c r="Z86" s="71"/>
      <c r="AA86" s="71"/>
      <c r="AC86" s="48"/>
      <c r="AD86" s="48"/>
      <c r="AE86" s="48"/>
      <c r="AF86" s="48"/>
      <c r="AG86" s="48"/>
      <c r="AH86" s="48"/>
      <c r="AI86" s="48"/>
      <c r="AJ86" s="48"/>
      <c r="AK86" s="48"/>
      <c r="AL86" s="48"/>
      <c r="AM86" s="48"/>
      <c r="AN86" s="48"/>
      <c r="AO86" s="45"/>
    </row>
    <row r="87" spans="2:41" ht="12.75" customHeight="1">
      <c r="B87" s="62" t="s">
        <v>93</v>
      </c>
      <c r="C87" s="68"/>
      <c r="D87" s="68"/>
      <c r="E87" s="68"/>
      <c r="F87" s="68"/>
      <c r="G87" s="68"/>
      <c r="H87" s="68"/>
      <c r="I87" s="68"/>
      <c r="J87" s="68"/>
      <c r="K87" s="68"/>
      <c r="M87" s="68"/>
      <c r="N87" s="68"/>
      <c r="O87" s="72"/>
      <c r="P87" s="68"/>
      <c r="Q87" s="68"/>
      <c r="R87" s="68"/>
      <c r="S87" s="72"/>
      <c r="T87" s="68"/>
      <c r="U87" s="68"/>
      <c r="V87" s="68"/>
      <c r="W87" s="68"/>
      <c r="X87" s="68"/>
      <c r="Y87" s="68"/>
      <c r="Z87" s="68"/>
      <c r="AA87" s="68"/>
      <c r="AC87" s="68"/>
      <c r="AD87" s="68"/>
      <c r="AE87" s="68"/>
      <c r="AF87" s="68"/>
      <c r="AG87" s="68"/>
      <c r="AH87" s="68"/>
      <c r="AI87" s="68"/>
      <c r="AJ87" s="68"/>
      <c r="AK87" s="68"/>
      <c r="AL87" s="68"/>
      <c r="AM87" s="68"/>
      <c r="AN87" s="69"/>
      <c r="AO87" s="45"/>
    </row>
    <row r="88" spans="2:41" ht="12.75" customHeight="1">
      <c r="B88" s="70" t="s">
        <v>327</v>
      </c>
      <c r="C88" s="36">
        <v>-12734</v>
      </c>
      <c r="D88" s="103">
        <v>-12451</v>
      </c>
      <c r="E88" s="103">
        <v>-13313</v>
      </c>
      <c r="F88" s="103">
        <v>-10495</v>
      </c>
      <c r="G88" s="103">
        <v>-7309</v>
      </c>
      <c r="H88" s="103">
        <v>-11085</v>
      </c>
      <c r="I88" s="103">
        <v>-10708</v>
      </c>
      <c r="J88" s="103">
        <v>-10959</v>
      </c>
      <c r="K88" s="103">
        <v>-9447</v>
      </c>
      <c r="L88" s="36"/>
      <c r="M88" s="103">
        <v>-2803</v>
      </c>
      <c r="N88" s="36">
        <f>-5317-M88</f>
        <v>-2514</v>
      </c>
      <c r="O88" s="36">
        <f>-7419-SUM(M88:N88)</f>
        <v>-2102</v>
      </c>
      <c r="P88" s="36">
        <f t="shared" ref="P88:P92" si="150">SUM(I88-SUM(M88:O88))</f>
        <v>-3289</v>
      </c>
      <c r="Q88" s="103">
        <v>-3787</v>
      </c>
      <c r="R88" s="36">
        <f>-6703-Q88</f>
        <v>-2916</v>
      </c>
      <c r="S88" s="36">
        <v>-2093</v>
      </c>
      <c r="T88" s="36">
        <f t="shared" ref="T88:T92" si="151">SUM(J88-SUM(Q88:S88))</f>
        <v>-2163</v>
      </c>
      <c r="U88" s="103">
        <v>-2392</v>
      </c>
      <c r="V88" s="36">
        <f>-4388-U88</f>
        <v>-1996</v>
      </c>
      <c r="W88" s="36">
        <f>-6539-V88-U88</f>
        <v>-2151</v>
      </c>
      <c r="X88" s="36">
        <f t="shared" ref="X88:X92" si="152">SUM(K88-SUM(U88:W88))</f>
        <v>-2908</v>
      </c>
      <c r="Y88" s="103">
        <v>-2940</v>
      </c>
      <c r="Z88" s="36">
        <f>-6011-Y88</f>
        <v>-3071</v>
      </c>
      <c r="AA88" s="36">
        <f>-9473-Z88-Y88</f>
        <v>-3462</v>
      </c>
      <c r="AB88" s="36"/>
      <c r="AC88" s="36">
        <f>SUM(N88:Q88)</f>
        <v>-11692</v>
      </c>
      <c r="AD88" s="36">
        <f>SUM(O88:R88)</f>
        <v>-12094</v>
      </c>
      <c r="AE88" s="36">
        <f>SUM(P88:S88)</f>
        <v>-12085</v>
      </c>
      <c r="AF88" s="36">
        <f>SUM(Q88:T88)</f>
        <v>-10959</v>
      </c>
      <c r="AG88" s="36">
        <f>SUM(R88:U88)</f>
        <v>-9564</v>
      </c>
      <c r="AH88" s="36">
        <f>SUM(S88:V88)</f>
        <v>-8644</v>
      </c>
      <c r="AI88" s="36">
        <f>SUM(T88:W88)</f>
        <v>-8702</v>
      </c>
      <c r="AJ88" s="36">
        <f>SUM(U88:X88)</f>
        <v>-9447</v>
      </c>
      <c r="AK88" s="36">
        <f>SUM(V88:Y88)</f>
        <v>-9995</v>
      </c>
      <c r="AL88" s="36">
        <f>SUM(W88:Z88)</f>
        <v>-11070</v>
      </c>
      <c r="AM88" s="36">
        <f>SUM(X88:AA88)</f>
        <v>-12381</v>
      </c>
      <c r="AN88" s="69"/>
      <c r="AO88" s="92">
        <f t="shared" ref="AO88:AO92" si="153">SUM(AM88/AI88)-1</f>
        <v>0.42277637324752937</v>
      </c>
    </row>
    <row r="89" spans="2:41" ht="12.75" customHeight="1">
      <c r="B89" s="70" t="s">
        <v>328</v>
      </c>
      <c r="C89" s="36">
        <v>111794</v>
      </c>
      <c r="D89" s="103">
        <v>126339</v>
      </c>
      <c r="E89" s="103">
        <v>103719</v>
      </c>
      <c r="F89" s="103">
        <v>97090</v>
      </c>
      <c r="G89" s="103">
        <v>120391</v>
      </c>
      <c r="H89" s="103">
        <v>106483</v>
      </c>
      <c r="I89" s="103">
        <v>67363</v>
      </c>
      <c r="J89" s="103">
        <v>45514</v>
      </c>
      <c r="K89" s="103">
        <v>62346</v>
      </c>
      <c r="L89" s="36"/>
      <c r="M89" s="103">
        <f>11309+10675</f>
        <v>21984</v>
      </c>
      <c r="N89" s="36">
        <f>18000+24668-M89</f>
        <v>20684</v>
      </c>
      <c r="O89" s="36">
        <f>24203+33609-SUM(M89:N89)</f>
        <v>15144</v>
      </c>
      <c r="P89" s="36">
        <f t="shared" si="150"/>
        <v>9551</v>
      </c>
      <c r="Q89" s="103">
        <f>7127+509</f>
        <v>7636</v>
      </c>
      <c r="R89" s="36">
        <f>17124+1897-Q89</f>
        <v>11385</v>
      </c>
      <c r="S89" s="36">
        <v>12795</v>
      </c>
      <c r="T89" s="36">
        <f t="shared" si="151"/>
        <v>13698</v>
      </c>
      <c r="U89" s="103">
        <f>13046+1337</f>
        <v>14383</v>
      </c>
      <c r="V89" s="36">
        <f>27462+4314-U89</f>
        <v>17393</v>
      </c>
      <c r="W89" s="36">
        <f>39838+7382-V89-U89</f>
        <v>15444</v>
      </c>
      <c r="X89" s="36">
        <f t="shared" si="152"/>
        <v>15126</v>
      </c>
      <c r="Y89" s="103">
        <v>19459</v>
      </c>
      <c r="Z89" s="36">
        <f>26587+5210-Y89</f>
        <v>12338</v>
      </c>
      <c r="AA89" s="36">
        <f>35036+10785-Z89-Y89</f>
        <v>14024</v>
      </c>
      <c r="AB89" s="36"/>
      <c r="AC89" s="36">
        <f>SUM(N89:Q89)</f>
        <v>53015</v>
      </c>
      <c r="AD89" s="36">
        <f>SUM(O89:R89)</f>
        <v>43716</v>
      </c>
      <c r="AE89" s="36">
        <f>SUM(P89:S89)</f>
        <v>41367</v>
      </c>
      <c r="AF89" s="36">
        <f>SUM(Q89:T89)</f>
        <v>45514</v>
      </c>
      <c r="AG89" s="36">
        <f>SUM(R89:U89)</f>
        <v>52261</v>
      </c>
      <c r="AH89" s="36">
        <f>SUM(S89:V89)</f>
        <v>58269</v>
      </c>
      <c r="AI89" s="36">
        <f>SUM(T89:W89)</f>
        <v>60918</v>
      </c>
      <c r="AJ89" s="36">
        <f>SUM(U89:X89)</f>
        <v>62346</v>
      </c>
      <c r="AK89" s="36">
        <f>SUM(V89:Y89)</f>
        <v>67422</v>
      </c>
      <c r="AL89" s="36">
        <f>SUM(W89:Z89)</f>
        <v>62367</v>
      </c>
      <c r="AM89" s="36">
        <f>SUM(X89:AA89)</f>
        <v>60947</v>
      </c>
      <c r="AN89" s="69"/>
      <c r="AO89" s="92">
        <f t="shared" si="153"/>
        <v>4.7604977182436059E-4</v>
      </c>
    </row>
    <row r="90" spans="2:41" ht="12.75" customHeight="1">
      <c r="B90" s="70" t="s">
        <v>329</v>
      </c>
      <c r="C90" s="36">
        <v>-142428</v>
      </c>
      <c r="D90" s="103">
        <v>-159486</v>
      </c>
      <c r="E90" s="103">
        <v>-71356</v>
      </c>
      <c r="F90" s="103">
        <v>-39630</v>
      </c>
      <c r="G90" s="103">
        <v>-114938</v>
      </c>
      <c r="H90" s="103">
        <v>-109558</v>
      </c>
      <c r="I90" s="103">
        <v>-76923</v>
      </c>
      <c r="J90" s="103">
        <v>-29513</v>
      </c>
      <c r="K90" s="103">
        <v>-48656</v>
      </c>
      <c r="L90" s="36"/>
      <c r="M90" s="103">
        <v>-34913</v>
      </c>
      <c r="N90" s="36">
        <f>-61987-M90</f>
        <v>-27074</v>
      </c>
      <c r="O90" s="36">
        <f>-70178-SUM(M90:N90)</f>
        <v>-8191</v>
      </c>
      <c r="P90" s="36">
        <f t="shared" si="150"/>
        <v>-6745</v>
      </c>
      <c r="Q90" s="103">
        <v>-5153</v>
      </c>
      <c r="R90" s="36">
        <f>-11197-Q90</f>
        <v>-6044</v>
      </c>
      <c r="S90" s="36">
        <v>-9759</v>
      </c>
      <c r="T90" s="36">
        <f t="shared" si="151"/>
        <v>-8557</v>
      </c>
      <c r="U90" s="103">
        <v>-9780</v>
      </c>
      <c r="V90" s="36">
        <f>-25042-U90</f>
        <v>-15262</v>
      </c>
      <c r="W90" s="36">
        <f>-38074-V90-U90</f>
        <v>-13032</v>
      </c>
      <c r="X90" s="36">
        <f t="shared" si="152"/>
        <v>-10582</v>
      </c>
      <c r="Y90" s="103">
        <v>-6124</v>
      </c>
      <c r="Z90" s="36">
        <f>-12442-Y90</f>
        <v>-6318</v>
      </c>
      <c r="AA90" s="36">
        <f>-17591-Z90-Y90</f>
        <v>-5149</v>
      </c>
      <c r="AB90" s="36"/>
      <c r="AC90" s="36">
        <f>SUM(N90:Q90)</f>
        <v>-47163</v>
      </c>
      <c r="AD90" s="36">
        <f>SUM(O90:R90)</f>
        <v>-26133</v>
      </c>
      <c r="AE90" s="36">
        <f>SUM(P90:S90)</f>
        <v>-27701</v>
      </c>
      <c r="AF90" s="36">
        <f>SUM(Q90:T90)</f>
        <v>-29513</v>
      </c>
      <c r="AG90" s="36">
        <f>SUM(R90:U90)</f>
        <v>-34140</v>
      </c>
      <c r="AH90" s="36">
        <f>SUM(S90:V90)</f>
        <v>-43358</v>
      </c>
      <c r="AI90" s="36">
        <f>SUM(T90:W90)</f>
        <v>-46631</v>
      </c>
      <c r="AJ90" s="36">
        <f>SUM(U90:X90)</f>
        <v>-48656</v>
      </c>
      <c r="AK90" s="36">
        <f>SUM(V90:Y90)</f>
        <v>-45000</v>
      </c>
      <c r="AL90" s="36">
        <f>SUM(W90:Z90)</f>
        <v>-36056</v>
      </c>
      <c r="AM90" s="36">
        <f>SUM(X90:AA90)</f>
        <v>-28173</v>
      </c>
      <c r="AN90" s="69"/>
      <c r="AO90" s="92">
        <f t="shared" si="153"/>
        <v>-0.39583109948317641</v>
      </c>
    </row>
    <row r="91" spans="2:41" ht="12.75" customHeight="1">
      <c r="B91" s="70" t="s">
        <v>330</v>
      </c>
      <c r="C91" s="36">
        <v>-1111</v>
      </c>
      <c r="D91" s="103">
        <v>-673</v>
      </c>
      <c r="E91" s="103">
        <v>-721</v>
      </c>
      <c r="F91" s="103">
        <v>-624</v>
      </c>
      <c r="G91" s="103">
        <v>-1524</v>
      </c>
      <c r="H91" s="103">
        <v>-33</v>
      </c>
      <c r="I91" s="103">
        <v>-306</v>
      </c>
      <c r="J91" s="103">
        <v>0</v>
      </c>
      <c r="K91" s="103">
        <v>0</v>
      </c>
      <c r="L91" s="36"/>
      <c r="M91" s="103">
        <v>0</v>
      </c>
      <c r="N91" s="36">
        <v>-167</v>
      </c>
      <c r="O91" s="36">
        <f>-169-SUM(M91:N91)</f>
        <v>-2</v>
      </c>
      <c r="P91" s="36">
        <f t="shared" si="150"/>
        <v>-137</v>
      </c>
      <c r="Q91" s="103">
        <v>0</v>
      </c>
      <c r="R91" s="36">
        <v>0</v>
      </c>
      <c r="S91" s="36">
        <v>0</v>
      </c>
      <c r="T91" s="36">
        <f t="shared" si="151"/>
        <v>0</v>
      </c>
      <c r="U91" s="103">
        <v>0</v>
      </c>
      <c r="V91" s="36">
        <v>0</v>
      </c>
      <c r="W91" s="36">
        <v>0</v>
      </c>
      <c r="X91" s="36">
        <f t="shared" si="152"/>
        <v>0</v>
      </c>
      <c r="Y91" s="103">
        <v>0</v>
      </c>
      <c r="Z91" s="36">
        <v>0</v>
      </c>
      <c r="AA91" s="36">
        <v>0</v>
      </c>
      <c r="AB91" s="36"/>
      <c r="AC91" s="36">
        <f>SUM(N91:Q91)</f>
        <v>-306</v>
      </c>
      <c r="AD91" s="36">
        <f>SUM(O91:R91)</f>
        <v>-139</v>
      </c>
      <c r="AE91" s="36">
        <f>SUM(P91:S91)</f>
        <v>-137</v>
      </c>
      <c r="AF91" s="36">
        <f>SUM(Q91:T91)</f>
        <v>0</v>
      </c>
      <c r="AG91" s="36">
        <f>SUM(R91:U91)</f>
        <v>0</v>
      </c>
      <c r="AH91" s="36">
        <f>SUM(S91:V91)</f>
        <v>0</v>
      </c>
      <c r="AI91" s="36">
        <f>SUM(T91:W91)</f>
        <v>0</v>
      </c>
      <c r="AJ91" s="36">
        <f>SUM(U91:X91)</f>
        <v>0</v>
      </c>
      <c r="AK91" s="36">
        <f>SUM(V91:Y91)</f>
        <v>0</v>
      </c>
      <c r="AL91" s="36">
        <f>SUM(W91:Z91)</f>
        <v>0</v>
      </c>
      <c r="AM91" s="36">
        <f>SUM(X91:AA91)</f>
        <v>0</v>
      </c>
      <c r="AN91" s="69"/>
      <c r="AO91" s="92" t="e">
        <f t="shared" si="153"/>
        <v>#DIV/0!</v>
      </c>
    </row>
    <row r="92" spans="2:41" ht="12.75" customHeight="1">
      <c r="B92" s="70" t="s">
        <v>331</v>
      </c>
      <c r="C92" s="36">
        <v>-1498</v>
      </c>
      <c r="D92" s="103">
        <v>-175</v>
      </c>
      <c r="E92" s="103">
        <v>-2263</v>
      </c>
      <c r="F92" s="103">
        <v>-445</v>
      </c>
      <c r="G92" s="103">
        <v>-909</v>
      </c>
      <c r="H92" s="103">
        <v>-352</v>
      </c>
      <c r="I92" s="103">
        <v>-1780</v>
      </c>
      <c r="J92" s="103">
        <v>-1337</v>
      </c>
      <c r="K92" s="103">
        <v>-1308</v>
      </c>
      <c r="L92" s="36"/>
      <c r="M92" s="103">
        <v>-374</v>
      </c>
      <c r="N92" s="36">
        <f>-568-M92</f>
        <v>-194</v>
      </c>
      <c r="O92" s="36">
        <f>-1183-SUM(M92:N92)</f>
        <v>-615</v>
      </c>
      <c r="P92" s="36">
        <f t="shared" si="150"/>
        <v>-597</v>
      </c>
      <c r="Q92" s="103">
        <v>-141</v>
      </c>
      <c r="R92" s="36">
        <f>-247-Q92</f>
        <v>-106</v>
      </c>
      <c r="S92" s="36">
        <v>-506</v>
      </c>
      <c r="T92" s="36">
        <f t="shared" si="151"/>
        <v>-584</v>
      </c>
      <c r="U92" s="103">
        <v>-284</v>
      </c>
      <c r="V92" s="36">
        <f>-729-U92</f>
        <v>-445</v>
      </c>
      <c r="W92" s="36">
        <f>-1117-V92-U92</f>
        <v>-388</v>
      </c>
      <c r="X92" s="36">
        <f t="shared" si="152"/>
        <v>-191</v>
      </c>
      <c r="Y92" s="103">
        <v>-603</v>
      </c>
      <c r="Z92" s="36">
        <f>-635-Y92</f>
        <v>-32</v>
      </c>
      <c r="AA92" s="36">
        <f>-975-Z92-Y92</f>
        <v>-340</v>
      </c>
      <c r="AB92" s="36"/>
      <c r="AC92" s="36">
        <f>SUM(N92:Q92)</f>
        <v>-1547</v>
      </c>
      <c r="AD92" s="36">
        <f>SUM(O92:R92)</f>
        <v>-1459</v>
      </c>
      <c r="AE92" s="36">
        <f>SUM(P92:S92)</f>
        <v>-1350</v>
      </c>
      <c r="AF92" s="36">
        <f>SUM(Q92:T92)</f>
        <v>-1337</v>
      </c>
      <c r="AG92" s="36">
        <f>SUM(R92:U92)</f>
        <v>-1480</v>
      </c>
      <c r="AH92" s="36">
        <f>SUM(S92:V92)</f>
        <v>-1819</v>
      </c>
      <c r="AI92" s="36">
        <f>SUM(T92:W92)</f>
        <v>-1701</v>
      </c>
      <c r="AJ92" s="36">
        <f>SUM(U92:X92)</f>
        <v>-1308</v>
      </c>
      <c r="AK92" s="36">
        <f>SUM(V92:Y92)</f>
        <v>-1627</v>
      </c>
      <c r="AL92" s="36">
        <f>SUM(W92:Z92)</f>
        <v>-1214</v>
      </c>
      <c r="AM92" s="36">
        <f>SUM(X92:AA92)</f>
        <v>-1166</v>
      </c>
      <c r="AN92" s="69"/>
      <c r="AO92" s="92">
        <f t="shared" si="153"/>
        <v>-0.3145208700764256</v>
      </c>
    </row>
    <row r="93" spans="2:41" ht="12.75" customHeight="1">
      <c r="B93" s="15" t="s">
        <v>94</v>
      </c>
      <c r="C93" s="16">
        <f>SUM(C88:C92)</f>
        <v>-45977</v>
      </c>
      <c r="D93" s="16">
        <f>SUM(D88:D92)</f>
        <v>-46446</v>
      </c>
      <c r="E93" s="16">
        <f>SUM(E88:E92)</f>
        <v>16066</v>
      </c>
      <c r="F93" s="16">
        <f>SUM(F88:F92)</f>
        <v>45896</v>
      </c>
      <c r="G93" s="16">
        <f>SUM(G88:G92)</f>
        <v>-4289</v>
      </c>
      <c r="H93" s="16">
        <f>SUM(H88:H92)</f>
        <v>-14545</v>
      </c>
      <c r="I93" s="16">
        <f>SUM(I88:I92)</f>
        <v>-22354</v>
      </c>
      <c r="J93" s="16">
        <f>SUM(J88:J92)</f>
        <v>3705</v>
      </c>
      <c r="K93" s="16">
        <f>SUM(K88:K92)</f>
        <v>2935</v>
      </c>
      <c r="M93" s="16">
        <f>SUM(M88:M92)</f>
        <v>-16106</v>
      </c>
      <c r="N93" s="16">
        <f>SUM(N88:N92)</f>
        <v>-9265</v>
      </c>
      <c r="O93" s="16">
        <f>SUM(O88:O92)</f>
        <v>4234</v>
      </c>
      <c r="P93" s="16">
        <f>SUM(P88:P92)</f>
        <v>-1217</v>
      </c>
      <c r="Q93" s="16">
        <f>SUM(Q88:Q92)</f>
        <v>-1445</v>
      </c>
      <c r="R93" s="16">
        <f>SUM(R88:R92)</f>
        <v>2319</v>
      </c>
      <c r="S93" s="16">
        <f>SUM(S88:S92)</f>
        <v>437</v>
      </c>
      <c r="T93" s="16">
        <f>SUM(T88:T92)</f>
        <v>2394</v>
      </c>
      <c r="U93" s="16">
        <f>SUM(U88:U92)</f>
        <v>1927</v>
      </c>
      <c r="V93" s="16">
        <f>SUM(V88:V92)</f>
        <v>-310</v>
      </c>
      <c r="W93" s="16">
        <f>SUM(W88:W92)</f>
        <v>-127</v>
      </c>
      <c r="X93" s="16">
        <f>SUM(X88:X92)</f>
        <v>1445</v>
      </c>
      <c r="Y93" s="16">
        <f>SUM(Y88:Y92)</f>
        <v>9792</v>
      </c>
      <c r="Z93" s="16">
        <f>SUM(Z88:Z92)</f>
        <v>2917</v>
      </c>
      <c r="AA93" s="16">
        <f>SUM(AA88:AA92)</f>
        <v>5073</v>
      </c>
      <c r="AC93" s="16">
        <f>SUM(AC88:AC92)</f>
        <v>-7693</v>
      </c>
      <c r="AD93" s="16">
        <f>SUM(AD88:AD92)</f>
        <v>3891</v>
      </c>
      <c r="AE93" s="16">
        <f>SUM(AE88:AE92)</f>
        <v>94</v>
      </c>
      <c r="AF93" s="16">
        <f>SUM(AF88:AF92)</f>
        <v>3705</v>
      </c>
      <c r="AG93" s="16">
        <f>SUM(AG88:AG92)</f>
        <v>7077</v>
      </c>
      <c r="AH93" s="16">
        <f>SUM(AH88:AH92)</f>
        <v>4448</v>
      </c>
      <c r="AI93" s="16">
        <f>SUM(AI88:AI92)</f>
        <v>3884</v>
      </c>
      <c r="AJ93" s="16">
        <f>SUM(AJ88:AJ92)</f>
        <v>2935</v>
      </c>
      <c r="AK93" s="16">
        <f>SUM(AK88:AK92)</f>
        <v>10800</v>
      </c>
      <c r="AL93" s="16">
        <f>SUM(AL88:AL92)</f>
        <v>14027</v>
      </c>
      <c r="AM93" s="16">
        <f>SUM(AM88:AM92)</f>
        <v>19227</v>
      </c>
      <c r="AN93" s="48"/>
      <c r="AO93" s="93">
        <f>SUM(AM93/AI93)-1</f>
        <v>3.9503089598352217</v>
      </c>
    </row>
    <row r="94" spans="2:41" ht="12.75" customHeight="1">
      <c r="B94" s="61"/>
      <c r="C94" s="71"/>
      <c r="D94" s="71"/>
      <c r="E94" s="71"/>
      <c r="F94" s="71"/>
      <c r="G94" s="71"/>
      <c r="H94" s="71"/>
      <c r="I94" s="71"/>
      <c r="J94" s="71"/>
      <c r="K94" s="71"/>
      <c r="M94" s="71"/>
      <c r="N94" s="71"/>
      <c r="O94" s="71"/>
      <c r="P94" s="71"/>
      <c r="Q94" s="71"/>
      <c r="R94" s="71"/>
      <c r="S94" s="71"/>
      <c r="T94" s="71"/>
      <c r="U94" s="71"/>
      <c r="V94" s="71"/>
      <c r="W94" s="71"/>
      <c r="X94" s="71"/>
      <c r="Y94" s="71"/>
      <c r="Z94" s="71"/>
      <c r="AA94" s="71"/>
      <c r="AC94" s="48"/>
      <c r="AD94" s="48"/>
      <c r="AE94" s="48"/>
      <c r="AF94" s="48"/>
      <c r="AG94" s="48"/>
      <c r="AH94" s="48"/>
      <c r="AI94" s="48"/>
      <c r="AJ94" s="48"/>
      <c r="AK94" s="48"/>
      <c r="AL94" s="48"/>
      <c r="AM94" s="48"/>
      <c r="AN94" s="48"/>
      <c r="AO94" s="45"/>
    </row>
    <row r="95" spans="2:41" ht="12.75" customHeight="1">
      <c r="B95" s="62" t="s">
        <v>95</v>
      </c>
      <c r="C95" s="73"/>
      <c r="D95" s="73"/>
      <c r="E95" s="73"/>
      <c r="F95" s="73"/>
      <c r="G95" s="73"/>
      <c r="H95" s="73"/>
      <c r="I95" s="73"/>
      <c r="J95" s="73"/>
      <c r="K95" s="73"/>
      <c r="M95" s="73"/>
      <c r="N95" s="73"/>
      <c r="O95" s="73"/>
      <c r="P95" s="73"/>
      <c r="Q95" s="73"/>
      <c r="R95" s="73"/>
      <c r="S95" s="73"/>
      <c r="T95" s="74"/>
      <c r="U95" s="73"/>
      <c r="V95" s="73"/>
      <c r="W95" s="73"/>
      <c r="X95" s="73"/>
      <c r="Y95" s="73"/>
      <c r="Z95" s="73"/>
      <c r="AA95" s="73"/>
      <c r="AC95" s="73"/>
      <c r="AD95" s="73"/>
      <c r="AE95" s="73"/>
      <c r="AF95" s="73"/>
      <c r="AG95" s="73"/>
      <c r="AH95" s="73"/>
      <c r="AI95" s="73"/>
      <c r="AJ95" s="73"/>
      <c r="AK95" s="73"/>
      <c r="AL95" s="73"/>
      <c r="AM95" s="73"/>
      <c r="AN95" s="75"/>
      <c r="AO95" s="45"/>
    </row>
    <row r="96" spans="2:41" ht="12.75" customHeight="1">
      <c r="B96" s="70" t="s">
        <v>332</v>
      </c>
      <c r="C96" s="36">
        <v>22454</v>
      </c>
      <c r="D96" s="103">
        <v>28662</v>
      </c>
      <c r="E96" s="103">
        <v>6969</v>
      </c>
      <c r="F96" s="103">
        <v>6963</v>
      </c>
      <c r="G96" s="103">
        <v>16091</v>
      </c>
      <c r="H96" s="103">
        <v>20393</v>
      </c>
      <c r="I96" s="103">
        <v>5465</v>
      </c>
      <c r="J96" s="103">
        <v>5228</v>
      </c>
      <c r="K96" s="103">
        <v>0</v>
      </c>
      <c r="L96" s="76"/>
      <c r="M96" s="103">
        <v>0</v>
      </c>
      <c r="N96" s="36">
        <v>0</v>
      </c>
      <c r="O96" s="36">
        <v>0</v>
      </c>
      <c r="P96" s="36">
        <f t="shared" ref="P96:P103" si="154">SUM(I96-SUM(M96:O96))</f>
        <v>5465</v>
      </c>
      <c r="Q96" s="103">
        <v>0</v>
      </c>
      <c r="R96" s="36">
        <v>0</v>
      </c>
      <c r="S96" s="36">
        <v>5228</v>
      </c>
      <c r="T96" s="36">
        <f t="shared" ref="T96:T103" si="155">SUM(J96-SUM(Q96:S96))</f>
        <v>0</v>
      </c>
      <c r="U96" s="103">
        <v>0</v>
      </c>
      <c r="V96" s="36">
        <v>0</v>
      </c>
      <c r="W96" s="36">
        <v>0</v>
      </c>
      <c r="X96" s="36">
        <f t="shared" ref="X96:X103" si="156">SUM(K96-SUM(U96:W96))</f>
        <v>0</v>
      </c>
      <c r="Y96" s="103">
        <v>0</v>
      </c>
      <c r="Z96" s="36">
        <v>0</v>
      </c>
      <c r="AA96" s="36">
        <f>4481-Z96-Y96</f>
        <v>4481</v>
      </c>
      <c r="AC96" s="36">
        <f>SUM(N96:Q96)</f>
        <v>5465</v>
      </c>
      <c r="AD96" s="36">
        <f>SUM(O96:R96)</f>
        <v>5465</v>
      </c>
      <c r="AE96" s="36">
        <f>SUM(P96:S96)</f>
        <v>10693</v>
      </c>
      <c r="AF96" s="36">
        <f>SUM(Q96:T96)</f>
        <v>5228</v>
      </c>
      <c r="AG96" s="36">
        <f>SUM(R96:U96)</f>
        <v>5228</v>
      </c>
      <c r="AH96" s="36">
        <f>SUM(S96:V96)</f>
        <v>5228</v>
      </c>
      <c r="AI96" s="36">
        <f>SUM(T96:W96)</f>
        <v>0</v>
      </c>
      <c r="AJ96" s="36">
        <f>SUM(U96:X96)</f>
        <v>0</v>
      </c>
      <c r="AK96" s="36">
        <f>SUM(V96:Y96)</f>
        <v>0</v>
      </c>
      <c r="AL96" s="36">
        <f>SUM(W96:Z96)</f>
        <v>0</v>
      </c>
      <c r="AM96" s="36">
        <f>SUM(X96:AA96)</f>
        <v>4481</v>
      </c>
      <c r="AN96" s="13"/>
      <c r="AO96" s="92" t="e">
        <f t="shared" ref="AO96:AO103" si="157">SUM(AM96/AI96)-1</f>
        <v>#DIV/0!</v>
      </c>
    </row>
    <row r="97" spans="2:41" ht="12.75" customHeight="1">
      <c r="B97" s="70" t="s">
        <v>333</v>
      </c>
      <c r="C97" s="36">
        <v>0</v>
      </c>
      <c r="D97" s="103">
        <v>-3500</v>
      </c>
      <c r="E97" s="103">
        <v>-6500</v>
      </c>
      <c r="F97" s="103">
        <v>-8805</v>
      </c>
      <c r="G97" s="103">
        <v>-12629</v>
      </c>
      <c r="H97" s="103">
        <v>-8750</v>
      </c>
      <c r="I97" s="103">
        <v>-9543</v>
      </c>
      <c r="J97" s="103">
        <v>-11151.108</v>
      </c>
      <c r="K97" s="103">
        <v>-9958</v>
      </c>
      <c r="L97" s="76"/>
      <c r="M97" s="103">
        <v>0</v>
      </c>
      <c r="N97" s="36">
        <v>-3750</v>
      </c>
      <c r="O97" s="36">
        <v>-3000</v>
      </c>
      <c r="P97" s="36">
        <f t="shared" si="154"/>
        <v>-2793</v>
      </c>
      <c r="Q97" s="103">
        <v>-1401</v>
      </c>
      <c r="R97" s="36">
        <v>-2250</v>
      </c>
      <c r="S97" s="36">
        <v>-7500</v>
      </c>
      <c r="T97" s="36">
        <f t="shared" si="155"/>
        <v>-0.10800000000017462</v>
      </c>
      <c r="U97" s="103">
        <v>0</v>
      </c>
      <c r="V97" s="36">
        <v>-3150</v>
      </c>
      <c r="W97" s="36">
        <v>-4250</v>
      </c>
      <c r="X97" s="36">
        <f t="shared" si="156"/>
        <v>-2558</v>
      </c>
      <c r="Y97" s="103">
        <v>-1009</v>
      </c>
      <c r="Z97" s="36">
        <f>-4009-Y97</f>
        <v>-3000</v>
      </c>
      <c r="AA97" s="36">
        <f>-9682-Z97-Y97</f>
        <v>-5673</v>
      </c>
      <c r="AC97" s="36">
        <f>SUM(N97:Q97)</f>
        <v>-10944</v>
      </c>
      <c r="AD97" s="36">
        <f>SUM(O97:R97)</f>
        <v>-9444</v>
      </c>
      <c r="AE97" s="36">
        <f>SUM(P97:S97)</f>
        <v>-13944</v>
      </c>
      <c r="AF97" s="36">
        <f>SUM(Q97:T97)</f>
        <v>-11151.108</v>
      </c>
      <c r="AG97" s="36">
        <f>SUM(R97:U97)</f>
        <v>-9750.1080000000002</v>
      </c>
      <c r="AH97" s="36">
        <f>SUM(S97:V97)</f>
        <v>-10650.108</v>
      </c>
      <c r="AI97" s="36">
        <f>SUM(T97:W97)</f>
        <v>-7400.1080000000002</v>
      </c>
      <c r="AJ97" s="36">
        <f>SUM(U97:X97)</f>
        <v>-9958</v>
      </c>
      <c r="AK97" s="36">
        <f>SUM(V97:Y97)</f>
        <v>-10967</v>
      </c>
      <c r="AL97" s="36">
        <f>SUM(W97:Z97)</f>
        <v>-10817</v>
      </c>
      <c r="AM97" s="36">
        <f>SUM(X97:AA97)</f>
        <v>-12240</v>
      </c>
      <c r="AN97" s="13"/>
      <c r="AO97" s="92">
        <f t="shared" si="157"/>
        <v>0.65402991415800948</v>
      </c>
    </row>
    <row r="98" spans="2:41" ht="12.75" customHeight="1">
      <c r="B98" s="70" t="s">
        <v>334</v>
      </c>
      <c r="C98" s="36">
        <v>495</v>
      </c>
      <c r="D98" s="103">
        <v>555</v>
      </c>
      <c r="E98" s="103">
        <v>669</v>
      </c>
      <c r="F98" s="103">
        <v>781</v>
      </c>
      <c r="G98" s="103">
        <v>880</v>
      </c>
      <c r="H98" s="103">
        <v>1105</v>
      </c>
      <c r="I98" s="103">
        <v>0</v>
      </c>
      <c r="J98" s="103">
        <v>0</v>
      </c>
      <c r="K98" s="103">
        <v>0</v>
      </c>
      <c r="L98" s="76"/>
      <c r="M98" s="103">
        <v>0</v>
      </c>
      <c r="N98" s="36">
        <v>0</v>
      </c>
      <c r="O98" s="36">
        <v>0</v>
      </c>
      <c r="P98" s="36">
        <f t="shared" si="154"/>
        <v>0</v>
      </c>
      <c r="Q98" s="103">
        <v>0</v>
      </c>
      <c r="R98" s="36">
        <v>0</v>
      </c>
      <c r="S98" s="36">
        <v>0</v>
      </c>
      <c r="T98" s="36">
        <f t="shared" si="155"/>
        <v>0</v>
      </c>
      <c r="U98" s="103">
        <v>0</v>
      </c>
      <c r="V98" s="36">
        <v>0</v>
      </c>
      <c r="W98" s="36">
        <v>0</v>
      </c>
      <c r="X98" s="36">
        <f t="shared" si="156"/>
        <v>0</v>
      </c>
      <c r="Y98" s="103">
        <v>0</v>
      </c>
      <c r="Z98" s="36">
        <v>0</v>
      </c>
      <c r="AA98" s="36">
        <v>0</v>
      </c>
      <c r="AC98" s="36">
        <f>SUM(N98:Q98)</f>
        <v>0</v>
      </c>
      <c r="AD98" s="36">
        <f>SUM(O98:R98)</f>
        <v>0</v>
      </c>
      <c r="AE98" s="36">
        <f>SUM(P98:S98)</f>
        <v>0</v>
      </c>
      <c r="AF98" s="36">
        <f>SUM(Q98:T98)</f>
        <v>0</v>
      </c>
      <c r="AG98" s="36">
        <f>SUM(R98:U98)</f>
        <v>0</v>
      </c>
      <c r="AH98" s="36">
        <f>SUM(S98:V98)</f>
        <v>0</v>
      </c>
      <c r="AI98" s="36">
        <f>SUM(T98:W98)</f>
        <v>0</v>
      </c>
      <c r="AJ98" s="36">
        <f>SUM(U98:X98)</f>
        <v>0</v>
      </c>
      <c r="AK98" s="36">
        <f>SUM(V98:Y98)</f>
        <v>0</v>
      </c>
      <c r="AL98" s="36">
        <f>SUM(W98:Z98)</f>
        <v>0</v>
      </c>
      <c r="AM98" s="36">
        <f>SUM(X98:AA98)</f>
        <v>0</v>
      </c>
      <c r="AN98" s="13"/>
      <c r="AO98" s="92" t="e">
        <f t="shared" si="157"/>
        <v>#DIV/0!</v>
      </c>
    </row>
    <row r="99" spans="2:41" ht="12.75" customHeight="1">
      <c r="B99" s="70" t="s">
        <v>320</v>
      </c>
      <c r="C99" s="36">
        <v>-29722</v>
      </c>
      <c r="D99" s="103">
        <v>-32900</v>
      </c>
      <c r="E99" s="103">
        <v>-72738</v>
      </c>
      <c r="F99" s="103">
        <v>-66897</v>
      </c>
      <c r="G99" s="103">
        <v>-72358</v>
      </c>
      <c r="H99" s="103">
        <v>-85971</v>
      </c>
      <c r="I99" s="103">
        <v>-89402</v>
      </c>
      <c r="J99" s="103">
        <v>-77550</v>
      </c>
      <c r="K99" s="103">
        <v>-94949</v>
      </c>
      <c r="L99" s="76"/>
      <c r="M99" s="103">
        <v>-20478</v>
      </c>
      <c r="N99" s="36">
        <f>-43109-M99</f>
        <v>-22631</v>
      </c>
      <c r="O99" s="36">
        <f>-64974-SUM(M99:N99)</f>
        <v>-21865</v>
      </c>
      <c r="P99" s="36">
        <f t="shared" si="154"/>
        <v>-24428</v>
      </c>
      <c r="Q99" s="103">
        <v>-19475</v>
      </c>
      <c r="R99" s="36">
        <f>-39069-Q99</f>
        <v>-19594</v>
      </c>
      <c r="S99" s="36">
        <v>-17478</v>
      </c>
      <c r="T99" s="36">
        <f t="shared" si="155"/>
        <v>-21003</v>
      </c>
      <c r="U99" s="103">
        <v>-20139</v>
      </c>
      <c r="V99" s="36">
        <f>-43344-U99</f>
        <v>-23205</v>
      </c>
      <c r="W99" s="36">
        <f>-69866-V99-U99</f>
        <v>-26522</v>
      </c>
      <c r="X99" s="36">
        <f t="shared" si="156"/>
        <v>-25083</v>
      </c>
      <c r="Y99" s="103">
        <v>-23606</v>
      </c>
      <c r="Z99" s="36">
        <f>-49504-Y99</f>
        <v>-25898</v>
      </c>
      <c r="AA99" s="36">
        <f>-70579-Z99-Y99</f>
        <v>-21075</v>
      </c>
      <c r="AC99" s="36">
        <f>SUM(N99:Q99)</f>
        <v>-88399</v>
      </c>
      <c r="AD99" s="36">
        <f>SUM(O99:R99)</f>
        <v>-85362</v>
      </c>
      <c r="AE99" s="36">
        <f>SUM(P99:S99)</f>
        <v>-80975</v>
      </c>
      <c r="AF99" s="36">
        <f>SUM(Q99:T99)</f>
        <v>-77550</v>
      </c>
      <c r="AG99" s="36">
        <f>SUM(R99:U99)</f>
        <v>-78214</v>
      </c>
      <c r="AH99" s="36">
        <f>SUM(S99:V99)</f>
        <v>-81825</v>
      </c>
      <c r="AI99" s="36">
        <f>SUM(T99:W99)</f>
        <v>-90869</v>
      </c>
      <c r="AJ99" s="36">
        <f>SUM(U99:X99)</f>
        <v>-94949</v>
      </c>
      <c r="AK99" s="36">
        <f>SUM(V99:Y99)</f>
        <v>-98416</v>
      </c>
      <c r="AL99" s="36">
        <f>SUM(W99:Z99)</f>
        <v>-101109</v>
      </c>
      <c r="AM99" s="36">
        <f>SUM(X99:AA99)</f>
        <v>-95662</v>
      </c>
      <c r="AN99" s="13"/>
      <c r="AO99" s="92">
        <f t="shared" si="157"/>
        <v>5.2746261101145553E-2</v>
      </c>
    </row>
    <row r="100" spans="2:41" ht="12.75" customHeight="1">
      <c r="B100" s="70" t="s">
        <v>335</v>
      </c>
      <c r="C100" s="36">
        <v>-397</v>
      </c>
      <c r="D100" s="103">
        <v>3852</v>
      </c>
      <c r="E100" s="103">
        <v>-37</v>
      </c>
      <c r="F100" s="103">
        <v>-5977</v>
      </c>
      <c r="G100" s="103">
        <v>-963</v>
      </c>
      <c r="H100" s="103">
        <v>1022</v>
      </c>
      <c r="I100" s="103">
        <v>3955</v>
      </c>
      <c r="J100" s="103">
        <v>-3978</v>
      </c>
      <c r="K100" s="103">
        <v>3960</v>
      </c>
      <c r="L100" s="76"/>
      <c r="M100" s="103">
        <v>-1000</v>
      </c>
      <c r="N100" s="36">
        <f>999-M100</f>
        <v>1999</v>
      </c>
      <c r="O100" s="36">
        <f>4970-SUM(M100:N100)</f>
        <v>3971</v>
      </c>
      <c r="P100" s="36">
        <f t="shared" si="154"/>
        <v>-1015</v>
      </c>
      <c r="Q100" s="103">
        <v>-8214</v>
      </c>
      <c r="R100" s="36">
        <f>-7960-Q100</f>
        <v>254</v>
      </c>
      <c r="S100" s="36">
        <v>1989</v>
      </c>
      <c r="T100" s="36">
        <f t="shared" si="155"/>
        <v>1993</v>
      </c>
      <c r="U100" s="103">
        <v>-3984</v>
      </c>
      <c r="V100" s="36">
        <f>-3982-U100</f>
        <v>2</v>
      </c>
      <c r="W100" s="36">
        <f>-2985-V100-U100</f>
        <v>997</v>
      </c>
      <c r="X100" s="36">
        <f t="shared" si="156"/>
        <v>6945</v>
      </c>
      <c r="Y100" s="103">
        <v>-7944</v>
      </c>
      <c r="Z100" s="36">
        <f>-3968-Y100</f>
        <v>3976</v>
      </c>
      <c r="AA100" s="36">
        <f>-65-Z100-Y100</f>
        <v>3903</v>
      </c>
      <c r="AC100" s="36">
        <f>SUM(N100:Q100)</f>
        <v>-3259</v>
      </c>
      <c r="AD100" s="36">
        <f>SUM(O100:R100)</f>
        <v>-5004</v>
      </c>
      <c r="AE100" s="36">
        <f>SUM(P100:S100)</f>
        <v>-6986</v>
      </c>
      <c r="AF100" s="36">
        <f>SUM(Q100:T100)</f>
        <v>-3978</v>
      </c>
      <c r="AG100" s="36">
        <f>SUM(R100:U100)</f>
        <v>252</v>
      </c>
      <c r="AH100" s="36">
        <f>SUM(S100:V100)</f>
        <v>0</v>
      </c>
      <c r="AI100" s="36">
        <f>SUM(T100:W100)</f>
        <v>-992</v>
      </c>
      <c r="AJ100" s="36">
        <f>SUM(U100:X100)</f>
        <v>3960</v>
      </c>
      <c r="AK100" s="36">
        <f>SUM(V100:Y100)</f>
        <v>0</v>
      </c>
      <c r="AL100" s="36">
        <f>SUM(W100:Z100)</f>
        <v>3974</v>
      </c>
      <c r="AM100" s="36">
        <f>SUM(X100:AA100)</f>
        <v>6880</v>
      </c>
      <c r="AN100" s="13"/>
      <c r="AO100" s="92">
        <f t="shared" si="157"/>
        <v>-7.935483870967742</v>
      </c>
    </row>
    <row r="101" spans="2:41" ht="12.75" customHeight="1">
      <c r="B101" s="70" t="s">
        <v>336</v>
      </c>
      <c r="C101" s="36">
        <v>0</v>
      </c>
      <c r="D101" s="103">
        <v>0</v>
      </c>
      <c r="E101" s="103">
        <v>0</v>
      </c>
      <c r="F101" s="103">
        <v>0</v>
      </c>
      <c r="G101" s="103">
        <v>0</v>
      </c>
      <c r="H101" s="103">
        <v>0</v>
      </c>
      <c r="I101" s="103">
        <v>0</v>
      </c>
      <c r="J101" s="103">
        <v>0</v>
      </c>
      <c r="K101" s="103">
        <v>0</v>
      </c>
      <c r="L101" s="36"/>
      <c r="M101" s="103">
        <v>0</v>
      </c>
      <c r="N101" s="36">
        <v>0</v>
      </c>
      <c r="O101" s="36">
        <v>0</v>
      </c>
      <c r="P101" s="36">
        <f t="shared" si="154"/>
        <v>0</v>
      </c>
      <c r="Q101" s="103">
        <v>0</v>
      </c>
      <c r="R101" s="36">
        <v>0</v>
      </c>
      <c r="S101" s="36">
        <v>0</v>
      </c>
      <c r="T101" s="36">
        <f t="shared" si="155"/>
        <v>0</v>
      </c>
      <c r="U101" s="103">
        <v>0</v>
      </c>
      <c r="V101" s="36">
        <v>0</v>
      </c>
      <c r="W101" s="36">
        <v>0</v>
      </c>
      <c r="X101" s="36">
        <f t="shared" si="156"/>
        <v>0</v>
      </c>
      <c r="Y101" s="103">
        <v>0</v>
      </c>
      <c r="Z101" s="36">
        <v>0</v>
      </c>
      <c r="AA101" s="36">
        <v>0</v>
      </c>
      <c r="AC101" s="36">
        <f>SUM(N101:Q101)</f>
        <v>0</v>
      </c>
      <c r="AD101" s="36">
        <f>SUM(O101:R101)</f>
        <v>0</v>
      </c>
      <c r="AE101" s="36">
        <f>SUM(P101:S101)</f>
        <v>0</v>
      </c>
      <c r="AF101" s="36">
        <f>SUM(Q101:T101)</f>
        <v>0</v>
      </c>
      <c r="AG101" s="36">
        <f>SUM(R101:U101)</f>
        <v>0</v>
      </c>
      <c r="AH101" s="36">
        <f>SUM(S101:V101)</f>
        <v>0</v>
      </c>
      <c r="AI101" s="36">
        <f>SUM(T101:W101)</f>
        <v>0</v>
      </c>
      <c r="AJ101" s="36">
        <f>SUM(U101:X101)</f>
        <v>0</v>
      </c>
      <c r="AK101" s="36">
        <f>SUM(V101:Y101)</f>
        <v>0</v>
      </c>
      <c r="AL101" s="36">
        <f>SUM(W101:Z101)</f>
        <v>0</v>
      </c>
      <c r="AM101" s="36">
        <f>SUM(X101:AA101)</f>
        <v>0</v>
      </c>
      <c r="AN101" s="13"/>
      <c r="AO101" s="92" t="e">
        <f t="shared" si="157"/>
        <v>#DIV/0!</v>
      </c>
    </row>
    <row r="102" spans="2:41" ht="12.75" customHeight="1">
      <c r="B102" s="70" t="s">
        <v>101</v>
      </c>
      <c r="C102" s="36">
        <v>-1163</v>
      </c>
      <c r="D102" s="103">
        <v>-1247</v>
      </c>
      <c r="E102" s="103">
        <v>-2527</v>
      </c>
      <c r="F102" s="103">
        <v>-2922</v>
      </c>
      <c r="G102" s="103">
        <v>-3760</v>
      </c>
      <c r="H102" s="103">
        <v>-6685</v>
      </c>
      <c r="I102" s="103">
        <v>-6383</v>
      </c>
      <c r="J102" s="103">
        <v>-6012</v>
      </c>
      <c r="K102" s="103">
        <v>-5802</v>
      </c>
      <c r="L102" s="76"/>
      <c r="M102" s="103">
        <f>-2888-61</f>
        <v>-2949</v>
      </c>
      <c r="N102" s="36">
        <f>-3218-105-M102</f>
        <v>-374</v>
      </c>
      <c r="O102" s="36">
        <f>-148-5915-SUM(M102:N102)</f>
        <v>-2740</v>
      </c>
      <c r="P102" s="36">
        <f t="shared" si="154"/>
        <v>-320</v>
      </c>
      <c r="Q102" s="103">
        <f>-2316-389</f>
        <v>-2705</v>
      </c>
      <c r="R102" s="36">
        <f>-2734-455-Q102</f>
        <v>-484</v>
      </c>
      <c r="S102" s="36">
        <v>-2438</v>
      </c>
      <c r="T102" s="36">
        <f t="shared" si="155"/>
        <v>-385</v>
      </c>
      <c r="U102" s="103">
        <f>-2591-46</f>
        <v>-2637</v>
      </c>
      <c r="V102" s="36">
        <f>-2875-U102-132</f>
        <v>-370</v>
      </c>
      <c r="W102" s="36">
        <f>-5163-191-V102-U102</f>
        <v>-2347</v>
      </c>
      <c r="X102" s="36">
        <f t="shared" si="156"/>
        <v>-448</v>
      </c>
      <c r="Y102" s="103">
        <f>-2921-35</f>
        <v>-2956</v>
      </c>
      <c r="Z102" s="36">
        <f>-3205+-77-Y102</f>
        <v>-326</v>
      </c>
      <c r="AA102" s="36">
        <f>-5719+-87-Z102-Y102</f>
        <v>-2524</v>
      </c>
      <c r="AC102" s="36">
        <f>SUM(N102:Q102)</f>
        <v>-6139</v>
      </c>
      <c r="AD102" s="36">
        <f>SUM(O102:R102)</f>
        <v>-6249</v>
      </c>
      <c r="AE102" s="36">
        <f>SUM(P102:S102)</f>
        <v>-5947</v>
      </c>
      <c r="AF102" s="36">
        <f>SUM(Q102:T102)</f>
        <v>-6012</v>
      </c>
      <c r="AG102" s="36">
        <f>SUM(R102:U102)</f>
        <v>-5944</v>
      </c>
      <c r="AH102" s="36">
        <f>SUM(S102:V102)</f>
        <v>-5830</v>
      </c>
      <c r="AI102" s="36">
        <f>SUM(T102:W102)</f>
        <v>-5739</v>
      </c>
      <c r="AJ102" s="36">
        <f>SUM(U102:X102)</f>
        <v>-5802</v>
      </c>
      <c r="AK102" s="36">
        <f>SUM(V102:Y102)</f>
        <v>-6121</v>
      </c>
      <c r="AL102" s="36">
        <f>SUM(W102:Z102)</f>
        <v>-6077</v>
      </c>
      <c r="AM102" s="36">
        <f>SUM(X102:AA102)</f>
        <v>-6254</v>
      </c>
      <c r="AN102" s="13"/>
      <c r="AO102" s="92">
        <f t="shared" si="157"/>
        <v>8.9736887959574796E-2</v>
      </c>
    </row>
    <row r="103" spans="2:41" ht="12.75" customHeight="1">
      <c r="B103" s="70" t="s">
        <v>337</v>
      </c>
      <c r="C103" s="36">
        <v>-12150</v>
      </c>
      <c r="D103" s="103">
        <v>-12769</v>
      </c>
      <c r="E103" s="103">
        <v>-13712</v>
      </c>
      <c r="F103" s="103">
        <v>-14119</v>
      </c>
      <c r="G103" s="103">
        <v>-14081</v>
      </c>
      <c r="H103" s="103">
        <v>-14467</v>
      </c>
      <c r="I103" s="103">
        <v>-14841</v>
      </c>
      <c r="J103" s="103">
        <v>-14875</v>
      </c>
      <c r="K103" s="103">
        <v>-15234</v>
      </c>
      <c r="L103" s="76"/>
      <c r="M103" s="103">
        <v>-3732</v>
      </c>
      <c r="N103" s="36">
        <f>-7327-M103</f>
        <v>-3595</v>
      </c>
      <c r="O103" s="36">
        <f>-11138-SUM(M103:N103)</f>
        <v>-3811</v>
      </c>
      <c r="P103" s="36">
        <f t="shared" si="154"/>
        <v>-3703</v>
      </c>
      <c r="Q103" s="103">
        <v>-3768</v>
      </c>
      <c r="R103" s="36">
        <f>-7418-Q103</f>
        <v>-3650</v>
      </c>
      <c r="S103" s="36">
        <v>-3849</v>
      </c>
      <c r="T103" s="36">
        <f t="shared" si="155"/>
        <v>-3608</v>
      </c>
      <c r="U103" s="103">
        <v>-3825</v>
      </c>
      <c r="V103" s="36">
        <f>-7535-U103</f>
        <v>-3710</v>
      </c>
      <c r="W103" s="36">
        <f>-11430-V103-U103</f>
        <v>-3895</v>
      </c>
      <c r="X103" s="36">
        <f t="shared" si="156"/>
        <v>-3804</v>
      </c>
      <c r="Y103" s="103">
        <v>-3856</v>
      </c>
      <c r="Z103" s="36">
        <f>-7614-Y103</f>
        <v>-3758</v>
      </c>
      <c r="AA103" s="36">
        <f>-11559-Z103-Y103</f>
        <v>-3945</v>
      </c>
      <c r="AC103" s="36">
        <f>SUM(N103:Q103)</f>
        <v>-14877</v>
      </c>
      <c r="AD103" s="36">
        <f>SUM(O103:R103)</f>
        <v>-14932</v>
      </c>
      <c r="AE103" s="36">
        <f>SUM(P103:S103)</f>
        <v>-14970</v>
      </c>
      <c r="AF103" s="36">
        <f>SUM(Q103:T103)</f>
        <v>-14875</v>
      </c>
      <c r="AG103" s="36">
        <f>SUM(R103:U103)</f>
        <v>-14932</v>
      </c>
      <c r="AH103" s="36">
        <f>SUM(S103:V103)</f>
        <v>-14992</v>
      </c>
      <c r="AI103" s="36">
        <f>SUM(T103:W103)</f>
        <v>-15038</v>
      </c>
      <c r="AJ103" s="36">
        <f>SUM(U103:X103)</f>
        <v>-15234</v>
      </c>
      <c r="AK103" s="36">
        <f>SUM(V103:Y103)</f>
        <v>-15265</v>
      </c>
      <c r="AL103" s="36">
        <f>SUM(W103:Z103)</f>
        <v>-15313</v>
      </c>
      <c r="AM103" s="36">
        <f>SUM(X103:AA103)</f>
        <v>-15363</v>
      </c>
      <c r="AN103" s="13"/>
      <c r="AO103" s="92">
        <f t="shared" si="157"/>
        <v>2.1611916478255111E-2</v>
      </c>
    </row>
    <row r="104" spans="2:41" ht="12.75" customHeight="1">
      <c r="B104" s="15" t="s">
        <v>96</v>
      </c>
      <c r="C104" s="16">
        <f>SUM(C96:C103)</f>
        <v>-20483</v>
      </c>
      <c r="D104" s="16">
        <f>SUM(D96:D103)</f>
        <v>-17347</v>
      </c>
      <c r="E104" s="16">
        <f>SUM(E96:E103)</f>
        <v>-87876</v>
      </c>
      <c r="F104" s="16">
        <f>SUM(F96:F103)</f>
        <v>-90976</v>
      </c>
      <c r="G104" s="16">
        <f>SUM(G96:G103)</f>
        <v>-86820</v>
      </c>
      <c r="H104" s="16">
        <f>SUM(H96:H103)</f>
        <v>-93353</v>
      </c>
      <c r="I104" s="16">
        <f>SUM(I96:I103)</f>
        <v>-110749</v>
      </c>
      <c r="J104" s="16">
        <f>SUM(J96:J103)</f>
        <v>-108338.10800000001</v>
      </c>
      <c r="K104" s="16">
        <f>SUM(K96:K103)</f>
        <v>-121983</v>
      </c>
      <c r="L104" s="36"/>
      <c r="M104" s="16">
        <f>SUM(M96:M103)</f>
        <v>-28159</v>
      </c>
      <c r="N104" s="16">
        <f>SUM(N96:N103)</f>
        <v>-28351</v>
      </c>
      <c r="O104" s="16">
        <f>SUM(O96:O103)</f>
        <v>-27445</v>
      </c>
      <c r="P104" s="16">
        <f>SUM(P96:P103)</f>
        <v>-26794</v>
      </c>
      <c r="Q104" s="16">
        <f>SUM(Q96:Q103)</f>
        <v>-35563</v>
      </c>
      <c r="R104" s="16">
        <f>SUM(R96:R103)</f>
        <v>-25724</v>
      </c>
      <c r="S104" s="16">
        <f>SUM(S96:S103)</f>
        <v>-24048</v>
      </c>
      <c r="T104" s="16">
        <f>SUM(T96:T103)</f>
        <v>-23003.108</v>
      </c>
      <c r="U104" s="16">
        <f>SUM(U96:U103)</f>
        <v>-30585</v>
      </c>
      <c r="V104" s="16">
        <f>SUM(V96:V103)</f>
        <v>-30433</v>
      </c>
      <c r="W104" s="16">
        <f>SUM(W96:W103)</f>
        <v>-36017</v>
      </c>
      <c r="X104" s="16">
        <f>SUM(X96:X103)</f>
        <v>-24948</v>
      </c>
      <c r="Y104" s="16">
        <f>SUM(Y96:Y103)</f>
        <v>-39371</v>
      </c>
      <c r="Z104" s="38">
        <f>SUM(Z96:Z103)</f>
        <v>-29006</v>
      </c>
      <c r="AA104" s="38">
        <f>SUM(AA96:AA103)</f>
        <v>-24833</v>
      </c>
      <c r="AC104" s="38">
        <f>SUM(AC96:AC103)</f>
        <v>-118153</v>
      </c>
      <c r="AD104" s="38">
        <f>SUM(AD96:AD103)</f>
        <v>-115526</v>
      </c>
      <c r="AE104" s="16">
        <f>SUM(AE96:AE103)</f>
        <v>-112129</v>
      </c>
      <c r="AF104" s="16">
        <f>SUM(AF96:AF103)</f>
        <v>-108338.10800000001</v>
      </c>
      <c r="AG104" s="16">
        <f>SUM(AG96:AG103)</f>
        <v>-103360.10800000001</v>
      </c>
      <c r="AH104" s="16">
        <f>SUM(AH96:AH103)</f>
        <v>-108069.10800000001</v>
      </c>
      <c r="AI104" s="16">
        <f>SUM(AI96:AI103)</f>
        <v>-120038.10800000001</v>
      </c>
      <c r="AJ104" s="16">
        <f>SUM(AJ96:AJ103)</f>
        <v>-121983</v>
      </c>
      <c r="AK104" s="16">
        <f>SUM(AK96:AK103)</f>
        <v>-130769</v>
      </c>
      <c r="AL104" s="16">
        <f>SUM(AL96:AL103)</f>
        <v>-129342</v>
      </c>
      <c r="AM104" s="16">
        <f>SUM(AM96:AM103)</f>
        <v>-118158</v>
      </c>
      <c r="AN104" s="48"/>
      <c r="AO104" s="93">
        <f>SUM(AM104/AI104)-1</f>
        <v>-1.5662592749295934E-2</v>
      </c>
    </row>
    <row r="105" spans="2:41" ht="5.0999999999999996" customHeight="1">
      <c r="B105" s="9"/>
      <c r="C105" s="77"/>
      <c r="D105" s="77"/>
      <c r="E105" s="77"/>
      <c r="F105" s="77"/>
      <c r="G105" s="77"/>
      <c r="H105" s="77"/>
      <c r="I105" s="77"/>
      <c r="J105" s="77"/>
      <c r="K105" s="77"/>
      <c r="L105" s="36"/>
      <c r="M105" s="77"/>
      <c r="N105" s="77"/>
      <c r="O105" s="77"/>
      <c r="P105" s="77"/>
      <c r="Q105" s="77"/>
      <c r="R105" s="77"/>
      <c r="S105" s="77"/>
      <c r="T105" s="77"/>
      <c r="U105" s="78"/>
      <c r="V105" s="77"/>
      <c r="W105" s="77"/>
      <c r="X105" s="77"/>
      <c r="Y105" s="77"/>
      <c r="Z105" s="77"/>
      <c r="AA105" s="77"/>
      <c r="AC105" s="13"/>
      <c r="AD105" s="13"/>
      <c r="AE105" s="13"/>
      <c r="AF105" s="13"/>
      <c r="AG105" s="13"/>
      <c r="AH105" s="13"/>
      <c r="AI105" s="13"/>
      <c r="AJ105" s="13"/>
      <c r="AK105" s="13"/>
      <c r="AL105" s="13"/>
      <c r="AM105" s="13"/>
      <c r="AN105" s="13"/>
      <c r="AO105" s="54"/>
    </row>
    <row r="106" spans="2:41" ht="5.0999999999999996" customHeight="1">
      <c r="B106" s="87"/>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13"/>
      <c r="AO106" s="54"/>
    </row>
    <row r="107" spans="2:41">
      <c r="B107" s="222" t="s">
        <v>107</v>
      </c>
      <c r="C107" s="223">
        <v>48844</v>
      </c>
      <c r="D107" s="223">
        <v>48844</v>
      </c>
      <c r="E107" s="223">
        <v>48844</v>
      </c>
      <c r="F107" s="223">
        <v>48844</v>
      </c>
      <c r="G107" s="223">
        <v>48844</v>
      </c>
      <c r="H107" s="223">
        <f>G113</f>
        <v>38016</v>
      </c>
      <c r="I107" s="223">
        <f t="shared" ref="I107:K107" si="158">H113</f>
        <v>34940</v>
      </c>
      <c r="J107" s="223">
        <f t="shared" si="158"/>
        <v>23646</v>
      </c>
      <c r="K107" s="223">
        <f t="shared" si="158"/>
        <v>29964.999999999993</v>
      </c>
      <c r="L107" s="223"/>
      <c r="M107" s="223">
        <f>H113</f>
        <v>34940</v>
      </c>
      <c r="N107" s="223">
        <f t="shared" ref="M107:AA107" si="159">M113</f>
        <v>37119</v>
      </c>
      <c r="O107" s="223">
        <f t="shared" si="159"/>
        <v>28098</v>
      </c>
      <c r="P107" s="223">
        <f t="shared" si="159"/>
        <v>27502</v>
      </c>
      <c r="Q107" s="223">
        <f t="shared" si="159"/>
        <v>23646</v>
      </c>
      <c r="R107" s="223">
        <f t="shared" si="159"/>
        <v>20535</v>
      </c>
      <c r="S107" s="223">
        <f t="shared" si="159"/>
        <v>24687</v>
      </c>
      <c r="T107" s="223">
        <f t="shared" si="159"/>
        <v>28408</v>
      </c>
      <c r="U107" s="223">
        <f t="shared" si="159"/>
        <v>29965</v>
      </c>
      <c r="V107" s="223">
        <f t="shared" si="159"/>
        <v>40760</v>
      </c>
      <c r="W107" s="223">
        <f t="shared" si="159"/>
        <v>32695</v>
      </c>
      <c r="X107" s="223">
        <f t="shared" si="159"/>
        <v>25565</v>
      </c>
      <c r="Y107" s="223">
        <f t="shared" si="159"/>
        <v>29943</v>
      </c>
      <c r="Z107" s="223">
        <f t="shared" si="159"/>
        <v>30299</v>
      </c>
      <c r="AA107" s="223">
        <f t="shared" si="159"/>
        <v>28162</v>
      </c>
      <c r="AB107" s="223"/>
      <c r="AC107" s="223">
        <f t="shared" ref="AC107:AL107" si="160">M113</f>
        <v>37119</v>
      </c>
      <c r="AD107" s="223">
        <f t="shared" si="160"/>
        <v>28098</v>
      </c>
      <c r="AE107" s="223">
        <f t="shared" si="160"/>
        <v>27502</v>
      </c>
      <c r="AF107" s="223">
        <f t="shared" si="160"/>
        <v>23646</v>
      </c>
      <c r="AG107" s="223">
        <f t="shared" si="160"/>
        <v>20535</v>
      </c>
      <c r="AH107" s="223">
        <f t="shared" si="160"/>
        <v>24687</v>
      </c>
      <c r="AI107" s="223">
        <f t="shared" si="160"/>
        <v>28408</v>
      </c>
      <c r="AJ107" s="223">
        <f t="shared" si="160"/>
        <v>29965</v>
      </c>
      <c r="AK107" s="223">
        <f t="shared" si="160"/>
        <v>40760</v>
      </c>
      <c r="AL107" s="223">
        <f t="shared" si="160"/>
        <v>32695</v>
      </c>
      <c r="AM107" s="224">
        <f>W113</f>
        <v>25565</v>
      </c>
      <c r="AN107" s="13"/>
      <c r="AO107" s="54"/>
    </row>
    <row r="108" spans="2:41">
      <c r="B108" s="213" t="s">
        <v>346</v>
      </c>
      <c r="C108" s="202"/>
      <c r="D108" s="202"/>
      <c r="E108" s="202"/>
      <c r="F108" s="202">
        <f>23+1357</f>
        <v>1380</v>
      </c>
      <c r="G108" s="202">
        <f>23+1357</f>
        <v>1380</v>
      </c>
      <c r="H108" s="202">
        <f>-G111</f>
        <v>1773</v>
      </c>
      <c r="I108" s="202">
        <f>-H111</f>
        <v>989</v>
      </c>
      <c r="J108" s="202">
        <f t="shared" ref="J108:K108" si="161">-I111</f>
        <v>1331</v>
      </c>
      <c r="K108" s="202">
        <f t="shared" si="161"/>
        <v>921.89200000000005</v>
      </c>
      <c r="L108" s="202"/>
      <c r="M108" s="202">
        <f>-H111</f>
        <v>989</v>
      </c>
      <c r="N108" s="202">
        <f t="shared" ref="M108:AA108" si="162">-M111</f>
        <v>1511</v>
      </c>
      <c r="O108" s="202">
        <f t="shared" si="162"/>
        <v>1082</v>
      </c>
      <c r="P108" s="202">
        <f t="shared" si="162"/>
        <v>1359</v>
      </c>
      <c r="Q108" s="202">
        <f t="shared" si="162"/>
        <v>1331</v>
      </c>
      <c r="R108" s="202">
        <f t="shared" si="162"/>
        <v>1439</v>
      </c>
      <c r="S108" s="202">
        <f t="shared" si="162"/>
        <v>2442</v>
      </c>
      <c r="T108" s="202">
        <f t="shared" si="162"/>
        <v>1490</v>
      </c>
      <c r="U108" s="202">
        <f t="shared" si="162"/>
        <v>921.89199999999983</v>
      </c>
      <c r="V108" s="202">
        <f t="shared" si="162"/>
        <v>1363.8919999999998</v>
      </c>
      <c r="W108" s="202">
        <f t="shared" si="162"/>
        <v>1375.8919999999998</v>
      </c>
      <c r="X108" s="202">
        <f t="shared" si="162"/>
        <v>1219.8919999999998</v>
      </c>
      <c r="Y108" s="202">
        <f t="shared" si="162"/>
        <v>149.89199999999983</v>
      </c>
      <c r="Z108" s="202">
        <f t="shared" si="162"/>
        <v>149.89199999999983</v>
      </c>
      <c r="AA108" s="202">
        <f t="shared" si="162"/>
        <v>149.89199999999983</v>
      </c>
      <c r="AB108" s="202"/>
      <c r="AC108" s="202">
        <f t="shared" ref="AC108:AL108" si="163">-M111</f>
        <v>1511</v>
      </c>
      <c r="AD108" s="202">
        <f t="shared" si="163"/>
        <v>1082</v>
      </c>
      <c r="AE108" s="202">
        <f t="shared" si="163"/>
        <v>1359</v>
      </c>
      <c r="AF108" s="202">
        <f t="shared" si="163"/>
        <v>1331</v>
      </c>
      <c r="AG108" s="202">
        <f t="shared" si="163"/>
        <v>1439</v>
      </c>
      <c r="AH108" s="202">
        <f t="shared" si="163"/>
        <v>2442</v>
      </c>
      <c r="AI108" s="202">
        <f t="shared" si="163"/>
        <v>1490</v>
      </c>
      <c r="AJ108" s="202">
        <f t="shared" si="163"/>
        <v>921.89199999999983</v>
      </c>
      <c r="AK108" s="202">
        <f t="shared" si="163"/>
        <v>1363.8919999999998</v>
      </c>
      <c r="AL108" s="202">
        <f t="shared" si="163"/>
        <v>1375.8919999999998</v>
      </c>
      <c r="AM108" s="217">
        <f>-W111</f>
        <v>1219.8919999999998</v>
      </c>
      <c r="AN108" s="13"/>
      <c r="AO108" s="54"/>
    </row>
    <row r="109" spans="2:41">
      <c r="B109" s="214" t="s">
        <v>343</v>
      </c>
      <c r="C109" s="200">
        <f t="shared" ref="C109:F109" si="164">SUM(C107:C108)</f>
        <v>48844</v>
      </c>
      <c r="D109" s="200">
        <f t="shared" si="164"/>
        <v>48844</v>
      </c>
      <c r="E109" s="200">
        <f t="shared" si="164"/>
        <v>48844</v>
      </c>
      <c r="F109" s="200">
        <f t="shared" si="164"/>
        <v>50224</v>
      </c>
      <c r="G109" s="200">
        <f>SUM(G107:G108)</f>
        <v>50224</v>
      </c>
      <c r="H109" s="200">
        <f t="shared" ref="H109:K109" si="165">SUM(H107:H108)</f>
        <v>39789</v>
      </c>
      <c r="I109" s="200">
        <f t="shared" si="165"/>
        <v>35929</v>
      </c>
      <c r="J109" s="200">
        <f t="shared" si="165"/>
        <v>24977</v>
      </c>
      <c r="K109" s="200">
        <f t="shared" si="165"/>
        <v>30886.891999999993</v>
      </c>
      <c r="L109" s="202"/>
      <c r="M109" s="200">
        <f t="shared" ref="M109" si="166">SUM(M107:M108)</f>
        <v>35929</v>
      </c>
      <c r="N109" s="200">
        <f t="shared" ref="N109" si="167">SUM(N107:N108)</f>
        <v>38630</v>
      </c>
      <c r="O109" s="200">
        <f t="shared" ref="O109" si="168">SUM(O107:O108)</f>
        <v>29180</v>
      </c>
      <c r="P109" s="200">
        <f t="shared" ref="P109" si="169">SUM(P107:P108)</f>
        <v>28861</v>
      </c>
      <c r="Q109" s="200">
        <f t="shared" ref="Q109" si="170">SUM(Q107:Q108)</f>
        <v>24977</v>
      </c>
      <c r="R109" s="200">
        <f t="shared" ref="R109" si="171">SUM(R107:R108)</f>
        <v>21974</v>
      </c>
      <c r="S109" s="200">
        <f t="shared" ref="S109" si="172">SUM(S107:S108)</f>
        <v>27129</v>
      </c>
      <c r="T109" s="200">
        <f t="shared" ref="T109" si="173">SUM(T107:T108)</f>
        <v>29898</v>
      </c>
      <c r="U109" s="200">
        <f t="shared" ref="U109" si="174">SUM(U107:U108)</f>
        <v>30886.892</v>
      </c>
      <c r="V109" s="200">
        <f t="shared" ref="V109" si="175">SUM(V107:V108)</f>
        <v>42123.892</v>
      </c>
      <c r="W109" s="200">
        <f t="shared" ref="W109" si="176">SUM(W107:W108)</f>
        <v>34070.892</v>
      </c>
      <c r="X109" s="200">
        <f t="shared" ref="X109" si="177">SUM(X107:X108)</f>
        <v>26784.892</v>
      </c>
      <c r="Y109" s="200">
        <f t="shared" ref="Y109" si="178">SUM(Y107:Y108)</f>
        <v>30092.892</v>
      </c>
      <c r="Z109" s="200">
        <f t="shared" ref="Z109" si="179">SUM(Z107:Z108)</f>
        <v>30448.892</v>
      </c>
      <c r="AA109" s="200">
        <f t="shared" ref="AA109" si="180">SUM(AA107:AA108)</f>
        <v>28311.892</v>
      </c>
      <c r="AB109" s="202"/>
      <c r="AC109" s="200">
        <f t="shared" ref="AC109" si="181">SUM(AC107:AC108)</f>
        <v>38630</v>
      </c>
      <c r="AD109" s="200">
        <f t="shared" ref="AD109" si="182">SUM(AD107:AD108)</f>
        <v>29180</v>
      </c>
      <c r="AE109" s="200">
        <f t="shared" ref="AE109" si="183">SUM(AE107:AE108)</f>
        <v>28861</v>
      </c>
      <c r="AF109" s="200">
        <f t="shared" ref="AF109" si="184">SUM(AF107:AF108)</f>
        <v>24977</v>
      </c>
      <c r="AG109" s="200">
        <f t="shared" ref="AG109" si="185">SUM(AG107:AG108)</f>
        <v>21974</v>
      </c>
      <c r="AH109" s="200">
        <f t="shared" ref="AH109" si="186">SUM(AH107:AH108)</f>
        <v>27129</v>
      </c>
      <c r="AI109" s="200">
        <f t="shared" ref="AI109" si="187">SUM(AI107:AI108)</f>
        <v>29898</v>
      </c>
      <c r="AJ109" s="200">
        <f t="shared" ref="AJ109" si="188">SUM(AJ107:AJ108)</f>
        <v>30886.892</v>
      </c>
      <c r="AK109" s="200">
        <f t="shared" ref="AK109" si="189">SUM(AK107:AK108)</f>
        <v>42123.892</v>
      </c>
      <c r="AL109" s="200">
        <f t="shared" ref="AL109" si="190">SUM(AL107:AL108)</f>
        <v>34070.892</v>
      </c>
      <c r="AM109" s="218">
        <f t="shared" ref="AM109" si="191">SUM(AM107:AM108)</f>
        <v>26784.892</v>
      </c>
      <c r="AN109" s="13"/>
      <c r="AO109" s="54"/>
    </row>
    <row r="110" spans="2:41">
      <c r="B110" s="212"/>
      <c r="C110" s="202"/>
      <c r="D110" s="202"/>
      <c r="E110" s="202"/>
      <c r="F110" s="202"/>
      <c r="G110" s="202"/>
      <c r="H110" s="202"/>
      <c r="I110" s="202"/>
      <c r="J110" s="202"/>
      <c r="K110" s="202"/>
      <c r="L110" s="202"/>
      <c r="M110" s="202"/>
      <c r="N110" s="202"/>
      <c r="O110" s="202"/>
      <c r="P110" s="202"/>
      <c r="Q110" s="202"/>
      <c r="R110" s="202"/>
      <c r="S110" s="202"/>
      <c r="T110" s="202"/>
      <c r="U110" s="202"/>
      <c r="V110" s="202"/>
      <c r="W110" s="202"/>
      <c r="X110" s="202"/>
      <c r="Y110" s="202"/>
      <c r="Z110" s="202"/>
      <c r="AA110" s="202"/>
      <c r="AB110" s="202"/>
      <c r="AC110" s="202"/>
      <c r="AD110" s="202"/>
      <c r="AE110" s="202"/>
      <c r="AF110" s="202"/>
      <c r="AG110" s="202"/>
      <c r="AH110" s="202"/>
      <c r="AI110" s="202"/>
      <c r="AJ110" s="202"/>
      <c r="AK110" s="202"/>
      <c r="AL110" s="202"/>
      <c r="AM110" s="217"/>
      <c r="AN110" s="13"/>
      <c r="AO110" s="54"/>
    </row>
    <row r="111" spans="2:41">
      <c r="B111" s="213" t="s">
        <v>345</v>
      </c>
      <c r="C111" s="203"/>
      <c r="D111" s="203"/>
      <c r="E111" s="203"/>
      <c r="F111" s="203"/>
      <c r="G111" s="203">
        <f>-(1737+36)</f>
        <v>-1773</v>
      </c>
      <c r="H111" s="203">
        <v>-989</v>
      </c>
      <c r="I111" s="203">
        <v>-1331</v>
      </c>
      <c r="J111" s="203">
        <v>-921.89200000000005</v>
      </c>
      <c r="K111" s="203">
        <v>-149.891999999993</v>
      </c>
      <c r="L111" s="202"/>
      <c r="M111" s="203">
        <v>-1511</v>
      </c>
      <c r="N111" s="203">
        <v>-1082</v>
      </c>
      <c r="O111" s="203">
        <v>-1359</v>
      </c>
      <c r="P111" s="203">
        <v>-1331</v>
      </c>
      <c r="Q111" s="203">
        <v>-1439</v>
      </c>
      <c r="R111" s="203">
        <v>-2442</v>
      </c>
      <c r="S111" s="203">
        <v>-1490</v>
      </c>
      <c r="T111" s="203">
        <v>-921.89199999999983</v>
      </c>
      <c r="U111" s="203">
        <v>-1363.8919999999998</v>
      </c>
      <c r="V111" s="203">
        <v>-1375.8919999999998</v>
      </c>
      <c r="W111" s="203">
        <v>-1219.8919999999998</v>
      </c>
      <c r="X111" s="203">
        <v>-149.89199999999983</v>
      </c>
      <c r="Y111" s="203">
        <v>-149.89199999999983</v>
      </c>
      <c r="Z111" s="203">
        <v>-149.89199999999983</v>
      </c>
      <c r="AA111" s="203">
        <v>-149.89199999999983</v>
      </c>
      <c r="AB111" s="202"/>
      <c r="AC111" s="202">
        <f t="shared" ref="AC111:AL111" si="192">Q111</f>
        <v>-1439</v>
      </c>
      <c r="AD111" s="202">
        <f t="shared" si="192"/>
        <v>-2442</v>
      </c>
      <c r="AE111" s="202">
        <f t="shared" si="192"/>
        <v>-1490</v>
      </c>
      <c r="AF111" s="202">
        <f t="shared" si="192"/>
        <v>-921.89199999999983</v>
      </c>
      <c r="AG111" s="202">
        <f t="shared" si="192"/>
        <v>-1363.8919999999998</v>
      </c>
      <c r="AH111" s="202">
        <f t="shared" si="192"/>
        <v>-1375.8919999999998</v>
      </c>
      <c r="AI111" s="202">
        <f t="shared" si="192"/>
        <v>-1219.8919999999998</v>
      </c>
      <c r="AJ111" s="202">
        <f t="shared" si="192"/>
        <v>-149.89199999999983</v>
      </c>
      <c r="AK111" s="202">
        <f t="shared" si="192"/>
        <v>-149.89199999999983</v>
      </c>
      <c r="AL111" s="202">
        <f t="shared" si="192"/>
        <v>-149.89199999999983</v>
      </c>
      <c r="AM111" s="217">
        <f>AA111</f>
        <v>-149.89199999999983</v>
      </c>
      <c r="AN111" s="13"/>
      <c r="AO111" s="54"/>
    </row>
    <row r="112" spans="2:41">
      <c r="B112" s="212" t="s">
        <v>103</v>
      </c>
      <c r="C112" s="202">
        <f>+C104+C93+C85</f>
        <v>-636</v>
      </c>
      <c r="D112" s="202">
        <f>+D104+D93+D85</f>
        <v>-195</v>
      </c>
      <c r="E112" s="202">
        <f>+E104+E93+E85</f>
        <v>5624</v>
      </c>
      <c r="F112" s="202">
        <f>+F104+F93+F85</f>
        <v>24311</v>
      </c>
      <c r="G112" s="202">
        <f>+G104+G93+G85</f>
        <v>-10435</v>
      </c>
      <c r="H112" s="202">
        <f>+H104+H93+H85</f>
        <v>-3860</v>
      </c>
      <c r="I112" s="202">
        <f>+I104+I93+I85</f>
        <v>-10952</v>
      </c>
      <c r="J112" s="202">
        <f>+J104+J93+J85</f>
        <v>5909.8919999999925</v>
      </c>
      <c r="K112" s="202">
        <f>+K104+K93+K85</f>
        <v>-794</v>
      </c>
      <c r="L112" s="202"/>
      <c r="M112" s="202">
        <f>+M104+M93+M85</f>
        <v>2701</v>
      </c>
      <c r="N112" s="202">
        <f>+N104+N93+N85</f>
        <v>-9450</v>
      </c>
      <c r="O112" s="202">
        <f>+O104+O93+O85</f>
        <v>-319</v>
      </c>
      <c r="P112" s="202">
        <f>+P104+P93+P85</f>
        <v>-3884</v>
      </c>
      <c r="Q112" s="202">
        <f>+Q104+Q93+Q85</f>
        <v>-3003</v>
      </c>
      <c r="R112" s="202">
        <f>+R104+R93+R85</f>
        <v>5155</v>
      </c>
      <c r="S112" s="202">
        <f>+S104+S93+S85</f>
        <v>2769</v>
      </c>
      <c r="T112" s="202">
        <f>+T104+T93+T85</f>
        <v>988.89199999999983</v>
      </c>
      <c r="U112" s="202">
        <f>+U104+U93+U85</f>
        <v>11237</v>
      </c>
      <c r="V112" s="202">
        <f>+V104+V93+V85</f>
        <v>-8053</v>
      </c>
      <c r="W112" s="202">
        <f>+W104+W93+W85</f>
        <v>-7286</v>
      </c>
      <c r="X112" s="202">
        <f>+X104+X93+X85</f>
        <v>3308</v>
      </c>
      <c r="Y112" s="202">
        <f>+Y104+Y93+Y85</f>
        <v>356</v>
      </c>
      <c r="Z112" s="202">
        <f>+Z104+Z93+Z85</f>
        <v>-2137</v>
      </c>
      <c r="AA112" s="202">
        <f>+AA104+AA93+AA85</f>
        <v>8107</v>
      </c>
      <c r="AB112" s="202"/>
      <c r="AC112" s="202">
        <f>+AC104+AC93+AC85</f>
        <v>-16656</v>
      </c>
      <c r="AD112" s="202">
        <f>+AD104+AD93+AD85</f>
        <v>-2051</v>
      </c>
      <c r="AE112" s="202">
        <f>+AE104+AE93+AE85</f>
        <v>1037</v>
      </c>
      <c r="AF112" s="202">
        <f>+AF104+AF93+AF85</f>
        <v>5909.8919999999925</v>
      </c>
      <c r="AG112" s="202">
        <f>+AG104+AG93+AG85</f>
        <v>20149.891999999993</v>
      </c>
      <c r="AH112" s="202">
        <f>+AH104+AH93+AH85</f>
        <v>6941.8919999999925</v>
      </c>
      <c r="AI112" s="202">
        <f>+AI104+AI93+AI85</f>
        <v>-3113.1080000000075</v>
      </c>
      <c r="AJ112" s="202">
        <f>+AJ104+AJ93+AJ85</f>
        <v>-794</v>
      </c>
      <c r="AK112" s="202">
        <f>+AK104+AK93+AK85</f>
        <v>-11675</v>
      </c>
      <c r="AL112" s="202">
        <f>+AL104+AL93+AL85</f>
        <v>-5759</v>
      </c>
      <c r="AM112" s="217">
        <f>+AM104+AM93+AM85</f>
        <v>9634</v>
      </c>
      <c r="AN112" s="13"/>
      <c r="AO112" s="54"/>
    </row>
    <row r="113" spans="2:41">
      <c r="B113" s="214" t="s">
        <v>344</v>
      </c>
      <c r="C113" s="199">
        <f t="shared" ref="C113:F113" si="193">SUM(C109:C112)</f>
        <v>48208</v>
      </c>
      <c r="D113" s="199">
        <f t="shared" si="193"/>
        <v>48649</v>
      </c>
      <c r="E113" s="199">
        <f t="shared" si="193"/>
        <v>54468</v>
      </c>
      <c r="F113" s="199">
        <f t="shared" si="193"/>
        <v>74535</v>
      </c>
      <c r="G113" s="199">
        <f>SUM(G109:G112)</f>
        <v>38016</v>
      </c>
      <c r="H113" s="199">
        <f t="shared" ref="H113:K113" si="194">SUM(H109:H112)</f>
        <v>34940</v>
      </c>
      <c r="I113" s="199">
        <f t="shared" si="194"/>
        <v>23646</v>
      </c>
      <c r="J113" s="199">
        <f t="shared" si="194"/>
        <v>29964.999999999993</v>
      </c>
      <c r="K113" s="199">
        <f t="shared" si="194"/>
        <v>29943</v>
      </c>
      <c r="L113" s="202"/>
      <c r="M113" s="199">
        <f t="shared" ref="M113" si="195">SUM(M109:M112)</f>
        <v>37119</v>
      </c>
      <c r="N113" s="199">
        <f t="shared" ref="N113" si="196">SUM(N109:N112)</f>
        <v>28098</v>
      </c>
      <c r="O113" s="199">
        <f t="shared" ref="O113" si="197">SUM(O109:O112)</f>
        <v>27502</v>
      </c>
      <c r="P113" s="199">
        <f t="shared" ref="P113" si="198">SUM(P109:P112)</f>
        <v>23646</v>
      </c>
      <c r="Q113" s="199">
        <f t="shared" ref="Q113" si="199">SUM(Q109:Q112)</f>
        <v>20535</v>
      </c>
      <c r="R113" s="199">
        <f t="shared" ref="R113" si="200">SUM(R109:R112)</f>
        <v>24687</v>
      </c>
      <c r="S113" s="199">
        <f t="shared" ref="S113" si="201">SUM(S109:S112)</f>
        <v>28408</v>
      </c>
      <c r="T113" s="199">
        <f t="shared" ref="T113" si="202">SUM(T109:T112)</f>
        <v>29965</v>
      </c>
      <c r="U113" s="199">
        <f t="shared" ref="U113" si="203">SUM(U109:U112)</f>
        <v>40760</v>
      </c>
      <c r="V113" s="199">
        <f t="shared" ref="V113" si="204">SUM(V109:V112)</f>
        <v>32695</v>
      </c>
      <c r="W113" s="199">
        <f t="shared" ref="W113" si="205">SUM(W109:W112)</f>
        <v>25565</v>
      </c>
      <c r="X113" s="199">
        <f t="shared" ref="X113" si="206">SUM(X109:X112)</f>
        <v>29943</v>
      </c>
      <c r="Y113" s="199">
        <f t="shared" ref="Y113" si="207">SUM(Y109:Y112)</f>
        <v>30299</v>
      </c>
      <c r="Z113" s="199">
        <f t="shared" ref="Z113" si="208">SUM(Z109:Z112)</f>
        <v>28162</v>
      </c>
      <c r="AA113" s="199">
        <f t="shared" ref="AA113" si="209">SUM(AA109:AA112)</f>
        <v>36269</v>
      </c>
      <c r="AB113" s="202"/>
      <c r="AC113" s="199">
        <f t="shared" ref="AC113" si="210">SUM(AC109:AC112)</f>
        <v>20535</v>
      </c>
      <c r="AD113" s="199">
        <f t="shared" ref="AD113" si="211">SUM(AD109:AD112)</f>
        <v>24687</v>
      </c>
      <c r="AE113" s="199">
        <f t="shared" ref="AE113" si="212">SUM(AE109:AE112)</f>
        <v>28408</v>
      </c>
      <c r="AF113" s="199">
        <f t="shared" ref="AF113" si="213">SUM(AF109:AF112)</f>
        <v>29964.999999999993</v>
      </c>
      <c r="AG113" s="199">
        <f t="shared" ref="AG113" si="214">SUM(AG109:AG112)</f>
        <v>40759.999999999993</v>
      </c>
      <c r="AH113" s="199">
        <f t="shared" ref="AH113" si="215">SUM(AH109:AH112)</f>
        <v>32694.999999999993</v>
      </c>
      <c r="AI113" s="199">
        <f t="shared" ref="AI113" si="216">SUM(AI109:AI112)</f>
        <v>25564.999999999993</v>
      </c>
      <c r="AJ113" s="199">
        <f t="shared" ref="AJ113" si="217">SUM(AJ109:AJ112)</f>
        <v>29943</v>
      </c>
      <c r="AK113" s="199">
        <f t="shared" ref="AK113" si="218">SUM(AK109:AK112)</f>
        <v>30299</v>
      </c>
      <c r="AL113" s="199">
        <f t="shared" ref="AL113" si="219">SUM(AL109:AL112)</f>
        <v>28162</v>
      </c>
      <c r="AM113" s="219">
        <f t="shared" ref="AM113" si="220">SUM(AM109:AM112)</f>
        <v>36269</v>
      </c>
      <c r="AN113" s="13"/>
      <c r="AO113" s="54"/>
    </row>
    <row r="114" spans="2:41" ht="5.0999999999999996" customHeight="1">
      <c r="B114" s="215"/>
      <c r="C114" s="77"/>
      <c r="D114" s="77"/>
      <c r="E114" s="77"/>
      <c r="F114" s="77"/>
      <c r="G114" s="77"/>
      <c r="H114" s="77"/>
      <c r="I114" s="77"/>
      <c r="J114" s="77"/>
      <c r="K114" s="77"/>
      <c r="L114" s="202"/>
      <c r="M114" s="77"/>
      <c r="N114" s="77"/>
      <c r="O114" s="77"/>
      <c r="P114" s="77"/>
      <c r="Q114" s="77"/>
      <c r="R114" s="77"/>
      <c r="S114" s="77"/>
      <c r="T114" s="77"/>
      <c r="U114" s="78"/>
      <c r="V114" s="77"/>
      <c r="W114" s="77"/>
      <c r="X114" s="77"/>
      <c r="Y114" s="77"/>
      <c r="Z114" s="77"/>
      <c r="AA114" s="77"/>
      <c r="AB114" s="204"/>
      <c r="AC114" s="205"/>
      <c r="AD114" s="205"/>
      <c r="AE114" s="205"/>
      <c r="AF114" s="205"/>
      <c r="AG114" s="205"/>
      <c r="AH114" s="205"/>
      <c r="AI114" s="205"/>
      <c r="AJ114" s="205"/>
      <c r="AK114" s="205"/>
      <c r="AL114" s="205"/>
      <c r="AM114" s="220"/>
      <c r="AN114" s="13"/>
      <c r="AO114" s="54"/>
    </row>
    <row r="115" spans="2:41">
      <c r="B115" s="216" t="s">
        <v>102</v>
      </c>
      <c r="C115" s="206">
        <f>C113-C35</f>
        <v>27724</v>
      </c>
      <c r="D115" s="206">
        <f>D113-D35</f>
        <v>28360</v>
      </c>
      <c r="E115" s="206">
        <f>E113-E35</f>
        <v>28555</v>
      </c>
      <c r="F115" s="206">
        <f>F113-F35</f>
        <v>25691</v>
      </c>
      <c r="G115" s="206">
        <f>G113-G35</f>
        <v>0</v>
      </c>
      <c r="H115" s="206">
        <f>H113-H35</f>
        <v>0</v>
      </c>
      <c r="I115" s="206">
        <f>I113-I35</f>
        <v>0</v>
      </c>
      <c r="J115" s="207">
        <f>J113-J35</f>
        <v>0</v>
      </c>
      <c r="K115" s="208">
        <f>K113-K35</f>
        <v>0</v>
      </c>
      <c r="L115" s="209"/>
      <c r="M115" s="210">
        <f>M113-M35</f>
        <v>0</v>
      </c>
      <c r="N115" s="210">
        <f>N113-N35</f>
        <v>0</v>
      </c>
      <c r="O115" s="210">
        <f>O113-O35</f>
        <v>0</v>
      </c>
      <c r="P115" s="210">
        <f>P113-P35</f>
        <v>0</v>
      </c>
      <c r="Q115" s="210">
        <f>Q113-Q35</f>
        <v>0</v>
      </c>
      <c r="R115" s="210">
        <f>R113-R35</f>
        <v>0</v>
      </c>
      <c r="S115" s="210">
        <f>S113-S35</f>
        <v>0</v>
      </c>
      <c r="T115" s="210">
        <f>T113-T35</f>
        <v>0</v>
      </c>
      <c r="U115" s="210">
        <f>U113-U35</f>
        <v>0</v>
      </c>
      <c r="V115" s="210">
        <f>V113-V35</f>
        <v>0</v>
      </c>
      <c r="W115" s="210">
        <f>W113-W35</f>
        <v>0</v>
      </c>
      <c r="X115" s="210">
        <f>X113-X35</f>
        <v>0</v>
      </c>
      <c r="Y115" s="210">
        <f>Y113-Y35</f>
        <v>0</v>
      </c>
      <c r="Z115" s="210">
        <f>Z113-Z35</f>
        <v>0</v>
      </c>
      <c r="AA115" s="210">
        <f>AA113-AA35</f>
        <v>0</v>
      </c>
      <c r="AB115" s="211"/>
      <c r="AC115" s="210">
        <f>AC113-AC35</f>
        <v>0</v>
      </c>
      <c r="AD115" s="210">
        <f>AD113-AD35</f>
        <v>0</v>
      </c>
      <c r="AE115" s="210">
        <f>AE113-AE35</f>
        <v>0</v>
      </c>
      <c r="AF115" s="210">
        <f>AF113-AF35</f>
        <v>0</v>
      </c>
      <c r="AG115" s="210">
        <f>AG113-AG35</f>
        <v>0</v>
      </c>
      <c r="AH115" s="210">
        <f>AH113-AH35</f>
        <v>0</v>
      </c>
      <c r="AI115" s="210">
        <f>AI113-AI35</f>
        <v>0</v>
      </c>
      <c r="AJ115" s="210">
        <f>AJ113-AJ35</f>
        <v>0</v>
      </c>
      <c r="AK115" s="210">
        <f>AK113-AK35</f>
        <v>0</v>
      </c>
      <c r="AL115" s="210">
        <f>AL113-AL35</f>
        <v>0</v>
      </c>
      <c r="AM115" s="221">
        <f>AM113-AM35</f>
        <v>0</v>
      </c>
      <c r="AN115" s="13"/>
      <c r="AO115" s="54"/>
    </row>
    <row r="116" spans="2:41" ht="5.0999999999999996" customHeight="1">
      <c r="B116" s="9"/>
      <c r="C116" s="77"/>
      <c r="D116" s="77"/>
      <c r="E116" s="77"/>
      <c r="F116" s="77"/>
      <c r="G116" s="77"/>
      <c r="H116" s="77"/>
      <c r="I116" s="77"/>
      <c r="J116" s="77"/>
      <c r="K116" s="77"/>
      <c r="L116" s="36"/>
      <c r="M116" s="77"/>
      <c r="N116" s="77"/>
      <c r="O116" s="77"/>
      <c r="P116" s="77"/>
      <c r="Q116" s="77"/>
      <c r="R116" s="77"/>
      <c r="S116" s="77"/>
      <c r="T116" s="77"/>
      <c r="U116" s="78"/>
      <c r="V116" s="77"/>
      <c r="W116" s="77"/>
      <c r="X116" s="77"/>
      <c r="Y116" s="77"/>
      <c r="Z116" s="77"/>
      <c r="AA116" s="77"/>
      <c r="AC116" s="13"/>
      <c r="AD116" s="13"/>
      <c r="AE116" s="13"/>
      <c r="AF116" s="13"/>
      <c r="AG116" s="13"/>
      <c r="AH116" s="13"/>
      <c r="AI116" s="13"/>
      <c r="AJ116" s="13"/>
      <c r="AK116" s="13"/>
      <c r="AL116" s="13"/>
      <c r="AM116" s="13"/>
      <c r="AN116" s="13"/>
      <c r="AO116" s="54"/>
    </row>
    <row r="117" spans="2:41" ht="12.75" customHeight="1">
      <c r="B117" s="88" t="s">
        <v>105</v>
      </c>
      <c r="C117" s="72"/>
      <c r="D117" s="72"/>
      <c r="E117" s="72"/>
      <c r="F117" s="72"/>
      <c r="G117" s="72"/>
      <c r="H117" s="72"/>
      <c r="I117" s="72"/>
      <c r="J117" s="72"/>
      <c r="K117" s="72"/>
      <c r="L117" s="13"/>
      <c r="M117" s="72"/>
      <c r="N117" s="72"/>
      <c r="O117" s="72"/>
      <c r="P117" s="103"/>
      <c r="Q117" s="72"/>
      <c r="R117" s="72"/>
      <c r="S117" s="72"/>
      <c r="T117" s="72"/>
      <c r="U117" s="79"/>
      <c r="V117" s="72"/>
      <c r="W117" s="72"/>
      <c r="X117" s="72"/>
      <c r="Y117" s="72"/>
      <c r="Z117" s="72"/>
      <c r="AA117" s="72"/>
      <c r="AC117" s="72"/>
      <c r="AD117" s="72"/>
      <c r="AE117" s="72"/>
      <c r="AF117" s="72"/>
      <c r="AG117" s="72"/>
      <c r="AH117" s="72"/>
      <c r="AI117" s="72"/>
      <c r="AJ117" s="72"/>
      <c r="AK117" s="72"/>
      <c r="AL117" s="72"/>
      <c r="AM117" s="72"/>
      <c r="AN117" s="80"/>
      <c r="AO117" s="54"/>
    </row>
    <row r="118" spans="2:41" ht="12.75" customHeight="1">
      <c r="B118" s="9" t="s">
        <v>341</v>
      </c>
      <c r="C118" s="36"/>
      <c r="D118" s="36">
        <v>11591</v>
      </c>
      <c r="E118" s="36">
        <v>10417</v>
      </c>
      <c r="F118" s="36">
        <v>15263</v>
      </c>
      <c r="G118" s="36">
        <v>9501</v>
      </c>
      <c r="H118" s="36">
        <v>25385</v>
      </c>
      <c r="I118" s="36">
        <v>19573</v>
      </c>
      <c r="J118" s="36">
        <v>18679</v>
      </c>
      <c r="K118" s="36">
        <v>26102</v>
      </c>
      <c r="L118" s="36"/>
      <c r="M118" s="36">
        <v>5235</v>
      </c>
      <c r="N118" s="36">
        <f>9301-M118</f>
        <v>4066</v>
      </c>
      <c r="O118" s="36">
        <f>12251-N118-M118</f>
        <v>2950</v>
      </c>
      <c r="P118" s="36">
        <f t="shared" ref="P118:P119" si="221">SUM(I118-SUM(M118:O118))</f>
        <v>7322</v>
      </c>
      <c r="Q118" s="36">
        <v>828</v>
      </c>
      <c r="R118" s="36">
        <f>4894-Q118</f>
        <v>4066</v>
      </c>
      <c r="S118" s="36">
        <f>7020-R118-Q118</f>
        <v>2126</v>
      </c>
      <c r="T118" s="36">
        <f t="shared" ref="T118:T119" si="222">SUM(J118-SUM(Q118:S118))</f>
        <v>11659</v>
      </c>
      <c r="U118" s="36">
        <v>7255</v>
      </c>
      <c r="V118" s="36">
        <f>14531-U118</f>
        <v>7276</v>
      </c>
      <c r="W118" s="36">
        <f>19230-V118-U118</f>
        <v>4699</v>
      </c>
      <c r="X118" s="36">
        <f t="shared" ref="X118:X119" si="223">SUM(K118-SUM(U118:W118))</f>
        <v>6872</v>
      </c>
      <c r="Y118" s="36">
        <v>18651</v>
      </c>
      <c r="Z118" s="36">
        <f>31683-Y118</f>
        <v>13032</v>
      </c>
      <c r="AA118" s="36">
        <f>37332-Z118-Y118</f>
        <v>5649</v>
      </c>
      <c r="AB118" s="36"/>
      <c r="AC118" s="36">
        <f>SUM(N118:Q118)</f>
        <v>15166</v>
      </c>
      <c r="AD118" s="36">
        <f>SUM(O118:R118)</f>
        <v>15166</v>
      </c>
      <c r="AE118" s="36">
        <f>SUM(P118:S118)</f>
        <v>14342</v>
      </c>
      <c r="AF118" s="36">
        <f>SUM(Q118:T118)</f>
        <v>18679</v>
      </c>
      <c r="AG118" s="36">
        <f>SUM(R118:U118)</f>
        <v>25106</v>
      </c>
      <c r="AH118" s="36">
        <f>SUM(S118:V118)</f>
        <v>28316</v>
      </c>
      <c r="AI118" s="36">
        <f>SUM(T118:W118)</f>
        <v>30889</v>
      </c>
      <c r="AJ118" s="36">
        <f>SUM(U118:X118)</f>
        <v>26102</v>
      </c>
      <c r="AK118" s="36">
        <f>SUM(V118:Y118)</f>
        <v>37498</v>
      </c>
      <c r="AL118" s="36">
        <f>SUM(W118:Z118)</f>
        <v>43254</v>
      </c>
      <c r="AM118" s="36">
        <f>SUM(X118:AA118)</f>
        <v>44204</v>
      </c>
      <c r="AN118" s="13"/>
      <c r="AO118" s="54"/>
    </row>
    <row r="119" spans="2:41" ht="12.75" customHeight="1">
      <c r="B119" s="5" t="s">
        <v>342</v>
      </c>
      <c r="C119" s="36"/>
      <c r="D119" s="36">
        <v>2092</v>
      </c>
      <c r="E119" s="36">
        <v>3022</v>
      </c>
      <c r="F119" s="36">
        <v>3423</v>
      </c>
      <c r="G119" s="36">
        <v>3002</v>
      </c>
      <c r="H119" s="36">
        <v>2687</v>
      </c>
      <c r="I119" s="36">
        <v>2865</v>
      </c>
      <c r="J119" s="36">
        <v>3803</v>
      </c>
      <c r="K119" s="36">
        <v>0</v>
      </c>
      <c r="L119" s="36"/>
      <c r="M119" s="36">
        <v>531</v>
      </c>
      <c r="N119" s="36">
        <f>1406-M119</f>
        <v>875</v>
      </c>
      <c r="O119" s="36">
        <f>1910-N119-M119</f>
        <v>504</v>
      </c>
      <c r="P119" s="36">
        <f t="shared" si="221"/>
        <v>955</v>
      </c>
      <c r="Q119" s="36">
        <v>703</v>
      </c>
      <c r="R119" s="36">
        <f>1873-Q119</f>
        <v>1170</v>
      </c>
      <c r="S119" s="36">
        <f>2590-R119-Q119</f>
        <v>717</v>
      </c>
      <c r="T119" s="36">
        <f t="shared" si="222"/>
        <v>1213</v>
      </c>
      <c r="U119" s="36">
        <v>0</v>
      </c>
      <c r="V119" s="36">
        <v>0</v>
      </c>
      <c r="W119" s="36">
        <v>0</v>
      </c>
      <c r="X119" s="36">
        <f t="shared" si="223"/>
        <v>0</v>
      </c>
      <c r="Y119" s="36">
        <v>0</v>
      </c>
      <c r="Z119" s="36">
        <v>0</v>
      </c>
      <c r="AA119" s="36">
        <v>0</v>
      </c>
      <c r="AB119" s="36"/>
      <c r="AC119" s="36">
        <f>SUM(N119:Q119)</f>
        <v>3037</v>
      </c>
      <c r="AD119" s="36">
        <f>SUM(O119:R119)</f>
        <v>3332</v>
      </c>
      <c r="AE119" s="36">
        <f>SUM(P119:S119)</f>
        <v>3545</v>
      </c>
      <c r="AF119" s="36">
        <f>SUM(Q119:T119)</f>
        <v>3803</v>
      </c>
      <c r="AG119" s="36">
        <f>SUM(R119:U119)</f>
        <v>3100</v>
      </c>
      <c r="AH119" s="36">
        <f>SUM(S119:V119)</f>
        <v>1930</v>
      </c>
      <c r="AI119" s="36">
        <f>SUM(T119:W119)</f>
        <v>1213</v>
      </c>
      <c r="AJ119" s="36">
        <f>SUM(U119:X119)</f>
        <v>0</v>
      </c>
      <c r="AK119" s="36">
        <f>SUM(V119:Y119)</f>
        <v>0</v>
      </c>
      <c r="AL119" s="36">
        <f>SUM(W119:Z119)</f>
        <v>0</v>
      </c>
      <c r="AM119" s="36">
        <f>SUM(X119:AA119)</f>
        <v>0</v>
      </c>
      <c r="AO119" s="54"/>
    </row>
    <row r="120" spans="2:41" ht="5.0999999999999996" customHeight="1" thickBot="1">
      <c r="B120" s="89"/>
      <c r="C120" s="90"/>
      <c r="D120" s="90"/>
      <c r="E120" s="90"/>
      <c r="F120" s="90"/>
      <c r="G120" s="90"/>
      <c r="H120" s="90"/>
      <c r="I120" s="90"/>
      <c r="J120" s="90"/>
      <c r="K120" s="90"/>
      <c r="L120" s="89"/>
      <c r="M120" s="89"/>
      <c r="N120" s="89"/>
      <c r="O120" s="89"/>
      <c r="P120" s="89"/>
      <c r="Q120" s="89"/>
      <c r="R120" s="89"/>
      <c r="S120" s="89"/>
      <c r="T120" s="89"/>
      <c r="U120" s="89"/>
      <c r="V120" s="89"/>
      <c r="W120" s="89"/>
      <c r="X120" s="89"/>
      <c r="Y120" s="89"/>
      <c r="Z120" s="89"/>
      <c r="AA120" s="89"/>
      <c r="AB120" s="89"/>
      <c r="AC120" s="89"/>
      <c r="AD120" s="89"/>
      <c r="AE120" s="89"/>
      <c r="AF120" s="89"/>
      <c r="AG120" s="89"/>
      <c r="AH120" s="89"/>
      <c r="AI120" s="89"/>
      <c r="AJ120" s="89"/>
      <c r="AK120" s="89"/>
      <c r="AL120" s="89"/>
      <c r="AM120" s="89"/>
      <c r="AO120" s="54"/>
    </row>
    <row r="121" spans="2:41" ht="12.75" customHeight="1">
      <c r="B121" s="91" t="s">
        <v>108</v>
      </c>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c r="AB121" s="91"/>
      <c r="AC121" s="91"/>
      <c r="AD121" s="91"/>
      <c r="AE121" s="91"/>
      <c r="AF121" s="91"/>
      <c r="AG121" s="91"/>
      <c r="AH121" s="91"/>
      <c r="AI121" s="91"/>
      <c r="AJ121" s="91"/>
      <c r="AK121" s="91"/>
      <c r="AL121" s="91"/>
      <c r="AM121" s="91"/>
      <c r="AO121" s="54"/>
    </row>
    <row r="122" spans="2:41" ht="12.75" customHeight="1">
      <c r="B122" s="62"/>
      <c r="C122" s="81"/>
      <c r="D122" s="81"/>
      <c r="E122" s="81"/>
      <c r="F122" s="81"/>
      <c r="G122" s="81"/>
      <c r="H122" s="81"/>
      <c r="I122" s="81"/>
      <c r="J122" s="81"/>
      <c r="K122" s="81"/>
    </row>
    <row r="123" spans="2:41" ht="12.75" customHeight="1">
      <c r="C123" s="66"/>
      <c r="D123" s="66"/>
      <c r="E123" s="66"/>
      <c r="F123" s="66"/>
      <c r="G123" s="66"/>
      <c r="H123" s="66"/>
      <c r="I123" s="66"/>
      <c r="J123" s="66"/>
      <c r="K123" s="66"/>
    </row>
    <row r="124" spans="2:41" ht="12.75" customHeight="1">
      <c r="C124" s="66"/>
      <c r="D124" s="66"/>
      <c r="E124" s="66"/>
      <c r="F124" s="66"/>
      <c r="G124" s="66"/>
      <c r="H124" s="66"/>
      <c r="I124" s="66"/>
      <c r="J124" s="66"/>
      <c r="K124" s="66"/>
    </row>
    <row r="125" spans="2:41" ht="12.75" customHeight="1">
      <c r="C125" s="66"/>
      <c r="D125" s="66"/>
      <c r="E125" s="66"/>
      <c r="F125" s="66"/>
      <c r="G125" s="66"/>
      <c r="H125" s="66"/>
      <c r="I125" s="66"/>
      <c r="J125" s="66"/>
      <c r="K125" s="66"/>
    </row>
    <row r="126" spans="2:41" ht="12.75" customHeight="1">
      <c r="C126" s="66"/>
      <c r="D126" s="66"/>
      <c r="E126" s="66"/>
      <c r="F126" s="66"/>
      <c r="G126" s="66"/>
      <c r="H126" s="66"/>
      <c r="I126" s="66"/>
      <c r="J126" s="66"/>
      <c r="K126" s="66"/>
    </row>
    <row r="127" spans="2:41" ht="12.75" customHeight="1">
      <c r="C127" s="66"/>
      <c r="D127" s="66"/>
      <c r="E127" s="66"/>
      <c r="F127" s="66"/>
      <c r="G127" s="66"/>
      <c r="H127" s="66"/>
      <c r="I127" s="66"/>
      <c r="J127" s="66"/>
      <c r="K127" s="66"/>
      <c r="M127" s="201"/>
    </row>
    <row r="128" spans="2:41" ht="12.75" customHeight="1">
      <c r="C128" s="66"/>
      <c r="D128" s="66"/>
      <c r="E128" s="66"/>
      <c r="F128" s="66"/>
      <c r="G128" s="66"/>
      <c r="H128" s="66"/>
      <c r="I128" s="66"/>
      <c r="J128" s="66"/>
      <c r="K128" s="66"/>
    </row>
    <row r="129" spans="3:13" ht="12.75" customHeight="1">
      <c r="C129" s="66"/>
      <c r="D129" s="66"/>
      <c r="E129" s="66"/>
      <c r="F129" s="66"/>
      <c r="G129" s="66"/>
      <c r="H129" s="66"/>
      <c r="I129" s="66"/>
      <c r="J129" s="66"/>
      <c r="K129" s="66"/>
      <c r="M129" s="201"/>
    </row>
    <row r="130" spans="3:13">
      <c r="M130" s="201"/>
    </row>
    <row r="131" spans="3:13">
      <c r="M131" s="201"/>
    </row>
    <row r="133" spans="3:13">
      <c r="M133" s="201"/>
    </row>
    <row r="134" spans="3:13">
      <c r="M134" s="201"/>
    </row>
  </sheetData>
  <mergeCells count="2">
    <mergeCell ref="AO2:AO4"/>
    <mergeCell ref="B121:AM121"/>
  </mergeCells>
  <pageMargins left="0.7" right="0.7" top="0.75" bottom="0.75" header="0.3" footer="0.3"/>
  <ignoredErrors>
    <ignoredError sqref="AM12:AM14 AM24:AM25 L40"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77D2-8829-42BE-A7B1-460B1A987ED3}">
  <sheetPr>
    <tabColor rgb="FFC00000"/>
  </sheetPr>
  <dimension ref="A2:AK19"/>
  <sheetViews>
    <sheetView showGridLines="0" zoomScale="115" zoomScaleNormal="115" workbookViewId="0">
      <selection activeCell="B16" sqref="B16"/>
    </sheetView>
  </sheetViews>
  <sheetFormatPr defaultRowHeight="12" outlineLevelCol="1"/>
  <cols>
    <col min="1" max="1" width="1.5" style="9" customWidth="1"/>
    <col min="2" max="2" width="46.5" style="9" bestFit="1" customWidth="1"/>
    <col min="3" max="4" width="8.25" style="9" customWidth="1" outlineLevel="1"/>
    <col min="5" max="5" width="8.625" style="9" bestFit="1" customWidth="1"/>
    <col min="6" max="6" width="8.25" style="9" bestFit="1" customWidth="1"/>
    <col min="7" max="7" width="9" style="9"/>
    <col min="8" max="8" width="1.5" style="9" customWidth="1"/>
    <col min="9" max="11" width="7.875" style="9" customWidth="1" outlineLevel="1"/>
    <col min="12" max="12" width="8.75" style="9" customWidth="1" outlineLevel="1"/>
    <col min="13" max="15" width="8" style="9" customWidth="1" outlineLevel="1"/>
    <col min="16" max="16" width="8.75" style="9" customWidth="1" outlineLevel="1"/>
    <col min="17" max="17" width="8.5" style="9" customWidth="1" outlineLevel="1"/>
    <col min="18" max="18" width="8.25" style="9" bestFit="1" customWidth="1"/>
    <col min="19" max="19" width="8.5" style="9" bestFit="1" customWidth="1"/>
    <col min="20" max="23" width="9.125" style="9" bestFit="1" customWidth="1"/>
    <col min="24" max="24" width="1.5" style="9" customWidth="1"/>
    <col min="25" max="30" width="8.75" style="9" hidden="1" customWidth="1" outlineLevel="1"/>
    <col min="31" max="31" width="8.75" style="9" bestFit="1" customWidth="1" collapsed="1"/>
    <col min="32" max="34" width="8.75" style="9" hidden="1" customWidth="1" outlineLevel="1"/>
    <col min="35" max="35" width="8.75" style="9" bestFit="1" customWidth="1" collapsed="1"/>
    <col min="36" max="36" width="1.5" style="9" customWidth="1"/>
    <col min="37" max="37" width="9.875" style="9" bestFit="1" customWidth="1"/>
    <col min="38" max="16384" width="9" style="9"/>
  </cols>
  <sheetData>
    <row r="2" spans="1:37" s="5" customFormat="1" ht="12.75" customHeight="1">
      <c r="B2" s="1" t="s">
        <v>308</v>
      </c>
      <c r="C2" s="2" t="s">
        <v>0</v>
      </c>
      <c r="D2" s="2" t="s">
        <v>0</v>
      </c>
      <c r="E2" s="2" t="s">
        <v>0</v>
      </c>
      <c r="F2" s="2"/>
      <c r="G2" s="2"/>
      <c r="H2" s="3"/>
      <c r="I2" s="2" t="s">
        <v>1</v>
      </c>
      <c r="J2" s="2"/>
      <c r="K2" s="2"/>
      <c r="L2" s="2"/>
      <c r="M2" s="2"/>
      <c r="N2" s="2"/>
      <c r="O2" s="2"/>
      <c r="P2" s="2"/>
      <c r="Q2" s="2" t="s">
        <v>1</v>
      </c>
      <c r="R2" s="2" t="s">
        <v>1</v>
      </c>
      <c r="S2" s="2"/>
      <c r="T2" s="2"/>
      <c r="U2" s="2"/>
      <c r="V2" s="2"/>
      <c r="W2" s="2"/>
      <c r="X2" s="3"/>
      <c r="Y2" s="2" t="s">
        <v>10</v>
      </c>
      <c r="Z2" s="2"/>
      <c r="AA2" s="2"/>
      <c r="AB2" s="2"/>
      <c r="AC2" s="2" t="s">
        <v>10</v>
      </c>
      <c r="AD2" s="2"/>
      <c r="AE2" s="2"/>
      <c r="AF2" s="2"/>
      <c r="AG2" s="2"/>
      <c r="AH2" s="2"/>
      <c r="AI2" s="2"/>
      <c r="AJ2" s="3"/>
      <c r="AK2" s="4" t="s">
        <v>40</v>
      </c>
    </row>
    <row r="3" spans="1:37" s="5" customFormat="1" ht="12.75" customHeight="1">
      <c r="B3" s="6" t="s">
        <v>116</v>
      </c>
      <c r="C3" s="7">
        <f>'Base Financials'!G3</f>
        <v>2020</v>
      </c>
      <c r="D3" s="7">
        <f>'Base Financials'!H3</f>
        <v>2021</v>
      </c>
      <c r="E3" s="7">
        <f>'Base Financials'!I3</f>
        <v>2022</v>
      </c>
      <c r="F3" s="7">
        <f>'Base Financials'!J3</f>
        <v>2023</v>
      </c>
      <c r="G3" s="7">
        <f>'Base Financials'!K3</f>
        <v>2024</v>
      </c>
      <c r="H3" s="3"/>
      <c r="I3" s="7" t="str">
        <f>'Base Financials'!M3</f>
        <v>1Q22</v>
      </c>
      <c r="J3" s="7" t="str">
        <f>'Base Financials'!N3</f>
        <v>2Q22</v>
      </c>
      <c r="K3" s="7" t="str">
        <f>'Base Financials'!O3</f>
        <v>3Q22</v>
      </c>
      <c r="L3" s="7" t="str">
        <f>'Base Financials'!P3</f>
        <v>4Q22</v>
      </c>
      <c r="M3" s="7" t="str">
        <f>'Base Financials'!Q3</f>
        <v>1Q23</v>
      </c>
      <c r="N3" s="7" t="str">
        <f>'Base Financials'!R3</f>
        <v>2Q23</v>
      </c>
      <c r="O3" s="7" t="str">
        <f>'Base Financials'!S3</f>
        <v>3Q23</v>
      </c>
      <c r="P3" s="7" t="str">
        <f>'Base Financials'!T3</f>
        <v>4Q23</v>
      </c>
      <c r="Q3" s="7" t="str">
        <f>'Base Financials'!U3</f>
        <v>1Q24</v>
      </c>
      <c r="R3" s="7" t="str">
        <f>'Base Financials'!V3</f>
        <v>2Q24</v>
      </c>
      <c r="S3" s="7" t="str">
        <f>'Base Financials'!W3</f>
        <v>3Q24</v>
      </c>
      <c r="T3" s="7" t="str">
        <f>'Base Financials'!X3</f>
        <v>4Q24</v>
      </c>
      <c r="U3" s="7" t="str">
        <f>'Base Financials'!Y3</f>
        <v>1Q25</v>
      </c>
      <c r="V3" s="7" t="str">
        <f>'Base Financials'!Z3</f>
        <v>2Q25</v>
      </c>
      <c r="W3" s="7" t="str">
        <f>'Base Financials'!AA3</f>
        <v>3Q25</v>
      </c>
      <c r="X3" s="3"/>
      <c r="Y3" s="8" t="str">
        <f t="shared" ref="Y3:AH4" si="0">M3</f>
        <v>1Q23</v>
      </c>
      <c r="Z3" s="8" t="str">
        <f t="shared" si="0"/>
        <v>2Q23</v>
      </c>
      <c r="AA3" s="8" t="str">
        <f t="shared" si="0"/>
        <v>3Q23</v>
      </c>
      <c r="AB3" s="8" t="str">
        <f t="shared" si="0"/>
        <v>4Q23</v>
      </c>
      <c r="AC3" s="8" t="str">
        <f t="shared" si="0"/>
        <v>1Q24</v>
      </c>
      <c r="AD3" s="8" t="str">
        <f t="shared" si="0"/>
        <v>2Q24</v>
      </c>
      <c r="AE3" s="8" t="str">
        <f t="shared" si="0"/>
        <v>3Q24</v>
      </c>
      <c r="AF3" s="8" t="str">
        <f t="shared" si="0"/>
        <v>4Q24</v>
      </c>
      <c r="AG3" s="8" t="str">
        <f t="shared" si="0"/>
        <v>1Q25</v>
      </c>
      <c r="AH3" s="8" t="str">
        <f t="shared" si="0"/>
        <v>2Q25</v>
      </c>
      <c r="AI3" s="8" t="str">
        <f>W3</f>
        <v>3Q25</v>
      </c>
      <c r="AJ3" s="3"/>
      <c r="AK3" s="4"/>
    </row>
    <row r="4" spans="1:37" s="5" customFormat="1" ht="12.75" customHeight="1">
      <c r="B4" s="6" t="s">
        <v>110</v>
      </c>
      <c r="C4" s="3">
        <f>'Base Financials'!G4</f>
        <v>44104</v>
      </c>
      <c r="D4" s="3">
        <f>'Base Financials'!H4</f>
        <v>44469</v>
      </c>
      <c r="E4" s="3">
        <f>'Base Financials'!I4</f>
        <v>44834</v>
      </c>
      <c r="F4" s="3">
        <f>'Base Financials'!J4</f>
        <v>45192</v>
      </c>
      <c r="G4" s="3">
        <f>'Base Financials'!K4</f>
        <v>45559</v>
      </c>
      <c r="H4" s="3"/>
      <c r="I4" s="3">
        <f>'Base Financials'!M4</f>
        <v>44560</v>
      </c>
      <c r="J4" s="3">
        <f>'Base Financials'!N4</f>
        <v>44650</v>
      </c>
      <c r="K4" s="3">
        <f>'Base Financials'!O4</f>
        <v>44742</v>
      </c>
      <c r="L4" s="3">
        <f>'Base Financials'!P4</f>
        <v>44834</v>
      </c>
      <c r="M4" s="3">
        <f>'Base Financials'!Q4</f>
        <v>44917</v>
      </c>
      <c r="N4" s="3">
        <f>'Base Financials'!R4</f>
        <v>45008</v>
      </c>
      <c r="O4" s="3">
        <f>'Base Financials'!S4</f>
        <v>45100</v>
      </c>
      <c r="P4" s="3">
        <f>'Base Financials'!T4</f>
        <v>45192</v>
      </c>
      <c r="Q4" s="3">
        <f>'Base Financials'!U4</f>
        <v>45283</v>
      </c>
      <c r="R4" s="3">
        <f>'Base Financials'!V4</f>
        <v>45375</v>
      </c>
      <c r="S4" s="3">
        <f>'Base Financials'!W4</f>
        <v>45467</v>
      </c>
      <c r="T4" s="3">
        <f>'Base Financials'!X4</f>
        <v>45559</v>
      </c>
      <c r="U4" s="3">
        <f>'Base Financials'!Y4</f>
        <v>45650</v>
      </c>
      <c r="V4" s="3">
        <f>'Base Financials'!Z4</f>
        <v>45741</v>
      </c>
      <c r="W4" s="3">
        <f>'Base Financials'!AA4</f>
        <v>45833</v>
      </c>
      <c r="X4" s="3"/>
      <c r="Y4" s="3">
        <f t="shared" si="0"/>
        <v>44917</v>
      </c>
      <c r="Z4" s="3">
        <f t="shared" si="0"/>
        <v>45008</v>
      </c>
      <c r="AA4" s="3">
        <f t="shared" si="0"/>
        <v>45100</v>
      </c>
      <c r="AB4" s="3">
        <f t="shared" si="0"/>
        <v>45192</v>
      </c>
      <c r="AC4" s="3">
        <f t="shared" si="0"/>
        <v>45283</v>
      </c>
      <c r="AD4" s="3">
        <f t="shared" si="0"/>
        <v>45375</v>
      </c>
      <c r="AE4" s="3">
        <f t="shared" si="0"/>
        <v>45467</v>
      </c>
      <c r="AF4" s="3">
        <f t="shared" si="0"/>
        <v>45559</v>
      </c>
      <c r="AG4" s="3">
        <f t="shared" si="0"/>
        <v>45650</v>
      </c>
      <c r="AH4" s="3">
        <f t="shared" si="0"/>
        <v>45741</v>
      </c>
      <c r="AI4" s="3">
        <f>W4</f>
        <v>45833</v>
      </c>
      <c r="AJ4" s="3"/>
      <c r="AK4" s="4"/>
    </row>
    <row r="5" spans="1:37" ht="5.0999999999999996" customHeight="1">
      <c r="AK5" s="10"/>
    </row>
    <row r="6" spans="1:37" ht="12.75" customHeight="1">
      <c r="A6" s="100" t="s">
        <v>27</v>
      </c>
      <c r="B6" s="97" t="s">
        <v>347</v>
      </c>
      <c r="C6" s="12"/>
      <c r="D6" s="12"/>
      <c r="E6" s="12"/>
      <c r="F6" s="12"/>
      <c r="G6" s="12"/>
      <c r="H6" s="12"/>
      <c r="I6" s="12"/>
      <c r="J6" s="12"/>
      <c r="K6" s="12"/>
      <c r="L6" s="12"/>
      <c r="M6" s="12"/>
      <c r="N6" s="12"/>
      <c r="O6" s="12"/>
      <c r="P6" s="12"/>
      <c r="Q6" s="12"/>
      <c r="R6" s="12"/>
      <c r="S6" s="12"/>
      <c r="T6" s="12"/>
      <c r="U6" s="12"/>
      <c r="V6" s="12"/>
      <c r="W6" s="12"/>
      <c r="X6" s="5"/>
      <c r="Y6" s="13"/>
      <c r="Z6" s="13"/>
      <c r="AA6" s="13"/>
      <c r="AB6" s="13"/>
      <c r="AC6" s="13"/>
      <c r="AD6" s="13"/>
      <c r="AE6" s="13"/>
      <c r="AF6" s="13"/>
      <c r="AG6" s="13"/>
      <c r="AH6" s="13"/>
      <c r="AK6" s="14"/>
    </row>
    <row r="7" spans="1:37" ht="12.75" customHeight="1">
      <c r="B7" s="11" t="s">
        <v>351</v>
      </c>
      <c r="C7" s="101">
        <v>137781</v>
      </c>
      <c r="D7" s="101">
        <v>191973</v>
      </c>
      <c r="E7" s="101">
        <v>205489</v>
      </c>
      <c r="F7" s="101">
        <v>200583</v>
      </c>
      <c r="G7" s="101">
        <v>201183</v>
      </c>
      <c r="H7" s="101"/>
      <c r="I7" s="101">
        <v>71628</v>
      </c>
      <c r="J7" s="101">
        <v>50570</v>
      </c>
      <c r="K7" s="101">
        <v>40665</v>
      </c>
      <c r="L7" s="101">
        <v>42626</v>
      </c>
      <c r="M7" s="101">
        <v>65775</v>
      </c>
      <c r="N7" s="101">
        <v>51334</v>
      </c>
      <c r="O7" s="101">
        <v>39669</v>
      </c>
      <c r="P7" s="101">
        <v>43805</v>
      </c>
      <c r="Q7" s="101">
        <v>69702</v>
      </c>
      <c r="R7" s="101">
        <v>45963</v>
      </c>
      <c r="S7" s="101">
        <v>39296</v>
      </c>
      <c r="T7" s="101">
        <v>46222</v>
      </c>
      <c r="U7" s="101">
        <v>69138</v>
      </c>
      <c r="V7" s="101">
        <v>46841</v>
      </c>
      <c r="W7" s="101">
        <v>44582</v>
      </c>
      <c r="X7" s="5"/>
      <c r="Y7" s="13">
        <f t="shared" ref="Y7:AH9" si="1">SUM(J7:M7)</f>
        <v>199636</v>
      </c>
      <c r="Z7" s="13">
        <f t="shared" si="1"/>
        <v>200400</v>
      </c>
      <c r="AA7" s="13">
        <f t="shared" si="1"/>
        <v>199404</v>
      </c>
      <c r="AB7" s="13">
        <f t="shared" si="1"/>
        <v>200583</v>
      </c>
      <c r="AC7" s="13">
        <f t="shared" si="1"/>
        <v>204510</v>
      </c>
      <c r="AD7" s="13">
        <f t="shared" si="1"/>
        <v>199139</v>
      </c>
      <c r="AE7" s="13">
        <f t="shared" si="1"/>
        <v>198766</v>
      </c>
      <c r="AF7" s="13">
        <f t="shared" si="1"/>
        <v>201183</v>
      </c>
      <c r="AG7" s="13">
        <f t="shared" si="1"/>
        <v>200619</v>
      </c>
      <c r="AH7" s="13">
        <f t="shared" si="1"/>
        <v>201497</v>
      </c>
      <c r="AI7" s="13">
        <f>SUM(T7:W7)</f>
        <v>206783</v>
      </c>
      <c r="AK7" s="14">
        <f t="shared" ref="AK7:AK9" si="2">SUM(AI7/AE7)-1</f>
        <v>4.0333859915679726E-2</v>
      </c>
    </row>
    <row r="8" spans="1:37" ht="12.75" customHeight="1">
      <c r="B8" s="11" t="s">
        <v>352</v>
      </c>
      <c r="C8" s="101">
        <v>28622</v>
      </c>
      <c r="D8" s="101">
        <v>35190</v>
      </c>
      <c r="E8" s="101">
        <v>40177</v>
      </c>
      <c r="F8" s="101">
        <v>29357</v>
      </c>
      <c r="G8" s="101">
        <v>29984</v>
      </c>
      <c r="H8" s="101"/>
      <c r="I8" s="101">
        <v>10852</v>
      </c>
      <c r="J8" s="101">
        <v>10435</v>
      </c>
      <c r="K8" s="101">
        <v>7382</v>
      </c>
      <c r="L8" s="101">
        <v>11508</v>
      </c>
      <c r="M8" s="101">
        <v>7735</v>
      </c>
      <c r="N8" s="101">
        <v>7168</v>
      </c>
      <c r="O8" s="101">
        <v>6840</v>
      </c>
      <c r="P8" s="101">
        <v>7614</v>
      </c>
      <c r="Q8" s="101">
        <v>7780</v>
      </c>
      <c r="R8" s="101">
        <v>7451</v>
      </c>
      <c r="S8" s="101">
        <v>7009</v>
      </c>
      <c r="T8" s="101">
        <v>7744</v>
      </c>
      <c r="U8" s="101">
        <v>8987</v>
      </c>
      <c r="V8" s="101">
        <v>7949</v>
      </c>
      <c r="W8" s="101">
        <v>8046</v>
      </c>
      <c r="X8" s="5"/>
      <c r="Y8" s="13">
        <f t="shared" si="1"/>
        <v>37060</v>
      </c>
      <c r="Z8" s="13">
        <f t="shared" si="1"/>
        <v>33793</v>
      </c>
      <c r="AA8" s="13">
        <f t="shared" si="1"/>
        <v>33251</v>
      </c>
      <c r="AB8" s="13">
        <f t="shared" si="1"/>
        <v>29357</v>
      </c>
      <c r="AC8" s="13">
        <f t="shared" si="1"/>
        <v>29402</v>
      </c>
      <c r="AD8" s="13">
        <f t="shared" si="1"/>
        <v>29685</v>
      </c>
      <c r="AE8" s="13">
        <f t="shared" si="1"/>
        <v>29854</v>
      </c>
      <c r="AF8" s="13">
        <f t="shared" si="1"/>
        <v>29984</v>
      </c>
      <c r="AG8" s="13">
        <f t="shared" si="1"/>
        <v>31191</v>
      </c>
      <c r="AH8" s="13">
        <f t="shared" si="1"/>
        <v>31689</v>
      </c>
      <c r="AI8" s="13">
        <f t="shared" ref="AI8:AI11" si="3">SUM(T8:W8)</f>
        <v>32726</v>
      </c>
      <c r="AK8" s="14">
        <f t="shared" si="2"/>
        <v>9.6201514034970126E-2</v>
      </c>
    </row>
    <row r="9" spans="1:37" ht="12.75" customHeight="1">
      <c r="B9" s="11" t="s">
        <v>353</v>
      </c>
      <c r="C9" s="101">
        <v>23724</v>
      </c>
      <c r="D9" s="101">
        <v>31862</v>
      </c>
      <c r="E9" s="101">
        <v>29292</v>
      </c>
      <c r="F9" s="101">
        <v>28300</v>
      </c>
      <c r="G9" s="101">
        <v>26694</v>
      </c>
      <c r="H9" s="101"/>
      <c r="I9" s="101">
        <v>7248</v>
      </c>
      <c r="J9" s="101">
        <v>7646</v>
      </c>
      <c r="K9" s="101">
        <v>7224</v>
      </c>
      <c r="L9" s="101">
        <v>7174</v>
      </c>
      <c r="M9" s="101">
        <v>9396</v>
      </c>
      <c r="N9" s="101">
        <v>6670</v>
      </c>
      <c r="O9" s="101">
        <v>5791</v>
      </c>
      <c r="P9" s="101">
        <v>6443</v>
      </c>
      <c r="Q9" s="101">
        <v>7023</v>
      </c>
      <c r="R9" s="101">
        <v>5559</v>
      </c>
      <c r="S9" s="101">
        <v>7162</v>
      </c>
      <c r="T9" s="101">
        <v>6950</v>
      </c>
      <c r="U9" s="101">
        <v>8088</v>
      </c>
      <c r="V9" s="101">
        <v>6402</v>
      </c>
      <c r="W9" s="101">
        <v>6581</v>
      </c>
      <c r="X9" s="5"/>
      <c r="Y9" s="13">
        <f t="shared" si="1"/>
        <v>31440</v>
      </c>
      <c r="Z9" s="13">
        <f t="shared" si="1"/>
        <v>30464</v>
      </c>
      <c r="AA9" s="13">
        <f t="shared" si="1"/>
        <v>29031</v>
      </c>
      <c r="AB9" s="13">
        <f t="shared" si="1"/>
        <v>28300</v>
      </c>
      <c r="AC9" s="13">
        <f t="shared" si="1"/>
        <v>25927</v>
      </c>
      <c r="AD9" s="13">
        <f t="shared" si="1"/>
        <v>24816</v>
      </c>
      <c r="AE9" s="13">
        <f t="shared" ref="AE9:AE11" si="4">SUM(P9:S9)</f>
        <v>26187</v>
      </c>
      <c r="AF9" s="13">
        <f t="shared" ref="AF9:AF11" si="5">SUM(Q9:T9)</f>
        <v>26694</v>
      </c>
      <c r="AG9" s="13">
        <f t="shared" ref="AG9:AG11" si="6">SUM(R9:U9)</f>
        <v>27759</v>
      </c>
      <c r="AH9" s="13">
        <f t="shared" ref="AH9:AH11" si="7">SUM(S9:V9)</f>
        <v>28602</v>
      </c>
      <c r="AI9" s="13">
        <f t="shared" si="3"/>
        <v>28021</v>
      </c>
      <c r="AK9" s="14">
        <f t="shared" si="2"/>
        <v>7.0034750066827023E-2</v>
      </c>
    </row>
    <row r="10" spans="1:37" ht="12.75" customHeight="1">
      <c r="B10" s="11" t="s">
        <v>354</v>
      </c>
      <c r="C10" s="101">
        <v>53768</v>
      </c>
      <c r="D10" s="101">
        <v>68425</v>
      </c>
      <c r="E10" s="101">
        <v>78129</v>
      </c>
      <c r="F10" s="101">
        <v>85200</v>
      </c>
      <c r="G10" s="101">
        <v>96169</v>
      </c>
      <c r="H10" s="101"/>
      <c r="I10" s="101">
        <v>19516</v>
      </c>
      <c r="J10" s="101">
        <v>19821</v>
      </c>
      <c r="K10" s="101">
        <v>19604</v>
      </c>
      <c r="L10" s="101">
        <v>19188</v>
      </c>
      <c r="M10" s="101">
        <v>20766</v>
      </c>
      <c r="N10" s="101">
        <v>20907</v>
      </c>
      <c r="O10" s="101">
        <v>21213</v>
      </c>
      <c r="P10" s="101">
        <v>22314</v>
      </c>
      <c r="Q10" s="101">
        <v>23117</v>
      </c>
      <c r="R10" s="101">
        <v>23867</v>
      </c>
      <c r="S10" s="101">
        <v>24213</v>
      </c>
      <c r="T10" s="101">
        <v>24972</v>
      </c>
      <c r="U10" s="101">
        <v>26340</v>
      </c>
      <c r="V10" s="101">
        <v>26645</v>
      </c>
      <c r="W10" s="101">
        <v>27423</v>
      </c>
      <c r="X10" s="5"/>
      <c r="Y10" s="13"/>
      <c r="Z10" s="13"/>
      <c r="AA10" s="13"/>
      <c r="AB10" s="13"/>
      <c r="AC10" s="13"/>
      <c r="AD10" s="13"/>
      <c r="AE10" s="13">
        <f t="shared" si="4"/>
        <v>93511</v>
      </c>
      <c r="AF10" s="13">
        <f t="shared" si="5"/>
        <v>96169</v>
      </c>
      <c r="AG10" s="13">
        <f t="shared" si="6"/>
        <v>99392</v>
      </c>
      <c r="AH10" s="13">
        <f t="shared" si="7"/>
        <v>102170</v>
      </c>
      <c r="AI10" s="13">
        <f t="shared" si="3"/>
        <v>105380</v>
      </c>
      <c r="AK10" s="14"/>
    </row>
    <row r="11" spans="1:37" ht="12.75" customHeight="1">
      <c r="B11" s="11" t="s">
        <v>355</v>
      </c>
      <c r="C11" s="101">
        <v>30620</v>
      </c>
      <c r="D11" s="101">
        <v>38367</v>
      </c>
      <c r="E11" s="101">
        <v>41241</v>
      </c>
      <c r="F11" s="101">
        <v>39845</v>
      </c>
      <c r="G11" s="101">
        <v>37005</v>
      </c>
      <c r="H11" s="101"/>
      <c r="I11" s="101">
        <v>14701</v>
      </c>
      <c r="J11" s="101">
        <v>8806</v>
      </c>
      <c r="K11" s="101">
        <v>8084</v>
      </c>
      <c r="L11" s="101">
        <v>9650</v>
      </c>
      <c r="M11" s="101">
        <v>13482</v>
      </c>
      <c r="N11" s="101">
        <v>8757</v>
      </c>
      <c r="O11" s="101">
        <v>8284</v>
      </c>
      <c r="P11" s="101">
        <v>9322</v>
      </c>
      <c r="Q11" s="101">
        <v>11953</v>
      </c>
      <c r="R11" s="101">
        <v>7913</v>
      </c>
      <c r="S11" s="101">
        <v>8097</v>
      </c>
      <c r="T11" s="101">
        <v>9042</v>
      </c>
      <c r="U11" s="101">
        <v>11747</v>
      </c>
      <c r="V11" s="101">
        <v>7522</v>
      </c>
      <c r="W11" s="101">
        <v>7404</v>
      </c>
      <c r="X11" s="5"/>
      <c r="Y11" s="13"/>
      <c r="Z11" s="13"/>
      <c r="AA11" s="13"/>
      <c r="AB11" s="13"/>
      <c r="AC11" s="13"/>
      <c r="AD11" s="13"/>
      <c r="AE11" s="13">
        <f t="shared" si="4"/>
        <v>37285</v>
      </c>
      <c r="AF11" s="13">
        <f t="shared" si="5"/>
        <v>37005</v>
      </c>
      <c r="AG11" s="13">
        <f t="shared" si="6"/>
        <v>36799</v>
      </c>
      <c r="AH11" s="13">
        <f t="shared" si="7"/>
        <v>36408</v>
      </c>
      <c r="AI11" s="13">
        <f t="shared" si="3"/>
        <v>35715</v>
      </c>
      <c r="AK11" s="14"/>
    </row>
    <row r="12" spans="1:37" ht="12.75" customHeight="1">
      <c r="B12" s="15" t="s">
        <v>117</v>
      </c>
      <c r="C12" s="38">
        <f t="shared" ref="C12:F12" si="8">SUM(C7:C11)</f>
        <v>274515</v>
      </c>
      <c r="D12" s="38">
        <f t="shared" si="8"/>
        <v>365817</v>
      </c>
      <c r="E12" s="38">
        <f t="shared" si="8"/>
        <v>394328</v>
      </c>
      <c r="F12" s="38">
        <f t="shared" si="8"/>
        <v>383285</v>
      </c>
      <c r="G12" s="38">
        <f>SUM(G7:G11)</f>
        <v>391035</v>
      </c>
      <c r="H12" s="13"/>
      <c r="I12" s="38">
        <f t="shared" ref="I12:W12" si="9">SUM(I7:I11)</f>
        <v>123945</v>
      </c>
      <c r="J12" s="38">
        <f t="shared" si="9"/>
        <v>97278</v>
      </c>
      <c r="K12" s="38">
        <f t="shared" si="9"/>
        <v>82959</v>
      </c>
      <c r="L12" s="38">
        <f t="shared" si="9"/>
        <v>90146</v>
      </c>
      <c r="M12" s="38">
        <f t="shared" si="9"/>
        <v>117154</v>
      </c>
      <c r="N12" s="38">
        <f t="shared" si="9"/>
        <v>94836</v>
      </c>
      <c r="O12" s="38">
        <f t="shared" si="9"/>
        <v>81797</v>
      </c>
      <c r="P12" s="38">
        <f t="shared" si="9"/>
        <v>89498</v>
      </c>
      <c r="Q12" s="38">
        <f t="shared" si="9"/>
        <v>119575</v>
      </c>
      <c r="R12" s="38">
        <f t="shared" si="9"/>
        <v>90753</v>
      </c>
      <c r="S12" s="38">
        <f t="shared" si="9"/>
        <v>85777</v>
      </c>
      <c r="T12" s="38">
        <f t="shared" si="9"/>
        <v>94930</v>
      </c>
      <c r="U12" s="38">
        <f t="shared" si="9"/>
        <v>124300</v>
      </c>
      <c r="V12" s="38">
        <f t="shared" si="9"/>
        <v>95359</v>
      </c>
      <c r="W12" s="38">
        <f t="shared" si="9"/>
        <v>94036</v>
      </c>
      <c r="X12" s="5"/>
      <c r="Y12" s="38">
        <f>SUM(Y7:Y9)</f>
        <v>268136</v>
      </c>
      <c r="Z12" s="38">
        <f>SUM(Z7:Z9)</f>
        <v>264657</v>
      </c>
      <c r="AA12" s="38">
        <f>SUM(AA7:AA9)</f>
        <v>261686</v>
      </c>
      <c r="AB12" s="38">
        <f>SUM(AB7:AB9)</f>
        <v>258240</v>
      </c>
      <c r="AC12" s="38">
        <f>SUM(AC7:AC9)</f>
        <v>259839</v>
      </c>
      <c r="AD12" s="38">
        <f>SUM(AD7:AD9)</f>
        <v>253640</v>
      </c>
      <c r="AE12" s="38">
        <f t="shared" ref="AE12" si="10">SUM(AE7:AE11)</f>
        <v>385603</v>
      </c>
      <c r="AF12" s="38">
        <f t="shared" ref="AF12" si="11">SUM(AF7:AF11)</f>
        <v>391035</v>
      </c>
      <c r="AG12" s="38">
        <f t="shared" ref="AG12" si="12">SUM(AG7:AG11)</f>
        <v>395760</v>
      </c>
      <c r="AH12" s="38">
        <f t="shared" ref="AH12" si="13">SUM(AH7:AH11)</f>
        <v>400366</v>
      </c>
      <c r="AI12" s="38">
        <f t="shared" ref="AI12" si="14">SUM(AI7:AI11)</f>
        <v>408625</v>
      </c>
      <c r="AK12" s="17">
        <f t="shared" ref="AK12" si="15">SUM(AI12/AE12)-1</f>
        <v>5.9703892345235987E-2</v>
      </c>
    </row>
    <row r="13" spans="1:37">
      <c r="B13" s="98" t="s">
        <v>102</v>
      </c>
      <c r="C13" s="99">
        <f>C12-'Base Financials'!G9</f>
        <v>0</v>
      </c>
      <c r="D13" s="99">
        <f>D12-'Base Financials'!H9</f>
        <v>0</v>
      </c>
      <c r="E13" s="99">
        <f>E12-'Base Financials'!I9</f>
        <v>0</v>
      </c>
      <c r="F13" s="99">
        <f>F12-'Base Financials'!J9</f>
        <v>0</v>
      </c>
      <c r="G13" s="99">
        <f>G12-'Base Financials'!K9</f>
        <v>0</v>
      </c>
      <c r="H13" s="13"/>
      <c r="I13" s="99">
        <f>I12-'Base Financials'!M9</f>
        <v>0</v>
      </c>
      <c r="J13" s="99">
        <f>J12-'Base Financials'!N9</f>
        <v>0</v>
      </c>
      <c r="K13" s="99">
        <f>K12-'Base Financials'!O9</f>
        <v>0</v>
      </c>
      <c r="L13" s="99">
        <f>L12-'Base Financials'!P9</f>
        <v>0</v>
      </c>
      <c r="M13" s="99">
        <f>M12-'Base Financials'!Q9</f>
        <v>0</v>
      </c>
      <c r="N13" s="99">
        <f>N12-'Base Financials'!R9</f>
        <v>0</v>
      </c>
      <c r="O13" s="99">
        <f>O12-'Base Financials'!S9</f>
        <v>0</v>
      </c>
      <c r="P13" s="99">
        <f>P12-'Base Financials'!T9</f>
        <v>0</v>
      </c>
      <c r="Q13" s="99">
        <f>Q12-'Base Financials'!U9</f>
        <v>0</v>
      </c>
      <c r="R13" s="99">
        <f>R12-'Base Financials'!V9</f>
        <v>0</v>
      </c>
      <c r="S13" s="99">
        <f>S12-'Base Financials'!W9</f>
        <v>0</v>
      </c>
      <c r="T13" s="99">
        <f>T12-'Base Financials'!X9</f>
        <v>0</v>
      </c>
      <c r="U13" s="99">
        <f>U12-'Base Financials'!Y9</f>
        <v>0</v>
      </c>
      <c r="V13" s="99">
        <f>V12-'Base Financials'!Z9</f>
        <v>0</v>
      </c>
      <c r="W13" s="99">
        <f>W12-'Base Financials'!AA9</f>
        <v>0</v>
      </c>
      <c r="X13" s="99"/>
      <c r="Y13" s="99">
        <f>Y12-'Base Financials'!AC9</f>
        <v>-119401</v>
      </c>
      <c r="Z13" s="99">
        <f>Z12-'Base Financials'!AD9</f>
        <v>-120438</v>
      </c>
      <c r="AA13" s="99">
        <f>AA12-'Base Financials'!AE9</f>
        <v>-122247</v>
      </c>
      <c r="AB13" s="99">
        <f>AB12-'Base Financials'!AF9</f>
        <v>-125045</v>
      </c>
      <c r="AC13" s="99">
        <f>AC12-'Base Financials'!AG9</f>
        <v>-125867</v>
      </c>
      <c r="AD13" s="99">
        <f>AD12-'Base Financials'!AH9</f>
        <v>-127983</v>
      </c>
      <c r="AE13" s="99">
        <f>AE12-'Base Financials'!AI9</f>
        <v>0</v>
      </c>
      <c r="AF13" s="99">
        <f>AF12-'Base Financials'!AJ9</f>
        <v>0</v>
      </c>
      <c r="AG13" s="99">
        <f>AG12-'Base Financials'!AK9</f>
        <v>0</v>
      </c>
      <c r="AH13" s="99">
        <f>AH12-'Base Financials'!AL9</f>
        <v>0</v>
      </c>
      <c r="AI13" s="99">
        <f>AI12-'Base Financials'!AM9</f>
        <v>0</v>
      </c>
      <c r="AK13" s="10"/>
    </row>
    <row r="14" spans="1:37">
      <c r="B14" s="22"/>
      <c r="C14" s="23"/>
      <c r="D14" s="23"/>
      <c r="E14" s="23"/>
      <c r="F14" s="23"/>
      <c r="G14" s="23"/>
      <c r="H14" s="24"/>
      <c r="I14" s="25"/>
      <c r="J14" s="25"/>
      <c r="K14" s="25"/>
      <c r="L14" s="26"/>
      <c r="M14" s="25"/>
      <c r="N14" s="25"/>
      <c r="O14" s="25"/>
      <c r="P14" s="26"/>
      <c r="Q14" s="25"/>
      <c r="R14" s="25"/>
      <c r="S14" s="25"/>
      <c r="T14" s="25"/>
      <c r="U14" s="25"/>
      <c r="V14" s="25"/>
      <c r="W14" s="25"/>
      <c r="X14" s="24"/>
      <c r="Y14" s="24"/>
      <c r="Z14" s="24"/>
      <c r="AA14" s="24"/>
      <c r="AB14" s="24"/>
      <c r="AC14" s="24"/>
      <c r="AD14" s="24"/>
      <c r="AE14" s="24"/>
      <c r="AF14" s="24"/>
      <c r="AG14" s="24"/>
      <c r="AH14" s="24"/>
      <c r="AI14" s="24"/>
      <c r="AK14" s="10"/>
    </row>
    <row r="15" spans="1:37">
      <c r="A15" s="100" t="s">
        <v>27</v>
      </c>
      <c r="B15" s="97" t="s">
        <v>348</v>
      </c>
      <c r="C15" s="23"/>
      <c r="D15" s="23"/>
      <c r="E15" s="23"/>
      <c r="F15" s="23"/>
      <c r="G15" s="23"/>
      <c r="H15" s="24"/>
      <c r="I15" s="12"/>
      <c r="J15" s="12"/>
      <c r="K15" s="12"/>
      <c r="L15" s="12"/>
      <c r="M15" s="12"/>
      <c r="N15" s="12"/>
      <c r="O15" s="12"/>
      <c r="P15" s="12"/>
      <c r="Q15" s="12"/>
      <c r="R15" s="12"/>
      <c r="S15" s="12"/>
      <c r="T15" s="12"/>
      <c r="U15" s="12"/>
      <c r="V15" s="12"/>
      <c r="W15" s="12"/>
      <c r="X15" s="24"/>
      <c r="Y15" s="24"/>
      <c r="Z15" s="24"/>
      <c r="AA15" s="24"/>
      <c r="AB15" s="24"/>
      <c r="AC15" s="24"/>
      <c r="AD15" s="24"/>
      <c r="AE15" s="24"/>
      <c r="AF15" s="24"/>
      <c r="AG15" s="24"/>
      <c r="AH15" s="24"/>
      <c r="AI15" s="24"/>
      <c r="AK15" s="10"/>
    </row>
    <row r="16" spans="1:37">
      <c r="B16" s="27" t="s">
        <v>349</v>
      </c>
      <c r="C16" s="101">
        <v>16019.941235781111</v>
      </c>
      <c r="D16" s="101">
        <v>20596.468250037062</v>
      </c>
      <c r="E16" s="101">
        <v>21262.874814638075</v>
      </c>
      <c r="F16" s="101">
        <v>19827.708667754956</v>
      </c>
      <c r="G16" s="101">
        <v>18865.887558652503</v>
      </c>
      <c r="H16" s="102"/>
      <c r="I16" s="101">
        <v>5656.6732810153826</v>
      </c>
      <c r="J16" s="101">
        <v>6070.416823265623</v>
      </c>
      <c r="K16" s="101">
        <v>4391.8203638699251</v>
      </c>
      <c r="L16" s="101">
        <v>5143.9643464871424</v>
      </c>
      <c r="M16" s="101">
        <v>4250.8012662585352</v>
      </c>
      <c r="N16" s="101">
        <v>5709.2464874894149</v>
      </c>
      <c r="O16" s="101">
        <v>4595.9109135155577</v>
      </c>
      <c r="P16" s="101">
        <v>5271.7500004914491</v>
      </c>
      <c r="Q16" s="101">
        <v>4111.1638972660348</v>
      </c>
      <c r="R16" s="101">
        <v>5174.0625123239297</v>
      </c>
      <c r="S16" s="101">
        <v>4782.0889741410156</v>
      </c>
      <c r="T16" s="101">
        <v>4798.5721749215227</v>
      </c>
      <c r="U16" s="101">
        <v>3839.2946798292714</v>
      </c>
      <c r="V16" s="101">
        <v>4674.9385144769194</v>
      </c>
      <c r="W16" s="101">
        <v>4052.9943605544454</v>
      </c>
      <c r="X16" s="24"/>
      <c r="Y16" s="13">
        <f t="shared" ref="Y16:Y17" si="16">SUM(J16:M16)</f>
        <v>19857.002799881226</v>
      </c>
      <c r="Z16" s="13">
        <f t="shared" ref="Z16:Z17" si="17">SUM(K16:N16)</f>
        <v>19495.832464105017</v>
      </c>
      <c r="AA16" s="13">
        <f t="shared" ref="AA16:AA17" si="18">SUM(L16:O16)</f>
        <v>19699.923013750653</v>
      </c>
      <c r="AB16" s="13">
        <f t="shared" ref="AB16:AB17" si="19">SUM(M16:P16)</f>
        <v>19827.708667754956</v>
      </c>
      <c r="AC16" s="13">
        <f t="shared" ref="AC16:AC17" si="20">SUM(N16:Q16)</f>
        <v>19688.071298762457</v>
      </c>
      <c r="AD16" s="13">
        <f t="shared" ref="AD16:AD17" si="21">SUM(O16:R16)</f>
        <v>19152.887323596973</v>
      </c>
      <c r="AE16" s="13">
        <f t="shared" ref="AE16:AE17" si="22">SUM(P16:S16)</f>
        <v>19339.065384222427</v>
      </c>
      <c r="AF16" s="13">
        <f t="shared" ref="AF16:AF17" si="23">SUM(Q16:T16)</f>
        <v>18865.887558652503</v>
      </c>
      <c r="AG16" s="13">
        <f t="shared" ref="AG16:AG17" si="24">SUM(R16:U16)</f>
        <v>18594.018341215738</v>
      </c>
      <c r="AH16" s="13">
        <f t="shared" ref="AH16:AH17" si="25">SUM(S16:V16)</f>
        <v>18094.894343368727</v>
      </c>
      <c r="AI16" s="13">
        <f>SUM(T16:W16)</f>
        <v>17365.79972978216</v>
      </c>
      <c r="AK16" s="14">
        <f t="shared" ref="AK16:AK18" si="26">SUM(AI16/AE16)-1</f>
        <v>-0.10203521293485751</v>
      </c>
    </row>
    <row r="17" spans="2:37">
      <c r="B17" s="27" t="s">
        <v>350</v>
      </c>
      <c r="C17" s="101">
        <v>14229.125</v>
      </c>
      <c r="D17" s="101">
        <v>17479.962499999998</v>
      </c>
      <c r="E17" s="101">
        <v>19750.272421999998</v>
      </c>
      <c r="F17" s="101">
        <v>19838.6175886565</v>
      </c>
      <c r="G17" s="101">
        <v>17999.00248468385</v>
      </c>
      <c r="H17" s="102"/>
      <c r="I17" s="101">
        <v>8954.0149999999976</v>
      </c>
      <c r="J17" s="101">
        <v>2690.9820000000004</v>
      </c>
      <c r="K17" s="101">
        <v>3644.038125</v>
      </c>
      <c r="L17" s="101">
        <v>4461.2372969999997</v>
      </c>
      <c r="M17" s="101">
        <v>9160.4076040399996</v>
      </c>
      <c r="N17" s="101">
        <v>3012.7634767440004</v>
      </c>
      <c r="O17" s="101">
        <v>3650.3329405724994</v>
      </c>
      <c r="P17" s="101">
        <v>4015.1135673000003</v>
      </c>
      <c r="Q17" s="101">
        <v>7786.346463433998</v>
      </c>
      <c r="R17" s="101">
        <v>2711.4871290696005</v>
      </c>
      <c r="S17" s="101">
        <v>3285.2996465152496</v>
      </c>
      <c r="T17" s="101">
        <v>4215.8692456650006</v>
      </c>
      <c r="U17" s="101">
        <v>7864.2099280683387</v>
      </c>
      <c r="V17" s="101">
        <v>2847.0614855230806</v>
      </c>
      <c r="W17" s="101">
        <v>3351.0056394455546</v>
      </c>
      <c r="X17" s="24"/>
      <c r="Y17" s="13">
        <f t="shared" si="16"/>
        <v>19956.665026039998</v>
      </c>
      <c r="Z17" s="13">
        <f t="shared" si="17"/>
        <v>20278.446502783998</v>
      </c>
      <c r="AA17" s="13">
        <f t="shared" si="18"/>
        <v>20284.741318356497</v>
      </c>
      <c r="AB17" s="13">
        <f t="shared" si="19"/>
        <v>19838.6175886565</v>
      </c>
      <c r="AC17" s="13">
        <f t="shared" si="20"/>
        <v>18464.556448050498</v>
      </c>
      <c r="AD17" s="13">
        <f t="shared" si="21"/>
        <v>18163.280100376098</v>
      </c>
      <c r="AE17" s="13">
        <f t="shared" si="22"/>
        <v>17798.24680631885</v>
      </c>
      <c r="AF17" s="13">
        <f t="shared" si="23"/>
        <v>17999.00248468385</v>
      </c>
      <c r="AG17" s="13">
        <f t="shared" si="24"/>
        <v>18076.865949318191</v>
      </c>
      <c r="AH17" s="13">
        <f t="shared" si="25"/>
        <v>18212.44030577167</v>
      </c>
      <c r="AI17" s="13">
        <f>SUM(T17:W17)</f>
        <v>18278.146298701973</v>
      </c>
      <c r="AK17" s="14">
        <f t="shared" si="26"/>
        <v>2.6963301363634562E-2</v>
      </c>
    </row>
    <row r="18" spans="2:37">
      <c r="B18" s="15" t="s">
        <v>118</v>
      </c>
      <c r="C18" s="16">
        <f>SUM(C16:C17)</f>
        <v>30249.066235781109</v>
      </c>
      <c r="D18" s="16">
        <f>SUM(D16:D17)</f>
        <v>38076.430750037063</v>
      </c>
      <c r="E18" s="16">
        <f>SUM(E16:E17)</f>
        <v>41013.147236638077</v>
      </c>
      <c r="F18" s="16">
        <f>SUM(F16:F17)</f>
        <v>39666.326256411456</v>
      </c>
      <c r="G18" s="16">
        <f>SUM(G16:G17)</f>
        <v>36864.890043336352</v>
      </c>
      <c r="H18" s="13"/>
      <c r="I18" s="16">
        <f>SUM(I16:I17)</f>
        <v>14610.68828101538</v>
      </c>
      <c r="J18" s="16">
        <f>SUM(J16:J17)</f>
        <v>8761.3988232656229</v>
      </c>
      <c r="K18" s="16">
        <f>SUM(K16:K17)</f>
        <v>8035.8584888699252</v>
      </c>
      <c r="L18" s="16">
        <f>SUM(L16:L17)</f>
        <v>9605.2016434871421</v>
      </c>
      <c r="M18" s="16">
        <f>SUM(M16:M17)</f>
        <v>13411.208870298535</v>
      </c>
      <c r="N18" s="16">
        <f>SUM(N16:N17)</f>
        <v>8722.0099642334153</v>
      </c>
      <c r="O18" s="16">
        <f>SUM(O16:O17)</f>
        <v>8246.2438540880576</v>
      </c>
      <c r="P18" s="16">
        <f>SUM(P16:P17)</f>
        <v>9286.8635677914499</v>
      </c>
      <c r="Q18" s="16">
        <f>SUM(Q16:Q17)</f>
        <v>11897.510360700033</v>
      </c>
      <c r="R18" s="16">
        <f>SUM(R16:R17)</f>
        <v>7885.5496413935307</v>
      </c>
      <c r="S18" s="16">
        <f>SUM(S16:S17)</f>
        <v>8067.3886206562656</v>
      </c>
      <c r="T18" s="16">
        <f>SUM(T16:T17)</f>
        <v>9014.4414205865232</v>
      </c>
      <c r="U18" s="16">
        <f>SUM(U16:U17)</f>
        <v>11703.50460789761</v>
      </c>
      <c r="V18" s="16">
        <f>SUM(V16:V17)</f>
        <v>7522</v>
      </c>
      <c r="W18" s="16">
        <f>SUM(W16:W17)</f>
        <v>7404</v>
      </c>
      <c r="X18" s="5"/>
      <c r="Y18" s="16">
        <f>SUM(Y16:Y17)</f>
        <v>39813.66782592122</v>
      </c>
      <c r="Z18" s="16">
        <f>SUM(Z16:Z17)</f>
        <v>39774.278966889018</v>
      </c>
      <c r="AA18" s="16">
        <f>SUM(AA16:AA17)</f>
        <v>39984.664332107146</v>
      </c>
      <c r="AB18" s="16">
        <f>SUM(AB16:AB17)</f>
        <v>39666.326256411456</v>
      </c>
      <c r="AC18" s="16">
        <f>SUM(AC16:AC17)</f>
        <v>38152.627746812956</v>
      </c>
      <c r="AD18" s="16">
        <f>SUM(AD16:AD17)</f>
        <v>37316.167423973071</v>
      </c>
      <c r="AE18" s="16">
        <f>SUM(AE16:AE17)</f>
        <v>37137.312190541277</v>
      </c>
      <c r="AF18" s="16">
        <f>SUM(AF16:AF17)</f>
        <v>36864.890043336352</v>
      </c>
      <c r="AG18" s="16">
        <f>SUM(AG16:AG17)</f>
        <v>36670.884290533926</v>
      </c>
      <c r="AH18" s="16">
        <f>SUM(AH16:AH17)</f>
        <v>36307.334649140394</v>
      </c>
      <c r="AI18" s="16">
        <f>SUM(AI16:AI17)</f>
        <v>35643.946028484133</v>
      </c>
      <c r="AK18" s="17">
        <f t="shared" si="26"/>
        <v>-4.0212015193643924E-2</v>
      </c>
    </row>
    <row r="19" spans="2:37">
      <c r="B19" s="98" t="s">
        <v>102</v>
      </c>
      <c r="C19" s="99">
        <f>C11-C18</f>
        <v>370.93376421889116</v>
      </c>
      <c r="D19" s="99">
        <f t="shared" ref="D19:G19" si="27">D11-D18</f>
        <v>290.56924996293674</v>
      </c>
      <c r="E19" s="99">
        <f t="shared" si="27"/>
        <v>227.85276336192328</v>
      </c>
      <c r="F19" s="99">
        <f t="shared" si="27"/>
        <v>178.67374358854431</v>
      </c>
      <c r="G19" s="99">
        <f t="shared" si="27"/>
        <v>140.10995666364761</v>
      </c>
      <c r="H19" s="24"/>
      <c r="I19" s="99">
        <f t="shared" ref="I19" si="28">I11-I18</f>
        <v>90.311718984619802</v>
      </c>
      <c r="J19" s="99">
        <f t="shared" ref="J19" si="29">J11-J18</f>
        <v>44.601176734377077</v>
      </c>
      <c r="K19" s="99">
        <f t="shared" ref="K19" si="30">K11-K18</f>
        <v>48.141511130074832</v>
      </c>
      <c r="L19" s="99">
        <f t="shared" ref="L19" si="31">L11-L18</f>
        <v>44.798356512857936</v>
      </c>
      <c r="M19" s="99">
        <f t="shared" ref="M19" si="32">M11-M18</f>
        <v>70.791129701465252</v>
      </c>
      <c r="N19" s="99">
        <f t="shared" ref="N19" si="33">N11-N18</f>
        <v>34.990035766584697</v>
      </c>
      <c r="O19" s="99">
        <f t="shared" ref="O19" si="34">O11-O18</f>
        <v>37.75614591194244</v>
      </c>
      <c r="P19" s="99">
        <f t="shared" ref="P19" si="35">P11-P18</f>
        <v>35.136432208550104</v>
      </c>
      <c r="Q19" s="99">
        <f t="shared" ref="Q19" si="36">Q11-Q18</f>
        <v>55.489639299967166</v>
      </c>
      <c r="R19" s="99">
        <f t="shared" ref="R19" si="37">R11-R18</f>
        <v>27.450358606469308</v>
      </c>
      <c r="S19" s="99">
        <f t="shared" ref="S19" si="38">S11-S18</f>
        <v>29.61137934373437</v>
      </c>
      <c r="T19" s="99">
        <f t="shared" ref="T19" si="39">T11-T18</f>
        <v>27.558579413476764</v>
      </c>
      <c r="U19" s="99">
        <f t="shared" ref="U19" si="40">U11-U18</f>
        <v>43.495392102389815</v>
      </c>
      <c r="V19" s="99">
        <f t="shared" ref="V19" si="41">V11-V18</f>
        <v>0</v>
      </c>
      <c r="W19" s="99">
        <f t="shared" ref="W19" si="42">W11-W18</f>
        <v>0</v>
      </c>
      <c r="X19" s="24"/>
      <c r="Y19" s="99">
        <f>Y7-Y18</f>
        <v>159822.33217407879</v>
      </c>
      <c r="Z19" s="99">
        <f>Z7-Z18</f>
        <v>160625.72103311098</v>
      </c>
      <c r="AA19" s="99">
        <f>AA7-AA18</f>
        <v>159419.33566789285</v>
      </c>
      <c r="AB19" s="99">
        <f>AB7-AB18</f>
        <v>160916.67374358856</v>
      </c>
      <c r="AC19" s="99">
        <f>AC7-AC18</f>
        <v>166357.37225318706</v>
      </c>
      <c r="AD19" s="99">
        <f>AD7-AD18</f>
        <v>161822.83257602694</v>
      </c>
      <c r="AE19" s="99">
        <f>AE7-AE18</f>
        <v>161628.68780945873</v>
      </c>
      <c r="AF19" s="99">
        <f>AF7-AF18</f>
        <v>164318.10995666365</v>
      </c>
      <c r="AG19" s="99">
        <f>AG7-AG18</f>
        <v>163948.11570946607</v>
      </c>
      <c r="AH19" s="99">
        <f>AH7-AH18</f>
        <v>165189.66535085961</v>
      </c>
      <c r="AI19" s="99">
        <f>AI7-AI18</f>
        <v>171139.05397151585</v>
      </c>
      <c r="AK19" s="10"/>
    </row>
  </sheetData>
  <mergeCells count="1">
    <mergeCell ref="AK2:AK4"/>
  </mergeCells>
  <pageMargins left="0.7" right="0.7" top="0.75" bottom="0.75" header="0.3" footer="0.3"/>
  <ignoredErrors>
    <ignoredError sqref="Y16:AI17 AE7:AI1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0D2-A617-43BF-9493-F1D2AA08251E}">
  <sheetPr>
    <tabColor theme="6" tint="-0.249977111117893"/>
  </sheetPr>
  <dimension ref="A2:AL82"/>
  <sheetViews>
    <sheetView showGridLines="0" topLeftCell="A47" zoomScale="115" zoomScaleNormal="115" workbookViewId="0">
      <selection activeCell="E22" sqref="E22"/>
    </sheetView>
  </sheetViews>
  <sheetFormatPr defaultRowHeight="12" outlineLevelCol="1"/>
  <cols>
    <col min="1" max="1" width="1.5" style="9" customWidth="1"/>
    <col min="2" max="2" width="46.5" style="9" bestFit="1" customWidth="1"/>
    <col min="3" max="4" width="8.25" style="9" customWidth="1" outlineLevel="1"/>
    <col min="5" max="5" width="8.625" style="9" bestFit="1" customWidth="1"/>
    <col min="6" max="6" width="8.25" style="9" bestFit="1" customWidth="1"/>
    <col min="7" max="7" width="9" style="9"/>
    <col min="8" max="8" width="1.5" style="9" customWidth="1"/>
    <col min="9" max="11" width="7.875" style="9" hidden="1" customWidth="1" outlineLevel="1"/>
    <col min="12" max="12" width="8.75" style="9" hidden="1" customWidth="1" outlineLevel="1"/>
    <col min="13" max="15" width="8" style="9" hidden="1" customWidth="1" outlineLevel="1"/>
    <col min="16" max="16" width="8.75" style="9" hidden="1" customWidth="1" outlineLevel="1"/>
    <col min="17" max="17" width="8.5" style="9" hidden="1" customWidth="1" outlineLevel="1"/>
    <col min="18" max="18" width="8.25" style="9" hidden="1" customWidth="1" outlineLevel="1"/>
    <col min="19" max="19" width="8.5" style="9" bestFit="1" customWidth="1" collapsed="1"/>
    <col min="20" max="23" width="9.125" style="9" bestFit="1" customWidth="1"/>
    <col min="24" max="24" width="1.5" style="9" customWidth="1"/>
    <col min="25" max="31" width="8.75" style="9" hidden="1" customWidth="1" outlineLevel="1"/>
    <col min="32" max="32" width="8.75" style="9" customWidth="1" collapsed="1"/>
    <col min="33" max="35" width="8.75" style="9" hidden="1" customWidth="1" outlineLevel="1"/>
    <col min="36" max="36" width="8.75" style="9" bestFit="1" customWidth="1" collapsed="1"/>
    <col min="37" max="37" width="1.5" style="9" customWidth="1"/>
    <col min="38" max="38" width="9.875" style="9" bestFit="1" customWidth="1"/>
    <col min="39" max="16384" width="9" style="9"/>
  </cols>
  <sheetData>
    <row r="2" spans="2:38" s="5" customFormat="1" ht="12.75" customHeight="1">
      <c r="B2" s="1" t="s">
        <v>308</v>
      </c>
      <c r="C2" s="2" t="s">
        <v>0</v>
      </c>
      <c r="D2" s="2"/>
      <c r="E2" s="2"/>
      <c r="F2" s="2"/>
      <c r="G2" s="2"/>
      <c r="H2" s="3"/>
      <c r="I2" s="2" t="s">
        <v>1</v>
      </c>
      <c r="J2" s="2"/>
      <c r="K2" s="2"/>
      <c r="L2" s="2"/>
      <c r="M2" s="2"/>
      <c r="N2" s="2"/>
      <c r="O2" s="2"/>
      <c r="P2" s="2"/>
      <c r="Q2" s="2" t="s">
        <v>1</v>
      </c>
      <c r="R2" s="2"/>
      <c r="S2" s="2" t="s">
        <v>1</v>
      </c>
      <c r="T2" s="2"/>
      <c r="U2" s="2"/>
      <c r="V2" s="2"/>
      <c r="W2" s="2"/>
      <c r="X2" s="3"/>
      <c r="Y2" s="2" t="s">
        <v>10</v>
      </c>
      <c r="Z2" s="2"/>
      <c r="AA2" s="2"/>
      <c r="AB2" s="2"/>
      <c r="AC2" s="2" t="s">
        <v>10</v>
      </c>
      <c r="AD2" s="2"/>
      <c r="AE2" s="2"/>
      <c r="AF2" s="2" t="s">
        <v>10</v>
      </c>
      <c r="AG2" s="2"/>
      <c r="AH2" s="2"/>
      <c r="AI2" s="2"/>
      <c r="AJ2" s="2"/>
      <c r="AK2" s="3"/>
      <c r="AL2" s="4" t="s">
        <v>40</v>
      </c>
    </row>
    <row r="3" spans="2:38" s="5" customFormat="1" ht="12.75" customHeight="1">
      <c r="B3" s="6" t="s">
        <v>41</v>
      </c>
      <c r="C3" s="7">
        <f>'Base Financials'!G3</f>
        <v>2020</v>
      </c>
      <c r="D3" s="7">
        <f>'Base Financials'!H3</f>
        <v>2021</v>
      </c>
      <c r="E3" s="7">
        <f>'Base Financials'!I3</f>
        <v>2022</v>
      </c>
      <c r="F3" s="7">
        <f>'Base Financials'!J3</f>
        <v>2023</v>
      </c>
      <c r="G3" s="7">
        <f>'Base Financials'!K3</f>
        <v>2024</v>
      </c>
      <c r="H3" s="3"/>
      <c r="I3" s="7" t="str">
        <f>'Base Financials'!M3</f>
        <v>1Q22</v>
      </c>
      <c r="J3" s="7" t="str">
        <f>'Base Financials'!N3</f>
        <v>2Q22</v>
      </c>
      <c r="K3" s="7" t="str">
        <f>'Base Financials'!O3</f>
        <v>3Q22</v>
      </c>
      <c r="L3" s="7" t="str">
        <f>'Base Financials'!P3</f>
        <v>4Q22</v>
      </c>
      <c r="M3" s="7" t="str">
        <f>'Base Financials'!Q3</f>
        <v>1Q23</v>
      </c>
      <c r="N3" s="7" t="str">
        <f>'Base Financials'!R3</f>
        <v>2Q23</v>
      </c>
      <c r="O3" s="7" t="str">
        <f>'Base Financials'!S3</f>
        <v>3Q23</v>
      </c>
      <c r="P3" s="7" t="str">
        <f>'Base Financials'!T3</f>
        <v>4Q23</v>
      </c>
      <c r="Q3" s="7" t="str">
        <f>'Base Financials'!U3</f>
        <v>1Q24</v>
      </c>
      <c r="R3" s="7" t="str">
        <f>'Base Financials'!V3</f>
        <v>2Q24</v>
      </c>
      <c r="S3" s="7" t="str">
        <f>'Base Financials'!W3</f>
        <v>3Q24</v>
      </c>
      <c r="T3" s="7" t="str">
        <f>'Base Financials'!X3</f>
        <v>4Q24</v>
      </c>
      <c r="U3" s="7" t="str">
        <f>'Base Financials'!Y3</f>
        <v>1Q25</v>
      </c>
      <c r="V3" s="7" t="str">
        <f>'Base Financials'!Z3</f>
        <v>2Q25</v>
      </c>
      <c r="W3" s="7" t="str">
        <f>'Base Financials'!AA3</f>
        <v>3Q25</v>
      </c>
      <c r="X3" s="3"/>
      <c r="Y3" s="8" t="str">
        <f>L3</f>
        <v>4Q22</v>
      </c>
      <c r="Z3" s="8" t="str">
        <f>M3</f>
        <v>1Q23</v>
      </c>
      <c r="AA3" s="8" t="str">
        <f>N3</f>
        <v>2Q23</v>
      </c>
      <c r="AB3" s="8" t="str">
        <f>O3</f>
        <v>3Q23</v>
      </c>
      <c r="AC3" s="8" t="str">
        <f>P3</f>
        <v>4Q23</v>
      </c>
      <c r="AD3" s="8" t="str">
        <f>Q3</f>
        <v>1Q24</v>
      </c>
      <c r="AE3" s="8" t="str">
        <f>R3</f>
        <v>2Q24</v>
      </c>
      <c r="AF3" s="8" t="str">
        <f>S3</f>
        <v>3Q24</v>
      </c>
      <c r="AG3" s="8" t="str">
        <f>T3</f>
        <v>4Q24</v>
      </c>
      <c r="AH3" s="8" t="str">
        <f>U3</f>
        <v>1Q25</v>
      </c>
      <c r="AI3" s="8" t="str">
        <f>V3</f>
        <v>2Q25</v>
      </c>
      <c r="AJ3" s="8" t="str">
        <f>W3</f>
        <v>3Q25</v>
      </c>
      <c r="AK3" s="3"/>
      <c r="AL3" s="4"/>
    </row>
    <row r="4" spans="2:38" s="5" customFormat="1" ht="12.75" customHeight="1">
      <c r="B4" s="6" t="s">
        <v>48</v>
      </c>
      <c r="C4" s="3">
        <f>'Base Financials'!G4</f>
        <v>44104</v>
      </c>
      <c r="D4" s="3">
        <f>'Base Financials'!H4</f>
        <v>44469</v>
      </c>
      <c r="E4" s="3">
        <f>'Base Financials'!I4</f>
        <v>44834</v>
      </c>
      <c r="F4" s="3">
        <f>'Base Financials'!J4</f>
        <v>45192</v>
      </c>
      <c r="G4" s="3">
        <f>'Base Financials'!K4</f>
        <v>45559</v>
      </c>
      <c r="H4" s="3"/>
      <c r="I4" s="3">
        <f>'Base Financials'!M4</f>
        <v>44560</v>
      </c>
      <c r="J4" s="3">
        <f>'Base Financials'!N4</f>
        <v>44650</v>
      </c>
      <c r="K4" s="3">
        <f>'Base Financials'!O4</f>
        <v>44742</v>
      </c>
      <c r="L4" s="3">
        <f>'Base Financials'!P4</f>
        <v>44834</v>
      </c>
      <c r="M4" s="3">
        <f>'Base Financials'!Q4</f>
        <v>44917</v>
      </c>
      <c r="N4" s="3">
        <f>'Base Financials'!R4</f>
        <v>45008</v>
      </c>
      <c r="O4" s="3">
        <f>'Base Financials'!S4</f>
        <v>45100</v>
      </c>
      <c r="P4" s="3">
        <f>'Base Financials'!T4</f>
        <v>45192</v>
      </c>
      <c r="Q4" s="3">
        <f>'Base Financials'!U4</f>
        <v>45283</v>
      </c>
      <c r="R4" s="3">
        <f>'Base Financials'!V4</f>
        <v>45375</v>
      </c>
      <c r="S4" s="3">
        <f>'Base Financials'!W4</f>
        <v>45467</v>
      </c>
      <c r="T4" s="3">
        <f>'Base Financials'!X4</f>
        <v>45559</v>
      </c>
      <c r="U4" s="3">
        <f>'Base Financials'!Y4</f>
        <v>45650</v>
      </c>
      <c r="V4" s="3">
        <f>'Base Financials'!Z4</f>
        <v>45741</v>
      </c>
      <c r="W4" s="3">
        <f>'Base Financials'!AA4</f>
        <v>45833</v>
      </c>
      <c r="X4" s="3"/>
      <c r="Y4" s="3">
        <f>L4</f>
        <v>44834</v>
      </c>
      <c r="Z4" s="3">
        <f>M4</f>
        <v>44917</v>
      </c>
      <c r="AA4" s="3">
        <f>N4</f>
        <v>45008</v>
      </c>
      <c r="AB4" s="3">
        <f>O4</f>
        <v>45100</v>
      </c>
      <c r="AC4" s="3">
        <f>P4</f>
        <v>45192</v>
      </c>
      <c r="AD4" s="3">
        <f>Q4</f>
        <v>45283</v>
      </c>
      <c r="AE4" s="3">
        <f>R4</f>
        <v>45375</v>
      </c>
      <c r="AF4" s="3">
        <f>S4</f>
        <v>45467</v>
      </c>
      <c r="AG4" s="3">
        <f>T4</f>
        <v>45559</v>
      </c>
      <c r="AH4" s="3">
        <f>U4</f>
        <v>45650</v>
      </c>
      <c r="AI4" s="3">
        <f>V4</f>
        <v>45741</v>
      </c>
      <c r="AJ4" s="3">
        <f>W4</f>
        <v>45833</v>
      </c>
      <c r="AK4" s="3"/>
      <c r="AL4" s="4"/>
    </row>
    <row r="5" spans="2:38" ht="5.0999999999999996" customHeight="1">
      <c r="AL5" s="10"/>
    </row>
    <row r="6" spans="2:38" ht="12.75" customHeight="1">
      <c r="B6" s="11" t="str">
        <f>'Revenue Drivers'!B7</f>
        <v>iPhone Revenue</v>
      </c>
      <c r="C6" s="225">
        <f>'Revenue Drivers'!C7</f>
        <v>137781</v>
      </c>
      <c r="D6" s="225">
        <f>'Revenue Drivers'!D7</f>
        <v>191973</v>
      </c>
      <c r="E6" s="225">
        <f>'Revenue Drivers'!E7</f>
        <v>205489</v>
      </c>
      <c r="F6" s="225">
        <f>'Revenue Drivers'!F7</f>
        <v>200583</v>
      </c>
      <c r="G6" s="225">
        <f>'Revenue Drivers'!G7</f>
        <v>201183</v>
      </c>
      <c r="H6" s="12"/>
      <c r="I6" s="225">
        <f>'Revenue Drivers'!I7</f>
        <v>71628</v>
      </c>
      <c r="J6" s="225">
        <f>'Revenue Drivers'!J7</f>
        <v>50570</v>
      </c>
      <c r="K6" s="225">
        <f>'Revenue Drivers'!K7</f>
        <v>40665</v>
      </c>
      <c r="L6" s="225">
        <f>'Revenue Drivers'!L7</f>
        <v>42626</v>
      </c>
      <c r="M6" s="225">
        <f>'Revenue Drivers'!M7</f>
        <v>65775</v>
      </c>
      <c r="N6" s="225">
        <f>'Revenue Drivers'!N7</f>
        <v>51334</v>
      </c>
      <c r="O6" s="225">
        <f>'Revenue Drivers'!O7</f>
        <v>39669</v>
      </c>
      <c r="P6" s="225">
        <f>'Revenue Drivers'!P7</f>
        <v>43805</v>
      </c>
      <c r="Q6" s="225">
        <f>'Revenue Drivers'!Q7</f>
        <v>69702</v>
      </c>
      <c r="R6" s="225">
        <f>'Revenue Drivers'!R7</f>
        <v>45963</v>
      </c>
      <c r="S6" s="225">
        <f>'Revenue Drivers'!S7</f>
        <v>39296</v>
      </c>
      <c r="T6" s="225">
        <f>'Revenue Drivers'!T7</f>
        <v>46222</v>
      </c>
      <c r="U6" s="225">
        <f>'Revenue Drivers'!U7</f>
        <v>69138</v>
      </c>
      <c r="V6" s="225">
        <f>'Revenue Drivers'!V7</f>
        <v>46841</v>
      </c>
      <c r="W6" s="225">
        <f>'Revenue Drivers'!W7</f>
        <v>44582</v>
      </c>
      <c r="X6" s="5"/>
      <c r="Y6" s="12">
        <f t="shared" ref="Y6:Y10" si="0">SUM(I6:L6)</f>
        <v>205489</v>
      </c>
      <c r="Z6" s="12">
        <f t="shared" ref="Z6:Z10" si="1">SUM(J6:M6)</f>
        <v>199636</v>
      </c>
      <c r="AA6" s="12">
        <f t="shared" ref="AA6:AA10" si="2">SUM(K6:N6)</f>
        <v>200400</v>
      </c>
      <c r="AB6" s="12">
        <f t="shared" ref="AB6:AB10" si="3">SUM(L6:O6)</f>
        <v>199404</v>
      </c>
      <c r="AC6" s="12">
        <f t="shared" ref="AC6:AC10" si="4">SUM(M6:P6)</f>
        <v>200583</v>
      </c>
      <c r="AD6" s="12">
        <f t="shared" ref="AD6:AD10" si="5">SUM(N6:Q6)</f>
        <v>204510</v>
      </c>
      <c r="AE6" s="12">
        <f t="shared" ref="AE6:AE10" si="6">SUM(O6:R6)</f>
        <v>199139</v>
      </c>
      <c r="AF6" s="12">
        <f t="shared" ref="AF6:AF10" si="7">SUM(P6:S6)</f>
        <v>198766</v>
      </c>
      <c r="AG6" s="12">
        <f t="shared" ref="AG6:AG10" si="8">SUM(Q6:T6)</f>
        <v>201183</v>
      </c>
      <c r="AH6" s="12">
        <f t="shared" ref="AH6:AH10" si="9">SUM(R6:U6)</f>
        <v>200619</v>
      </c>
      <c r="AI6" s="12">
        <f t="shared" ref="AI6:AI10" si="10">SUM(S6:V6)</f>
        <v>201497</v>
      </c>
      <c r="AJ6" s="12">
        <f>SUM(T6:W6)</f>
        <v>206783</v>
      </c>
      <c r="AL6" s="14">
        <f>SUM(AJ6/AF6)-1</f>
        <v>4.0333859915679726E-2</v>
      </c>
    </row>
    <row r="7" spans="2:38" ht="12.75" customHeight="1">
      <c r="B7" s="11" t="str">
        <f>'Revenue Drivers'!B8</f>
        <v>Mac Revenue</v>
      </c>
      <c r="C7" s="225">
        <f>'Revenue Drivers'!C8</f>
        <v>28622</v>
      </c>
      <c r="D7" s="225">
        <f>'Revenue Drivers'!D8</f>
        <v>35190</v>
      </c>
      <c r="E7" s="225">
        <f>'Revenue Drivers'!E8</f>
        <v>40177</v>
      </c>
      <c r="F7" s="225">
        <f>'Revenue Drivers'!F8</f>
        <v>29357</v>
      </c>
      <c r="G7" s="225">
        <f>'Revenue Drivers'!G8</f>
        <v>29984</v>
      </c>
      <c r="H7" s="12"/>
      <c r="I7" s="225">
        <f>'Revenue Drivers'!I8</f>
        <v>10852</v>
      </c>
      <c r="J7" s="225">
        <f>'Revenue Drivers'!J8</f>
        <v>10435</v>
      </c>
      <c r="K7" s="225">
        <f>'Revenue Drivers'!K8</f>
        <v>7382</v>
      </c>
      <c r="L7" s="225">
        <f>'Revenue Drivers'!L8</f>
        <v>11508</v>
      </c>
      <c r="M7" s="225">
        <f>'Revenue Drivers'!M8</f>
        <v>7735</v>
      </c>
      <c r="N7" s="225">
        <f>'Revenue Drivers'!N8</f>
        <v>7168</v>
      </c>
      <c r="O7" s="225">
        <f>'Revenue Drivers'!O8</f>
        <v>6840</v>
      </c>
      <c r="P7" s="225">
        <f>'Revenue Drivers'!P8</f>
        <v>7614</v>
      </c>
      <c r="Q7" s="225">
        <f>'Revenue Drivers'!Q8</f>
        <v>7780</v>
      </c>
      <c r="R7" s="225">
        <f>'Revenue Drivers'!R8</f>
        <v>7451</v>
      </c>
      <c r="S7" s="225">
        <f>'Revenue Drivers'!S8</f>
        <v>7009</v>
      </c>
      <c r="T7" s="225">
        <f>'Revenue Drivers'!T8</f>
        <v>7744</v>
      </c>
      <c r="U7" s="225">
        <f>'Revenue Drivers'!U8</f>
        <v>8987</v>
      </c>
      <c r="V7" s="225">
        <f>'Revenue Drivers'!V8</f>
        <v>7949</v>
      </c>
      <c r="W7" s="225">
        <f>'Revenue Drivers'!W8</f>
        <v>8046</v>
      </c>
      <c r="X7" s="5"/>
      <c r="Y7" s="12">
        <f t="shared" si="0"/>
        <v>40177</v>
      </c>
      <c r="Z7" s="12">
        <f t="shared" si="1"/>
        <v>37060</v>
      </c>
      <c r="AA7" s="12">
        <f t="shared" si="2"/>
        <v>33793</v>
      </c>
      <c r="AB7" s="12">
        <f t="shared" si="3"/>
        <v>33251</v>
      </c>
      <c r="AC7" s="12">
        <f t="shared" si="4"/>
        <v>29357</v>
      </c>
      <c r="AD7" s="12">
        <f t="shared" si="5"/>
        <v>29402</v>
      </c>
      <c r="AE7" s="12">
        <f t="shared" si="6"/>
        <v>29685</v>
      </c>
      <c r="AF7" s="12">
        <f t="shared" si="7"/>
        <v>29854</v>
      </c>
      <c r="AG7" s="12">
        <f t="shared" si="8"/>
        <v>29984</v>
      </c>
      <c r="AH7" s="12">
        <f t="shared" si="9"/>
        <v>31191</v>
      </c>
      <c r="AI7" s="12">
        <f t="shared" si="10"/>
        <v>31689</v>
      </c>
      <c r="AJ7" s="12">
        <f t="shared" ref="AJ7:AJ10" si="11">SUM(T7:W7)</f>
        <v>32726</v>
      </c>
      <c r="AL7" s="14">
        <f t="shared" ref="AL7:AL11" si="12">SUM(AJ7/AF7)-1</f>
        <v>9.6201514034970126E-2</v>
      </c>
    </row>
    <row r="8" spans="2:38" ht="12.75" customHeight="1">
      <c r="B8" s="11" t="str">
        <f>'Revenue Drivers'!B9</f>
        <v>iPad Revenue</v>
      </c>
      <c r="C8" s="225">
        <f>'Revenue Drivers'!C9</f>
        <v>23724</v>
      </c>
      <c r="D8" s="225">
        <f>'Revenue Drivers'!D9</f>
        <v>31862</v>
      </c>
      <c r="E8" s="225">
        <f>'Revenue Drivers'!E9</f>
        <v>29292</v>
      </c>
      <c r="F8" s="225">
        <f>'Revenue Drivers'!F9</f>
        <v>28300</v>
      </c>
      <c r="G8" s="225">
        <f>'Revenue Drivers'!G9</f>
        <v>26694</v>
      </c>
      <c r="H8" s="12"/>
      <c r="I8" s="225">
        <f>'Revenue Drivers'!I9</f>
        <v>7248</v>
      </c>
      <c r="J8" s="225">
        <f>'Revenue Drivers'!J9</f>
        <v>7646</v>
      </c>
      <c r="K8" s="225">
        <f>'Revenue Drivers'!K9</f>
        <v>7224</v>
      </c>
      <c r="L8" s="225">
        <f>'Revenue Drivers'!L9</f>
        <v>7174</v>
      </c>
      <c r="M8" s="225">
        <f>'Revenue Drivers'!M9</f>
        <v>9396</v>
      </c>
      <c r="N8" s="225">
        <f>'Revenue Drivers'!N9</f>
        <v>6670</v>
      </c>
      <c r="O8" s="225">
        <f>'Revenue Drivers'!O9</f>
        <v>5791</v>
      </c>
      <c r="P8" s="225">
        <f>'Revenue Drivers'!P9</f>
        <v>6443</v>
      </c>
      <c r="Q8" s="225">
        <f>'Revenue Drivers'!Q9</f>
        <v>7023</v>
      </c>
      <c r="R8" s="225">
        <f>'Revenue Drivers'!R9</f>
        <v>5559</v>
      </c>
      <c r="S8" s="225">
        <f>'Revenue Drivers'!S9</f>
        <v>7162</v>
      </c>
      <c r="T8" s="225">
        <f>'Revenue Drivers'!T9</f>
        <v>6950</v>
      </c>
      <c r="U8" s="225">
        <f>'Revenue Drivers'!U9</f>
        <v>8088</v>
      </c>
      <c r="V8" s="225">
        <f>'Revenue Drivers'!V9</f>
        <v>6402</v>
      </c>
      <c r="W8" s="225">
        <f>'Revenue Drivers'!W9</f>
        <v>6581</v>
      </c>
      <c r="X8" s="5"/>
      <c r="Y8" s="12">
        <f t="shared" si="0"/>
        <v>29292</v>
      </c>
      <c r="Z8" s="12">
        <f t="shared" si="1"/>
        <v>31440</v>
      </c>
      <c r="AA8" s="12">
        <f t="shared" si="2"/>
        <v>30464</v>
      </c>
      <c r="AB8" s="12">
        <f t="shared" si="3"/>
        <v>29031</v>
      </c>
      <c r="AC8" s="12">
        <f t="shared" si="4"/>
        <v>28300</v>
      </c>
      <c r="AD8" s="12">
        <f t="shared" si="5"/>
        <v>25927</v>
      </c>
      <c r="AE8" s="12">
        <f t="shared" si="6"/>
        <v>24816</v>
      </c>
      <c r="AF8" s="12">
        <f t="shared" si="7"/>
        <v>26187</v>
      </c>
      <c r="AG8" s="12">
        <f t="shared" si="8"/>
        <v>26694</v>
      </c>
      <c r="AH8" s="12">
        <f t="shared" si="9"/>
        <v>27759</v>
      </c>
      <c r="AI8" s="12">
        <f t="shared" si="10"/>
        <v>28602</v>
      </c>
      <c r="AJ8" s="12">
        <f t="shared" si="11"/>
        <v>28021</v>
      </c>
      <c r="AL8" s="14">
        <f t="shared" si="12"/>
        <v>7.0034750066827023E-2</v>
      </c>
    </row>
    <row r="9" spans="2:38" ht="12.75" customHeight="1">
      <c r="B9" s="11" t="str">
        <f>'Revenue Drivers'!B10</f>
        <v>Services Revenue</v>
      </c>
      <c r="C9" s="225">
        <f>'Revenue Drivers'!C10</f>
        <v>53768</v>
      </c>
      <c r="D9" s="225">
        <f>'Revenue Drivers'!D10</f>
        <v>68425</v>
      </c>
      <c r="E9" s="225">
        <f>'Revenue Drivers'!E10</f>
        <v>78129</v>
      </c>
      <c r="F9" s="225">
        <f>'Revenue Drivers'!F10</f>
        <v>85200</v>
      </c>
      <c r="G9" s="225">
        <f>'Revenue Drivers'!G10</f>
        <v>96169</v>
      </c>
      <c r="H9" s="12"/>
      <c r="I9" s="225">
        <f>'Revenue Drivers'!I10</f>
        <v>19516</v>
      </c>
      <c r="J9" s="225">
        <f>'Revenue Drivers'!J10</f>
        <v>19821</v>
      </c>
      <c r="K9" s="225">
        <f>'Revenue Drivers'!K10</f>
        <v>19604</v>
      </c>
      <c r="L9" s="225">
        <f>'Revenue Drivers'!L10</f>
        <v>19188</v>
      </c>
      <c r="M9" s="225">
        <f>'Revenue Drivers'!M10</f>
        <v>20766</v>
      </c>
      <c r="N9" s="225">
        <f>'Revenue Drivers'!N10</f>
        <v>20907</v>
      </c>
      <c r="O9" s="225">
        <f>'Revenue Drivers'!O10</f>
        <v>21213</v>
      </c>
      <c r="P9" s="225">
        <f>'Revenue Drivers'!P10</f>
        <v>22314</v>
      </c>
      <c r="Q9" s="225">
        <f>'Revenue Drivers'!Q10</f>
        <v>23117</v>
      </c>
      <c r="R9" s="225">
        <f>'Revenue Drivers'!R10</f>
        <v>23867</v>
      </c>
      <c r="S9" s="225">
        <f>'Revenue Drivers'!S10</f>
        <v>24213</v>
      </c>
      <c r="T9" s="225">
        <f>'Revenue Drivers'!T10</f>
        <v>24972</v>
      </c>
      <c r="U9" s="225">
        <f>'Revenue Drivers'!U10</f>
        <v>26340</v>
      </c>
      <c r="V9" s="225">
        <f>'Revenue Drivers'!V10</f>
        <v>26645</v>
      </c>
      <c r="W9" s="225">
        <f>'Revenue Drivers'!W10</f>
        <v>27423</v>
      </c>
      <c r="X9" s="5"/>
      <c r="Y9" s="12">
        <f t="shared" si="0"/>
        <v>78129</v>
      </c>
      <c r="Z9" s="12">
        <f t="shared" si="1"/>
        <v>79379</v>
      </c>
      <c r="AA9" s="12">
        <f t="shared" si="2"/>
        <v>80465</v>
      </c>
      <c r="AB9" s="12">
        <f t="shared" si="3"/>
        <v>82074</v>
      </c>
      <c r="AC9" s="12">
        <f t="shared" si="4"/>
        <v>85200</v>
      </c>
      <c r="AD9" s="12">
        <f t="shared" si="5"/>
        <v>87551</v>
      </c>
      <c r="AE9" s="12">
        <f t="shared" si="6"/>
        <v>90511</v>
      </c>
      <c r="AF9" s="12">
        <f t="shared" si="7"/>
        <v>93511</v>
      </c>
      <c r="AG9" s="12">
        <f t="shared" si="8"/>
        <v>96169</v>
      </c>
      <c r="AH9" s="12">
        <f t="shared" si="9"/>
        <v>99392</v>
      </c>
      <c r="AI9" s="12">
        <f t="shared" si="10"/>
        <v>102170</v>
      </c>
      <c r="AJ9" s="12">
        <f t="shared" si="11"/>
        <v>105380</v>
      </c>
      <c r="AL9" s="14">
        <f t="shared" si="12"/>
        <v>0.12692624397129748</v>
      </c>
    </row>
    <row r="10" spans="2:38" ht="12.75" customHeight="1">
      <c r="B10" s="11" t="str">
        <f>'Revenue Drivers'!B11</f>
        <v>Wearables, Home, and Accessories Revenue</v>
      </c>
      <c r="C10" s="225">
        <f>'Revenue Drivers'!C11</f>
        <v>30620</v>
      </c>
      <c r="D10" s="225">
        <f>'Revenue Drivers'!D11</f>
        <v>38367</v>
      </c>
      <c r="E10" s="225">
        <f>'Revenue Drivers'!E11</f>
        <v>41241</v>
      </c>
      <c r="F10" s="225">
        <f>'Revenue Drivers'!F11</f>
        <v>39845</v>
      </c>
      <c r="G10" s="225">
        <f>'Revenue Drivers'!G11</f>
        <v>37005</v>
      </c>
      <c r="H10" s="12"/>
      <c r="I10" s="225">
        <f>'Revenue Drivers'!I11</f>
        <v>14701</v>
      </c>
      <c r="J10" s="225">
        <f>'Revenue Drivers'!J11</f>
        <v>8806</v>
      </c>
      <c r="K10" s="225">
        <f>'Revenue Drivers'!K11</f>
        <v>8084</v>
      </c>
      <c r="L10" s="225">
        <f>'Revenue Drivers'!L11</f>
        <v>9650</v>
      </c>
      <c r="M10" s="225">
        <f>'Revenue Drivers'!M11</f>
        <v>13482</v>
      </c>
      <c r="N10" s="225">
        <f>'Revenue Drivers'!N11</f>
        <v>8757</v>
      </c>
      <c r="O10" s="225">
        <f>'Revenue Drivers'!O11</f>
        <v>8284</v>
      </c>
      <c r="P10" s="225">
        <f>'Revenue Drivers'!P11</f>
        <v>9322</v>
      </c>
      <c r="Q10" s="225">
        <f>'Revenue Drivers'!Q11</f>
        <v>11953</v>
      </c>
      <c r="R10" s="225">
        <f>'Revenue Drivers'!R11</f>
        <v>7913</v>
      </c>
      <c r="S10" s="225">
        <f>'Revenue Drivers'!S11</f>
        <v>8097</v>
      </c>
      <c r="T10" s="225">
        <f>'Revenue Drivers'!T11</f>
        <v>9042</v>
      </c>
      <c r="U10" s="225">
        <f>'Revenue Drivers'!U11</f>
        <v>11747</v>
      </c>
      <c r="V10" s="225">
        <f>'Revenue Drivers'!V11</f>
        <v>7522</v>
      </c>
      <c r="W10" s="225">
        <f>'Revenue Drivers'!W11</f>
        <v>7404</v>
      </c>
      <c r="X10" s="5"/>
      <c r="Y10" s="12">
        <f t="shared" si="0"/>
        <v>41241</v>
      </c>
      <c r="Z10" s="12">
        <f t="shared" si="1"/>
        <v>40022</v>
      </c>
      <c r="AA10" s="12">
        <f t="shared" si="2"/>
        <v>39973</v>
      </c>
      <c r="AB10" s="12">
        <f t="shared" si="3"/>
        <v>40173</v>
      </c>
      <c r="AC10" s="12">
        <f t="shared" si="4"/>
        <v>39845</v>
      </c>
      <c r="AD10" s="12">
        <f t="shared" si="5"/>
        <v>38316</v>
      </c>
      <c r="AE10" s="12">
        <f t="shared" si="6"/>
        <v>37472</v>
      </c>
      <c r="AF10" s="12">
        <f t="shared" si="7"/>
        <v>37285</v>
      </c>
      <c r="AG10" s="12">
        <f t="shared" si="8"/>
        <v>37005</v>
      </c>
      <c r="AH10" s="12">
        <f t="shared" si="9"/>
        <v>36799</v>
      </c>
      <c r="AI10" s="12">
        <f t="shared" si="10"/>
        <v>36408</v>
      </c>
      <c r="AJ10" s="12">
        <f t="shared" si="11"/>
        <v>35715</v>
      </c>
      <c r="AL10" s="14">
        <f t="shared" si="12"/>
        <v>-4.2108086361807739E-2</v>
      </c>
    </row>
    <row r="11" spans="2:38" ht="12.75" customHeight="1">
      <c r="B11" s="15" t="s">
        <v>13</v>
      </c>
      <c r="C11" s="16">
        <f>SUM(C6:C10)</f>
        <v>274515</v>
      </c>
      <c r="D11" s="16">
        <f t="shared" ref="D11:G11" si="13">SUM(D6:D10)</f>
        <v>365817</v>
      </c>
      <c r="E11" s="16">
        <f t="shared" si="13"/>
        <v>394328</v>
      </c>
      <c r="F11" s="16">
        <f t="shared" si="13"/>
        <v>383285</v>
      </c>
      <c r="G11" s="16">
        <f t="shared" si="13"/>
        <v>391035</v>
      </c>
      <c r="H11" s="12"/>
      <c r="I11" s="16">
        <f t="shared" ref="I11" si="14">SUM(I6:I10)</f>
        <v>123945</v>
      </c>
      <c r="J11" s="16">
        <f t="shared" ref="J11" si="15">SUM(J6:J10)</f>
        <v>97278</v>
      </c>
      <c r="K11" s="16">
        <f t="shared" ref="K11" si="16">SUM(K6:K10)</f>
        <v>82959</v>
      </c>
      <c r="L11" s="16">
        <f t="shared" ref="L11" si="17">SUM(L6:L10)</f>
        <v>90146</v>
      </c>
      <c r="M11" s="16">
        <f t="shared" ref="M11" si="18">SUM(M6:M10)</f>
        <v>117154</v>
      </c>
      <c r="N11" s="16">
        <f t="shared" ref="N11" si="19">SUM(N6:N10)</f>
        <v>94836</v>
      </c>
      <c r="O11" s="16">
        <f t="shared" ref="O11" si="20">SUM(O6:O10)</f>
        <v>81797</v>
      </c>
      <c r="P11" s="16">
        <f t="shared" ref="P11" si="21">SUM(P6:P10)</f>
        <v>89498</v>
      </c>
      <c r="Q11" s="16">
        <f t="shared" ref="Q11" si="22">SUM(Q6:Q10)</f>
        <v>119575</v>
      </c>
      <c r="R11" s="16">
        <f t="shared" ref="R11" si="23">SUM(R6:R10)</f>
        <v>90753</v>
      </c>
      <c r="S11" s="16">
        <f t="shared" ref="S11" si="24">SUM(S6:S10)</f>
        <v>85777</v>
      </c>
      <c r="T11" s="16">
        <f t="shared" ref="T11" si="25">SUM(T6:T10)</f>
        <v>94930</v>
      </c>
      <c r="U11" s="16">
        <f t="shared" ref="U11" si="26">SUM(U6:U10)</f>
        <v>124300</v>
      </c>
      <c r="V11" s="16">
        <f t="shared" ref="V11" si="27">SUM(V6:V10)</f>
        <v>95359</v>
      </c>
      <c r="W11" s="16">
        <f t="shared" ref="W11" si="28">SUM(W6:W10)</f>
        <v>94036</v>
      </c>
      <c r="X11" s="5"/>
      <c r="Y11" s="16">
        <f t="shared" ref="Y11" si="29">SUM(Y6:Y10)</f>
        <v>394328</v>
      </c>
      <c r="Z11" s="16">
        <f t="shared" ref="Z11" si="30">SUM(Z6:Z10)</f>
        <v>387537</v>
      </c>
      <c r="AA11" s="16">
        <f t="shared" ref="AA11" si="31">SUM(AA6:AA10)</f>
        <v>385095</v>
      </c>
      <c r="AB11" s="16">
        <f t="shared" ref="AB11" si="32">SUM(AB6:AB10)</f>
        <v>383933</v>
      </c>
      <c r="AC11" s="16">
        <f t="shared" ref="AC11" si="33">SUM(AC6:AC10)</f>
        <v>383285</v>
      </c>
      <c r="AD11" s="16">
        <f t="shared" ref="AD11" si="34">SUM(AD6:AD10)</f>
        <v>385706</v>
      </c>
      <c r="AE11" s="16">
        <f t="shared" ref="AE11" si="35">SUM(AE6:AE10)</f>
        <v>381623</v>
      </c>
      <c r="AF11" s="16">
        <f t="shared" ref="AF11" si="36">SUM(AF6:AF10)</f>
        <v>385603</v>
      </c>
      <c r="AG11" s="16">
        <f t="shared" ref="AG11" si="37">SUM(AG6:AG10)</f>
        <v>391035</v>
      </c>
      <c r="AH11" s="16">
        <f t="shared" ref="AH11" si="38">SUM(AH6:AH10)</f>
        <v>395760</v>
      </c>
      <c r="AI11" s="16">
        <f t="shared" ref="AI11" si="39">SUM(AI6:AI10)</f>
        <v>400366</v>
      </c>
      <c r="AJ11" s="16">
        <f t="shared" ref="AJ11" si="40">SUM(AJ6:AJ10)</f>
        <v>408625</v>
      </c>
      <c r="AL11" s="17">
        <f t="shared" si="12"/>
        <v>5.9703892345235987E-2</v>
      </c>
    </row>
    <row r="12" spans="2:38" ht="12.75" customHeight="1">
      <c r="B12" s="18" t="s">
        <v>49</v>
      </c>
      <c r="C12" s="19"/>
      <c r="D12" s="20">
        <f>SUM(D11/C11)-1</f>
        <v>0.33259384733074704</v>
      </c>
      <c r="E12" s="20">
        <f>SUM(E11/D11)-1</f>
        <v>7.7937876041846099E-2</v>
      </c>
      <c r="F12" s="20">
        <f t="shared" ref="F12:G12" si="41">SUM(F11/E11)-1</f>
        <v>-2.800460530319937E-2</v>
      </c>
      <c r="G12" s="20">
        <f t="shared" si="41"/>
        <v>2.021994077514111E-2</v>
      </c>
      <c r="H12" s="13"/>
      <c r="I12" s="19"/>
      <c r="J12" s="19"/>
      <c r="K12" s="19"/>
      <c r="L12" s="19"/>
      <c r="M12" s="20">
        <f>SUM(M11/I11)-1</f>
        <v>-5.4790431239662762E-2</v>
      </c>
      <c r="N12" s="20">
        <f t="shared" ref="N12:W12" si="42">SUM(N11/J11)-1</f>
        <v>-2.5103312156911084E-2</v>
      </c>
      <c r="O12" s="20">
        <f t="shared" si="42"/>
        <v>-1.4006919080509661E-2</v>
      </c>
      <c r="P12" s="20">
        <f t="shared" si="42"/>
        <v>-7.1883389168682088E-3</v>
      </c>
      <c r="Q12" s="20">
        <f t="shared" si="42"/>
        <v>2.0665107465387411E-2</v>
      </c>
      <c r="R12" s="20">
        <f t="shared" si="42"/>
        <v>-4.3053270909781061E-2</v>
      </c>
      <c r="S12" s="20">
        <f t="shared" si="42"/>
        <v>4.8657041211780383E-2</v>
      </c>
      <c r="T12" s="20">
        <f t="shared" si="42"/>
        <v>6.0694093722764686E-2</v>
      </c>
      <c r="U12" s="20">
        <f t="shared" si="42"/>
        <v>3.9514948776918191E-2</v>
      </c>
      <c r="V12" s="20">
        <f t="shared" si="42"/>
        <v>5.075314314678292E-2</v>
      </c>
      <c r="W12" s="20">
        <f t="shared" si="42"/>
        <v>9.628455180293094E-2</v>
      </c>
      <c r="X12" s="5"/>
      <c r="Y12" s="19"/>
      <c r="Z12" s="19"/>
      <c r="AA12" s="19"/>
      <c r="AB12" s="19"/>
      <c r="AC12" s="20">
        <f t="shared" ref="AC12:AF12" si="43">SUM(AC11/Y11)-1</f>
        <v>-2.800460530319937E-2</v>
      </c>
      <c r="AD12" s="20">
        <f t="shared" si="43"/>
        <v>-4.7247101567076122E-3</v>
      </c>
      <c r="AE12" s="20">
        <f t="shared" si="43"/>
        <v>-9.0159571014943873E-3</v>
      </c>
      <c r="AF12" s="20">
        <f t="shared" si="43"/>
        <v>4.3497172683775176E-3</v>
      </c>
      <c r="AG12" s="20">
        <f>SUM(AG11/AC11)-1</f>
        <v>2.021994077514111E-2</v>
      </c>
      <c r="AH12" s="20">
        <f t="shared" ref="AH12:AJ12" si="44">SUM(AH11/AD11)-1</f>
        <v>2.6066485872659584E-2</v>
      </c>
      <c r="AI12" s="20">
        <f t="shared" si="44"/>
        <v>4.9113916089963183E-2</v>
      </c>
      <c r="AJ12" s="20">
        <f t="shared" si="44"/>
        <v>5.9703892345235987E-2</v>
      </c>
      <c r="AL12" s="21">
        <f>SUM(AJ12-AF12)*10000</f>
        <v>553.54175076858473</v>
      </c>
    </row>
    <row r="13" spans="2:38" ht="12.75" customHeight="1">
      <c r="B13" s="18" t="s">
        <v>50</v>
      </c>
      <c r="C13" s="20" t="s">
        <v>51</v>
      </c>
      <c r="D13" s="20" t="s">
        <v>51</v>
      </c>
      <c r="E13" s="20" t="s">
        <v>51</v>
      </c>
      <c r="F13" s="20" t="s">
        <v>51</v>
      </c>
      <c r="G13" s="20" t="s">
        <v>51</v>
      </c>
      <c r="H13" s="13"/>
      <c r="I13" s="19"/>
      <c r="J13" s="20">
        <f>SUM(J11/I11)-1</f>
        <v>-0.21515188188309331</v>
      </c>
      <c r="K13" s="20">
        <f t="shared" ref="K13:W13" si="45">SUM(K11/J11)-1</f>
        <v>-0.14719669401097879</v>
      </c>
      <c r="L13" s="20">
        <f t="shared" si="45"/>
        <v>8.6633156137368994E-2</v>
      </c>
      <c r="M13" s="20">
        <f t="shared" si="45"/>
        <v>0.29960286646107415</v>
      </c>
      <c r="N13" s="20">
        <f t="shared" si="45"/>
        <v>-0.19050139133106847</v>
      </c>
      <c r="O13" s="20">
        <f t="shared" si="45"/>
        <v>-0.13748998270698887</v>
      </c>
      <c r="P13" s="20">
        <f t="shared" si="45"/>
        <v>9.4147707128623193E-2</v>
      </c>
      <c r="Q13" s="20">
        <f t="shared" si="45"/>
        <v>0.33606337571789324</v>
      </c>
      <c r="R13" s="20">
        <f t="shared" si="45"/>
        <v>-0.24103700606314027</v>
      </c>
      <c r="S13" s="20">
        <f t="shared" si="45"/>
        <v>-5.4830143356142447E-2</v>
      </c>
      <c r="T13" s="20">
        <f t="shared" si="45"/>
        <v>0.10670692609907095</v>
      </c>
      <c r="U13" s="20">
        <f t="shared" si="45"/>
        <v>0.30938586326767092</v>
      </c>
      <c r="V13" s="20">
        <f t="shared" si="45"/>
        <v>-0.23283185840707965</v>
      </c>
      <c r="W13" s="20">
        <f t="shared" si="45"/>
        <v>-1.387388710032611E-2</v>
      </c>
      <c r="X13" s="5"/>
      <c r="Y13" s="20" t="s">
        <v>51</v>
      </c>
      <c r="Z13" s="20" t="s">
        <v>51</v>
      </c>
      <c r="AA13" s="20" t="s">
        <v>51</v>
      </c>
      <c r="AB13" s="20" t="s">
        <v>51</v>
      </c>
      <c r="AC13" s="20" t="s">
        <v>51</v>
      </c>
      <c r="AD13" s="20" t="s">
        <v>51</v>
      </c>
      <c r="AE13" s="20" t="s">
        <v>51</v>
      </c>
      <c r="AF13" s="20" t="s">
        <v>51</v>
      </c>
      <c r="AG13" s="20" t="s">
        <v>51</v>
      </c>
      <c r="AH13" s="20" t="s">
        <v>51</v>
      </c>
      <c r="AI13" s="20" t="s">
        <v>51</v>
      </c>
      <c r="AJ13" s="20" t="s">
        <v>51</v>
      </c>
      <c r="AL13" s="10"/>
    </row>
    <row r="14" spans="2:38" ht="5.0999999999999996" customHeight="1">
      <c r="B14" s="22"/>
      <c r="C14" s="225"/>
      <c r="D14" s="23"/>
      <c r="E14" s="23"/>
      <c r="F14" s="23"/>
      <c r="G14" s="23"/>
      <c r="H14" s="24"/>
      <c r="I14" s="25"/>
      <c r="J14" s="25"/>
      <c r="K14" s="25"/>
      <c r="L14" s="26"/>
      <c r="M14" s="25"/>
      <c r="N14" s="25"/>
      <c r="O14" s="25"/>
      <c r="P14" s="26"/>
      <c r="Q14" s="25"/>
      <c r="R14" s="25"/>
      <c r="S14" s="25"/>
      <c r="T14" s="25"/>
      <c r="U14" s="25"/>
      <c r="V14" s="25"/>
      <c r="W14" s="25"/>
      <c r="X14" s="24"/>
      <c r="Y14" s="24"/>
      <c r="Z14" s="24"/>
      <c r="AA14" s="24"/>
      <c r="AB14" s="24"/>
      <c r="AC14" s="24"/>
      <c r="AD14" s="24"/>
      <c r="AE14" s="24"/>
      <c r="AF14" s="24"/>
      <c r="AG14" s="24"/>
      <c r="AH14" s="24"/>
      <c r="AI14" s="24"/>
      <c r="AJ14" s="24"/>
      <c r="AL14" s="10"/>
    </row>
    <row r="15" spans="2:38" ht="12.75" customHeight="1">
      <c r="B15" s="27" t="s">
        <v>52</v>
      </c>
      <c r="C15" s="225">
        <f>'Base Financials'!G11</f>
        <v>-169559</v>
      </c>
      <c r="D15" s="225">
        <f>'Base Financials'!H11</f>
        <v>-212981</v>
      </c>
      <c r="E15" s="225">
        <f>'Base Financials'!I11</f>
        <v>-223546</v>
      </c>
      <c r="F15" s="225">
        <f>'Base Financials'!J11</f>
        <v>-214137</v>
      </c>
      <c r="G15" s="225">
        <f>'Base Financials'!K11</f>
        <v>-210352</v>
      </c>
      <c r="H15" s="12"/>
      <c r="I15" s="225">
        <f>'Base Financials'!M11</f>
        <v>-69702</v>
      </c>
      <c r="J15" s="225">
        <f>'Base Financials'!N11</f>
        <v>-54719</v>
      </c>
      <c r="K15" s="225">
        <f>'Base Financials'!O11</f>
        <v>-47074</v>
      </c>
      <c r="L15" s="225">
        <f>'Base Financials'!P11</f>
        <v>-52051</v>
      </c>
      <c r="M15" s="225">
        <f>'Base Financials'!Q11</f>
        <v>-66822</v>
      </c>
      <c r="N15" s="225">
        <f>'Base Financials'!R11</f>
        <v>-52860</v>
      </c>
      <c r="O15" s="225">
        <f>'Base Financials'!S11</f>
        <v>-45384</v>
      </c>
      <c r="P15" s="225">
        <f>'Base Financials'!T11</f>
        <v>-49071</v>
      </c>
      <c r="Q15" s="225">
        <f>'Base Financials'!U11</f>
        <v>-64720</v>
      </c>
      <c r="R15" s="225">
        <f>'Base Financials'!V11</f>
        <v>-48482</v>
      </c>
      <c r="S15" s="225">
        <f>'Base Financials'!W11</f>
        <v>-46099</v>
      </c>
      <c r="T15" s="225">
        <f>'Base Financials'!X11</f>
        <v>-51051</v>
      </c>
      <c r="U15" s="225">
        <f>'Base Financials'!Y11</f>
        <v>-66025</v>
      </c>
      <c r="V15" s="225">
        <f>'Base Financials'!Z11</f>
        <v>-50492</v>
      </c>
      <c r="W15" s="225">
        <f>'Base Financials'!AA11</f>
        <v>-50318</v>
      </c>
      <c r="X15" s="5"/>
      <c r="Y15" s="13">
        <f t="shared" ref="Y15" si="46">SUM(I15:L15)</f>
        <v>-223546</v>
      </c>
      <c r="Z15" s="13">
        <f>SUM(J15:M15)</f>
        <v>-220666</v>
      </c>
      <c r="AA15" s="13">
        <f>SUM(K15:N15)</f>
        <v>-218807</v>
      </c>
      <c r="AB15" s="13">
        <f>SUM(L15:O15)</f>
        <v>-217117</v>
      </c>
      <c r="AC15" s="13">
        <f>SUM(M15:P15)</f>
        <v>-214137</v>
      </c>
      <c r="AD15" s="13">
        <f>SUM(N15:Q15)</f>
        <v>-212035</v>
      </c>
      <c r="AE15" s="12">
        <f>SUM(O15:R15)</f>
        <v>-207657</v>
      </c>
      <c r="AF15" s="12">
        <f>SUM(P15:S15)</f>
        <v>-208372</v>
      </c>
      <c r="AG15" s="12">
        <f>SUM(Q15:T15)</f>
        <v>-210352</v>
      </c>
      <c r="AH15" s="12">
        <f>SUM(R15:U15)</f>
        <v>-211657</v>
      </c>
      <c r="AI15" s="12">
        <f>SUM(S15:V15)</f>
        <v>-213667</v>
      </c>
      <c r="AJ15" s="12">
        <f>SUM(T15:W15)</f>
        <v>-217886</v>
      </c>
      <c r="AL15" s="14">
        <f t="shared" ref="AL15:AL16" si="47">SUM(AJ15/AF15)-1</f>
        <v>4.5658725740502559E-2</v>
      </c>
    </row>
    <row r="16" spans="2:38" ht="12.75" customHeight="1">
      <c r="B16" s="29" t="s">
        <v>33</v>
      </c>
      <c r="C16" s="30">
        <f>+C11+C15</f>
        <v>104956</v>
      </c>
      <c r="D16" s="30">
        <f>+D11+D15</f>
        <v>152836</v>
      </c>
      <c r="E16" s="30">
        <f>+E11+E15</f>
        <v>170782</v>
      </c>
      <c r="F16" s="30">
        <f>+F11+F15</f>
        <v>169148</v>
      </c>
      <c r="G16" s="30">
        <f>+G11+G15</f>
        <v>180683</v>
      </c>
      <c r="H16" s="5"/>
      <c r="I16" s="30">
        <f>+I11+I15</f>
        <v>54243</v>
      </c>
      <c r="J16" s="30">
        <f>+J11+J15</f>
        <v>42559</v>
      </c>
      <c r="K16" s="30">
        <f>+K11+K15</f>
        <v>35885</v>
      </c>
      <c r="L16" s="30">
        <f>+L11+L15</f>
        <v>38095</v>
      </c>
      <c r="M16" s="30">
        <f>+M11+M15</f>
        <v>50332</v>
      </c>
      <c r="N16" s="30">
        <f>+N11+N15</f>
        <v>41976</v>
      </c>
      <c r="O16" s="30">
        <f>+O11+O15</f>
        <v>36413</v>
      </c>
      <c r="P16" s="30">
        <f>+P11+P15</f>
        <v>40427</v>
      </c>
      <c r="Q16" s="30">
        <f>+Q11+Q15</f>
        <v>54855</v>
      </c>
      <c r="R16" s="30">
        <f>+R11+R15</f>
        <v>42271</v>
      </c>
      <c r="S16" s="30">
        <f>+S11+S15</f>
        <v>39678</v>
      </c>
      <c r="T16" s="30">
        <f>+T11+T15</f>
        <v>43879</v>
      </c>
      <c r="U16" s="30">
        <f>+U11+U15</f>
        <v>58275</v>
      </c>
      <c r="V16" s="30">
        <f>+V11+V15</f>
        <v>44867</v>
      </c>
      <c r="W16" s="30">
        <f>+W11+W15</f>
        <v>43718</v>
      </c>
      <c r="X16" s="5"/>
      <c r="Y16" s="30">
        <f>+Y11+Y15</f>
        <v>170782</v>
      </c>
      <c r="Z16" s="30">
        <f>+Z11+Z15</f>
        <v>166871</v>
      </c>
      <c r="AA16" s="30">
        <f>+AA11+AA15</f>
        <v>166288</v>
      </c>
      <c r="AB16" s="30">
        <f>+AB11+AB15</f>
        <v>166816</v>
      </c>
      <c r="AC16" s="30">
        <f>+AC11+AC15</f>
        <v>169148</v>
      </c>
      <c r="AD16" s="30">
        <f>+AD11+AD15</f>
        <v>173671</v>
      </c>
      <c r="AE16" s="30">
        <f>+AE11+AE15</f>
        <v>173966</v>
      </c>
      <c r="AF16" s="30">
        <f>+AF11+AF15</f>
        <v>177231</v>
      </c>
      <c r="AG16" s="30">
        <f>+AG11+AG15</f>
        <v>180683</v>
      </c>
      <c r="AH16" s="30">
        <f>+AH11+AH15</f>
        <v>184103</v>
      </c>
      <c r="AI16" s="30">
        <f>+AI11+AI15</f>
        <v>186699</v>
      </c>
      <c r="AJ16" s="30">
        <f>+AJ11+AJ15</f>
        <v>190739</v>
      </c>
      <c r="AL16" s="17">
        <f t="shared" si="47"/>
        <v>7.6216914648114642E-2</v>
      </c>
    </row>
    <row r="17" spans="2:38" ht="12.75" customHeight="1">
      <c r="B17" s="18" t="s">
        <v>53</v>
      </c>
      <c r="C17" s="20">
        <f>C16/C11</f>
        <v>0.38233247727810865</v>
      </c>
      <c r="D17" s="20">
        <f>D16/D11</f>
        <v>0.41779359625167778</v>
      </c>
      <c r="E17" s="20">
        <f>E16/E11</f>
        <v>0.43309630561360085</v>
      </c>
      <c r="F17" s="20">
        <f>F16/F11</f>
        <v>0.44131129577207562</v>
      </c>
      <c r="G17" s="20">
        <f>G16/G11</f>
        <v>0.46206349815233932</v>
      </c>
      <c r="H17" s="31"/>
      <c r="I17" s="20">
        <f>I16/I11</f>
        <v>0.43763766186615033</v>
      </c>
      <c r="J17" s="20">
        <f>J16/J11</f>
        <v>0.43749871502292398</v>
      </c>
      <c r="K17" s="20">
        <f>K16/K11</f>
        <v>0.43256307332537758</v>
      </c>
      <c r="L17" s="20">
        <f>L16/L11</f>
        <v>0.4225922392563175</v>
      </c>
      <c r="M17" s="20">
        <f>M16/M11</f>
        <v>0.42962254809908323</v>
      </c>
      <c r="N17" s="20">
        <f>N16/N11</f>
        <v>0.44261672782487665</v>
      </c>
      <c r="O17" s="20">
        <f>O16/O11</f>
        <v>0.44516302553883397</v>
      </c>
      <c r="P17" s="20">
        <f>P16/P11</f>
        <v>0.45170841806520817</v>
      </c>
      <c r="Q17" s="20">
        <f>Q16/Q11</f>
        <v>0.45874973865774621</v>
      </c>
      <c r="R17" s="20">
        <f>R16/R11</f>
        <v>0.46578074554009236</v>
      </c>
      <c r="S17" s="20">
        <f>S16/S11</f>
        <v>0.46257155181458898</v>
      </c>
      <c r="T17" s="20">
        <f>T16/T11</f>
        <v>0.4622247972190035</v>
      </c>
      <c r="U17" s="20">
        <f>U16/U11</f>
        <v>0.46882542236524538</v>
      </c>
      <c r="V17" s="20">
        <f>V16/V11</f>
        <v>0.47050619238876246</v>
      </c>
      <c r="W17" s="20">
        <f>W16/W11</f>
        <v>0.46490705687183631</v>
      </c>
      <c r="X17" s="32"/>
      <c r="Y17" s="20">
        <f>Y16/Y11</f>
        <v>0.43309630561360085</v>
      </c>
      <c r="Z17" s="20">
        <f>Z16/Z11</f>
        <v>0.43059372395409989</v>
      </c>
      <c r="AA17" s="20">
        <f>AA16/AA11</f>
        <v>0.43181033251535333</v>
      </c>
      <c r="AB17" s="20">
        <f>AB16/AB11</f>
        <v>0.43449247655189838</v>
      </c>
      <c r="AC17" s="20">
        <f>AC16/AC11</f>
        <v>0.44131129577207562</v>
      </c>
      <c r="AD17" s="20">
        <f>AD16/AD11</f>
        <v>0.45026782056799741</v>
      </c>
      <c r="AE17" s="20">
        <f>AE16/AE11</f>
        <v>0.4558582685005883</v>
      </c>
      <c r="AF17" s="20">
        <f>AF16/AF11</f>
        <v>0.45962038677084982</v>
      </c>
      <c r="AG17" s="20">
        <f>AG16/AG11</f>
        <v>0.46206349815233932</v>
      </c>
      <c r="AH17" s="20">
        <f>AH16/AH11</f>
        <v>0.46518849807964424</v>
      </c>
      <c r="AI17" s="20">
        <f>AI16/AI11</f>
        <v>0.46632081645294554</v>
      </c>
      <c r="AJ17" s="20">
        <f>AJ16/AJ11</f>
        <v>0.46678250229427959</v>
      </c>
      <c r="AL17" s="21">
        <f>SUM(AJ17-AF17)*10000</f>
        <v>71.621155234297689</v>
      </c>
    </row>
    <row r="18" spans="2:38" ht="5.0999999999999996" customHeight="1">
      <c r="B18" s="33"/>
      <c r="C18" s="34"/>
      <c r="D18" s="34"/>
      <c r="E18" s="34"/>
      <c r="F18" s="34"/>
      <c r="G18" s="34"/>
      <c r="H18" s="34"/>
      <c r="I18" s="34"/>
      <c r="J18" s="34"/>
      <c r="K18" s="34"/>
      <c r="L18" s="34"/>
      <c r="M18" s="34"/>
      <c r="N18" s="34"/>
      <c r="O18" s="34"/>
      <c r="P18" s="34"/>
      <c r="Q18" s="34"/>
      <c r="R18" s="34"/>
      <c r="S18" s="34"/>
      <c r="T18" s="34"/>
      <c r="U18" s="34"/>
      <c r="V18" s="34"/>
      <c r="W18" s="34"/>
      <c r="X18" s="5"/>
      <c r="Y18" s="34"/>
      <c r="Z18" s="34"/>
      <c r="AA18" s="34"/>
      <c r="AB18" s="34"/>
      <c r="AC18" s="34"/>
      <c r="AD18" s="34"/>
      <c r="AE18" s="34"/>
      <c r="AF18" s="34"/>
      <c r="AG18" s="34"/>
      <c r="AH18" s="34"/>
      <c r="AI18" s="34"/>
      <c r="AJ18" s="34"/>
      <c r="AL18" s="10"/>
    </row>
    <row r="19" spans="2:38" ht="12.75" customHeight="1">
      <c r="B19" s="27" t="s">
        <v>119</v>
      </c>
      <c r="C19" s="225">
        <f>'Base Financials'!G15</f>
        <v>-18752</v>
      </c>
      <c r="D19" s="225">
        <f>'Base Financials'!H15</f>
        <v>-21914</v>
      </c>
      <c r="E19" s="225">
        <f>'Base Financials'!I15</f>
        <v>-26251</v>
      </c>
      <c r="F19" s="225">
        <f>'Base Financials'!J15</f>
        <v>-29915</v>
      </c>
      <c r="G19" s="225">
        <f>'Base Financials'!K15</f>
        <v>-31370</v>
      </c>
      <c r="H19" s="225"/>
      <c r="I19" s="225">
        <f>'Base Financials'!M15</f>
        <v>-6306</v>
      </c>
      <c r="J19" s="225">
        <f>'Base Financials'!N15</f>
        <v>-6387</v>
      </c>
      <c r="K19" s="225">
        <f>'Base Financials'!O15</f>
        <v>-6797</v>
      </c>
      <c r="L19" s="225">
        <f>'Base Financials'!P15</f>
        <v>-6761</v>
      </c>
      <c r="M19" s="225">
        <f>'Base Financials'!Q15</f>
        <v>-7709</v>
      </c>
      <c r="N19" s="225">
        <f>'Base Financials'!R15</f>
        <v>-7457</v>
      </c>
      <c r="O19" s="225">
        <f>'Base Financials'!S15</f>
        <v>-7442</v>
      </c>
      <c r="P19" s="225">
        <f>'Base Financials'!T15</f>
        <v>-7307</v>
      </c>
      <c r="Q19" s="225">
        <f>'Base Financials'!U15</f>
        <v>-7696</v>
      </c>
      <c r="R19" s="225">
        <f>'Base Financials'!V15</f>
        <v>-7903</v>
      </c>
      <c r="S19" s="225">
        <f>'Base Financials'!W15</f>
        <v>-8006</v>
      </c>
      <c r="T19" s="225">
        <f>'Base Financials'!X15</f>
        <v>-7765</v>
      </c>
      <c r="U19" s="225">
        <f>'Base Financials'!Y15</f>
        <v>-8268</v>
      </c>
      <c r="V19" s="225">
        <f>'Base Financials'!Z15</f>
        <v>-8550</v>
      </c>
      <c r="W19" s="225">
        <f>'Base Financials'!AA15</f>
        <v>-8866</v>
      </c>
      <c r="X19" s="5"/>
      <c r="Y19" s="13">
        <f t="shared" ref="Y19:Y20" si="48">SUM(I19:L19)</f>
        <v>-26251</v>
      </c>
      <c r="Z19" s="13">
        <f>SUM(J19:M19)</f>
        <v>-27654</v>
      </c>
      <c r="AA19" s="13">
        <f>SUM(K19:N19)</f>
        <v>-28724</v>
      </c>
      <c r="AB19" s="13">
        <f>SUM(L19:O19)</f>
        <v>-29369</v>
      </c>
      <c r="AC19" s="13">
        <f>SUM(M19:P19)</f>
        <v>-29915</v>
      </c>
      <c r="AD19" s="13">
        <f>SUM(N19:Q19)</f>
        <v>-29902</v>
      </c>
      <c r="AE19" s="12">
        <f>SUM(O19:R19)</f>
        <v>-30348</v>
      </c>
      <c r="AF19" s="12">
        <f>SUM(P19:S19)</f>
        <v>-30912</v>
      </c>
      <c r="AG19" s="12">
        <f>SUM(Q19:T19)</f>
        <v>-31370</v>
      </c>
      <c r="AH19" s="12">
        <f>SUM(R19:U19)</f>
        <v>-31942</v>
      </c>
      <c r="AI19" s="12">
        <f>SUM(S19:V19)</f>
        <v>-32589</v>
      </c>
      <c r="AJ19" s="12">
        <f>SUM(T19:W19)</f>
        <v>-33449</v>
      </c>
      <c r="AL19" s="14">
        <f t="shared" ref="AL19:AL21" si="49">SUM(AJ19/AF19)-1</f>
        <v>8.2071687370600444E-2</v>
      </c>
    </row>
    <row r="20" spans="2:38" ht="12.75" customHeight="1">
      <c r="B20" s="27" t="s">
        <v>356</v>
      </c>
      <c r="C20" s="225">
        <f>'Base Financials'!G16</f>
        <v>-19916</v>
      </c>
      <c r="D20" s="225">
        <f>'Base Financials'!H16</f>
        <v>-21973</v>
      </c>
      <c r="E20" s="225">
        <f>'Base Financials'!I16</f>
        <v>-25094</v>
      </c>
      <c r="F20" s="225">
        <f>'Base Financials'!J16</f>
        <v>-24932</v>
      </c>
      <c r="G20" s="225">
        <f>'Base Financials'!K16</f>
        <v>-26097</v>
      </c>
      <c r="H20" s="225"/>
      <c r="I20" s="225">
        <f>'Base Financials'!M16</f>
        <v>-6449</v>
      </c>
      <c r="J20" s="225">
        <f>'Base Financials'!N16</f>
        <v>-6193</v>
      </c>
      <c r="K20" s="225">
        <f>'Base Financials'!O16</f>
        <v>-6012</v>
      </c>
      <c r="L20" s="225">
        <f>'Base Financials'!P16</f>
        <v>-6440</v>
      </c>
      <c r="M20" s="225">
        <f>'Base Financials'!Q16</f>
        <v>-6607</v>
      </c>
      <c r="N20" s="225">
        <f>'Base Financials'!R16</f>
        <v>-6201</v>
      </c>
      <c r="O20" s="225">
        <f>'Base Financials'!S16</f>
        <v>-5973</v>
      </c>
      <c r="P20" s="225">
        <f>'Base Financials'!T16</f>
        <v>-6151</v>
      </c>
      <c r="Q20" s="225">
        <f>'Base Financials'!U16</f>
        <v>-6786</v>
      </c>
      <c r="R20" s="225">
        <f>'Base Financials'!V16</f>
        <v>-6468</v>
      </c>
      <c r="S20" s="225">
        <f>'Base Financials'!W16</f>
        <v>-6320</v>
      </c>
      <c r="T20" s="225">
        <f>'Base Financials'!X16</f>
        <v>-6523</v>
      </c>
      <c r="U20" s="225">
        <f>'Base Financials'!Y16</f>
        <v>-7175</v>
      </c>
      <c r="V20" s="225">
        <f>'Base Financials'!Z16</f>
        <v>-6728</v>
      </c>
      <c r="W20" s="225">
        <f>'Base Financials'!AA16</f>
        <v>-6650</v>
      </c>
      <c r="X20" s="5"/>
      <c r="Y20" s="13">
        <f t="shared" si="48"/>
        <v>-25094</v>
      </c>
      <c r="Z20" s="13">
        <f>SUM(J20:M20)</f>
        <v>-25252</v>
      </c>
      <c r="AA20" s="13">
        <f>SUM(K20:N20)</f>
        <v>-25260</v>
      </c>
      <c r="AB20" s="13">
        <f>SUM(L20:O20)</f>
        <v>-25221</v>
      </c>
      <c r="AC20" s="13">
        <f>SUM(M20:P20)</f>
        <v>-24932</v>
      </c>
      <c r="AD20" s="13">
        <f>SUM(N20:Q20)</f>
        <v>-25111</v>
      </c>
      <c r="AE20" s="12">
        <f>SUM(O20:R20)</f>
        <v>-25378</v>
      </c>
      <c r="AF20" s="12">
        <f>SUM(P20:S20)</f>
        <v>-25725</v>
      </c>
      <c r="AG20" s="12">
        <f>SUM(Q20:T20)</f>
        <v>-26097</v>
      </c>
      <c r="AH20" s="12">
        <f>SUM(R20:U20)</f>
        <v>-26486</v>
      </c>
      <c r="AI20" s="12">
        <f>SUM(S20:V20)</f>
        <v>-26746</v>
      </c>
      <c r="AJ20" s="12">
        <f>SUM(T20:W20)</f>
        <v>-27076</v>
      </c>
      <c r="AL20" s="14">
        <f t="shared" si="49"/>
        <v>5.2517006802720978E-2</v>
      </c>
    </row>
    <row r="21" spans="2:38" ht="12.75" customHeight="1">
      <c r="B21" s="15" t="s">
        <v>54</v>
      </c>
      <c r="C21" s="16">
        <f>SUM(C16+SUM(C19:C20))</f>
        <v>66288</v>
      </c>
      <c r="D21" s="16">
        <f>SUM(D16+SUM(D19:D20))</f>
        <v>108949</v>
      </c>
      <c r="E21" s="16">
        <f>SUM(E16+SUM(E19:E20))</f>
        <v>119437</v>
      </c>
      <c r="F21" s="16">
        <f>SUM(F16+SUM(F19:F20))</f>
        <v>114301</v>
      </c>
      <c r="G21" s="16">
        <f>SUM(G16+SUM(G19:G20))</f>
        <v>123216</v>
      </c>
      <c r="H21" s="13"/>
      <c r="I21" s="16">
        <f>SUM(I16+SUM(I19:I20))</f>
        <v>41488</v>
      </c>
      <c r="J21" s="16">
        <f>SUM(J16+SUM(J19:J20))</f>
        <v>29979</v>
      </c>
      <c r="K21" s="16">
        <f>SUM(K16+SUM(K19:K20))</f>
        <v>23076</v>
      </c>
      <c r="L21" s="16">
        <f>SUM(L16+SUM(L19:L20))</f>
        <v>24894</v>
      </c>
      <c r="M21" s="16">
        <f>SUM(M16+SUM(M19:M20))</f>
        <v>36016</v>
      </c>
      <c r="N21" s="16">
        <f>SUM(N16+SUM(N19:N20))</f>
        <v>28318</v>
      </c>
      <c r="O21" s="16">
        <f>SUM(O16+SUM(O19:O20))</f>
        <v>22998</v>
      </c>
      <c r="P21" s="16">
        <f>SUM(P16+SUM(P19:P20))</f>
        <v>26969</v>
      </c>
      <c r="Q21" s="16">
        <f>SUM(Q16+SUM(Q19:Q20))</f>
        <v>40373</v>
      </c>
      <c r="R21" s="16">
        <f>SUM(R16+SUM(R19:R20))</f>
        <v>27900</v>
      </c>
      <c r="S21" s="16">
        <f>SUM(S16+SUM(S19:S20))</f>
        <v>25352</v>
      </c>
      <c r="T21" s="16">
        <f>SUM(T16+SUM(T19:T20))</f>
        <v>29591</v>
      </c>
      <c r="U21" s="16">
        <f>SUM(U16+SUM(U19:U20))</f>
        <v>42832</v>
      </c>
      <c r="V21" s="16">
        <f>SUM(V16+SUM(V19:V20))</f>
        <v>29589</v>
      </c>
      <c r="W21" s="16">
        <f>SUM(W16+SUM(W19:W20))</f>
        <v>28202</v>
      </c>
      <c r="X21" s="5"/>
      <c r="Y21" s="16">
        <f>SUM(Y16+SUM(Y19:Y20))</f>
        <v>119437</v>
      </c>
      <c r="Z21" s="16">
        <f>SUM(Z16+SUM(Z19:Z20))</f>
        <v>113965</v>
      </c>
      <c r="AA21" s="16">
        <f>SUM(AA16+SUM(AA19:AA20))</f>
        <v>112304</v>
      </c>
      <c r="AB21" s="16">
        <f>SUM(AB16+SUM(AB19:AB20))</f>
        <v>112226</v>
      </c>
      <c r="AC21" s="16">
        <f>SUM(AC16+SUM(AC19:AC20))</f>
        <v>114301</v>
      </c>
      <c r="AD21" s="16">
        <f>SUM(AD16+SUM(AD19:AD20))</f>
        <v>118658</v>
      </c>
      <c r="AE21" s="16">
        <f>SUM(AE16+SUM(AE19:AE20))</f>
        <v>118240</v>
      </c>
      <c r="AF21" s="16">
        <f>SUM(AF16+SUM(AF19:AF20))</f>
        <v>120594</v>
      </c>
      <c r="AG21" s="16">
        <f>SUM(AG16+SUM(AG19:AG20))</f>
        <v>123216</v>
      </c>
      <c r="AH21" s="16">
        <f>SUM(AH16+SUM(AH19:AH20))</f>
        <v>125675</v>
      </c>
      <c r="AI21" s="16">
        <f>SUM(AI16+SUM(AI19:AI20))</f>
        <v>127364</v>
      </c>
      <c r="AJ21" s="16">
        <f>SUM(AJ16+SUM(AJ19:AJ20))</f>
        <v>130214</v>
      </c>
      <c r="AL21" s="17">
        <f t="shared" si="49"/>
        <v>7.9771796275105E-2</v>
      </c>
    </row>
    <row r="22" spans="2:38" ht="12.75" customHeight="1">
      <c r="B22" s="18" t="s">
        <v>55</v>
      </c>
      <c r="C22" s="20">
        <f>C21/C11</f>
        <v>0.24147314354406862</v>
      </c>
      <c r="D22" s="20">
        <f>D21/D11</f>
        <v>0.29782377527561593</v>
      </c>
      <c r="E22" s="20">
        <f>E21/E11</f>
        <v>0.30288744395528594</v>
      </c>
      <c r="F22" s="20">
        <f>F21/F11</f>
        <v>0.29821412265024722</v>
      </c>
      <c r="G22" s="20">
        <f>G21/G11</f>
        <v>0.31510222870075566</v>
      </c>
      <c r="H22" s="31"/>
      <c r="I22" s="20">
        <f>I21/I11</f>
        <v>0.33472911371979508</v>
      </c>
      <c r="J22" s="20">
        <f>J21/J11</f>
        <v>0.30817862209338187</v>
      </c>
      <c r="K22" s="20">
        <f>K21/K11</f>
        <v>0.27816150146457891</v>
      </c>
      <c r="L22" s="20">
        <f>L21/L11</f>
        <v>0.27615202005635303</v>
      </c>
      <c r="M22" s="20">
        <f>M21/M11</f>
        <v>0.30742441572630896</v>
      </c>
      <c r="N22" s="20">
        <f>N21/N11</f>
        <v>0.29859968788223878</v>
      </c>
      <c r="O22" s="20">
        <f>O21/O11</f>
        <v>0.28115945572576012</v>
      </c>
      <c r="P22" s="20">
        <f>P21/P11</f>
        <v>0.30133634271156895</v>
      </c>
      <c r="Q22" s="20">
        <f>Q21/Q11</f>
        <v>0.33763746602550698</v>
      </c>
      <c r="R22" s="20">
        <f>R21/R11</f>
        <v>0.30742785362467356</v>
      </c>
      <c r="S22" s="20">
        <f>S21/S11</f>
        <v>0.29555708406682446</v>
      </c>
      <c r="T22" s="20">
        <f>T21/T11</f>
        <v>0.31171389444854103</v>
      </c>
      <c r="U22" s="20">
        <f>U21/U11</f>
        <v>0.34458567980691873</v>
      </c>
      <c r="V22" s="20">
        <f>V21/V11</f>
        <v>0.31029058610094484</v>
      </c>
      <c r="W22" s="20">
        <f>W21/W11</f>
        <v>0.29990641881832492</v>
      </c>
      <c r="X22" s="32"/>
      <c r="Y22" s="20">
        <f>Y21/Y11</f>
        <v>0.30288744395528594</v>
      </c>
      <c r="Z22" s="20">
        <f>Z21/Z11</f>
        <v>0.29407514637312049</v>
      </c>
      <c r="AA22" s="20">
        <f>AA21/AA11</f>
        <v>0.29162674145340761</v>
      </c>
      <c r="AB22" s="20">
        <f>AB21/AB11</f>
        <v>0.29230620967720933</v>
      </c>
      <c r="AC22" s="20">
        <f>AC21/AC11</f>
        <v>0.29821412265024722</v>
      </c>
      <c r="AD22" s="20">
        <f>AD21/AD11</f>
        <v>0.30763846038174153</v>
      </c>
      <c r="AE22" s="20">
        <f>AE21/AE11</f>
        <v>0.30983457496010458</v>
      </c>
      <c r="AF22" s="20">
        <f>AF21/AF11</f>
        <v>0.31274134278000948</v>
      </c>
      <c r="AG22" s="20">
        <f>AG21/AG11</f>
        <v>0.31510222870075566</v>
      </c>
      <c r="AH22" s="20">
        <f>AH21/AH11</f>
        <v>0.31755356781888011</v>
      </c>
      <c r="AI22" s="20">
        <f>AI21/AI11</f>
        <v>0.31811892118711377</v>
      </c>
      <c r="AJ22" s="20">
        <f>AJ21/AJ11</f>
        <v>0.31866381156316914</v>
      </c>
      <c r="AL22" s="21">
        <f>SUM(AJ22-AF22)*10000</f>
        <v>59.224687831596626</v>
      </c>
    </row>
    <row r="23" spans="2:38" ht="5.0999999999999996" customHeight="1">
      <c r="AL23" s="10"/>
    </row>
    <row r="24" spans="2:38" ht="12.75" customHeight="1">
      <c r="B24" s="35" t="s">
        <v>56</v>
      </c>
      <c r="C24" s="225">
        <f>'Base Financials'!G73</f>
        <v>11056</v>
      </c>
      <c r="D24" s="225">
        <f>'Base Financials'!H73</f>
        <v>11284</v>
      </c>
      <c r="E24" s="225">
        <f>'Base Financials'!I73</f>
        <v>11104</v>
      </c>
      <c r="F24" s="225">
        <f>'Base Financials'!J73</f>
        <v>11519</v>
      </c>
      <c r="G24" s="225">
        <f>'Base Financials'!K73</f>
        <v>11445</v>
      </c>
      <c r="I24" s="225">
        <f>'Base Financials'!M73</f>
        <v>2697</v>
      </c>
      <c r="J24" s="225">
        <f>'Base Financials'!N73</f>
        <v>2737</v>
      </c>
      <c r="K24" s="225">
        <f>'Base Financials'!O73</f>
        <v>2805</v>
      </c>
      <c r="L24" s="225">
        <f>'Base Financials'!P73</f>
        <v>2865</v>
      </c>
      <c r="M24" s="225">
        <f>'Base Financials'!Q73</f>
        <v>2916</v>
      </c>
      <c r="N24" s="225">
        <f>'Base Financials'!R73</f>
        <v>2898</v>
      </c>
      <c r="O24" s="225">
        <f>'Base Financials'!S73</f>
        <v>3052</v>
      </c>
      <c r="P24" s="225">
        <f>'Base Financials'!T73</f>
        <v>2653</v>
      </c>
      <c r="Q24" s="225">
        <f>'Base Financials'!U73</f>
        <v>2848</v>
      </c>
      <c r="R24" s="225">
        <f>'Base Financials'!V73</f>
        <v>2836</v>
      </c>
      <c r="S24" s="225">
        <f>'Base Financials'!W73</f>
        <v>2850</v>
      </c>
      <c r="T24" s="225">
        <f>'Base Financials'!X73</f>
        <v>2911</v>
      </c>
      <c r="U24" s="225">
        <f>'Base Financials'!Y73</f>
        <v>3080</v>
      </c>
      <c r="V24" s="225">
        <f>'Base Financials'!Z73</f>
        <v>2661</v>
      </c>
      <c r="W24" s="225">
        <f>'Base Financials'!AA73</f>
        <v>2830</v>
      </c>
      <c r="Y24" s="13">
        <f>SUM(I24:L24)</f>
        <v>11104</v>
      </c>
      <c r="Z24" s="13">
        <f>SUM(J24:M24)</f>
        <v>11323</v>
      </c>
      <c r="AA24" s="13">
        <f>SUM(K24:N24)</f>
        <v>11484</v>
      </c>
      <c r="AB24" s="13">
        <f>SUM(L24:O24)</f>
        <v>11731</v>
      </c>
      <c r="AC24" s="13">
        <f>SUM(M24:P24)</f>
        <v>11519</v>
      </c>
      <c r="AD24" s="13">
        <f>SUM(N24:Q24)</f>
        <v>11451</v>
      </c>
      <c r="AE24" s="12">
        <f>SUM(O24:R24)</f>
        <v>11389</v>
      </c>
      <c r="AF24" s="12">
        <f>SUM(P24:S24)</f>
        <v>11187</v>
      </c>
      <c r="AG24" s="12">
        <f>SUM(Q24:T24)</f>
        <v>11445</v>
      </c>
      <c r="AH24" s="12">
        <f>SUM(R24:U24)</f>
        <v>11677</v>
      </c>
      <c r="AI24" s="12">
        <f>SUM(S24:V24)</f>
        <v>11502</v>
      </c>
      <c r="AJ24" s="12">
        <f>SUM(T24:W24)</f>
        <v>11482</v>
      </c>
      <c r="AL24" s="14">
        <f t="shared" ref="AL24:AL25" si="50">SUM(AJ24/AF24)-1</f>
        <v>2.636989362653086E-2</v>
      </c>
    </row>
    <row r="25" spans="2:38" ht="12.75" customHeight="1">
      <c r="B25" s="29" t="s">
        <v>11</v>
      </c>
      <c r="C25" s="30">
        <f t="shared" ref="C25" si="51">SUM(C21+C24)</f>
        <v>77344</v>
      </c>
      <c r="D25" s="30">
        <f t="shared" ref="D25:E25" si="52">SUM(D21+D24)</f>
        <v>120233</v>
      </c>
      <c r="E25" s="30">
        <f t="shared" si="52"/>
        <v>130541</v>
      </c>
      <c r="F25" s="30">
        <f>SUM(F21+F24)</f>
        <v>125820</v>
      </c>
      <c r="G25" s="30">
        <f>SUM(G21+G24)</f>
        <v>134661</v>
      </c>
      <c r="I25" s="30">
        <f t="shared" ref="I25:AI25" si="53">SUM(I21+I24)</f>
        <v>44185</v>
      </c>
      <c r="J25" s="30">
        <f t="shared" si="53"/>
        <v>32716</v>
      </c>
      <c r="K25" s="30">
        <f t="shared" si="53"/>
        <v>25881</v>
      </c>
      <c r="L25" s="30">
        <f t="shared" si="53"/>
        <v>27759</v>
      </c>
      <c r="M25" s="30">
        <f t="shared" si="53"/>
        <v>38932</v>
      </c>
      <c r="N25" s="30">
        <f t="shared" si="53"/>
        <v>31216</v>
      </c>
      <c r="O25" s="30">
        <f t="shared" si="53"/>
        <v>26050</v>
      </c>
      <c r="P25" s="30">
        <f t="shared" si="53"/>
        <v>29622</v>
      </c>
      <c r="Q25" s="30">
        <f t="shared" si="53"/>
        <v>43221</v>
      </c>
      <c r="R25" s="30">
        <f t="shared" si="53"/>
        <v>30736</v>
      </c>
      <c r="S25" s="30">
        <f>SUM(S21+S24)</f>
        <v>28202</v>
      </c>
      <c r="T25" s="30">
        <f>SUM(T21+T24)</f>
        <v>32502</v>
      </c>
      <c r="U25" s="30">
        <f t="shared" ref="U25:V25" si="54">SUM(U21+U24)</f>
        <v>45912</v>
      </c>
      <c r="V25" s="30">
        <f t="shared" si="54"/>
        <v>32250</v>
      </c>
      <c r="W25" s="30">
        <f t="shared" ref="W25" si="55">SUM(W21+W24)</f>
        <v>31032</v>
      </c>
      <c r="Y25" s="30">
        <f t="shared" ref="Y25:AF25" si="56">SUM(Y21+Y24)</f>
        <v>130541</v>
      </c>
      <c r="Z25" s="30">
        <f t="shared" si="56"/>
        <v>125288</v>
      </c>
      <c r="AA25" s="30">
        <f t="shared" si="56"/>
        <v>123788</v>
      </c>
      <c r="AB25" s="30">
        <f t="shared" si="56"/>
        <v>123957</v>
      </c>
      <c r="AC25" s="30">
        <f t="shared" si="56"/>
        <v>125820</v>
      </c>
      <c r="AD25" s="30">
        <f t="shared" si="56"/>
        <v>130109</v>
      </c>
      <c r="AE25" s="30">
        <f t="shared" si="56"/>
        <v>129629</v>
      </c>
      <c r="AF25" s="30">
        <f t="shared" si="56"/>
        <v>131781</v>
      </c>
      <c r="AG25" s="30">
        <f t="shared" si="53"/>
        <v>134661</v>
      </c>
      <c r="AH25" s="30">
        <f t="shared" si="53"/>
        <v>137352</v>
      </c>
      <c r="AI25" s="30">
        <f t="shared" si="53"/>
        <v>138866</v>
      </c>
      <c r="AJ25" s="30">
        <f t="shared" ref="AJ25" si="57">SUM(AJ21+AJ24)</f>
        <v>141696</v>
      </c>
      <c r="AL25" s="17">
        <f t="shared" si="50"/>
        <v>7.5238463814965684E-2</v>
      </c>
    </row>
    <row r="26" spans="2:38" ht="12.75" customHeight="1">
      <c r="B26" s="18" t="s">
        <v>57</v>
      </c>
      <c r="C26" s="20">
        <f>C25/C11</f>
        <v>0.2817478097736007</v>
      </c>
      <c r="D26" s="20">
        <f>D25/D11</f>
        <v>0.32866979938056462</v>
      </c>
      <c r="E26" s="20">
        <f>E25/E11</f>
        <v>0.3310467428130896</v>
      </c>
      <c r="F26" s="20">
        <f>F25/F11</f>
        <v>0.32826747720364741</v>
      </c>
      <c r="G26" s="20">
        <f>G25/G11</f>
        <v>0.34437070850435381</v>
      </c>
      <c r="I26" s="20">
        <f>I25/I11</f>
        <v>0.35648876517810318</v>
      </c>
      <c r="J26" s="20">
        <f>J25/J11</f>
        <v>0.33631448014967413</v>
      </c>
      <c r="K26" s="20">
        <f>K25/K11</f>
        <v>0.31197338444291761</v>
      </c>
      <c r="L26" s="20">
        <f>L25/L11</f>
        <v>0.30793379628602491</v>
      </c>
      <c r="M26" s="20">
        <f>M25/M11</f>
        <v>0.33231473103777931</v>
      </c>
      <c r="N26" s="20">
        <f>N25/N11</f>
        <v>0.32915770382555148</v>
      </c>
      <c r="O26" s="20">
        <f>O25/O11</f>
        <v>0.31847133757961782</v>
      </c>
      <c r="P26" s="20">
        <f>P25/P11</f>
        <v>0.33097946322822858</v>
      </c>
      <c r="Q26" s="20">
        <f>Q25/Q11</f>
        <v>0.36145515366924524</v>
      </c>
      <c r="R26" s="20">
        <f>R25/R11</f>
        <v>0.33867750928343965</v>
      </c>
      <c r="S26" s="20">
        <f>S25/S11</f>
        <v>0.32878277393706939</v>
      </c>
      <c r="T26" s="20">
        <f>T25/T11</f>
        <v>0.34237859475402926</v>
      </c>
      <c r="U26" s="20">
        <f>U25/U11</f>
        <v>0.36936444086886566</v>
      </c>
      <c r="V26" s="20">
        <f>V25/V11</f>
        <v>0.33819566060885703</v>
      </c>
      <c r="W26" s="20">
        <f>W25/W11</f>
        <v>0.33000127610702285</v>
      </c>
      <c r="Y26" s="20">
        <f>Y25/Y11</f>
        <v>0.3310467428130896</v>
      </c>
      <c r="Z26" s="20">
        <f>Z25/Z11</f>
        <v>0.32329300170048281</v>
      </c>
      <c r="AA26" s="20">
        <f>AA25/AA11</f>
        <v>0.3214479544008621</v>
      </c>
      <c r="AB26" s="20">
        <f>AB25/AB11</f>
        <v>0.32286102002172257</v>
      </c>
      <c r="AC26" s="20">
        <f>AC25/AC11</f>
        <v>0.32826747720364741</v>
      </c>
      <c r="AD26" s="20">
        <f>AD25/AD11</f>
        <v>0.33732687591066773</v>
      </c>
      <c r="AE26" s="20">
        <f>AE25/AE11</f>
        <v>0.33967816405195705</v>
      </c>
      <c r="AF26" s="20">
        <f>AF25/AF11</f>
        <v>0.34175304652712762</v>
      </c>
      <c r="AG26" s="20">
        <f>AG25/AG11</f>
        <v>0.34437070850435381</v>
      </c>
      <c r="AH26" s="20">
        <f>AH25/AH11</f>
        <v>0.34705882352941175</v>
      </c>
      <c r="AI26" s="20">
        <f>AI25/AI11</f>
        <v>0.34684763441451072</v>
      </c>
      <c r="AJ26" s="20">
        <f>AJ25/AJ11</f>
        <v>0.3467629244417253</v>
      </c>
      <c r="AL26" s="21">
        <f>SUM(AJ26-AF26)*10000</f>
        <v>50.098779145976714</v>
      </c>
    </row>
    <row r="27" spans="2:38" ht="5.0999999999999996" customHeight="1">
      <c r="AL27" s="10"/>
    </row>
    <row r="28" spans="2:38" ht="12.75" customHeight="1">
      <c r="B28" s="35" t="s">
        <v>58</v>
      </c>
      <c r="C28" s="225">
        <f>'Base Financials'!G74</f>
        <v>6829</v>
      </c>
      <c r="D28" s="225">
        <f>'Base Financials'!H74</f>
        <v>7906</v>
      </c>
      <c r="E28" s="225">
        <f>'Base Financials'!I74</f>
        <v>9038</v>
      </c>
      <c r="F28" s="225">
        <f>'Base Financials'!J74</f>
        <v>10833</v>
      </c>
      <c r="G28" s="225">
        <f>'Base Financials'!K74</f>
        <v>11688</v>
      </c>
      <c r="I28" s="225">
        <f>'Base Financials'!M74</f>
        <v>2265</v>
      </c>
      <c r="J28" s="225">
        <f>'Base Financials'!N74</f>
        <v>2252</v>
      </c>
      <c r="K28" s="225">
        <f>'Base Financials'!O74</f>
        <v>2243</v>
      </c>
      <c r="L28" s="225">
        <f>'Base Financials'!P74</f>
        <v>2278</v>
      </c>
      <c r="M28" s="225">
        <f>'Base Financials'!Q74</f>
        <v>2905</v>
      </c>
      <c r="N28" s="225">
        <f>'Base Financials'!R74</f>
        <v>2686</v>
      </c>
      <c r="O28" s="225">
        <f>'Base Financials'!S74</f>
        <v>2617</v>
      </c>
      <c r="P28" s="225">
        <f>'Base Financials'!T74</f>
        <v>2625</v>
      </c>
      <c r="Q28" s="225">
        <f>'Base Financials'!U74</f>
        <v>2997</v>
      </c>
      <c r="R28" s="225">
        <f>'Base Financials'!V74</f>
        <v>2967</v>
      </c>
      <c r="S28" s="225">
        <f>'Base Financials'!W74</f>
        <v>2866</v>
      </c>
      <c r="T28" s="225">
        <f>'Base Financials'!X74</f>
        <v>2858</v>
      </c>
      <c r="U28" s="225">
        <f>'Base Financials'!Y74</f>
        <v>3286</v>
      </c>
      <c r="V28" s="225">
        <f>'Base Financials'!Z74</f>
        <v>3226</v>
      </c>
      <c r="W28" s="225">
        <f>'Base Financials'!AA74</f>
        <v>3168</v>
      </c>
      <c r="Y28" s="36">
        <f t="shared" ref="Y28" si="58">SUM(I28:L28)</f>
        <v>9038</v>
      </c>
      <c r="Z28" s="36">
        <f>SUM(J28:M28)</f>
        <v>9678</v>
      </c>
      <c r="AA28" s="36">
        <f>SUM(K28:N28)</f>
        <v>10112</v>
      </c>
      <c r="AB28" s="36">
        <f>SUM(L28:O28)</f>
        <v>10486</v>
      </c>
      <c r="AC28" s="36">
        <f>SUM(M28:P28)</f>
        <v>10833</v>
      </c>
      <c r="AD28" s="36">
        <f>SUM(N28:Q28)</f>
        <v>10925</v>
      </c>
      <c r="AE28" s="36">
        <f>SUM(O28:R28)</f>
        <v>11206</v>
      </c>
      <c r="AF28" s="36">
        <f>SUM(P28:S28)</f>
        <v>11455</v>
      </c>
      <c r="AG28" s="36">
        <f>SUM(Q28:T28)</f>
        <v>11688</v>
      </c>
      <c r="AH28" s="36">
        <f>SUM(R28:U28)</f>
        <v>11977</v>
      </c>
      <c r="AI28" s="36">
        <f>SUM(S28:V28)</f>
        <v>12236</v>
      </c>
      <c r="AJ28" s="36">
        <f>SUM(T28:W28)</f>
        <v>12538</v>
      </c>
      <c r="AL28" s="14">
        <f t="shared" ref="AL28:AL29" si="59">SUM(AJ28/AF28)-1</f>
        <v>9.4543867306852825E-2</v>
      </c>
    </row>
    <row r="29" spans="2:38" ht="12.75" customHeight="1">
      <c r="B29" s="15" t="s">
        <v>59</v>
      </c>
      <c r="C29" s="16">
        <f>+SUM(C25+SUM(C28:C28))</f>
        <v>84173</v>
      </c>
      <c r="D29" s="16">
        <f>+SUM(D25+SUM(D28:D28))</f>
        <v>128139</v>
      </c>
      <c r="E29" s="16">
        <f>+SUM(E25+SUM(E28:E28))</f>
        <v>139579</v>
      </c>
      <c r="F29" s="16">
        <f>+SUM(F25+SUM(F28:F28))</f>
        <v>136653</v>
      </c>
      <c r="G29" s="16">
        <f>+SUM(G25+SUM(G28:G28))</f>
        <v>146349</v>
      </c>
      <c r="H29" s="13"/>
      <c r="I29" s="16">
        <f>+SUM(I25+SUM(I28:I28))</f>
        <v>46450</v>
      </c>
      <c r="J29" s="16">
        <f>+SUM(J25+SUM(J28:J28))</f>
        <v>34968</v>
      </c>
      <c r="K29" s="16">
        <f>+SUM(K25+SUM(K28:K28))</f>
        <v>28124</v>
      </c>
      <c r="L29" s="16">
        <f>+SUM(L25+SUM(L28:L28))</f>
        <v>30037</v>
      </c>
      <c r="M29" s="16">
        <f>+SUM(M25+SUM(M28:M28))</f>
        <v>41837</v>
      </c>
      <c r="N29" s="16">
        <f>+SUM(N25+SUM(N28:N28))</f>
        <v>33902</v>
      </c>
      <c r="O29" s="16">
        <f>+SUM(O25+SUM(O28:O28))</f>
        <v>28667</v>
      </c>
      <c r="P29" s="16">
        <f>+SUM(P25+SUM(P28:P28))</f>
        <v>32247</v>
      </c>
      <c r="Q29" s="16">
        <f>+SUM(Q25+SUM(Q28:Q28))</f>
        <v>46218</v>
      </c>
      <c r="R29" s="16">
        <f>+SUM(R25+SUM(R28:R28))</f>
        <v>33703</v>
      </c>
      <c r="S29" s="16">
        <f>+SUM(S25+SUM(S28:S28))</f>
        <v>31068</v>
      </c>
      <c r="T29" s="16">
        <f>+SUM(T25+SUM(T28:T28))</f>
        <v>35360</v>
      </c>
      <c r="U29" s="16">
        <f>+SUM(U25+SUM(U28:U28))</f>
        <v>49198</v>
      </c>
      <c r="V29" s="16">
        <f>+SUM(V25+SUM(V28:V28))</f>
        <v>35476</v>
      </c>
      <c r="W29" s="16">
        <f>+SUM(W25+SUM(W28:W28))</f>
        <v>34200</v>
      </c>
      <c r="X29" s="5"/>
      <c r="Y29" s="16">
        <f>+SUM(Y25+SUM(Y28:Y28))</f>
        <v>139579</v>
      </c>
      <c r="Z29" s="16">
        <f>+SUM(Z25+SUM(Z28:Z28))</f>
        <v>134966</v>
      </c>
      <c r="AA29" s="16">
        <f>+SUM(AA25+SUM(AA28:AA28))</f>
        <v>133900</v>
      </c>
      <c r="AB29" s="16">
        <f>+SUM(AB25+SUM(AB28:AB28))</f>
        <v>134443</v>
      </c>
      <c r="AC29" s="16">
        <f>+SUM(AC25+SUM(AC28:AC28))</f>
        <v>136653</v>
      </c>
      <c r="AD29" s="16">
        <f>+SUM(AD25+SUM(AD28:AD28))</f>
        <v>141034</v>
      </c>
      <c r="AE29" s="16">
        <f>+SUM(AE25+SUM(AE28:AE28))</f>
        <v>140835</v>
      </c>
      <c r="AF29" s="16">
        <f>+SUM(AF25+SUM(AF28:AF28))</f>
        <v>143236</v>
      </c>
      <c r="AG29" s="16">
        <f>+SUM(AG25+SUM(AG28:AG28))</f>
        <v>146349</v>
      </c>
      <c r="AH29" s="16">
        <f>+SUM(AH25+SUM(AH28:AH28))</f>
        <v>149329</v>
      </c>
      <c r="AI29" s="16">
        <f>+SUM(AI25+SUM(AI28:AI28))</f>
        <v>151102</v>
      </c>
      <c r="AJ29" s="16">
        <f>+SUM(AJ25+SUM(AJ28:AJ28))</f>
        <v>154234</v>
      </c>
      <c r="AL29" s="17">
        <f t="shared" si="59"/>
        <v>7.6782373146415672E-2</v>
      </c>
    </row>
    <row r="30" spans="2:38" ht="12.75" customHeight="1">
      <c r="B30" s="18" t="s">
        <v>60</v>
      </c>
      <c r="C30" s="20">
        <f>C29/C11</f>
        <v>0.30662441032366172</v>
      </c>
      <c r="D30" s="20">
        <f>D29/D11</f>
        <v>0.35028169822616229</v>
      </c>
      <c r="E30" s="20">
        <f>E29/E11</f>
        <v>0.35396674849363979</v>
      </c>
      <c r="F30" s="20">
        <f>F29/F11</f>
        <v>0.35653104087037063</v>
      </c>
      <c r="G30" s="20">
        <f>G29/G11</f>
        <v>0.37426061605738614</v>
      </c>
      <c r="I30" s="20">
        <f>I29/I11</f>
        <v>0.37476299971761667</v>
      </c>
      <c r="J30" s="20">
        <f>J29/J11</f>
        <v>0.35946462715105165</v>
      </c>
      <c r="K30" s="20">
        <f>K29/K11</f>
        <v>0.33901083667835918</v>
      </c>
      <c r="L30" s="20">
        <f>L29/L11</f>
        <v>0.33320391365118807</v>
      </c>
      <c r="M30" s="20">
        <f>M29/M11</f>
        <v>0.35711115284155898</v>
      </c>
      <c r="N30" s="20">
        <f>N29/N11</f>
        <v>0.3574802817495466</v>
      </c>
      <c r="O30" s="20">
        <f>O29/O11</f>
        <v>0.35046517598444932</v>
      </c>
      <c r="P30" s="20">
        <f>P29/P11</f>
        <v>0.36030972759167801</v>
      </c>
      <c r="Q30" s="20">
        <f>Q29/Q11</f>
        <v>0.38651892117917624</v>
      </c>
      <c r="R30" s="20">
        <f>R29/R11</f>
        <v>0.37137064339470871</v>
      </c>
      <c r="S30" s="20">
        <f>S29/S11</f>
        <v>0.36219499399605953</v>
      </c>
      <c r="T30" s="20">
        <f>T29/T11</f>
        <v>0.37248498893921839</v>
      </c>
      <c r="U30" s="20">
        <f>U29/U11</f>
        <v>0.39580048270313756</v>
      </c>
      <c r="V30" s="20">
        <f>V29/V11</f>
        <v>0.37202571335689344</v>
      </c>
      <c r="W30" s="20">
        <f>W29/W11</f>
        <v>0.36369050151005999</v>
      </c>
      <c r="Y30" s="20">
        <f>Y29/Y11</f>
        <v>0.35396674849363979</v>
      </c>
      <c r="Z30" s="20">
        <f>Z29/Z11</f>
        <v>0.34826610104325523</v>
      </c>
      <c r="AA30" s="20">
        <f>AA29/AA11</f>
        <v>0.34770641010659709</v>
      </c>
      <c r="AB30" s="20">
        <f>AB29/AB11</f>
        <v>0.35017307707334355</v>
      </c>
      <c r="AC30" s="20">
        <f>AC29/AC11</f>
        <v>0.35653104087037063</v>
      </c>
      <c r="AD30" s="20">
        <f>AD29/AD11</f>
        <v>0.36565155844088504</v>
      </c>
      <c r="AE30" s="20">
        <f>AE29/AE11</f>
        <v>0.36904222229792227</v>
      </c>
      <c r="AF30" s="20">
        <f>AF29/AF11</f>
        <v>0.37145976561385674</v>
      </c>
      <c r="AG30" s="20">
        <f>AG29/AG11</f>
        <v>0.37426061605738614</v>
      </c>
      <c r="AH30" s="20">
        <f>AH29/AH11</f>
        <v>0.37732211441277541</v>
      </c>
      <c r="AI30" s="20">
        <f>AI29/AI11</f>
        <v>0.37740967015181109</v>
      </c>
      <c r="AJ30" s="20">
        <f>AJ29/AJ11</f>
        <v>0.37744631385744876</v>
      </c>
      <c r="AL30" s="21">
        <f>SUM(AJ30-AF30)*10000</f>
        <v>59.865482435920157</v>
      </c>
    </row>
    <row r="31" spans="2:38" ht="5.0999999999999996" customHeight="1">
      <c r="AL31" s="10"/>
    </row>
    <row r="32" spans="2:38" ht="12.75" customHeight="1">
      <c r="B32" s="27" t="s">
        <v>61</v>
      </c>
      <c r="C32" s="225">
        <f>'Base Financials'!G88</f>
        <v>-7309</v>
      </c>
      <c r="D32" s="225">
        <f>'Base Financials'!H88</f>
        <v>-11085</v>
      </c>
      <c r="E32" s="225">
        <f>'Base Financials'!I88</f>
        <v>-10708</v>
      </c>
      <c r="F32" s="225">
        <f>'Base Financials'!J88</f>
        <v>-10959</v>
      </c>
      <c r="G32" s="225">
        <f>'Base Financials'!K88</f>
        <v>-9447</v>
      </c>
      <c r="I32" s="225">
        <f>'Base Financials'!M88</f>
        <v>-2803</v>
      </c>
      <c r="J32" s="225">
        <f>'Base Financials'!N88</f>
        <v>-2514</v>
      </c>
      <c r="K32" s="225">
        <f>'Base Financials'!O88</f>
        <v>-2102</v>
      </c>
      <c r="L32" s="225">
        <f>'Base Financials'!P88</f>
        <v>-3289</v>
      </c>
      <c r="M32" s="225">
        <f>'Base Financials'!Q88</f>
        <v>-3787</v>
      </c>
      <c r="N32" s="225">
        <f>'Base Financials'!R88</f>
        <v>-2916</v>
      </c>
      <c r="O32" s="225">
        <f>'Base Financials'!S88</f>
        <v>-2093</v>
      </c>
      <c r="P32" s="225">
        <f>'Base Financials'!T88</f>
        <v>-2163</v>
      </c>
      <c r="Q32" s="225">
        <f>'Base Financials'!U88</f>
        <v>-2392</v>
      </c>
      <c r="R32" s="225">
        <f>'Base Financials'!V88</f>
        <v>-1996</v>
      </c>
      <c r="S32" s="225">
        <f>'Base Financials'!W88</f>
        <v>-2151</v>
      </c>
      <c r="T32" s="225">
        <f>'Base Financials'!X88</f>
        <v>-2908</v>
      </c>
      <c r="U32" s="225">
        <f>'Base Financials'!Y88</f>
        <v>-2940</v>
      </c>
      <c r="V32" s="225">
        <f>'Base Financials'!Z88</f>
        <v>-3071</v>
      </c>
      <c r="W32" s="225">
        <f>'Base Financials'!AA88</f>
        <v>-3462</v>
      </c>
      <c r="Y32" s="36">
        <f t="shared" ref="Y32:Y35" si="60">SUM(I32:L32)</f>
        <v>-10708</v>
      </c>
      <c r="Z32" s="36">
        <f>SUM(J32:M32)</f>
        <v>-11692</v>
      </c>
      <c r="AA32" s="36">
        <f>SUM(K32:N32)</f>
        <v>-12094</v>
      </c>
      <c r="AB32" s="36">
        <f>SUM(L32:O32)</f>
        <v>-12085</v>
      </c>
      <c r="AC32" s="36">
        <f>SUM(M32:P32)</f>
        <v>-10959</v>
      </c>
      <c r="AD32" s="36">
        <f>SUM(N32:Q32)</f>
        <v>-9564</v>
      </c>
      <c r="AE32" s="36">
        <f>SUM(O32:R32)</f>
        <v>-8644</v>
      </c>
      <c r="AF32" s="36">
        <f>SUM(P32:S32)</f>
        <v>-8702</v>
      </c>
      <c r="AG32" s="36">
        <f>SUM(Q32:T32)</f>
        <v>-9447</v>
      </c>
      <c r="AH32" s="36">
        <f>SUM(R32:U32)</f>
        <v>-9995</v>
      </c>
      <c r="AI32" s="36">
        <f>SUM(S32:V32)</f>
        <v>-11070</v>
      </c>
      <c r="AJ32" s="36">
        <f>SUM(T32:W32)</f>
        <v>-12381</v>
      </c>
      <c r="AL32" s="14">
        <f t="shared" ref="AL32:AL36" si="61">SUM(AJ32/AF32)-1</f>
        <v>0.42277637324752937</v>
      </c>
    </row>
    <row r="33" spans="1:38" ht="12.75" customHeight="1">
      <c r="B33" s="27" t="s">
        <v>62</v>
      </c>
      <c r="C33" s="225">
        <f>-'Base Financials'!G118</f>
        <v>-9501</v>
      </c>
      <c r="D33" s="225">
        <f>-'Base Financials'!H118</f>
        <v>-25385</v>
      </c>
      <c r="E33" s="225">
        <f>-'Base Financials'!I118</f>
        <v>-19573</v>
      </c>
      <c r="F33" s="225">
        <f>-'Base Financials'!J118</f>
        <v>-18679</v>
      </c>
      <c r="G33" s="225">
        <f>-'Base Financials'!K118</f>
        <v>-26102</v>
      </c>
      <c r="I33" s="225">
        <f>-'Base Financials'!M118</f>
        <v>-5235</v>
      </c>
      <c r="J33" s="225">
        <f>-'Base Financials'!N118</f>
        <v>-4066</v>
      </c>
      <c r="K33" s="225">
        <f>-'Base Financials'!O118</f>
        <v>-2950</v>
      </c>
      <c r="L33" s="225">
        <f>-'Base Financials'!P118</f>
        <v>-7322</v>
      </c>
      <c r="M33" s="225">
        <f>-'Base Financials'!Q118</f>
        <v>-828</v>
      </c>
      <c r="N33" s="225">
        <f>-'Base Financials'!R118</f>
        <v>-4066</v>
      </c>
      <c r="O33" s="225">
        <f>-'Base Financials'!S118</f>
        <v>-2126</v>
      </c>
      <c r="P33" s="225">
        <f>-'Base Financials'!T118</f>
        <v>-11659</v>
      </c>
      <c r="Q33" s="225">
        <f>-'Base Financials'!U118</f>
        <v>-7255</v>
      </c>
      <c r="R33" s="225">
        <f>-'Base Financials'!V118</f>
        <v>-7276</v>
      </c>
      <c r="S33" s="225">
        <f>-'Base Financials'!W118</f>
        <v>-4699</v>
      </c>
      <c r="T33" s="225">
        <f>-'Base Financials'!X118</f>
        <v>-6872</v>
      </c>
      <c r="U33" s="225">
        <f>-'Base Financials'!Y118</f>
        <v>-18651</v>
      </c>
      <c r="V33" s="225">
        <f>-'Base Financials'!Z118</f>
        <v>-13032</v>
      </c>
      <c r="W33" s="225">
        <f>-'Base Financials'!AA118</f>
        <v>-5649</v>
      </c>
      <c r="Y33" s="36">
        <f t="shared" si="60"/>
        <v>-19573</v>
      </c>
      <c r="Z33" s="36">
        <f>SUM(J33:M33)</f>
        <v>-15166</v>
      </c>
      <c r="AA33" s="36">
        <f>SUM(K33:N33)</f>
        <v>-15166</v>
      </c>
      <c r="AB33" s="36">
        <f>SUM(L33:O33)</f>
        <v>-14342</v>
      </c>
      <c r="AC33" s="36">
        <f>SUM(M33:P33)</f>
        <v>-18679</v>
      </c>
      <c r="AD33" s="36">
        <f>SUM(N33:Q33)</f>
        <v>-25106</v>
      </c>
      <c r="AE33" s="36">
        <f>SUM(O33:R33)</f>
        <v>-28316</v>
      </c>
      <c r="AF33" s="36">
        <f>SUM(P33:S33)</f>
        <v>-30889</v>
      </c>
      <c r="AG33" s="36">
        <f>SUM(Q33:T33)</f>
        <v>-26102</v>
      </c>
      <c r="AH33" s="36">
        <f>SUM(R33:U33)</f>
        <v>-37498</v>
      </c>
      <c r="AI33" s="36">
        <f>SUM(S33:V33)</f>
        <v>-43254</v>
      </c>
      <c r="AJ33" s="36">
        <f>SUM(T33:W33)</f>
        <v>-44204</v>
      </c>
      <c r="AL33" s="14">
        <f t="shared" si="61"/>
        <v>0.43105960050503422</v>
      </c>
    </row>
    <row r="34" spans="1:38" ht="12.75" customHeight="1">
      <c r="B34" s="27" t="s">
        <v>357</v>
      </c>
      <c r="C34" s="225">
        <f>-'Base Financials'!G119</f>
        <v>-3002</v>
      </c>
      <c r="D34" s="225">
        <f>-'Base Financials'!H119</f>
        <v>-2687</v>
      </c>
      <c r="E34" s="225">
        <f>-'Base Financials'!I119</f>
        <v>-2865</v>
      </c>
      <c r="F34" s="225">
        <f>-'Base Financials'!J119</f>
        <v>-3803</v>
      </c>
      <c r="G34" s="225">
        <f>-'Base Financials'!K119</f>
        <v>0</v>
      </c>
      <c r="I34" s="225">
        <f>-'Base Financials'!M119</f>
        <v>-531</v>
      </c>
      <c r="J34" s="225">
        <f>-'Base Financials'!N119</f>
        <v>-875</v>
      </c>
      <c r="K34" s="225">
        <f>-'Base Financials'!O119</f>
        <v>-504</v>
      </c>
      <c r="L34" s="225">
        <f>-'Base Financials'!P119</f>
        <v>-955</v>
      </c>
      <c r="M34" s="225">
        <f>-'Base Financials'!Q119</f>
        <v>-703</v>
      </c>
      <c r="N34" s="225">
        <f>-'Base Financials'!R119</f>
        <v>-1170</v>
      </c>
      <c r="O34" s="225">
        <f>-'Base Financials'!S119</f>
        <v>-717</v>
      </c>
      <c r="P34" s="225">
        <f>-'Base Financials'!T119</f>
        <v>-1213</v>
      </c>
      <c r="Q34" s="225">
        <f>-'Base Financials'!U119</f>
        <v>0</v>
      </c>
      <c r="R34" s="225">
        <f>-'Base Financials'!V119</f>
        <v>0</v>
      </c>
      <c r="S34" s="225">
        <f>-'Base Financials'!W119</f>
        <v>0</v>
      </c>
      <c r="T34" s="225">
        <f>-'Base Financials'!X119</f>
        <v>0</v>
      </c>
      <c r="U34" s="225">
        <f>-'Base Financials'!Y119</f>
        <v>0</v>
      </c>
      <c r="V34" s="225">
        <f>-'Base Financials'!Z119</f>
        <v>0</v>
      </c>
      <c r="W34" s="225">
        <f>-'Base Financials'!AA119</f>
        <v>0</v>
      </c>
      <c r="Y34" s="36">
        <f t="shared" si="60"/>
        <v>-2865</v>
      </c>
      <c r="Z34" s="36">
        <f>SUM(J34:M34)</f>
        <v>-3037</v>
      </c>
      <c r="AA34" s="36">
        <f>SUM(K34:N34)</f>
        <v>-3332</v>
      </c>
      <c r="AB34" s="36">
        <f>SUM(L34:O34)</f>
        <v>-3545</v>
      </c>
      <c r="AC34" s="36">
        <f>SUM(M34:P34)</f>
        <v>-3803</v>
      </c>
      <c r="AD34" s="36">
        <f>SUM(N34:Q34)</f>
        <v>-3100</v>
      </c>
      <c r="AE34" s="36">
        <f>SUM(O34:R34)</f>
        <v>-1930</v>
      </c>
      <c r="AF34" s="36">
        <f>SUM(P34:S34)</f>
        <v>-1213</v>
      </c>
      <c r="AG34" s="36">
        <f>SUM(Q34:T34)</f>
        <v>0</v>
      </c>
      <c r="AH34" s="36">
        <f>SUM(R34:U34)</f>
        <v>0</v>
      </c>
      <c r="AI34" s="36">
        <f>SUM(S34:V34)</f>
        <v>0</v>
      </c>
      <c r="AJ34" s="36">
        <f>SUM(T34:W34)</f>
        <v>0</v>
      </c>
      <c r="AL34" s="14">
        <f t="shared" si="61"/>
        <v>-1</v>
      </c>
    </row>
    <row r="35" spans="1:38" ht="12.75" customHeight="1">
      <c r="B35" s="27" t="s">
        <v>63</v>
      </c>
      <c r="C35" s="225">
        <f>SUM('Base Financials'!G79:G84)</f>
        <v>5690</v>
      </c>
      <c r="D35" s="225">
        <f>SUM('Base Financials'!H79:H84)</f>
        <v>-4911</v>
      </c>
      <c r="E35" s="225">
        <f>SUM('Base Financials'!I79:I84)</f>
        <v>1200</v>
      </c>
      <c r="F35" s="225">
        <f>SUM('Base Financials'!J79:J84)</f>
        <v>-6577</v>
      </c>
      <c r="G35" s="225">
        <f>SUM('Base Financials'!K79:K84)</f>
        <v>3651</v>
      </c>
      <c r="I35" s="225">
        <f>SUM('Base Financials'!M79:M84)</f>
        <v>6525</v>
      </c>
      <c r="J35" s="225">
        <f>SUM('Base Financials'!N79:N84)</f>
        <v>-2052</v>
      </c>
      <c r="K35" s="225">
        <f>SUM('Base Financials'!O79:O84)</f>
        <v>-3225</v>
      </c>
      <c r="L35" s="225">
        <f>SUM('Base Financials'!P79:P84)</f>
        <v>-48</v>
      </c>
      <c r="M35" s="225">
        <f>SUM('Base Financials'!Q79:Q84)</f>
        <v>-1497</v>
      </c>
      <c r="N35" s="225">
        <f>SUM('Base Financials'!R79:R84)</f>
        <v>231</v>
      </c>
      <c r="O35" s="225">
        <f>SUM('Base Financials'!S79:S84)</f>
        <v>749</v>
      </c>
      <c r="P35" s="225">
        <f>SUM('Base Financials'!T79:T84)</f>
        <v>-6060</v>
      </c>
      <c r="Q35" s="225">
        <f>SUM('Base Financials'!U79:U84)</f>
        <v>1123</v>
      </c>
      <c r="R35" s="225">
        <f>SUM('Base Financials'!V79:V84)</f>
        <v>-5767</v>
      </c>
      <c r="S35" s="225">
        <f>SUM('Base Financials'!W79:W84)</f>
        <v>1687</v>
      </c>
      <c r="T35" s="225">
        <f>SUM('Base Financials'!X79:X84)</f>
        <v>6608</v>
      </c>
      <c r="U35" s="225">
        <f>SUM('Base Financials'!Y79:Y84)</f>
        <v>-10752</v>
      </c>
      <c r="V35" s="225">
        <f>SUM('Base Financials'!Z79:Z84)</f>
        <v>-6507</v>
      </c>
      <c r="W35" s="225">
        <f>SUM('Base Financials'!AA79:AA84)</f>
        <v>-2034</v>
      </c>
      <c r="Y35" s="36">
        <f t="shared" si="60"/>
        <v>1200</v>
      </c>
      <c r="Z35" s="36">
        <f>SUM(J35:M35)</f>
        <v>-6822</v>
      </c>
      <c r="AA35" s="36">
        <f>SUM(K35:N35)</f>
        <v>-4539</v>
      </c>
      <c r="AB35" s="36">
        <f>SUM(L35:O35)</f>
        <v>-565</v>
      </c>
      <c r="AC35" s="36">
        <f>SUM(M35:P35)</f>
        <v>-6577</v>
      </c>
      <c r="AD35" s="36">
        <f>SUM(N35:Q35)</f>
        <v>-3957</v>
      </c>
      <c r="AE35" s="36">
        <f>SUM(O35:R35)</f>
        <v>-9955</v>
      </c>
      <c r="AF35" s="36">
        <f>SUM(P35:S35)</f>
        <v>-9017</v>
      </c>
      <c r="AG35" s="36">
        <f>SUM(Q35:T35)</f>
        <v>3651</v>
      </c>
      <c r="AH35" s="36">
        <f>SUM(R35:U35)</f>
        <v>-8224</v>
      </c>
      <c r="AI35" s="36">
        <f>SUM(S35:V35)</f>
        <v>-8964</v>
      </c>
      <c r="AJ35" s="36">
        <f>SUM(T35:W35)</f>
        <v>-12685</v>
      </c>
      <c r="AL35" s="14">
        <f t="shared" si="61"/>
        <v>0.40678717977154255</v>
      </c>
    </row>
    <row r="36" spans="1:38" ht="12.75" customHeight="1">
      <c r="B36" s="15" t="s">
        <v>64</v>
      </c>
      <c r="C36" s="16">
        <f>SUM(C29+SUM(C32:C35))</f>
        <v>70051</v>
      </c>
      <c r="D36" s="16">
        <f>SUM(D29+SUM(D32:D35))</f>
        <v>84071</v>
      </c>
      <c r="E36" s="16">
        <f>SUM(E29+SUM(E32:E35))</f>
        <v>107633</v>
      </c>
      <c r="F36" s="16">
        <f>SUM(F29+SUM(F32:F35))</f>
        <v>96635</v>
      </c>
      <c r="G36" s="16">
        <f>SUM(G29+SUM(G32:G35))</f>
        <v>114451</v>
      </c>
      <c r="I36" s="16">
        <f>SUM(I29+SUM(I32:I35))</f>
        <v>44406</v>
      </c>
      <c r="J36" s="16">
        <f>SUM(J29+SUM(J32:J35))</f>
        <v>25461</v>
      </c>
      <c r="K36" s="16">
        <f>SUM(K29+SUM(K32:K35))</f>
        <v>19343</v>
      </c>
      <c r="L36" s="16">
        <f>SUM(L29+SUM(L32:L35))</f>
        <v>18423</v>
      </c>
      <c r="M36" s="16">
        <f>SUM(M29+SUM(M32:M35))</f>
        <v>35022</v>
      </c>
      <c r="N36" s="16">
        <f>SUM(N29+SUM(N32:N35))</f>
        <v>25981</v>
      </c>
      <c r="O36" s="16">
        <f>SUM(O29+SUM(O32:O35))</f>
        <v>24480</v>
      </c>
      <c r="P36" s="16">
        <f>SUM(P29+SUM(P32:P35))</f>
        <v>11152</v>
      </c>
      <c r="Q36" s="16">
        <f>SUM(Q29+SUM(Q32:Q35))</f>
        <v>37694</v>
      </c>
      <c r="R36" s="16">
        <f>SUM(R29+SUM(R32:R35))</f>
        <v>18664</v>
      </c>
      <c r="S36" s="16">
        <f>SUM(S29+SUM(S32:S35))</f>
        <v>25905</v>
      </c>
      <c r="T36" s="16">
        <f>SUM(T29+SUM(T32:T35))</f>
        <v>32188</v>
      </c>
      <c r="U36" s="16">
        <f>SUM(U29+SUM(U32:U35))</f>
        <v>16855</v>
      </c>
      <c r="V36" s="16">
        <f>SUM(V29+SUM(V32:V35))</f>
        <v>12866</v>
      </c>
      <c r="W36" s="16">
        <f>SUM(W29+SUM(W32:W35))</f>
        <v>23055</v>
      </c>
      <c r="Y36" s="16">
        <f>SUM(Y29+SUM(Y32:Y35))</f>
        <v>107633</v>
      </c>
      <c r="Z36" s="16">
        <f>SUM(Z29+SUM(Z32:Z35))</f>
        <v>98249</v>
      </c>
      <c r="AA36" s="16">
        <f>SUM(AA29+SUM(AA32:AA35))</f>
        <v>98769</v>
      </c>
      <c r="AB36" s="16">
        <f>SUM(AB29+SUM(AB32:AB35))</f>
        <v>103906</v>
      </c>
      <c r="AC36" s="16">
        <f>SUM(AC29+SUM(AC32:AC35))</f>
        <v>96635</v>
      </c>
      <c r="AD36" s="16">
        <f>SUM(AD29+SUM(AD32:AD35))</f>
        <v>99307</v>
      </c>
      <c r="AE36" s="16">
        <f>SUM(AE29+SUM(AE32:AE35))</f>
        <v>91990</v>
      </c>
      <c r="AF36" s="16">
        <f>SUM(AF29+SUM(AF32:AF35))</f>
        <v>93415</v>
      </c>
      <c r="AG36" s="16">
        <f>SUM(AG29+SUM(AG32:AG35))</f>
        <v>114451</v>
      </c>
      <c r="AH36" s="16">
        <f>SUM(AH29+SUM(AH32:AH35))</f>
        <v>93612</v>
      </c>
      <c r="AI36" s="16">
        <f>SUM(AI29+SUM(AI32:AI35))</f>
        <v>87814</v>
      </c>
      <c r="AJ36" s="16">
        <f>SUM(AJ29+SUM(AJ32:AJ35))</f>
        <v>84964</v>
      </c>
      <c r="AL36" s="17">
        <f t="shared" si="61"/>
        <v>-9.0467269710431952E-2</v>
      </c>
    </row>
    <row r="37" spans="1:38" ht="5.0999999999999996" customHeight="1"/>
    <row r="38" spans="1:38" ht="12.75" customHeight="1">
      <c r="B38" s="35" t="s">
        <v>358</v>
      </c>
      <c r="C38" s="225">
        <f>SUM('Base Financials'!G89:G90)</f>
        <v>5453</v>
      </c>
      <c r="D38" s="225">
        <f>SUM('Base Financials'!H89:H90)</f>
        <v>-3075</v>
      </c>
      <c r="E38" s="225">
        <f>SUM('Base Financials'!I89:I90)</f>
        <v>-9560</v>
      </c>
      <c r="F38" s="225">
        <f>SUM('Base Financials'!J89:J90)</f>
        <v>16001</v>
      </c>
      <c r="G38" s="225">
        <f>SUM('Base Financials'!K89:K90)</f>
        <v>13690</v>
      </c>
      <c r="H38" s="36"/>
      <c r="I38" s="225">
        <f>SUM('Base Financials'!M89:M90)</f>
        <v>-12929</v>
      </c>
      <c r="J38" s="225">
        <f>SUM('Base Financials'!N89:N90)</f>
        <v>-6390</v>
      </c>
      <c r="K38" s="225">
        <f>SUM('Base Financials'!O89:O90)</f>
        <v>6953</v>
      </c>
      <c r="L38" s="225">
        <f>SUM('Base Financials'!P89:P90)</f>
        <v>2806</v>
      </c>
      <c r="M38" s="225">
        <f>SUM('Base Financials'!Q89:Q90)</f>
        <v>2483</v>
      </c>
      <c r="N38" s="225">
        <f>SUM('Base Financials'!R89:R90)</f>
        <v>5341</v>
      </c>
      <c r="O38" s="225">
        <f>SUM('Base Financials'!S89:S90)</f>
        <v>3036</v>
      </c>
      <c r="P38" s="225">
        <f>SUM('Base Financials'!T89:T90)</f>
        <v>5141</v>
      </c>
      <c r="Q38" s="225">
        <f>SUM('Base Financials'!U89:U90)</f>
        <v>4603</v>
      </c>
      <c r="R38" s="225">
        <f>SUM('Base Financials'!V89:V90)</f>
        <v>2131</v>
      </c>
      <c r="S38" s="225">
        <f>SUM('Base Financials'!W89:W90)</f>
        <v>2412</v>
      </c>
      <c r="T38" s="225">
        <f>SUM('Base Financials'!X89:X90)</f>
        <v>4544</v>
      </c>
      <c r="U38" s="225">
        <f>SUM('Base Financials'!Y89:Y90)</f>
        <v>13335</v>
      </c>
      <c r="V38" s="225">
        <f>SUM('Base Financials'!Z89:Z90)</f>
        <v>6020</v>
      </c>
      <c r="W38" s="225">
        <f>SUM('Base Financials'!AA89:AA90)</f>
        <v>8875</v>
      </c>
      <c r="Y38" s="36">
        <f t="shared" ref="Y38:Y42" si="62">SUM(I38:L38)</f>
        <v>-9560</v>
      </c>
      <c r="Z38" s="36">
        <f>SUM(J38:M38)</f>
        <v>5852</v>
      </c>
      <c r="AA38" s="36">
        <f>SUM(K38:N38)</f>
        <v>17583</v>
      </c>
      <c r="AB38" s="36">
        <f>SUM(L38:O38)</f>
        <v>13666</v>
      </c>
      <c r="AC38" s="36">
        <f>SUM(M38:P38)</f>
        <v>16001</v>
      </c>
      <c r="AD38" s="36">
        <f>SUM(N38:Q38)</f>
        <v>18121</v>
      </c>
      <c r="AE38" s="36">
        <f>SUM(O38:R38)</f>
        <v>14911</v>
      </c>
      <c r="AF38" s="36">
        <f>SUM(P38:S38)</f>
        <v>14287</v>
      </c>
      <c r="AG38" s="36">
        <f>SUM(Q38:T38)</f>
        <v>13690</v>
      </c>
      <c r="AH38" s="36">
        <f>SUM(R38:U38)</f>
        <v>22422</v>
      </c>
      <c r="AI38" s="36">
        <f>SUM(S38:V38)</f>
        <v>26311</v>
      </c>
      <c r="AJ38" s="36">
        <f>SUM(T38:W38)</f>
        <v>32774</v>
      </c>
    </row>
    <row r="39" spans="1:38" ht="12.75" customHeight="1">
      <c r="B39" s="35" t="s">
        <v>359</v>
      </c>
      <c r="C39" s="225">
        <f>'Base Financials'!G92</f>
        <v>-909</v>
      </c>
      <c r="D39" s="225">
        <f>'Base Financials'!H92</f>
        <v>-352</v>
      </c>
      <c r="E39" s="225">
        <f>'Base Financials'!I92</f>
        <v>-1780</v>
      </c>
      <c r="F39" s="225">
        <f>'Base Financials'!J92</f>
        <v>-1337</v>
      </c>
      <c r="G39" s="225">
        <f>'Base Financials'!K92</f>
        <v>-1308</v>
      </c>
      <c r="H39" s="36"/>
      <c r="I39" s="225">
        <f>'Base Financials'!M92</f>
        <v>-374</v>
      </c>
      <c r="J39" s="225">
        <f>'Base Financials'!N92</f>
        <v>-194</v>
      </c>
      <c r="K39" s="225">
        <f>'Base Financials'!O92</f>
        <v>-615</v>
      </c>
      <c r="L39" s="225">
        <f>'Base Financials'!P92</f>
        <v>-597</v>
      </c>
      <c r="M39" s="225">
        <f>'Base Financials'!Q92</f>
        <v>-141</v>
      </c>
      <c r="N39" s="225">
        <f>'Base Financials'!R92</f>
        <v>-106</v>
      </c>
      <c r="O39" s="225">
        <f>'Base Financials'!S92</f>
        <v>-506</v>
      </c>
      <c r="P39" s="225">
        <f>'Base Financials'!T92</f>
        <v>-584</v>
      </c>
      <c r="Q39" s="225">
        <f>'Base Financials'!U92</f>
        <v>-284</v>
      </c>
      <c r="R39" s="225">
        <f>'Base Financials'!V92</f>
        <v>-445</v>
      </c>
      <c r="S39" s="225">
        <f>'Base Financials'!W92</f>
        <v>-388</v>
      </c>
      <c r="T39" s="225">
        <f>'Base Financials'!X92</f>
        <v>-191</v>
      </c>
      <c r="U39" s="225">
        <f>'Base Financials'!Y92</f>
        <v>-603</v>
      </c>
      <c r="V39" s="225">
        <f>'Base Financials'!Z92</f>
        <v>-32</v>
      </c>
      <c r="W39" s="225">
        <f>'Base Financials'!AA92</f>
        <v>-340</v>
      </c>
      <c r="Y39" s="36">
        <f t="shared" si="62"/>
        <v>-1780</v>
      </c>
      <c r="Z39" s="36">
        <f>SUM(J39:M39)</f>
        <v>-1547</v>
      </c>
      <c r="AA39" s="36">
        <f>SUM(K39:N39)</f>
        <v>-1459</v>
      </c>
      <c r="AB39" s="36">
        <f>SUM(L39:O39)</f>
        <v>-1350</v>
      </c>
      <c r="AC39" s="36">
        <f>SUM(M39:P39)</f>
        <v>-1337</v>
      </c>
      <c r="AD39" s="36">
        <f>SUM(N39:Q39)</f>
        <v>-1480</v>
      </c>
      <c r="AE39" s="36">
        <f>SUM(O39:R39)</f>
        <v>-1819</v>
      </c>
      <c r="AF39" s="36">
        <f>SUM(P39:S39)</f>
        <v>-1701</v>
      </c>
      <c r="AG39" s="36">
        <f>SUM(Q39:T39)</f>
        <v>-1308</v>
      </c>
      <c r="AH39" s="36">
        <f>SUM(R39:U39)</f>
        <v>-1627</v>
      </c>
      <c r="AI39" s="36">
        <f>SUM(S39:V39)</f>
        <v>-1214</v>
      </c>
      <c r="AJ39" s="36">
        <f>SUM(T39:W39)</f>
        <v>-1166</v>
      </c>
    </row>
    <row r="40" spans="1:38" ht="12.75" customHeight="1">
      <c r="B40" s="35" t="s">
        <v>121</v>
      </c>
      <c r="C40" s="225">
        <f>SUM('Base Financials'!G96:G97)</f>
        <v>3462</v>
      </c>
      <c r="D40" s="225">
        <f>SUM('Base Financials'!H96:H97)</f>
        <v>11643</v>
      </c>
      <c r="E40" s="225">
        <f>SUM('Base Financials'!I96:I97)</f>
        <v>-4078</v>
      </c>
      <c r="F40" s="225">
        <f>SUM('Base Financials'!J96:J97)</f>
        <v>-5923.1080000000002</v>
      </c>
      <c r="G40" s="225">
        <f>SUM('Base Financials'!K96:K97)</f>
        <v>-9958</v>
      </c>
      <c r="H40" s="36"/>
      <c r="I40" s="225">
        <f>SUM('Base Financials'!M96:M97)</f>
        <v>0</v>
      </c>
      <c r="J40" s="225">
        <f>SUM('Base Financials'!N96:N97)</f>
        <v>-3750</v>
      </c>
      <c r="K40" s="225">
        <f>SUM('Base Financials'!O96:O97)</f>
        <v>-3000</v>
      </c>
      <c r="L40" s="225">
        <f>SUM('Base Financials'!P96:P97)</f>
        <v>2672</v>
      </c>
      <c r="M40" s="225">
        <f>SUM('Base Financials'!Q96:Q97)</f>
        <v>-1401</v>
      </c>
      <c r="N40" s="225">
        <f>SUM('Base Financials'!R96:R97)</f>
        <v>-2250</v>
      </c>
      <c r="O40" s="225">
        <f>SUM('Base Financials'!S96:S97)</f>
        <v>-2272</v>
      </c>
      <c r="P40" s="225">
        <f>SUM('Base Financials'!T96:T97)</f>
        <v>-0.10800000000017462</v>
      </c>
      <c r="Q40" s="225">
        <f>SUM('Base Financials'!U96:U97)</f>
        <v>0</v>
      </c>
      <c r="R40" s="225">
        <f>SUM('Base Financials'!V96:V97)</f>
        <v>-3150</v>
      </c>
      <c r="S40" s="225">
        <f>SUM('Base Financials'!W96:W97)</f>
        <v>-4250</v>
      </c>
      <c r="T40" s="225">
        <f>SUM('Base Financials'!X96:X97)</f>
        <v>-2558</v>
      </c>
      <c r="U40" s="225">
        <f>SUM('Base Financials'!Y96:Y97)</f>
        <v>-1009</v>
      </c>
      <c r="V40" s="225">
        <f>SUM('Base Financials'!Z96:Z97)</f>
        <v>-3000</v>
      </c>
      <c r="W40" s="225">
        <f>SUM('Base Financials'!AA96:AA97)</f>
        <v>-1192</v>
      </c>
      <c r="Y40" s="36">
        <f t="shared" si="62"/>
        <v>-4078</v>
      </c>
      <c r="Z40" s="36">
        <f>SUM(J40:M40)</f>
        <v>-5479</v>
      </c>
      <c r="AA40" s="36">
        <f>SUM(K40:N40)</f>
        <v>-3979</v>
      </c>
      <c r="AB40" s="36">
        <f>SUM(L40:O40)</f>
        <v>-3251</v>
      </c>
      <c r="AC40" s="36">
        <f>SUM(M40:P40)</f>
        <v>-5923.1080000000002</v>
      </c>
      <c r="AD40" s="36">
        <f>SUM(N40:Q40)</f>
        <v>-4522.1080000000002</v>
      </c>
      <c r="AE40" s="36">
        <f>SUM(O40:R40)</f>
        <v>-5422.1080000000002</v>
      </c>
      <c r="AF40" s="36">
        <f>SUM(P40:S40)</f>
        <v>-7400.1080000000002</v>
      </c>
      <c r="AG40" s="36">
        <f>SUM(Q40:T40)</f>
        <v>-9958</v>
      </c>
      <c r="AH40" s="36">
        <f>SUM(R40:U40)</f>
        <v>-10967</v>
      </c>
      <c r="AI40" s="36">
        <f>SUM(S40:V40)</f>
        <v>-10817</v>
      </c>
      <c r="AJ40" s="36">
        <f>SUM(T40:W40)</f>
        <v>-7759</v>
      </c>
    </row>
    <row r="41" spans="1:38" ht="12.75" customHeight="1">
      <c r="B41" s="35" t="s">
        <v>360</v>
      </c>
      <c r="C41" s="225">
        <f>SUM('Base Financials'!G98:G99)</f>
        <v>-71478</v>
      </c>
      <c r="D41" s="225">
        <f>SUM('Base Financials'!H98:H99)</f>
        <v>-84866</v>
      </c>
      <c r="E41" s="225">
        <f>SUM('Base Financials'!I98:I99)</f>
        <v>-89402</v>
      </c>
      <c r="F41" s="225">
        <f>SUM('Base Financials'!J98:J99)</f>
        <v>-77550</v>
      </c>
      <c r="G41" s="225">
        <f>SUM('Base Financials'!K98:K99)</f>
        <v>-94949</v>
      </c>
      <c r="H41" s="36"/>
      <c r="I41" s="225">
        <f>SUM('Base Financials'!M98:M99)</f>
        <v>-20478</v>
      </c>
      <c r="J41" s="225">
        <f>SUM('Base Financials'!N98:N99)</f>
        <v>-22631</v>
      </c>
      <c r="K41" s="225">
        <f>SUM('Base Financials'!O98:O99)</f>
        <v>-21865</v>
      </c>
      <c r="L41" s="225">
        <f>SUM('Base Financials'!P98:P99)</f>
        <v>-24428</v>
      </c>
      <c r="M41" s="225">
        <f>SUM('Base Financials'!Q98:Q99)</f>
        <v>-19475</v>
      </c>
      <c r="N41" s="225">
        <f>SUM('Base Financials'!R98:R99)</f>
        <v>-19594</v>
      </c>
      <c r="O41" s="225">
        <f>SUM('Base Financials'!S98:S99)</f>
        <v>-17478</v>
      </c>
      <c r="P41" s="225">
        <f>SUM('Base Financials'!T98:T99)</f>
        <v>-21003</v>
      </c>
      <c r="Q41" s="225">
        <f>SUM('Base Financials'!U98:U99)</f>
        <v>-20139</v>
      </c>
      <c r="R41" s="225">
        <f>SUM('Base Financials'!V98:V99)</f>
        <v>-23205</v>
      </c>
      <c r="S41" s="225">
        <f>SUM('Base Financials'!W98:W99)</f>
        <v>-26522</v>
      </c>
      <c r="T41" s="225">
        <f>SUM('Base Financials'!X98:X99)</f>
        <v>-25083</v>
      </c>
      <c r="U41" s="225">
        <f>SUM('Base Financials'!Y98:Y99)</f>
        <v>-23606</v>
      </c>
      <c r="V41" s="225">
        <f>SUM('Base Financials'!Z98:Z99)</f>
        <v>-25898</v>
      </c>
      <c r="W41" s="225">
        <f>SUM('Base Financials'!AA98:AA99)</f>
        <v>-21075</v>
      </c>
      <c r="Y41" s="36">
        <f t="shared" si="62"/>
        <v>-89402</v>
      </c>
      <c r="Z41" s="36">
        <f>SUM(J41:M41)</f>
        <v>-88399</v>
      </c>
      <c r="AA41" s="36">
        <f>SUM(K41:N41)</f>
        <v>-85362</v>
      </c>
      <c r="AB41" s="36">
        <f>SUM(L41:O41)</f>
        <v>-80975</v>
      </c>
      <c r="AC41" s="36">
        <f>SUM(M41:P41)</f>
        <v>-77550</v>
      </c>
      <c r="AD41" s="36">
        <f>SUM(N41:Q41)</f>
        <v>-78214</v>
      </c>
      <c r="AE41" s="36">
        <f>SUM(O41:R41)</f>
        <v>-81825</v>
      </c>
      <c r="AF41" s="36">
        <f>SUM(P41:S41)</f>
        <v>-90869</v>
      </c>
      <c r="AG41" s="36">
        <f>SUM(Q41:T41)</f>
        <v>-94949</v>
      </c>
      <c r="AH41" s="36">
        <f>SUM(R41:U41)</f>
        <v>-98416</v>
      </c>
      <c r="AI41" s="36">
        <f>SUM(S41:V41)</f>
        <v>-101109</v>
      </c>
      <c r="AJ41" s="36">
        <f>SUM(T41:W41)</f>
        <v>-95662</v>
      </c>
    </row>
    <row r="42" spans="1:38" ht="12.75" customHeight="1">
      <c r="B42" s="35" t="s">
        <v>361</v>
      </c>
      <c r="C42" s="225">
        <f>'Base Financials'!G100</f>
        <v>-963</v>
      </c>
      <c r="D42" s="225">
        <f>'Base Financials'!H100</f>
        <v>1022</v>
      </c>
      <c r="E42" s="225">
        <f>'Base Financials'!I100</f>
        <v>3955</v>
      </c>
      <c r="F42" s="225">
        <f>'Base Financials'!J100</f>
        <v>-3978</v>
      </c>
      <c r="G42" s="225">
        <f>'Base Financials'!K100</f>
        <v>3960</v>
      </c>
      <c r="H42" s="36"/>
      <c r="I42" s="225">
        <f>'Base Financials'!M100</f>
        <v>-1000</v>
      </c>
      <c r="J42" s="225">
        <f>'Base Financials'!N100</f>
        <v>1999</v>
      </c>
      <c r="K42" s="225">
        <f>'Base Financials'!O100</f>
        <v>3971</v>
      </c>
      <c r="L42" s="225">
        <f>'Base Financials'!P100</f>
        <v>-1015</v>
      </c>
      <c r="M42" s="225">
        <f>'Base Financials'!Q100</f>
        <v>-8214</v>
      </c>
      <c r="N42" s="225">
        <f>'Base Financials'!R100</f>
        <v>254</v>
      </c>
      <c r="O42" s="225">
        <f>'Base Financials'!S100</f>
        <v>1989</v>
      </c>
      <c r="P42" s="225">
        <f>'Base Financials'!T100</f>
        <v>1993</v>
      </c>
      <c r="Q42" s="225">
        <f>'Base Financials'!U100</f>
        <v>-3984</v>
      </c>
      <c r="R42" s="225">
        <f>'Base Financials'!V100</f>
        <v>2</v>
      </c>
      <c r="S42" s="225">
        <f>'Base Financials'!W100</f>
        <v>997</v>
      </c>
      <c r="T42" s="225">
        <f>'Base Financials'!X100</f>
        <v>6945</v>
      </c>
      <c r="U42" s="225">
        <f>'Base Financials'!Y100</f>
        <v>-7944</v>
      </c>
      <c r="V42" s="225">
        <f>'Base Financials'!Z100</f>
        <v>3976</v>
      </c>
      <c r="W42" s="225">
        <f>'Base Financials'!AA100</f>
        <v>3903</v>
      </c>
      <c r="Y42" s="36">
        <f t="shared" si="62"/>
        <v>3955</v>
      </c>
      <c r="Z42" s="36">
        <f>SUM(J42:M42)</f>
        <v>-3259</v>
      </c>
      <c r="AA42" s="36">
        <f>SUM(K42:N42)</f>
        <v>-5004</v>
      </c>
      <c r="AB42" s="36">
        <f>SUM(L42:O42)</f>
        <v>-6986</v>
      </c>
      <c r="AC42" s="36">
        <f>SUM(M42:P42)</f>
        <v>-3978</v>
      </c>
      <c r="AD42" s="36">
        <f>SUM(N42:Q42)</f>
        <v>252</v>
      </c>
      <c r="AE42" s="36">
        <f>SUM(O42:R42)</f>
        <v>0</v>
      </c>
      <c r="AF42" s="36">
        <f>SUM(P42:S42)</f>
        <v>-992</v>
      </c>
      <c r="AG42" s="36">
        <f>SUM(Q42:T42)</f>
        <v>3960</v>
      </c>
      <c r="AH42" s="36">
        <f>SUM(R42:U42)</f>
        <v>0</v>
      </c>
      <c r="AI42" s="36">
        <f>SUM(S42:V42)</f>
        <v>3974</v>
      </c>
      <c r="AJ42" s="36">
        <f>SUM(T42:W42)</f>
        <v>6880</v>
      </c>
    </row>
    <row r="43" spans="1:38" ht="12.75" customHeight="1">
      <c r="B43" s="35" t="s">
        <v>122</v>
      </c>
      <c r="C43" s="225">
        <f>'Base Financials'!G103</f>
        <v>-14081</v>
      </c>
      <c r="D43" s="225">
        <f>'Base Financials'!H103</f>
        <v>-14467</v>
      </c>
      <c r="E43" s="225">
        <f>'Base Financials'!I103</f>
        <v>-14841</v>
      </c>
      <c r="F43" s="225">
        <f>'Base Financials'!J103</f>
        <v>-14875</v>
      </c>
      <c r="G43" s="225">
        <f>'Base Financials'!K103</f>
        <v>-15234</v>
      </c>
      <c r="H43" s="36"/>
      <c r="I43" s="225">
        <f>'Base Financials'!M103</f>
        <v>-3732</v>
      </c>
      <c r="J43" s="225">
        <f>'Base Financials'!N103</f>
        <v>-3595</v>
      </c>
      <c r="K43" s="225">
        <f>'Base Financials'!O103</f>
        <v>-3811</v>
      </c>
      <c r="L43" s="225">
        <f>'Base Financials'!P103</f>
        <v>-3703</v>
      </c>
      <c r="M43" s="225">
        <f>'Base Financials'!Q103</f>
        <v>-3768</v>
      </c>
      <c r="N43" s="225">
        <f>'Base Financials'!R103</f>
        <v>-3650</v>
      </c>
      <c r="O43" s="225">
        <f>'Base Financials'!S103</f>
        <v>-3849</v>
      </c>
      <c r="P43" s="225">
        <f>'Base Financials'!T103</f>
        <v>-3608</v>
      </c>
      <c r="Q43" s="225">
        <f>'Base Financials'!U103</f>
        <v>-3825</v>
      </c>
      <c r="R43" s="225">
        <f>'Base Financials'!V103</f>
        <v>-3710</v>
      </c>
      <c r="S43" s="225">
        <f>'Base Financials'!W103</f>
        <v>-3895</v>
      </c>
      <c r="T43" s="225">
        <f>'Base Financials'!X103</f>
        <v>-3804</v>
      </c>
      <c r="U43" s="225">
        <f>'Base Financials'!Y103</f>
        <v>-3856</v>
      </c>
      <c r="V43" s="225">
        <f>'Base Financials'!Z103</f>
        <v>-3758</v>
      </c>
      <c r="W43" s="225">
        <f>'Base Financials'!AA103</f>
        <v>-3945</v>
      </c>
      <c r="Y43" s="36"/>
      <c r="Z43" s="36"/>
      <c r="AA43" s="36"/>
      <c r="AB43" s="36"/>
      <c r="AC43" s="36"/>
      <c r="AD43" s="36"/>
      <c r="AE43" s="36">
        <f t="shared" ref="AE43" si="63">SUM(O43:R43)</f>
        <v>-14992</v>
      </c>
      <c r="AF43" s="36">
        <f t="shared" ref="AF43" si="64">SUM(P43:S43)</f>
        <v>-15038</v>
      </c>
      <c r="AG43" s="36">
        <f t="shared" ref="AG43" si="65">SUM(Q43:T43)</f>
        <v>-15234</v>
      </c>
      <c r="AH43" s="36">
        <f t="shared" ref="AH43" si="66">SUM(R43:U43)</f>
        <v>-15265</v>
      </c>
      <c r="AI43" s="36">
        <f t="shared" ref="AI43:AJ43" si="67">SUM(S43:V43)</f>
        <v>-15313</v>
      </c>
      <c r="AJ43" s="36">
        <f t="shared" si="67"/>
        <v>-15363</v>
      </c>
    </row>
    <row r="44" spans="1:38" ht="12.75" customHeight="1">
      <c r="B44" s="35" t="s">
        <v>120</v>
      </c>
      <c r="C44" s="36"/>
      <c r="D44" s="36">
        <f>SUM(D49-C49)-SUM(D36:D43)</f>
        <v>2948</v>
      </c>
      <c r="E44" s="36">
        <f>SUM(E49-D49)-SUM(E36:E43)</f>
        <v>-3221</v>
      </c>
      <c r="F44" s="36">
        <f>SUM(F49-E49)-SUM(F36:F43)</f>
        <v>-2653.8919999999925</v>
      </c>
      <c r="G44" s="36">
        <f>SUM(G49-F49)-SUM(G36:G43)</f>
        <v>-10674</v>
      </c>
      <c r="H44" s="36"/>
      <c r="I44" s="36">
        <f>SUM(I49-D49)-SUM(I36:I43)</f>
        <v>-3714</v>
      </c>
      <c r="J44" s="36">
        <f>SUM(J49-I49)-SUM(J36:J43)</f>
        <v>79</v>
      </c>
      <c r="K44" s="36">
        <f>SUM(K49-J49)-SUM(K36:K43)</f>
        <v>-1572</v>
      </c>
      <c r="L44" s="36">
        <f>SUM(L49-K49)-SUM(L36:L43)</f>
        <v>1986</v>
      </c>
      <c r="M44" s="36">
        <f>SUM(M49-L49)-SUM(M36:M43)</f>
        <v>-7617</v>
      </c>
      <c r="N44" s="36">
        <f>SUM(N49-M49)-SUM(N36:N43)</f>
        <v>-1824</v>
      </c>
      <c r="O44" s="36">
        <f>SUM(O49-N49)-SUM(O36:O43)</f>
        <v>-1679</v>
      </c>
      <c r="P44" s="36">
        <f>SUM(P49-O49)-SUM(P36:P43)</f>
        <v>8466.1080000000002</v>
      </c>
      <c r="Q44" s="36">
        <f>SUM(Q49-P49)-SUM(Q36:Q43)</f>
        <v>-3270</v>
      </c>
      <c r="R44" s="36">
        <f>SUM(R49-Q49)-SUM(R36:R43)</f>
        <v>1648</v>
      </c>
      <c r="S44" s="36">
        <f>SUM(S49-R49)-SUM(S36:S43)</f>
        <v>-1389</v>
      </c>
      <c r="T44" s="36">
        <f>SUM(T49-S49)-SUM(T36:T43)</f>
        <v>-7663</v>
      </c>
      <c r="U44" s="36">
        <f>SUM(U49-T49)-SUM(U36:U43)</f>
        <v>7184</v>
      </c>
      <c r="V44" s="36">
        <f>SUM(V49-U49)-SUM(V36:V43)</f>
        <v>7689</v>
      </c>
      <c r="W44" s="36">
        <f>SUM(W49-V49)-SUM(W36:W43)</f>
        <v>-1174</v>
      </c>
      <c r="Y44" s="36">
        <f t="shared" ref="Y44" si="68">SUM(I44:L44)</f>
        <v>-3221</v>
      </c>
      <c r="Z44" s="36">
        <f>SUM(J44:M44)</f>
        <v>-7124</v>
      </c>
      <c r="AA44" s="36">
        <f>SUM(K44:N44)</f>
        <v>-9027</v>
      </c>
      <c r="AB44" s="36">
        <f>SUM(L44:O44)</f>
        <v>-9134</v>
      </c>
      <c r="AC44" s="36">
        <f>SUM(M44:P44)</f>
        <v>-2653.8919999999998</v>
      </c>
      <c r="AD44" s="36">
        <f>SUM(N44:Q44)</f>
        <v>1693.1080000000002</v>
      </c>
      <c r="AE44" s="36">
        <f>SUM(O44:R44)</f>
        <v>5165.1080000000002</v>
      </c>
      <c r="AF44" s="36">
        <f>SUM(P44:S44)</f>
        <v>5455.1080000000002</v>
      </c>
      <c r="AG44" s="36">
        <f>SUM(Q44:T44)</f>
        <v>-10674</v>
      </c>
      <c r="AH44" s="36">
        <f>SUM(R44:U44)</f>
        <v>-220</v>
      </c>
      <c r="AI44" s="36">
        <f>SUM(S44:V44)</f>
        <v>5821</v>
      </c>
      <c r="AJ44" s="36">
        <f>SUM(T44:W44)</f>
        <v>6036</v>
      </c>
    </row>
    <row r="45" spans="1:38" ht="12.75" customHeight="1">
      <c r="B45" s="15" t="s">
        <v>65</v>
      </c>
      <c r="C45" s="16">
        <f>SUM(C36+SUM(C38:C44))</f>
        <v>-8465</v>
      </c>
      <c r="D45" s="16">
        <f>SUM(D36+SUM(D38:D44))</f>
        <v>-3076</v>
      </c>
      <c r="E45" s="16">
        <f>SUM(E36+SUM(E38:E44))</f>
        <v>-11294</v>
      </c>
      <c r="F45" s="16">
        <f>SUM(F36+SUM(F38:F44))</f>
        <v>6319</v>
      </c>
      <c r="G45" s="16">
        <f>SUM(G36+SUM(G38:G44))</f>
        <v>-22</v>
      </c>
      <c r="I45" s="16">
        <f>SUM(I36+SUM(I38:I44))</f>
        <v>2179</v>
      </c>
      <c r="J45" s="16">
        <f>SUM(J36+SUM(J38:J44))</f>
        <v>-9021</v>
      </c>
      <c r="K45" s="16">
        <f>SUM(K36+SUM(K38:K44))</f>
        <v>-596</v>
      </c>
      <c r="L45" s="16">
        <f>SUM(L36+SUM(L38:L44))</f>
        <v>-3856</v>
      </c>
      <c r="M45" s="16">
        <f>SUM(M36+SUM(M38:M44))</f>
        <v>-3111</v>
      </c>
      <c r="N45" s="16">
        <f>SUM(N36+SUM(N38:N44))</f>
        <v>4152</v>
      </c>
      <c r="O45" s="16">
        <f>SUM(O36+SUM(O38:O44))</f>
        <v>3721</v>
      </c>
      <c r="P45" s="16">
        <f>SUM(P36+SUM(P38:P44))</f>
        <v>1557</v>
      </c>
      <c r="Q45" s="16">
        <f>SUM(Q36+SUM(Q38:Q44))</f>
        <v>10795</v>
      </c>
      <c r="R45" s="16">
        <f>SUM(R36+SUM(R38:R44))</f>
        <v>-8065</v>
      </c>
      <c r="S45" s="16">
        <f>SUM(S36+SUM(S38:S44))</f>
        <v>-7130</v>
      </c>
      <c r="T45" s="16">
        <f>SUM(T36+SUM(T38:T44))</f>
        <v>4378</v>
      </c>
      <c r="U45" s="16">
        <f>SUM(U36+SUM(U38:U44))</f>
        <v>356</v>
      </c>
      <c r="V45" s="16">
        <f>SUM(V36+SUM(V38:V44))</f>
        <v>-2137</v>
      </c>
      <c r="W45" s="16">
        <f>SUM(W36+SUM(W38:W44))</f>
        <v>8107</v>
      </c>
      <c r="Y45" s="16">
        <f>SUM(Y36+SUM(Y38:Y44))</f>
        <v>3547</v>
      </c>
      <c r="Z45" s="16">
        <f>SUM(Z36+SUM(Z38:Z44))</f>
        <v>-1707</v>
      </c>
      <c r="AA45" s="16">
        <f>SUM(AA36+SUM(AA38:AA44))</f>
        <v>11521</v>
      </c>
      <c r="AB45" s="16">
        <f>SUM(AB36+SUM(AB38:AB44))</f>
        <v>15876</v>
      </c>
      <c r="AC45" s="16">
        <f>SUM(AC36+SUM(AC38:AC44))</f>
        <v>21194</v>
      </c>
      <c r="AD45" s="16">
        <f>SUM(AD36+SUM(AD38:AD44))</f>
        <v>35156.999999999993</v>
      </c>
      <c r="AE45" s="16">
        <f>SUM(AE36+SUM(AE38:AE44))</f>
        <v>8008</v>
      </c>
      <c r="AF45" s="16">
        <f>SUM(AF36+SUM(AF38:AF44))</f>
        <v>-2843</v>
      </c>
      <c r="AG45" s="16">
        <f>SUM(AG36+SUM(AG38:AG44))</f>
        <v>-22</v>
      </c>
      <c r="AH45" s="16">
        <f>SUM(AH36+SUM(AH38:AH44))</f>
        <v>-10461</v>
      </c>
      <c r="AI45" s="16">
        <f>SUM(AI36+SUM(AI38:AI44))</f>
        <v>-4533</v>
      </c>
      <c r="AJ45" s="16">
        <f>SUM(AJ36+SUM(AJ38:AJ44))</f>
        <v>10704</v>
      </c>
    </row>
    <row r="46" spans="1:38" ht="5.0999999999999996" customHeight="1"/>
    <row r="47" spans="1:38" ht="12.75" customHeight="1">
      <c r="A47" s="5"/>
      <c r="B47" s="37" t="s">
        <v>66</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row>
    <row r="48" spans="1:38" ht="5.0999999999999996" customHeight="1"/>
    <row r="49" spans="2:36" ht="12.75" customHeight="1">
      <c r="B49" s="9" t="s">
        <v>67</v>
      </c>
      <c r="C49" s="225">
        <f>'Base Financials'!G35</f>
        <v>38016</v>
      </c>
      <c r="D49" s="225">
        <f>'Base Financials'!H35</f>
        <v>34940</v>
      </c>
      <c r="E49" s="225">
        <f>'Base Financials'!I35</f>
        <v>23646</v>
      </c>
      <c r="F49" s="225">
        <f>'Base Financials'!J35</f>
        <v>29965</v>
      </c>
      <c r="G49" s="225">
        <f>'Base Financials'!K35</f>
        <v>29943</v>
      </c>
      <c r="H49" s="36"/>
      <c r="I49" s="225">
        <f>'Base Financials'!M35</f>
        <v>37119</v>
      </c>
      <c r="J49" s="225">
        <f>'Base Financials'!N35</f>
        <v>28098</v>
      </c>
      <c r="K49" s="225">
        <f>'Base Financials'!O35</f>
        <v>27502</v>
      </c>
      <c r="L49" s="225">
        <f>'Base Financials'!P35</f>
        <v>23646</v>
      </c>
      <c r="M49" s="225">
        <f>'Base Financials'!Q35</f>
        <v>20535</v>
      </c>
      <c r="N49" s="225">
        <f>'Base Financials'!R35</f>
        <v>24687</v>
      </c>
      <c r="O49" s="225">
        <f>'Base Financials'!S35</f>
        <v>28408</v>
      </c>
      <c r="P49" s="225">
        <f>'Base Financials'!T35</f>
        <v>29965</v>
      </c>
      <c r="Q49" s="225">
        <f>'Base Financials'!U35</f>
        <v>40760</v>
      </c>
      <c r="R49" s="225">
        <f>'Base Financials'!V35</f>
        <v>32695</v>
      </c>
      <c r="S49" s="225">
        <f>'Base Financials'!W35</f>
        <v>25565</v>
      </c>
      <c r="T49" s="225">
        <f>'Base Financials'!X35</f>
        <v>29943</v>
      </c>
      <c r="U49" s="225">
        <f>'Base Financials'!Y35</f>
        <v>30299</v>
      </c>
      <c r="V49" s="225">
        <f>'Base Financials'!Z35</f>
        <v>28162</v>
      </c>
      <c r="W49" s="225">
        <f>'Base Financials'!AA35</f>
        <v>36269</v>
      </c>
      <c r="Y49" s="12">
        <f>L49</f>
        <v>23646</v>
      </c>
      <c r="Z49" s="12">
        <f>M49</f>
        <v>20535</v>
      </c>
      <c r="AA49" s="12">
        <f>N49</f>
        <v>24687</v>
      </c>
      <c r="AB49" s="12">
        <f>O49</f>
        <v>28408</v>
      </c>
      <c r="AC49" s="12">
        <f>P49</f>
        <v>29965</v>
      </c>
      <c r="AD49" s="12">
        <f>Q49</f>
        <v>40760</v>
      </c>
      <c r="AE49" s="12">
        <f>R49</f>
        <v>32695</v>
      </c>
      <c r="AF49" s="12">
        <f>S49</f>
        <v>25565</v>
      </c>
      <c r="AG49" s="12">
        <f>T49</f>
        <v>29943</v>
      </c>
      <c r="AH49" s="12">
        <f>U49</f>
        <v>30299</v>
      </c>
      <c r="AI49" s="12">
        <f>V49</f>
        <v>28162</v>
      </c>
      <c r="AJ49" s="12">
        <f>W49</f>
        <v>36269</v>
      </c>
    </row>
    <row r="50" spans="2:36" ht="12.75" customHeight="1">
      <c r="B50" s="9" t="s">
        <v>530</v>
      </c>
      <c r="C50" s="225">
        <f>'Base Financials'!G36</f>
        <v>52927</v>
      </c>
      <c r="D50" s="225">
        <f>'Base Financials'!H36</f>
        <v>27699</v>
      </c>
      <c r="E50" s="225">
        <f>'Base Financials'!I36</f>
        <v>24658</v>
      </c>
      <c r="F50" s="225">
        <f>'Base Financials'!J36</f>
        <v>31590</v>
      </c>
      <c r="G50" s="225">
        <f>'Base Financials'!K36</f>
        <v>35228</v>
      </c>
      <c r="H50" s="36"/>
      <c r="I50" s="225">
        <f>'Base Financials'!M36</f>
        <v>26794</v>
      </c>
      <c r="J50" s="225">
        <f>'Base Financials'!N36</f>
        <v>23413</v>
      </c>
      <c r="K50" s="225">
        <f>'Base Financials'!O36</f>
        <v>20729</v>
      </c>
      <c r="L50" s="225">
        <f>'Base Financials'!P36</f>
        <v>24658</v>
      </c>
      <c r="M50" s="225">
        <f>'Base Financials'!Q36</f>
        <v>30820</v>
      </c>
      <c r="N50" s="225">
        <f>'Base Financials'!R36</f>
        <v>31185</v>
      </c>
      <c r="O50" s="225">
        <f>'Base Financials'!S36</f>
        <v>34074</v>
      </c>
      <c r="P50" s="225">
        <f>'Base Financials'!T36</f>
        <v>31590</v>
      </c>
      <c r="Q50" s="225">
        <f>'Base Financials'!U36</f>
        <v>32340</v>
      </c>
      <c r="R50" s="225">
        <f>'Base Financials'!V36</f>
        <v>34455</v>
      </c>
      <c r="S50" s="225">
        <f>'Base Financials'!W36</f>
        <v>36236</v>
      </c>
      <c r="T50" s="225">
        <f>'Base Financials'!X36</f>
        <v>35228</v>
      </c>
      <c r="U50" s="225">
        <f>'Base Financials'!Y36</f>
        <v>23476</v>
      </c>
      <c r="V50" s="225">
        <f>'Base Financials'!Z36</f>
        <v>20336</v>
      </c>
      <c r="W50" s="225">
        <f>'Base Financials'!AA36</f>
        <v>19103</v>
      </c>
      <c r="Y50" s="12">
        <f>L50</f>
        <v>24658</v>
      </c>
      <c r="Z50" s="12">
        <f>M50</f>
        <v>30820</v>
      </c>
      <c r="AA50" s="12">
        <f>N50</f>
        <v>31185</v>
      </c>
      <c r="AB50" s="12">
        <f>O50</f>
        <v>34074</v>
      </c>
      <c r="AC50" s="12">
        <f>P50</f>
        <v>31590</v>
      </c>
      <c r="AD50" s="12">
        <f>Q50</f>
        <v>32340</v>
      </c>
      <c r="AE50" s="12">
        <f>R50</f>
        <v>34455</v>
      </c>
      <c r="AF50" s="12">
        <f>S50</f>
        <v>36236</v>
      </c>
      <c r="AG50" s="12">
        <f>T50</f>
        <v>35228</v>
      </c>
      <c r="AH50" s="12">
        <f>U50</f>
        <v>23476</v>
      </c>
      <c r="AI50" s="12">
        <f>V50</f>
        <v>20336</v>
      </c>
      <c r="AJ50" s="12">
        <f>W50</f>
        <v>19103</v>
      </c>
    </row>
    <row r="51" spans="2:36" ht="12.75" customHeight="1">
      <c r="B51" s="9" t="s">
        <v>531</v>
      </c>
      <c r="C51" s="225">
        <f>'Base Financials'!G43</f>
        <v>100887</v>
      </c>
      <c r="D51" s="225">
        <f>'Base Financials'!H43</f>
        <v>127877</v>
      </c>
      <c r="E51" s="225">
        <f>'Base Financials'!I43</f>
        <v>120805</v>
      </c>
      <c r="F51" s="225">
        <f>'Base Financials'!J43</f>
        <v>100544</v>
      </c>
      <c r="G51" s="225">
        <f>'Base Financials'!K43</f>
        <v>91479</v>
      </c>
      <c r="H51" s="225"/>
      <c r="I51" s="225">
        <f>'Base Financials'!M43</f>
        <v>138683</v>
      </c>
      <c r="J51" s="225">
        <f>'Base Financials'!N43</f>
        <v>141219</v>
      </c>
      <c r="K51" s="225">
        <f>'Base Financials'!O43</f>
        <v>131077</v>
      </c>
      <c r="L51" s="225">
        <f>'Base Financials'!P43</f>
        <v>120805</v>
      </c>
      <c r="M51" s="225">
        <f>'Base Financials'!Q43</f>
        <v>114095</v>
      </c>
      <c r="N51" s="225">
        <f>'Base Financials'!R43</f>
        <v>110461</v>
      </c>
      <c r="O51" s="225">
        <f>'Base Financials'!S43</f>
        <v>104061</v>
      </c>
      <c r="P51" s="225">
        <f>'Base Financials'!T43</f>
        <v>100544</v>
      </c>
      <c r="Q51" s="225">
        <f>'Base Financials'!U43</f>
        <v>99475</v>
      </c>
      <c r="R51" s="225">
        <f>'Base Financials'!V43</f>
        <v>95187</v>
      </c>
      <c r="S51" s="225">
        <f>'Base Financials'!W43</f>
        <v>91240</v>
      </c>
      <c r="T51" s="225">
        <f>'Base Financials'!X43</f>
        <v>91479</v>
      </c>
      <c r="U51" s="225">
        <f>'Base Financials'!Y43</f>
        <v>87593</v>
      </c>
      <c r="V51" s="225">
        <f>'Base Financials'!Z43</f>
        <v>84424</v>
      </c>
      <c r="W51" s="225">
        <f>'Base Financials'!AA43</f>
        <v>77614</v>
      </c>
      <c r="Y51" s="12">
        <f>L51</f>
        <v>120805</v>
      </c>
      <c r="Z51" s="12">
        <f>M51</f>
        <v>114095</v>
      </c>
      <c r="AA51" s="12">
        <f>N51</f>
        <v>110461</v>
      </c>
      <c r="AB51" s="12">
        <f>O51</f>
        <v>104061</v>
      </c>
      <c r="AC51" s="12">
        <f>P51</f>
        <v>100544</v>
      </c>
      <c r="AD51" s="12">
        <f>Q51</f>
        <v>99475</v>
      </c>
      <c r="AE51" s="12">
        <f>R51</f>
        <v>95187</v>
      </c>
      <c r="AF51" s="12">
        <f>S51</f>
        <v>91240</v>
      </c>
      <c r="AG51" s="12">
        <f>T51</f>
        <v>91479</v>
      </c>
      <c r="AH51" s="12">
        <f>U51</f>
        <v>87593</v>
      </c>
      <c r="AI51" s="12">
        <f>V51</f>
        <v>84424</v>
      </c>
      <c r="AJ51" s="12">
        <f>W51</f>
        <v>77614</v>
      </c>
    </row>
    <row r="52" spans="2:36" ht="12.75" customHeight="1">
      <c r="B52" s="15" t="s">
        <v>68</v>
      </c>
      <c r="C52" s="16">
        <f>SUM(C49:C51)</f>
        <v>191830</v>
      </c>
      <c r="D52" s="16">
        <f t="shared" ref="D52:G52" si="69">SUM(D49:D51)</f>
        <v>190516</v>
      </c>
      <c r="E52" s="16">
        <f t="shared" si="69"/>
        <v>169109</v>
      </c>
      <c r="F52" s="16">
        <f t="shared" si="69"/>
        <v>162099</v>
      </c>
      <c r="G52" s="16">
        <f t="shared" si="69"/>
        <v>156650</v>
      </c>
      <c r="H52" s="36"/>
      <c r="I52" s="16">
        <f t="shared" ref="I52" si="70">SUM(I49:I51)</f>
        <v>202596</v>
      </c>
      <c r="J52" s="16">
        <f t="shared" ref="J52" si="71">SUM(J49:J51)</f>
        <v>192730</v>
      </c>
      <c r="K52" s="16">
        <f t="shared" ref="K52" si="72">SUM(K49:K51)</f>
        <v>179308</v>
      </c>
      <c r="L52" s="16">
        <f t="shared" ref="L52" si="73">SUM(L49:L51)</f>
        <v>169109</v>
      </c>
      <c r="M52" s="16">
        <f t="shared" ref="M52" si="74">SUM(M49:M51)</f>
        <v>165450</v>
      </c>
      <c r="N52" s="16">
        <f t="shared" ref="N52" si="75">SUM(N49:N51)</f>
        <v>166333</v>
      </c>
      <c r="O52" s="16">
        <f t="shared" ref="O52" si="76">SUM(O49:O51)</f>
        <v>166543</v>
      </c>
      <c r="P52" s="16">
        <f t="shared" ref="P52" si="77">SUM(P49:P51)</f>
        <v>162099</v>
      </c>
      <c r="Q52" s="16">
        <f t="shared" ref="Q52" si="78">SUM(Q49:Q51)</f>
        <v>172575</v>
      </c>
      <c r="R52" s="16">
        <f t="shared" ref="R52" si="79">SUM(R49:R51)</f>
        <v>162337</v>
      </c>
      <c r="S52" s="16">
        <f t="shared" ref="S52" si="80">SUM(S49:S51)</f>
        <v>153041</v>
      </c>
      <c r="T52" s="16">
        <f t="shared" ref="T52" si="81">SUM(T49:T51)</f>
        <v>156650</v>
      </c>
      <c r="U52" s="16">
        <f t="shared" ref="U52" si="82">SUM(U49:U51)</f>
        <v>141368</v>
      </c>
      <c r="V52" s="16">
        <f t="shared" ref="V52" si="83">SUM(V49:V51)</f>
        <v>132922</v>
      </c>
      <c r="W52" s="16">
        <f t="shared" ref="W52" si="84">SUM(W49:W51)</f>
        <v>132986</v>
      </c>
      <c r="Y52" s="16">
        <f t="shared" ref="Y52" si="85">SUM(Y49:Y51)</f>
        <v>169109</v>
      </c>
      <c r="Z52" s="16">
        <f t="shared" ref="Z52" si="86">SUM(Z49:Z51)</f>
        <v>165450</v>
      </c>
      <c r="AA52" s="16">
        <f t="shared" ref="AA52" si="87">SUM(AA49:AA51)</f>
        <v>166333</v>
      </c>
      <c r="AB52" s="16">
        <f t="shared" ref="AB52" si="88">SUM(AB49:AB51)</f>
        <v>166543</v>
      </c>
      <c r="AC52" s="16">
        <f t="shared" ref="AC52" si="89">SUM(AC49:AC51)</f>
        <v>162099</v>
      </c>
      <c r="AD52" s="16">
        <f t="shared" ref="AD52" si="90">SUM(AD49:AD51)</f>
        <v>172575</v>
      </c>
      <c r="AE52" s="16">
        <f t="shared" ref="AE52" si="91">SUM(AE49:AE51)</f>
        <v>162337</v>
      </c>
      <c r="AF52" s="16">
        <f t="shared" ref="AF52" si="92">SUM(AF49:AF51)</f>
        <v>153041</v>
      </c>
      <c r="AG52" s="16">
        <f t="shared" ref="AG52" si="93">SUM(AG49:AG51)</f>
        <v>156650</v>
      </c>
      <c r="AH52" s="16">
        <f t="shared" ref="AH52" si="94">SUM(AH49:AH51)</f>
        <v>141368</v>
      </c>
      <c r="AI52" s="16">
        <f t="shared" ref="AI52" si="95">SUM(AI49:AI51)</f>
        <v>132922</v>
      </c>
      <c r="AJ52" s="16">
        <f t="shared" ref="AJ52" si="96">SUM(AJ49:AJ51)</f>
        <v>132986</v>
      </c>
    </row>
    <row r="53" spans="2:36" ht="5.0999999999999996" customHeight="1"/>
    <row r="54" spans="2:36" ht="12.75" customHeight="1">
      <c r="B54" s="39" t="s">
        <v>69</v>
      </c>
    </row>
    <row r="55" spans="2:36" ht="12.75" customHeight="1">
      <c r="B55" s="9" t="s">
        <v>70</v>
      </c>
      <c r="C55" s="225">
        <f>'Base Financials'!G37</f>
        <v>16120</v>
      </c>
      <c r="D55" s="225">
        <f>'Base Financials'!H37</f>
        <v>26278</v>
      </c>
      <c r="E55" s="225">
        <f>'Base Financials'!I37</f>
        <v>28184</v>
      </c>
      <c r="F55" s="225">
        <f>'Base Financials'!J37</f>
        <v>29508</v>
      </c>
      <c r="G55" s="225">
        <f>'Base Financials'!K37</f>
        <v>66243</v>
      </c>
      <c r="I55" s="225">
        <f>'Base Financials'!M37</f>
        <v>30213</v>
      </c>
      <c r="J55" s="225">
        <f>'Base Financials'!N37</f>
        <v>20815</v>
      </c>
      <c r="K55" s="225">
        <f>'Base Financials'!O37</f>
        <v>21803</v>
      </c>
      <c r="L55" s="225">
        <f>'Base Financials'!P37</f>
        <v>28184</v>
      </c>
      <c r="M55" s="225">
        <f>'Base Financials'!Q37</f>
        <v>23752</v>
      </c>
      <c r="N55" s="225">
        <f>'Base Financials'!R37</f>
        <v>17936</v>
      </c>
      <c r="O55" s="225">
        <f>'Base Financials'!S37</f>
        <v>19549</v>
      </c>
      <c r="P55" s="225">
        <f>'Base Financials'!T37</f>
        <v>29508</v>
      </c>
      <c r="Q55" s="225">
        <f>'Base Financials'!U37</f>
        <v>23194</v>
      </c>
      <c r="R55" s="225">
        <f>'Base Financials'!V37</f>
        <v>21837</v>
      </c>
      <c r="S55" s="225">
        <f>'Base Financials'!W37</f>
        <v>22795</v>
      </c>
      <c r="T55" s="225">
        <f>'Base Financials'!X37</f>
        <v>66243</v>
      </c>
      <c r="U55" s="225">
        <f>'Base Financials'!Y37</f>
        <v>29639</v>
      </c>
      <c r="V55" s="225">
        <f>'Base Financials'!Z37</f>
        <v>49798</v>
      </c>
      <c r="W55" s="225">
        <f>'Base Financials'!AA37</f>
        <v>46835</v>
      </c>
      <c r="X55" s="12"/>
      <c r="Y55" s="12">
        <f>L55</f>
        <v>28184</v>
      </c>
      <c r="Z55" s="12">
        <f>M55</f>
        <v>23752</v>
      </c>
      <c r="AA55" s="12">
        <f>N55</f>
        <v>17936</v>
      </c>
      <c r="AB55" s="12">
        <f>O55</f>
        <v>19549</v>
      </c>
      <c r="AC55" s="12">
        <f>P55</f>
        <v>29508</v>
      </c>
      <c r="AD55" s="12">
        <f>Q55</f>
        <v>23194</v>
      </c>
      <c r="AE55" s="12">
        <f>R55</f>
        <v>21837</v>
      </c>
      <c r="AF55" s="12">
        <f>S55</f>
        <v>22795</v>
      </c>
      <c r="AG55" s="12">
        <f>T55</f>
        <v>66243</v>
      </c>
      <c r="AH55" s="12">
        <f>U55</f>
        <v>29639</v>
      </c>
      <c r="AI55" s="12">
        <f>V55</f>
        <v>49798</v>
      </c>
      <c r="AJ55" s="12">
        <f>W55</f>
        <v>46835</v>
      </c>
    </row>
    <row r="56" spans="2:36" ht="12.75" customHeight="1">
      <c r="B56" s="9" t="s">
        <v>71</v>
      </c>
      <c r="C56" s="225">
        <f>'Base Financials'!G47</f>
        <v>42296</v>
      </c>
      <c r="D56" s="225">
        <f>'Base Financials'!H47</f>
        <v>54763</v>
      </c>
      <c r="E56" s="225">
        <f>'Base Financials'!I47</f>
        <v>64115</v>
      </c>
      <c r="F56" s="225">
        <f>'Base Financials'!J47</f>
        <v>62611</v>
      </c>
      <c r="G56" s="225">
        <f>'Base Financials'!K47</f>
        <v>68960</v>
      </c>
      <c r="H56" s="225"/>
      <c r="I56" s="225">
        <f>'Base Financials'!M47</f>
        <v>74362</v>
      </c>
      <c r="J56" s="225">
        <f>'Base Financials'!N47</f>
        <v>52682</v>
      </c>
      <c r="K56" s="225">
        <f>'Base Financials'!O47</f>
        <v>48343</v>
      </c>
      <c r="L56" s="225">
        <f>'Base Financials'!P47</f>
        <v>64115</v>
      </c>
      <c r="M56" s="225">
        <f>'Base Financials'!Q47</f>
        <v>57918</v>
      </c>
      <c r="N56" s="225">
        <f>'Base Financials'!R47</f>
        <v>42945</v>
      </c>
      <c r="O56" s="225">
        <f>'Base Financials'!S47</f>
        <v>46699</v>
      </c>
      <c r="P56" s="225">
        <f>'Base Financials'!T47</f>
        <v>62611</v>
      </c>
      <c r="Q56" s="225">
        <f>'Base Financials'!U47</f>
        <v>58146</v>
      </c>
      <c r="R56" s="225">
        <f>'Base Financials'!V47</f>
        <v>45753</v>
      </c>
      <c r="S56" s="225">
        <f>'Base Financials'!W47</f>
        <v>47574</v>
      </c>
      <c r="T56" s="225">
        <f>'Base Financials'!X47</f>
        <v>68960</v>
      </c>
      <c r="U56" s="225">
        <f>'Base Financials'!Y47</f>
        <v>61910</v>
      </c>
      <c r="V56" s="225">
        <f>'Base Financials'!Z47</f>
        <v>54126</v>
      </c>
      <c r="W56" s="225">
        <f>'Base Financials'!AA47</f>
        <v>50374</v>
      </c>
      <c r="Y56" s="12">
        <f>L56</f>
        <v>64115</v>
      </c>
      <c r="Z56" s="12">
        <f>M56</f>
        <v>57918</v>
      </c>
      <c r="AA56" s="12">
        <f>N56</f>
        <v>42945</v>
      </c>
      <c r="AB56" s="12">
        <f>O56</f>
        <v>46699</v>
      </c>
      <c r="AC56" s="12">
        <f>P56</f>
        <v>62611</v>
      </c>
      <c r="AD56" s="12">
        <f>Q56</f>
        <v>58146</v>
      </c>
      <c r="AE56" s="12">
        <f>R56</f>
        <v>45753</v>
      </c>
      <c r="AF56" s="12">
        <f>S56</f>
        <v>47574</v>
      </c>
      <c r="AG56" s="12">
        <f>T56</f>
        <v>68960</v>
      </c>
      <c r="AH56" s="12">
        <f>U56</f>
        <v>61910</v>
      </c>
      <c r="AI56" s="12">
        <f>V56</f>
        <v>54126</v>
      </c>
      <c r="AJ56" s="12">
        <f>W56</f>
        <v>50374</v>
      </c>
    </row>
    <row r="57" spans="2:36" ht="12.75" customHeight="1">
      <c r="B57" s="9" t="s">
        <v>16</v>
      </c>
      <c r="C57" s="225">
        <f>'Base Financials'!G38</f>
        <v>4061</v>
      </c>
      <c r="D57" s="225">
        <f>'Base Financials'!H38</f>
        <v>6580</v>
      </c>
      <c r="E57" s="225">
        <f>'Base Financials'!I38</f>
        <v>4946</v>
      </c>
      <c r="F57" s="225">
        <f>'Base Financials'!J38</f>
        <v>6331</v>
      </c>
      <c r="G57" s="225">
        <f>'Base Financials'!K38</f>
        <v>7286</v>
      </c>
      <c r="H57" s="225"/>
      <c r="I57" s="225">
        <f>'Base Financials'!M38</f>
        <v>5876</v>
      </c>
      <c r="J57" s="225">
        <f>'Base Financials'!N38</f>
        <v>5460</v>
      </c>
      <c r="K57" s="225">
        <f>'Base Financials'!O38</f>
        <v>5433</v>
      </c>
      <c r="L57" s="225">
        <f>'Base Financials'!P38</f>
        <v>4946</v>
      </c>
      <c r="M57" s="225">
        <f>'Base Financials'!Q38</f>
        <v>6820</v>
      </c>
      <c r="N57" s="225">
        <f>'Base Financials'!R38</f>
        <v>7482</v>
      </c>
      <c r="O57" s="225">
        <f>'Base Financials'!S38</f>
        <v>7351</v>
      </c>
      <c r="P57" s="225">
        <f>'Base Financials'!T38</f>
        <v>6331</v>
      </c>
      <c r="Q57" s="225">
        <f>'Base Financials'!U38</f>
        <v>6511</v>
      </c>
      <c r="R57" s="225">
        <f>'Base Financials'!V38</f>
        <v>6232</v>
      </c>
      <c r="S57" s="225">
        <f>'Base Financials'!W38</f>
        <v>6165</v>
      </c>
      <c r="T57" s="225">
        <f>'Base Financials'!X38</f>
        <v>7286</v>
      </c>
      <c r="U57" s="225">
        <f>'Base Financials'!Y38</f>
        <v>6911</v>
      </c>
      <c r="V57" s="225">
        <f>'Base Financials'!Z38</f>
        <v>6269</v>
      </c>
      <c r="W57" s="225">
        <f>'Base Financials'!AA38</f>
        <v>5925</v>
      </c>
      <c r="Y57" s="12"/>
      <c r="Z57" s="12"/>
      <c r="AA57" s="12"/>
      <c r="AB57" s="12"/>
      <c r="AC57" s="12"/>
      <c r="AD57" s="12"/>
      <c r="AE57" s="12">
        <f>R57</f>
        <v>6232</v>
      </c>
      <c r="AF57" s="12">
        <f>S57</f>
        <v>6165</v>
      </c>
      <c r="AG57" s="12">
        <f>T57</f>
        <v>7286</v>
      </c>
      <c r="AH57" s="12">
        <f>U57</f>
        <v>6911</v>
      </c>
      <c r="AI57" s="12">
        <f>V57</f>
        <v>6269</v>
      </c>
      <c r="AJ57" s="12">
        <f>W57</f>
        <v>5925</v>
      </c>
    </row>
    <row r="58" spans="2:36" ht="12.75" customHeight="1">
      <c r="B58" s="9" t="s">
        <v>72</v>
      </c>
      <c r="C58" s="225">
        <f>'Base Financials'!G42</f>
        <v>36766</v>
      </c>
      <c r="D58" s="225">
        <f>'Base Financials'!H42</f>
        <v>39440</v>
      </c>
      <c r="E58" s="225">
        <f>'Base Financials'!I42</f>
        <v>42117</v>
      </c>
      <c r="F58" s="225">
        <f>'Base Financials'!J42</f>
        <v>43715</v>
      </c>
      <c r="G58" s="225">
        <f>'Base Financials'!K42</f>
        <v>45680</v>
      </c>
      <c r="H58" s="225"/>
      <c r="I58" s="225">
        <f>'Base Financials'!M42</f>
        <v>39245</v>
      </c>
      <c r="J58" s="225">
        <f>'Base Financials'!N42</f>
        <v>39304</v>
      </c>
      <c r="K58" s="225">
        <f>'Base Financials'!O42</f>
        <v>40335</v>
      </c>
      <c r="L58" s="225">
        <f>'Base Financials'!P42</f>
        <v>42117</v>
      </c>
      <c r="M58" s="225">
        <f>'Base Financials'!Q42</f>
        <v>42951</v>
      </c>
      <c r="N58" s="225">
        <f>'Base Financials'!R42</f>
        <v>43398</v>
      </c>
      <c r="O58" s="225">
        <f>'Base Financials'!S42</f>
        <v>43550</v>
      </c>
      <c r="P58" s="225">
        <f>'Base Financials'!T42</f>
        <v>43715</v>
      </c>
      <c r="Q58" s="225">
        <f>'Base Financials'!U42</f>
        <v>43666</v>
      </c>
      <c r="R58" s="225">
        <f>'Base Financials'!V42</f>
        <v>43546</v>
      </c>
      <c r="S58" s="225">
        <f>'Base Financials'!W42</f>
        <v>44502</v>
      </c>
      <c r="T58" s="225">
        <f>'Base Financials'!X42</f>
        <v>45680</v>
      </c>
      <c r="U58" s="225">
        <f>'Base Financials'!Y42</f>
        <v>46069</v>
      </c>
      <c r="V58" s="225">
        <f>'Base Financials'!Z42</f>
        <v>46876</v>
      </c>
      <c r="W58" s="225">
        <f>'Base Financials'!AA42</f>
        <v>48508</v>
      </c>
      <c r="Y58" s="12">
        <f>L58</f>
        <v>42117</v>
      </c>
      <c r="Z58" s="12">
        <f>M58</f>
        <v>42951</v>
      </c>
      <c r="AA58" s="12">
        <f>N58</f>
        <v>43398</v>
      </c>
      <c r="AB58" s="12">
        <f>O58</f>
        <v>43550</v>
      </c>
      <c r="AC58" s="12">
        <f>P58</f>
        <v>43715</v>
      </c>
      <c r="AD58" s="12">
        <f>Q58</f>
        <v>43666</v>
      </c>
      <c r="AE58" s="12">
        <f>R58</f>
        <v>43546</v>
      </c>
      <c r="AF58" s="12">
        <f>S58</f>
        <v>44502</v>
      </c>
      <c r="AG58" s="12">
        <f>T58</f>
        <v>45680</v>
      </c>
      <c r="AH58" s="12">
        <f>U58</f>
        <v>46069</v>
      </c>
      <c r="AI58" s="12">
        <f>V58</f>
        <v>46876</v>
      </c>
      <c r="AJ58" s="12">
        <f>W58</f>
        <v>48508</v>
      </c>
    </row>
    <row r="59" spans="2:36" ht="12.75" customHeight="1">
      <c r="B59" s="9" t="s">
        <v>73</v>
      </c>
      <c r="C59" s="225">
        <f>'Base Financials'!G57</f>
        <v>258549</v>
      </c>
      <c r="D59" s="225">
        <f>'Base Financials'!H57</f>
        <v>287912</v>
      </c>
      <c r="E59" s="225">
        <f>'Base Financials'!I57</f>
        <v>302083</v>
      </c>
      <c r="F59" s="225">
        <f>'Base Financials'!J57</f>
        <v>290437</v>
      </c>
      <c r="G59" s="225">
        <f>'Base Financials'!K57</f>
        <v>308030</v>
      </c>
      <c r="H59" s="225"/>
      <c r="I59" s="225">
        <f>'Base Financials'!M57</f>
        <v>309259</v>
      </c>
      <c r="J59" s="225">
        <f>'Base Financials'!N57</f>
        <v>283263</v>
      </c>
      <c r="K59" s="225">
        <f>'Base Financials'!O57</f>
        <v>278202</v>
      </c>
      <c r="L59" s="225">
        <f>'Base Financials'!P57</f>
        <v>302083</v>
      </c>
      <c r="M59" s="225">
        <f>'Base Financials'!Q57</f>
        <v>290020</v>
      </c>
      <c r="N59" s="225">
        <f>'Base Financials'!R57</f>
        <v>270002</v>
      </c>
      <c r="O59" s="225">
        <f>'Base Financials'!S57</f>
        <v>274764</v>
      </c>
      <c r="P59" s="225">
        <f>'Base Financials'!T57</f>
        <v>290437</v>
      </c>
      <c r="Q59" s="225">
        <f>'Base Financials'!U57</f>
        <v>279414</v>
      </c>
      <c r="R59" s="225">
        <f>'Base Financials'!V57</f>
        <v>263217</v>
      </c>
      <c r="S59" s="225">
        <f>'Base Financials'!W57</f>
        <v>264904</v>
      </c>
      <c r="T59" s="225">
        <f>'Base Financials'!X57</f>
        <v>308030</v>
      </c>
      <c r="U59" s="225">
        <f>'Base Financials'!Y57</f>
        <v>277327</v>
      </c>
      <c r="V59" s="225">
        <f>'Base Financials'!Z57</f>
        <v>264437</v>
      </c>
      <c r="W59" s="225">
        <f>'Base Financials'!AA57</f>
        <v>265665</v>
      </c>
      <c r="Y59" s="12">
        <f>L59</f>
        <v>302083</v>
      </c>
      <c r="Z59" s="12">
        <f>M59</f>
        <v>290020</v>
      </c>
      <c r="AA59" s="12">
        <f>N59</f>
        <v>270002</v>
      </c>
      <c r="AB59" s="12">
        <f>O59</f>
        <v>274764</v>
      </c>
      <c r="AC59" s="12">
        <f>P59</f>
        <v>290437</v>
      </c>
      <c r="AD59" s="12">
        <f>Q59</f>
        <v>279414</v>
      </c>
      <c r="AE59" s="12">
        <f>R59</f>
        <v>263217</v>
      </c>
      <c r="AF59" s="12">
        <f>S59</f>
        <v>264904</v>
      </c>
      <c r="AG59" s="12">
        <f>T59</f>
        <v>308030</v>
      </c>
      <c r="AH59" s="12">
        <f>U59</f>
        <v>277327</v>
      </c>
      <c r="AI59" s="12">
        <f>V59</f>
        <v>264437</v>
      </c>
      <c r="AJ59" s="12">
        <f>W59</f>
        <v>265665</v>
      </c>
    </row>
    <row r="60" spans="2:36" ht="12.75" customHeight="1">
      <c r="B60" s="9" t="s">
        <v>26</v>
      </c>
      <c r="C60" s="225">
        <f>'Base Financials'!G57</f>
        <v>258549</v>
      </c>
      <c r="D60" s="225">
        <f>'Base Financials'!H57</f>
        <v>287912</v>
      </c>
      <c r="E60" s="225">
        <f>'Base Financials'!I57</f>
        <v>302083</v>
      </c>
      <c r="F60" s="225">
        <f>'Base Financials'!J57</f>
        <v>290437</v>
      </c>
      <c r="G60" s="225">
        <f>'Base Financials'!K57</f>
        <v>308030</v>
      </c>
      <c r="H60" s="225"/>
      <c r="I60" s="225">
        <f>'Base Financials'!M57</f>
        <v>309259</v>
      </c>
      <c r="J60" s="225">
        <f>'Base Financials'!N57</f>
        <v>283263</v>
      </c>
      <c r="K60" s="225">
        <f>'Base Financials'!O57</f>
        <v>278202</v>
      </c>
      <c r="L60" s="225">
        <f>'Base Financials'!P57</f>
        <v>302083</v>
      </c>
      <c r="M60" s="225">
        <f>'Base Financials'!Q57</f>
        <v>290020</v>
      </c>
      <c r="N60" s="225">
        <f>'Base Financials'!R57</f>
        <v>270002</v>
      </c>
      <c r="O60" s="225">
        <f>'Base Financials'!S57</f>
        <v>274764</v>
      </c>
      <c r="P60" s="225">
        <f>'Base Financials'!T57</f>
        <v>290437</v>
      </c>
      <c r="Q60" s="225">
        <f>'Base Financials'!U57</f>
        <v>279414</v>
      </c>
      <c r="R60" s="225">
        <f>'Base Financials'!V57</f>
        <v>263217</v>
      </c>
      <c r="S60" s="225">
        <f>'Base Financials'!W57</f>
        <v>264904</v>
      </c>
      <c r="T60" s="225">
        <f>'Base Financials'!X57</f>
        <v>308030</v>
      </c>
      <c r="U60" s="225">
        <f>'Base Financials'!Y57</f>
        <v>277327</v>
      </c>
      <c r="V60" s="225">
        <f>'Base Financials'!Z57</f>
        <v>264437</v>
      </c>
      <c r="W60" s="225">
        <f>'Base Financials'!AA57</f>
        <v>265665</v>
      </c>
      <c r="Y60" s="12">
        <f>L60</f>
        <v>302083</v>
      </c>
      <c r="Z60" s="12">
        <f>M60</f>
        <v>290020</v>
      </c>
      <c r="AA60" s="12">
        <f>N60</f>
        <v>270002</v>
      </c>
      <c r="AB60" s="12">
        <f>O60</f>
        <v>274764</v>
      </c>
      <c r="AC60" s="12">
        <f>P60</f>
        <v>290437</v>
      </c>
      <c r="AD60" s="12">
        <f>Q60</f>
        <v>279414</v>
      </c>
      <c r="AE60" s="12">
        <f>R60</f>
        <v>263217</v>
      </c>
      <c r="AF60" s="12">
        <f>S60</f>
        <v>264904</v>
      </c>
      <c r="AG60" s="12">
        <f>T60</f>
        <v>308030</v>
      </c>
      <c r="AH60" s="12">
        <f>U60</f>
        <v>277327</v>
      </c>
      <c r="AI60" s="12">
        <f>V60</f>
        <v>264437</v>
      </c>
      <c r="AJ60" s="12">
        <f>W60</f>
        <v>265665</v>
      </c>
    </row>
    <row r="61" spans="2:36" ht="5.0999999999999996" customHeight="1"/>
    <row r="62" spans="2:36" ht="12.75" customHeight="1">
      <c r="B62" s="39" t="s">
        <v>74</v>
      </c>
    </row>
    <row r="63" spans="2:36" ht="12.75" customHeight="1">
      <c r="B63" s="9" t="s">
        <v>75</v>
      </c>
      <c r="C63" s="225">
        <f>+'Base Financials'!G50+'Base Financials'!G51</f>
        <v>13769</v>
      </c>
      <c r="D63" s="225">
        <f>+'Base Financials'!H50+'Base Financials'!H51</f>
        <v>15613</v>
      </c>
      <c r="E63" s="225">
        <f>+'Base Financials'!I50+'Base Financials'!I51</f>
        <v>21110</v>
      </c>
      <c r="F63" s="225">
        <f>+'Base Financials'!J50+'Base Financials'!J51</f>
        <v>15807</v>
      </c>
      <c r="G63" s="225">
        <f>+'Base Financials'!K50+'Base Financials'!K51</f>
        <v>20879</v>
      </c>
      <c r="I63" s="225">
        <f>+'Base Financials'!M50+'Base Financials'!M51</f>
        <v>16169</v>
      </c>
      <c r="J63" s="225">
        <f>+'Base Financials'!N50+'Base Financials'!N51</f>
        <v>16658</v>
      </c>
      <c r="K63" s="225">
        <f>+'Base Financials'!O50+'Base Financials'!O51</f>
        <v>24991</v>
      </c>
      <c r="L63" s="225">
        <f>+'Base Financials'!P50+'Base Financials'!P51</f>
        <v>21110</v>
      </c>
      <c r="M63" s="225">
        <f>+'Base Financials'!Q50+'Base Financials'!Q51</f>
        <v>11483</v>
      </c>
      <c r="N63" s="225">
        <f>+'Base Financials'!R50+'Base Financials'!R51</f>
        <v>12574</v>
      </c>
      <c r="O63" s="225">
        <f>+'Base Financials'!S50+'Base Financials'!S51</f>
        <v>11209</v>
      </c>
      <c r="P63" s="225">
        <f>+'Base Financials'!T50+'Base Financials'!T51</f>
        <v>15807</v>
      </c>
      <c r="Q63" s="225">
        <f>+'Base Financials'!U50+'Base Financials'!U51</f>
        <v>12952</v>
      </c>
      <c r="R63" s="225">
        <f>+'Base Financials'!V50+'Base Financials'!V51</f>
        <v>12759</v>
      </c>
      <c r="S63" s="225">
        <f>+'Base Financials'!W50+'Base Financials'!W51</f>
        <v>15108</v>
      </c>
      <c r="T63" s="225">
        <f>+'Base Financials'!X50+'Base Financials'!X51</f>
        <v>20879</v>
      </c>
      <c r="U63" s="225">
        <f>+'Base Financials'!Y50+'Base Financials'!Y51</f>
        <v>12843</v>
      </c>
      <c r="V63" s="225">
        <f>+'Base Financials'!Z50+'Base Financials'!Z51</f>
        <v>19620</v>
      </c>
      <c r="W63" s="225">
        <f>+'Base Financials'!AA50+'Base Financials'!AA51</f>
        <v>19268</v>
      </c>
      <c r="Y63" s="12">
        <f>L63</f>
        <v>21110</v>
      </c>
      <c r="Z63" s="12">
        <f>M63</f>
        <v>11483</v>
      </c>
      <c r="AA63" s="12">
        <f>N63</f>
        <v>12574</v>
      </c>
      <c r="AB63" s="12">
        <f>O63</f>
        <v>11209</v>
      </c>
      <c r="AC63" s="12">
        <f>P63</f>
        <v>15807</v>
      </c>
      <c r="AD63" s="12">
        <f>Q63</f>
        <v>12952</v>
      </c>
      <c r="AE63" s="12">
        <f>R63</f>
        <v>12759</v>
      </c>
      <c r="AF63" s="12">
        <f>S63</f>
        <v>15108</v>
      </c>
      <c r="AG63" s="12">
        <f>T63</f>
        <v>20879</v>
      </c>
      <c r="AH63" s="12">
        <f>U63</f>
        <v>12843</v>
      </c>
      <c r="AI63" s="12">
        <f>V63</f>
        <v>19620</v>
      </c>
      <c r="AJ63" s="12">
        <f>W63</f>
        <v>19268</v>
      </c>
    </row>
    <row r="64" spans="2:36" ht="12.75" customHeight="1">
      <c r="B64" s="9" t="s">
        <v>76</v>
      </c>
      <c r="C64" s="225">
        <f>'Base Financials'!G54</f>
        <v>98667</v>
      </c>
      <c r="D64" s="225">
        <f>'Base Financials'!H54</f>
        <v>109106</v>
      </c>
      <c r="E64" s="225">
        <f>'Base Financials'!I54</f>
        <v>98959</v>
      </c>
      <c r="F64" s="225">
        <f>'Base Financials'!J54</f>
        <v>95281</v>
      </c>
      <c r="G64" s="225">
        <f>'Base Financials'!K54</f>
        <v>85750</v>
      </c>
      <c r="I64" s="225">
        <f>'Base Financials'!M54</f>
        <v>106629</v>
      </c>
      <c r="J64" s="225">
        <f>'Base Financials'!N54</f>
        <v>103323</v>
      </c>
      <c r="K64" s="225">
        <f>'Base Financials'!O54</f>
        <v>94700</v>
      </c>
      <c r="L64" s="225">
        <f>'Base Financials'!P54</f>
        <v>98959</v>
      </c>
      <c r="M64" s="225">
        <f>'Base Financials'!Q54</f>
        <v>99627</v>
      </c>
      <c r="N64" s="225">
        <f>'Base Financials'!R54</f>
        <v>97041</v>
      </c>
      <c r="O64" s="225">
        <f>'Base Financials'!S54</f>
        <v>98071</v>
      </c>
      <c r="P64" s="225">
        <f>'Base Financials'!T54</f>
        <v>95281</v>
      </c>
      <c r="Q64" s="225">
        <f>'Base Financials'!U54</f>
        <v>95088</v>
      </c>
      <c r="R64" s="225">
        <f>'Base Financials'!V54</f>
        <v>91831</v>
      </c>
      <c r="S64" s="225">
        <f>'Base Financials'!W54</f>
        <v>86196</v>
      </c>
      <c r="T64" s="225">
        <f>'Base Financials'!X54</f>
        <v>85750</v>
      </c>
      <c r="U64" s="225">
        <f>'Base Financials'!Y54</f>
        <v>83956</v>
      </c>
      <c r="V64" s="225">
        <f>'Base Financials'!Z54</f>
        <v>78566</v>
      </c>
      <c r="W64" s="225">
        <f>'Base Financials'!AA54</f>
        <v>82430</v>
      </c>
      <c r="Y64" s="12">
        <f>L64</f>
        <v>98959</v>
      </c>
      <c r="Z64" s="12">
        <f>M64</f>
        <v>99627</v>
      </c>
      <c r="AA64" s="12">
        <f>N64</f>
        <v>97041</v>
      </c>
      <c r="AB64" s="12">
        <f>O64</f>
        <v>98071</v>
      </c>
      <c r="AC64" s="12">
        <f>P64</f>
        <v>95281</v>
      </c>
      <c r="AD64" s="12">
        <f>Q64</f>
        <v>95088</v>
      </c>
      <c r="AE64" s="12">
        <f>R64</f>
        <v>91831</v>
      </c>
      <c r="AF64" s="12">
        <f>S64</f>
        <v>86196</v>
      </c>
      <c r="AG64" s="12">
        <f>T64</f>
        <v>85750</v>
      </c>
      <c r="AH64" s="12">
        <f>U64</f>
        <v>83956</v>
      </c>
      <c r="AI64" s="12">
        <f>V64</f>
        <v>78566</v>
      </c>
      <c r="AJ64" s="12">
        <f>W64</f>
        <v>82430</v>
      </c>
    </row>
    <row r="65" spans="1:36">
      <c r="G65" s="12"/>
    </row>
    <row r="66" spans="1:36" ht="12.75" customHeight="1">
      <c r="B66" s="40" t="s">
        <v>365</v>
      </c>
      <c r="C66" s="225">
        <f>'Base Financials'!G50</f>
        <v>4996</v>
      </c>
      <c r="D66" s="225">
        <f>'Base Financials'!H50</f>
        <v>6000</v>
      </c>
      <c r="E66" s="225">
        <f>'Base Financials'!I50</f>
        <v>9982</v>
      </c>
      <c r="F66" s="225">
        <f>'Base Financials'!J50</f>
        <v>5985</v>
      </c>
      <c r="G66" s="225">
        <f>'Base Financials'!K50</f>
        <v>9967</v>
      </c>
      <c r="I66" s="225">
        <f>'Base Financials'!M50</f>
        <v>5000</v>
      </c>
      <c r="J66" s="225">
        <f>'Base Financials'!N50</f>
        <v>6999</v>
      </c>
      <c r="K66" s="225">
        <f>'Base Financials'!O50</f>
        <v>10982</v>
      </c>
      <c r="L66" s="225">
        <f>'Base Financials'!P50</f>
        <v>9982</v>
      </c>
      <c r="M66" s="225">
        <f>'Base Financials'!Q50</f>
        <v>1743</v>
      </c>
      <c r="N66" s="225">
        <f>'Base Financials'!R50</f>
        <v>1996</v>
      </c>
      <c r="O66" s="225">
        <f>'Base Financials'!S50</f>
        <v>3993</v>
      </c>
      <c r="P66" s="225">
        <f>'Base Financials'!T50</f>
        <v>5985</v>
      </c>
      <c r="Q66" s="225">
        <f>'Base Financials'!U50</f>
        <v>1998</v>
      </c>
      <c r="R66" s="225">
        <f>'Base Financials'!V50</f>
        <v>1997</v>
      </c>
      <c r="S66" s="225">
        <f>'Base Financials'!W50</f>
        <v>2994</v>
      </c>
      <c r="T66" s="225">
        <f>'Base Financials'!X50</f>
        <v>9967</v>
      </c>
      <c r="U66" s="225">
        <f>'Base Financials'!Y50</f>
        <v>1995</v>
      </c>
      <c r="V66" s="225">
        <f>'Base Financials'!Z50</f>
        <v>5982</v>
      </c>
      <c r="W66" s="225">
        <f>'Base Financials'!AA50</f>
        <v>9923</v>
      </c>
      <c r="Y66" s="12">
        <f t="shared" ref="Y66:AI66" si="97">L66</f>
        <v>9982</v>
      </c>
      <c r="Z66" s="12">
        <f t="shared" si="97"/>
        <v>1743</v>
      </c>
      <c r="AA66" s="12">
        <f t="shared" si="97"/>
        <v>1996</v>
      </c>
      <c r="AB66" s="12">
        <f t="shared" si="97"/>
        <v>3993</v>
      </c>
      <c r="AC66" s="12">
        <f t="shared" si="97"/>
        <v>5985</v>
      </c>
      <c r="AD66" s="12">
        <f t="shared" si="97"/>
        <v>1998</v>
      </c>
      <c r="AE66" s="12">
        <f t="shared" si="97"/>
        <v>1997</v>
      </c>
      <c r="AF66" s="12">
        <f>S66</f>
        <v>2994</v>
      </c>
      <c r="AG66" s="12">
        <f>T66</f>
        <v>9967</v>
      </c>
      <c r="AH66" s="12">
        <f>U66</f>
        <v>1995</v>
      </c>
      <c r="AI66" s="12">
        <f>V66</f>
        <v>5982</v>
      </c>
      <c r="AJ66" s="12">
        <f>W66</f>
        <v>9923</v>
      </c>
    </row>
    <row r="67" spans="1:36" ht="12.75" customHeight="1">
      <c r="B67" s="35" t="s">
        <v>366</v>
      </c>
      <c r="C67" s="225">
        <f>'Base Financials'!G51</f>
        <v>8773</v>
      </c>
      <c r="D67" s="225">
        <f>'Base Financials'!H51</f>
        <v>9613</v>
      </c>
      <c r="E67" s="225">
        <f>'Base Financials'!I51</f>
        <v>11128</v>
      </c>
      <c r="F67" s="225">
        <f>'Base Financials'!J51</f>
        <v>9822</v>
      </c>
      <c r="G67" s="225">
        <f>'Base Financials'!K51</f>
        <v>10912</v>
      </c>
      <c r="I67" s="225">
        <f>'Base Financials'!M51</f>
        <v>11169</v>
      </c>
      <c r="J67" s="225">
        <f>'Base Financials'!N51</f>
        <v>9659</v>
      </c>
      <c r="K67" s="225">
        <f>'Base Financials'!O51</f>
        <v>14009</v>
      </c>
      <c r="L67" s="225">
        <f>'Base Financials'!P51</f>
        <v>11128</v>
      </c>
      <c r="M67" s="225">
        <f>'Base Financials'!Q51</f>
        <v>9740</v>
      </c>
      <c r="N67" s="225">
        <f>'Base Financials'!R51</f>
        <v>10578</v>
      </c>
      <c r="O67" s="225">
        <f>'Base Financials'!S51</f>
        <v>7216</v>
      </c>
      <c r="P67" s="225">
        <f>'Base Financials'!T51</f>
        <v>9822</v>
      </c>
      <c r="Q67" s="225">
        <f>'Base Financials'!U51</f>
        <v>10954</v>
      </c>
      <c r="R67" s="225">
        <f>'Base Financials'!V51</f>
        <v>10762</v>
      </c>
      <c r="S67" s="225">
        <f>'Base Financials'!W51</f>
        <v>12114</v>
      </c>
      <c r="T67" s="225">
        <f>'Base Financials'!X51</f>
        <v>10912</v>
      </c>
      <c r="U67" s="225">
        <f>'Base Financials'!Y51</f>
        <v>10848</v>
      </c>
      <c r="V67" s="225">
        <f>'Base Financials'!Z51</f>
        <v>13638</v>
      </c>
      <c r="W67" s="225">
        <f>'Base Financials'!AA51</f>
        <v>9345</v>
      </c>
      <c r="Y67" s="12"/>
      <c r="Z67" s="12"/>
      <c r="AA67" s="12"/>
      <c r="AB67" s="12"/>
      <c r="AC67" s="12"/>
      <c r="AD67" s="12"/>
      <c r="AE67" s="12"/>
      <c r="AF67" s="12">
        <f>S67</f>
        <v>12114</v>
      </c>
      <c r="AG67" s="12">
        <f>T67</f>
        <v>10912</v>
      </c>
      <c r="AH67" s="12">
        <f>U67</f>
        <v>10848</v>
      </c>
      <c r="AI67" s="12">
        <f>V67</f>
        <v>13638</v>
      </c>
      <c r="AJ67" s="12">
        <f>W67</f>
        <v>9345</v>
      </c>
    </row>
    <row r="68" spans="1:36" ht="12.75" customHeight="1">
      <c r="B68" s="35" t="s">
        <v>367</v>
      </c>
      <c r="C68" s="225">
        <f>'Base Financials'!G54</f>
        <v>98667</v>
      </c>
      <c r="D68" s="225">
        <f>'Base Financials'!H54</f>
        <v>109106</v>
      </c>
      <c r="E68" s="225">
        <f>'Base Financials'!I54</f>
        <v>98959</v>
      </c>
      <c r="F68" s="225">
        <f>'Base Financials'!J54</f>
        <v>95281</v>
      </c>
      <c r="G68" s="225">
        <f>'Base Financials'!K54</f>
        <v>85750</v>
      </c>
      <c r="H68" s="105"/>
      <c r="I68" s="225">
        <f>'Base Financials'!M54</f>
        <v>106629</v>
      </c>
      <c r="J68" s="225">
        <f>'Base Financials'!N54</f>
        <v>103323</v>
      </c>
      <c r="K68" s="225">
        <f>'Base Financials'!O54</f>
        <v>94700</v>
      </c>
      <c r="L68" s="225">
        <f>'Base Financials'!P54</f>
        <v>98959</v>
      </c>
      <c r="M68" s="225">
        <f>'Base Financials'!Q54</f>
        <v>99627</v>
      </c>
      <c r="N68" s="225">
        <f>'Base Financials'!R54</f>
        <v>97041</v>
      </c>
      <c r="O68" s="225">
        <f>'Base Financials'!S54</f>
        <v>98071</v>
      </c>
      <c r="P68" s="225">
        <f>'Base Financials'!T54</f>
        <v>95281</v>
      </c>
      <c r="Q68" s="225">
        <f>'Base Financials'!U54</f>
        <v>95088</v>
      </c>
      <c r="R68" s="225">
        <f>'Base Financials'!V54</f>
        <v>91831</v>
      </c>
      <c r="S68" s="225">
        <f>'Base Financials'!W54</f>
        <v>86196</v>
      </c>
      <c r="T68" s="225">
        <f>'Base Financials'!X54</f>
        <v>85750</v>
      </c>
      <c r="U68" s="225">
        <f>'Base Financials'!Y54</f>
        <v>83956</v>
      </c>
      <c r="V68" s="225">
        <f>'Base Financials'!Z54</f>
        <v>78566</v>
      </c>
      <c r="W68" s="225">
        <f>'Base Financials'!AA54</f>
        <v>82430</v>
      </c>
      <c r="Y68" s="12">
        <f t="shared" ref="Y68" si="98">L68</f>
        <v>98959</v>
      </c>
      <c r="Z68" s="12">
        <f t="shared" ref="Z68" si="99">M68</f>
        <v>99627</v>
      </c>
      <c r="AA68" s="12">
        <f t="shared" ref="AA68" si="100">N68</f>
        <v>97041</v>
      </c>
      <c r="AB68" s="12">
        <f t="shared" ref="AB68" si="101">O68</f>
        <v>98071</v>
      </c>
      <c r="AC68" s="12">
        <f t="shared" ref="AC68" si="102">P68</f>
        <v>95281</v>
      </c>
      <c r="AD68" s="12">
        <f t="shared" ref="AD68" si="103">Q68</f>
        <v>95088</v>
      </c>
      <c r="AE68" s="12">
        <f t="shared" ref="AE68" si="104">R68</f>
        <v>91831</v>
      </c>
      <c r="AF68" s="12">
        <f t="shared" ref="AF68" si="105">S68</f>
        <v>86196</v>
      </c>
      <c r="AG68" s="12">
        <f t="shared" ref="AG68" si="106">T68</f>
        <v>85750</v>
      </c>
      <c r="AH68" s="12">
        <f t="shared" ref="AH68" si="107">U68</f>
        <v>83956</v>
      </c>
      <c r="AI68" s="12">
        <f t="shared" ref="AI68:AJ68" si="108">V68</f>
        <v>78566</v>
      </c>
      <c r="AJ68" s="12">
        <f t="shared" si="108"/>
        <v>82430</v>
      </c>
    </row>
    <row r="69" spans="1:36" ht="12.75" customHeight="1">
      <c r="B69" s="15" t="s">
        <v>37</v>
      </c>
      <c r="C69" s="16">
        <f>SUM(C66:C68)</f>
        <v>112436</v>
      </c>
      <c r="D69" s="16">
        <f>SUM(D66:D68)</f>
        <v>124719</v>
      </c>
      <c r="E69" s="16">
        <f>SUM(E66:E68)</f>
        <v>120069</v>
      </c>
      <c r="F69" s="16">
        <f>SUM(F66:F68)</f>
        <v>111088</v>
      </c>
      <c r="G69" s="16">
        <f>SUM(G66:G68)</f>
        <v>106629</v>
      </c>
      <c r="I69" s="16">
        <f>SUM(I66:I68)</f>
        <v>122798</v>
      </c>
      <c r="J69" s="16">
        <f>SUM(J66:J68)</f>
        <v>119981</v>
      </c>
      <c r="K69" s="16">
        <f>SUM(K66:K68)</f>
        <v>119691</v>
      </c>
      <c r="L69" s="16">
        <f>SUM(L66:L68)</f>
        <v>120069</v>
      </c>
      <c r="M69" s="16">
        <f>SUM(M66:M68)</f>
        <v>111110</v>
      </c>
      <c r="N69" s="16">
        <f>SUM(N66:N68)</f>
        <v>109615</v>
      </c>
      <c r="O69" s="16">
        <f>SUM(O66:O68)</f>
        <v>109280</v>
      </c>
      <c r="P69" s="16">
        <f>SUM(P66:P68)</f>
        <v>111088</v>
      </c>
      <c r="Q69" s="16">
        <f>SUM(Q66:Q68)</f>
        <v>108040</v>
      </c>
      <c r="R69" s="16">
        <f>SUM(R66:R68)</f>
        <v>104590</v>
      </c>
      <c r="S69" s="16">
        <f>SUM(S66:S68)</f>
        <v>101304</v>
      </c>
      <c r="T69" s="16">
        <f>SUM(T66:T68)</f>
        <v>106629</v>
      </c>
      <c r="U69" s="16">
        <f>SUM(U66:U68)</f>
        <v>96799</v>
      </c>
      <c r="V69" s="16">
        <f>SUM(V66:V68)</f>
        <v>98186</v>
      </c>
      <c r="W69" s="16">
        <f>SUM(W66:W68)</f>
        <v>101698</v>
      </c>
      <c r="Y69" s="16">
        <f>SUM(Y66:Y68)</f>
        <v>108941</v>
      </c>
      <c r="Z69" s="16">
        <f>SUM(Z66:Z68)</f>
        <v>101370</v>
      </c>
      <c r="AA69" s="16">
        <f>SUM(AA66:AA68)</f>
        <v>99037</v>
      </c>
      <c r="AB69" s="16">
        <f>SUM(AB66:AB68)</f>
        <v>102064</v>
      </c>
      <c r="AC69" s="16">
        <f>SUM(AC66:AC68)</f>
        <v>101266</v>
      </c>
      <c r="AD69" s="16">
        <f>SUM(AD66:AD68)</f>
        <v>97086</v>
      </c>
      <c r="AE69" s="16">
        <f>SUM(AE66:AE68)</f>
        <v>93828</v>
      </c>
      <c r="AF69" s="16">
        <f>SUM(AF66:AF68)</f>
        <v>101304</v>
      </c>
      <c r="AG69" s="16">
        <f>SUM(AG66:AG68)</f>
        <v>106629</v>
      </c>
      <c r="AH69" s="16">
        <f>SUM(AH66:AH68)</f>
        <v>96799</v>
      </c>
      <c r="AI69" s="16">
        <f>SUM(AI66:AI68)</f>
        <v>98186</v>
      </c>
      <c r="AJ69" s="16">
        <f>SUM(AJ66:AJ68)</f>
        <v>101698</v>
      </c>
    </row>
    <row r="70" spans="1:36" ht="5.0999999999999996" customHeight="1"/>
    <row r="71" spans="1:36" ht="12.75" customHeight="1">
      <c r="B71" s="9" t="s">
        <v>77</v>
      </c>
      <c r="C71" s="225">
        <f>'Base Financials'!G62</f>
        <v>65339</v>
      </c>
      <c r="D71" s="225">
        <f>'Base Financials'!H62</f>
        <v>63090</v>
      </c>
      <c r="E71" s="225">
        <f>'Base Financials'!I62</f>
        <v>50672</v>
      </c>
      <c r="F71" s="225">
        <f>'Base Financials'!J62</f>
        <v>62146</v>
      </c>
      <c r="G71" s="225">
        <f>'Base Financials'!K62</f>
        <v>56950</v>
      </c>
      <c r="I71" s="225">
        <f>'Base Financials'!M62</f>
        <v>63894</v>
      </c>
      <c r="J71" s="225">
        <f>'Base Financials'!N62</f>
        <v>59361</v>
      </c>
      <c r="K71" s="225">
        <f>'Base Financials'!O62</f>
        <v>50069</v>
      </c>
      <c r="L71" s="225">
        <f>'Base Financials'!P62</f>
        <v>50672</v>
      </c>
      <c r="M71" s="225">
        <f>'Base Financials'!Q62</f>
        <v>48689</v>
      </c>
      <c r="N71" s="225">
        <f>'Base Financials'!R62</f>
        <v>54120</v>
      </c>
      <c r="O71" s="225">
        <f>'Base Financials'!S62</f>
        <v>52236</v>
      </c>
      <c r="P71" s="225">
        <f>'Base Financials'!T62</f>
        <v>62146</v>
      </c>
      <c r="Q71" s="225">
        <f>'Base Financials'!U62</f>
        <v>66062</v>
      </c>
      <c r="R71" s="225">
        <f>'Base Financials'!V62</f>
        <v>66156</v>
      </c>
      <c r="S71" s="225">
        <f>'Base Financials'!W62</f>
        <v>58670</v>
      </c>
      <c r="T71" s="225">
        <f>'Base Financials'!X62</f>
        <v>56950</v>
      </c>
      <c r="U71" s="225">
        <f>'Base Financials'!Y62</f>
        <v>66758</v>
      </c>
      <c r="V71" s="225">
        <f>'Base Financials'!Z62</f>
        <v>66796</v>
      </c>
      <c r="W71" s="225">
        <f>'Base Financials'!AA62</f>
        <v>65830</v>
      </c>
      <c r="Y71" s="12">
        <f>L71</f>
        <v>50672</v>
      </c>
      <c r="Z71" s="12">
        <f>M71</f>
        <v>48689</v>
      </c>
      <c r="AA71" s="12">
        <f>N71</f>
        <v>54120</v>
      </c>
      <c r="AB71" s="12">
        <f>O71</f>
        <v>52236</v>
      </c>
      <c r="AC71" s="12">
        <f>P71</f>
        <v>62146</v>
      </c>
      <c r="AD71" s="12">
        <f>Q71</f>
        <v>66062</v>
      </c>
      <c r="AE71" s="12">
        <f>R71</f>
        <v>66156</v>
      </c>
      <c r="AF71" s="12">
        <f>S71</f>
        <v>58670</v>
      </c>
      <c r="AG71" s="12">
        <f>T71</f>
        <v>56950</v>
      </c>
      <c r="AH71" s="12">
        <f>U71</f>
        <v>66758</v>
      </c>
      <c r="AI71" s="12">
        <f>V71</f>
        <v>66796</v>
      </c>
      <c r="AJ71" s="12">
        <f>W71</f>
        <v>65830</v>
      </c>
    </row>
    <row r="72" spans="1:36" ht="12.75" customHeight="1">
      <c r="B72" s="15" t="s">
        <v>78</v>
      </c>
      <c r="C72" s="16">
        <f>SUM(C69:C71)</f>
        <v>177775</v>
      </c>
      <c r="D72" s="16">
        <f>SUM(D69:D71)</f>
        <v>187809</v>
      </c>
      <c r="E72" s="16">
        <f t="shared" ref="E72:G72" si="109">SUM(E69:E71)</f>
        <v>170741</v>
      </c>
      <c r="F72" s="16">
        <f t="shared" si="109"/>
        <v>173234</v>
      </c>
      <c r="G72" s="16">
        <f t="shared" si="109"/>
        <v>163579</v>
      </c>
      <c r="I72" s="16">
        <f t="shared" ref="I72:R72" si="110">SUM(I69:I71)</f>
        <v>186692</v>
      </c>
      <c r="J72" s="16">
        <f t="shared" si="110"/>
        <v>179342</v>
      </c>
      <c r="K72" s="16">
        <f t="shared" si="110"/>
        <v>169760</v>
      </c>
      <c r="L72" s="16">
        <f t="shared" si="110"/>
        <v>170741</v>
      </c>
      <c r="M72" s="16">
        <f t="shared" si="110"/>
        <v>159799</v>
      </c>
      <c r="N72" s="16">
        <f t="shared" si="110"/>
        <v>163735</v>
      </c>
      <c r="O72" s="16">
        <f t="shared" si="110"/>
        <v>161516</v>
      </c>
      <c r="P72" s="16">
        <f t="shared" si="110"/>
        <v>173234</v>
      </c>
      <c r="Q72" s="16">
        <f t="shared" si="110"/>
        <v>174102</v>
      </c>
      <c r="R72" s="16">
        <f t="shared" si="110"/>
        <v>170746</v>
      </c>
      <c r="S72" s="16">
        <f>SUM(S69:S71)</f>
        <v>159974</v>
      </c>
      <c r="T72" s="16">
        <f>SUM(T69:T71)</f>
        <v>163579</v>
      </c>
      <c r="U72" s="16">
        <f t="shared" ref="U72:V72" si="111">SUM(U69:U71)</f>
        <v>163557</v>
      </c>
      <c r="V72" s="16">
        <f t="shared" si="111"/>
        <v>164982</v>
      </c>
      <c r="W72" s="16">
        <f t="shared" ref="W72" si="112">SUM(W69:W71)</f>
        <v>167528</v>
      </c>
      <c r="Y72" s="16">
        <f t="shared" ref="Y72:AF72" si="113">SUM(Y69:Y71)</f>
        <v>159613</v>
      </c>
      <c r="Z72" s="16">
        <f t="shared" si="113"/>
        <v>150059</v>
      </c>
      <c r="AA72" s="16">
        <f t="shared" si="113"/>
        <v>153157</v>
      </c>
      <c r="AB72" s="16">
        <f t="shared" si="113"/>
        <v>154300</v>
      </c>
      <c r="AC72" s="16">
        <f t="shared" si="113"/>
        <v>163412</v>
      </c>
      <c r="AD72" s="16">
        <f t="shared" si="113"/>
        <v>163148</v>
      </c>
      <c r="AE72" s="16">
        <f t="shared" si="113"/>
        <v>159984</v>
      </c>
      <c r="AF72" s="16">
        <f t="shared" si="113"/>
        <v>159974</v>
      </c>
      <c r="AG72" s="16">
        <f>SUM(AG69:AG71)</f>
        <v>163579</v>
      </c>
      <c r="AH72" s="16">
        <f t="shared" ref="AH72:AI72" si="114">SUM(AH69:AH71)</f>
        <v>163557</v>
      </c>
      <c r="AI72" s="16">
        <f t="shared" si="114"/>
        <v>164982</v>
      </c>
      <c r="AJ72" s="16">
        <f t="shared" ref="AJ72" si="115">SUM(AJ69:AJ71)</f>
        <v>167528</v>
      </c>
    </row>
    <row r="73" spans="1:36" ht="5.0999999999999996" customHeight="1"/>
    <row r="74" spans="1:36" ht="12.75" customHeight="1">
      <c r="A74" s="5"/>
      <c r="B74" s="37" t="s">
        <v>123</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row>
    <row r="75" spans="1:36" ht="5.0999999999999996" customHeight="1"/>
    <row r="76" spans="1:36" ht="12.75" customHeight="1">
      <c r="B76" s="9" t="s">
        <v>79</v>
      </c>
      <c r="C76" s="104">
        <f>C69/C29</f>
        <v>1.3357727537333823</v>
      </c>
      <c r="D76" s="104">
        <f>D69/D29</f>
        <v>0.97331023341839717</v>
      </c>
      <c r="E76" s="104">
        <f>E69/E29</f>
        <v>0.86022252631126461</v>
      </c>
      <c r="F76" s="104">
        <f>F69/F29</f>
        <v>0.81292031642188611</v>
      </c>
      <c r="G76" s="104">
        <f>G69/G29</f>
        <v>0.72859397741016341</v>
      </c>
      <c r="I76" s="42"/>
      <c r="J76" s="42"/>
      <c r="K76" s="42"/>
      <c r="L76" s="104">
        <f>SUM(L69/SUM(I29:L29))</f>
        <v>0.86022252631126461</v>
      </c>
      <c r="M76" s="104">
        <f>SUM(M69/SUM(J29:M29))</f>
        <v>0.82324437265681727</v>
      </c>
      <c r="N76" s="104">
        <f>SUM(N69/SUM(K29:N29))</f>
        <v>0.81863330843913373</v>
      </c>
      <c r="O76" s="104">
        <f>SUM(O69/SUM(L29:O29))</f>
        <v>0.81283517922093373</v>
      </c>
      <c r="P76" s="104">
        <f>SUM(P69/SUM(M29:P29))</f>
        <v>0.81292031642188611</v>
      </c>
      <c r="Q76" s="104">
        <f>SUM(Q69/SUM(N29:Q29))</f>
        <v>0.76605641192903839</v>
      </c>
      <c r="R76" s="104">
        <f>SUM(R69/SUM(O29:R29))</f>
        <v>0.74264209891007205</v>
      </c>
      <c r="S76" s="104">
        <f>SUM(S69/SUM(P29:S29))</f>
        <v>0.70725236672344938</v>
      </c>
      <c r="T76" s="104">
        <f>SUM(T69/SUM(Q29:T29))</f>
        <v>0.72859397741016341</v>
      </c>
      <c r="U76" s="104">
        <f>SUM(U69/SUM(R29:U29))</f>
        <v>0.64822639942676907</v>
      </c>
      <c r="V76" s="104">
        <f>SUM(V69/SUM(S29:V29))</f>
        <v>0.64979947320353137</v>
      </c>
      <c r="W76" s="104">
        <f>SUM(W69/SUM(T29:W29))</f>
        <v>0.65937471634010658</v>
      </c>
      <c r="Y76" s="104">
        <f>Y69/Y29</f>
        <v>0.78049706617757686</v>
      </c>
      <c r="Z76" s="104">
        <f>Z69/Z29</f>
        <v>0.75107804928648692</v>
      </c>
      <c r="AA76" s="104">
        <f>AA69/AA29</f>
        <v>0.73963405526512327</v>
      </c>
      <c r="AB76" s="104">
        <f>AB69/AB29</f>
        <v>0.75916187529287504</v>
      </c>
      <c r="AC76" s="104">
        <f>AC69/AC29</f>
        <v>0.7410448361909362</v>
      </c>
      <c r="AD76" s="104">
        <f>AD69/AD29</f>
        <v>0.68838719741338972</v>
      </c>
      <c r="AE76" s="104">
        <f>AE69/AE29</f>
        <v>0.66622643519011604</v>
      </c>
      <c r="AF76" s="104">
        <f>AF69/AF29</f>
        <v>0.70725236672344938</v>
      </c>
      <c r="AG76" s="104">
        <f>AG69/AG29</f>
        <v>0.72859397741016341</v>
      </c>
      <c r="AH76" s="104">
        <f>AH69/AH29</f>
        <v>0.64822639942676907</v>
      </c>
      <c r="AI76" s="104">
        <f>AI69/AI29</f>
        <v>0.64979947320353137</v>
      </c>
      <c r="AJ76" s="104">
        <f>AJ69/AJ29</f>
        <v>0.65937471634010658</v>
      </c>
    </row>
    <row r="77" spans="1:36" ht="12.75" customHeight="1">
      <c r="B77" s="9" t="s">
        <v>80</v>
      </c>
      <c r="C77" s="104">
        <f>SUM(C69-C49)/C29</f>
        <v>0.88413149109571953</v>
      </c>
      <c r="D77" s="104">
        <f>SUM(D69-D49)/D29</f>
        <v>0.70063758886833827</v>
      </c>
      <c r="E77" s="104">
        <f>SUM(E69-E49)/E29</f>
        <v>0.69081308792869989</v>
      </c>
      <c r="F77" s="104">
        <f>SUM(F69-F49)/F29</f>
        <v>0.59364229105837418</v>
      </c>
      <c r="G77" s="104">
        <f>SUM(G69-G49)/G29</f>
        <v>0.52399401430826309</v>
      </c>
      <c r="I77" s="42"/>
      <c r="J77" s="42"/>
      <c r="K77" s="42"/>
      <c r="L77" s="104">
        <f>SUM(L69-L49)/SUM(I29:L29)</f>
        <v>0.69081308792869989</v>
      </c>
      <c r="M77" s="104">
        <f>SUM(M69-M49)/SUM(J29:M29)</f>
        <v>0.67109494242994527</v>
      </c>
      <c r="N77" s="104">
        <f>SUM(N69-N49)/SUM(K29:N29)</f>
        <v>0.63426437640029876</v>
      </c>
      <c r="O77" s="104">
        <f>SUM(O69-O49)/SUM(L29:O29)</f>
        <v>0.60153373548641431</v>
      </c>
      <c r="P77" s="104">
        <f>SUM(P69-P49)/SUM(M29:P29)</f>
        <v>0.59364229105837418</v>
      </c>
      <c r="Q77" s="104">
        <f>SUM(Q69-Q49)/SUM(N29:Q29)</f>
        <v>0.47704808769516571</v>
      </c>
      <c r="R77" s="104">
        <f>SUM(R69-R49)/SUM(O29:R29)</f>
        <v>0.51049100010650761</v>
      </c>
      <c r="S77" s="104">
        <f>SUM(S69-S49)/SUM(P29:S29)</f>
        <v>0.52877070010332594</v>
      </c>
      <c r="T77" s="104">
        <f>SUM(T69-T49)/SUM(Q29:T29)</f>
        <v>0.52399401430826309</v>
      </c>
      <c r="U77" s="104">
        <f>SUM(U69-U49)/SUM(R29:U29)</f>
        <v>0.44532542238948897</v>
      </c>
      <c r="V77" s="104">
        <f>SUM(V69-V49)/SUM(S29:V29)</f>
        <v>0.46342205927122077</v>
      </c>
      <c r="W77" s="104">
        <f>SUM(W69-W49)/SUM(T29:W29)</f>
        <v>0.42421904379060388</v>
      </c>
      <c r="Y77" s="104">
        <f>SUM(Y69-Y49)/Y29</f>
        <v>0.61108762779501213</v>
      </c>
      <c r="Z77" s="104">
        <f>SUM(Z69-Z49)/Z29</f>
        <v>0.59892861905961503</v>
      </c>
      <c r="AA77" s="104">
        <f>SUM(AA69-AA49)/AA29</f>
        <v>0.55526512322628829</v>
      </c>
      <c r="AB77" s="104">
        <f>SUM(AB69-AB49)/AB29</f>
        <v>0.54786043155835562</v>
      </c>
      <c r="AC77" s="104">
        <f>SUM(AC69-AC49)/AC29</f>
        <v>0.52176681082742415</v>
      </c>
      <c r="AD77" s="104">
        <f>SUM(AD69-AD49)/AD29</f>
        <v>0.39937887317951698</v>
      </c>
      <c r="AE77" s="104">
        <f>SUM(AE69-AE49)/AE29</f>
        <v>0.43407533638655166</v>
      </c>
      <c r="AF77" s="104">
        <f>SUM(AF69-AF49)/AF29</f>
        <v>0.52877070010332594</v>
      </c>
      <c r="AG77" s="104">
        <f>SUM(AG69-AG49)/AG29</f>
        <v>0.52399401430826309</v>
      </c>
      <c r="AH77" s="104">
        <f>SUM(AH69-AH49)/AH29</f>
        <v>0.44532542238948897</v>
      </c>
      <c r="AI77" s="104">
        <f>SUM(AI69-AI49)/AI29</f>
        <v>0.46342205927122077</v>
      </c>
      <c r="AJ77" s="104">
        <f>SUM(AJ69-AJ49)/AJ29</f>
        <v>0.42421904379060388</v>
      </c>
    </row>
    <row r="78" spans="1:36" ht="12.75" customHeight="1">
      <c r="B78" s="9" t="s">
        <v>81</v>
      </c>
      <c r="C78" s="104">
        <f>C29/-C33</f>
        <v>8.85938322281865</v>
      </c>
      <c r="D78" s="104">
        <f>D29/-D33</f>
        <v>5.0478235178254875</v>
      </c>
      <c r="E78" s="104">
        <f>E29/-E33</f>
        <v>7.1312011444336587</v>
      </c>
      <c r="F78" s="104">
        <f>F29/-F33</f>
        <v>7.3158627335510467</v>
      </c>
      <c r="G78" s="104">
        <f>G29/-G33</f>
        <v>5.6068117385640948</v>
      </c>
      <c r="I78" s="42"/>
      <c r="J78" s="42"/>
      <c r="K78" s="42"/>
      <c r="L78" s="104" cm="1">
        <f t="array" ref="L78">SUM(I29:L29)/SUM(-I33:L33)</f>
        <v>7.1312011444336587</v>
      </c>
      <c r="M78" s="104" cm="1">
        <f t="array" ref="M78">SUM(J29:M29)/SUM(-J33:M33)</f>
        <v>8.8992483186074107</v>
      </c>
      <c r="N78" s="104" cm="1">
        <f t="array" ref="N78">SUM(K29:N29)/SUM(-K33:N33)</f>
        <v>8.8289595147039428</v>
      </c>
      <c r="O78" s="104" cm="1">
        <f t="array" ref="O78">SUM(L29:O29)/SUM(-L33:O33)</f>
        <v>9.3740761400083663</v>
      </c>
      <c r="P78" s="104" cm="1">
        <f t="array" ref="P78">SUM(M29:P29)/SUM(-M33:P33)</f>
        <v>7.3158627335510467</v>
      </c>
      <c r="Q78" s="104" cm="1">
        <f t="array" ref="Q78">SUM(N29:Q29)/SUM(-N33:Q33)</f>
        <v>5.6175416235162912</v>
      </c>
      <c r="R78" s="104" cm="1">
        <f t="array" ref="R78">SUM(O29:R29)/SUM(-O33:R33)</f>
        <v>4.9736897866930354</v>
      </c>
      <c r="S78" s="104" cm="1">
        <f t="array" ref="S78">SUM(P29:S29)/SUM(-P33:S33)</f>
        <v>4.6371200103596752</v>
      </c>
      <c r="T78" s="104" cm="1">
        <f t="array" ref="T78">SUM(Q29:T29)/SUM(-Q33:T33)</f>
        <v>5.6068117385640948</v>
      </c>
      <c r="U78" s="104" cm="1">
        <f t="array" ref="U78">SUM(R29:U29)/SUM(-R33:U33)</f>
        <v>3.9823190570163742</v>
      </c>
      <c r="V78" s="104" cm="1">
        <f t="array" ref="V78">SUM(S29:V29)/SUM(-S33:V33)</f>
        <v>3.4933647755120916</v>
      </c>
      <c r="W78" s="104" cm="1">
        <f t="array" ref="W78">SUM(T29:W29)/SUM(-T33:W33)</f>
        <v>3.4891412541851414</v>
      </c>
      <c r="Y78" s="104">
        <f>Y29/-Y33</f>
        <v>7.1312011444336587</v>
      </c>
      <c r="Z78" s="104">
        <f>Z29/-Z33</f>
        <v>8.8992483186074107</v>
      </c>
      <c r="AA78" s="104">
        <f>AA29/-AA33</f>
        <v>8.8289595147039428</v>
      </c>
      <c r="AB78" s="104">
        <f>AB29/-AB33</f>
        <v>9.3740761400083663</v>
      </c>
      <c r="AC78" s="104">
        <f>AC29/-AC33</f>
        <v>7.3158627335510467</v>
      </c>
      <c r="AD78" s="104">
        <f>AD29/-AD33</f>
        <v>5.6175416235162912</v>
      </c>
      <c r="AE78" s="104">
        <f>AE29/-AE33</f>
        <v>4.9736897866930354</v>
      </c>
      <c r="AF78" s="104">
        <f>AF29/-AF33</f>
        <v>4.6371200103596752</v>
      </c>
      <c r="AG78" s="104">
        <f>AG29/-AG33</f>
        <v>5.6068117385640948</v>
      </c>
      <c r="AH78" s="104">
        <f>AH29/-AH33</f>
        <v>3.9823190570163742</v>
      </c>
      <c r="AI78" s="104">
        <f>AI29/-AI33</f>
        <v>3.4933647755120916</v>
      </c>
      <c r="AJ78" s="104">
        <f>AJ29/-AJ33</f>
        <v>3.4891412541851414</v>
      </c>
    </row>
    <row r="79" spans="1:36" ht="12.75" customHeight="1">
      <c r="B79" s="9" t="s">
        <v>82</v>
      </c>
      <c r="C79" s="104" cm="1">
        <f t="array" ref="C79">SUM(C29+C32)/SUM(-C33:C34)</f>
        <v>6.1476445653043266</v>
      </c>
      <c r="D79" s="104" cm="1">
        <f t="array" ref="D79">SUM(D29+D32)/SUM(-D33:D34)</f>
        <v>4.1697777144485606</v>
      </c>
      <c r="E79" s="104" cm="1">
        <f t="array" ref="E79">SUM(E29+E32)/SUM(-E33:E34)</f>
        <v>5.743426330332472</v>
      </c>
      <c r="F79" s="104" cm="1">
        <f t="array" ref="F79">SUM(F29+F32)/SUM(-F33:F34)</f>
        <v>5.5908726981585266</v>
      </c>
      <c r="G79" s="104" cm="1">
        <f t="array" ref="G79">SUM(G29+G32)/SUM(-G33:G34)</f>
        <v>5.2448854493908517</v>
      </c>
      <c r="I79" s="42"/>
      <c r="J79" s="42"/>
      <c r="K79" s="42"/>
      <c r="L79" s="104" cm="1">
        <f t="array" ref="L79">SUM(I29:L29+I32:L32)/SUM(-I33:L34)</f>
        <v>5.743426330332472</v>
      </c>
      <c r="M79" s="104" cm="1">
        <f t="array" ref="M79">SUM(J29:M29+J32:M32)/SUM(-J33:M34)</f>
        <v>6.7721804098225569</v>
      </c>
      <c r="N79" s="104" cm="1">
        <f t="array" ref="N79">SUM(K29:N29+K32:N32)/SUM(-K33:N34)</f>
        <v>6.5848199805384366</v>
      </c>
      <c r="O79" s="104" cm="1">
        <f t="array" ref="O79">SUM(L29:O29+L32:O32)/SUM(-L33:O34)</f>
        <v>6.8406104992452619</v>
      </c>
      <c r="P79" s="104" cm="1">
        <f t="array" ref="P79">SUM(M29:P29+M32:P32)/SUM(-M33:P34)</f>
        <v>5.5908726981585266</v>
      </c>
      <c r="Q79" s="104" cm="1">
        <f t="array" ref="Q79">SUM(N29:Q29+N32:Q32)/SUM(-N33:Q34)</f>
        <v>4.6610650216266043</v>
      </c>
      <c r="R79" s="104" cm="1">
        <f t="array" ref="R79">SUM(O29:R29+O32:R32)/SUM(-O33:R34)</f>
        <v>4.3705283343251997</v>
      </c>
      <c r="S79" s="104" cm="1">
        <f t="array" ref="S79">SUM(P29:S29+P32:S32)/SUM(-P33:S34)</f>
        <v>4.190829231823562</v>
      </c>
      <c r="T79" s="104" cm="1">
        <f t="array" ref="T79">SUM(Q29:T29+Q32:T32)/SUM(-Q33:T34)</f>
        <v>5.2448854493908517</v>
      </c>
      <c r="U79" s="104" cm="1">
        <f t="array" ref="U79">SUM(R29:U29+R32:U32)/SUM(-R33:U34)</f>
        <v>3.7157715078137499</v>
      </c>
      <c r="V79" s="104" cm="1">
        <f t="array" ref="V79">SUM(S29:V29+S32:V32)/SUM(-S33:V34)</f>
        <v>3.2374346881213296</v>
      </c>
      <c r="W79" s="104" cm="1">
        <f t="array" ref="W79">SUM(T29:W29+T32:W32)/SUM(-T33:W34)</f>
        <v>3.209053479323138</v>
      </c>
      <c r="Y79" s="104" cm="1">
        <f t="array" ref="Y79">SUM(Y29+Y32)/SUM(-Y33:Y34)</f>
        <v>5.743426330332472</v>
      </c>
      <c r="Z79" s="104" cm="1">
        <f t="array" ref="Z79">SUM(Z29+Z32)/SUM(-Z33:Z34)</f>
        <v>6.7721804098225569</v>
      </c>
      <c r="AA79" s="104" cm="1">
        <f t="array" ref="AA79">SUM(AA29+AA32)/SUM(-AA33:AA34)</f>
        <v>6.5848199805384366</v>
      </c>
      <c r="AB79" s="104" cm="1">
        <f t="array" ref="AB79">SUM(AB29+AB32)/SUM(-AB33:AB34)</f>
        <v>6.8406104992452619</v>
      </c>
      <c r="AC79" s="104" cm="1">
        <f t="array" ref="AC79">SUM(AC29+AC32)/SUM(-AC33:AC34)</f>
        <v>5.5908726981585266</v>
      </c>
      <c r="AD79" s="104" cm="1">
        <f t="array" ref="AD79">SUM(AD29+AD32)/SUM(-AD33:AD34)</f>
        <v>4.6610650216266043</v>
      </c>
      <c r="AE79" s="104" cm="1">
        <f t="array" ref="AE79">SUM(AE29+AE32)/SUM(-AE33:AE34)</f>
        <v>4.3705283343251997</v>
      </c>
      <c r="AF79" s="104" cm="1">
        <f t="array" ref="AF79">SUM(AF29+AF32)/SUM(-AF33:AF34)</f>
        <v>4.190829231823562</v>
      </c>
      <c r="AG79" s="104" cm="1">
        <f t="array" ref="AG79">SUM(AG29+AG32)/SUM(-AG33:AG34)</f>
        <v>5.2448854493908517</v>
      </c>
      <c r="AH79" s="104" cm="1">
        <f t="array" ref="AH79">SUM(AH29+AH32)/SUM(-AH33:AH34)</f>
        <v>3.7157715078137499</v>
      </c>
      <c r="AI79" s="104" cm="1">
        <f t="array" ref="AI79">SUM(AI29+AI32)/SUM(-AI33:AI34)</f>
        <v>3.2374346881213296</v>
      </c>
      <c r="AJ79" s="104" cm="1">
        <f t="array" ref="AJ79">SUM(AJ29+AJ32)/SUM(-AJ33:AJ34)</f>
        <v>3.209053479323138</v>
      </c>
    </row>
    <row r="80" spans="1:36" ht="12.75" customHeight="1">
      <c r="B80" s="9" t="s">
        <v>83</v>
      </c>
      <c r="C80" s="104" cm="1">
        <f t="array" ref="C80">SUM(C29)/SUM(-C32:C34)</f>
        <v>4.2485867151221486</v>
      </c>
      <c r="D80" s="104" cm="1">
        <f t="array" ref="D80">SUM(D29)/SUM(-D32:D34)</f>
        <v>3.2724417090175448</v>
      </c>
      <c r="E80" s="104" cm="1">
        <f t="array" ref="E80">SUM(E29)/SUM(-E32:E34)</f>
        <v>4.2110360224461472</v>
      </c>
      <c r="F80" s="104" cm="1">
        <f t="array" ref="F80">SUM(F29)/SUM(-F32:F34)</f>
        <v>4.0863909572082173</v>
      </c>
      <c r="G80" s="104" cm="1">
        <f t="array" ref="G80">SUM(G29)/SUM(-G32:G34)</f>
        <v>4.1168246645475257</v>
      </c>
      <c r="I80" s="42"/>
      <c r="J80" s="42"/>
      <c r="K80" s="42"/>
      <c r="L80" s="104" cm="1">
        <f t="array" ref="L80">SUM(I29:L29)/SUM(-I32:L34)</f>
        <v>4.2110360224461472</v>
      </c>
      <c r="M80" s="104" cm="1">
        <f t="array" ref="M80">SUM(J29:M29)/SUM(-J32:M34)</f>
        <v>4.514668004683057</v>
      </c>
      <c r="N80" s="104" cm="1">
        <f t="array" ref="N80">SUM(K29:N29)/SUM(-K32:N34)</f>
        <v>4.37696129707113</v>
      </c>
      <c r="O80" s="104" cm="1">
        <f t="array" ref="O80">SUM(L29:O29)/SUM(-L32:O34)</f>
        <v>4.48561991191779</v>
      </c>
      <c r="P80" s="104" cm="1">
        <f t="array" ref="P80">SUM(M29:P29)/SUM(-M32:P34)</f>
        <v>4.0863909572082173</v>
      </c>
      <c r="Q80" s="104" cm="1">
        <f t="array" ref="Q80">SUM(N29:Q29)/SUM(-N32:Q34)</f>
        <v>3.7340217103521312</v>
      </c>
      <c r="R80" s="104" cm="1">
        <f t="array" ref="R80">SUM(O29:R29)/SUM(-O32:R34)</f>
        <v>3.6213679609154026</v>
      </c>
      <c r="S80" s="104" cm="1">
        <f t="array" ref="S80">SUM(P29:S29)/SUM(-P32:S34)</f>
        <v>3.5103421233212431</v>
      </c>
      <c r="T80" s="104" cm="1">
        <f t="array" ref="T80">SUM(Q29:T29)/SUM(-Q32:T34)</f>
        <v>4.1168246645475257</v>
      </c>
      <c r="U80" s="104" cm="1">
        <f t="array" ref="U80">SUM(R29:U29)/SUM(-R32:U34)</f>
        <v>3.1442317815256984</v>
      </c>
      <c r="V80" s="104" cm="1">
        <f t="array" ref="V80">SUM(S29:V29)/SUM(-S32:V34)</f>
        <v>2.7814962079375598</v>
      </c>
      <c r="W80" s="104" cm="1">
        <f t="array" ref="W80">SUM(T29:W29)/SUM(-T32:W34)</f>
        <v>2.7257046920561985</v>
      </c>
      <c r="Y80" s="104" cm="1">
        <f t="array" ref="Y80">SUM(Y29)/SUM(-Y32:Y34)</f>
        <v>4.2110360224461472</v>
      </c>
      <c r="Z80" s="104" cm="1">
        <f t="array" ref="Z80">SUM(Z29)/SUM(-Z32:Z34)</f>
        <v>4.514668004683057</v>
      </c>
      <c r="AA80" s="104" cm="1">
        <f t="array" ref="AA80">SUM(AA29)/SUM(-AA32:AA34)</f>
        <v>4.37696129707113</v>
      </c>
      <c r="AB80" s="104" cm="1">
        <f t="array" ref="AB80">SUM(AB29)/SUM(-AB32:AB34)</f>
        <v>4.48561991191779</v>
      </c>
      <c r="AC80" s="104" cm="1">
        <f t="array" ref="AC80">SUM(AC29)/SUM(-AC32:AC34)</f>
        <v>4.0863909572082173</v>
      </c>
      <c r="AD80" s="104" cm="1">
        <f t="array" ref="AD80">SUM(AD29)/SUM(-AD32:AD34)</f>
        <v>3.7340217103521312</v>
      </c>
      <c r="AE80" s="104" cm="1">
        <f t="array" ref="AE80">SUM(AE29)/SUM(-AE32:AE34)</f>
        <v>3.6213679609154026</v>
      </c>
      <c r="AF80" s="104" cm="1">
        <f t="array" ref="AF80">SUM(AF29)/SUM(-AF32:AF34)</f>
        <v>3.5103421233212431</v>
      </c>
      <c r="AG80" s="104" cm="1">
        <f t="array" ref="AG80">SUM(AG29)/SUM(-AG32:AG34)</f>
        <v>4.1168246645475257</v>
      </c>
      <c r="AH80" s="104" cm="1">
        <f t="array" ref="AH80">SUM(AH29)/SUM(-AH32:AH34)</f>
        <v>3.1442317815256984</v>
      </c>
      <c r="AI80" s="104" cm="1">
        <f t="array" ref="AI80">SUM(AI29)/SUM(-AI32:AI34)</f>
        <v>2.7814962079375598</v>
      </c>
      <c r="AJ80" s="104" cm="1">
        <f t="array" ref="AJ80">SUM(AJ29)/SUM(-AJ32:AJ34)</f>
        <v>2.7257046920561985</v>
      </c>
    </row>
    <row r="81" spans="2:36" ht="12.75" customHeight="1">
      <c r="B81" s="9" t="s">
        <v>84</v>
      </c>
      <c r="C81" s="104">
        <f>C72/C69</f>
        <v>1.5811217047920594</v>
      </c>
      <c r="D81" s="104">
        <f>D72/D69</f>
        <v>1.5058571669112164</v>
      </c>
      <c r="E81" s="104">
        <f t="shared" ref="E81:G81" si="116">E72/E69</f>
        <v>1.4220240028650193</v>
      </c>
      <c r="F81" s="104">
        <f t="shared" si="116"/>
        <v>1.5594303615151952</v>
      </c>
      <c r="G81" s="104">
        <f t="shared" si="116"/>
        <v>1.5340948522446989</v>
      </c>
      <c r="I81" s="42"/>
      <c r="J81" s="42"/>
      <c r="K81" s="42"/>
      <c r="L81" s="104">
        <f t="shared" ref="L81:V81" si="117">L72/L69</f>
        <v>1.4220240028650193</v>
      </c>
      <c r="M81" s="104">
        <f t="shared" si="117"/>
        <v>1.4382053820538205</v>
      </c>
      <c r="N81" s="104">
        <f t="shared" si="117"/>
        <v>1.4937280481685902</v>
      </c>
      <c r="O81" s="104">
        <f t="shared" si="117"/>
        <v>1.4780014641288433</v>
      </c>
      <c r="P81" s="104">
        <f t="shared" si="117"/>
        <v>1.5594303615151952</v>
      </c>
      <c r="Q81" s="104">
        <f t="shared" si="117"/>
        <v>1.6114587189929657</v>
      </c>
      <c r="R81" s="104">
        <f t="shared" si="117"/>
        <v>1.6325270102304235</v>
      </c>
      <c r="S81" s="104">
        <f t="shared" si="117"/>
        <v>1.5791479112374636</v>
      </c>
      <c r="T81" s="104">
        <f t="shared" si="117"/>
        <v>1.5340948522446989</v>
      </c>
      <c r="U81" s="104">
        <f t="shared" si="117"/>
        <v>1.6896558848748437</v>
      </c>
      <c r="V81" s="104">
        <f t="shared" si="117"/>
        <v>1.6803006538610392</v>
      </c>
      <c r="W81" s="104">
        <f t="shared" ref="W81" si="118">W72/W69</f>
        <v>1.6473086983028182</v>
      </c>
      <c r="Y81" s="104">
        <f t="shared" ref="Y81:AI81" si="119">Y72/Y69</f>
        <v>1.4651325029144215</v>
      </c>
      <c r="Z81" s="104">
        <f t="shared" si="119"/>
        <v>1.4803097563381671</v>
      </c>
      <c r="AA81" s="104">
        <f t="shared" si="119"/>
        <v>1.5464624332320245</v>
      </c>
      <c r="AB81" s="104">
        <f t="shared" si="119"/>
        <v>1.5117965198306944</v>
      </c>
      <c r="AC81" s="104">
        <f t="shared" si="119"/>
        <v>1.613690676041317</v>
      </c>
      <c r="AD81" s="104">
        <f t="shared" si="119"/>
        <v>1.6804482623653256</v>
      </c>
      <c r="AE81" s="104">
        <f t="shared" si="119"/>
        <v>1.7050773756234812</v>
      </c>
      <c r="AF81" s="104">
        <f t="shared" si="119"/>
        <v>1.5791479112374636</v>
      </c>
      <c r="AG81" s="104">
        <f t="shared" si="119"/>
        <v>1.5340948522446989</v>
      </c>
      <c r="AH81" s="104">
        <f t="shared" si="119"/>
        <v>1.6896558848748437</v>
      </c>
      <c r="AI81" s="104">
        <f t="shared" si="119"/>
        <v>1.6803006538610392</v>
      </c>
      <c r="AJ81" s="104">
        <f t="shared" ref="AJ81" si="120">AJ72/AJ69</f>
        <v>1.6473086983028182</v>
      </c>
    </row>
    <row r="82" spans="2:36" ht="5.0999999999999996" customHeight="1" thickBot="1">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row>
  </sheetData>
  <mergeCells count="1">
    <mergeCell ref="AL2:AL4"/>
  </mergeCells>
  <pageMargins left="0.7" right="0.7" top="0.75" bottom="0.75" header="0.3" footer="0.3"/>
  <ignoredErrors>
    <ignoredError sqref="H42:H43 C36:W37 AK37:AL37 H32:H34 C38:D38 Y32:AI34 E38:G38 H38:H40 E41:U41 E39:G40 I38:U40 C40:D41 AK38:AL42 Y38:AI42 AK35 AK36 H35 Y35:AI37" formulaRange="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1C5D-AED5-4BFE-BA26-5AB41D553B0B}">
  <sheetPr>
    <tabColor theme="8" tint="-0.249977111117893"/>
  </sheetPr>
  <dimension ref="C1:U204"/>
  <sheetViews>
    <sheetView showGridLines="0" tabSelected="1" zoomScale="115" zoomScaleNormal="115" workbookViewId="0">
      <selection activeCell="C2" sqref="C2"/>
    </sheetView>
  </sheetViews>
  <sheetFormatPr defaultColWidth="7.75" defaultRowHeight="12"/>
  <cols>
    <col min="1" max="2" width="1.5" style="9" customWidth="1"/>
    <col min="3" max="3" width="40.875" style="9" bestFit="1" customWidth="1"/>
    <col min="4" max="4" width="10.875" style="9" bestFit="1" customWidth="1"/>
    <col min="5" max="12" width="10" style="9" customWidth="1"/>
    <col min="13" max="13" width="2.875" style="9" customWidth="1"/>
    <col min="14" max="14" width="10.375" style="9" customWidth="1"/>
    <col min="15" max="17" width="9" style="9" bestFit="1" customWidth="1"/>
    <col min="18" max="19" width="8.25" style="9" bestFit="1" customWidth="1"/>
    <col min="20" max="16384" width="7.75" style="9"/>
  </cols>
  <sheetData>
    <row r="1" spans="3:20" ht="12.75" thickBot="1"/>
    <row r="2" spans="3:20" ht="12.75" thickBot="1">
      <c r="C2" s="111" t="str">
        <f>"Financial Statement Model for "&amp;D5</f>
        <v>Financial Statement Model for Apple</v>
      </c>
      <c r="D2" s="112"/>
      <c r="E2" s="112"/>
      <c r="F2" s="112"/>
      <c r="G2" s="112"/>
      <c r="H2" s="112"/>
      <c r="I2" s="112"/>
      <c r="J2" s="112"/>
      <c r="K2" s="112"/>
      <c r="L2" s="112"/>
    </row>
    <row r="3" spans="3:20">
      <c r="C3" s="113" t="s">
        <v>124</v>
      </c>
      <c r="D3" s="114"/>
      <c r="E3" s="114"/>
      <c r="F3" s="114"/>
      <c r="G3" s="114"/>
      <c r="H3" s="114"/>
    </row>
    <row r="5" spans="3:20">
      <c r="C5" s="115" t="s">
        <v>125</v>
      </c>
      <c r="D5" s="116" t="s">
        <v>126</v>
      </c>
      <c r="I5" s="9" t="s">
        <v>127</v>
      </c>
      <c r="L5" s="117" t="s">
        <v>128</v>
      </c>
    </row>
    <row r="6" spans="3:20">
      <c r="C6" s="115" t="s">
        <v>129</v>
      </c>
      <c r="D6" s="116" t="s">
        <v>130</v>
      </c>
    </row>
    <row r="7" spans="3:20">
      <c r="C7" s="9" t="s">
        <v>131</v>
      </c>
      <c r="D7" s="117">
        <v>1</v>
      </c>
    </row>
    <row r="8" spans="3:20">
      <c r="C8" s="9" t="s">
        <v>132</v>
      </c>
      <c r="D8" s="118">
        <v>262.82</v>
      </c>
    </row>
    <row r="9" spans="3:20">
      <c r="C9" s="9" t="s">
        <v>133</v>
      </c>
      <c r="D9" s="119">
        <f ca="1">NOW()</f>
        <v>45957.002544907409</v>
      </c>
      <c r="P9" s="76"/>
    </row>
    <row r="10" spans="3:20">
      <c r="C10" s="115" t="s">
        <v>134</v>
      </c>
      <c r="D10" s="120">
        <f>'Base Financials'!K4</f>
        <v>45559</v>
      </c>
    </row>
    <row r="11" spans="3:20">
      <c r="C11" s="9" t="s">
        <v>135</v>
      </c>
      <c r="D11" s="121">
        <v>4443.2650000000003</v>
      </c>
    </row>
    <row r="13" spans="3:20">
      <c r="C13" s="122" t="s">
        <v>136</v>
      </c>
      <c r="D13" s="123"/>
      <c r="E13" s="123"/>
      <c r="F13" s="123"/>
      <c r="G13" s="123"/>
      <c r="H13" s="123"/>
      <c r="I13" s="123"/>
      <c r="J13" s="123"/>
      <c r="K13" s="123"/>
      <c r="L13" s="123"/>
    </row>
    <row r="14" spans="3:20">
      <c r="C14" s="9" t="s">
        <v>137</v>
      </c>
      <c r="D14" s="124">
        <f>E14-1</f>
        <v>2021</v>
      </c>
      <c r="E14" s="124">
        <f>F14-1</f>
        <v>2022</v>
      </c>
      <c r="F14" s="124">
        <f>G14-1</f>
        <v>2023</v>
      </c>
      <c r="G14" s="124">
        <f>YEAR(D10)</f>
        <v>2024</v>
      </c>
      <c r="H14" s="125">
        <f>G14+1</f>
        <v>2025</v>
      </c>
      <c r="I14" s="125">
        <f>H14+1</f>
        <v>2026</v>
      </c>
      <c r="J14" s="125">
        <f>I14+1</f>
        <v>2027</v>
      </c>
      <c r="K14" s="125">
        <f>J14+1</f>
        <v>2028</v>
      </c>
      <c r="L14" s="125">
        <f>K14+1</f>
        <v>2029</v>
      </c>
    </row>
    <row r="15" spans="3:20">
      <c r="C15" s="126" t="s">
        <v>138</v>
      </c>
      <c r="D15" s="127">
        <f t="shared" ref="D15:F15" si="0">EOMONTH(E15,-12)</f>
        <v>44469</v>
      </c>
      <c r="E15" s="127">
        <f t="shared" si="0"/>
        <v>44834</v>
      </c>
      <c r="F15" s="127">
        <f>EOMONTH(G15,-12)</f>
        <v>45199</v>
      </c>
      <c r="G15" s="127">
        <f>D10</f>
        <v>45559</v>
      </c>
      <c r="H15" s="127">
        <f>EOMONTH(G15,12)</f>
        <v>45930</v>
      </c>
      <c r="I15" s="127">
        <f>EOMONTH(H15,12)</f>
        <v>46295</v>
      </c>
      <c r="J15" s="127">
        <f>EOMONTH(I15,12)</f>
        <v>46660</v>
      </c>
      <c r="K15" s="127">
        <f>EOMONTH(J15,12)</f>
        <v>47026</v>
      </c>
      <c r="L15" s="127">
        <f>EOMONTH(K15,12)</f>
        <v>47391</v>
      </c>
      <c r="N15" s="39" t="s">
        <v>139</v>
      </c>
      <c r="O15" s="128"/>
      <c r="P15" s="128"/>
      <c r="Q15" s="128"/>
      <c r="R15" s="128"/>
      <c r="S15" s="128"/>
      <c r="T15" s="128"/>
    </row>
    <row r="16" spans="3:20">
      <c r="C16" s="129"/>
      <c r="D16" s="129"/>
      <c r="E16" s="130"/>
      <c r="F16" s="131"/>
      <c r="G16" s="131"/>
      <c r="H16" s="132"/>
      <c r="I16" s="133"/>
      <c r="J16" s="133"/>
      <c r="K16" s="131"/>
      <c r="L16" s="131"/>
    </row>
    <row r="17" spans="3:15">
      <c r="C17" s="9" t="s">
        <v>34</v>
      </c>
      <c r="D17" s="197">
        <f>'Base Financials'!H8</f>
        <v>365817</v>
      </c>
      <c r="E17" s="197">
        <f>'Base Financials'!I8</f>
        <v>394328</v>
      </c>
      <c r="F17" s="197">
        <f>'Base Financials'!J8</f>
        <v>383285</v>
      </c>
      <c r="G17" s="197">
        <f>'Base Financials'!K8</f>
        <v>391035</v>
      </c>
      <c r="H17" s="135">
        <f ca="1">G17*(1+H36)</f>
        <v>414497.10000000003</v>
      </c>
      <c r="I17" s="135">
        <f ca="1">H17*(1+I36)</f>
        <v>443097.39990000002</v>
      </c>
      <c r="J17" s="135">
        <f ca="1">I17*(1+J36)</f>
        <v>473671.12049310002</v>
      </c>
      <c r="K17" s="135">
        <f ca="1">J17*(1+K36)</f>
        <v>506354.42780712392</v>
      </c>
      <c r="L17" s="135">
        <f ca="1">K17*(1+L36)</f>
        <v>541292.88332581543</v>
      </c>
      <c r="N17" s="9" t="s">
        <v>140</v>
      </c>
    </row>
    <row r="18" spans="3:15">
      <c r="C18" s="9" t="s">
        <v>141</v>
      </c>
      <c r="D18" s="197">
        <f>'Base Financials'!H11</f>
        <v>-212981</v>
      </c>
      <c r="E18" s="197">
        <f>'Base Financials'!I11</f>
        <v>-223546</v>
      </c>
      <c r="F18" s="197">
        <f>'Base Financials'!J11</f>
        <v>-214137</v>
      </c>
      <c r="G18" s="197">
        <f>'Base Financials'!K11</f>
        <v>-210352</v>
      </c>
      <c r="H18" s="135">
        <f ca="1">H19-H17</f>
        <v>-222973.12000000002</v>
      </c>
      <c r="I18" s="135">
        <f ca="1">I19-I17</f>
        <v>-238358.26527999999</v>
      </c>
      <c r="J18" s="135">
        <f ca="1">J19-J17</f>
        <v>-254804.98558432001</v>
      </c>
      <c r="K18" s="135">
        <f ca="1">K19-K17</f>
        <v>-272386.52958963811</v>
      </c>
      <c r="L18" s="135">
        <f ca="1">L19-L17</f>
        <v>-291181.20013132307</v>
      </c>
      <c r="N18" s="9" t="s">
        <v>142</v>
      </c>
    </row>
    <row r="19" spans="3:15">
      <c r="C19" s="228" t="s">
        <v>33</v>
      </c>
      <c r="D19" s="227">
        <f>SUM(D17:D18)</f>
        <v>152836</v>
      </c>
      <c r="E19" s="227">
        <f>SUM(E17:E18)</f>
        <v>170782</v>
      </c>
      <c r="F19" s="227">
        <f>SUM(F17:F18)</f>
        <v>169148</v>
      </c>
      <c r="G19" s="227">
        <f>SUM(G17:G18)</f>
        <v>180683</v>
      </c>
      <c r="H19" s="227">
        <f ca="1">H17*H37</f>
        <v>191523.98</v>
      </c>
      <c r="I19" s="227">
        <f ca="1">I17*I37</f>
        <v>204739.13462000003</v>
      </c>
      <c r="J19" s="227">
        <f ca="1">J17*J37</f>
        <v>218866.13490878002</v>
      </c>
      <c r="K19" s="227">
        <f ca="1">K17*K37</f>
        <v>233967.89821748584</v>
      </c>
      <c r="L19" s="227">
        <f ca="1">L17*L37</f>
        <v>250111.68319449233</v>
      </c>
      <c r="N19" s="35" t="s">
        <v>143</v>
      </c>
    </row>
    <row r="20" spans="3:15">
      <c r="C20" s="9" t="s">
        <v>144</v>
      </c>
      <c r="D20" s="197">
        <f>'Base Financials'!H15</f>
        <v>-21914</v>
      </c>
      <c r="E20" s="197">
        <f>'Base Financials'!I15</f>
        <v>-26251</v>
      </c>
      <c r="F20" s="197">
        <f>'Base Financials'!J15</f>
        <v>-29915</v>
      </c>
      <c r="G20" s="197">
        <f>'Base Financials'!K15</f>
        <v>-31370</v>
      </c>
      <c r="H20" s="135">
        <f ca="1">-H38*H17</f>
        <v>-33252.200000000004</v>
      </c>
      <c r="I20" s="135">
        <f ca="1">-I38*I17</f>
        <v>-35546.601799999997</v>
      </c>
      <c r="J20" s="135">
        <f ca="1">-J38*J17</f>
        <v>-37999.317324199998</v>
      </c>
      <c r="K20" s="135">
        <f ca="1">-K38*K17</f>
        <v>-40621.2702195698</v>
      </c>
      <c r="L20" s="135">
        <f ca="1">-L38*L17</f>
        <v>-43424.137864720113</v>
      </c>
      <c r="N20" s="35" t="s">
        <v>145</v>
      </c>
    </row>
    <row r="21" spans="3:15">
      <c r="C21" s="9" t="s">
        <v>146</v>
      </c>
      <c r="D21" s="197">
        <f>'Base Financials'!H16</f>
        <v>-21973</v>
      </c>
      <c r="E21" s="197">
        <f>'Base Financials'!I16</f>
        <v>-25094</v>
      </c>
      <c r="F21" s="197">
        <f>'Base Financials'!J16</f>
        <v>-24932</v>
      </c>
      <c r="G21" s="197">
        <f>'Base Financials'!K16</f>
        <v>-26097</v>
      </c>
      <c r="H21" s="135">
        <f ca="1">-H17*H39</f>
        <v>-27662.82</v>
      </c>
      <c r="I21" s="135">
        <f ca="1">-I17*I39</f>
        <v>-29571.55458</v>
      </c>
      <c r="J21" s="135">
        <f ca="1">-J17*J39</f>
        <v>-31611.991846019999</v>
      </c>
      <c r="K21" s="135">
        <f ca="1">-K17*K39</f>
        <v>-33793.219283395381</v>
      </c>
      <c r="L21" s="135">
        <f ca="1">-L17*L39</f>
        <v>-36124.95141394966</v>
      </c>
      <c r="N21" s="35" t="s">
        <v>147</v>
      </c>
    </row>
    <row r="22" spans="3:15">
      <c r="C22" s="228" t="s">
        <v>148</v>
      </c>
      <c r="D22" s="227">
        <f t="shared" ref="D22" si="1">D19+D20+D21</f>
        <v>108949</v>
      </c>
      <c r="E22" s="227">
        <f>E19+E20+E21</f>
        <v>119437</v>
      </c>
      <c r="F22" s="227">
        <f>F19+F20+F21</f>
        <v>114301</v>
      </c>
      <c r="G22" s="227">
        <f>+SUM(G19+SUM(G20:G21))</f>
        <v>123216</v>
      </c>
      <c r="H22" s="227">
        <f t="shared" ref="H22:L22" ca="1" si="2">H19+H20+H21</f>
        <v>130608.95999999999</v>
      </c>
      <c r="I22" s="227">
        <f ca="1">I19+I20+I21</f>
        <v>139620.97824000003</v>
      </c>
      <c r="J22" s="227">
        <f t="shared" ca="1" si="2"/>
        <v>149254.82573856</v>
      </c>
      <c r="K22" s="227">
        <f t="shared" ca="1" si="2"/>
        <v>159553.40871452066</v>
      </c>
      <c r="L22" s="227">
        <f t="shared" ca="1" si="2"/>
        <v>170562.59391582257</v>
      </c>
      <c r="N22" s="41" t="s">
        <v>149</v>
      </c>
    </row>
    <row r="23" spans="3:15">
      <c r="C23" s="9" t="s">
        <v>150</v>
      </c>
      <c r="D23" s="134">
        <v>2843</v>
      </c>
      <c r="E23" s="134">
        <v>2825</v>
      </c>
      <c r="F23" s="134">
        <v>3750</v>
      </c>
      <c r="G23" s="241">
        <v>1583.29575</v>
      </c>
      <c r="H23" s="247">
        <f ca="1">H157</f>
        <v>1644.6592567192442</v>
      </c>
      <c r="I23" s="247">
        <f t="shared" ref="I23:L23" ca="1" si="3">I157</f>
        <v>1828.8948754496162</v>
      </c>
      <c r="J23" s="247">
        <f t="shared" ca="1" si="3"/>
        <v>2080.4624435892019</v>
      </c>
      <c r="K23" s="247">
        <f t="shared" ca="1" si="3"/>
        <v>2413.8715934638899</v>
      </c>
      <c r="L23" s="247">
        <f t="shared" ca="1" si="3"/>
        <v>2835.355998513121</v>
      </c>
      <c r="N23" s="9" t="s">
        <v>364</v>
      </c>
    </row>
    <row r="24" spans="3:15">
      <c r="C24" s="9" t="s">
        <v>151</v>
      </c>
      <c r="D24" s="134">
        <v>-2645</v>
      </c>
      <c r="E24" s="134">
        <v>-2931</v>
      </c>
      <c r="F24" s="134">
        <v>-3933</v>
      </c>
      <c r="G24" s="241">
        <v>-515</v>
      </c>
      <c r="H24" s="247">
        <f ca="1">-H143</f>
        <v>-660.51368014769662</v>
      </c>
      <c r="I24" s="247">
        <f t="shared" ref="I24:L24" ca="1" si="4">-I143</f>
        <v>-711.33868014769655</v>
      </c>
      <c r="J24" s="247">
        <f t="shared" ca="1" si="4"/>
        <v>-711.33868014769655</v>
      </c>
      <c r="K24" s="247">
        <f t="shared" ca="1" si="4"/>
        <v>-711.33868014769655</v>
      </c>
      <c r="L24" s="247">
        <f t="shared" ca="1" si="4"/>
        <v>-711.33868014769655</v>
      </c>
      <c r="N24" s="9" t="s">
        <v>152</v>
      </c>
    </row>
    <row r="25" spans="3:15">
      <c r="C25" s="9" t="s">
        <v>153</v>
      </c>
      <c r="D25" s="134">
        <v>60</v>
      </c>
      <c r="E25" s="134">
        <v>-228</v>
      </c>
      <c r="F25" s="134">
        <v>-382</v>
      </c>
      <c r="G25" s="241">
        <v>-799.29575</v>
      </c>
      <c r="H25" s="76">
        <f>G25</f>
        <v>-799.29575</v>
      </c>
      <c r="I25" s="76">
        <f>H25</f>
        <v>-799.29575</v>
      </c>
      <c r="J25" s="76">
        <f>I25</f>
        <v>-799.29575</v>
      </c>
      <c r="K25" s="76">
        <f>J25</f>
        <v>-799.29575</v>
      </c>
      <c r="L25" s="76">
        <f>K25</f>
        <v>-799.29575</v>
      </c>
      <c r="N25" s="9" t="s">
        <v>154</v>
      </c>
    </row>
    <row r="26" spans="3:15">
      <c r="C26" s="228" t="s">
        <v>155</v>
      </c>
      <c r="D26" s="227">
        <f t="shared" ref="D26" si="5">SUM(D22:D25)</f>
        <v>109207</v>
      </c>
      <c r="E26" s="227">
        <f>SUM(E22:E25)</f>
        <v>119103</v>
      </c>
      <c r="F26" s="227">
        <f>SUM(F22:F25)</f>
        <v>113736</v>
      </c>
      <c r="G26" s="227">
        <f>SUM(G22:G25)</f>
        <v>123485</v>
      </c>
      <c r="H26" s="227">
        <f ca="1">SUM(H22:H25)</f>
        <v>130793.80982657154</v>
      </c>
      <c r="I26" s="227">
        <f ca="1">SUM(I22:I25)</f>
        <v>139939.23868530197</v>
      </c>
      <c r="J26" s="227">
        <f t="shared" ref="J26:L26" ca="1" si="6">SUM(J22:J25)</f>
        <v>149824.65375200153</v>
      </c>
      <c r="K26" s="227">
        <f t="shared" ca="1" si="6"/>
        <v>160456.64587783688</v>
      </c>
      <c r="L26" s="227">
        <f t="shared" ca="1" si="6"/>
        <v>171887.315484188</v>
      </c>
      <c r="N26" s="41" t="s">
        <v>156</v>
      </c>
      <c r="O26" s="41"/>
    </row>
    <row r="27" spans="3:15">
      <c r="C27" s="9" t="s">
        <v>157</v>
      </c>
      <c r="D27" s="197">
        <f>'Base Financials'!H23</f>
        <v>-14527</v>
      </c>
      <c r="E27" s="197">
        <f>'Base Financials'!I23</f>
        <v>-19300</v>
      </c>
      <c r="F27" s="197">
        <f>'Base Financials'!J23</f>
        <v>-16741</v>
      </c>
      <c r="G27" s="197">
        <f>'Base Financials'!K23</f>
        <v>-29749</v>
      </c>
      <c r="H27" s="135">
        <f ca="1">-H40*H26</f>
        <v>-20796.215762424876</v>
      </c>
      <c r="I27" s="135">
        <f ca="1">-I40*I26</f>
        <v>-22250.338950963014</v>
      </c>
      <c r="J27" s="135">
        <f ca="1">-J40*J26</f>
        <v>-23822.119946568244</v>
      </c>
      <c r="K27" s="135">
        <f ca="1">-K40*K26</f>
        <v>-25512.606694576065</v>
      </c>
      <c r="L27" s="135">
        <f ca="1">-L40*L26</f>
        <v>-27330.083161985895</v>
      </c>
      <c r="N27" s="9" t="s">
        <v>158</v>
      </c>
    </row>
    <row r="28" spans="3:15">
      <c r="C28" s="228" t="s">
        <v>18</v>
      </c>
      <c r="D28" s="227">
        <f t="shared" ref="D28:L28" si="7">SUM(D26:D27)</f>
        <v>94680</v>
      </c>
      <c r="E28" s="227">
        <f t="shared" si="7"/>
        <v>99803</v>
      </c>
      <c r="F28" s="227">
        <f t="shared" si="7"/>
        <v>96995</v>
      </c>
      <c r="G28" s="227">
        <f t="shared" si="7"/>
        <v>93736</v>
      </c>
      <c r="H28" s="227">
        <f t="shared" ca="1" si="7"/>
        <v>109997.59406414666</v>
      </c>
      <c r="I28" s="227">
        <f t="shared" ca="1" si="7"/>
        <v>117688.89973433895</v>
      </c>
      <c r="J28" s="227">
        <f t="shared" ca="1" si="7"/>
        <v>126002.53380543328</v>
      </c>
      <c r="K28" s="227">
        <f t="shared" ca="1" si="7"/>
        <v>134944.03918326081</v>
      </c>
      <c r="L28" s="227">
        <f t="shared" ca="1" si="7"/>
        <v>144557.23232220212</v>
      </c>
      <c r="N28" s="41" t="s">
        <v>159</v>
      </c>
    </row>
    <row r="29" spans="3:15">
      <c r="C29" s="70"/>
      <c r="D29" s="76"/>
      <c r="E29" s="76"/>
      <c r="F29" s="76"/>
      <c r="G29" s="76"/>
      <c r="H29" s="76"/>
      <c r="I29" s="76"/>
      <c r="J29" s="76"/>
      <c r="K29" s="76"/>
      <c r="L29" s="76"/>
    </row>
    <row r="30" spans="3:15">
      <c r="C30" s="137" t="s">
        <v>160</v>
      </c>
      <c r="D30" s="197">
        <f>'Base Financials'!H73</f>
        <v>11284</v>
      </c>
      <c r="E30" s="197">
        <f>'Base Financials'!I73</f>
        <v>11104</v>
      </c>
      <c r="F30" s="197">
        <f>'Base Financials'!J73</f>
        <v>11519</v>
      </c>
      <c r="G30" s="197">
        <f>'Base Financials'!K73</f>
        <v>11445</v>
      </c>
      <c r="H30" s="76">
        <f ca="1">H107</f>
        <v>13089.455932655295</v>
      </c>
      <c r="I30" s="76">
        <f ca="1">I107</f>
        <v>14337.351232655294</v>
      </c>
      <c r="J30" s="76">
        <f ca="1">J107</f>
        <v>15684.388168355294</v>
      </c>
      <c r="K30" s="76">
        <f ca="1">K107</f>
        <v>17137.407512618596</v>
      </c>
      <c r="L30" s="76">
        <f ca="1">L107</f>
        <v>18703.722051636061</v>
      </c>
      <c r="N30" s="9" t="s">
        <v>161</v>
      </c>
    </row>
    <row r="31" spans="3:15">
      <c r="C31" s="226" t="s">
        <v>11</v>
      </c>
      <c r="D31" s="227">
        <f t="shared" ref="D31" si="8">D22+D30</f>
        <v>120233</v>
      </c>
      <c r="E31" s="227">
        <f>E22+E30</f>
        <v>130541</v>
      </c>
      <c r="F31" s="227">
        <f>F22+F30</f>
        <v>125820</v>
      </c>
      <c r="G31" s="227">
        <f>G22+G30</f>
        <v>134661</v>
      </c>
      <c r="H31" s="227">
        <f t="shared" ref="H31:L31" ca="1" si="9">H22+H30</f>
        <v>143698.41593265528</v>
      </c>
      <c r="I31" s="227">
        <f t="shared" ca="1" si="9"/>
        <v>153958.32947265531</v>
      </c>
      <c r="J31" s="227">
        <f t="shared" ca="1" si="9"/>
        <v>164939.21390691531</v>
      </c>
      <c r="K31" s="227">
        <f t="shared" ca="1" si="9"/>
        <v>176690.81622713926</v>
      </c>
      <c r="L31" s="227">
        <f t="shared" ca="1" si="9"/>
        <v>189266.31596745862</v>
      </c>
      <c r="N31" s="41" t="s">
        <v>162</v>
      </c>
    </row>
    <row r="32" spans="3:15">
      <c r="C32" s="137" t="s">
        <v>163</v>
      </c>
      <c r="D32" s="197">
        <f>'Base Financials'!H74</f>
        <v>7906</v>
      </c>
      <c r="E32" s="197">
        <f>'Base Financials'!I74</f>
        <v>9038</v>
      </c>
      <c r="F32" s="197">
        <f>'Base Financials'!J74</f>
        <v>10833</v>
      </c>
      <c r="G32" s="197">
        <f>'Base Financials'!K74</f>
        <v>11688</v>
      </c>
      <c r="H32" s="76">
        <f ca="1">G32*(1+H36)</f>
        <v>12389.28</v>
      </c>
      <c r="I32" s="76">
        <f ca="1">H32*(1+I36)</f>
        <v>13244.14032</v>
      </c>
      <c r="J32" s="76">
        <f ca="1">I32*(1+J36)</f>
        <v>14157.986002080001</v>
      </c>
      <c r="K32" s="76">
        <f ca="1">J32*(1+K36)</f>
        <v>15134.887036223519</v>
      </c>
      <c r="L32" s="76">
        <f ca="1">K32*(1+L36)</f>
        <v>16179.194241722942</v>
      </c>
      <c r="N32" s="9" t="s">
        <v>164</v>
      </c>
    </row>
    <row r="33" spans="3:21">
      <c r="C33" s="226" t="s">
        <v>12</v>
      </c>
      <c r="D33" s="227">
        <f t="shared" ref="D33" si="10">SUM(D31:D32)</f>
        <v>128139</v>
      </c>
      <c r="E33" s="227">
        <f>SUM(E31:E32)</f>
        <v>139579</v>
      </c>
      <c r="F33" s="227">
        <f>SUM(F31:F32)</f>
        <v>136653</v>
      </c>
      <c r="G33" s="227">
        <f>SUM(G31:G32)</f>
        <v>146349</v>
      </c>
      <c r="H33" s="227">
        <f t="shared" ref="H33:L33" ca="1" si="11">SUM(H31:H32)</f>
        <v>156087.69593265528</v>
      </c>
      <c r="I33" s="227">
        <f t="shared" ca="1" si="11"/>
        <v>167202.46979265532</v>
      </c>
      <c r="J33" s="227">
        <f t="shared" ca="1" si="11"/>
        <v>179097.1999089953</v>
      </c>
      <c r="K33" s="227">
        <f t="shared" ca="1" si="11"/>
        <v>191825.70326336278</v>
      </c>
      <c r="L33" s="227">
        <f t="shared" ca="1" si="11"/>
        <v>205445.51020918155</v>
      </c>
      <c r="N33" s="41" t="s">
        <v>165</v>
      </c>
    </row>
    <row r="34" spans="3:21">
      <c r="C34" s="70"/>
      <c r="H34" s="139"/>
    </row>
    <row r="35" spans="3:21">
      <c r="C35" s="230" t="s">
        <v>166</v>
      </c>
      <c r="D35" s="231"/>
      <c r="E35" s="231"/>
      <c r="F35" s="231"/>
      <c r="G35" s="231"/>
      <c r="H35" s="231"/>
      <c r="I35" s="231"/>
      <c r="J35" s="231"/>
      <c r="K35" s="231"/>
      <c r="L35" s="232"/>
    </row>
    <row r="36" spans="3:21">
      <c r="C36" s="233" t="s">
        <v>167</v>
      </c>
      <c r="D36" s="234"/>
      <c r="E36" s="234">
        <f>E17/D17-1</f>
        <v>7.7937876041846099E-2</v>
      </c>
      <c r="F36" s="234">
        <f>F17/E17-1</f>
        <v>-2.800460530319937E-2</v>
      </c>
      <c r="G36" s="234">
        <f>G17/F17-1</f>
        <v>2.021994077514111E-2</v>
      </c>
      <c r="H36" s="234">
        <f ca="1">H184</f>
        <v>0.06</v>
      </c>
      <c r="I36" s="234">
        <f t="shared" ref="I36:L36" ca="1" si="12">I184</f>
        <v>6.9000000000000006E-2</v>
      </c>
      <c r="J36" s="234">
        <f t="shared" ca="1" si="12"/>
        <v>6.9000000000000006E-2</v>
      </c>
      <c r="K36" s="234">
        <f t="shared" ca="1" si="12"/>
        <v>6.9000000000000006E-2</v>
      </c>
      <c r="L36" s="235">
        <f t="shared" ca="1" si="12"/>
        <v>6.9000000000000006E-2</v>
      </c>
      <c r="N36" s="9" t="s">
        <v>168</v>
      </c>
      <c r="P36" s="142"/>
      <c r="Q36" s="142"/>
      <c r="R36" s="142"/>
      <c r="S36" s="142"/>
      <c r="T36" s="142"/>
      <c r="U36" s="142"/>
    </row>
    <row r="37" spans="3:21">
      <c r="C37" s="233" t="s">
        <v>169</v>
      </c>
      <c r="D37" s="234">
        <f>D19/D17</f>
        <v>0.41779359625167778</v>
      </c>
      <c r="E37" s="234">
        <f>E19/E17</f>
        <v>0.43309630561360085</v>
      </c>
      <c r="F37" s="234">
        <f>F19/F17</f>
        <v>0.44131129577207562</v>
      </c>
      <c r="G37" s="234">
        <f>G19/G17</f>
        <v>0.46206349815233932</v>
      </c>
      <c r="H37" s="234">
        <f>G37</f>
        <v>0.46206349815233932</v>
      </c>
      <c r="I37" s="234">
        <f t="shared" ref="I37:L37" si="13">H37</f>
        <v>0.46206349815233932</v>
      </c>
      <c r="J37" s="234">
        <f t="shared" si="13"/>
        <v>0.46206349815233932</v>
      </c>
      <c r="K37" s="234">
        <f t="shared" si="13"/>
        <v>0.46206349815233932</v>
      </c>
      <c r="L37" s="235">
        <f t="shared" si="13"/>
        <v>0.46206349815233932</v>
      </c>
      <c r="N37" s="9" t="s">
        <v>170</v>
      </c>
      <c r="P37" s="142"/>
      <c r="Q37" s="142"/>
      <c r="R37" s="142"/>
      <c r="S37" s="142"/>
      <c r="T37" s="142"/>
      <c r="U37" s="142"/>
    </row>
    <row r="38" spans="3:21">
      <c r="C38" s="233" t="s">
        <v>171</v>
      </c>
      <c r="D38" s="234">
        <f>-D20/D17</f>
        <v>5.9904269074427925E-2</v>
      </c>
      <c r="E38" s="234">
        <f>-E20/E17</f>
        <v>6.657148363798665E-2</v>
      </c>
      <c r="F38" s="234">
        <f>-F20/F17</f>
        <v>7.8048971392045086E-2</v>
      </c>
      <c r="G38" s="234">
        <f>-G20/G17</f>
        <v>8.0222997941360744E-2</v>
      </c>
      <c r="H38" s="234">
        <f>G38</f>
        <v>8.0222997941360744E-2</v>
      </c>
      <c r="I38" s="234">
        <f t="shared" ref="I38:L38" si="14">H38</f>
        <v>8.0222997941360744E-2</v>
      </c>
      <c r="J38" s="234">
        <f t="shared" si="14"/>
        <v>8.0222997941360744E-2</v>
      </c>
      <c r="K38" s="234">
        <f t="shared" si="14"/>
        <v>8.0222997941360744E-2</v>
      </c>
      <c r="L38" s="235">
        <f t="shared" si="14"/>
        <v>8.0222997941360744E-2</v>
      </c>
      <c r="N38" s="9" t="s">
        <v>170</v>
      </c>
      <c r="P38" s="142"/>
      <c r="Q38" s="142"/>
      <c r="R38" s="142"/>
      <c r="S38" s="142"/>
      <c r="T38" s="142"/>
      <c r="U38" s="142"/>
    </row>
    <row r="39" spans="3:21">
      <c r="C39" s="233" t="s">
        <v>172</v>
      </c>
      <c r="D39" s="234">
        <f>-D21/D17</f>
        <v>6.006555190163388E-2</v>
      </c>
      <c r="E39" s="234">
        <f>-E21/E17</f>
        <v>6.3637378020328261E-2</v>
      </c>
      <c r="F39" s="234">
        <f>-F21/F17</f>
        <v>6.5048201729783317E-2</v>
      </c>
      <c r="G39" s="234">
        <f>-G21/G17</f>
        <v>6.6738271510222866E-2</v>
      </c>
      <c r="H39" s="234">
        <f>G39</f>
        <v>6.6738271510222866E-2</v>
      </c>
      <c r="I39" s="234">
        <f t="shared" ref="I39:L39" si="15">H39</f>
        <v>6.6738271510222866E-2</v>
      </c>
      <c r="J39" s="234">
        <f t="shared" si="15"/>
        <v>6.6738271510222866E-2</v>
      </c>
      <c r="K39" s="234">
        <f t="shared" si="15"/>
        <v>6.6738271510222866E-2</v>
      </c>
      <c r="L39" s="235">
        <f t="shared" si="15"/>
        <v>6.6738271510222866E-2</v>
      </c>
      <c r="N39" s="9" t="s">
        <v>170</v>
      </c>
      <c r="P39" s="142"/>
      <c r="Q39" s="142"/>
      <c r="R39" s="142"/>
      <c r="S39" s="142"/>
      <c r="T39" s="142"/>
      <c r="U39" s="142"/>
    </row>
    <row r="40" spans="3:21">
      <c r="C40" s="236" t="s">
        <v>173</v>
      </c>
      <c r="D40" s="237">
        <f>-(D27/D26)</f>
        <v>0.13302260844085087</v>
      </c>
      <c r="E40" s="237">
        <f>-(E27/E26)</f>
        <v>0.16204461684424407</v>
      </c>
      <c r="F40" s="237">
        <f>-(F27/F26)</f>
        <v>0.14719174228036858</v>
      </c>
      <c r="G40" s="237">
        <f>-(G27/G26)</f>
        <v>0.24091185164189982</v>
      </c>
      <c r="H40" s="238">
        <v>0.159</v>
      </c>
      <c r="I40" s="238">
        <f t="shared" ref="I40:L40" si="16">H40</f>
        <v>0.159</v>
      </c>
      <c r="J40" s="238">
        <f t="shared" si="16"/>
        <v>0.159</v>
      </c>
      <c r="K40" s="238">
        <f t="shared" si="16"/>
        <v>0.159</v>
      </c>
      <c r="L40" s="239">
        <f t="shared" si="16"/>
        <v>0.159</v>
      </c>
      <c r="N40" s="9" t="s">
        <v>170</v>
      </c>
      <c r="P40" s="142"/>
      <c r="Q40" s="142"/>
      <c r="R40" s="142"/>
      <c r="S40" s="142"/>
      <c r="T40" s="142"/>
      <c r="U40" s="142"/>
    </row>
    <row r="41" spans="3:21">
      <c r="C41" s="70"/>
      <c r="D41" s="70"/>
      <c r="H41" s="139"/>
    </row>
    <row r="42" spans="3:21">
      <c r="C42" s="122" t="s">
        <v>174</v>
      </c>
      <c r="D42" s="122"/>
      <c r="E42" s="143"/>
      <c r="F42" s="143"/>
      <c r="G42" s="143"/>
      <c r="H42" s="123"/>
      <c r="I42" s="123"/>
      <c r="J42" s="123"/>
      <c r="K42" s="123"/>
      <c r="L42" s="123"/>
    </row>
    <row r="43" spans="3:21">
      <c r="C43" s="144" t="str">
        <f>C14</f>
        <v xml:space="preserve">Fiscal year  </v>
      </c>
      <c r="D43" s="145">
        <f t="shared" ref="D43" si="17">D14</f>
        <v>2021</v>
      </c>
      <c r="E43" s="145">
        <f t="shared" ref="E43:L44" si="18">E14</f>
        <v>2022</v>
      </c>
      <c r="F43" s="145">
        <f t="shared" si="18"/>
        <v>2023</v>
      </c>
      <c r="G43" s="145">
        <f t="shared" si="18"/>
        <v>2024</v>
      </c>
      <c r="H43" s="146">
        <f t="shared" si="18"/>
        <v>2025</v>
      </c>
      <c r="I43" s="146">
        <f t="shared" si="18"/>
        <v>2026</v>
      </c>
      <c r="J43" s="146">
        <f t="shared" si="18"/>
        <v>2027</v>
      </c>
      <c r="K43" s="146">
        <f t="shared" si="18"/>
        <v>2028</v>
      </c>
      <c r="L43" s="146">
        <f t="shared" si="18"/>
        <v>2029</v>
      </c>
    </row>
    <row r="44" spans="3:21">
      <c r="C44" s="123" t="str">
        <f>C15</f>
        <v>Fiscal year end date</v>
      </c>
      <c r="D44" s="147">
        <f t="shared" ref="D44" si="19">D15</f>
        <v>44469</v>
      </c>
      <c r="E44" s="147">
        <f t="shared" si="18"/>
        <v>44834</v>
      </c>
      <c r="F44" s="147">
        <f t="shared" si="18"/>
        <v>45199</v>
      </c>
      <c r="G44" s="147">
        <f t="shared" si="18"/>
        <v>45559</v>
      </c>
      <c r="H44" s="147">
        <f t="shared" si="18"/>
        <v>45930</v>
      </c>
      <c r="I44" s="147">
        <f t="shared" si="18"/>
        <v>46295</v>
      </c>
      <c r="J44" s="147">
        <f t="shared" si="18"/>
        <v>46660</v>
      </c>
      <c r="K44" s="147">
        <f t="shared" si="18"/>
        <v>47026</v>
      </c>
      <c r="L44" s="147">
        <f t="shared" si="18"/>
        <v>47391</v>
      </c>
    </row>
    <row r="45" spans="3:21">
      <c r="C45" s="9" t="s">
        <v>175</v>
      </c>
      <c r="D45" s="197">
        <f>'Base Financials'!H35+'Base Financials'!H36+'Base Financials'!H43</f>
        <v>190516</v>
      </c>
      <c r="E45" s="197">
        <f>'Base Financials'!I35+'Base Financials'!I36+'Base Financials'!I43</f>
        <v>169109</v>
      </c>
      <c r="F45" s="197">
        <f>'Base Financials'!J35+'Base Financials'!J36+'Base Financials'!J43</f>
        <v>162099</v>
      </c>
      <c r="G45" s="197">
        <f>'Base Financials'!K35+'Base Financials'!K36+'Base Financials'!K43</f>
        <v>156650</v>
      </c>
      <c r="H45" s="247">
        <f ca="1">+G45+H91</f>
        <v>172281.85134384889</v>
      </c>
      <c r="I45" s="247">
        <f t="shared" ref="I45:L45" ca="1" si="20">+H45+I91</f>
        <v>193497.12374607436</v>
      </c>
      <c r="J45" s="247">
        <f t="shared" ca="1" si="20"/>
        <v>222595.36497176602</v>
      </c>
      <c r="K45" s="247">
        <f t="shared" ca="1" si="20"/>
        <v>260178.95372101193</v>
      </c>
      <c r="L45" s="247">
        <f t="shared" ca="1" si="20"/>
        <v>306892.2459816123</v>
      </c>
      <c r="N45" s="9" t="s">
        <v>176</v>
      </c>
    </row>
    <row r="46" spans="3:21">
      <c r="C46" s="9" t="s">
        <v>15</v>
      </c>
      <c r="D46" s="197">
        <f>'Base Financials'!H37</f>
        <v>26278</v>
      </c>
      <c r="E46" s="197">
        <f>'Base Financials'!I37</f>
        <v>28184</v>
      </c>
      <c r="F46" s="197">
        <f>'Base Financials'!J37</f>
        <v>29508</v>
      </c>
      <c r="G46" s="197">
        <f>'Base Financials'!K37</f>
        <v>66243</v>
      </c>
      <c r="H46" s="76">
        <f ca="1">G46*(1+H36)</f>
        <v>70217.58</v>
      </c>
      <c r="I46" s="76">
        <f ca="1">H46*(1+I36)</f>
        <v>75062.59302</v>
      </c>
      <c r="J46" s="76">
        <f ca="1">I46*(1+J36)</f>
        <v>80241.911938379999</v>
      </c>
      <c r="K46" s="76">
        <f ca="1">J46*(1+K36)</f>
        <v>85778.60386212822</v>
      </c>
      <c r="L46" s="76">
        <f ca="1">K46*(1+L36)</f>
        <v>91697.32752861506</v>
      </c>
      <c r="N46" s="9" t="s">
        <v>177</v>
      </c>
    </row>
    <row r="47" spans="3:21">
      <c r="C47" s="9" t="s">
        <v>16</v>
      </c>
      <c r="D47" s="197">
        <f>'Base Financials'!H38</f>
        <v>6580</v>
      </c>
      <c r="E47" s="197">
        <f>'Base Financials'!I38</f>
        <v>4946</v>
      </c>
      <c r="F47" s="197">
        <f>'Base Financials'!J38</f>
        <v>6331</v>
      </c>
      <c r="G47" s="197">
        <f>'Base Financials'!K38</f>
        <v>7286</v>
      </c>
      <c r="H47" s="76">
        <f ca="1">G47*H18/G18</f>
        <v>7723.1600000000008</v>
      </c>
      <c r="I47" s="76">
        <f ca="1">H47*I18/H18</f>
        <v>8256.0580399999999</v>
      </c>
      <c r="J47" s="76">
        <f ca="1">I47*J18/I18</f>
        <v>8825.7260447600001</v>
      </c>
      <c r="K47" s="76">
        <f ca="1">J47*K18/J18</f>
        <v>9434.7011418484417</v>
      </c>
      <c r="L47" s="76">
        <f ca="1">K47*L18/K18</f>
        <v>10085.695520635982</v>
      </c>
      <c r="N47" s="9" t="s">
        <v>178</v>
      </c>
    </row>
    <row r="48" spans="3:21">
      <c r="C48" s="9" t="s">
        <v>21</v>
      </c>
      <c r="D48" s="197">
        <f>'Base Financials'!H39</f>
        <v>39339</v>
      </c>
      <c r="E48" s="197">
        <f>'Base Financials'!I39</f>
        <v>53971</v>
      </c>
      <c r="F48" s="197">
        <f>'Base Financials'!J39</f>
        <v>46172</v>
      </c>
      <c r="G48" s="197">
        <f>'Base Financials'!K39</f>
        <v>14287</v>
      </c>
      <c r="H48" s="76">
        <f ca="1">G48*(1+H36)</f>
        <v>15144.220000000001</v>
      </c>
      <c r="I48" s="76">
        <f ca="1">H48*(1+I36)</f>
        <v>16189.171180000001</v>
      </c>
      <c r="J48" s="76">
        <f ca="1">I48*(1+J36)</f>
        <v>17306.22399142</v>
      </c>
      <c r="K48" s="76">
        <f ca="1">J48*(1+K36)</f>
        <v>18500.353446827979</v>
      </c>
      <c r="L48" s="76">
        <f ca="1">K48*(1+L36)</f>
        <v>19776.87783465911</v>
      </c>
      <c r="N48" s="9" t="s">
        <v>177</v>
      </c>
      <c r="O48" s="76"/>
    </row>
    <row r="49" spans="3:15">
      <c r="C49" s="9" t="s">
        <v>179</v>
      </c>
      <c r="D49" s="197">
        <f>'Base Financials'!H42</f>
        <v>39440</v>
      </c>
      <c r="E49" s="197">
        <f>'Base Financials'!I42</f>
        <v>42117</v>
      </c>
      <c r="F49" s="197">
        <f>'Base Financials'!J42</f>
        <v>43715</v>
      </c>
      <c r="G49" s="197">
        <f>'Base Financials'!K42</f>
        <v>45680</v>
      </c>
      <c r="H49" s="76">
        <f>H100</f>
        <v>43967.244067344705</v>
      </c>
      <c r="I49" s="76">
        <f t="shared" ref="I49:L49" si="21">I100</f>
        <v>42443.428134689413</v>
      </c>
      <c r="J49" s="76">
        <f t="shared" si="21"/>
        <v>41108.552202034116</v>
      </c>
      <c r="K49" s="76">
        <f t="shared" si="21"/>
        <v>39962.616269378821</v>
      </c>
      <c r="L49" s="76">
        <f t="shared" si="21"/>
        <v>39005.620336723528</v>
      </c>
      <c r="N49" s="9" t="s">
        <v>180</v>
      </c>
    </row>
    <row r="50" spans="3:15">
      <c r="C50" s="9" t="s">
        <v>181</v>
      </c>
      <c r="D50" s="197">
        <f>'Base Financials'!H44</f>
        <v>48849</v>
      </c>
      <c r="E50" s="197">
        <f>'Base Financials'!I44</f>
        <v>54428</v>
      </c>
      <c r="F50" s="197">
        <f>'Base Financials'!J44</f>
        <v>64758</v>
      </c>
      <c r="G50" s="197">
        <f>'Base Financials'!K44</f>
        <v>74834</v>
      </c>
      <c r="H50" s="76">
        <f ca="1">G50*(1+H36)</f>
        <v>79324.040000000008</v>
      </c>
      <c r="I50" s="76">
        <f ca="1">H50*(1+I36)</f>
        <v>84797.398760000011</v>
      </c>
      <c r="J50" s="76">
        <f ca="1">I50*(1+J36)</f>
        <v>90648.419274440006</v>
      </c>
      <c r="K50" s="76">
        <f ca="1">J50*(1+K36)</f>
        <v>96903.160204376356</v>
      </c>
      <c r="L50" s="76">
        <f ca="1">K50*(1+L36)</f>
        <v>103589.47825847832</v>
      </c>
      <c r="N50" s="9" t="s">
        <v>177</v>
      </c>
    </row>
    <row r="51" spans="3:15">
      <c r="C51" s="226" t="s">
        <v>182</v>
      </c>
      <c r="D51" s="227">
        <f t="shared" ref="D51:F51" si="22">SUM(D45:D50)</f>
        <v>351002</v>
      </c>
      <c r="E51" s="227">
        <f t="shared" si="22"/>
        <v>352755</v>
      </c>
      <c r="F51" s="227">
        <f t="shared" si="22"/>
        <v>352583</v>
      </c>
      <c r="G51" s="227">
        <f t="shared" ref="G51:L51" si="23">SUM(G45:G50)</f>
        <v>364980</v>
      </c>
      <c r="H51" s="240">
        <f t="shared" ca="1" si="23"/>
        <v>388658.09541119356</v>
      </c>
      <c r="I51" s="240">
        <f t="shared" ca="1" si="23"/>
        <v>420245.77288076375</v>
      </c>
      <c r="J51" s="240">
        <f t="shared" ca="1" si="23"/>
        <v>460726.19842280017</v>
      </c>
      <c r="K51" s="240">
        <f t="shared" ca="1" si="23"/>
        <v>510758.38864557177</v>
      </c>
      <c r="L51" s="240">
        <f t="shared" ca="1" si="23"/>
        <v>571047.24546072434</v>
      </c>
    </row>
    <row r="52" spans="3:15">
      <c r="C52" s="137"/>
      <c r="D52" s="137"/>
      <c r="E52" s="76"/>
      <c r="F52" s="76"/>
      <c r="G52" s="76"/>
      <c r="H52" s="76"/>
      <c r="I52" s="76"/>
      <c r="J52" s="76"/>
      <c r="K52" s="76"/>
      <c r="L52" s="76"/>
    </row>
    <row r="53" spans="3:15">
      <c r="C53" s="137" t="s">
        <v>17</v>
      </c>
      <c r="D53" s="197">
        <f>'Base Financials'!H47</f>
        <v>54763</v>
      </c>
      <c r="E53" s="197">
        <f>'Base Financials'!I47</f>
        <v>64115</v>
      </c>
      <c r="F53" s="197">
        <f>'Base Financials'!J47</f>
        <v>62611</v>
      </c>
      <c r="G53" s="197">
        <f>'Base Financials'!K47</f>
        <v>68960</v>
      </c>
      <c r="H53" s="76">
        <f ca="1">G53*H18/G18</f>
        <v>73097.600000000006</v>
      </c>
      <c r="I53" s="76">
        <f t="shared" ref="I53:L53" ca="1" si="24">H53*I18/H18</f>
        <v>78141.334399999992</v>
      </c>
      <c r="J53" s="76">
        <f t="shared" ca="1" si="24"/>
        <v>83533.086473599993</v>
      </c>
      <c r="K53" s="76">
        <f t="shared" ca="1" si="24"/>
        <v>89296.869440278402</v>
      </c>
      <c r="L53" s="76">
        <f t="shared" ca="1" si="24"/>
        <v>95458.353431657582</v>
      </c>
      <c r="N53" s="9" t="s">
        <v>178</v>
      </c>
    </row>
    <row r="54" spans="3:15">
      <c r="C54" s="137" t="s">
        <v>183</v>
      </c>
      <c r="D54" s="197">
        <f>'Base Financials'!H49</f>
        <v>47493</v>
      </c>
      <c r="E54" s="197">
        <f>'Base Financials'!I49</f>
        <v>60845</v>
      </c>
      <c r="F54" s="197">
        <f>'Base Financials'!J49</f>
        <v>58829</v>
      </c>
      <c r="G54" s="197">
        <f>'Base Financials'!K49</f>
        <v>78304</v>
      </c>
      <c r="H54" s="76">
        <f ca="1">G54*(1+H36)</f>
        <v>83002.240000000005</v>
      </c>
      <c r="I54" s="76">
        <f t="shared" ref="I54:L54" ca="1" si="25">H54*(1+I36)</f>
        <v>88729.394560000001</v>
      </c>
      <c r="J54" s="76">
        <f t="shared" ca="1" si="25"/>
        <v>94851.722784639991</v>
      </c>
      <c r="K54" s="76">
        <f t="shared" ca="1" si="25"/>
        <v>101396.49165678014</v>
      </c>
      <c r="L54" s="76">
        <f t="shared" ca="1" si="25"/>
        <v>108392.84958109797</v>
      </c>
      <c r="N54" s="9" t="s">
        <v>177</v>
      </c>
    </row>
    <row r="55" spans="3:15">
      <c r="C55" s="137" t="s">
        <v>184</v>
      </c>
      <c r="D55" s="197">
        <f>'Base Financials'!H48</f>
        <v>7612</v>
      </c>
      <c r="E55" s="197">
        <f>'Base Financials'!I48</f>
        <v>7912</v>
      </c>
      <c r="F55" s="197">
        <f>'Base Financials'!J48</f>
        <v>8061</v>
      </c>
      <c r="G55" s="197">
        <f>'Base Financials'!K48</f>
        <v>8249</v>
      </c>
      <c r="H55" s="76">
        <f ca="1">G55*(1+H36)</f>
        <v>8743.94</v>
      </c>
      <c r="I55" s="76">
        <f t="shared" ref="I55:L55" ca="1" si="26">H55*(1+I36)</f>
        <v>9347.2718600000007</v>
      </c>
      <c r="J55" s="76">
        <f t="shared" ca="1" si="26"/>
        <v>9992.2336183400002</v>
      </c>
      <c r="K55" s="76">
        <f t="shared" ca="1" si="26"/>
        <v>10681.69773800546</v>
      </c>
      <c r="L55" s="76">
        <f t="shared" ca="1" si="26"/>
        <v>11418.734881927836</v>
      </c>
      <c r="N55" s="9" t="s">
        <v>177</v>
      </c>
      <c r="O55" s="76"/>
    </row>
    <row r="56" spans="3:15">
      <c r="C56" s="137" t="s">
        <v>185</v>
      </c>
      <c r="D56" s="197">
        <f>'Base Financials'!H50</f>
        <v>6000</v>
      </c>
      <c r="E56" s="197">
        <f>'Base Financials'!I50</f>
        <v>9982</v>
      </c>
      <c r="F56" s="197">
        <f>'Base Financials'!J50</f>
        <v>5985</v>
      </c>
      <c r="G56" s="197">
        <f>'Base Financials'!K50</f>
        <v>9967</v>
      </c>
      <c r="H56" s="76">
        <f ca="1">H136</f>
        <v>12000</v>
      </c>
      <c r="I56" s="76">
        <f ca="1">I136</f>
        <v>12000</v>
      </c>
      <c r="J56" s="76">
        <f ca="1">J136</f>
        <v>12000</v>
      </c>
      <c r="K56" s="76">
        <f ca="1">K136</f>
        <v>12000</v>
      </c>
      <c r="L56" s="76">
        <f ca="1">L136</f>
        <v>12000</v>
      </c>
      <c r="N56" s="9" t="s">
        <v>186</v>
      </c>
    </row>
    <row r="57" spans="3:15">
      <c r="C57" s="137" t="s">
        <v>187</v>
      </c>
      <c r="D57" s="197">
        <f>+'Base Financials'!H51+'Base Financials'!H54</f>
        <v>118719</v>
      </c>
      <c r="E57" s="197">
        <f>+'Base Financials'!I51+'Base Financials'!I54</f>
        <v>110087</v>
      </c>
      <c r="F57" s="197">
        <f>+'Base Financials'!J51+'Base Financials'!J54</f>
        <v>105103</v>
      </c>
      <c r="G57" s="197">
        <f>+'Base Financials'!K51+'Base Financials'!K54</f>
        <v>96662</v>
      </c>
      <c r="H57" s="76">
        <f>G57</f>
        <v>96662</v>
      </c>
      <c r="I57" s="76">
        <f t="shared" ref="I57:L57" si="27">H57</f>
        <v>96662</v>
      </c>
      <c r="J57" s="76">
        <f t="shared" si="27"/>
        <v>96662</v>
      </c>
      <c r="K57" s="76">
        <f t="shared" si="27"/>
        <v>96662</v>
      </c>
      <c r="L57" s="76">
        <f t="shared" si="27"/>
        <v>96662</v>
      </c>
      <c r="N57" s="9" t="s">
        <v>188</v>
      </c>
    </row>
    <row r="58" spans="3:15">
      <c r="C58" s="137" t="s">
        <v>189</v>
      </c>
      <c r="D58" s="197">
        <f>'Base Financials'!H56</f>
        <v>53325</v>
      </c>
      <c r="E58" s="197">
        <f>'Base Financials'!I56</f>
        <v>49142</v>
      </c>
      <c r="F58" s="197">
        <f>'Base Financials'!J56</f>
        <v>49848</v>
      </c>
      <c r="G58" s="197">
        <f>'Base Financials'!K56</f>
        <v>45888</v>
      </c>
      <c r="H58" s="76">
        <f ca="1">G58*(1+H36)</f>
        <v>48641.279999999999</v>
      </c>
      <c r="I58" s="76">
        <f t="shared" ref="I58:L58" ca="1" si="28">H58*(1+I36)</f>
        <v>51997.528319999998</v>
      </c>
      <c r="J58" s="76">
        <f t="shared" ca="1" si="28"/>
        <v>55585.357774079996</v>
      </c>
      <c r="K58" s="76">
        <f t="shared" ca="1" si="28"/>
        <v>59420.747460491511</v>
      </c>
      <c r="L58" s="76">
        <f t="shared" ca="1" si="28"/>
        <v>63520.779035265419</v>
      </c>
      <c r="N58" s="9" t="s">
        <v>177</v>
      </c>
    </row>
    <row r="59" spans="3:15">
      <c r="C59" s="226" t="s">
        <v>190</v>
      </c>
      <c r="D59" s="227">
        <f t="shared" ref="D59:F59" si="29">SUM(D53:D58)</f>
        <v>287912</v>
      </c>
      <c r="E59" s="227">
        <f t="shared" si="29"/>
        <v>302083</v>
      </c>
      <c r="F59" s="227">
        <f t="shared" si="29"/>
        <v>290437</v>
      </c>
      <c r="G59" s="227">
        <f t="shared" ref="G59:L59" si="30">SUM(G53:G58)</f>
        <v>308030</v>
      </c>
      <c r="H59" s="240">
        <f t="shared" ca="1" si="30"/>
        <v>322147.06000000006</v>
      </c>
      <c r="I59" s="240">
        <f t="shared" ca="1" si="30"/>
        <v>336877.52913999994</v>
      </c>
      <c r="J59" s="240">
        <f t="shared" ca="1" si="30"/>
        <v>352624.40065065998</v>
      </c>
      <c r="K59" s="240">
        <f t="shared" ca="1" si="30"/>
        <v>369457.80629555549</v>
      </c>
      <c r="L59" s="240">
        <f t="shared" ca="1" si="30"/>
        <v>387452.71692994883</v>
      </c>
    </row>
    <row r="60" spans="3:15">
      <c r="C60" s="138"/>
      <c r="D60" s="138"/>
      <c r="E60" s="136"/>
      <c r="F60" s="136"/>
      <c r="G60" s="136"/>
      <c r="H60" s="76"/>
      <c r="I60" s="76"/>
      <c r="J60" s="76"/>
      <c r="K60" s="76"/>
      <c r="L60" s="76"/>
    </row>
    <row r="61" spans="3:15">
      <c r="C61" s="137" t="s">
        <v>29</v>
      </c>
      <c r="D61" s="197">
        <f>'Base Financials'!H59</f>
        <v>57365</v>
      </c>
      <c r="E61" s="197">
        <f>'Base Financials'!I59</f>
        <v>64849</v>
      </c>
      <c r="F61" s="197">
        <f>'Base Financials'!J59</f>
        <v>73812</v>
      </c>
      <c r="G61" s="197">
        <f>'Base Financials'!K59</f>
        <v>83276</v>
      </c>
      <c r="H61" s="76">
        <f ca="1">G61+H32</f>
        <v>95665.279999999999</v>
      </c>
      <c r="I61" s="76">
        <f t="shared" ref="I61:L61" ca="1" si="31">H61+I32</f>
        <v>108909.42032</v>
      </c>
      <c r="J61" s="76">
        <f t="shared" ca="1" si="31"/>
        <v>123067.40632208</v>
      </c>
      <c r="K61" s="76">
        <f t="shared" ca="1" si="31"/>
        <v>138202.29335830352</v>
      </c>
      <c r="L61" s="76">
        <f t="shared" ca="1" si="31"/>
        <v>154381.48760002645</v>
      </c>
      <c r="N61" s="9" t="s">
        <v>191</v>
      </c>
    </row>
    <row r="62" spans="3:15">
      <c r="C62" s="137" t="s">
        <v>192</v>
      </c>
      <c r="D62" s="197">
        <f>'Base Financials'!H60</f>
        <v>5562</v>
      </c>
      <c r="E62" s="197">
        <f>'Base Financials'!I60</f>
        <v>-3068</v>
      </c>
      <c r="F62" s="197">
        <f>'Base Financials'!J60</f>
        <v>-214</v>
      </c>
      <c r="G62" s="197">
        <f>'Base Financials'!K60</f>
        <v>-19154</v>
      </c>
      <c r="H62" s="76">
        <f ca="1">H120</f>
        <v>-21982.244588806425</v>
      </c>
      <c r="I62" s="76">
        <f t="shared" ref="I62:L62" ca="1" si="32">I120</f>
        <v>-18369.176579236184</v>
      </c>
      <c r="J62" s="76">
        <f t="shared" ca="1" si="32"/>
        <v>-7793.6085499398177</v>
      </c>
      <c r="K62" s="76">
        <f t="shared" ca="1" si="32"/>
        <v>10270.288991712703</v>
      </c>
      <c r="L62" s="76">
        <f t="shared" ca="1" si="32"/>
        <v>36385.040930749063</v>
      </c>
      <c r="N62" s="9" t="s">
        <v>193</v>
      </c>
      <c r="O62" s="76"/>
    </row>
    <row r="63" spans="3:15">
      <c r="C63" s="137" t="s">
        <v>194</v>
      </c>
      <c r="D63" s="197">
        <f>'Base Financials'!H61</f>
        <v>163</v>
      </c>
      <c r="E63" s="197">
        <f>'Base Financials'!I61</f>
        <v>-11109</v>
      </c>
      <c r="F63" s="197">
        <f>'Base Financials'!J61</f>
        <v>-11452</v>
      </c>
      <c r="G63" s="197">
        <f>'Base Financials'!K61</f>
        <v>-7172</v>
      </c>
      <c r="H63" s="76">
        <f>G63</f>
        <v>-7172</v>
      </c>
      <c r="I63" s="76">
        <f>H63</f>
        <v>-7172</v>
      </c>
      <c r="J63" s="76">
        <f>I63</f>
        <v>-7172</v>
      </c>
      <c r="K63" s="76">
        <f>J63</f>
        <v>-7172</v>
      </c>
      <c r="L63" s="76">
        <f>K63</f>
        <v>-7172</v>
      </c>
      <c r="N63" s="9" t="s">
        <v>188</v>
      </c>
    </row>
    <row r="64" spans="3:15">
      <c r="C64" s="226" t="s">
        <v>195</v>
      </c>
      <c r="D64" s="240">
        <f t="shared" ref="D64:L64" si="33">SUM(D61:D63)</f>
        <v>63090</v>
      </c>
      <c r="E64" s="240">
        <f t="shared" si="33"/>
        <v>50672</v>
      </c>
      <c r="F64" s="240">
        <f t="shared" si="33"/>
        <v>62146</v>
      </c>
      <c r="G64" s="240">
        <f t="shared" si="33"/>
        <v>56950</v>
      </c>
      <c r="H64" s="240">
        <f t="shared" ca="1" si="33"/>
        <v>66511.035411193574</v>
      </c>
      <c r="I64" s="240">
        <f t="shared" ca="1" si="33"/>
        <v>83368.243740763821</v>
      </c>
      <c r="J64" s="240">
        <f t="shared" ca="1" si="33"/>
        <v>108101.79777214018</v>
      </c>
      <c r="K64" s="240">
        <f t="shared" ca="1" si="33"/>
        <v>141300.58235001622</v>
      </c>
      <c r="L64" s="240">
        <f t="shared" ca="1" si="33"/>
        <v>183594.52853077551</v>
      </c>
    </row>
    <row r="65" spans="3:14" ht="5.0999999999999996" customHeight="1">
      <c r="E65" s="76"/>
      <c r="F65" s="76"/>
      <c r="G65" s="76"/>
    </row>
    <row r="66" spans="3:14">
      <c r="C66" s="260" t="s">
        <v>196</v>
      </c>
      <c r="D66" s="261">
        <f>ROUND(D51-D59-D64,3)</f>
        <v>0</v>
      </c>
      <c r="E66" s="261">
        <f>ROUND(E51-E59-E64,3)</f>
        <v>0</v>
      </c>
      <c r="F66" s="261">
        <f>ROUND(F51-F59-F64,3)</f>
        <v>0</v>
      </c>
      <c r="G66" s="261">
        <f t="shared" ref="G66:L66" si="34">ROUND(G51-G59-G64,3)</f>
        <v>0</v>
      </c>
      <c r="H66" s="261">
        <f ca="1">ROUND(H51-H59-H64,3)</f>
        <v>0</v>
      </c>
      <c r="I66" s="261">
        <f t="shared" ca="1" si="34"/>
        <v>0</v>
      </c>
      <c r="J66" s="261">
        <f t="shared" ca="1" si="34"/>
        <v>0</v>
      </c>
      <c r="K66" s="261">
        <f t="shared" ca="1" si="34"/>
        <v>0</v>
      </c>
      <c r="L66" s="261">
        <f t="shared" ca="1" si="34"/>
        <v>0</v>
      </c>
    </row>
    <row r="67" spans="3:14">
      <c r="F67" s="76"/>
      <c r="G67" s="76"/>
      <c r="I67" s="76"/>
      <c r="J67" s="76"/>
      <c r="K67" s="76"/>
      <c r="L67" s="76"/>
    </row>
    <row r="68" spans="3:14">
      <c r="C68" s="122" t="s">
        <v>197</v>
      </c>
      <c r="D68" s="122"/>
      <c r="E68" s="143"/>
      <c r="F68" s="143"/>
      <c r="G68" s="143"/>
      <c r="H68" s="143"/>
      <c r="I68" s="143"/>
      <c r="J68" s="143"/>
      <c r="K68" s="143"/>
      <c r="L68" s="143"/>
    </row>
    <row r="69" spans="3:14">
      <c r="C69" s="144" t="str">
        <f>C14</f>
        <v xml:space="preserve">Fiscal year  </v>
      </c>
      <c r="D69" s="145">
        <f>D43</f>
        <v>2021</v>
      </c>
      <c r="E69" s="145">
        <f t="shared" ref="E69:G69" si="35">E43</f>
        <v>2022</v>
      </c>
      <c r="F69" s="145">
        <f t="shared" si="35"/>
        <v>2023</v>
      </c>
      <c r="G69" s="145">
        <f t="shared" si="35"/>
        <v>2024</v>
      </c>
      <c r="H69" s="146">
        <f t="shared" ref="H69:L70" si="36">H14</f>
        <v>2025</v>
      </c>
      <c r="I69" s="146">
        <f t="shared" si="36"/>
        <v>2026</v>
      </c>
      <c r="J69" s="146">
        <f t="shared" si="36"/>
        <v>2027</v>
      </c>
      <c r="K69" s="146">
        <f t="shared" si="36"/>
        <v>2028</v>
      </c>
      <c r="L69" s="146">
        <f t="shared" si="36"/>
        <v>2029</v>
      </c>
    </row>
    <row r="70" spans="3:14">
      <c r="C70" s="123" t="str">
        <f>C15</f>
        <v>Fiscal year end date</v>
      </c>
      <c r="D70" s="147">
        <f>D44</f>
        <v>44469</v>
      </c>
      <c r="E70" s="147">
        <f t="shared" ref="E70:G70" si="37">E44</f>
        <v>44834</v>
      </c>
      <c r="F70" s="147">
        <f t="shared" si="37"/>
        <v>45199</v>
      </c>
      <c r="G70" s="147">
        <f t="shared" si="37"/>
        <v>45559</v>
      </c>
      <c r="H70" s="147">
        <f t="shared" si="36"/>
        <v>45930</v>
      </c>
      <c r="I70" s="147">
        <f t="shared" si="36"/>
        <v>46295</v>
      </c>
      <c r="J70" s="147">
        <f t="shared" si="36"/>
        <v>46660</v>
      </c>
      <c r="K70" s="147">
        <f t="shared" si="36"/>
        <v>47026</v>
      </c>
      <c r="L70" s="147">
        <f t="shared" si="36"/>
        <v>47391</v>
      </c>
    </row>
    <row r="72" spans="3:14">
      <c r="C72" s="9" t="s">
        <v>18</v>
      </c>
      <c r="E72" s="247">
        <f t="shared" ref="E72:H72" si="38">E28</f>
        <v>99803</v>
      </c>
      <c r="F72" s="247">
        <f t="shared" si="38"/>
        <v>96995</v>
      </c>
      <c r="G72" s="247">
        <f t="shared" si="38"/>
        <v>93736</v>
      </c>
      <c r="H72" s="247">
        <f ca="1">H28</f>
        <v>109997.59406414666</v>
      </c>
      <c r="I72" s="247">
        <f t="shared" ref="I72:L72" ca="1" si="39">I28</f>
        <v>117688.89973433895</v>
      </c>
      <c r="J72" s="247">
        <f t="shared" ca="1" si="39"/>
        <v>126002.53380543328</v>
      </c>
      <c r="K72" s="247">
        <f t="shared" ca="1" si="39"/>
        <v>134944.03918326081</v>
      </c>
      <c r="L72" s="247">
        <f t="shared" ca="1" si="39"/>
        <v>144557.23232220212</v>
      </c>
      <c r="N72" s="9" t="s">
        <v>198</v>
      </c>
    </row>
    <row r="73" spans="3:14">
      <c r="C73" s="9" t="s">
        <v>91</v>
      </c>
      <c r="D73" s="424"/>
      <c r="E73" s="76">
        <f t="shared" ref="E73:G73" si="40">E30</f>
        <v>11104</v>
      </c>
      <c r="F73" s="76">
        <f t="shared" si="40"/>
        <v>11519</v>
      </c>
      <c r="G73" s="76">
        <f t="shared" si="40"/>
        <v>11445</v>
      </c>
      <c r="H73" s="76">
        <f ca="1">H30</f>
        <v>13089.455932655295</v>
      </c>
      <c r="I73" s="76">
        <f t="shared" ref="I73:L73" ca="1" si="41">I30</f>
        <v>14337.351232655294</v>
      </c>
      <c r="J73" s="76">
        <f t="shared" ca="1" si="41"/>
        <v>15684.388168355294</v>
      </c>
      <c r="K73" s="76">
        <f t="shared" ca="1" si="41"/>
        <v>17137.407512618596</v>
      </c>
      <c r="L73" s="76">
        <f t="shared" ca="1" si="41"/>
        <v>18703.722051636061</v>
      </c>
      <c r="N73" s="9" t="s">
        <v>198</v>
      </c>
    </row>
    <row r="74" spans="3:14">
      <c r="C74" s="9" t="s">
        <v>163</v>
      </c>
      <c r="D74" s="424"/>
      <c r="E74" s="76">
        <f t="shared" ref="E74:G74" si="42">E32</f>
        <v>9038</v>
      </c>
      <c r="F74" s="76">
        <f t="shared" si="42"/>
        <v>10833</v>
      </c>
      <c r="G74" s="76">
        <f t="shared" si="42"/>
        <v>11688</v>
      </c>
      <c r="H74" s="76">
        <f ca="1">H32</f>
        <v>12389.28</v>
      </c>
      <c r="I74" s="76">
        <f t="shared" ref="I74:L74" ca="1" si="43">I32</f>
        <v>13244.14032</v>
      </c>
      <c r="J74" s="76">
        <f t="shared" ca="1" si="43"/>
        <v>14157.986002080001</v>
      </c>
      <c r="K74" s="76">
        <f t="shared" ca="1" si="43"/>
        <v>15134.887036223519</v>
      </c>
      <c r="L74" s="76">
        <f t="shared" ca="1" si="43"/>
        <v>16179.194241722942</v>
      </c>
    </row>
    <row r="75" spans="3:14">
      <c r="C75" s="9" t="s">
        <v>199</v>
      </c>
      <c r="D75" s="425"/>
      <c r="E75" s="76">
        <f t="shared" ref="E75:H75" si="44">SUM(D46:D48)-SUM(E46:E48)</f>
        <v>-14904</v>
      </c>
      <c r="F75" s="76">
        <f t="shared" si="44"/>
        <v>5090</v>
      </c>
      <c r="G75" s="76">
        <f t="shared" si="44"/>
        <v>-5805</v>
      </c>
      <c r="H75" s="76">
        <f ca="1">SUM(G46:G48)-SUM(H46:H48)</f>
        <v>-5268.9600000000064</v>
      </c>
      <c r="I75" s="76">
        <f t="shared" ref="I75:L75" ca="1" si="45">SUM(H46:H48)-SUM(I46:I48)</f>
        <v>-6422.8622400000022</v>
      </c>
      <c r="J75" s="76">
        <f t="shared" ca="1" si="45"/>
        <v>-6866.0397345599922</v>
      </c>
      <c r="K75" s="76">
        <f t="shared" ca="1" si="45"/>
        <v>-7339.79647624465</v>
      </c>
      <c r="L75" s="76">
        <f t="shared" ca="1" si="45"/>
        <v>-7846.2424331055081</v>
      </c>
    </row>
    <row r="76" spans="3:14">
      <c r="C76" s="9" t="s">
        <v>200</v>
      </c>
      <c r="D76" s="425"/>
      <c r="E76" s="76">
        <f t="shared" ref="E76:H76" si="46">SUM(E53:E55)-SUM(D53:D55)</f>
        <v>23004</v>
      </c>
      <c r="F76" s="76">
        <f t="shared" si="46"/>
        <v>-3371</v>
      </c>
      <c r="G76" s="76">
        <f t="shared" si="46"/>
        <v>26012</v>
      </c>
      <c r="H76" s="76">
        <f ca="1">SUM(H53:H55)-SUM(G53:G55)</f>
        <v>9330.7800000000279</v>
      </c>
      <c r="I76" s="76">
        <f ca="1">SUM(I53:I55)-SUM(H53:H55)</f>
        <v>11374.220819999959</v>
      </c>
      <c r="J76" s="76">
        <f ca="1">SUM(J53:J55)-SUM(I53:I55)</f>
        <v>12159.042056579987</v>
      </c>
      <c r="K76" s="76">
        <f ca="1">SUM(K53:K55)-SUM(J53:J55)</f>
        <v>12998.015958484029</v>
      </c>
      <c r="L76" s="76">
        <f ca="1">SUM(L53:L55)-SUM(K53:K55)</f>
        <v>13894.879059619387</v>
      </c>
    </row>
    <row r="77" spans="3:14">
      <c r="C77" s="9" t="s">
        <v>181</v>
      </c>
      <c r="D77" s="425"/>
      <c r="E77" s="76">
        <f>-E112</f>
        <v>0</v>
      </c>
      <c r="F77" s="76">
        <f t="shared" ref="E77:H77" si="47">-F112</f>
        <v>0</v>
      </c>
      <c r="G77" s="76">
        <f t="shared" si="47"/>
        <v>0</v>
      </c>
      <c r="H77" s="76">
        <f ca="1">-H112</f>
        <v>-25313.740000000005</v>
      </c>
      <c r="I77" s="76">
        <f t="shared" ref="I77:L77" ca="1" si="48">-I112</f>
        <v>-27733.894060000006</v>
      </c>
      <c r="J77" s="76">
        <f t="shared" ca="1" si="48"/>
        <v>-29647.532750140002</v>
      </c>
      <c r="K77" s="76">
        <f t="shared" ca="1" si="48"/>
        <v>-31693.212509899648</v>
      </c>
      <c r="L77" s="76">
        <f t="shared" ca="1" si="48"/>
        <v>-33880.04417308273</v>
      </c>
      <c r="N77" s="9" t="s">
        <v>201</v>
      </c>
    </row>
    <row r="78" spans="3:14">
      <c r="C78" s="9" t="s">
        <v>189</v>
      </c>
      <c r="D78" s="425"/>
      <c r="E78" s="76">
        <f t="shared" ref="E78:H78" si="49">E58-D58</f>
        <v>-4183</v>
      </c>
      <c r="F78" s="76">
        <f t="shared" si="49"/>
        <v>706</v>
      </c>
      <c r="G78" s="76">
        <f t="shared" si="49"/>
        <v>-3960</v>
      </c>
      <c r="H78" s="76">
        <f ca="1">H58-G58</f>
        <v>2753.2799999999988</v>
      </c>
      <c r="I78" s="76">
        <f t="shared" ref="I78:L78" ca="1" si="50">I58-H58</f>
        <v>3356.2483199999988</v>
      </c>
      <c r="J78" s="76">
        <f t="shared" ca="1" si="50"/>
        <v>3587.829454079998</v>
      </c>
      <c r="K78" s="76">
        <f t="shared" ca="1" si="50"/>
        <v>3835.3896864115159</v>
      </c>
      <c r="L78" s="76">
        <f t="shared" ca="1" si="50"/>
        <v>4100.0315747739078</v>
      </c>
      <c r="N78" s="41"/>
    </row>
    <row r="79" spans="3:14">
      <c r="C79" s="228" t="s">
        <v>202</v>
      </c>
      <c r="D79" s="240"/>
      <c r="E79" s="240">
        <f t="shared" ref="E79:G79" si="51">SUM(E72:E78)</f>
        <v>123862</v>
      </c>
      <c r="F79" s="240">
        <f t="shared" si="51"/>
        <v>121772</v>
      </c>
      <c r="G79" s="240">
        <f t="shared" si="51"/>
        <v>133116</v>
      </c>
      <c r="H79" s="240">
        <f ca="1">SUM(H72:H78)</f>
        <v>116977.68999680197</v>
      </c>
      <c r="I79" s="240">
        <f ca="1">SUM(I72:I78)</f>
        <v>125844.10412699418</v>
      </c>
      <c r="J79" s="240">
        <f ca="1">SUM(J72:J78)</f>
        <v>135078.20700182859</v>
      </c>
      <c r="K79" s="240">
        <f ca="1">SUM(K72:K78)</f>
        <v>145016.73039085421</v>
      </c>
      <c r="L79" s="240">
        <f ca="1">SUM(L72:L78)</f>
        <v>155708.77264376613</v>
      </c>
    </row>
    <row r="80" spans="3:14">
      <c r="H80" s="76"/>
      <c r="I80" s="76"/>
      <c r="J80" s="76"/>
      <c r="K80" s="76"/>
      <c r="L80" s="76"/>
    </row>
    <row r="81" spans="3:14">
      <c r="C81" s="9" t="s">
        <v>203</v>
      </c>
      <c r="D81" s="424"/>
      <c r="E81" s="76">
        <f t="shared" ref="E81:G81" si="52">-(E98)</f>
        <v>10708</v>
      </c>
      <c r="F81" s="76">
        <f t="shared" si="52"/>
        <v>10959</v>
      </c>
      <c r="G81" s="76">
        <f t="shared" si="52"/>
        <v>9447</v>
      </c>
      <c r="H81" s="76">
        <f>-(H98)</f>
        <v>9447</v>
      </c>
      <c r="I81" s="76">
        <f t="shared" ref="I81:L81" si="53">-(I98)</f>
        <v>9447</v>
      </c>
      <c r="J81" s="76">
        <f t="shared" si="53"/>
        <v>9447</v>
      </c>
      <c r="K81" s="76">
        <f t="shared" si="53"/>
        <v>9447</v>
      </c>
      <c r="L81" s="76">
        <f t="shared" si="53"/>
        <v>9447</v>
      </c>
      <c r="N81" s="9" t="s">
        <v>180</v>
      </c>
    </row>
    <row r="82" spans="3:14">
      <c r="C82" s="228" t="s">
        <v>204</v>
      </c>
      <c r="D82" s="240"/>
      <c r="E82" s="240">
        <f t="shared" ref="E82:G82" si="54">IFERROR(E81,"NA")</f>
        <v>10708</v>
      </c>
      <c r="F82" s="240">
        <f t="shared" si="54"/>
        <v>10959</v>
      </c>
      <c r="G82" s="240">
        <f t="shared" si="54"/>
        <v>9447</v>
      </c>
      <c r="H82" s="240">
        <f>IFERROR(H81,"NA")</f>
        <v>9447</v>
      </c>
      <c r="I82" s="240">
        <f>IFERROR(I81,"NA")</f>
        <v>9447</v>
      </c>
      <c r="J82" s="240">
        <f>IFERROR(J81,"NA")</f>
        <v>9447</v>
      </c>
      <c r="K82" s="240">
        <f>IFERROR(K81,"NA")</f>
        <v>9447</v>
      </c>
      <c r="L82" s="240">
        <f>IFERROR(L81,"NA")</f>
        <v>9447</v>
      </c>
    </row>
    <row r="83" spans="3:14">
      <c r="H83" s="76"/>
      <c r="I83" s="76"/>
      <c r="J83" s="76"/>
      <c r="K83" s="76"/>
      <c r="L83" s="76"/>
    </row>
    <row r="84" spans="3:14">
      <c r="C84" s="9" t="s">
        <v>205</v>
      </c>
      <c r="D84" s="424"/>
      <c r="E84" s="247">
        <f t="shared" ref="E84:H84" si="55">E57-D57</f>
        <v>-8632</v>
      </c>
      <c r="F84" s="247">
        <f t="shared" si="55"/>
        <v>-4984</v>
      </c>
      <c r="G84" s="247">
        <f t="shared" si="55"/>
        <v>-8441</v>
      </c>
      <c r="H84" s="247">
        <f>H57-G57</f>
        <v>0</v>
      </c>
      <c r="I84" s="247">
        <f t="shared" ref="I84:L84" si="56">I57-H57</f>
        <v>0</v>
      </c>
      <c r="J84" s="247">
        <f t="shared" si="56"/>
        <v>0</v>
      </c>
      <c r="K84" s="247">
        <f t="shared" si="56"/>
        <v>0</v>
      </c>
      <c r="L84" s="247">
        <f t="shared" si="56"/>
        <v>0</v>
      </c>
    </row>
    <row r="85" spans="3:14">
      <c r="C85" s="9" t="s">
        <v>206</v>
      </c>
      <c r="D85" s="424"/>
      <c r="E85" s="247">
        <f t="shared" ref="E85:H85" si="57">E56-D56</f>
        <v>3982</v>
      </c>
      <c r="F85" s="247">
        <f t="shared" si="57"/>
        <v>-3997</v>
      </c>
      <c r="G85" s="247">
        <f t="shared" si="57"/>
        <v>3982</v>
      </c>
      <c r="H85" s="247">
        <f ca="1">H56-G56</f>
        <v>2033</v>
      </c>
      <c r="I85" s="247">
        <f t="shared" ref="I85:L85" ca="1" si="58">I56-H56</f>
        <v>0</v>
      </c>
      <c r="J85" s="247">
        <f t="shared" ca="1" si="58"/>
        <v>0</v>
      </c>
      <c r="K85" s="247">
        <f t="shared" ca="1" si="58"/>
        <v>0</v>
      </c>
      <c r="L85" s="247">
        <f t="shared" ca="1" si="58"/>
        <v>0</v>
      </c>
      <c r="N85" s="9" t="s">
        <v>207</v>
      </c>
    </row>
    <row r="86" spans="3:14">
      <c r="C86" s="9" t="s">
        <v>208</v>
      </c>
      <c r="D86" s="424"/>
      <c r="E86" s="247">
        <f t="shared" ref="E86:H86" si="59">E119</f>
        <v>0</v>
      </c>
      <c r="F86" s="247">
        <f t="shared" si="59"/>
        <v>0</v>
      </c>
      <c r="G86" s="247">
        <f t="shared" si="59"/>
        <v>-94949</v>
      </c>
      <c r="H86" s="247">
        <f>H119</f>
        <v>-94949</v>
      </c>
      <c r="I86" s="247">
        <f t="shared" ref="I86:L86" si="60">I119</f>
        <v>-94949</v>
      </c>
      <c r="J86" s="247">
        <f t="shared" si="60"/>
        <v>-94949</v>
      </c>
      <c r="K86" s="247">
        <f t="shared" si="60"/>
        <v>-94949</v>
      </c>
      <c r="L86" s="247">
        <f t="shared" si="60"/>
        <v>-94949</v>
      </c>
      <c r="N86" s="9" t="s">
        <v>193</v>
      </c>
    </row>
    <row r="87" spans="3:14">
      <c r="C87" s="9" t="s">
        <v>209</v>
      </c>
      <c r="D87" s="424"/>
      <c r="E87" s="247">
        <f t="shared" ref="E87:H87" si="61">E118</f>
        <v>0</v>
      </c>
      <c r="F87" s="247">
        <f t="shared" si="61"/>
        <v>0</v>
      </c>
      <c r="G87" s="247">
        <f t="shared" si="61"/>
        <v>-15234</v>
      </c>
      <c r="H87" s="247">
        <f ca="1">H118</f>
        <v>-17876.838652953084</v>
      </c>
      <c r="I87" s="247">
        <f t="shared" ref="I87:L88" ca="1" si="62">I118</f>
        <v>-19126.831724768708</v>
      </c>
      <c r="J87" s="247">
        <f t="shared" ca="1" si="62"/>
        <v>-20477.965776136924</v>
      </c>
      <c r="K87" s="247">
        <f t="shared" ca="1" si="62"/>
        <v>-21931.141641608294</v>
      </c>
      <c r="L87" s="247">
        <f t="shared" ca="1" si="62"/>
        <v>-23493.480383165774</v>
      </c>
      <c r="N87" s="9" t="s">
        <v>193</v>
      </c>
    </row>
    <row r="88" spans="3:14">
      <c r="C88" s="9" t="s">
        <v>209</v>
      </c>
      <c r="D88" s="424"/>
      <c r="E88" s="247">
        <f t="shared" ref="E88:H88" si="63">E119</f>
        <v>0</v>
      </c>
      <c r="F88" s="247">
        <f t="shared" si="63"/>
        <v>0</v>
      </c>
      <c r="G88" s="247">
        <f t="shared" si="63"/>
        <v>-94949</v>
      </c>
      <c r="H88" s="247">
        <f>H119</f>
        <v>-94949</v>
      </c>
      <c r="I88" s="247">
        <f t="shared" si="62"/>
        <v>-94949</v>
      </c>
      <c r="J88" s="247">
        <f t="shared" si="62"/>
        <v>-94949</v>
      </c>
      <c r="K88" s="247">
        <f t="shared" si="62"/>
        <v>-94949</v>
      </c>
      <c r="L88" s="247">
        <f t="shared" si="62"/>
        <v>-94949</v>
      </c>
      <c r="N88" s="9" t="s">
        <v>193</v>
      </c>
    </row>
    <row r="89" spans="3:14">
      <c r="C89" s="228" t="s">
        <v>210</v>
      </c>
      <c r="D89" s="240"/>
      <c r="E89" s="240">
        <f t="shared" ref="E89:H89" si="64">SUM(E84:E87)</f>
        <v>-4650</v>
      </c>
      <c r="F89" s="240">
        <f t="shared" si="64"/>
        <v>-8981</v>
      </c>
      <c r="G89" s="240">
        <f t="shared" si="64"/>
        <v>-114642</v>
      </c>
      <c r="H89" s="240">
        <f ca="1">SUM(H84:H87)</f>
        <v>-110792.83865295308</v>
      </c>
      <c r="I89" s="240">
        <f t="shared" ref="I89:L89" ca="1" si="65">SUM(I84:I87)</f>
        <v>-114075.83172476871</v>
      </c>
      <c r="J89" s="240">
        <f t="shared" ca="1" si="65"/>
        <v>-115426.96577613693</v>
      </c>
      <c r="K89" s="240">
        <f t="shared" ca="1" si="65"/>
        <v>-116880.14164160829</v>
      </c>
      <c r="L89" s="240">
        <f t="shared" ca="1" si="65"/>
        <v>-118442.48038316578</v>
      </c>
    </row>
    <row r="90" spans="3:14">
      <c r="H90" s="76"/>
      <c r="I90" s="76"/>
      <c r="J90" s="76"/>
      <c r="K90" s="76"/>
      <c r="L90" s="76"/>
    </row>
    <row r="91" spans="3:14">
      <c r="C91" s="41" t="s">
        <v>211</v>
      </c>
      <c r="D91" s="424"/>
      <c r="E91" s="51">
        <f t="shared" ref="E91:G91" si="66">E79+E82+E89</f>
        <v>129920</v>
      </c>
      <c r="F91" s="51">
        <f t="shared" si="66"/>
        <v>123750</v>
      </c>
      <c r="G91" s="51">
        <f t="shared" si="66"/>
        <v>27921</v>
      </c>
      <c r="H91" s="51">
        <f ca="1">H79+H82+H89</f>
        <v>15631.851343848888</v>
      </c>
      <c r="I91" s="51">
        <f ca="1">I79+I82+I89</f>
        <v>21215.27240222547</v>
      </c>
      <c r="J91" s="51">
        <f ca="1">J79+J82+J89</f>
        <v>29098.241225691658</v>
      </c>
      <c r="K91" s="51">
        <f ca="1">K79+K82+K89</f>
        <v>37583.588749245915</v>
      </c>
      <c r="L91" s="51">
        <f ca="1">L79+L82+L89</f>
        <v>46713.292260600356</v>
      </c>
    </row>
    <row r="93" spans="3:14">
      <c r="C93" s="122" t="s">
        <v>212</v>
      </c>
      <c r="D93" s="122"/>
      <c r="E93" s="123"/>
      <c r="F93" s="123"/>
      <c r="G93" s="123"/>
      <c r="H93" s="123"/>
      <c r="I93" s="123"/>
      <c r="J93" s="123"/>
      <c r="K93" s="123"/>
      <c r="L93" s="123"/>
    </row>
    <row r="94" spans="3:14">
      <c r="C94" s="144" t="str">
        <f>C14</f>
        <v xml:space="preserve">Fiscal year  </v>
      </c>
      <c r="D94" s="144"/>
      <c r="E94" s="145">
        <f>E14</f>
        <v>2022</v>
      </c>
      <c r="F94" s="145">
        <f>F14</f>
        <v>2023</v>
      </c>
      <c r="G94" s="145">
        <f>G14</f>
        <v>2024</v>
      </c>
      <c r="H94" s="146">
        <f>H14</f>
        <v>2025</v>
      </c>
      <c r="I94" s="146">
        <f>I14</f>
        <v>2026</v>
      </c>
      <c r="J94" s="146">
        <f>J14</f>
        <v>2027</v>
      </c>
      <c r="K94" s="146">
        <f>K14</f>
        <v>2028</v>
      </c>
      <c r="L94" s="146">
        <f>L14</f>
        <v>2029</v>
      </c>
    </row>
    <row r="95" spans="3:14">
      <c r="C95" s="123" t="str">
        <f>C15</f>
        <v>Fiscal year end date</v>
      </c>
      <c r="D95" s="123"/>
      <c r="E95" s="147">
        <f>E15</f>
        <v>44834</v>
      </c>
      <c r="F95" s="147">
        <f>F15</f>
        <v>45199</v>
      </c>
      <c r="G95" s="147">
        <f>G15</f>
        <v>45559</v>
      </c>
      <c r="H95" s="147">
        <f>H15</f>
        <v>45930</v>
      </c>
      <c r="I95" s="147">
        <f>I15</f>
        <v>46295</v>
      </c>
      <c r="J95" s="147">
        <f>J15</f>
        <v>46660</v>
      </c>
      <c r="K95" s="147">
        <f>K15</f>
        <v>47026</v>
      </c>
      <c r="L95" s="147">
        <f>L15</f>
        <v>47391</v>
      </c>
    </row>
    <row r="96" spans="3:14">
      <c r="C96" s="41"/>
      <c r="D96" s="41"/>
      <c r="H96" s="149" t="s">
        <v>213</v>
      </c>
      <c r="I96" s="149"/>
      <c r="J96" s="149"/>
      <c r="K96" s="149"/>
      <c r="L96" s="149"/>
    </row>
    <row r="97" spans="3:18">
      <c r="C97" s="137" t="s">
        <v>214</v>
      </c>
      <c r="D97" s="137"/>
      <c r="E97" s="76">
        <f t="shared" ref="E97:G97" si="67">D100</f>
        <v>39440</v>
      </c>
      <c r="F97" s="76">
        <f t="shared" si="67"/>
        <v>42117</v>
      </c>
      <c r="G97" s="76">
        <f t="shared" si="67"/>
        <v>43715</v>
      </c>
      <c r="H97" s="242">
        <f>G100</f>
        <v>45680</v>
      </c>
      <c r="I97" s="242">
        <f>H100</f>
        <v>43967.244067344705</v>
      </c>
      <c r="J97" s="242">
        <f>I100</f>
        <v>42443.428134689413</v>
      </c>
      <c r="K97" s="242">
        <f>J100</f>
        <v>41108.552202034116</v>
      </c>
      <c r="L97" s="242">
        <f>K100</f>
        <v>39962.616269378821</v>
      </c>
      <c r="N97" s="9" t="s">
        <v>215</v>
      </c>
    </row>
    <row r="98" spans="3:18">
      <c r="C98" s="150" t="s">
        <v>216</v>
      </c>
      <c r="D98" s="197">
        <f>'Base Financials'!H88</f>
        <v>-11085</v>
      </c>
      <c r="E98" s="197">
        <f>'Base Financials'!I88</f>
        <v>-10708</v>
      </c>
      <c r="F98" s="197">
        <f>'Base Financials'!J88</f>
        <v>-10959</v>
      </c>
      <c r="G98" s="197">
        <f>'Base Financials'!K88</f>
        <v>-9447</v>
      </c>
      <c r="H98" s="245">
        <f>G98</f>
        <v>-9447</v>
      </c>
      <c r="I98" s="245">
        <f t="shared" ref="I98:L98" si="68">H98</f>
        <v>-9447</v>
      </c>
      <c r="J98" s="245">
        <f t="shared" si="68"/>
        <v>-9447</v>
      </c>
      <c r="K98" s="245">
        <f t="shared" si="68"/>
        <v>-9447</v>
      </c>
      <c r="L98" s="245">
        <f t="shared" si="68"/>
        <v>-9447</v>
      </c>
      <c r="N98" s="9" t="s">
        <v>217</v>
      </c>
    </row>
    <row r="99" spans="3:18">
      <c r="C99" s="151" t="s">
        <v>218</v>
      </c>
      <c r="D99" s="152">
        <v>9500</v>
      </c>
      <c r="E99" s="152">
        <v>8700</v>
      </c>
      <c r="F99" s="152">
        <v>8500</v>
      </c>
      <c r="G99" s="152">
        <v>8200</v>
      </c>
      <c r="H99" s="255">
        <f>-(H102*H98)</f>
        <v>7734.2440673447054</v>
      </c>
      <c r="I99" s="255">
        <f>-(I102*I98)</f>
        <v>7923.1840673447059</v>
      </c>
      <c r="J99" s="255">
        <f>-(J102*J98)</f>
        <v>8112.1240673447055</v>
      </c>
      <c r="K99" s="255">
        <f>-(K102*K98)</f>
        <v>8301.0640673447051</v>
      </c>
      <c r="L99" s="255">
        <f>-(L102*L98)</f>
        <v>8490.0040673447056</v>
      </c>
      <c r="N99" s="9" t="s">
        <v>219</v>
      </c>
    </row>
    <row r="100" spans="3:18">
      <c r="C100" s="154" t="s">
        <v>220</v>
      </c>
      <c r="D100" s="51">
        <f>D49</f>
        <v>39440</v>
      </c>
      <c r="E100" s="51">
        <f>E49</f>
        <v>42117</v>
      </c>
      <c r="F100" s="51">
        <f>F49</f>
        <v>43715</v>
      </c>
      <c r="G100" s="51">
        <f>G49</f>
        <v>45680</v>
      </c>
      <c r="H100" s="51">
        <f>SUM(H97:H99)</f>
        <v>43967.244067344705</v>
      </c>
      <c r="I100" s="51">
        <f>SUM(I97:I99)</f>
        <v>42443.428134689413</v>
      </c>
      <c r="J100" s="51">
        <f>SUM(J97:J99)</f>
        <v>41108.552202034116</v>
      </c>
      <c r="K100" s="51">
        <f>SUM(K97:K99)</f>
        <v>39962.616269378821</v>
      </c>
      <c r="L100" s="51">
        <f>SUM(L97:L99)</f>
        <v>39005.620336723528</v>
      </c>
      <c r="N100" s="9" t="s">
        <v>221</v>
      </c>
    </row>
    <row r="101" spans="3:18">
      <c r="C101" s="137"/>
      <c r="D101" s="137"/>
      <c r="N101" s="140" t="s">
        <v>222</v>
      </c>
    </row>
    <row r="102" spans="3:18">
      <c r="C102" s="137" t="s">
        <v>223</v>
      </c>
      <c r="D102" s="155">
        <f>-(D99/D98)</f>
        <v>0.8570139828597203</v>
      </c>
      <c r="E102" s="155">
        <f>-(E99/E98)</f>
        <v>0.81247665296974225</v>
      </c>
      <c r="F102" s="155">
        <f>-(F99/F98)</f>
        <v>0.7756182133406333</v>
      </c>
      <c r="G102" s="155">
        <f>-(G99/G98)</f>
        <v>0.86800042341484074</v>
      </c>
      <c r="H102" s="252">
        <f>AVERAGE(E102:G102)</f>
        <v>0.81869842990840536</v>
      </c>
      <c r="I102" s="252">
        <f>H102+$N$102</f>
        <v>0.83869842990840537</v>
      </c>
      <c r="J102" s="252">
        <f>I102+$N$102</f>
        <v>0.85869842990840539</v>
      </c>
      <c r="K102" s="252">
        <f>J102+$N$102</f>
        <v>0.87869842990840541</v>
      </c>
      <c r="L102" s="252">
        <f>K102+$N$102</f>
        <v>0.89869842990840543</v>
      </c>
      <c r="N102" s="156">
        <v>0.02</v>
      </c>
      <c r="P102" s="157"/>
      <c r="Q102" s="157"/>
      <c r="R102" s="157"/>
    </row>
    <row r="103" spans="3:18">
      <c r="C103" s="137"/>
      <c r="D103" s="137"/>
      <c r="E103" s="155"/>
      <c r="F103" s="155"/>
      <c r="G103" s="155"/>
      <c r="H103" s="141"/>
      <c r="I103" s="141"/>
      <c r="J103" s="141"/>
      <c r="K103" s="141"/>
      <c r="L103" s="141"/>
      <c r="P103" s="157"/>
      <c r="Q103" s="157"/>
      <c r="R103" s="157"/>
    </row>
    <row r="104" spans="3:18">
      <c r="C104" s="158" t="s">
        <v>224</v>
      </c>
      <c r="D104" s="158"/>
      <c r="E104" s="159"/>
      <c r="F104" s="159"/>
      <c r="G104" s="159"/>
      <c r="H104" s="160"/>
      <c r="I104" s="160"/>
      <c r="J104" s="160"/>
      <c r="K104" s="160"/>
      <c r="L104" s="160"/>
      <c r="P104" s="157"/>
      <c r="Q104" s="157"/>
      <c r="R104" s="157"/>
    </row>
    <row r="105" spans="3:18">
      <c r="C105" s="137" t="s">
        <v>305</v>
      </c>
      <c r="D105" s="76">
        <f t="shared" ref="D105" si="69">D107+D99</f>
        <v>20784</v>
      </c>
      <c r="E105" s="76">
        <f>E107+E99</f>
        <v>19804</v>
      </c>
      <c r="F105" s="76">
        <f>F107+F99</f>
        <v>20019</v>
      </c>
      <c r="G105" s="76">
        <f>G107+G99</f>
        <v>19645</v>
      </c>
      <c r="H105" s="251">
        <f ca="1">H106*H17</f>
        <v>20823.7</v>
      </c>
      <c r="I105" s="251">
        <f ca="1">I106*I17</f>
        <v>22260.5353</v>
      </c>
      <c r="J105" s="251">
        <f ca="1">J106*J17</f>
        <v>23796.5122357</v>
      </c>
      <c r="K105" s="251">
        <f ca="1">K106*K17</f>
        <v>25438.471579963301</v>
      </c>
      <c r="L105" s="251">
        <f ca="1">L106*L17</f>
        <v>27193.726118980765</v>
      </c>
      <c r="N105" s="9" t="s">
        <v>225</v>
      </c>
      <c r="P105" s="157"/>
      <c r="Q105" s="157"/>
      <c r="R105" s="157"/>
    </row>
    <row r="106" spans="3:18">
      <c r="C106" s="70" t="s">
        <v>226</v>
      </c>
      <c r="D106" s="161">
        <f t="shared" ref="D106" si="70">D105/D17</f>
        <v>5.681529289234781E-2</v>
      </c>
      <c r="E106" s="161">
        <f>E105/E17</f>
        <v>5.0222150088251406E-2</v>
      </c>
      <c r="F106" s="161">
        <f>F105/F17</f>
        <v>5.2230063790651864E-2</v>
      </c>
      <c r="G106" s="161">
        <f>G105/G17</f>
        <v>5.0238469702200569E-2</v>
      </c>
      <c r="H106" s="252">
        <f>G106</f>
        <v>5.0238469702200569E-2</v>
      </c>
      <c r="I106" s="252">
        <f>H106</f>
        <v>5.0238469702200569E-2</v>
      </c>
      <c r="J106" s="252">
        <f>I106</f>
        <v>5.0238469702200569E-2</v>
      </c>
      <c r="K106" s="252">
        <f>J106</f>
        <v>5.0238469702200569E-2</v>
      </c>
      <c r="L106" s="252">
        <f>K106</f>
        <v>5.0238469702200569E-2</v>
      </c>
      <c r="N106" s="9" t="s">
        <v>227</v>
      </c>
    </row>
    <row r="107" spans="3:18">
      <c r="C107" s="138" t="s">
        <v>228</v>
      </c>
      <c r="D107" s="51">
        <f t="shared" ref="D107" si="71">D30</f>
        <v>11284</v>
      </c>
      <c r="E107" s="51">
        <f>E30</f>
        <v>11104</v>
      </c>
      <c r="F107" s="51">
        <f>F30</f>
        <v>11519</v>
      </c>
      <c r="G107" s="51">
        <f>G30</f>
        <v>11445</v>
      </c>
      <c r="H107" s="253">
        <f ca="1">-H99+H105</f>
        <v>13089.455932655295</v>
      </c>
      <c r="I107" s="253">
        <f ca="1">-I99+I105</f>
        <v>14337.351232655294</v>
      </c>
      <c r="J107" s="253">
        <f ca="1">-J99+J105</f>
        <v>15684.388168355294</v>
      </c>
      <c r="K107" s="253">
        <f ca="1">-K99+K105</f>
        <v>17137.407512618596</v>
      </c>
      <c r="L107" s="253">
        <f ca="1">-L99+L105</f>
        <v>18703.722051636061</v>
      </c>
      <c r="N107" s="9" t="s">
        <v>229</v>
      </c>
    </row>
    <row r="108" spans="3:18">
      <c r="C108" s="137"/>
      <c r="D108" s="137"/>
      <c r="E108" s="76"/>
      <c r="F108" s="76"/>
      <c r="G108" s="76"/>
      <c r="I108" s="76"/>
      <c r="J108" s="76"/>
      <c r="K108" s="76"/>
      <c r="L108" s="76"/>
    </row>
    <row r="109" spans="3:18">
      <c r="C109" s="162" t="s">
        <v>230</v>
      </c>
      <c r="D109" s="162"/>
      <c r="E109" s="123"/>
      <c r="F109" s="123"/>
      <c r="G109" s="123"/>
      <c r="I109" s="76"/>
      <c r="J109" s="76"/>
      <c r="K109" s="76"/>
      <c r="L109" s="76"/>
    </row>
    <row r="110" spans="3:18">
      <c r="C110" s="137" t="s">
        <v>214</v>
      </c>
      <c r="D110" s="137"/>
      <c r="E110" s="163"/>
      <c r="F110" s="163"/>
      <c r="G110" s="163"/>
      <c r="H110" s="249">
        <f>G113</f>
        <v>74834</v>
      </c>
      <c r="I110" s="249">
        <f ca="1">H113</f>
        <v>79324.040000000008</v>
      </c>
      <c r="J110" s="249">
        <f ca="1">I113</f>
        <v>84797.398760000011</v>
      </c>
      <c r="K110" s="249">
        <f ca="1">J113</f>
        <v>90648.419274440006</v>
      </c>
      <c r="L110" s="249">
        <f ca="1">K113</f>
        <v>96903.160204376356</v>
      </c>
      <c r="N110" s="9" t="s">
        <v>215</v>
      </c>
    </row>
    <row r="111" spans="3:18">
      <c r="C111" s="70" t="s">
        <v>231</v>
      </c>
      <c r="D111" s="70"/>
      <c r="E111" s="76"/>
      <c r="F111" s="76"/>
      <c r="G111" s="76"/>
      <c r="H111" s="242">
        <f ca="1">-(H105)</f>
        <v>-20823.7</v>
      </c>
      <c r="I111" s="242">
        <f ca="1">-(I105)</f>
        <v>-22260.5353</v>
      </c>
      <c r="J111" s="242">
        <f ca="1">-(J105)</f>
        <v>-23796.5122357</v>
      </c>
      <c r="K111" s="242">
        <f ca="1">-(K105)</f>
        <v>-25438.471579963301</v>
      </c>
      <c r="L111" s="242">
        <f ca="1">-(L105)</f>
        <v>-27193.726118980765</v>
      </c>
      <c r="N111" s="9" t="s">
        <v>232</v>
      </c>
    </row>
    <row r="112" spans="3:18">
      <c r="C112" s="164" t="s">
        <v>233</v>
      </c>
      <c r="D112" s="164"/>
      <c r="E112" s="166"/>
      <c r="F112" s="166"/>
      <c r="G112" s="166"/>
      <c r="H112" s="250">
        <f ca="1">H113-H111-H110</f>
        <v>25313.740000000005</v>
      </c>
      <c r="I112" s="250">
        <f ca="1">I113-I111-I110</f>
        <v>27733.894060000006</v>
      </c>
      <c r="J112" s="250">
        <f ca="1">J113-J111-J110</f>
        <v>29647.532750140002</v>
      </c>
      <c r="K112" s="250">
        <f ca="1">K113-K111-K110</f>
        <v>31693.212509899648</v>
      </c>
      <c r="L112" s="250">
        <f ca="1">L113-L111-L110</f>
        <v>33880.04417308273</v>
      </c>
      <c r="N112" s="9" t="s">
        <v>234</v>
      </c>
    </row>
    <row r="113" spans="3:18">
      <c r="C113" s="154" t="s">
        <v>220</v>
      </c>
      <c r="D113" s="51"/>
      <c r="E113" s="51">
        <f t="shared" ref="D113:L113" si="72">E50</f>
        <v>54428</v>
      </c>
      <c r="F113" s="51">
        <f t="shared" si="72"/>
        <v>64758</v>
      </c>
      <c r="G113" s="51">
        <f t="shared" si="72"/>
        <v>74834</v>
      </c>
      <c r="H113" s="51">
        <f t="shared" ca="1" si="72"/>
        <v>79324.040000000008</v>
      </c>
      <c r="I113" s="51">
        <f t="shared" ca="1" si="72"/>
        <v>84797.398760000011</v>
      </c>
      <c r="J113" s="51">
        <f t="shared" ca="1" si="72"/>
        <v>90648.419274440006</v>
      </c>
      <c r="K113" s="51">
        <f t="shared" ca="1" si="72"/>
        <v>96903.160204376356</v>
      </c>
      <c r="L113" s="51">
        <f t="shared" ca="1" si="72"/>
        <v>103589.47825847832</v>
      </c>
      <c r="N113" s="9" t="s">
        <v>235</v>
      </c>
    </row>
    <row r="114" spans="3:18">
      <c r="C114" s="70"/>
      <c r="D114" s="70"/>
      <c r="F114" s="76"/>
      <c r="G114" s="76"/>
      <c r="I114" s="76"/>
      <c r="J114" s="76"/>
      <c r="K114" s="76"/>
      <c r="L114" s="76"/>
    </row>
    <row r="115" spans="3:18">
      <c r="C115" s="167" t="s">
        <v>236</v>
      </c>
      <c r="D115" s="167"/>
      <c r="E115" s="162"/>
      <c r="F115" s="162"/>
      <c r="G115" s="162"/>
      <c r="H115" s="123"/>
      <c r="I115" s="123"/>
      <c r="J115" s="123"/>
      <c r="K115" s="123"/>
      <c r="L115" s="123"/>
    </row>
    <row r="116" spans="3:18">
      <c r="C116" s="137" t="s">
        <v>214</v>
      </c>
      <c r="D116" s="137"/>
      <c r="E116" s="76"/>
      <c r="F116" s="76"/>
      <c r="G116" s="76"/>
      <c r="H116" s="242">
        <f>G120</f>
        <v>-19154</v>
      </c>
      <c r="I116" s="242">
        <f ca="1">H120</f>
        <v>-21982.244588806425</v>
      </c>
      <c r="J116" s="242">
        <f ca="1">I120</f>
        <v>-18369.176579236184</v>
      </c>
      <c r="K116" s="242">
        <f ca="1">J120</f>
        <v>-7793.6085499398177</v>
      </c>
      <c r="L116" s="242">
        <f ca="1">K120</f>
        <v>10270.288991712703</v>
      </c>
      <c r="N116" s="9" t="s">
        <v>215</v>
      </c>
    </row>
    <row r="117" spans="3:18">
      <c r="C117" s="70" t="s">
        <v>237</v>
      </c>
      <c r="D117" s="135"/>
      <c r="E117" s="135"/>
      <c r="F117" s="135"/>
      <c r="G117" s="135">
        <f>G28</f>
        <v>93736</v>
      </c>
      <c r="H117" s="242">
        <f ca="1">H28</f>
        <v>109997.59406414666</v>
      </c>
      <c r="I117" s="242">
        <f ca="1">I28</f>
        <v>117688.89973433895</v>
      </c>
      <c r="J117" s="242">
        <f ca="1">J28</f>
        <v>126002.53380543328</v>
      </c>
      <c r="K117" s="242">
        <f ca="1">K28</f>
        <v>134944.03918326081</v>
      </c>
      <c r="L117" s="242">
        <f ca="1">L28</f>
        <v>144557.23232220212</v>
      </c>
      <c r="N117" s="9" t="s">
        <v>238</v>
      </c>
    </row>
    <row r="118" spans="3:18">
      <c r="C118" s="70" t="s">
        <v>239</v>
      </c>
      <c r="D118" s="197"/>
      <c r="E118" s="197"/>
      <c r="F118" s="197"/>
      <c r="G118" s="197">
        <f>FCF!G43</f>
        <v>-15234</v>
      </c>
      <c r="H118" s="242">
        <f ca="1">H117*G118/G117</f>
        <v>-17876.838652953084</v>
      </c>
      <c r="I118" s="242">
        <f t="shared" ref="I118:L118" ca="1" si="73">I117*H118/H117</f>
        <v>-19126.831724768708</v>
      </c>
      <c r="J118" s="242">
        <f t="shared" ca="1" si="73"/>
        <v>-20477.965776136924</v>
      </c>
      <c r="K118" s="242">
        <f t="shared" ca="1" si="73"/>
        <v>-21931.141641608294</v>
      </c>
      <c r="L118" s="242">
        <f t="shared" ca="1" si="73"/>
        <v>-23493.480383165774</v>
      </c>
      <c r="N118" s="9" t="s">
        <v>240</v>
      </c>
    </row>
    <row r="119" spans="3:18">
      <c r="C119" s="164" t="s">
        <v>241</v>
      </c>
      <c r="D119" s="197"/>
      <c r="E119" s="197"/>
      <c r="F119" s="197"/>
      <c r="G119" s="197">
        <f>'Base Financials'!K99</f>
        <v>-94949</v>
      </c>
      <c r="H119" s="255">
        <f>G119</f>
        <v>-94949</v>
      </c>
      <c r="I119" s="255">
        <f t="shared" ref="I119:L119" si="74">H119</f>
        <v>-94949</v>
      </c>
      <c r="J119" s="255">
        <f t="shared" si="74"/>
        <v>-94949</v>
      </c>
      <c r="K119" s="255">
        <f t="shared" si="74"/>
        <v>-94949</v>
      </c>
      <c r="L119" s="255">
        <f t="shared" si="74"/>
        <v>-94949</v>
      </c>
      <c r="N119" s="9" t="s">
        <v>242</v>
      </c>
    </row>
    <row r="120" spans="3:18">
      <c r="C120" s="154" t="s">
        <v>220</v>
      </c>
      <c r="D120" s="227"/>
      <c r="E120" s="240"/>
      <c r="F120" s="240"/>
      <c r="G120" s="240">
        <f>G62</f>
        <v>-19154</v>
      </c>
      <c r="H120" s="51">
        <f ca="1">SUM(H116:H119)</f>
        <v>-21982.244588806425</v>
      </c>
      <c r="I120" s="51">
        <f ca="1">SUM(I116:I119)</f>
        <v>-18369.176579236184</v>
      </c>
      <c r="J120" s="51">
        <f ca="1">SUM(J116:J119)</f>
        <v>-7793.6085499398177</v>
      </c>
      <c r="K120" s="51">
        <f ca="1">SUM(K116:K119)</f>
        <v>10270.288991712703</v>
      </c>
      <c r="L120" s="51">
        <f ca="1">SUM(L116:L119)</f>
        <v>36385.040930749063</v>
      </c>
      <c r="N120" s="9" t="s">
        <v>243</v>
      </c>
    </row>
    <row r="121" spans="3:18">
      <c r="F121" s="148"/>
      <c r="G121" s="148"/>
    </row>
    <row r="122" spans="3:18">
      <c r="C122" s="122" t="s">
        <v>244</v>
      </c>
      <c r="D122" s="122"/>
      <c r="E122" s="123"/>
      <c r="F122" s="123"/>
      <c r="G122" s="123"/>
      <c r="H122" s="123"/>
      <c r="I122" s="123"/>
      <c r="J122" s="123"/>
      <c r="K122" s="123"/>
      <c r="L122" s="123"/>
      <c r="P122" s="157"/>
      <c r="Q122" s="157"/>
    </row>
    <row r="123" spans="3:18">
      <c r="C123" s="144" t="str">
        <f>C14</f>
        <v xml:space="preserve">Fiscal year  </v>
      </c>
      <c r="D123" s="144"/>
      <c r="E123" s="145">
        <f>E14</f>
        <v>2022</v>
      </c>
      <c r="F123" s="145">
        <f>F14</f>
        <v>2023</v>
      </c>
      <c r="G123" s="145">
        <f>G14</f>
        <v>2024</v>
      </c>
      <c r="H123" s="146">
        <f>H14</f>
        <v>2025</v>
      </c>
      <c r="I123" s="146">
        <f>I14</f>
        <v>2026</v>
      </c>
      <c r="J123" s="146">
        <f>J14</f>
        <v>2027</v>
      </c>
      <c r="K123" s="146">
        <f>K14</f>
        <v>2028</v>
      </c>
      <c r="L123" s="146">
        <f>L14</f>
        <v>2029</v>
      </c>
      <c r="P123" s="157"/>
      <c r="Q123" s="157"/>
    </row>
    <row r="124" spans="3:18">
      <c r="C124" s="123" t="str">
        <f>C15</f>
        <v>Fiscal year end date</v>
      </c>
      <c r="D124" s="123"/>
      <c r="E124" s="147">
        <f>E15</f>
        <v>44834</v>
      </c>
      <c r="F124" s="147">
        <f>F15</f>
        <v>45199</v>
      </c>
      <c r="G124" s="147">
        <f>G15</f>
        <v>45559</v>
      </c>
      <c r="H124" s="147">
        <f>H15</f>
        <v>45930</v>
      </c>
      <c r="I124" s="147">
        <f>I15</f>
        <v>46295</v>
      </c>
      <c r="J124" s="147">
        <f>J15</f>
        <v>46660</v>
      </c>
      <c r="K124" s="147">
        <f>K15</f>
        <v>47026</v>
      </c>
      <c r="L124" s="147">
        <f>L15</f>
        <v>47391</v>
      </c>
      <c r="P124" s="157"/>
      <c r="Q124" s="157"/>
    </row>
    <row r="125" spans="3:18">
      <c r="C125" s="41"/>
      <c r="D125" s="41"/>
      <c r="P125" s="157"/>
      <c r="Q125" s="157"/>
    </row>
    <row r="126" spans="3:18">
      <c r="C126" s="140" t="s">
        <v>245</v>
      </c>
      <c r="D126" s="140"/>
      <c r="P126" s="157"/>
      <c r="Q126" s="157"/>
      <c r="R126" s="157"/>
    </row>
    <row r="127" spans="3:18">
      <c r="C127" s="70" t="s">
        <v>246</v>
      </c>
      <c r="D127" s="70"/>
      <c r="H127" s="242">
        <f>G45</f>
        <v>156650</v>
      </c>
      <c r="I127" s="242">
        <f ca="1">H45</f>
        <v>172281.85134384889</v>
      </c>
      <c r="J127" s="242">
        <f ca="1">I45</f>
        <v>193497.12374607436</v>
      </c>
      <c r="K127" s="242">
        <f ca="1">J45</f>
        <v>222595.36497176602</v>
      </c>
      <c r="L127" s="242">
        <f ca="1">K45</f>
        <v>260178.95372101193</v>
      </c>
      <c r="N127" s="9" t="s">
        <v>247</v>
      </c>
      <c r="P127" s="157"/>
      <c r="Q127" s="157"/>
    </row>
    <row r="128" spans="3:18">
      <c r="C128" s="70" t="s">
        <v>248</v>
      </c>
      <c r="D128" s="70"/>
      <c r="H128" s="254">
        <v>-50000</v>
      </c>
      <c r="I128" s="254">
        <v>-50000</v>
      </c>
      <c r="J128" s="254">
        <v>-50000</v>
      </c>
      <c r="K128" s="254">
        <v>-50000</v>
      </c>
      <c r="L128" s="254">
        <v>-50000</v>
      </c>
      <c r="N128" s="9" t="s">
        <v>249</v>
      </c>
      <c r="P128" s="157"/>
      <c r="Q128" s="157"/>
    </row>
    <row r="129" spans="3:20">
      <c r="C129" s="164" t="s">
        <v>250</v>
      </c>
      <c r="D129" s="164"/>
      <c r="E129" s="165"/>
      <c r="F129" s="165"/>
      <c r="G129" s="165"/>
      <c r="H129" s="255">
        <f ca="1">SUM(H79,H82,H84,H86,H87)</f>
        <v>13598.851343848888</v>
      </c>
      <c r="I129" s="255">
        <f ca="1">SUM(I79,I82,I84,I86,I87)</f>
        <v>21215.27240222547</v>
      </c>
      <c r="J129" s="255">
        <f ca="1">SUM(J79,J82,J84,J86,J87)</f>
        <v>29098.241225691665</v>
      </c>
      <c r="K129" s="255">
        <f ca="1">SUM(K79,K82,K84,K86,K87)</f>
        <v>37583.588749245915</v>
      </c>
      <c r="L129" s="255">
        <f ca="1">SUM(L79,L82,L84,L86,L87)</f>
        <v>46713.292260600356</v>
      </c>
      <c r="N129" s="9" t="s">
        <v>306</v>
      </c>
    </row>
    <row r="130" spans="3:20">
      <c r="C130" s="154" t="s">
        <v>251</v>
      </c>
      <c r="D130" s="154"/>
      <c r="H130" s="51">
        <f ca="1">SUM(H127:H129)</f>
        <v>120248.85134384889</v>
      </c>
      <c r="I130" s="51">
        <f ca="1">SUM(I127:I129)</f>
        <v>143497.12374607436</v>
      </c>
      <c r="J130" s="51">
        <f ca="1">SUM(J127:J129)</f>
        <v>172595.36497176602</v>
      </c>
      <c r="K130" s="51">
        <f ca="1">SUM(K127:K129)</f>
        <v>210178.95372101193</v>
      </c>
      <c r="L130" s="51">
        <f ca="1">SUM(L127:L129)</f>
        <v>256892.2459816123</v>
      </c>
    </row>
    <row r="132" spans="3:20">
      <c r="C132" s="41" t="s">
        <v>252</v>
      </c>
      <c r="D132" s="41"/>
    </row>
    <row r="133" spans="3:20">
      <c r="C133" s="70" t="s">
        <v>214</v>
      </c>
      <c r="D133" s="70"/>
      <c r="H133" s="242">
        <f>G136</f>
        <v>9967</v>
      </c>
      <c r="I133" s="242">
        <f ca="1">H136</f>
        <v>12000</v>
      </c>
      <c r="J133" s="242">
        <f ca="1">I136</f>
        <v>12000</v>
      </c>
      <c r="K133" s="242">
        <f ca="1">J136</f>
        <v>12000</v>
      </c>
      <c r="L133" s="242">
        <f ca="1">K136</f>
        <v>12000</v>
      </c>
      <c r="N133" s="9" t="s">
        <v>215</v>
      </c>
    </row>
    <row r="134" spans="3:20">
      <c r="C134" s="150" t="s">
        <v>253</v>
      </c>
      <c r="D134" s="150"/>
      <c r="H134" s="242">
        <f ca="1">-MIN(H130,H133)</f>
        <v>-9967</v>
      </c>
      <c r="I134" s="242">
        <f ca="1">-MIN(I130,I133)</f>
        <v>-12000</v>
      </c>
      <c r="J134" s="242">
        <f ca="1">-MIN(J130,J133)</f>
        <v>-12000</v>
      </c>
      <c r="K134" s="242">
        <f ca="1">-MIN(K130,K133)</f>
        <v>-12000</v>
      </c>
      <c r="L134" s="242">
        <f ca="1">-MIN(L130,L133)</f>
        <v>-12000</v>
      </c>
      <c r="N134" s="9" t="s">
        <v>254</v>
      </c>
    </row>
    <row r="135" spans="3:20">
      <c r="C135" s="151" t="s">
        <v>255</v>
      </c>
      <c r="D135" s="151"/>
      <c r="E135" s="165"/>
      <c r="F135" s="165"/>
      <c r="G135" s="165"/>
      <c r="H135" s="256">
        <v>12000</v>
      </c>
      <c r="I135" s="256">
        <v>12000</v>
      </c>
      <c r="J135" s="256">
        <v>12000</v>
      </c>
      <c r="K135" s="256">
        <v>12000</v>
      </c>
      <c r="L135" s="256">
        <v>12000</v>
      </c>
      <c r="N135" s="9" t="s">
        <v>249</v>
      </c>
    </row>
    <row r="136" spans="3:20">
      <c r="C136" s="70" t="s">
        <v>220</v>
      </c>
      <c r="D136" s="153"/>
      <c r="E136" s="153">
        <f>E56</f>
        <v>9982</v>
      </c>
      <c r="F136" s="153">
        <f>F56</f>
        <v>5985</v>
      </c>
      <c r="G136" s="153">
        <f>G56</f>
        <v>9967</v>
      </c>
      <c r="H136" s="168">
        <f ca="1">SUM(H133:H135)</f>
        <v>12000</v>
      </c>
      <c r="I136" s="168">
        <f ca="1">SUM(I133:I135)</f>
        <v>12000</v>
      </c>
      <c r="J136" s="168">
        <f ca="1">SUM(J133:J135)</f>
        <v>12000</v>
      </c>
      <c r="K136" s="168">
        <f ca="1">SUM(K133:K135)</f>
        <v>12000</v>
      </c>
      <c r="L136" s="168">
        <f ca="1">SUM(L133:L135)</f>
        <v>12000</v>
      </c>
    </row>
    <row r="137" spans="3:20">
      <c r="C137" s="106" t="s">
        <v>256</v>
      </c>
      <c r="D137" s="107"/>
      <c r="E137" s="169"/>
      <c r="F137" s="169"/>
      <c r="G137" s="170"/>
      <c r="H137" s="171" t="str">
        <f ca="1">IF(H136&lt;0,"Negative Debt","OK")</f>
        <v>OK</v>
      </c>
      <c r="I137" s="171" t="str">
        <f ca="1">IF(I136&lt;0,"Negative Debt","OK")</f>
        <v>OK</v>
      </c>
      <c r="J137" s="171" t="str">
        <f ca="1">IF(J136&lt;0,"Negative Debt","OK")</f>
        <v>OK</v>
      </c>
      <c r="K137" s="171" t="str">
        <f ca="1">IF(K136&lt;0,"Negative Debt","OK")</f>
        <v>OK</v>
      </c>
      <c r="L137" s="171" t="str">
        <f ca="1">IF(L136&lt;0,"Negative Debt","OK")</f>
        <v>OK</v>
      </c>
      <c r="T137" s="148"/>
    </row>
    <row r="138" spans="3:20">
      <c r="E138" s="76"/>
      <c r="F138" s="76"/>
      <c r="G138" s="108"/>
      <c r="H138" s="172"/>
      <c r="I138" s="172"/>
      <c r="J138" s="172"/>
      <c r="K138" s="172"/>
      <c r="L138" s="172"/>
      <c r="T138" s="148"/>
    </row>
    <row r="139" spans="3:20">
      <c r="C139" s="122" t="s">
        <v>257</v>
      </c>
      <c r="D139" s="122"/>
      <c r="E139" s="159"/>
      <c r="F139" s="159"/>
      <c r="G139" s="159"/>
      <c r="H139" s="173"/>
      <c r="I139" s="173"/>
      <c r="J139" s="173"/>
      <c r="K139" s="173"/>
      <c r="L139" s="173"/>
      <c r="S139" s="174"/>
    </row>
    <row r="140" spans="3:20">
      <c r="C140" s="144" t="str">
        <f>C14</f>
        <v xml:space="preserve">Fiscal year  </v>
      </c>
      <c r="D140" s="144"/>
      <c r="E140" s="145">
        <f>E14</f>
        <v>2022</v>
      </c>
      <c r="F140" s="145">
        <f>F14</f>
        <v>2023</v>
      </c>
      <c r="G140" s="145">
        <f>G14</f>
        <v>2024</v>
      </c>
      <c r="H140" s="146">
        <f>H14</f>
        <v>2025</v>
      </c>
      <c r="I140" s="146">
        <f>I14</f>
        <v>2026</v>
      </c>
      <c r="J140" s="146">
        <f>J14</f>
        <v>2027</v>
      </c>
      <c r="K140" s="146">
        <f>K14</f>
        <v>2028</v>
      </c>
      <c r="L140" s="146">
        <f>L14</f>
        <v>2029</v>
      </c>
      <c r="S140" s="174"/>
      <c r="T140" s="148"/>
    </row>
    <row r="141" spans="3:20">
      <c r="C141" s="123" t="str">
        <f>C15</f>
        <v>Fiscal year end date</v>
      </c>
      <c r="D141" s="123"/>
      <c r="E141" s="147">
        <f>E15</f>
        <v>44834</v>
      </c>
      <c r="F141" s="147">
        <f>F15</f>
        <v>45199</v>
      </c>
      <c r="G141" s="147">
        <f>G15</f>
        <v>45559</v>
      </c>
      <c r="H141" s="147">
        <f>H15</f>
        <v>45930</v>
      </c>
      <c r="I141" s="147">
        <f>I15</f>
        <v>46295</v>
      </c>
      <c r="J141" s="147">
        <f>J15</f>
        <v>46660</v>
      </c>
      <c r="K141" s="147">
        <f>K15</f>
        <v>47026</v>
      </c>
      <c r="L141" s="147">
        <f>L15</f>
        <v>47391</v>
      </c>
      <c r="S141" s="174"/>
    </row>
    <row r="142" spans="3:20">
      <c r="C142" s="70"/>
      <c r="D142" s="70"/>
      <c r="E142" s="76"/>
      <c r="F142" s="76"/>
      <c r="G142" s="76"/>
      <c r="H142" s="175"/>
      <c r="I142" s="175"/>
      <c r="J142" s="175"/>
      <c r="K142" s="175"/>
      <c r="L142" s="175"/>
      <c r="S142" s="174"/>
    </row>
    <row r="143" spans="3:20">
      <c r="C143" s="137" t="s">
        <v>258</v>
      </c>
      <c r="D143" s="76">
        <f t="shared" ref="D143" si="75">-(D24)</f>
        <v>2645</v>
      </c>
      <c r="E143" s="76">
        <f>-(E24)</f>
        <v>2931</v>
      </c>
      <c r="F143" s="76">
        <f>-(F24)</f>
        <v>3933</v>
      </c>
      <c r="G143" s="76">
        <f>-(G24)</f>
        <v>515</v>
      </c>
      <c r="H143" s="242">
        <f ca="1">H148+H153</f>
        <v>660.51368014769662</v>
      </c>
      <c r="I143" s="242">
        <f ca="1">I148+I153</f>
        <v>711.33868014769655</v>
      </c>
      <c r="J143" s="242">
        <f ca="1">J148+J153</f>
        <v>711.33868014769655</v>
      </c>
      <c r="K143" s="242">
        <f ca="1">K148+K153</f>
        <v>711.33868014769655</v>
      </c>
      <c r="L143" s="242">
        <f ca="1">L148+L153</f>
        <v>711.33868014769655</v>
      </c>
      <c r="N143" s="9" t="s">
        <v>259</v>
      </c>
      <c r="S143" s="148"/>
    </row>
    <row r="144" spans="3:20">
      <c r="C144" s="176"/>
      <c r="D144" s="176"/>
      <c r="H144" s="248"/>
      <c r="I144" s="248"/>
      <c r="J144" s="248"/>
      <c r="K144" s="248"/>
      <c r="L144" s="248"/>
      <c r="S144" s="148"/>
    </row>
    <row r="145" spans="3:19">
      <c r="C145" s="177" t="s">
        <v>260</v>
      </c>
      <c r="D145" s="177"/>
      <c r="H145" s="248"/>
      <c r="I145" s="248"/>
      <c r="J145" s="248"/>
      <c r="K145" s="248"/>
      <c r="L145" s="248"/>
      <c r="S145" s="148"/>
    </row>
    <row r="146" spans="3:19">
      <c r="C146" s="70" t="s">
        <v>261</v>
      </c>
      <c r="D146" s="182">
        <v>5.9999999999999995E-4</v>
      </c>
      <c r="E146" s="178">
        <v>2.3099999999999999E-2</v>
      </c>
      <c r="F146" s="178">
        <v>5.28E-2</v>
      </c>
      <c r="G146" s="178">
        <v>0.05</v>
      </c>
      <c r="H146" s="257">
        <f>G146</f>
        <v>0.05</v>
      </c>
      <c r="I146" s="257">
        <f>H146</f>
        <v>0.05</v>
      </c>
      <c r="J146" s="257">
        <f>I146</f>
        <v>0.05</v>
      </c>
      <c r="K146" s="257">
        <f>J146</f>
        <v>0.05</v>
      </c>
      <c r="L146" s="257">
        <f>K146</f>
        <v>0.05</v>
      </c>
      <c r="N146" s="9" t="s">
        <v>262</v>
      </c>
    </row>
    <row r="147" spans="3:19">
      <c r="C147" s="70" t="s">
        <v>263</v>
      </c>
      <c r="D147" s="164"/>
      <c r="E147" s="153">
        <f t="shared" ref="E147:L147" si="76">E56</f>
        <v>9982</v>
      </c>
      <c r="F147" s="153">
        <f t="shared" si="76"/>
        <v>5985</v>
      </c>
      <c r="G147" s="153">
        <f t="shared" si="76"/>
        <v>9967</v>
      </c>
      <c r="H147" s="242">
        <f t="shared" ca="1" si="76"/>
        <v>12000</v>
      </c>
      <c r="I147" s="242">
        <f t="shared" ca="1" si="76"/>
        <v>12000</v>
      </c>
      <c r="J147" s="242">
        <f t="shared" ca="1" si="76"/>
        <v>12000</v>
      </c>
      <c r="K147" s="242">
        <f t="shared" ca="1" si="76"/>
        <v>12000</v>
      </c>
      <c r="L147" s="242">
        <f t="shared" ca="1" si="76"/>
        <v>12000</v>
      </c>
      <c r="N147" s="9" t="s">
        <v>264</v>
      </c>
    </row>
    <row r="148" spans="3:19">
      <c r="C148" s="179" t="s">
        <v>265</v>
      </c>
      <c r="D148" s="51"/>
      <c r="E148" s="51">
        <f>AVERAGE(D147:E147)*E146</f>
        <v>230.58419999999998</v>
      </c>
      <c r="F148" s="51">
        <f>AVERAGE(E147:F147)*F146</f>
        <v>421.52879999999999</v>
      </c>
      <c r="G148" s="51">
        <f>AVERAGE(F147:G147)*G146</f>
        <v>398.8</v>
      </c>
      <c r="H148" s="180">
        <f ca="1">IF($D$7=1,AVERAGE(G147,H147)*H146,0)</f>
        <v>549.17500000000007</v>
      </c>
      <c r="I148" s="180">
        <f t="shared" ref="I148:L148" ca="1" si="77">IF($D$7=1,AVERAGE(H147,I147)*I146,0)</f>
        <v>600</v>
      </c>
      <c r="J148" s="180">
        <f t="shared" ca="1" si="77"/>
        <v>600</v>
      </c>
      <c r="K148" s="180">
        <f t="shared" ca="1" si="77"/>
        <v>600</v>
      </c>
      <c r="L148" s="180">
        <f t="shared" ca="1" si="77"/>
        <v>600</v>
      </c>
      <c r="N148" s="9" t="s">
        <v>266</v>
      </c>
    </row>
    <row r="149" spans="3:19">
      <c r="C149" s="181"/>
      <c r="D149" s="181"/>
      <c r="E149" s="76"/>
      <c r="F149" s="76"/>
      <c r="G149" s="76"/>
    </row>
    <row r="150" spans="3:19">
      <c r="C150" s="177" t="s">
        <v>205</v>
      </c>
      <c r="D150" s="177"/>
      <c r="E150" s="76"/>
      <c r="F150" s="76"/>
      <c r="G150" s="76"/>
    </row>
    <row r="151" spans="3:19">
      <c r="C151" s="70" t="s">
        <v>263</v>
      </c>
      <c r="D151" s="76">
        <f>D57</f>
        <v>118719</v>
      </c>
      <c r="E151" s="76">
        <f t="shared" ref="D151:L151" si="78">E57</f>
        <v>110087</v>
      </c>
      <c r="F151" s="76">
        <f t="shared" si="78"/>
        <v>105103</v>
      </c>
      <c r="G151" s="76">
        <f t="shared" si="78"/>
        <v>96662</v>
      </c>
      <c r="H151" s="242">
        <f t="shared" si="78"/>
        <v>96662</v>
      </c>
      <c r="I151" s="242">
        <f t="shared" si="78"/>
        <v>96662</v>
      </c>
      <c r="J151" s="242">
        <f t="shared" si="78"/>
        <v>96662</v>
      </c>
      <c r="K151" s="242">
        <f t="shared" si="78"/>
        <v>96662</v>
      </c>
      <c r="L151" s="242">
        <f t="shared" si="78"/>
        <v>96662</v>
      </c>
      <c r="N151" s="9" t="s">
        <v>207</v>
      </c>
    </row>
    <row r="152" spans="3:19">
      <c r="C152" s="70" t="s">
        <v>261</v>
      </c>
      <c r="D152" s="70"/>
      <c r="E152" s="161">
        <f t="shared" ref="E152:F152" si="79">E153/AVERAGE(D151:E151)</f>
        <v>2.3604414219906823E-2</v>
      </c>
      <c r="F152" s="161">
        <f t="shared" si="79"/>
        <v>3.2636007249407503E-2</v>
      </c>
      <c r="G152" s="161">
        <f>G153/AVERAGE(F151:G151)</f>
        <v>1.1518350556340296E-3</v>
      </c>
      <c r="H152" s="258">
        <f>G152</f>
        <v>1.1518350556340296E-3</v>
      </c>
      <c r="I152" s="258">
        <f>H152</f>
        <v>1.1518350556340296E-3</v>
      </c>
      <c r="J152" s="258">
        <f>I152</f>
        <v>1.1518350556340296E-3</v>
      </c>
      <c r="K152" s="258">
        <f>J152</f>
        <v>1.1518350556340296E-3</v>
      </c>
      <c r="L152" s="258">
        <f>K152</f>
        <v>1.1518350556340296E-3</v>
      </c>
      <c r="N152" s="9" t="s">
        <v>262</v>
      </c>
      <c r="S152" s="174"/>
    </row>
    <row r="153" spans="3:19">
      <c r="C153" s="244" t="s">
        <v>267</v>
      </c>
      <c r="D153" s="244"/>
      <c r="E153" s="240">
        <f t="shared" ref="E153" si="80">E143-E148</f>
        <v>2700.4158000000002</v>
      </c>
      <c r="F153" s="240">
        <f>F143-F148</f>
        <v>3511.4712</v>
      </c>
      <c r="G153" s="240">
        <f>G143-G148</f>
        <v>116.19999999999999</v>
      </c>
      <c r="H153" s="227">
        <f>H152*AVERAGE(G151:H151)</f>
        <v>111.33868014769658</v>
      </c>
      <c r="I153" s="227">
        <f>I152*AVERAGE(H151:I151)</f>
        <v>111.33868014769658</v>
      </c>
      <c r="J153" s="227">
        <f>J152*AVERAGE(I151:J151)</f>
        <v>111.33868014769658</v>
      </c>
      <c r="K153" s="227">
        <f>K152*AVERAGE(J151:K151)</f>
        <v>111.33868014769658</v>
      </c>
      <c r="L153" s="227">
        <f>L152*AVERAGE(K151:L151)</f>
        <v>111.33868014769658</v>
      </c>
      <c r="N153" s="9" t="s">
        <v>268</v>
      </c>
    </row>
    <row r="154" spans="3:19">
      <c r="F154" s="76"/>
    </row>
    <row r="155" spans="3:19">
      <c r="C155" s="176" t="s">
        <v>269</v>
      </c>
      <c r="D155" s="176"/>
      <c r="F155" s="76"/>
      <c r="G155" s="76"/>
    </row>
    <row r="156" spans="3:19">
      <c r="C156" s="70" t="s">
        <v>270</v>
      </c>
      <c r="D156" s="182">
        <v>0.01</v>
      </c>
      <c r="E156" s="178">
        <f>D156</f>
        <v>0.01</v>
      </c>
      <c r="F156" s="178">
        <f>E156</f>
        <v>0.01</v>
      </c>
      <c r="G156" s="178">
        <f>F156</f>
        <v>0.01</v>
      </c>
      <c r="H156" s="259">
        <f>G156</f>
        <v>0.01</v>
      </c>
      <c r="I156" s="259">
        <f>H156</f>
        <v>0.01</v>
      </c>
      <c r="J156" s="259">
        <f>I156</f>
        <v>0.01</v>
      </c>
      <c r="K156" s="259">
        <f>J156</f>
        <v>0.01</v>
      </c>
      <c r="L156" s="259">
        <f>K156</f>
        <v>0.01</v>
      </c>
      <c r="N156" s="9" t="s">
        <v>262</v>
      </c>
    </row>
    <row r="157" spans="3:19">
      <c r="C157" s="70" t="s">
        <v>150</v>
      </c>
      <c r="D157" s="76">
        <f>D23</f>
        <v>2843</v>
      </c>
      <c r="E157" s="76">
        <f>E23</f>
        <v>2825</v>
      </c>
      <c r="F157" s="76">
        <f>F23</f>
        <v>3750</v>
      </c>
      <c r="G157" s="76">
        <f>G23</f>
        <v>1583.29575</v>
      </c>
      <c r="H157" s="251">
        <f ca="1">IF($D$7=1,AVERAGE(G45,H45)*H156,0)</f>
        <v>1644.6592567192442</v>
      </c>
      <c r="I157" s="251">
        <f ca="1">IF($D$7=1,AVERAGE(H45,I45)*I156,0)</f>
        <v>1828.8948754496162</v>
      </c>
      <c r="J157" s="251">
        <f ca="1">IF($D$7=1,AVERAGE(I45,J45)*J156,0)</f>
        <v>2080.4624435892019</v>
      </c>
      <c r="K157" s="251">
        <f ca="1">IF($D$7=1,AVERAGE(J45,K45)*K156,0)</f>
        <v>2413.8715934638899</v>
      </c>
      <c r="L157" s="251">
        <f ca="1">IF($D$7=1,AVERAGE(K45,L45)*L156,0)</f>
        <v>2835.355998513121</v>
      </c>
      <c r="N157" s="9" t="s">
        <v>271</v>
      </c>
    </row>
    <row r="158" spans="3:19">
      <c r="C158" s="184"/>
      <c r="D158" s="184"/>
      <c r="E158" s="161"/>
      <c r="F158" s="161"/>
      <c r="G158" s="161"/>
      <c r="H158" s="161"/>
      <c r="I158" s="161"/>
    </row>
    <row r="159" spans="3:19">
      <c r="C159" s="122" t="s">
        <v>272</v>
      </c>
      <c r="D159" s="122"/>
      <c r="E159" s="122"/>
      <c r="F159" s="122"/>
      <c r="G159" s="122"/>
      <c r="H159" s="122"/>
      <c r="I159" s="122"/>
      <c r="J159" s="122"/>
      <c r="K159" s="122"/>
      <c r="L159" s="122"/>
    </row>
    <row r="160" spans="3:19">
      <c r="C160" s="144"/>
      <c r="D160" s="145">
        <f>D14</f>
        <v>2021</v>
      </c>
      <c r="E160" s="145">
        <f>E14</f>
        <v>2022</v>
      </c>
      <c r="F160" s="145">
        <f>F14</f>
        <v>2023</v>
      </c>
      <c r="G160" s="146">
        <f>G14</f>
        <v>2024</v>
      </c>
      <c r="H160" s="146">
        <f>H14</f>
        <v>2025</v>
      </c>
      <c r="I160" s="146">
        <f>I14</f>
        <v>2026</v>
      </c>
      <c r="J160" s="146">
        <f>J14</f>
        <v>2027</v>
      </c>
      <c r="K160" s="146">
        <f>K14</f>
        <v>2028</v>
      </c>
      <c r="L160" s="146">
        <f>L14</f>
        <v>2029</v>
      </c>
    </row>
    <row r="161" spans="3:14">
      <c r="C161" s="123"/>
      <c r="D161" s="147">
        <f>D15</f>
        <v>44469</v>
      </c>
      <c r="E161" s="147">
        <f>E15</f>
        <v>44834</v>
      </c>
      <c r="F161" s="147">
        <f>F15</f>
        <v>45199</v>
      </c>
      <c r="G161" s="147">
        <f>G15</f>
        <v>45559</v>
      </c>
      <c r="H161" s="147">
        <f>H15</f>
        <v>45930</v>
      </c>
      <c r="I161" s="147">
        <f>I15</f>
        <v>46295</v>
      </c>
      <c r="J161" s="147">
        <f>J15</f>
        <v>46660</v>
      </c>
      <c r="K161" s="147">
        <f>K15</f>
        <v>47026</v>
      </c>
      <c r="L161" s="147">
        <f>L15</f>
        <v>47391</v>
      </c>
    </row>
    <row r="162" spans="3:14">
      <c r="G162" s="142"/>
      <c r="H162" s="142"/>
      <c r="I162" s="142"/>
      <c r="J162" s="141"/>
      <c r="K162" s="141"/>
    </row>
    <row r="163" spans="3:14">
      <c r="C163" s="9" t="s">
        <v>18</v>
      </c>
      <c r="D163" s="76">
        <f t="shared" ref="D163:F163" si="81">D28</f>
        <v>94680</v>
      </c>
      <c r="E163" s="76">
        <f t="shared" si="81"/>
        <v>99803</v>
      </c>
      <c r="F163" s="76">
        <f t="shared" si="81"/>
        <v>96995</v>
      </c>
      <c r="G163" s="76">
        <f>G28</f>
        <v>93736</v>
      </c>
      <c r="H163" s="76">
        <f t="shared" ref="H163:L163" ca="1" si="82">H28</f>
        <v>109997.59406414666</v>
      </c>
      <c r="I163" s="76">
        <f t="shared" ca="1" si="82"/>
        <v>117688.89973433895</v>
      </c>
      <c r="J163" s="76">
        <f t="shared" ca="1" si="82"/>
        <v>126002.53380543328</v>
      </c>
      <c r="K163" s="76">
        <f t="shared" ca="1" si="82"/>
        <v>134944.03918326081</v>
      </c>
      <c r="L163" s="76">
        <f t="shared" ca="1" si="82"/>
        <v>144557.23232220212</v>
      </c>
      <c r="N163" s="9" t="s">
        <v>273</v>
      </c>
    </row>
    <row r="164" spans="3:14">
      <c r="C164" s="9" t="s">
        <v>274</v>
      </c>
      <c r="D164" s="197">
        <f>'Base Financials'!H27</f>
        <v>16701.272000000001</v>
      </c>
      <c r="E164" s="197">
        <f>'Base Financials'!I27</f>
        <v>16215.963</v>
      </c>
      <c r="F164" s="197">
        <f>'Base Financials'!J27</f>
        <v>15744.231</v>
      </c>
      <c r="G164" s="197">
        <f>'Base Financials'!K27</f>
        <v>15343.782999999999</v>
      </c>
      <c r="H164" s="76">
        <f ca="1">G164+(-H170+H171)/H172</f>
        <v>15029.652720721406</v>
      </c>
      <c r="I164" s="76">
        <f t="shared" ref="I164:L164" ca="1" si="83">H164+(-I170+I171)/I172</f>
        <v>14739.091828158345</v>
      </c>
      <c r="J164" s="76">
        <f t="shared" ca="1" si="83"/>
        <v>14470.737530047285</v>
      </c>
      <c r="K164" s="76">
        <f t="shared" ca="1" si="83"/>
        <v>14223.194466687535</v>
      </c>
      <c r="L164" s="76">
        <f t="shared" ca="1" si="83"/>
        <v>13995.136774608254</v>
      </c>
      <c r="N164" s="9" t="s">
        <v>275</v>
      </c>
    </row>
    <row r="165" spans="3:14">
      <c r="C165" s="41" t="s">
        <v>113</v>
      </c>
      <c r="D165" s="185">
        <f t="shared" ref="D165:G165" si="84">D163/D164</f>
        <v>5.6690292811230183</v>
      </c>
      <c r="E165" s="185">
        <f t="shared" si="84"/>
        <v>6.1546144376377772</v>
      </c>
      <c r="F165" s="185">
        <f t="shared" si="84"/>
        <v>6.1606692635543778</v>
      </c>
      <c r="G165" s="185">
        <f t="shared" si="84"/>
        <v>6.1090540709549925</v>
      </c>
      <c r="H165" s="185">
        <f ca="1">H163/H164</f>
        <v>7.3187049699753075</v>
      </c>
      <c r="I165" s="185">
        <f ca="1">I163/I164</f>
        <v>7.9848135221940755</v>
      </c>
      <c r="J165" s="185">
        <f ca="1">J163/J164</f>
        <v>8.70740233825674</v>
      </c>
      <c r="K165" s="185">
        <f ca="1">K163/K164</f>
        <v>9.487604173543172</v>
      </c>
      <c r="L165" s="185">
        <f ca="1">L163/L164</f>
        <v>10.329104649014658</v>
      </c>
      <c r="N165" s="9" t="s">
        <v>276</v>
      </c>
    </row>
    <row r="166" spans="3:14">
      <c r="E166" s="134"/>
      <c r="F166" s="134"/>
      <c r="G166" s="134"/>
      <c r="H166" s="76"/>
    </row>
    <row r="167" spans="3:14">
      <c r="C167" s="9" t="s">
        <v>277</v>
      </c>
      <c r="D167" s="197">
        <f>'Base Financials'!H30</f>
        <v>16864.919000000002</v>
      </c>
      <c r="E167" s="197">
        <f>'Base Financials'!I30</f>
        <v>16325.819</v>
      </c>
      <c r="F167" s="197">
        <f>'Base Financials'!J30</f>
        <v>15812.547</v>
      </c>
      <c r="G167" s="197">
        <f>'Base Financials'!K30</f>
        <v>15408.094999999999</v>
      </c>
      <c r="H167" s="76">
        <f ca="1">H164+G167-G164</f>
        <v>15093.964720721404</v>
      </c>
      <c r="I167" s="76">
        <f t="shared" ref="I167:L167" ca="1" si="85">I164+H167-H164</f>
        <v>14803.403828158345</v>
      </c>
      <c r="J167" s="76">
        <f t="shared" ca="1" si="85"/>
        <v>14535.049530047285</v>
      </c>
      <c r="K167" s="76">
        <f t="shared" ca="1" si="85"/>
        <v>14287.506466687533</v>
      </c>
      <c r="L167" s="76">
        <f t="shared" ca="1" si="85"/>
        <v>14059.448774608252</v>
      </c>
      <c r="N167" s="9" t="s">
        <v>278</v>
      </c>
    </row>
    <row r="168" spans="3:14">
      <c r="C168" s="41" t="s">
        <v>115</v>
      </c>
      <c r="D168" s="185">
        <f>D163/D167</f>
        <v>5.6140204408927188</v>
      </c>
      <c r="E168" s="185">
        <f t="shared" ref="E168:G168" si="86">E163/E167</f>
        <v>6.1132002014722815</v>
      </c>
      <c r="F168" s="185">
        <f t="shared" si="86"/>
        <v>6.1340529138031972</v>
      </c>
      <c r="G168" s="185">
        <f t="shared" si="86"/>
        <v>6.0835554297919376</v>
      </c>
      <c r="H168" s="185">
        <f ca="1">H163/H167</f>
        <v>7.2875216087618773</v>
      </c>
      <c r="I168" s="185">
        <f ca="1">I163/I167</f>
        <v>7.9501242484837578</v>
      </c>
      <c r="J168" s="185">
        <f ca="1">J163/J167</f>
        <v>8.668875434167397</v>
      </c>
      <c r="K168" s="185">
        <f ca="1">K163/K167</f>
        <v>9.4448978551921332</v>
      </c>
      <c r="L168" s="185">
        <f ca="1">L163/L167</f>
        <v>10.281856325923419</v>
      </c>
      <c r="N168" s="9" t="s">
        <v>279</v>
      </c>
    </row>
    <row r="169" spans="3:14">
      <c r="H169" s="186"/>
    </row>
    <row r="170" spans="3:14">
      <c r="C170" s="9" t="s">
        <v>280</v>
      </c>
      <c r="H170" s="76">
        <f>-(H86)</f>
        <v>94949</v>
      </c>
      <c r="I170" s="76">
        <f t="shared" ref="I170:L170" si="87">-(I86)</f>
        <v>94949</v>
      </c>
      <c r="J170" s="76">
        <f t="shared" si="87"/>
        <v>94949</v>
      </c>
      <c r="K170" s="76">
        <f t="shared" si="87"/>
        <v>94949</v>
      </c>
      <c r="L170" s="76">
        <f t="shared" si="87"/>
        <v>94949</v>
      </c>
      <c r="N170" s="9" t="s">
        <v>281</v>
      </c>
    </row>
    <row r="171" spans="3:14">
      <c r="C171" s="9" t="s">
        <v>282</v>
      </c>
      <c r="H171" s="135">
        <f ca="1">H32</f>
        <v>12389.28</v>
      </c>
      <c r="I171" s="135">
        <f t="shared" ref="I171:L171" ca="1" si="88">I32</f>
        <v>13244.14032</v>
      </c>
      <c r="J171" s="135">
        <f t="shared" ca="1" si="88"/>
        <v>14157.986002080001</v>
      </c>
      <c r="K171" s="135">
        <f t="shared" ca="1" si="88"/>
        <v>15134.887036223519</v>
      </c>
      <c r="L171" s="135">
        <f t="shared" ca="1" si="88"/>
        <v>16179.194241722942</v>
      </c>
      <c r="N171" s="9" t="s">
        <v>283</v>
      </c>
    </row>
    <row r="172" spans="3:14">
      <c r="C172" s="9" t="s">
        <v>284</v>
      </c>
      <c r="H172" s="243">
        <f>D8</f>
        <v>262.82</v>
      </c>
      <c r="I172" s="186">
        <f ca="1">H172*(1+I173)</f>
        <v>281.19702881993135</v>
      </c>
      <c r="J172" s="186">
        <f ca="1">I172*(1+J173)</f>
        <v>301.06100243821618</v>
      </c>
      <c r="K172" s="186">
        <f ca="1">J172*(1+K173)</f>
        <v>322.42516465825707</v>
      </c>
      <c r="L172" s="186">
        <f ca="1">K172*(1+L173)</f>
        <v>345.39420722934426</v>
      </c>
      <c r="N172" s="9" t="s">
        <v>285</v>
      </c>
    </row>
    <row r="173" spans="3:14">
      <c r="C173" s="9" t="s">
        <v>286</v>
      </c>
      <c r="I173" s="187">
        <f ca="1">I163/H163-1</f>
        <v>6.992248999289008E-2</v>
      </c>
      <c r="J173" s="187">
        <f t="shared" ref="J173:L173" ca="1" si="89">J163/I163-1</f>
        <v>7.0640766375255737E-2</v>
      </c>
      <c r="K173" s="187">
        <f t="shared" ca="1" si="89"/>
        <v>7.0962901362242148E-2</v>
      </c>
      <c r="L173" s="187">
        <f t="shared" ca="1" si="89"/>
        <v>7.1238368120033035E-2</v>
      </c>
      <c r="N173" s="9" t="s">
        <v>287</v>
      </c>
    </row>
    <row r="174" spans="3:14">
      <c r="N174" s="140" t="s">
        <v>288</v>
      </c>
    </row>
    <row r="175" spans="3:14">
      <c r="C175" s="41" t="s">
        <v>289</v>
      </c>
      <c r="E175" s="41"/>
      <c r="F175" s="41"/>
      <c r="G175" s="188" t="s">
        <v>290</v>
      </c>
      <c r="H175" s="189">
        <f>D11</f>
        <v>4443.2650000000003</v>
      </c>
      <c r="I175" s="51">
        <f ca="1">H177</f>
        <v>4129.1347207214067</v>
      </c>
      <c r="J175" s="51">
        <f t="shared" ref="J175:L175" ca="1" si="90">I177</f>
        <v>3838.5738281583458</v>
      </c>
      <c r="K175" s="51">
        <f t="shared" ca="1" si="90"/>
        <v>3570.2195300472845</v>
      </c>
      <c r="L175" s="51">
        <f t="shared" ca="1" si="90"/>
        <v>3322.6764666875351</v>
      </c>
      <c r="N175" s="9" t="s">
        <v>291</v>
      </c>
    </row>
    <row r="176" spans="3:14">
      <c r="C176" s="9" t="s">
        <v>292</v>
      </c>
      <c r="H176" s="76">
        <f ca="1">(-H170+H171)/H172</f>
        <v>-314.13027927859372</v>
      </c>
      <c r="I176" s="76">
        <f t="shared" ref="I176:L176" ca="1" si="91">(-I170+I171)/I172</f>
        <v>-290.56089256306086</v>
      </c>
      <c r="J176" s="76">
        <f t="shared" ca="1" si="91"/>
        <v>-268.35429811106127</v>
      </c>
      <c r="K176" s="76">
        <f t="shared" ca="1" si="91"/>
        <v>-247.54306335974914</v>
      </c>
      <c r="L176" s="76">
        <f t="shared" ca="1" si="91"/>
        <v>-228.05769207928068</v>
      </c>
      <c r="N176" s="9" t="s">
        <v>293</v>
      </c>
    </row>
    <row r="177" spans="3:14">
      <c r="C177" s="9" t="s">
        <v>294</v>
      </c>
      <c r="H177" s="76">
        <f ca="1">SUM(H175:H176)</f>
        <v>4129.1347207214067</v>
      </c>
      <c r="I177" s="76">
        <f t="shared" ref="I177:L177" ca="1" si="92">SUM(I175:I176)</f>
        <v>3838.5738281583458</v>
      </c>
      <c r="J177" s="76">
        <f t="shared" ca="1" si="92"/>
        <v>3570.2195300472845</v>
      </c>
      <c r="K177" s="76">
        <f t="shared" ca="1" si="92"/>
        <v>3322.6764666875351</v>
      </c>
      <c r="L177" s="76">
        <f t="shared" ca="1" si="92"/>
        <v>3094.6187746082546</v>
      </c>
      <c r="N177" s="9" t="s">
        <v>295</v>
      </c>
    </row>
    <row r="178" spans="3:14">
      <c r="C178" s="41" t="s">
        <v>296</v>
      </c>
      <c r="E178" s="41"/>
      <c r="F178" s="41"/>
      <c r="G178" s="41"/>
      <c r="H178" s="51">
        <f ca="1">AVERAGE(H177,H175)</f>
        <v>4286.1998603607035</v>
      </c>
      <c r="I178" s="51">
        <f t="shared" ref="I178:L178" ca="1" si="93">AVERAGE(I177,I175)</f>
        <v>3983.8542744398765</v>
      </c>
      <c r="J178" s="51">
        <f t="shared" ca="1" si="93"/>
        <v>3704.3966791028151</v>
      </c>
      <c r="K178" s="51">
        <f t="shared" ca="1" si="93"/>
        <v>3446.44799836741</v>
      </c>
      <c r="L178" s="51">
        <f t="shared" ca="1" si="93"/>
        <v>3208.6476206478947</v>
      </c>
      <c r="N178" s="9" t="s">
        <v>297</v>
      </c>
    </row>
    <row r="179" spans="3:14">
      <c r="N179" s="140"/>
    </row>
    <row r="180" spans="3:14">
      <c r="C180" s="122" t="s">
        <v>298</v>
      </c>
      <c r="D180" s="122"/>
      <c r="E180" s="122"/>
      <c r="F180" s="122"/>
      <c r="G180" s="122"/>
      <c r="H180" s="122"/>
      <c r="I180" s="122"/>
      <c r="J180" s="122"/>
      <c r="K180" s="122"/>
      <c r="L180" s="122"/>
    </row>
    <row r="181" spans="3:14" ht="12.75" thickBot="1"/>
    <row r="182" spans="3:14" ht="12.75" thickBot="1">
      <c r="C182" s="9" t="s">
        <v>299</v>
      </c>
      <c r="D182" s="190" t="str">
        <f>L5</f>
        <v>Base case</v>
      </c>
      <c r="G182" s="109" t="s">
        <v>300</v>
      </c>
      <c r="H182" s="146">
        <f>H14</f>
        <v>2025</v>
      </c>
      <c r="I182" s="146">
        <f>I14</f>
        <v>2026</v>
      </c>
      <c r="J182" s="146">
        <f>J14</f>
        <v>2027</v>
      </c>
      <c r="K182" s="146">
        <f>K14</f>
        <v>2028</v>
      </c>
      <c r="L182" s="146">
        <f>L14</f>
        <v>2029</v>
      </c>
    </row>
    <row r="183" spans="3:14">
      <c r="G183" s="110" t="s">
        <v>301</v>
      </c>
      <c r="H183" s="147">
        <f>H15</f>
        <v>45930</v>
      </c>
      <c r="I183" s="147">
        <f>I15</f>
        <v>46295</v>
      </c>
      <c r="J183" s="147">
        <f>J15</f>
        <v>46660</v>
      </c>
      <c r="K183" s="147">
        <f>K15</f>
        <v>47026</v>
      </c>
      <c r="L183" s="147">
        <f>L15</f>
        <v>47391</v>
      </c>
    </row>
    <row r="184" spans="3:14">
      <c r="C184" s="70" t="s">
        <v>167</v>
      </c>
      <c r="G184" s="191" t="str">
        <f ca="1">OFFSET(G$189,MATCH($L$5,$C$190:$C$192,0)+MATCH($C184,$C$189:$C$204,0)-1,0)</f>
        <v>NM</v>
      </c>
      <c r="H184" s="155">
        <f ca="1">OFFSET(H$189,MATCH($L$5,$C$190:$C$192,0)+MATCH($C184,$C$189:$C$204,0)-1,0)</f>
        <v>0.06</v>
      </c>
      <c r="I184" s="155">
        <f ca="1">OFFSET(I$189,MATCH($L$5,$C$190:$C$192,0)+MATCH($C184,$C$189:$C$204,0)-1,0)</f>
        <v>6.9000000000000006E-2</v>
      </c>
      <c r="J184" s="155">
        <f ca="1">OFFSET(J$189,MATCH($L$5,$C$190:$C$192,0)+MATCH($C184,$C$189:$C$204,0)-1,0)</f>
        <v>6.9000000000000006E-2</v>
      </c>
      <c r="K184" s="155">
        <f ca="1">OFFSET(K$189,MATCH($L$5,$C$190:$C$192,0)+MATCH($C184,$C$189:$C$204,0)-1,0)</f>
        <v>6.9000000000000006E-2</v>
      </c>
      <c r="L184" s="155">
        <f ca="1">OFFSET(L$189,MATCH($L$5,$C$190:$C$192,0)+MATCH($C184,$C$189:$C$204,0)-1,0)</f>
        <v>6.9000000000000006E-2</v>
      </c>
    </row>
    <row r="185" spans="3:14">
      <c r="C185" s="70" t="s">
        <v>169</v>
      </c>
      <c r="G185" s="191" t="str">
        <f ca="1">OFFSET(G$189,MATCH($L$5,$C$190:$C$192,0)+MATCH($C185,$C$189:$C$204,0)-1,0)</f>
        <v>NM</v>
      </c>
      <c r="H185" s="155">
        <f ca="1">OFFSET(H$189,MATCH($L$5,$C$190:$C$192,0)+MATCH($C185,$C$189:$C$204,0)-1,0)</f>
        <v>0.378</v>
      </c>
      <c r="I185" s="155">
        <f ca="1">OFFSET(I$189,MATCH($L$5,$C$190:$C$192,0)+MATCH($C185,$C$189:$C$204,0)-1,0)</f>
        <v>0.378</v>
      </c>
      <c r="J185" s="155">
        <f ca="1">OFFSET(J$189,MATCH($L$5,$C$190:$C$192,0)+MATCH($C185,$C$189:$C$204,0)-1,0)</f>
        <v>0.378</v>
      </c>
      <c r="K185" s="155">
        <f ca="1">OFFSET(K$189,MATCH($L$5,$C$190:$C$192,0)+MATCH($C185,$C$189:$C$204,0)-1,0)</f>
        <v>0.378</v>
      </c>
      <c r="L185" s="155">
        <f ca="1">OFFSET(L$189,MATCH($L$5,$C$190:$C$192,0)+MATCH($C185,$C$189:$C$204,0)-1,0)</f>
        <v>0.378</v>
      </c>
    </row>
    <row r="186" spans="3:14">
      <c r="C186" s="70" t="s">
        <v>171</v>
      </c>
      <c r="G186" s="191" t="str">
        <f ca="1">OFFSET(G$189,MATCH($L$5,$C$190:$C$192,0)+MATCH($C186,$C$189:$C$204,0)-1,0)</f>
        <v>NM</v>
      </c>
      <c r="H186" s="155">
        <f ca="1">OFFSET(H$189,MATCH($L$5,$C$190:$C$192,0)+MATCH($C186,$C$189:$C$204,0)-1,0)</f>
        <v>6.2E-2</v>
      </c>
      <c r="I186" s="155">
        <f ca="1">OFFSET(I$189,MATCH($L$5,$C$190:$C$192,0)+MATCH($C186,$C$189:$C$204,0)-1,0)</f>
        <v>6.2E-2</v>
      </c>
      <c r="J186" s="155">
        <f ca="1">OFFSET(J$189,MATCH($L$5,$C$190:$C$192,0)+MATCH($C186,$C$189:$C$204,0)-1,0)</f>
        <v>6.2E-2</v>
      </c>
      <c r="K186" s="155">
        <f ca="1">OFFSET(K$189,MATCH($L$5,$C$190:$C$192,0)+MATCH($C186,$C$189:$C$204,0)-1,0)</f>
        <v>6.2E-2</v>
      </c>
      <c r="L186" s="155">
        <f ca="1">OFFSET(L$189,MATCH($L$5,$C$190:$C$192,0)+MATCH($C186,$C$189:$C$204,0)-1,0)</f>
        <v>6.2E-2</v>
      </c>
    </row>
    <row r="187" spans="3:14">
      <c r="C187" s="70" t="s">
        <v>172</v>
      </c>
      <c r="G187" s="191" t="str">
        <f ca="1">OFFSET(G$189,MATCH($L$5,$C$190:$C$192,0)+MATCH($C187,$C$189:$C$204,0)-1,0)</f>
        <v>NM</v>
      </c>
      <c r="H187" s="155">
        <f ca="1">OFFSET(H$189,MATCH($L$5,$C$190:$C$192,0)+MATCH($C187,$C$189:$C$204,0)-1,0)</f>
        <v>7.0000000000000007E-2</v>
      </c>
      <c r="I187" s="155">
        <f ca="1">OFFSET(I$189,MATCH($L$5,$C$190:$C$192,0)+MATCH($C187,$C$189:$C$204,0)-1,0)</f>
        <v>7.0000000000000007E-2</v>
      </c>
      <c r="J187" s="155">
        <f ca="1">OFFSET(J$189,MATCH($L$5,$C$190:$C$192,0)+MATCH($C187,$C$189:$C$204,0)-1,0)</f>
        <v>7.0000000000000007E-2</v>
      </c>
      <c r="K187" s="155">
        <f ca="1">OFFSET(K$189,MATCH($L$5,$C$190:$C$192,0)+MATCH($C187,$C$189:$C$204,0)-1,0)</f>
        <v>7.0000000000000007E-2</v>
      </c>
      <c r="L187" s="155">
        <f ca="1">OFFSET(L$189,MATCH($L$5,$C$190:$C$192,0)+MATCH($C187,$C$189:$C$204,0)-1,0)</f>
        <v>7.0000000000000007E-2</v>
      </c>
    </row>
    <row r="188" spans="3:14">
      <c r="G188" s="192"/>
    </row>
    <row r="189" spans="3:14">
      <c r="C189" s="154" t="s">
        <v>167</v>
      </c>
      <c r="G189" s="192"/>
    </row>
    <row r="190" spans="3:14">
      <c r="C190" s="181" t="s">
        <v>302</v>
      </c>
      <c r="G190" s="193">
        <v>2.5000000000000001E-2</v>
      </c>
      <c r="H190" s="141">
        <f>H191+$G$190</f>
        <v>8.4999999999999992E-2</v>
      </c>
      <c r="I190" s="141">
        <f t="shared" ref="I190:L190" si="94">I191+$G$190</f>
        <v>9.4E-2</v>
      </c>
      <c r="J190" s="141">
        <f t="shared" si="94"/>
        <v>9.4E-2</v>
      </c>
      <c r="K190" s="141">
        <f t="shared" si="94"/>
        <v>9.4E-2</v>
      </c>
      <c r="L190" s="141">
        <f t="shared" si="94"/>
        <v>9.4E-2</v>
      </c>
    </row>
    <row r="191" spans="3:14">
      <c r="C191" s="181" t="s">
        <v>128</v>
      </c>
      <c r="G191" s="194" t="s">
        <v>303</v>
      </c>
      <c r="H191" s="142">
        <v>0.06</v>
      </c>
      <c r="I191" s="142">
        <v>6.9000000000000006E-2</v>
      </c>
      <c r="J191" s="142">
        <f t="shared" ref="J191:L191" si="95">I191</f>
        <v>6.9000000000000006E-2</v>
      </c>
      <c r="K191" s="142">
        <f t="shared" si="95"/>
        <v>6.9000000000000006E-2</v>
      </c>
      <c r="L191" s="142">
        <f t="shared" si="95"/>
        <v>6.9000000000000006E-2</v>
      </c>
    </row>
    <row r="192" spans="3:14">
      <c r="C192" s="181" t="s">
        <v>304</v>
      </c>
      <c r="G192" s="193">
        <v>-2.5000000000000001E-2</v>
      </c>
      <c r="H192" s="141">
        <f>H191+$G$192</f>
        <v>3.4999999999999996E-2</v>
      </c>
      <c r="I192" s="141">
        <f t="shared" ref="I192:L192" si="96">I191+$G$192</f>
        <v>4.4000000000000004E-2</v>
      </c>
      <c r="J192" s="141">
        <f t="shared" si="96"/>
        <v>4.4000000000000004E-2</v>
      </c>
      <c r="K192" s="141">
        <f t="shared" si="96"/>
        <v>4.4000000000000004E-2</v>
      </c>
      <c r="L192" s="141">
        <f t="shared" si="96"/>
        <v>4.4000000000000004E-2</v>
      </c>
    </row>
    <row r="193" spans="3:12">
      <c r="C193" s="154" t="s">
        <v>169</v>
      </c>
      <c r="G193" s="194"/>
      <c r="H193" s="142"/>
      <c r="I193" s="142"/>
      <c r="J193" s="142"/>
      <c r="K193" s="142"/>
      <c r="L193" s="142"/>
    </row>
    <row r="194" spans="3:12">
      <c r="C194" s="181" t="s">
        <v>302</v>
      </c>
      <c r="G194" s="193">
        <v>0.01</v>
      </c>
      <c r="H194" s="141">
        <f>H195+$G$194</f>
        <v>0.38800000000000001</v>
      </c>
      <c r="I194" s="141">
        <f t="shared" ref="I194:L194" si="97">I195+$G$194</f>
        <v>0.38800000000000001</v>
      </c>
      <c r="J194" s="141">
        <f t="shared" si="97"/>
        <v>0.38800000000000001</v>
      </c>
      <c r="K194" s="141">
        <f t="shared" si="97"/>
        <v>0.38800000000000001</v>
      </c>
      <c r="L194" s="141">
        <f t="shared" si="97"/>
        <v>0.38800000000000001</v>
      </c>
    </row>
    <row r="195" spans="3:12">
      <c r="C195" s="181" t="s">
        <v>128</v>
      </c>
      <c r="G195" s="194" t="s">
        <v>303</v>
      </c>
      <c r="H195" s="142">
        <v>0.378</v>
      </c>
      <c r="I195" s="142">
        <v>0.378</v>
      </c>
      <c r="J195" s="142">
        <v>0.378</v>
      </c>
      <c r="K195" s="142">
        <v>0.378</v>
      </c>
      <c r="L195" s="142">
        <v>0.378</v>
      </c>
    </row>
    <row r="196" spans="3:12">
      <c r="C196" s="181" t="s">
        <v>304</v>
      </c>
      <c r="G196" s="193">
        <v>-0.01</v>
      </c>
      <c r="H196" s="141">
        <f>H195+$G$196</f>
        <v>0.36799999999999999</v>
      </c>
      <c r="I196" s="141">
        <f t="shared" ref="I196:L196" si="98">I195+$G$196</f>
        <v>0.36799999999999999</v>
      </c>
      <c r="J196" s="141">
        <f t="shared" si="98"/>
        <v>0.36799999999999999</v>
      </c>
      <c r="K196" s="141">
        <f t="shared" si="98"/>
        <v>0.36799999999999999</v>
      </c>
      <c r="L196" s="141">
        <f t="shared" si="98"/>
        <v>0.36799999999999999</v>
      </c>
    </row>
    <row r="197" spans="3:12">
      <c r="C197" s="154" t="s">
        <v>171</v>
      </c>
      <c r="G197" s="194"/>
      <c r="H197" s="195"/>
      <c r="I197" s="195"/>
      <c r="J197" s="195"/>
      <c r="K197" s="195"/>
      <c r="L197" s="195"/>
    </row>
    <row r="198" spans="3:12">
      <c r="C198" s="181" t="s">
        <v>302</v>
      </c>
      <c r="G198" s="193">
        <v>-0.01</v>
      </c>
      <c r="H198" s="141">
        <f>H199+$G$198</f>
        <v>5.1999999999999998E-2</v>
      </c>
      <c r="I198" s="141">
        <f t="shared" ref="I198:L198" si="99">I199+$G$198</f>
        <v>5.1999999999999998E-2</v>
      </c>
      <c r="J198" s="141">
        <f t="shared" si="99"/>
        <v>5.1999999999999998E-2</v>
      </c>
      <c r="K198" s="141">
        <f t="shared" si="99"/>
        <v>5.1999999999999998E-2</v>
      </c>
      <c r="L198" s="141">
        <f t="shared" si="99"/>
        <v>5.1999999999999998E-2</v>
      </c>
    </row>
    <row r="199" spans="3:12">
      <c r="C199" s="181" t="s">
        <v>128</v>
      </c>
      <c r="G199" s="194" t="s">
        <v>303</v>
      </c>
      <c r="H199" s="142">
        <v>6.2E-2</v>
      </c>
      <c r="I199" s="142">
        <v>6.2E-2</v>
      </c>
      <c r="J199" s="142">
        <v>6.2E-2</v>
      </c>
      <c r="K199" s="142">
        <v>6.2E-2</v>
      </c>
      <c r="L199" s="142">
        <v>6.2E-2</v>
      </c>
    </row>
    <row r="200" spans="3:12">
      <c r="C200" s="181" t="s">
        <v>304</v>
      </c>
      <c r="G200" s="193">
        <v>0.01</v>
      </c>
      <c r="H200" s="141">
        <f>H199+$G$200</f>
        <v>7.1999999999999995E-2</v>
      </c>
      <c r="I200" s="141">
        <f t="shared" ref="I200:L200" si="100">I199+$G$200</f>
        <v>7.1999999999999995E-2</v>
      </c>
      <c r="J200" s="141">
        <f t="shared" si="100"/>
        <v>7.1999999999999995E-2</v>
      </c>
      <c r="K200" s="141">
        <f t="shared" si="100"/>
        <v>7.1999999999999995E-2</v>
      </c>
      <c r="L200" s="141">
        <f t="shared" si="100"/>
        <v>7.1999999999999995E-2</v>
      </c>
    </row>
    <row r="201" spans="3:12">
      <c r="C201" s="154" t="s">
        <v>172</v>
      </c>
      <c r="G201" s="194"/>
      <c r="H201" s="195"/>
      <c r="I201" s="195"/>
      <c r="J201" s="195"/>
      <c r="K201" s="195"/>
      <c r="L201" s="195"/>
    </row>
    <row r="202" spans="3:12">
      <c r="C202" s="181" t="s">
        <v>302</v>
      </c>
      <c r="G202" s="193">
        <v>-0.01</v>
      </c>
      <c r="H202" s="141">
        <f>H203+$G$202</f>
        <v>6.0000000000000005E-2</v>
      </c>
      <c r="I202" s="141">
        <f t="shared" ref="I202:L202" si="101">I203+$G$202</f>
        <v>6.0000000000000005E-2</v>
      </c>
      <c r="J202" s="141">
        <f t="shared" si="101"/>
        <v>6.0000000000000005E-2</v>
      </c>
      <c r="K202" s="141">
        <f t="shared" si="101"/>
        <v>6.0000000000000005E-2</v>
      </c>
      <c r="L202" s="141">
        <f t="shared" si="101"/>
        <v>6.0000000000000005E-2</v>
      </c>
    </row>
    <row r="203" spans="3:12">
      <c r="C203" s="181" t="s">
        <v>128</v>
      </c>
      <c r="G203" s="194" t="s">
        <v>303</v>
      </c>
      <c r="H203" s="142">
        <v>7.0000000000000007E-2</v>
      </c>
      <c r="I203" s="142">
        <v>7.0000000000000007E-2</v>
      </c>
      <c r="J203" s="142">
        <v>7.0000000000000007E-2</v>
      </c>
      <c r="K203" s="142">
        <v>7.0000000000000007E-2</v>
      </c>
      <c r="L203" s="142">
        <v>7.0000000000000007E-2</v>
      </c>
    </row>
    <row r="204" spans="3:12" ht="12.75" thickBot="1">
      <c r="C204" s="181" t="s">
        <v>304</v>
      </c>
      <c r="G204" s="196">
        <v>0.01</v>
      </c>
      <c r="H204" s="141">
        <f>H203+$G$204</f>
        <v>0.08</v>
      </c>
      <c r="I204" s="141">
        <f t="shared" ref="I204:L204" si="102">I203+$G$204</f>
        <v>0.08</v>
      </c>
      <c r="J204" s="141">
        <f t="shared" si="102"/>
        <v>0.08</v>
      </c>
      <c r="K204" s="141">
        <f t="shared" si="102"/>
        <v>0.08</v>
      </c>
      <c r="L204" s="141">
        <f t="shared" si="102"/>
        <v>0.08</v>
      </c>
    </row>
  </sheetData>
  <conditionalFormatting sqref="C187">
    <cfRule type="expression" dxfId="4" priority="1">
      <formula>#REF!=$C187</formula>
    </cfRule>
  </conditionalFormatting>
  <conditionalFormatting sqref="C201">
    <cfRule type="expression" dxfId="3" priority="2">
      <formula>#REF!=$C201</formula>
    </cfRule>
  </conditionalFormatting>
  <conditionalFormatting sqref="C39:D39">
    <cfRule type="expression" dxfId="2" priority="3">
      <formula>#REF!=$C39</formula>
    </cfRule>
  </conditionalFormatting>
  <dataValidations count="3">
    <dataValidation type="list" allowBlank="1" showInputMessage="1" showErrorMessage="1" sqref="L5" xr:uid="{316BE8D0-5F80-4150-9F8E-D688FDB5F6FA}">
      <formula1>$C$190:$C$192</formula1>
    </dataValidation>
    <dataValidation type="list" allowBlank="1" showInputMessage="1" showErrorMessage="1" sqref="D7" xr:uid="{8FB3E4E8-6631-4284-8CF7-9D27DFB216D8}">
      <formula1>"0,1"</formula1>
    </dataValidation>
    <dataValidation type="list" allowBlank="1" showInputMessage="1" showErrorMessage="1" sqref="C3" xr:uid="{546FCFF0-46AD-42A0-9C58-8911EAA87FA4}">
      <formula1>"$ bns except per share, $ mm except per share,$ in thousands except per share"</formula1>
    </dataValidation>
  </dataValidations>
  <pageMargins left="0.7" right="0.7" top="0.75" bottom="0.75" header="0.3" footer="0.3"/>
  <ignoredErrors>
    <ignoredError sqref="H26:L28 H73:L74 H51:L55 C116 C118 C117 I117:L117 H57:L61 I56:L56 H164:L168 I66:L66 H63:L65 I62:L62 C120 C119 H119:L119 I120:L120 H116:L116 G118:L118 G117 H79:L79 I75:L78" evalError="1"/>
    <ignoredError sqref="G22:L22 G24:L24 G23" formula="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968B-CCEC-4CB8-9F6E-68FBD68798A3}">
  <sheetPr>
    <tabColor theme="4" tint="0.39997558519241921"/>
  </sheetPr>
  <dimension ref="B1:Q132"/>
  <sheetViews>
    <sheetView showGridLines="0" zoomScale="115" zoomScaleNormal="115" workbookViewId="0">
      <selection activeCell="C68" sqref="C68"/>
    </sheetView>
  </sheetViews>
  <sheetFormatPr defaultColWidth="8" defaultRowHeight="12"/>
  <cols>
    <col min="1" max="1" width="1.25" style="9" customWidth="1"/>
    <col min="2" max="2" width="47.625" style="9" customWidth="1"/>
    <col min="3" max="3" width="11.75" style="9" customWidth="1"/>
    <col min="4" max="9" width="11.125" style="9" customWidth="1"/>
    <col min="10" max="10" width="1.5" style="9" customWidth="1"/>
    <col min="11" max="11" width="10.625" style="9" bestFit="1" customWidth="1"/>
    <col min="12" max="16" width="8.25" style="9" customWidth="1"/>
    <col min="17" max="16384" width="8" style="9"/>
  </cols>
  <sheetData>
    <row r="1" spans="2:10" ht="12.75" thickBot="1"/>
    <row r="2" spans="2:10" ht="12.75" thickBot="1">
      <c r="B2" s="111" t="s">
        <v>439</v>
      </c>
      <c r="C2" s="112"/>
      <c r="D2" s="112"/>
      <c r="E2" s="112"/>
      <c r="F2" s="112"/>
      <c r="G2" s="112"/>
      <c r="H2" s="112"/>
      <c r="I2" s="112"/>
    </row>
    <row r="3" spans="2:10">
      <c r="B3" s="262" t="str">
        <f>'[1]Financials '!$B$3</f>
        <v xml:space="preserve">$ and shares in millions, except per share data </v>
      </c>
    </row>
    <row r="4" spans="2:10">
      <c r="B4" s="9" t="s">
        <v>440</v>
      </c>
      <c r="D4" s="315">
        <f>'Base Financials'!K4</f>
        <v>45559</v>
      </c>
      <c r="F4" s="9" t="s">
        <v>441</v>
      </c>
      <c r="H4" s="316">
        <f>'[1]WACC Done'!E21</f>
        <v>7.7864310730353978E-2</v>
      </c>
      <c r="I4" s="9" t="s">
        <v>442</v>
      </c>
    </row>
    <row r="5" spans="2:10">
      <c r="B5" s="9" t="s">
        <v>443</v>
      </c>
      <c r="D5" s="317">
        <f>EOMONTH(D4,12)</f>
        <v>45930</v>
      </c>
      <c r="F5" s="9" t="s">
        <v>444</v>
      </c>
      <c r="H5" s="318">
        <v>262.82</v>
      </c>
      <c r="I5" s="9" t="s">
        <v>445</v>
      </c>
    </row>
    <row r="6" spans="2:10">
      <c r="B6" s="9" t="s">
        <v>446</v>
      </c>
      <c r="D6" s="315">
        <f>'Base Financials'!AA4</f>
        <v>45833</v>
      </c>
      <c r="F6" s="9" t="s">
        <v>447</v>
      </c>
      <c r="H6" s="319">
        <v>45956</v>
      </c>
      <c r="J6" s="320"/>
    </row>
    <row r="7" spans="2:10">
      <c r="B7" s="9" t="s">
        <v>448</v>
      </c>
      <c r="D7" s="315">
        <v>45956</v>
      </c>
      <c r="F7" s="9" t="s">
        <v>449</v>
      </c>
      <c r="H7" s="321">
        <v>1</v>
      </c>
      <c r="I7" s="320"/>
      <c r="J7" s="320"/>
    </row>
    <row r="8" spans="2:10">
      <c r="B8" s="9" t="s">
        <v>450</v>
      </c>
      <c r="D8" s="322">
        <f>YEARFRAC(D7,D5)</f>
        <v>7.2222222222222215E-2</v>
      </c>
    </row>
    <row r="9" spans="2:10">
      <c r="D9" s="323"/>
      <c r="F9" s="9" t="s">
        <v>451</v>
      </c>
      <c r="H9" s="323" t="str">
        <f>'[1]2019 FSM Update Complete'!L5</f>
        <v>Base case</v>
      </c>
    </row>
    <row r="10" spans="2:10">
      <c r="B10" s="308" t="s">
        <v>452</v>
      </c>
      <c r="C10" s="165"/>
      <c r="D10" s="324"/>
      <c r="F10" s="165"/>
      <c r="G10" s="165"/>
      <c r="H10" s="165"/>
      <c r="I10" s="165"/>
    </row>
    <row r="11" spans="2:10" ht="17.25" customHeight="1">
      <c r="C11" s="325" t="s">
        <v>10</v>
      </c>
      <c r="D11" s="325" t="s">
        <v>453</v>
      </c>
      <c r="E11" s="326" t="s">
        <v>454</v>
      </c>
      <c r="F11" s="325"/>
      <c r="G11" s="325"/>
      <c r="H11" s="325"/>
      <c r="I11" s="325"/>
    </row>
    <row r="12" spans="2:10">
      <c r="B12" s="129" t="s">
        <v>455</v>
      </c>
      <c r="C12" s="327">
        <f>D7</f>
        <v>45956</v>
      </c>
      <c r="D12" s="328">
        <f>D4</f>
        <v>45559</v>
      </c>
      <c r="E12" s="329">
        <f>EOMONTH(D12,12)</f>
        <v>45930</v>
      </c>
      <c r="F12" s="330">
        <f>EOMONTH(E12,12)</f>
        <v>46295</v>
      </c>
      <c r="G12" s="330">
        <f t="shared" ref="G12:I12" si="0">EOMONTH(F12,12)</f>
        <v>46660</v>
      </c>
      <c r="H12" s="330">
        <f t="shared" si="0"/>
        <v>47026</v>
      </c>
      <c r="I12" s="330">
        <f t="shared" si="0"/>
        <v>47391</v>
      </c>
    </row>
    <row r="13" spans="2:10" ht="5.0999999999999996" customHeight="1">
      <c r="B13" s="129"/>
      <c r="D13" s="331"/>
      <c r="E13" s="332"/>
      <c r="F13" s="332"/>
      <c r="G13" s="332"/>
      <c r="H13" s="332"/>
      <c r="I13" s="332"/>
    </row>
    <row r="14" spans="2:10">
      <c r="B14" s="9" t="s">
        <v>34</v>
      </c>
      <c r="C14" s="333">
        <f>FCF!AJ11</f>
        <v>408625</v>
      </c>
      <c r="D14" s="334">
        <f>FCF!G11</f>
        <v>391035</v>
      </c>
      <c r="E14" s="335">
        <f ca="1">'3-Statement Model'!H17</f>
        <v>414497.10000000003</v>
      </c>
      <c r="F14" s="335">
        <f ca="1">'3-Statement Model'!I17</f>
        <v>443097.39990000002</v>
      </c>
      <c r="G14" s="335">
        <f ca="1">'3-Statement Model'!J17</f>
        <v>473671.12049310002</v>
      </c>
      <c r="H14" s="335">
        <f ca="1">'3-Statement Model'!K17</f>
        <v>506354.42780712392</v>
      </c>
      <c r="I14" s="335">
        <f ca="1">'3-Statement Model'!L17</f>
        <v>541292.88332581543</v>
      </c>
    </row>
    <row r="15" spans="2:10">
      <c r="B15" s="70" t="s">
        <v>456</v>
      </c>
      <c r="D15" s="336"/>
      <c r="E15" s="337">
        <f ca="1">SUM(E14/D14)-1</f>
        <v>6.0000000000000053E-2</v>
      </c>
      <c r="F15" s="337">
        <f t="shared" ref="F15:I15" ca="1" si="1">SUM(F14/E14)-1</f>
        <v>6.899999999999995E-2</v>
      </c>
      <c r="G15" s="337">
        <f t="shared" ca="1" si="1"/>
        <v>6.899999999999995E-2</v>
      </c>
      <c r="H15" s="337">
        <f t="shared" ca="1" si="1"/>
        <v>6.899999999999995E-2</v>
      </c>
      <c r="I15" s="337">
        <f t="shared" ca="1" si="1"/>
        <v>6.899999999999995E-2</v>
      </c>
    </row>
    <row r="16" spans="2:10">
      <c r="B16" s="9" t="s">
        <v>11</v>
      </c>
      <c r="C16" s="333">
        <f>FCF!AJ25</f>
        <v>141696</v>
      </c>
      <c r="D16" s="334">
        <f>FCF!G25</f>
        <v>134661</v>
      </c>
      <c r="E16" s="335">
        <f ca="1">'3-Statement Model'!H31</f>
        <v>143698.41593265528</v>
      </c>
      <c r="F16" s="335">
        <f ca="1">'3-Statement Model'!I31</f>
        <v>153958.32947265531</v>
      </c>
      <c r="G16" s="335">
        <f ca="1">'3-Statement Model'!J31</f>
        <v>164939.21390691531</v>
      </c>
      <c r="H16" s="335">
        <f ca="1">'3-Statement Model'!K31</f>
        <v>176690.81622713926</v>
      </c>
      <c r="I16" s="335">
        <f ca="1">'3-Statement Model'!L31</f>
        <v>189266.31596745862</v>
      </c>
    </row>
    <row r="17" spans="2:13">
      <c r="B17" s="70" t="s">
        <v>457</v>
      </c>
      <c r="D17" s="338">
        <f>D16/D14</f>
        <v>0.34437070850435381</v>
      </c>
      <c r="E17" s="337">
        <f ca="1">E16/E14</f>
        <v>0.34668135418234597</v>
      </c>
      <c r="F17" s="337">
        <f t="shared" ref="F17:I17" ca="1" si="2">F16/F14</f>
        <v>0.34745933852782984</v>
      </c>
      <c r="G17" s="337">
        <f t="shared" ca="1" si="2"/>
        <v>0.34821462987908292</v>
      </c>
      <c r="H17" s="337">
        <f t="shared" ca="1" si="2"/>
        <v>0.34894691647575121</v>
      </c>
      <c r="I17" s="337">
        <f t="shared" ca="1" si="2"/>
        <v>0.34965602134756923</v>
      </c>
    </row>
    <row r="18" spans="2:13">
      <c r="B18" s="9" t="s">
        <v>35</v>
      </c>
      <c r="C18" s="333">
        <f>FCF!AJ21</f>
        <v>130214</v>
      </c>
      <c r="D18" s="334">
        <f>FCF!G21</f>
        <v>123216</v>
      </c>
      <c r="E18" s="335">
        <f ca="1">'3-Statement Model'!H22</f>
        <v>130608.95999999999</v>
      </c>
      <c r="F18" s="335">
        <f ca="1">'3-Statement Model'!I22</f>
        <v>139620.97824000003</v>
      </c>
      <c r="G18" s="335">
        <f ca="1">'3-Statement Model'!J22</f>
        <v>149254.82573856</v>
      </c>
      <c r="H18" s="335">
        <f ca="1">'3-Statement Model'!K22</f>
        <v>159553.40871452066</v>
      </c>
      <c r="I18" s="335">
        <f ca="1">'3-Statement Model'!L22</f>
        <v>170562.59391582257</v>
      </c>
    </row>
    <row r="19" spans="2:13">
      <c r="B19" s="70" t="s">
        <v>457</v>
      </c>
      <c r="D19" s="338">
        <f>D18/D14</f>
        <v>0.31510222870075566</v>
      </c>
      <c r="E19" s="337">
        <f ca="1">E18/E14</f>
        <v>0.31510222870075566</v>
      </c>
      <c r="F19" s="337">
        <f t="shared" ref="F19:I19" ca="1" si="3">F18/F14</f>
        <v>0.31510222870075572</v>
      </c>
      <c r="G19" s="337">
        <f t="shared" ca="1" si="3"/>
        <v>0.31510222870075566</v>
      </c>
      <c r="H19" s="337">
        <f t="shared" ca="1" si="3"/>
        <v>0.31510222870075572</v>
      </c>
      <c r="I19" s="337">
        <f t="shared" ca="1" si="3"/>
        <v>0.31510222870075572</v>
      </c>
    </row>
    <row r="20" spans="2:13">
      <c r="B20" s="70"/>
      <c r="D20" s="339"/>
      <c r="E20" s="340"/>
      <c r="F20" s="340"/>
      <c r="G20" s="340"/>
      <c r="H20" s="340"/>
      <c r="I20" s="340"/>
    </row>
    <row r="21" spans="2:13">
      <c r="B21" s="9" t="s">
        <v>458</v>
      </c>
      <c r="D21" s="341">
        <f>'3-Statement Model'!G27</f>
        <v>-29749</v>
      </c>
      <c r="E21" s="333">
        <f ca="1">+E18*E22</f>
        <v>20766.824639999999</v>
      </c>
      <c r="F21" s="333">
        <f t="shared" ref="F21:I21" ca="1" si="4">+F18*F22</f>
        <v>22199.735540160003</v>
      </c>
      <c r="G21" s="333">
        <f t="shared" ca="1" si="4"/>
        <v>23731.517292431039</v>
      </c>
      <c r="H21" s="333">
        <f t="shared" ca="1" si="4"/>
        <v>25368.991985608784</v>
      </c>
      <c r="I21" s="333">
        <f t="shared" ca="1" si="4"/>
        <v>27119.452432615788</v>
      </c>
    </row>
    <row r="22" spans="2:13" ht="15" customHeight="1">
      <c r="B22" s="70" t="s">
        <v>173</v>
      </c>
      <c r="D22" s="342">
        <f>D21/D18</f>
        <v>-0.24143780028567718</v>
      </c>
      <c r="E22" s="342">
        <f>'3-Statement Model'!H40</f>
        <v>0.159</v>
      </c>
      <c r="F22" s="343">
        <f>'3-Statement Model'!I40</f>
        <v>0.159</v>
      </c>
      <c r="G22" s="343">
        <f>'3-Statement Model'!J40</f>
        <v>0.159</v>
      </c>
      <c r="H22" s="343">
        <f>'3-Statement Model'!K40</f>
        <v>0.159</v>
      </c>
      <c r="I22" s="343">
        <f>'3-Statement Model'!L40</f>
        <v>0.159</v>
      </c>
    </row>
    <row r="23" spans="2:13">
      <c r="B23" s="41" t="s">
        <v>459</v>
      </c>
      <c r="C23" s="41"/>
      <c r="D23" s="344">
        <f>+D21+D18</f>
        <v>93467</v>
      </c>
      <c r="E23" s="345">
        <f ca="1">E18*(1-E22)</f>
        <v>109842.13535999999</v>
      </c>
      <c r="F23" s="345">
        <f t="shared" ref="F23:I23" ca="1" si="5">F18*(1-F22)</f>
        <v>117421.24269984002</v>
      </c>
      <c r="G23" s="345">
        <f t="shared" ca="1" si="5"/>
        <v>125523.30844612895</v>
      </c>
      <c r="H23" s="345">
        <f t="shared" ca="1" si="5"/>
        <v>134184.41672891186</v>
      </c>
      <c r="I23" s="345">
        <f t="shared" ca="1" si="5"/>
        <v>143443.14148320677</v>
      </c>
    </row>
    <row r="24" spans="2:13">
      <c r="D24" s="346"/>
      <c r="E24" s="346"/>
      <c r="F24" s="346"/>
      <c r="G24" s="346"/>
      <c r="H24" s="346"/>
      <c r="I24" s="346"/>
    </row>
    <row r="25" spans="2:13">
      <c r="B25" s="9" t="s">
        <v>160</v>
      </c>
      <c r="D25" s="335">
        <f>'3-Statement Model'!G30</f>
        <v>11445</v>
      </c>
      <c r="E25" s="335">
        <f ca="1">'3-Statement Model'!H30</f>
        <v>13089.455932655295</v>
      </c>
      <c r="F25" s="335">
        <f ca="1">'3-Statement Model'!I30</f>
        <v>14337.351232655294</v>
      </c>
      <c r="G25" s="335">
        <f ca="1">'3-Statement Model'!J30</f>
        <v>15684.388168355294</v>
      </c>
      <c r="H25" s="335">
        <f ca="1">'3-Statement Model'!K30</f>
        <v>17137.407512618596</v>
      </c>
      <c r="I25" s="335">
        <f ca="1">'3-Statement Model'!L30</f>
        <v>18703.722051636061</v>
      </c>
      <c r="M25" s="347"/>
    </row>
    <row r="26" spans="2:13">
      <c r="B26" s="9" t="s">
        <v>460</v>
      </c>
      <c r="D26" s="346"/>
      <c r="E26" s="333">
        <f ca="1">D32-E32</f>
        <v>17217.259999999966</v>
      </c>
      <c r="F26" s="333">
        <f t="shared" ref="F26:I26" ca="1" si="6">E32-F32</f>
        <v>-3197.3430599999265</v>
      </c>
      <c r="G26" s="333">
        <f t="shared" ca="1" si="6"/>
        <v>-1227.9987311400182</v>
      </c>
      <c r="H26" s="333">
        <f t="shared" ca="1" si="6"/>
        <v>-1312.7306435887003</v>
      </c>
      <c r="I26" s="333">
        <f t="shared" ca="1" si="6"/>
        <v>-1403.3090579962154</v>
      </c>
      <c r="M26" s="347"/>
    </row>
    <row r="27" spans="2:13">
      <c r="B27" s="9" t="s">
        <v>203</v>
      </c>
      <c r="D27" s="340"/>
      <c r="E27" s="335">
        <f>-'3-Statement Model'!H81</f>
        <v>-9447</v>
      </c>
      <c r="F27" s="335">
        <f>-'3-Statement Model'!I81</f>
        <v>-9447</v>
      </c>
      <c r="G27" s="335">
        <f>-'3-Statement Model'!J81</f>
        <v>-9447</v>
      </c>
      <c r="H27" s="335">
        <f>-'3-Statement Model'!K81</f>
        <v>-9447</v>
      </c>
      <c r="I27" s="335">
        <f>-'3-Statement Model'!L81</f>
        <v>-9447</v>
      </c>
      <c r="M27" s="347"/>
    </row>
    <row r="28" spans="2:13">
      <c r="B28" s="70" t="s">
        <v>226</v>
      </c>
      <c r="D28" s="340"/>
      <c r="E28" s="337">
        <f ca="1">E27/E14</f>
        <v>-2.2791474294995066E-2</v>
      </c>
      <c r="F28" s="337">
        <f t="shared" ref="F28:I28" ca="1" si="7">F27/F14</f>
        <v>-2.1320368844710072E-2</v>
      </c>
      <c r="G28" s="337">
        <f t="shared" ca="1" si="7"/>
        <v>-1.9944217815444407E-2</v>
      </c>
      <c r="H28" s="337">
        <f t="shared" ca="1" si="7"/>
        <v>-1.8656892250181859E-2</v>
      </c>
      <c r="I28" s="337">
        <f t="shared" ca="1" si="7"/>
        <v>-1.7452658793434855E-2</v>
      </c>
      <c r="M28" s="347"/>
    </row>
    <row r="29" spans="2:13">
      <c r="D29" s="340"/>
      <c r="E29" s="340"/>
      <c r="F29" s="340"/>
      <c r="G29" s="340"/>
      <c r="H29" s="340"/>
      <c r="I29" s="340"/>
      <c r="M29" s="347"/>
    </row>
    <row r="30" spans="2:13">
      <c r="B30" s="41" t="s">
        <v>461</v>
      </c>
      <c r="C30" s="41"/>
      <c r="D30" s="348"/>
      <c r="E30" s="345">
        <f ca="1">+E23+E25+E26+E27</f>
        <v>130701.85129265525</v>
      </c>
      <c r="F30" s="345">
        <f t="shared" ref="F30:I30" ca="1" si="8">+F23+F25+F26+F27</f>
        <v>119114.25087249538</v>
      </c>
      <c r="G30" s="345">
        <f t="shared" ca="1" si="8"/>
        <v>130532.69788334423</v>
      </c>
      <c r="H30" s="345">
        <f t="shared" ca="1" si="8"/>
        <v>140562.09359794177</v>
      </c>
      <c r="I30" s="345">
        <f t="shared" ca="1" si="8"/>
        <v>151296.55447684659</v>
      </c>
      <c r="M30" s="348"/>
    </row>
    <row r="31" spans="2:13">
      <c r="D31" s="340"/>
      <c r="M31" s="347"/>
    </row>
    <row r="32" spans="2:13">
      <c r="B32" s="9" t="s">
        <v>462</v>
      </c>
      <c r="D32" s="335">
        <f>SUM('3-Statement Model'!G76)-SUM('3-Statement Model'!G75)</f>
        <v>31817</v>
      </c>
      <c r="E32" s="335">
        <f ca="1">SUM('3-Statement Model'!H76)-SUM('3-Statement Model'!H75)</f>
        <v>14599.740000000034</v>
      </c>
      <c r="F32" s="335">
        <f ca="1">SUM('3-Statement Model'!I76)-SUM('3-Statement Model'!I75)</f>
        <v>17797.083059999961</v>
      </c>
      <c r="G32" s="335">
        <f ca="1">SUM('3-Statement Model'!J76)-SUM('3-Statement Model'!J75)</f>
        <v>19025.081791139979</v>
      </c>
      <c r="H32" s="335">
        <f ca="1">SUM('3-Statement Model'!K76)-SUM('3-Statement Model'!K75)</f>
        <v>20337.812434728679</v>
      </c>
      <c r="I32" s="335">
        <f ca="1">SUM('3-Statement Model'!L76)-SUM('3-Statement Model'!L75)</f>
        <v>21741.121492724895</v>
      </c>
    </row>
    <row r="33" spans="2:13" ht="15" customHeight="1">
      <c r="B33" s="70" t="s">
        <v>226</v>
      </c>
      <c r="D33" s="322"/>
      <c r="E33" s="337">
        <f ca="1">+E32/E14</f>
        <v>3.5222779604489475E-2</v>
      </c>
      <c r="F33" s="337">
        <f t="shared" ref="F33:I33" ca="1" si="9">+F32/F14</f>
        <v>4.0165171504090248E-2</v>
      </c>
      <c r="G33" s="337">
        <f t="shared" ca="1" si="9"/>
        <v>4.016517150409029E-2</v>
      </c>
      <c r="H33" s="337">
        <f t="shared" ca="1" si="9"/>
        <v>4.0165171504090373E-2</v>
      </c>
      <c r="I33" s="337">
        <f t="shared" ca="1" si="9"/>
        <v>4.0165171504090255E-2</v>
      </c>
      <c r="J33" s="340"/>
    </row>
    <row r="34" spans="2:13">
      <c r="D34" s="340"/>
      <c r="E34" s="322"/>
      <c r="F34" s="322"/>
      <c r="G34" s="322"/>
      <c r="H34" s="322"/>
      <c r="I34" s="322"/>
      <c r="J34" s="340"/>
      <c r="K34" s="135"/>
      <c r="M34" s="322"/>
    </row>
    <row r="35" spans="2:13">
      <c r="B35" s="308" t="str">
        <f>"Present value of UFCF on "&amp;TEXT(D7,"mmm dd, yyyy")&amp;" valuation date"</f>
        <v>Present value of UFCF on Oct 26, 2025 valuation date</v>
      </c>
      <c r="C35" s="165"/>
      <c r="D35" s="349"/>
      <c r="E35" s="165"/>
      <c r="F35" s="349"/>
      <c r="G35" s="349"/>
      <c r="H35" s="349"/>
      <c r="I35" s="349"/>
      <c r="J35" s="340"/>
    </row>
    <row r="36" spans="2:13" ht="14.25">
      <c r="B36" s="41"/>
      <c r="D36" s="350" t="s">
        <v>463</v>
      </c>
      <c r="E36" s="350" t="s">
        <v>464</v>
      </c>
      <c r="F36" s="351" t="s">
        <v>465</v>
      </c>
      <c r="G36" s="351" t="s">
        <v>466</v>
      </c>
      <c r="H36" s="351" t="s">
        <v>467</v>
      </c>
      <c r="I36" s="351" t="s">
        <v>468</v>
      </c>
      <c r="J36" s="340"/>
    </row>
    <row r="37" spans="2:13">
      <c r="B37" s="9" t="s">
        <v>469</v>
      </c>
      <c r="D37" s="352">
        <f>D7</f>
        <v>45956</v>
      </c>
      <c r="E37" s="352">
        <f>IF($H$7=1,AVERAGE(E12,D37),E12)</f>
        <v>45943</v>
      </c>
      <c r="F37" s="352">
        <f>IF($H$7=1,AVERAGE(F12,E12),F12)</f>
        <v>46112.5</v>
      </c>
      <c r="G37" s="352">
        <f>IF($H$7=1,AVERAGE(G12,F12),G12)</f>
        <v>46477.5</v>
      </c>
      <c r="H37" s="352">
        <f>IF($H$7=1,AVERAGE(H12,G12),H12)</f>
        <v>46843</v>
      </c>
      <c r="I37" s="352">
        <f>IF($H$7=1,AVERAGE(I12,H12),I12)</f>
        <v>47208.5</v>
      </c>
      <c r="J37" s="340"/>
    </row>
    <row r="38" spans="2:13">
      <c r="B38" s="9" t="s">
        <v>470</v>
      </c>
      <c r="C38" s="353">
        <f>D8</f>
        <v>7.2222222222222215E-2</v>
      </c>
      <c r="D38" s="347"/>
      <c r="E38" s="354">
        <f ca="1">E30*C38</f>
        <v>9439.5781489139899</v>
      </c>
      <c r="F38" s="354">
        <f ca="1">F30</f>
        <v>119114.25087249538</v>
      </c>
      <c r="G38" s="354">
        <f ca="1">G30</f>
        <v>130532.69788334423</v>
      </c>
      <c r="H38" s="354">
        <f ca="1">H30</f>
        <v>140562.09359794177</v>
      </c>
      <c r="I38" s="354">
        <f ca="1">I30</f>
        <v>151296.55447684659</v>
      </c>
      <c r="J38" s="346"/>
      <c r="K38" s="9" t="s">
        <v>471</v>
      </c>
    </row>
    <row r="39" spans="2:13" ht="15" customHeight="1">
      <c r="B39" s="41" t="s">
        <v>472</v>
      </c>
      <c r="C39" s="355"/>
      <c r="D39" s="348"/>
      <c r="E39" s="348">
        <f ca="1">E38/(1+$H$4)^((E37-$D$7)/365)</f>
        <v>9464.8209634251452</v>
      </c>
      <c r="F39" s="348">
        <f ca="1">F38/(1+$H$4)^((F37-$D$7)/365)</f>
        <v>115345.67413592126</v>
      </c>
      <c r="G39" s="348">
        <f ca="1">G38/(1+$H$4)^((G37-$D$7)/365)</f>
        <v>117271.58903115671</v>
      </c>
      <c r="H39" s="348">
        <f ca="1">H38/(1+$H$4)^((H37-$D$7)/365)</f>
        <v>117147.4965829642</v>
      </c>
      <c r="I39" s="348">
        <f ca="1">I38/(1+$H$4)^((I37-$D$7)/365)</f>
        <v>116972.86641413151</v>
      </c>
      <c r="J39" s="346"/>
    </row>
    <row r="41" spans="2:13">
      <c r="B41" s="308" t="s">
        <v>473</v>
      </c>
      <c r="C41" s="308"/>
      <c r="E41" s="308" t="s">
        <v>474</v>
      </c>
      <c r="F41" s="165"/>
      <c r="G41" s="165"/>
      <c r="H41" s="165"/>
      <c r="I41" s="165"/>
    </row>
    <row r="42" spans="2:13">
      <c r="B42" s="9" t="s">
        <v>475</v>
      </c>
      <c r="C42" s="156">
        <v>0.03</v>
      </c>
      <c r="E42" s="9" t="s">
        <v>476</v>
      </c>
      <c r="I42" s="347">
        <f ca="1">I16</f>
        <v>189266.31596745862</v>
      </c>
      <c r="J42" s="347"/>
    </row>
    <row r="43" spans="2:13">
      <c r="B43" s="356" t="str">
        <f>YEAR(I12)&amp;" FCF x (1+g)"</f>
        <v>2029 FCF x (1+g)</v>
      </c>
      <c r="C43" s="347">
        <f ca="1">I38*(1+C42)</f>
        <v>155835.45111115198</v>
      </c>
      <c r="E43" s="9" t="s">
        <v>477</v>
      </c>
      <c r="I43" s="357">
        <v>12.5154387291762</v>
      </c>
      <c r="J43" s="357"/>
    </row>
    <row r="44" spans="2:13">
      <c r="B44" s="9" t="str">
        <f>"Terminal value in "&amp;YEAR(I12)</f>
        <v>Terminal value in 2029</v>
      </c>
      <c r="C44" s="347">
        <f ca="1">C43/(H4-C42)</f>
        <v>3255775.5190304294</v>
      </c>
      <c r="E44" s="9" t="str">
        <f>"Terminal value in "&amp;YEAR(I12)</f>
        <v>Terminal value in 2029</v>
      </c>
      <c r="I44" s="347">
        <f ca="1">I42*I43</f>
        <v>2368750.9809876313</v>
      </c>
      <c r="J44" s="347"/>
    </row>
    <row r="45" spans="2:13">
      <c r="B45" s="9" t="s">
        <v>478</v>
      </c>
      <c r="C45" s="347">
        <f ca="1">C44/(1+H4)^((I37-$D$37)/365)</f>
        <v>2517158.4123564884</v>
      </c>
      <c r="E45" s="9" t="s">
        <v>478</v>
      </c>
      <c r="I45" s="347">
        <f ca="1">I44/(1+H4)^((I37-D37)/365)</f>
        <v>1831367.4956147899</v>
      </c>
      <c r="J45" s="347"/>
    </row>
    <row r="46" spans="2:13">
      <c r="B46" s="9" t="s">
        <v>479</v>
      </c>
      <c r="C46" s="346">
        <f ca="1">SUM(E39:I39)</f>
        <v>476202.4471275988</v>
      </c>
      <c r="E46" s="9" t="s">
        <v>479</v>
      </c>
      <c r="I46" s="347">
        <f ca="1">C46</f>
        <v>476202.4471275988</v>
      </c>
      <c r="J46" s="347"/>
    </row>
    <row r="47" spans="2:13">
      <c r="B47" s="41" t="s">
        <v>480</v>
      </c>
      <c r="C47" s="358">
        <f ca="1">C46+C45</f>
        <v>2993360.8594840872</v>
      </c>
      <c r="E47" s="41" t="s">
        <v>481</v>
      </c>
      <c r="I47" s="358">
        <f ca="1">SUM(I45:I46)</f>
        <v>2307569.9427423887</v>
      </c>
      <c r="J47" s="358"/>
    </row>
    <row r="49" spans="2:11">
      <c r="B49" s="359" t="s">
        <v>482</v>
      </c>
      <c r="C49" s="360">
        <f ca="1">C45/$C$47</f>
        <v>0.84091378571387032</v>
      </c>
      <c r="E49" s="359" t="s">
        <v>482</v>
      </c>
      <c r="I49" s="360">
        <f ca="1">+I45/I47</f>
        <v>0.79363466376162584</v>
      </c>
      <c r="J49" s="360"/>
    </row>
    <row r="50" spans="2:11">
      <c r="B50" s="359" t="s">
        <v>483</v>
      </c>
      <c r="C50" s="360">
        <f ca="1">1-C49</f>
        <v>0.15908621428612968</v>
      </c>
      <c r="E50" s="359" t="s">
        <v>484</v>
      </c>
      <c r="G50" s="361"/>
      <c r="I50" s="161">
        <f ca="1">1-I49</f>
        <v>0.20636533623837416</v>
      </c>
      <c r="J50" s="161"/>
    </row>
    <row r="51" spans="2:11">
      <c r="B51" s="359" t="s">
        <v>485</v>
      </c>
      <c r="C51" s="362">
        <f ca="1">(C44/I16)</f>
        <v>17.202086395501084</v>
      </c>
      <c r="E51" s="9" t="s">
        <v>486</v>
      </c>
      <c r="I51" s="363">
        <f ca="1">(H4-I38/I44)/(1+I38/I44)</f>
        <v>1.3152374105314708E-2</v>
      </c>
      <c r="J51" s="363"/>
    </row>
    <row r="52" spans="2:11">
      <c r="B52" s="359"/>
      <c r="C52" s="129"/>
      <c r="D52" s="362"/>
      <c r="I52" s="363"/>
      <c r="J52" s="363"/>
    </row>
    <row r="53" spans="2:11">
      <c r="B53" s="308" t="s">
        <v>487</v>
      </c>
      <c r="C53" s="165"/>
      <c r="E53" s="308" t="s">
        <v>488</v>
      </c>
      <c r="F53" s="165"/>
      <c r="G53" s="308"/>
      <c r="H53" s="165"/>
      <c r="I53" s="165"/>
    </row>
    <row r="54" spans="2:11">
      <c r="B54" s="9" t="s">
        <v>489</v>
      </c>
      <c r="C54" s="319" t="s">
        <v>528</v>
      </c>
    </row>
    <row r="55" spans="2:11">
      <c r="B55" s="137" t="s">
        <v>490</v>
      </c>
      <c r="C55" s="352">
        <f>D6</f>
        <v>45833</v>
      </c>
      <c r="G55" s="140" t="s">
        <v>489</v>
      </c>
      <c r="H55" s="364" t="s">
        <v>491</v>
      </c>
      <c r="I55" s="364" t="s">
        <v>492</v>
      </c>
    </row>
    <row r="56" spans="2:11">
      <c r="B56" s="365" t="s">
        <v>493</v>
      </c>
      <c r="C56" s="366"/>
      <c r="E56" s="9" t="s">
        <v>112</v>
      </c>
      <c r="G56" s="319" t="s">
        <v>529</v>
      </c>
      <c r="H56" s="319">
        <f ca="1">NOW()</f>
        <v>45957.002544907409</v>
      </c>
      <c r="I56" s="367">
        <v>14840.39</v>
      </c>
      <c r="J56" s="367"/>
    </row>
    <row r="57" spans="2:11">
      <c r="B57" s="70" t="s">
        <v>22</v>
      </c>
      <c r="C57" s="197">
        <f>FCF!AJ69</f>
        <v>101698</v>
      </c>
      <c r="E57" s="137" t="s">
        <v>494</v>
      </c>
      <c r="G57" s="319" t="s">
        <v>528</v>
      </c>
      <c r="H57" s="319">
        <v>45833</v>
      </c>
      <c r="I57" s="367"/>
      <c r="J57" s="272"/>
    </row>
    <row r="58" spans="2:11">
      <c r="B58" s="70" t="s">
        <v>495</v>
      </c>
      <c r="C58" s="296">
        <f>[1]Shares!E25+[1]Shares!E31</f>
        <v>0</v>
      </c>
      <c r="E58" s="137" t="s">
        <v>496</v>
      </c>
      <c r="G58" s="319" t="s">
        <v>528</v>
      </c>
      <c r="H58" s="319">
        <v>45833</v>
      </c>
      <c r="I58" s="368">
        <v>0</v>
      </c>
      <c r="K58" s="9" t="s">
        <v>497</v>
      </c>
    </row>
    <row r="59" spans="2:11" ht="15" customHeight="1">
      <c r="B59" s="70" t="s">
        <v>498</v>
      </c>
      <c r="C59" s="296">
        <f>[1]Shares!E34+[1]Shares!E41</f>
        <v>0</v>
      </c>
      <c r="E59" s="9" t="s">
        <v>495</v>
      </c>
      <c r="G59" s="319" t="s">
        <v>528</v>
      </c>
      <c r="H59" s="319">
        <v>45833</v>
      </c>
      <c r="I59" s="368">
        <v>0</v>
      </c>
      <c r="K59" s="9" t="s">
        <v>499</v>
      </c>
    </row>
    <row r="60" spans="2:11">
      <c r="B60" s="369" t="s">
        <v>500</v>
      </c>
      <c r="C60" s="134">
        <v>0</v>
      </c>
      <c r="E60" s="9" t="s">
        <v>501</v>
      </c>
      <c r="G60" s="319" t="s">
        <v>528</v>
      </c>
      <c r="H60" s="319">
        <v>45833</v>
      </c>
      <c r="I60" s="368">
        <v>0</v>
      </c>
      <c r="K60" s="9" t="s">
        <v>502</v>
      </c>
    </row>
    <row r="61" spans="2:11" ht="15" customHeight="1">
      <c r="B61" s="365" t="s">
        <v>503</v>
      </c>
      <c r="E61" s="226" t="s">
        <v>504</v>
      </c>
      <c r="F61" s="229"/>
      <c r="G61" s="229"/>
      <c r="H61" s="229"/>
      <c r="I61" s="426">
        <f>SUM(I56:I60)</f>
        <v>14840.39</v>
      </c>
      <c r="J61" s="305"/>
    </row>
    <row r="62" spans="2:11">
      <c r="B62" s="370" t="s">
        <v>505</v>
      </c>
      <c r="C62" s="197">
        <f>FCF!AJ52</f>
        <v>132986</v>
      </c>
      <c r="J62" s="290"/>
    </row>
    <row r="63" spans="2:11">
      <c r="B63" s="370" t="s">
        <v>506</v>
      </c>
      <c r="C63" s="134">
        <v>0</v>
      </c>
      <c r="J63" s="290"/>
    </row>
    <row r="64" spans="2:11" ht="5.0999999999999996" customHeight="1">
      <c r="J64" s="371"/>
    </row>
    <row r="65" spans="2:6">
      <c r="B65" s="427" t="s">
        <v>487</v>
      </c>
      <c r="C65" s="240">
        <f>SUM(C57:C60)-SUM(C62:C63)</f>
        <v>-31288</v>
      </c>
    </row>
    <row r="67" spans="2:6">
      <c r="B67" s="308" t="s">
        <v>507</v>
      </c>
      <c r="C67" s="165"/>
      <c r="D67" s="165"/>
    </row>
    <row r="68" spans="2:6" ht="14.25">
      <c r="C68" s="372" t="s">
        <v>38</v>
      </c>
      <c r="D68" s="372" t="s">
        <v>11</v>
      </c>
    </row>
    <row r="69" spans="2:6">
      <c r="B69" s="9" t="s">
        <v>508</v>
      </c>
      <c r="C69" s="373">
        <f ca="1">C47</f>
        <v>2993360.8594840872</v>
      </c>
      <c r="D69" s="373">
        <f ca="1">I47</f>
        <v>2307569.9427423887</v>
      </c>
    </row>
    <row r="70" spans="2:6">
      <c r="B70" s="9" t="s">
        <v>487</v>
      </c>
      <c r="C70" s="374">
        <f>$C$65</f>
        <v>-31288</v>
      </c>
      <c r="D70" s="374">
        <f>C70</f>
        <v>-31288</v>
      </c>
    </row>
    <row r="71" spans="2:6">
      <c r="B71" s="9" t="s">
        <v>509</v>
      </c>
      <c r="C71" s="375">
        <f ca="1">C69-C70</f>
        <v>3024648.8594840872</v>
      </c>
      <c r="D71" s="375">
        <f ca="1">D69-D70</f>
        <v>2338857.9427423887</v>
      </c>
    </row>
    <row r="72" spans="2:6">
      <c r="B72" s="9" t="s">
        <v>488</v>
      </c>
      <c r="C72" s="375">
        <f>$I$61</f>
        <v>14840.39</v>
      </c>
      <c r="D72" s="375">
        <f>C72</f>
        <v>14840.39</v>
      </c>
    </row>
    <row r="73" spans="2:6">
      <c r="B73" s="41" t="s">
        <v>510</v>
      </c>
      <c r="C73" s="376">
        <f ca="1">C71/C72</f>
        <v>203.81195234654126</v>
      </c>
      <c r="D73" s="376">
        <f ca="1">D71/D72</f>
        <v>157.60084086350756</v>
      </c>
    </row>
    <row r="75" spans="2:6" ht="14.25">
      <c r="C75" s="325" t="s">
        <v>511</v>
      </c>
      <c r="D75" s="325"/>
    </row>
    <row r="76" spans="2:6">
      <c r="B76" s="140"/>
      <c r="C76" s="364" t="s">
        <v>38</v>
      </c>
      <c r="D76" s="364" t="s">
        <v>11</v>
      </c>
    </row>
    <row r="77" spans="2:6">
      <c r="B77" s="9" t="s">
        <v>512</v>
      </c>
      <c r="C77" s="377">
        <f t="shared" ref="C77" ca="1" si="10">C$69/$C$14</f>
        <v>7.3254471935982552</v>
      </c>
      <c r="D77" s="377">
        <f ca="1">D$69/$C$14</f>
        <v>5.6471580122175311</v>
      </c>
    </row>
    <row r="78" spans="2:6">
      <c r="B78" s="9" t="s">
        <v>513</v>
      </c>
      <c r="C78" s="378">
        <f t="shared" ref="C78" ca="1" si="11">C69/$C$16</f>
        <v>21.125231901282234</v>
      </c>
      <c r="D78" s="378">
        <f ca="1">D69/$C$16</f>
        <v>16.285356980736143</v>
      </c>
    </row>
    <row r="79" spans="2:6">
      <c r="B79" s="346" t="s">
        <v>514</v>
      </c>
      <c r="C79" s="378">
        <f t="shared" ref="C79" ca="1" si="12">C69/$C$18</f>
        <v>22.988010962600697</v>
      </c>
      <c r="D79" s="378">
        <f ca="1">D69/$C$18</f>
        <v>17.721365926416428</v>
      </c>
    </row>
    <row r="80" spans="2:6" ht="14.25">
      <c r="B80" s="346"/>
      <c r="C80" s="325" t="s">
        <v>515</v>
      </c>
      <c r="D80" s="325"/>
      <c r="E80" s="379"/>
      <c r="F80" s="379"/>
    </row>
    <row r="81" spans="2:17">
      <c r="B81" s="140"/>
      <c r="C81" s="364" t="s">
        <v>38</v>
      </c>
      <c r="D81" s="364" t="s">
        <v>11</v>
      </c>
      <c r="E81" s="379"/>
      <c r="F81" s="379"/>
    </row>
    <row r="82" spans="2:17">
      <c r="B82" s="9" t="s">
        <v>512</v>
      </c>
      <c r="C82" s="380">
        <f ca="1">C69/$E$14</f>
        <v>7.2216690044009644</v>
      </c>
      <c r="D82" s="380">
        <f ca="1">D69/$E$14</f>
        <v>5.567155820251549</v>
      </c>
      <c r="E82" s="379"/>
      <c r="F82" s="379"/>
    </row>
    <row r="83" spans="2:17">
      <c r="B83" s="9" t="s">
        <v>513</v>
      </c>
      <c r="C83" s="379">
        <f ca="1">C69/$E$16</f>
        <v>20.830854954496754</v>
      </c>
      <c r="D83" s="379">
        <f ca="1">D69/$E$16</f>
        <v>16.058422967055105</v>
      </c>
      <c r="E83" s="379"/>
      <c r="F83" s="379"/>
    </row>
    <row r="84" spans="2:17">
      <c r="B84" s="346" t="s">
        <v>514</v>
      </c>
      <c r="C84" s="379">
        <f ca="1">C69/$E$18</f>
        <v>22.91849548058638</v>
      </c>
      <c r="D84" s="379">
        <f ca="1">D69/$E$18</f>
        <v>17.667776718705891</v>
      </c>
      <c r="E84" s="379"/>
      <c r="F84" s="379"/>
    </row>
    <row r="86" spans="2:17">
      <c r="B86" s="308" t="s">
        <v>516</v>
      </c>
      <c r="C86" s="308"/>
      <c r="D86" s="308"/>
      <c r="E86" s="308"/>
      <c r="F86" s="308"/>
      <c r="G86" s="308"/>
      <c r="H86" s="308"/>
      <c r="I86" s="308"/>
      <c r="J86" s="308"/>
      <c r="K86" s="308"/>
      <c r="L86" s="308"/>
      <c r="M86" s="308"/>
      <c r="N86" s="308"/>
      <c r="O86" s="308"/>
      <c r="P86" s="308"/>
      <c r="Q86" s="308"/>
    </row>
    <row r="87" spans="2:17">
      <c r="B87" s="41"/>
    </row>
    <row r="88" spans="2:17" ht="17.25" customHeight="1">
      <c r="B88" s="381"/>
      <c r="C88" s="41"/>
      <c r="D88" s="382" t="s">
        <v>510</v>
      </c>
      <c r="E88" s="325"/>
      <c r="F88" s="325"/>
      <c r="G88" s="325"/>
      <c r="H88" s="325"/>
      <c r="I88" s="325"/>
      <c r="J88" s="383"/>
      <c r="L88" s="382" t="s">
        <v>517</v>
      </c>
      <c r="M88" s="325"/>
      <c r="N88" s="325"/>
      <c r="O88" s="325"/>
      <c r="P88" s="325"/>
      <c r="Q88" s="325"/>
    </row>
    <row r="89" spans="2:17" ht="15" customHeight="1">
      <c r="B89" s="381"/>
      <c r="D89" s="137"/>
      <c r="E89" s="279" t="s">
        <v>518</v>
      </c>
      <c r="F89" s="279"/>
      <c r="G89" s="279"/>
      <c r="H89" s="279"/>
      <c r="I89" s="279"/>
      <c r="J89" s="384"/>
      <c r="L89" s="137"/>
      <c r="M89" s="279"/>
      <c r="N89" s="279"/>
      <c r="O89" s="279"/>
      <c r="P89" s="279"/>
      <c r="Q89" s="279"/>
    </row>
    <row r="90" spans="2:17" ht="15" customHeight="1">
      <c r="B90" s="381"/>
      <c r="C90" s="188"/>
      <c r="D90" s="385">
        <f ca="1">C73</f>
        <v>203.81195234654126</v>
      </c>
      <c r="E90" s="386">
        <f>F90-0.005</f>
        <v>1.9999999999999997E-2</v>
      </c>
      <c r="F90" s="387">
        <f>G90-0.005</f>
        <v>2.4999999999999998E-2</v>
      </c>
      <c r="G90" s="388">
        <v>0.03</v>
      </c>
      <c r="H90" s="387">
        <f>G90+0.005</f>
        <v>3.4999999999999996E-2</v>
      </c>
      <c r="I90" s="387">
        <f>H90+0.005</f>
        <v>3.9999999999999994E-2</v>
      </c>
      <c r="J90" s="389"/>
      <c r="L90" s="390">
        <f ca="1">C78</f>
        <v>21.125231901282234</v>
      </c>
      <c r="M90" s="387">
        <f>N90-0.005</f>
        <v>1.9999999999999997E-2</v>
      </c>
      <c r="N90" s="387">
        <f>O90-0.005</f>
        <v>2.4999999999999998E-2</v>
      </c>
      <c r="O90" s="388">
        <v>0.03</v>
      </c>
      <c r="P90" s="387">
        <f>O90+0.005</f>
        <v>3.4999999999999996E-2</v>
      </c>
      <c r="Q90" s="391">
        <f>P90+0.005</f>
        <v>3.9999999999999994E-2</v>
      </c>
    </row>
    <row r="91" spans="2:17" ht="15" customHeight="1">
      <c r="B91" s="381"/>
      <c r="D91" s="392">
        <f>D92+0.01</f>
        <v>0.10999999999999999</v>
      </c>
      <c r="E91" s="393">
        <v>20.680633001583054</v>
      </c>
      <c r="F91" s="393">
        <v>20.680633001583054</v>
      </c>
      <c r="G91" s="393">
        <v>20.680633001583054</v>
      </c>
      <c r="H91" s="393">
        <v>20.680633001583054</v>
      </c>
      <c r="I91" s="393">
        <v>20.680633001583054</v>
      </c>
      <c r="J91" s="394"/>
      <c r="L91" s="392">
        <f t="shared" ref="L91" si="13">L92+0.01</f>
        <v>0.10999999999999999</v>
      </c>
      <c r="M91" s="395" t="e">
        <v>#DIV/0!</v>
      </c>
      <c r="N91" s="395" t="e">
        <v>#DIV/0!</v>
      </c>
      <c r="O91" s="395" t="e">
        <v>#DIV/0!</v>
      </c>
      <c r="P91" s="395" t="e">
        <v>#DIV/0!</v>
      </c>
      <c r="Q91" s="395" t="e">
        <v>#DIV/0!</v>
      </c>
    </row>
    <row r="92" spans="2:17" ht="15" customHeight="1">
      <c r="B92" s="381"/>
      <c r="D92" s="392">
        <f>D93+0.01</f>
        <v>9.9999999999999992E-2</v>
      </c>
      <c r="E92" s="393">
        <v>20.680633001583054</v>
      </c>
      <c r="F92" s="393">
        <v>20.680633001583054</v>
      </c>
      <c r="G92" s="393">
        <v>20.680633001583054</v>
      </c>
      <c r="H92" s="393">
        <v>20.680633001583054</v>
      </c>
      <c r="I92" s="393">
        <v>20.680633001583054</v>
      </c>
      <c r="J92" s="394"/>
      <c r="L92" s="392">
        <f>L93+0.01</f>
        <v>9.9999999999999992E-2</v>
      </c>
      <c r="M92" s="395" t="e">
        <v>#DIV/0!</v>
      </c>
      <c r="N92" s="395" t="e">
        <v>#DIV/0!</v>
      </c>
      <c r="O92" s="395" t="e">
        <v>#DIV/0!</v>
      </c>
      <c r="P92" s="395" t="e">
        <v>#DIV/0!</v>
      </c>
      <c r="Q92" s="395" t="e">
        <v>#DIV/0!</v>
      </c>
    </row>
    <row r="93" spans="2:17" ht="15" customHeight="1">
      <c r="B93" s="381"/>
      <c r="C93" s="188" t="s">
        <v>519</v>
      </c>
      <c r="D93" s="396">
        <v>0.09</v>
      </c>
      <c r="E93" s="393">
        <v>20.680633001583054</v>
      </c>
      <c r="F93" s="393">
        <v>20.680633001583054</v>
      </c>
      <c r="G93" s="393">
        <v>20.680633001583054</v>
      </c>
      <c r="H93" s="393">
        <v>20.680633001583054</v>
      </c>
      <c r="I93" s="393">
        <v>20.680633001583054</v>
      </c>
      <c r="J93" s="394"/>
      <c r="K93" s="188" t="s">
        <v>519</v>
      </c>
      <c r="L93" s="396">
        <v>0.09</v>
      </c>
      <c r="M93" s="395" t="e">
        <v>#DIV/0!</v>
      </c>
      <c r="N93" s="395" t="e">
        <v>#DIV/0!</v>
      </c>
      <c r="O93" s="395" t="e">
        <v>#DIV/0!</v>
      </c>
      <c r="P93" s="395" t="e">
        <v>#DIV/0!</v>
      </c>
      <c r="Q93" s="395" t="e">
        <v>#DIV/0!</v>
      </c>
    </row>
    <row r="94" spans="2:17" ht="15" customHeight="1">
      <c r="B94" s="381"/>
      <c r="D94" s="392">
        <f t="shared" ref="D94:D95" si="14">D93-0.01</f>
        <v>0.08</v>
      </c>
      <c r="E94" s="393">
        <v>20.680633001583054</v>
      </c>
      <c r="F94" s="393">
        <v>20.680633001583054</v>
      </c>
      <c r="G94" s="393">
        <v>20.680633001583054</v>
      </c>
      <c r="H94" s="393">
        <v>20.680633001583054</v>
      </c>
      <c r="I94" s="393">
        <v>20.680633001583054</v>
      </c>
      <c r="J94" s="394"/>
      <c r="L94" s="392">
        <f t="shared" ref="L94:L95" si="15">L93-0.01</f>
        <v>0.08</v>
      </c>
      <c r="M94" s="395" t="e">
        <v>#DIV/0!</v>
      </c>
      <c r="N94" s="395" t="e">
        <v>#DIV/0!</v>
      </c>
      <c r="O94" s="395" t="e">
        <v>#DIV/0!</v>
      </c>
      <c r="P94" s="395" t="e">
        <v>#DIV/0!</v>
      </c>
      <c r="Q94" s="395" t="e">
        <v>#DIV/0!</v>
      </c>
    </row>
    <row r="95" spans="2:17" ht="15" customHeight="1">
      <c r="B95" s="397" t="s">
        <v>520</v>
      </c>
      <c r="D95" s="398">
        <f t="shared" si="14"/>
        <v>7.0000000000000007E-2</v>
      </c>
      <c r="E95" s="393">
        <v>20.680633001583054</v>
      </c>
      <c r="F95" s="393">
        <v>20.680633001583054</v>
      </c>
      <c r="G95" s="393">
        <v>20.680633001583054</v>
      </c>
      <c r="H95" s="393">
        <v>20.680633001583054</v>
      </c>
      <c r="I95" s="393">
        <v>20.680633001583054</v>
      </c>
      <c r="J95" s="394"/>
      <c r="L95" s="398">
        <f t="shared" si="15"/>
        <v>7.0000000000000007E-2</v>
      </c>
      <c r="M95" s="395" t="e">
        <v>#DIV/0!</v>
      </c>
      <c r="N95" s="395" t="e">
        <v>#DIV/0!</v>
      </c>
      <c r="O95" s="395" t="e">
        <v>#DIV/0!</v>
      </c>
      <c r="P95" s="395" t="e">
        <v>#DIV/0!</v>
      </c>
      <c r="Q95" s="395" t="e">
        <v>#DIV/0!</v>
      </c>
    </row>
    <row r="96" spans="2:17" ht="15" customHeight="1">
      <c r="B96" s="397" t="s">
        <v>521</v>
      </c>
      <c r="E96" s="399"/>
      <c r="F96" s="399"/>
      <c r="G96" s="399"/>
      <c r="H96" s="399"/>
      <c r="I96" s="399"/>
      <c r="J96" s="400"/>
    </row>
    <row r="97" spans="2:17" ht="17.25" customHeight="1">
      <c r="B97" s="381"/>
      <c r="D97" s="382" t="s">
        <v>510</v>
      </c>
      <c r="E97" s="325"/>
      <c r="F97" s="325"/>
      <c r="G97" s="325"/>
      <c r="H97" s="325"/>
      <c r="I97" s="325"/>
      <c r="J97" s="383"/>
      <c r="L97" s="382" t="s">
        <v>517</v>
      </c>
      <c r="M97" s="325"/>
      <c r="N97" s="325"/>
      <c r="O97" s="325"/>
      <c r="P97" s="325"/>
      <c r="Q97" s="325"/>
    </row>
    <row r="98" spans="2:17" ht="15" customHeight="1">
      <c r="B98" s="381"/>
      <c r="E98" s="279" t="s">
        <v>522</v>
      </c>
      <c r="F98" s="279"/>
      <c r="G98" s="279"/>
      <c r="H98" s="279"/>
      <c r="I98" s="279"/>
      <c r="J98" s="384"/>
      <c r="M98" s="279" t="s">
        <v>522</v>
      </c>
      <c r="N98" s="279"/>
      <c r="O98" s="279"/>
      <c r="P98" s="279"/>
      <c r="Q98" s="279"/>
    </row>
    <row r="99" spans="2:17" ht="15" customHeight="1">
      <c r="B99" s="381"/>
      <c r="D99" s="401">
        <f ca="1">D73</f>
        <v>157.60084086350756</v>
      </c>
      <c r="E99" s="402">
        <f>F99-1</f>
        <v>11</v>
      </c>
      <c r="F99" s="402">
        <f>G99-1</f>
        <v>12</v>
      </c>
      <c r="G99" s="403">
        <v>13</v>
      </c>
      <c r="H99" s="402">
        <f>G99+1</f>
        <v>14</v>
      </c>
      <c r="I99" s="402">
        <f>H99+1</f>
        <v>15</v>
      </c>
      <c r="J99" s="404"/>
      <c r="L99" s="390">
        <f ca="1">D78</f>
        <v>16.285356980736143</v>
      </c>
      <c r="M99" s="402">
        <f>N99-1</f>
        <v>11</v>
      </c>
      <c r="N99" s="402">
        <f>O99-1</f>
        <v>12</v>
      </c>
      <c r="O99" s="403">
        <v>13</v>
      </c>
      <c r="P99" s="402">
        <f>O99+1</f>
        <v>14</v>
      </c>
      <c r="Q99" s="405">
        <f>P99+1</f>
        <v>15</v>
      </c>
    </row>
    <row r="100" spans="2:17" ht="15" customHeight="1">
      <c r="B100" s="381"/>
      <c r="D100" s="392">
        <f t="shared" ref="D100" si="16">D101+0.01</f>
        <v>0.10999999999999999</v>
      </c>
      <c r="E100" s="393">
        <v>20.680633001583054</v>
      </c>
      <c r="F100" s="393">
        <v>20.680633001583054</v>
      </c>
      <c r="G100" s="393">
        <v>20.680633001583054</v>
      </c>
      <c r="H100" s="393">
        <v>20.680633001583054</v>
      </c>
      <c r="I100" s="393">
        <v>20.680633001583054</v>
      </c>
      <c r="J100" s="394"/>
      <c r="L100" s="392">
        <f t="shared" ref="L100" si="17">L101+0.01</f>
        <v>0.10999999999999999</v>
      </c>
      <c r="M100" s="395" t="e">
        <v>#DIV/0!</v>
      </c>
      <c r="N100" s="395" t="e">
        <v>#DIV/0!</v>
      </c>
      <c r="O100" s="395" t="e">
        <v>#DIV/0!</v>
      </c>
      <c r="P100" s="395" t="e">
        <v>#DIV/0!</v>
      </c>
      <c r="Q100" s="395" t="e">
        <v>#DIV/0!</v>
      </c>
    </row>
    <row r="101" spans="2:17" ht="15" customHeight="1">
      <c r="B101" s="381"/>
      <c r="D101" s="392">
        <f>D102+0.01</f>
        <v>9.9999999999999992E-2</v>
      </c>
      <c r="E101" s="393">
        <v>20.680633001583054</v>
      </c>
      <c r="F101" s="393">
        <v>20.680633001583054</v>
      </c>
      <c r="G101" s="393">
        <v>20.680633001583054</v>
      </c>
      <c r="H101" s="393">
        <v>20.680633001583054</v>
      </c>
      <c r="I101" s="393">
        <v>20.680633001583054</v>
      </c>
      <c r="J101" s="394"/>
      <c r="L101" s="392">
        <f>L102+0.01</f>
        <v>9.9999999999999992E-2</v>
      </c>
      <c r="M101" s="395" t="e">
        <v>#DIV/0!</v>
      </c>
      <c r="N101" s="395" t="e">
        <v>#DIV/0!</v>
      </c>
      <c r="O101" s="395" t="e">
        <v>#DIV/0!</v>
      </c>
      <c r="P101" s="395" t="e">
        <v>#DIV/0!</v>
      </c>
      <c r="Q101" s="395" t="e">
        <v>#DIV/0!</v>
      </c>
    </row>
    <row r="102" spans="2:17" ht="15" customHeight="1">
      <c r="B102" s="381"/>
      <c r="C102" s="188" t="s">
        <v>519</v>
      </c>
      <c r="D102" s="396">
        <v>0.09</v>
      </c>
      <c r="E102" s="393">
        <v>20.680633001583054</v>
      </c>
      <c r="F102" s="393">
        <v>20.680633001583054</v>
      </c>
      <c r="G102" s="393">
        <v>20.680633001583054</v>
      </c>
      <c r="H102" s="393">
        <v>20.680633001583054</v>
      </c>
      <c r="I102" s="393">
        <v>20.680633001583054</v>
      </c>
      <c r="J102" s="394"/>
      <c r="K102" s="188" t="s">
        <v>519</v>
      </c>
      <c r="L102" s="396">
        <v>0.09</v>
      </c>
      <c r="M102" s="395" t="e">
        <v>#DIV/0!</v>
      </c>
      <c r="N102" s="395" t="e">
        <v>#DIV/0!</v>
      </c>
      <c r="O102" s="395" t="e">
        <v>#DIV/0!</v>
      </c>
      <c r="P102" s="395" t="e">
        <v>#DIV/0!</v>
      </c>
      <c r="Q102" s="395" t="e">
        <v>#DIV/0!</v>
      </c>
    </row>
    <row r="103" spans="2:17" ht="15" customHeight="1">
      <c r="B103" s="381"/>
      <c r="D103" s="392">
        <f t="shared" ref="D103:D104" si="18">D102-0.01</f>
        <v>0.08</v>
      </c>
      <c r="E103" s="393">
        <v>20.680633001583054</v>
      </c>
      <c r="F103" s="393">
        <v>20.680633001583054</v>
      </c>
      <c r="G103" s="393">
        <v>20.680633001583054</v>
      </c>
      <c r="H103" s="393">
        <v>20.680633001583054</v>
      </c>
      <c r="I103" s="393">
        <v>20.680633001583054</v>
      </c>
      <c r="J103" s="394"/>
      <c r="L103" s="392">
        <f t="shared" ref="L103:L104" si="19">L102-0.01</f>
        <v>0.08</v>
      </c>
      <c r="M103" s="395" t="e">
        <v>#DIV/0!</v>
      </c>
      <c r="N103" s="395" t="e">
        <v>#DIV/0!</v>
      </c>
      <c r="O103" s="395" t="e">
        <v>#DIV/0!</v>
      </c>
      <c r="P103" s="395" t="e">
        <v>#DIV/0!</v>
      </c>
      <c r="Q103" s="395" t="e">
        <v>#DIV/0!</v>
      </c>
    </row>
    <row r="104" spans="2:17" ht="15" customHeight="1">
      <c r="B104" s="381"/>
      <c r="D104" s="398">
        <f t="shared" si="18"/>
        <v>7.0000000000000007E-2</v>
      </c>
      <c r="E104" s="393">
        <v>20.680633001583054</v>
      </c>
      <c r="F104" s="393">
        <v>20.680633001583054</v>
      </c>
      <c r="G104" s="393">
        <v>20.680633001583054</v>
      </c>
      <c r="H104" s="393">
        <v>20.680633001583054</v>
      </c>
      <c r="I104" s="393">
        <v>20.680633001583054</v>
      </c>
      <c r="J104" s="394"/>
      <c r="L104" s="398">
        <f t="shared" si="19"/>
        <v>7.0000000000000007E-2</v>
      </c>
      <c r="M104" s="395" t="e">
        <v>#DIV/0!</v>
      </c>
      <c r="N104" s="395" t="e">
        <v>#DIV/0!</v>
      </c>
      <c r="O104" s="395" t="e">
        <v>#DIV/0!</v>
      </c>
      <c r="P104" s="395" t="e">
        <v>#DIV/0!</v>
      </c>
      <c r="Q104" s="395" t="e">
        <v>#DIV/0!</v>
      </c>
    </row>
    <row r="105" spans="2:17">
      <c r="J105" s="406"/>
    </row>
    <row r="106" spans="2:17">
      <c r="B106" s="407" t="s">
        <v>523</v>
      </c>
      <c r="C106" s="407"/>
      <c r="D106" s="407"/>
      <c r="E106" s="407"/>
      <c r="G106" s="407" t="s">
        <v>524</v>
      </c>
      <c r="H106" s="407"/>
      <c r="I106" s="407"/>
      <c r="J106" s="408"/>
      <c r="K106" s="407"/>
      <c r="L106" s="407"/>
      <c r="M106" s="407"/>
      <c r="N106" s="407"/>
      <c r="O106" s="407"/>
      <c r="P106" s="407"/>
    </row>
    <row r="107" spans="2:17">
      <c r="J107" s="406"/>
    </row>
    <row r="108" spans="2:17">
      <c r="J108" s="406"/>
    </row>
    <row r="109" spans="2:17">
      <c r="J109" s="406"/>
    </row>
    <row r="110" spans="2:17">
      <c r="J110" s="406"/>
    </row>
    <row r="111" spans="2:17">
      <c r="J111" s="406"/>
    </row>
    <row r="112" spans="2:17">
      <c r="J112" s="406"/>
    </row>
    <row r="113" spans="2:17">
      <c r="J113" s="406"/>
    </row>
    <row r="114" spans="2:17">
      <c r="J114" s="406"/>
    </row>
    <row r="115" spans="2:17">
      <c r="J115" s="406"/>
    </row>
    <row r="116" spans="2:17">
      <c r="J116" s="406"/>
    </row>
    <row r="117" spans="2:17">
      <c r="J117" s="406"/>
    </row>
    <row r="118" spans="2:17">
      <c r="J118" s="406"/>
    </row>
    <row r="119" spans="2:17">
      <c r="J119" s="406"/>
    </row>
    <row r="120" spans="2:17">
      <c r="J120" s="406"/>
      <c r="M120" s="409"/>
    </row>
    <row r="121" spans="2:17">
      <c r="J121" s="406"/>
    </row>
    <row r="122" spans="2:17">
      <c r="J122" s="406"/>
    </row>
    <row r="123" spans="2:17">
      <c r="J123" s="406"/>
    </row>
    <row r="124" spans="2:17">
      <c r="J124" s="406"/>
    </row>
    <row r="125" spans="2:17">
      <c r="J125" s="406"/>
    </row>
    <row r="126" spans="2:17">
      <c r="J126" s="406"/>
    </row>
    <row r="127" spans="2:17">
      <c r="B127" s="410"/>
      <c r="C127" s="411" t="s">
        <v>525</v>
      </c>
      <c r="D127" s="411" t="s">
        <v>526</v>
      </c>
      <c r="E127" s="412" t="s">
        <v>307</v>
      </c>
      <c r="G127" s="410"/>
      <c r="H127" s="271"/>
      <c r="I127" s="271"/>
      <c r="J127" s="413"/>
      <c r="K127" s="271"/>
      <c r="L127" s="271"/>
      <c r="M127" s="271"/>
      <c r="N127" s="271"/>
      <c r="O127" s="411" t="s">
        <v>525</v>
      </c>
      <c r="P127" s="411" t="s">
        <v>526</v>
      </c>
      <c r="Q127" s="412" t="s">
        <v>307</v>
      </c>
    </row>
    <row r="128" spans="2:17">
      <c r="B128" s="414" t="str">
        <f>"DCF Value at "&amp;TEXT(E99,"0.0x")&amp;"-"&amp;TEXT(I99,"0.0x")&amp;" Exit EBITDA Range at "&amp;TEXT(D102,"0.0%")&amp;" WACC"</f>
        <v>DCF Value at 11.0x-15.0x Exit EBITDA Range at 9.0% WACC</v>
      </c>
      <c r="C128" s="299">
        <f>E102</f>
        <v>20.680633001583054</v>
      </c>
      <c r="D128" s="299">
        <f>E128-C128</f>
        <v>0</v>
      </c>
      <c r="E128" s="415">
        <f>I102</f>
        <v>20.680633001583054</v>
      </c>
      <c r="G128" s="414" t="str">
        <f>"LTM EBITDA Purchase Multiple at "&amp;TEXT(M90,"0.0%")&amp;"-"&amp;TEXT(Q90,"0.0%")&amp;" Perpetuity Growth at "&amp;TEXT(L93,"0.0%")&amp;" WACC"</f>
        <v>LTM EBITDA Purchase Multiple at 2.0%-4.0% Perpetuity Growth at 9.0% WACC</v>
      </c>
      <c r="J128" s="406"/>
      <c r="O128" s="311" t="e">
        <f>M93</f>
        <v>#DIV/0!</v>
      </c>
      <c r="P128" s="311" t="e">
        <f>Q128-O128</f>
        <v>#DIV/0!</v>
      </c>
      <c r="Q128" s="416" t="e">
        <f>Q93</f>
        <v>#DIV/0!</v>
      </c>
    </row>
    <row r="129" spans="2:17">
      <c r="B129" s="417" t="str">
        <f>"DCF Value at "&amp;TEXT(E90,"0.0%")&amp;"-"&amp;TEXT(I90,"0.0%")&amp;" Perpetuity Range at "&amp;TEXT(D102,"0.0%")&amp;" WACC"</f>
        <v>DCF Value at 2.0%-4.0% Perpetuity Range at 9.0% WACC</v>
      </c>
      <c r="C129" s="299">
        <f>E93</f>
        <v>20.680633001583054</v>
      </c>
      <c r="D129" s="299">
        <f>E129-C129</f>
        <v>0</v>
      </c>
      <c r="E129" s="415">
        <f>I93</f>
        <v>20.680633001583054</v>
      </c>
      <c r="G129" s="417" t="e">
        <f>"LTM EBITDA Purchase Multiple at "&amp;TEXT(M102,"0.0x")&amp;"-"&amp;TEXT(Q102,"0.0x")&amp;" Exit EBITDA Multiple at "&amp;TEXT(L102,"0.0%")&amp;" WACC"</f>
        <v>#DIV/0!</v>
      </c>
      <c r="J129" s="406"/>
      <c r="O129" s="311" t="e">
        <f>M102</f>
        <v>#DIV/0!</v>
      </c>
      <c r="P129" s="311" t="e">
        <f>Q129-O129</f>
        <v>#DIV/0!</v>
      </c>
      <c r="Q129" s="416" t="e">
        <f>Q102</f>
        <v>#DIV/0!</v>
      </c>
    </row>
    <row r="130" spans="2:17">
      <c r="B130" s="418" t="s">
        <v>527</v>
      </c>
      <c r="C130" s="419">
        <v>169.5</v>
      </c>
      <c r="D130" s="420">
        <f>E130-C130</f>
        <v>158.35000000000002</v>
      </c>
      <c r="E130" s="421">
        <v>327.85</v>
      </c>
      <c r="G130" s="418" t="str">
        <f>"LTM EBITDA Purchase Multiple at "&amp;TEXT(L104,"0.0%")&amp;"-"&amp;TEXT(L100,"0.0%")&amp;" WACC at "&amp;TEXT(O99,"0.0x")&amp;" Exit EBITDA"</f>
        <v>LTM EBITDA Purchase Multiple at 7.0%-11.0% WACC at 13.0x Exit EBITDA</v>
      </c>
      <c r="H130" s="123"/>
      <c r="I130" s="123"/>
      <c r="J130" s="422"/>
      <c r="K130" s="123"/>
      <c r="L130" s="123"/>
      <c r="M130" s="123"/>
      <c r="N130" s="123"/>
      <c r="O130" s="420" t="e">
        <f>O100</f>
        <v>#DIV/0!</v>
      </c>
      <c r="P130" s="420" t="e">
        <f>Q130-O130</f>
        <v>#DIV/0!</v>
      </c>
      <c r="Q130" s="423" t="e">
        <f>O104</f>
        <v>#DIV/0!</v>
      </c>
    </row>
    <row r="131" spans="2:17">
      <c r="J131" s="406"/>
    </row>
    <row r="132" spans="2:17">
      <c r="J132" s="406"/>
    </row>
  </sheetData>
  <conditionalFormatting sqref="E91:J95 E100:J104">
    <cfRule type="cellIs" dxfId="1" priority="1" operator="lessThan">
      <formula>$C$7</formula>
    </cfRule>
  </conditionalFormatting>
  <dataValidations count="1">
    <dataValidation type="list" allowBlank="1" showInputMessage="1" showErrorMessage="1" sqref="H7" xr:uid="{2A47C13B-7E3B-42F4-BD39-D0A796599366}">
      <formula1>"0,1"</formula1>
    </dataValidation>
  </dataValidations>
  <pageMargins left="0.7" right="0.7" top="0.75" bottom="0.75" header="0.3" footer="0.3"/>
  <ignoredErrors>
    <ignoredError sqref="D71" formula="1"/>
  </ignoredErrors>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222F-360D-4DA1-BCF5-0231D11F1122}">
  <sheetPr>
    <tabColor rgb="FFFF0000"/>
  </sheetPr>
  <dimension ref="B1:I47"/>
  <sheetViews>
    <sheetView showGridLines="0" zoomScale="115" zoomScaleNormal="115" workbookViewId="0">
      <selection activeCell="C46" sqref="C46"/>
    </sheetView>
  </sheetViews>
  <sheetFormatPr defaultColWidth="8" defaultRowHeight="12"/>
  <cols>
    <col min="1" max="1" width="1.25" style="9" customWidth="1"/>
    <col min="2" max="2" width="44" style="9" customWidth="1"/>
    <col min="3" max="3" width="11.75" style="9" customWidth="1"/>
    <col min="4" max="9" width="11.125" style="9" customWidth="1"/>
    <col min="10" max="10" width="1.5" style="9" customWidth="1"/>
    <col min="11" max="11" width="9.625" style="9" bestFit="1" customWidth="1"/>
    <col min="12" max="16" width="8.25" style="9" customWidth="1"/>
    <col min="17" max="16384" width="8" style="9"/>
  </cols>
  <sheetData>
    <row r="1" spans="2:9" ht="12.75" thickBot="1"/>
    <row r="2" spans="2:9" ht="12.75" thickBot="1">
      <c r="B2" s="111" t="s">
        <v>368</v>
      </c>
      <c r="C2" s="112"/>
      <c r="D2" s="112"/>
      <c r="E2" s="112"/>
      <c r="F2" s="112"/>
      <c r="G2" s="112"/>
      <c r="H2" s="112"/>
      <c r="I2" s="112"/>
    </row>
    <row r="3" spans="2:9">
      <c r="B3" s="262" t="str">
        <f>'[1]Financials '!$B$3</f>
        <v xml:space="preserve">$ and shares in millions, except per share data </v>
      </c>
    </row>
    <row r="4" spans="2:9">
      <c r="B4" s="263" t="s">
        <v>369</v>
      </c>
      <c r="C4" s="264"/>
      <c r="D4" s="115"/>
      <c r="E4" s="265"/>
      <c r="F4" s="266"/>
    </row>
    <row r="5" spans="2:9">
      <c r="E5" s="140" t="s">
        <v>370</v>
      </c>
    </row>
    <row r="6" spans="2:9">
      <c r="B6" s="9" t="s">
        <v>371</v>
      </c>
      <c r="C6" s="182">
        <v>1.7500000000000002E-2</v>
      </c>
      <c r="E6" s="9" t="s">
        <v>372</v>
      </c>
    </row>
    <row r="7" spans="2:9">
      <c r="B7" s="9" t="s">
        <v>173</v>
      </c>
      <c r="C7" s="273">
        <f>'[1]Simple DCF Done'!I22</f>
        <v>0.17299999999999999</v>
      </c>
      <c r="E7" s="9" t="s">
        <v>373</v>
      </c>
    </row>
    <row r="8" spans="2:9">
      <c r="B8" s="9" t="s">
        <v>374</v>
      </c>
      <c r="C8" s="183">
        <f>C6*(1-C7)</f>
        <v>1.4472500000000001E-2</v>
      </c>
      <c r="E8" s="9" t="s">
        <v>375</v>
      </c>
    </row>
    <row r="10" spans="2:9">
      <c r="B10" s="9" t="s">
        <v>376</v>
      </c>
      <c r="C10" s="182">
        <v>1.23E-2</v>
      </c>
      <c r="E10" s="9" t="s">
        <v>377</v>
      </c>
    </row>
    <row r="11" spans="2:9">
      <c r="B11" s="9" t="s">
        <v>30</v>
      </c>
      <c r="C11" s="274">
        <f>IF(C32="Observed",C34,C35)</f>
        <v>1.099</v>
      </c>
      <c r="E11" s="9" t="s">
        <v>378</v>
      </c>
    </row>
    <row r="12" spans="2:9">
      <c r="B12" s="9" t="s">
        <v>379</v>
      </c>
      <c r="C12" s="182">
        <v>5.5E-2</v>
      </c>
      <c r="E12" s="9" t="s">
        <v>380</v>
      </c>
    </row>
    <row r="13" spans="2:9">
      <c r="B13" s="9" t="s">
        <v>381</v>
      </c>
      <c r="C13" s="267">
        <f>C10+C11*C12</f>
        <v>7.2745000000000004E-2</v>
      </c>
      <c r="E13" s="9" t="s">
        <v>382</v>
      </c>
    </row>
    <row r="15" spans="2:9">
      <c r="B15" s="122" t="s">
        <v>383</v>
      </c>
      <c r="C15" s="123"/>
      <c r="D15" s="123"/>
      <c r="E15" s="123"/>
      <c r="F15" s="41"/>
    </row>
    <row r="16" spans="2:9">
      <c r="B16" s="41"/>
      <c r="C16" s="188"/>
      <c r="D16" s="188" t="s">
        <v>384</v>
      </c>
      <c r="F16" s="41"/>
    </row>
    <row r="17" spans="2:6" ht="14.25">
      <c r="C17" s="268" t="s">
        <v>385</v>
      </c>
      <c r="D17" s="268" t="s">
        <v>386</v>
      </c>
      <c r="E17" s="268" t="s">
        <v>387</v>
      </c>
    </row>
    <row r="18" spans="2:6">
      <c r="B18" s="9" t="s">
        <v>388</v>
      </c>
      <c r="C18" s="275">
        <f>'[1]Simple DCF Done'!H5*'[1]Simple DCF Done'!I61</f>
        <v>1223044.68</v>
      </c>
      <c r="D18" s="276"/>
      <c r="E18" s="155">
        <f>IF(D18,D18,C18/(C18+C19))</f>
        <v>1.0878512288018185</v>
      </c>
    </row>
    <row r="19" spans="2:6">
      <c r="B19" s="9" t="s">
        <v>22</v>
      </c>
      <c r="C19" s="275">
        <f>'[1]Simple DCF Done'!C65</f>
        <v>-98769</v>
      </c>
      <c r="D19" s="187">
        <f>1-D18</f>
        <v>1</v>
      </c>
      <c r="E19" s="155">
        <f>1-E18</f>
        <v>-8.7851228801818504E-2</v>
      </c>
    </row>
    <row r="21" spans="2:6">
      <c r="B21" s="269" t="s">
        <v>389</v>
      </c>
      <c r="C21" s="270"/>
      <c r="D21" s="271"/>
      <c r="E21" s="277">
        <f>C8*E19+C13*E18</f>
        <v>7.7864310730353978E-2</v>
      </c>
    </row>
    <row r="22" spans="2:6">
      <c r="B22" s="41"/>
      <c r="C22" s="278"/>
    </row>
    <row r="23" spans="2:6">
      <c r="B23" s="122" t="s">
        <v>390</v>
      </c>
      <c r="C23" s="123"/>
      <c r="D23" s="123"/>
      <c r="E23" s="123"/>
      <c r="F23" s="123"/>
    </row>
    <row r="24" spans="2:6">
      <c r="D24" s="279" t="s">
        <v>36</v>
      </c>
      <c r="E24" s="280"/>
      <c r="F24" s="279"/>
    </row>
    <row r="25" spans="2:6">
      <c r="C25" s="281">
        <f>E21</f>
        <v>7.7864310730353978E-2</v>
      </c>
      <c r="D25" s="282">
        <f>E25-0.1</f>
        <v>0.999</v>
      </c>
      <c r="E25" s="283">
        <v>1.099</v>
      </c>
      <c r="F25" s="284">
        <f>E25+0.1</f>
        <v>1.1990000000000001</v>
      </c>
    </row>
    <row r="26" spans="2:6">
      <c r="C26" s="285">
        <f>C27-0.005</f>
        <v>4.5000000000000005E-2</v>
      </c>
      <c r="D26" s="286">
        <v>6.1013495196213796E-2</v>
      </c>
      <c r="E26" s="161">
        <v>6.590882572582199E-2</v>
      </c>
      <c r="F26" s="161">
        <v>7.080415625543017E-2</v>
      </c>
    </row>
    <row r="27" spans="2:6">
      <c r="B27" s="188" t="s">
        <v>391</v>
      </c>
      <c r="C27" s="285">
        <f>C28-0.005</f>
        <v>0.05</v>
      </c>
      <c r="D27" s="161">
        <v>6.6447312084078877E-2</v>
      </c>
      <c r="E27" s="161">
        <v>7.1886568228087977E-2</v>
      </c>
      <c r="F27" s="161">
        <v>7.7325824372097077E-2</v>
      </c>
    </row>
    <row r="28" spans="2:6">
      <c r="B28" s="188" t="s">
        <v>392</v>
      </c>
      <c r="C28" s="287">
        <v>5.5E-2</v>
      </c>
      <c r="D28" s="161">
        <v>7.1881128971943958E-2</v>
      </c>
      <c r="E28" s="161">
        <v>7.7864310730353978E-2</v>
      </c>
      <c r="F28" s="161">
        <v>8.3847492488763983E-2</v>
      </c>
    </row>
    <row r="29" spans="2:6">
      <c r="B29" s="188" t="s">
        <v>393</v>
      </c>
      <c r="C29" s="285">
        <f>C28+0.005</f>
        <v>0.06</v>
      </c>
      <c r="D29" s="161">
        <v>7.7314945859809053E-2</v>
      </c>
      <c r="E29" s="161">
        <v>8.3842053232619965E-2</v>
      </c>
      <c r="F29" s="161">
        <v>9.0369160605430876E-2</v>
      </c>
    </row>
    <row r="30" spans="2:6">
      <c r="C30" s="285">
        <f>C29+0.005</f>
        <v>6.5000000000000002E-2</v>
      </c>
      <c r="D30" s="161">
        <v>8.2748762747674148E-2</v>
      </c>
      <c r="E30" s="161">
        <v>8.9819795734885952E-2</v>
      </c>
      <c r="F30" s="161">
        <v>9.6890828722097783E-2</v>
      </c>
    </row>
    <row r="31" spans="2:6">
      <c r="C31" s="288"/>
      <c r="D31" s="161"/>
      <c r="E31" s="161"/>
      <c r="F31" s="161"/>
    </row>
    <row r="32" spans="2:6">
      <c r="B32" s="9" t="s">
        <v>394</v>
      </c>
      <c r="C32" s="289" t="s">
        <v>395</v>
      </c>
    </row>
    <row r="34" spans="2:9">
      <c r="B34" s="70" t="s">
        <v>395</v>
      </c>
      <c r="C34" s="272">
        <v>1.099</v>
      </c>
      <c r="D34" s="9" t="s">
        <v>378</v>
      </c>
    </row>
    <row r="35" spans="2:9">
      <c r="B35" s="70" t="s">
        <v>396</v>
      </c>
      <c r="C35" s="290">
        <f>C46</f>
        <v>1.1781380433297848</v>
      </c>
      <c r="D35" s="9" t="s">
        <v>397</v>
      </c>
    </row>
    <row r="37" spans="2:9">
      <c r="B37" s="122" t="s">
        <v>396</v>
      </c>
      <c r="C37" s="122"/>
      <c r="D37" s="123"/>
      <c r="E37" s="123"/>
      <c r="F37" s="123"/>
      <c r="G37" s="123"/>
      <c r="H37" s="123"/>
      <c r="I37" s="123"/>
    </row>
    <row r="38" spans="2:9">
      <c r="H38" s="5"/>
    </row>
    <row r="39" spans="2:9" ht="12.75" thickBot="1">
      <c r="C39" s="291" t="s">
        <v>406</v>
      </c>
      <c r="D39" s="291" t="s">
        <v>398</v>
      </c>
      <c r="E39" s="291" t="s">
        <v>399</v>
      </c>
      <c r="F39" s="291" t="s">
        <v>400</v>
      </c>
      <c r="G39" s="292" t="s">
        <v>39</v>
      </c>
      <c r="H39" s="291" t="s">
        <v>173</v>
      </c>
      <c r="I39" s="291" t="s">
        <v>407</v>
      </c>
    </row>
    <row r="40" spans="2:9">
      <c r="B40" s="293" t="s">
        <v>401</v>
      </c>
      <c r="C40" s="272">
        <v>1.21</v>
      </c>
      <c r="D40" s="294">
        <v>136.96</v>
      </c>
      <c r="E40" s="134">
        <v>7662.8</v>
      </c>
      <c r="F40" s="76">
        <f>D40*E40</f>
        <v>1049497.088</v>
      </c>
      <c r="G40" s="134">
        <f>86343-131536</f>
        <v>-45193</v>
      </c>
      <c r="H40" s="142">
        <v>0.16400000000000001</v>
      </c>
      <c r="I40" s="290">
        <f>C40/(1+(1-H40)*(G40)/F40)</f>
        <v>1.2551860431468624</v>
      </c>
    </row>
    <row r="41" spans="2:9">
      <c r="B41" s="293" t="s">
        <v>402</v>
      </c>
      <c r="C41" s="272">
        <v>0.96</v>
      </c>
      <c r="D41" s="294">
        <v>1116.79</v>
      </c>
      <c r="E41" s="134">
        <v>694.2</v>
      </c>
      <c r="F41" s="76">
        <f>D41*E41</f>
        <v>775275.61800000002</v>
      </c>
      <c r="G41" s="134">
        <f>12272-113488</f>
        <v>-101216</v>
      </c>
      <c r="H41" s="142">
        <v>0.13900000000000001</v>
      </c>
      <c r="I41" s="290">
        <f t="shared" ref="I41:I43" si="0">C41/(1+(1-H41)*(G41)/F41)</f>
        <v>1.0815776990721453</v>
      </c>
    </row>
    <row r="42" spans="2:9">
      <c r="B42" s="293" t="s">
        <v>403</v>
      </c>
      <c r="C42" s="272">
        <v>1.58</v>
      </c>
      <c r="D42" s="294">
        <v>1952.32</v>
      </c>
      <c r="E42" s="134">
        <v>492.3</v>
      </c>
      <c r="F42" s="76">
        <f>D42*E42</f>
        <v>961127.13599999994</v>
      </c>
      <c r="G42" s="134">
        <f>69005-37020</f>
        <v>31985</v>
      </c>
      <c r="H42" s="142">
        <v>0.127</v>
      </c>
      <c r="I42" s="290">
        <f t="shared" si="0"/>
        <v>1.5353933693229584</v>
      </c>
    </row>
    <row r="43" spans="2:9">
      <c r="B43" s="293" t="s">
        <v>404</v>
      </c>
      <c r="C43" s="274">
        <f>C34</f>
        <v>1.099</v>
      </c>
      <c r="D43" s="295"/>
      <c r="E43" s="296"/>
      <c r="F43" s="135">
        <f>C18</f>
        <v>1223044.68</v>
      </c>
      <c r="G43" s="135">
        <f>C19</f>
        <v>-98769</v>
      </c>
      <c r="H43" s="297">
        <f>C7</f>
        <v>0.17299999999999999</v>
      </c>
      <c r="I43" s="290">
        <f t="shared" si="0"/>
        <v>1.1776502625326248</v>
      </c>
    </row>
    <row r="44" spans="2:9">
      <c r="C44" s="290"/>
      <c r="F44" s="76"/>
      <c r="G44" s="76"/>
      <c r="H44" s="76"/>
      <c r="I44" s="155"/>
    </row>
    <row r="45" spans="2:9">
      <c r="B45" s="9" t="s">
        <v>405</v>
      </c>
      <c r="C45" s="290">
        <f>AVERAGE(I40:I43)</f>
        <v>1.2624518435186478</v>
      </c>
    </row>
    <row r="46" spans="2:9">
      <c r="B46" s="41" t="str">
        <f>B43&amp;" beta"</f>
        <v>Apple (AAPL) beta</v>
      </c>
      <c r="C46" s="298">
        <f>C45*(1+(1-H43)*(G43)/F43)</f>
        <v>1.1781380433297848</v>
      </c>
    </row>
    <row r="47" spans="2:9">
      <c r="C47" s="299"/>
    </row>
  </sheetData>
  <conditionalFormatting sqref="B22:C24">
    <cfRule type="expression" dxfId="0" priority="1">
      <formula>#REF!="Industry"</formula>
    </cfRule>
  </conditionalFormatting>
  <dataValidations count="1">
    <dataValidation type="list" allowBlank="1" showInputMessage="1" showErrorMessage="1" sqref="C32" xr:uid="{5969403F-F59B-4DD9-94A4-15D44B9BB601}">
      <formula1>"Industry, Observed"</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F7DF-9DD1-4366-B49E-51C45A044389}">
  <sheetPr>
    <tabColor theme="5" tint="-0.249977111117893"/>
  </sheetPr>
  <dimension ref="B1:G41"/>
  <sheetViews>
    <sheetView showGridLines="0" workbookViewId="0">
      <selection activeCell="B41" sqref="B41"/>
    </sheetView>
  </sheetViews>
  <sheetFormatPr defaultColWidth="7.625" defaultRowHeight="12"/>
  <cols>
    <col min="1" max="1" width="1.25" style="9" customWidth="1"/>
    <col min="2" max="2" width="52.875" style="9" bestFit="1" customWidth="1"/>
    <col min="3" max="3" width="10" style="9" bestFit="1" customWidth="1"/>
    <col min="4" max="4" width="9.125" style="9" bestFit="1" customWidth="1"/>
    <col min="5" max="5" width="9.75" style="9" customWidth="1"/>
    <col min="6" max="6" width="8.75" style="9" bestFit="1" customWidth="1"/>
    <col min="7" max="7" width="9.75" style="9" bestFit="1" customWidth="1"/>
    <col min="8" max="16384" width="7.625" style="9"/>
  </cols>
  <sheetData>
    <row r="1" spans="2:5" ht="12.75" thickBot="1"/>
    <row r="2" spans="2:5" ht="12.75" thickBot="1">
      <c r="B2" s="111" t="s">
        <v>408</v>
      </c>
      <c r="C2" s="112"/>
      <c r="D2" s="112"/>
      <c r="E2" s="112"/>
    </row>
    <row r="3" spans="2:5">
      <c r="B3" s="262" t="str">
        <f>'[1]Financials '!$B$3</f>
        <v xml:space="preserve">$ and shares in millions, except per share data </v>
      </c>
    </row>
    <row r="4" spans="2:5">
      <c r="B4" s="9" t="s">
        <v>409</v>
      </c>
      <c r="E4" s="300">
        <f>DCF!H5</f>
        <v>262.82</v>
      </c>
    </row>
    <row r="6" spans="2:5">
      <c r="B6" s="41" t="s">
        <v>410</v>
      </c>
    </row>
    <row r="7" spans="2:5">
      <c r="B7" s="165"/>
      <c r="C7" s="301" t="s">
        <v>411</v>
      </c>
      <c r="D7" s="301" t="s">
        <v>412</v>
      </c>
      <c r="E7" s="301" t="s">
        <v>413</v>
      </c>
    </row>
    <row r="8" spans="2:5" ht="14.25">
      <c r="C8" s="302" t="s">
        <v>414</v>
      </c>
      <c r="D8" s="302" t="s">
        <v>415</v>
      </c>
      <c r="E8" s="302" t="s">
        <v>414</v>
      </c>
    </row>
    <row r="9" spans="2:5">
      <c r="B9" s="9" t="s">
        <v>416</v>
      </c>
      <c r="C9" s="272">
        <v>10</v>
      </c>
      <c r="D9" s="303">
        <v>67.45</v>
      </c>
      <c r="E9" s="274">
        <f>IF(D9&lt;=$E$4,C9,0)</f>
        <v>10</v>
      </c>
    </row>
    <row r="10" spans="2:5">
      <c r="B10" s="9" t="s">
        <v>417</v>
      </c>
      <c r="C10" s="272">
        <v>50</v>
      </c>
      <c r="D10" s="303">
        <v>112.63</v>
      </c>
      <c r="E10" s="274">
        <f t="shared" ref="E10:E15" si="0">IF(D10&lt;=$E$4,C10,0)</f>
        <v>50</v>
      </c>
    </row>
    <row r="11" spans="2:5">
      <c r="B11" s="9" t="s">
        <v>418</v>
      </c>
      <c r="C11" s="272">
        <v>10</v>
      </c>
      <c r="D11" s="303">
        <v>146.29</v>
      </c>
      <c r="E11" s="274">
        <f t="shared" si="0"/>
        <v>10</v>
      </c>
    </row>
    <row r="12" spans="2:5">
      <c r="B12" s="9" t="s">
        <v>419</v>
      </c>
      <c r="C12" s="272">
        <v>42</v>
      </c>
      <c r="D12" s="303">
        <v>218.91</v>
      </c>
      <c r="E12" s="274">
        <f t="shared" si="0"/>
        <v>42</v>
      </c>
    </row>
    <row r="13" spans="2:5">
      <c r="B13" s="9" t="s">
        <v>420</v>
      </c>
      <c r="C13" s="272">
        <v>20</v>
      </c>
      <c r="D13" s="303">
        <v>265.13</v>
      </c>
      <c r="E13" s="274">
        <f t="shared" si="0"/>
        <v>0</v>
      </c>
    </row>
    <row r="14" spans="2:5">
      <c r="B14" s="9" t="s">
        <v>421</v>
      </c>
      <c r="C14" s="272">
        <v>28</v>
      </c>
      <c r="D14" s="303">
        <v>302.61</v>
      </c>
      <c r="E14" s="274">
        <f t="shared" si="0"/>
        <v>0</v>
      </c>
    </row>
    <row r="15" spans="2:5" ht="14.25">
      <c r="B15" s="9" t="s">
        <v>422</v>
      </c>
      <c r="C15" s="304">
        <v>45</v>
      </c>
      <c r="D15" s="303">
        <v>309.74</v>
      </c>
      <c r="E15" s="274">
        <f t="shared" si="0"/>
        <v>0</v>
      </c>
    </row>
    <row r="16" spans="2:5">
      <c r="B16" s="9" t="s">
        <v>423</v>
      </c>
      <c r="C16" s="274">
        <f>SUM(C9:C15)</f>
        <v>205</v>
      </c>
      <c r="D16" s="274"/>
      <c r="E16" s="274">
        <f>SUM(E9:E15)</f>
        <v>112</v>
      </c>
    </row>
    <row r="17" spans="2:7">
      <c r="C17" s="272"/>
      <c r="D17" s="305"/>
      <c r="E17" s="290"/>
    </row>
    <row r="18" spans="2:7">
      <c r="B18" s="137" t="s">
        <v>424</v>
      </c>
      <c r="C18" s="76"/>
      <c r="E18" s="274">
        <f>SUMPRODUCT(D9:D15,E9:E15)</f>
        <v>16963.12</v>
      </c>
    </row>
    <row r="19" spans="2:7" ht="14.25">
      <c r="B19" s="137" t="s">
        <v>425</v>
      </c>
      <c r="E19" s="306">
        <f>-(E18/E4)</f>
        <v>-64.5427288638612</v>
      </c>
    </row>
    <row r="20" spans="2:7">
      <c r="B20" s="41" t="s">
        <v>426</v>
      </c>
      <c r="C20" s="41"/>
      <c r="D20" s="41"/>
      <c r="E20" s="307">
        <f>E16+E19</f>
        <v>47.4572711361388</v>
      </c>
    </row>
    <row r="21" spans="2:7">
      <c r="B21" s="41"/>
      <c r="C21" s="41"/>
      <c r="D21" s="41"/>
      <c r="E21" s="298"/>
    </row>
    <row r="22" spans="2:7">
      <c r="B22" s="308" t="s">
        <v>427</v>
      </c>
      <c r="C22" s="308"/>
      <c r="D22" s="165"/>
      <c r="E22" s="309"/>
    </row>
    <row r="23" spans="2:7">
      <c r="E23" s="41"/>
    </row>
    <row r="24" spans="2:7">
      <c r="B24" s="138" t="s">
        <v>428</v>
      </c>
    </row>
    <row r="25" spans="2:7">
      <c r="B25" s="9" t="s">
        <v>429</v>
      </c>
      <c r="E25" s="134">
        <v>14543</v>
      </c>
    </row>
    <row r="26" spans="2:7">
      <c r="B26" s="9" t="s">
        <v>430</v>
      </c>
      <c r="E26" s="294">
        <v>4</v>
      </c>
    </row>
    <row r="27" spans="2:7">
      <c r="B27" s="9" t="s">
        <v>431</v>
      </c>
      <c r="E27" s="310">
        <f>E25/E28</f>
        <v>250</v>
      </c>
    </row>
    <row r="28" spans="2:7">
      <c r="B28" s="9" t="s">
        <v>432</v>
      </c>
      <c r="E28" s="311">
        <f>E26*E25/1000</f>
        <v>58.171999999999997</v>
      </c>
      <c r="G28" s="312"/>
    </row>
    <row r="30" spans="2:7">
      <c r="B30" s="9" t="s">
        <v>433</v>
      </c>
      <c r="C30" s="41"/>
      <c r="E30" s="307">
        <f>IF(E27&lt;E4,E28,0)</f>
        <v>58.171999999999997</v>
      </c>
    </row>
    <row r="31" spans="2:7">
      <c r="B31" s="129" t="s">
        <v>434</v>
      </c>
      <c r="C31" s="129"/>
      <c r="E31" s="313">
        <f>IF(E30&gt;0,-E25,0)</f>
        <v>-14543</v>
      </c>
    </row>
    <row r="33" spans="2:7">
      <c r="B33" s="138" t="s">
        <v>435</v>
      </c>
    </row>
    <row r="34" spans="2:7">
      <c r="B34" s="9" t="s">
        <v>436</v>
      </c>
      <c r="E34" s="134">
        <v>34654</v>
      </c>
    </row>
    <row r="35" spans="2:7">
      <c r="B35" s="9" t="s">
        <v>437</v>
      </c>
      <c r="E35" s="272">
        <v>45.5</v>
      </c>
    </row>
    <row r="36" spans="2:7">
      <c r="B36" s="9" t="s">
        <v>438</v>
      </c>
      <c r="E36" s="294">
        <v>4.3</v>
      </c>
    </row>
    <row r="37" spans="2:7">
      <c r="B37" s="9" t="s">
        <v>432</v>
      </c>
      <c r="E37" s="274">
        <f>E35*E36</f>
        <v>195.65</v>
      </c>
      <c r="G37" s="312"/>
    </row>
    <row r="38" spans="2:7">
      <c r="B38" s="9" t="s">
        <v>431</v>
      </c>
      <c r="E38" s="314">
        <f>E34/E37</f>
        <v>177.12241247124967</v>
      </c>
    </row>
    <row r="39" spans="2:7">
      <c r="E39" s="314"/>
    </row>
    <row r="40" spans="2:7">
      <c r="B40" s="41" t="s">
        <v>433</v>
      </c>
      <c r="C40" s="41"/>
      <c r="E40" s="307">
        <f>IF(E38&lt;E4,E37,0)</f>
        <v>195.65</v>
      </c>
    </row>
    <row r="41" spans="2:7">
      <c r="B41" s="129" t="s">
        <v>434</v>
      </c>
      <c r="E41" s="135">
        <f>IF(E40&gt;0,-E34,0)</f>
        <v>-34654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Base Financials</vt:lpstr>
      <vt:lpstr>Revenue Drivers</vt:lpstr>
      <vt:lpstr>FCF</vt:lpstr>
      <vt:lpstr>3-Statement Model</vt:lpstr>
      <vt:lpstr>DCF</vt:lpstr>
      <vt:lpstr>WACC</vt:lpstr>
      <vt:lpstr>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dcterms:created xsi:type="dcterms:W3CDTF">2024-08-10T06:01:52Z</dcterms:created>
  <dcterms:modified xsi:type="dcterms:W3CDTF">2025-10-27T07:03:40Z</dcterms:modified>
</cp:coreProperties>
</file>