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8_{334D5F46-75B4-48A1-A8AA-3762B7AB8B7F}" xr6:coauthVersionLast="47" xr6:coauthVersionMax="47" xr10:uidLastSave="{00000000-0000-0000-0000-000000000000}"/>
  <bookViews>
    <workbookView xWindow="-28920" yWindow="-120" windowWidth="29040" windowHeight="15720" xr2:uid="{BC9106CE-9107-4097-8948-317996376CB5}"/>
  </bookViews>
  <sheets>
    <sheet name="Historical Financials" sheetId="8" r:id="rId1"/>
    <sheet name="Revenue Drivers" sheetId="10" r:id="rId2"/>
    <sheet name="FCF" sheetId="9" r:id="rId3"/>
    <sheet name="Debt Schedule" sheetId="21" r:id="rId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" i="8" l="1"/>
  <c r="AU119" i="8"/>
  <c r="AU118" i="8"/>
  <c r="AU117" i="8"/>
  <c r="AU116" i="8"/>
  <c r="AU115" i="8"/>
  <c r="AU15" i="8"/>
  <c r="AU14" i="8"/>
  <c r="AU13" i="8"/>
  <c r="AU38" i="8"/>
  <c r="AU36" i="8"/>
  <c r="AR35" i="8"/>
  <c r="AQ35" i="8"/>
  <c r="AP35" i="8"/>
  <c r="AO35" i="8"/>
  <c r="AN35" i="8"/>
  <c r="AN36" i="8" s="1"/>
  <c r="AM35" i="8"/>
  <c r="AL35" i="8"/>
  <c r="AL36" i="8" s="1"/>
  <c r="AK35" i="8"/>
  <c r="AJ35" i="8"/>
  <c r="AI35" i="8"/>
  <c r="AH35" i="8"/>
  <c r="AG35" i="8"/>
  <c r="AF35" i="8"/>
  <c r="AE35" i="8"/>
  <c r="AS35" i="8"/>
  <c r="AS36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AS38" i="8"/>
  <c r="AS39" i="8"/>
  <c r="AR39" i="8"/>
  <c r="AQ39" i="8"/>
  <c r="AP39" i="8"/>
  <c r="AO39" i="8"/>
  <c r="AN39" i="8"/>
  <c r="AM39" i="8"/>
  <c r="AL39" i="8"/>
  <c r="AG39" i="8"/>
  <c r="AF39" i="8"/>
  <c r="AE39" i="8"/>
  <c r="AR36" i="8"/>
  <c r="AQ36" i="8"/>
  <c r="AP36" i="8"/>
  <c r="AO36" i="8"/>
  <c r="AM36" i="8"/>
  <c r="AG36" i="8"/>
  <c r="AF36" i="8"/>
  <c r="AE36" i="8"/>
  <c r="Z38" i="8"/>
  <c r="Z35" i="8"/>
  <c r="V38" i="8"/>
  <c r="N14" i="8"/>
  <c r="N38" i="8"/>
  <c r="N35" i="8"/>
  <c r="V35" i="8"/>
  <c r="R38" i="8"/>
  <c r="R35" i="8"/>
  <c r="I35" i="8"/>
  <c r="T54" i="9"/>
  <c r="P54" i="9"/>
  <c r="L54" i="9"/>
  <c r="AK69" i="9"/>
  <c r="AJ69" i="9"/>
  <c r="AI69" i="9"/>
  <c r="AG69" i="9"/>
  <c r="AF69" i="9"/>
  <c r="AE69" i="9"/>
  <c r="AC69" i="9"/>
  <c r="AB69" i="9"/>
  <c r="AA69" i="9"/>
  <c r="Y69" i="9"/>
  <c r="T69" i="9"/>
  <c r="AH69" i="9" s="1"/>
  <c r="P69" i="9"/>
  <c r="AD69" i="9" s="1"/>
  <c r="L69" i="9"/>
  <c r="Z69" i="9" s="1"/>
  <c r="L24" i="21"/>
  <c r="L23" i="21"/>
  <c r="L22" i="21"/>
  <c r="L21" i="21"/>
  <c r="L20" i="21"/>
  <c r="L19" i="21"/>
  <c r="L18" i="21"/>
  <c r="L17" i="21"/>
  <c r="Z17" i="21" s="1"/>
  <c r="L16" i="21"/>
  <c r="L15" i="21"/>
  <c r="L14" i="21"/>
  <c r="L13" i="21"/>
  <c r="L12" i="21"/>
  <c r="L11" i="21"/>
  <c r="L10" i="21"/>
  <c r="L9" i="21"/>
  <c r="Z9" i="21" s="1"/>
  <c r="L8" i="21"/>
  <c r="L7" i="21"/>
  <c r="W25" i="21"/>
  <c r="W70" i="9" s="1"/>
  <c r="V25" i="21"/>
  <c r="V70" i="9" s="1"/>
  <c r="U25" i="21"/>
  <c r="U70" i="9" s="1"/>
  <c r="T25" i="21"/>
  <c r="S25" i="21"/>
  <c r="S70" i="9" s="1"/>
  <c r="R25" i="21"/>
  <c r="R70" i="9" s="1"/>
  <c r="Q25" i="21"/>
  <c r="Q70" i="9" s="1"/>
  <c r="P25" i="21"/>
  <c r="O25" i="21"/>
  <c r="O70" i="9" s="1"/>
  <c r="N25" i="21"/>
  <c r="N70" i="9" s="1"/>
  <c r="M25" i="21"/>
  <c r="M70" i="9" s="1"/>
  <c r="K25" i="21"/>
  <c r="K70" i="9" s="1"/>
  <c r="J25" i="21"/>
  <c r="J70" i="9" s="1"/>
  <c r="I25" i="21"/>
  <c r="I70" i="9" s="1"/>
  <c r="G25" i="21"/>
  <c r="F25" i="21"/>
  <c r="F70" i="9" s="1"/>
  <c r="E25" i="21"/>
  <c r="D25" i="21"/>
  <c r="C25" i="21"/>
  <c r="C70" i="9" s="1"/>
  <c r="D70" i="9"/>
  <c r="AK7" i="21"/>
  <c r="AJ7" i="21"/>
  <c r="AI7" i="21"/>
  <c r="AG7" i="21"/>
  <c r="AF7" i="21"/>
  <c r="AE7" i="21"/>
  <c r="AD7" i="21"/>
  <c r="AD25" i="21" s="1"/>
  <c r="AC7" i="21"/>
  <c r="AB7" i="21"/>
  <c r="AA7" i="21"/>
  <c r="Z7" i="21"/>
  <c r="Y7" i="21"/>
  <c r="T7" i="21"/>
  <c r="AH7" i="21" s="1"/>
  <c r="AH25" i="21" s="1"/>
  <c r="P7" i="21"/>
  <c r="G70" i="9"/>
  <c r="E70" i="9"/>
  <c r="AK8" i="21"/>
  <c r="AJ8" i="21"/>
  <c r="AI8" i="21"/>
  <c r="AG8" i="21"/>
  <c r="AF8" i="21"/>
  <c r="AE8" i="21"/>
  <c r="AC8" i="21"/>
  <c r="AB8" i="21"/>
  <c r="AA8" i="21"/>
  <c r="Z8" i="21"/>
  <c r="Y8" i="21"/>
  <c r="T8" i="21"/>
  <c r="AH8" i="21" s="1"/>
  <c r="P8" i="21"/>
  <c r="AD8" i="21" s="1"/>
  <c r="P24" i="21"/>
  <c r="AD24" i="21" s="1"/>
  <c r="P23" i="21"/>
  <c r="AD23" i="21" s="1"/>
  <c r="P22" i="21"/>
  <c r="AD22" i="21" s="1"/>
  <c r="P21" i="21"/>
  <c r="AD21" i="21" s="1"/>
  <c r="P20" i="21"/>
  <c r="AD20" i="21" s="1"/>
  <c r="P19" i="21"/>
  <c r="P18" i="21"/>
  <c r="AD18" i="21" s="1"/>
  <c r="P17" i="21"/>
  <c r="AD17" i="21" s="1"/>
  <c r="P16" i="21"/>
  <c r="AD16" i="21" s="1"/>
  <c r="P15" i="21"/>
  <c r="AD15" i="21" s="1"/>
  <c r="P14" i="21"/>
  <c r="AD14" i="21" s="1"/>
  <c r="P13" i="21"/>
  <c r="P12" i="21"/>
  <c r="AD12" i="21" s="1"/>
  <c r="P11" i="21"/>
  <c r="P10" i="21"/>
  <c r="AD10" i="21" s="1"/>
  <c r="P9" i="21"/>
  <c r="AD9" i="21" s="1"/>
  <c r="T24" i="21"/>
  <c r="AH24" i="21" s="1"/>
  <c r="T23" i="21"/>
  <c r="AH23" i="21" s="1"/>
  <c r="T22" i="21"/>
  <c r="AH22" i="21" s="1"/>
  <c r="T21" i="21"/>
  <c r="T20" i="21"/>
  <c r="T19" i="21"/>
  <c r="T18" i="21"/>
  <c r="T17" i="21"/>
  <c r="AH17" i="21" s="1"/>
  <c r="T16" i="21"/>
  <c r="AH16" i="21" s="1"/>
  <c r="T15" i="21"/>
  <c r="T14" i="21"/>
  <c r="AH14" i="21" s="1"/>
  <c r="T13" i="21"/>
  <c r="T12" i="21"/>
  <c r="AH12" i="21" s="1"/>
  <c r="T11" i="21"/>
  <c r="T10" i="21"/>
  <c r="AH10" i="21" s="1"/>
  <c r="T9" i="21"/>
  <c r="AH9" i="21" s="1"/>
  <c r="AJ24" i="21"/>
  <c r="AI24" i="21"/>
  <c r="AG24" i="21"/>
  <c r="AF24" i="21"/>
  <c r="AE24" i="21"/>
  <c r="AC24" i="21"/>
  <c r="AB24" i="21"/>
  <c r="AA24" i="21"/>
  <c r="Z24" i="21"/>
  <c r="Y24" i="21"/>
  <c r="AJ23" i="21"/>
  <c r="AI23" i="21"/>
  <c r="AG23" i="21"/>
  <c r="AF23" i="21"/>
  <c r="AE23" i="21"/>
  <c r="AC23" i="21"/>
  <c r="AB23" i="21"/>
  <c r="AA23" i="21"/>
  <c r="Z23" i="21"/>
  <c r="Y23" i="21"/>
  <c r="AJ22" i="21"/>
  <c r="AI22" i="21"/>
  <c r="AG22" i="21"/>
  <c r="AF22" i="21"/>
  <c r="AE22" i="21"/>
  <c r="AC22" i="21"/>
  <c r="AB22" i="21"/>
  <c r="AA22" i="21"/>
  <c r="Z22" i="21"/>
  <c r="Y22" i="21"/>
  <c r="AJ21" i="21"/>
  <c r="AI21" i="21"/>
  <c r="AH21" i="21"/>
  <c r="AG21" i="21"/>
  <c r="AF21" i="21"/>
  <c r="AE21" i="21"/>
  <c r="AC21" i="21"/>
  <c r="AB21" i="21"/>
  <c r="AA21" i="21"/>
  <c r="Z21" i="21"/>
  <c r="Y21" i="21"/>
  <c r="AJ20" i="21"/>
  <c r="AI20" i="21"/>
  <c r="AH20" i="21"/>
  <c r="AG20" i="21"/>
  <c r="AF20" i="21"/>
  <c r="AE20" i="21"/>
  <c r="AC20" i="21"/>
  <c r="AB20" i="21"/>
  <c r="AA20" i="21"/>
  <c r="Z20" i="21"/>
  <c r="Y20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AJ18" i="21"/>
  <c r="AI18" i="21"/>
  <c r="AH18" i="21"/>
  <c r="AG18" i="21"/>
  <c r="AF18" i="21"/>
  <c r="AE18" i="21"/>
  <c r="AC18" i="21"/>
  <c r="AB18" i="21"/>
  <c r="AA18" i="21"/>
  <c r="Z18" i="21"/>
  <c r="Y18" i="21"/>
  <c r="AJ17" i="21"/>
  <c r="AI17" i="21"/>
  <c r="AG17" i="21"/>
  <c r="AF17" i="21"/>
  <c r="AE17" i="21"/>
  <c r="AC17" i="21"/>
  <c r="AB17" i="21"/>
  <c r="AA17" i="21"/>
  <c r="Y17" i="21"/>
  <c r="AJ16" i="21"/>
  <c r="AI16" i="21"/>
  <c r="AG16" i="21"/>
  <c r="AF16" i="21"/>
  <c r="AE16" i="21"/>
  <c r="AC16" i="21"/>
  <c r="AB16" i="21"/>
  <c r="AA16" i="21"/>
  <c r="Z16" i="21"/>
  <c r="Y16" i="21"/>
  <c r="AJ15" i="21"/>
  <c r="AI15" i="21"/>
  <c r="AH15" i="21"/>
  <c r="AG15" i="21"/>
  <c r="AF15" i="21"/>
  <c r="AE15" i="21"/>
  <c r="AC15" i="21"/>
  <c r="AB15" i="21"/>
  <c r="AA15" i="21"/>
  <c r="Z15" i="21"/>
  <c r="Y15" i="21"/>
  <c r="AJ14" i="21"/>
  <c r="AI14" i="21"/>
  <c r="AG14" i="21"/>
  <c r="AF14" i="21"/>
  <c r="AE14" i="21"/>
  <c r="AC14" i="21"/>
  <c r="AB14" i="21"/>
  <c r="AA14" i="21"/>
  <c r="Z14" i="21"/>
  <c r="Y14" i="21"/>
  <c r="AJ13" i="21"/>
  <c r="AI13" i="21"/>
  <c r="AH13" i="21"/>
  <c r="AG13" i="21"/>
  <c r="AF13" i="21"/>
  <c r="AE13" i="21"/>
  <c r="AD13" i="21"/>
  <c r="AC13" i="21"/>
  <c r="AB13" i="21"/>
  <c r="AA13" i="21"/>
  <c r="Z13" i="21"/>
  <c r="Y13" i="21"/>
  <c r="AJ12" i="21"/>
  <c r="AI12" i="21"/>
  <c r="AG12" i="21"/>
  <c r="AF12" i="21"/>
  <c r="AE12" i="21"/>
  <c r="AC12" i="21"/>
  <c r="AB12" i="21"/>
  <c r="AA12" i="21"/>
  <c r="Z12" i="21"/>
  <c r="Y12" i="21"/>
  <c r="AJ11" i="21"/>
  <c r="AI11" i="21"/>
  <c r="AH11" i="21"/>
  <c r="AG11" i="21"/>
  <c r="AF11" i="21"/>
  <c r="AE11" i="21"/>
  <c r="AD11" i="21"/>
  <c r="AC11" i="21"/>
  <c r="AB11" i="21"/>
  <c r="AA11" i="21"/>
  <c r="Z11" i="21"/>
  <c r="Y11" i="21"/>
  <c r="AJ10" i="21"/>
  <c r="AI10" i="21"/>
  <c r="AG10" i="21"/>
  <c r="AF10" i="21"/>
  <c r="AE10" i="21"/>
  <c r="AC10" i="21"/>
  <c r="AB10" i="21"/>
  <c r="AA10" i="21"/>
  <c r="Z10" i="21"/>
  <c r="Y10" i="21"/>
  <c r="AJ9" i="21"/>
  <c r="AI9" i="21"/>
  <c r="AG9" i="21"/>
  <c r="AF9" i="21"/>
  <c r="AE9" i="21"/>
  <c r="AC9" i="21"/>
  <c r="AB9" i="21"/>
  <c r="AA9" i="21"/>
  <c r="Y9" i="21"/>
  <c r="AK23" i="21"/>
  <c r="AK22" i="21"/>
  <c r="AK21" i="21"/>
  <c r="AK20" i="21"/>
  <c r="AK19" i="21"/>
  <c r="AK18" i="21"/>
  <c r="AK17" i="21"/>
  <c r="AK16" i="21"/>
  <c r="AK15" i="21"/>
  <c r="AK14" i="21"/>
  <c r="AK13" i="21"/>
  <c r="AK12" i="21"/>
  <c r="AK11" i="21"/>
  <c r="AK10" i="21"/>
  <c r="AK9" i="21"/>
  <c r="AK24" i="21"/>
  <c r="W4" i="21"/>
  <c r="AK4" i="21" s="1"/>
  <c r="V4" i="21"/>
  <c r="AJ4" i="21" s="1"/>
  <c r="U4" i="21"/>
  <c r="AI4" i="21" s="1"/>
  <c r="S4" i="21"/>
  <c r="AG4" i="21" s="1"/>
  <c r="R4" i="21"/>
  <c r="AF4" i="21" s="1"/>
  <c r="Q4" i="21"/>
  <c r="AE4" i="21" s="1"/>
  <c r="O4" i="21"/>
  <c r="AC4" i="21" s="1"/>
  <c r="N4" i="21"/>
  <c r="AB4" i="21" s="1"/>
  <c r="M4" i="21"/>
  <c r="AA4" i="21" s="1"/>
  <c r="K4" i="21"/>
  <c r="Y4" i="21" s="1"/>
  <c r="J4" i="21"/>
  <c r="I4" i="21"/>
  <c r="G4" i="21"/>
  <c r="F4" i="21"/>
  <c r="E4" i="21"/>
  <c r="D4" i="21"/>
  <c r="C4" i="21"/>
  <c r="W3" i="21"/>
  <c r="AK3" i="21" s="1"/>
  <c r="V3" i="21"/>
  <c r="AJ3" i="21" s="1"/>
  <c r="U3" i="21"/>
  <c r="AI3" i="21" s="1"/>
  <c r="T3" i="21"/>
  <c r="AH3" i="21" s="1"/>
  <c r="S3" i="21"/>
  <c r="AG3" i="21" s="1"/>
  <c r="R3" i="21"/>
  <c r="AF3" i="21" s="1"/>
  <c r="Q3" i="21"/>
  <c r="AE3" i="21" s="1"/>
  <c r="P3" i="21"/>
  <c r="AD3" i="21" s="1"/>
  <c r="O3" i="21"/>
  <c r="AC3" i="21" s="1"/>
  <c r="N3" i="21"/>
  <c r="AB3" i="21" s="1"/>
  <c r="M3" i="21"/>
  <c r="AA3" i="21" s="1"/>
  <c r="L3" i="21"/>
  <c r="Z3" i="21" s="1"/>
  <c r="K3" i="21"/>
  <c r="Y3" i="21" s="1"/>
  <c r="J3" i="21"/>
  <c r="I3" i="21"/>
  <c r="G3" i="21"/>
  <c r="F3" i="21"/>
  <c r="E3" i="21"/>
  <c r="D3" i="21"/>
  <c r="C3" i="21"/>
  <c r="B2" i="21"/>
  <c r="AG25" i="21" l="1"/>
  <c r="AF25" i="21"/>
  <c r="AE25" i="21"/>
  <c r="AA25" i="21"/>
  <c r="AI25" i="21"/>
  <c r="AJ25" i="21"/>
  <c r="AK25" i="21"/>
  <c r="AB25" i="21"/>
  <c r="AC25" i="21"/>
  <c r="Y25" i="21"/>
  <c r="Z25" i="21"/>
  <c r="L25" i="21"/>
  <c r="L70" i="9" s="1"/>
  <c r="P70" i="9"/>
  <c r="T70" i="9"/>
  <c r="W61" i="9" l="1"/>
  <c r="AK61" i="9" s="1"/>
  <c r="V61" i="9"/>
  <c r="AJ61" i="9" s="1"/>
  <c r="U61" i="9"/>
  <c r="AI61" i="9" s="1"/>
  <c r="S61" i="9"/>
  <c r="AG61" i="9" s="1"/>
  <c r="R61" i="9"/>
  <c r="Q61" i="9"/>
  <c r="O61" i="9"/>
  <c r="N61" i="9"/>
  <c r="M61" i="9"/>
  <c r="K61" i="9"/>
  <c r="J61" i="9"/>
  <c r="I61" i="9"/>
  <c r="G61" i="9"/>
  <c r="F61" i="9"/>
  <c r="E61" i="9"/>
  <c r="D61" i="9"/>
  <c r="C61" i="9"/>
  <c r="W67" i="9"/>
  <c r="AK67" i="9" s="1"/>
  <c r="V67" i="9"/>
  <c r="AJ67" i="9" s="1"/>
  <c r="U67" i="9"/>
  <c r="AI67" i="9" s="1"/>
  <c r="S67" i="9"/>
  <c r="AG67" i="9" s="1"/>
  <c r="R67" i="9"/>
  <c r="Q67" i="9"/>
  <c r="O67" i="9"/>
  <c r="N67" i="9"/>
  <c r="M67" i="9"/>
  <c r="K67" i="9"/>
  <c r="J67" i="9"/>
  <c r="W66" i="9"/>
  <c r="AK66" i="9" s="1"/>
  <c r="V66" i="9"/>
  <c r="AJ66" i="9" s="1"/>
  <c r="U66" i="9"/>
  <c r="AI66" i="9" s="1"/>
  <c r="S66" i="9"/>
  <c r="AG66" i="9" s="1"/>
  <c r="R66" i="9"/>
  <c r="Q66" i="9"/>
  <c r="O66" i="9"/>
  <c r="N66" i="9"/>
  <c r="M66" i="9"/>
  <c r="K66" i="9"/>
  <c r="J66" i="9"/>
  <c r="I67" i="9"/>
  <c r="I66" i="9"/>
  <c r="G67" i="9"/>
  <c r="F67" i="9"/>
  <c r="E67" i="9"/>
  <c r="D67" i="9"/>
  <c r="C67" i="9"/>
  <c r="G66" i="9"/>
  <c r="F66" i="9"/>
  <c r="E66" i="9"/>
  <c r="D66" i="9"/>
  <c r="C66" i="9"/>
  <c r="W60" i="9"/>
  <c r="AK60" i="9" s="1"/>
  <c r="V60" i="9"/>
  <c r="AJ60" i="9" s="1"/>
  <c r="U60" i="9"/>
  <c r="AI60" i="9" s="1"/>
  <c r="S60" i="9"/>
  <c r="AG60" i="9" s="1"/>
  <c r="R60" i="9"/>
  <c r="Q60" i="9"/>
  <c r="O60" i="9"/>
  <c r="N60" i="9"/>
  <c r="M60" i="9"/>
  <c r="K60" i="9"/>
  <c r="J60" i="9"/>
  <c r="I60" i="9"/>
  <c r="G60" i="9"/>
  <c r="F60" i="9"/>
  <c r="E60" i="9"/>
  <c r="D60" i="9"/>
  <c r="C60" i="9"/>
  <c r="W59" i="9"/>
  <c r="V59" i="9"/>
  <c r="U59" i="9"/>
  <c r="S59" i="9"/>
  <c r="R59" i="9"/>
  <c r="Q59" i="9"/>
  <c r="O59" i="9"/>
  <c r="N59" i="9"/>
  <c r="M59" i="9"/>
  <c r="K59" i="9"/>
  <c r="J59" i="9"/>
  <c r="W58" i="9"/>
  <c r="V58" i="9"/>
  <c r="U58" i="9"/>
  <c r="S58" i="9"/>
  <c r="R58" i="9"/>
  <c r="Q58" i="9"/>
  <c r="O58" i="9"/>
  <c r="N58" i="9"/>
  <c r="M58" i="9"/>
  <c r="K58" i="9"/>
  <c r="J58" i="9"/>
  <c r="I59" i="9"/>
  <c r="G59" i="9"/>
  <c r="F59" i="9"/>
  <c r="E59" i="9"/>
  <c r="D59" i="9"/>
  <c r="C59" i="9"/>
  <c r="W53" i="9"/>
  <c r="V53" i="9"/>
  <c r="U53" i="9"/>
  <c r="S53" i="9"/>
  <c r="R53" i="9"/>
  <c r="Q53" i="9"/>
  <c r="O53" i="9"/>
  <c r="N53" i="9"/>
  <c r="M53" i="9"/>
  <c r="K53" i="9"/>
  <c r="J53" i="9"/>
  <c r="I53" i="9"/>
  <c r="W52" i="9"/>
  <c r="V52" i="9"/>
  <c r="U52" i="9"/>
  <c r="S52" i="9"/>
  <c r="R52" i="9"/>
  <c r="Q52" i="9"/>
  <c r="O52" i="9"/>
  <c r="N52" i="9"/>
  <c r="M52" i="9"/>
  <c r="K52" i="9"/>
  <c r="J52" i="9"/>
  <c r="I52" i="9"/>
  <c r="I58" i="9"/>
  <c r="G58" i="9"/>
  <c r="F58" i="9"/>
  <c r="E58" i="9"/>
  <c r="D58" i="9"/>
  <c r="C58" i="9"/>
  <c r="C45" i="9"/>
  <c r="D45" i="9"/>
  <c r="E45" i="9"/>
  <c r="F45" i="9"/>
  <c r="G45" i="9"/>
  <c r="I45" i="9"/>
  <c r="J45" i="9"/>
  <c r="K45" i="9"/>
  <c r="M45" i="9"/>
  <c r="N45" i="9"/>
  <c r="O45" i="9"/>
  <c r="Q45" i="9"/>
  <c r="R45" i="9"/>
  <c r="S45" i="9"/>
  <c r="U45" i="9"/>
  <c r="V45" i="9"/>
  <c r="W45" i="9"/>
  <c r="W37" i="9"/>
  <c r="V37" i="9"/>
  <c r="U37" i="9"/>
  <c r="S37" i="9"/>
  <c r="R37" i="9"/>
  <c r="Q37" i="9"/>
  <c r="O37" i="9"/>
  <c r="N37" i="9"/>
  <c r="M37" i="9"/>
  <c r="K37" i="9"/>
  <c r="J37" i="9"/>
  <c r="I37" i="9"/>
  <c r="W36" i="9"/>
  <c r="V36" i="9"/>
  <c r="U36" i="9"/>
  <c r="S36" i="9"/>
  <c r="R36" i="9"/>
  <c r="Q36" i="9"/>
  <c r="O36" i="9"/>
  <c r="N36" i="9"/>
  <c r="M36" i="9"/>
  <c r="K36" i="9"/>
  <c r="J36" i="9"/>
  <c r="I36" i="9"/>
  <c r="W46" i="9"/>
  <c r="V46" i="9"/>
  <c r="U46" i="9"/>
  <c r="S46" i="9"/>
  <c r="R46" i="9"/>
  <c r="Q46" i="9"/>
  <c r="O46" i="9"/>
  <c r="N46" i="9"/>
  <c r="M46" i="9"/>
  <c r="K46" i="9"/>
  <c r="J46" i="9"/>
  <c r="I46" i="9"/>
  <c r="W44" i="9"/>
  <c r="V44" i="9"/>
  <c r="U44" i="9"/>
  <c r="S44" i="9"/>
  <c r="R44" i="9"/>
  <c r="Q44" i="9"/>
  <c r="O44" i="9"/>
  <c r="N44" i="9"/>
  <c r="M44" i="9"/>
  <c r="K44" i="9"/>
  <c r="J44" i="9"/>
  <c r="I44" i="9"/>
  <c r="W43" i="9"/>
  <c r="V43" i="9"/>
  <c r="U43" i="9"/>
  <c r="S43" i="9"/>
  <c r="R43" i="9"/>
  <c r="Q43" i="9"/>
  <c r="O43" i="9"/>
  <c r="N43" i="9"/>
  <c r="M43" i="9"/>
  <c r="K43" i="9"/>
  <c r="J43" i="9"/>
  <c r="I43" i="9"/>
  <c r="W42" i="9"/>
  <c r="V42" i="9"/>
  <c r="U42" i="9"/>
  <c r="S42" i="9"/>
  <c r="R42" i="9"/>
  <c r="Q42" i="9"/>
  <c r="O42" i="9"/>
  <c r="N42" i="9"/>
  <c r="M42" i="9"/>
  <c r="K42" i="9"/>
  <c r="J42" i="9"/>
  <c r="I42" i="9"/>
  <c r="W41" i="9"/>
  <c r="V41" i="9"/>
  <c r="U41" i="9"/>
  <c r="S41" i="9"/>
  <c r="R41" i="9"/>
  <c r="Q41" i="9"/>
  <c r="O41" i="9"/>
  <c r="N41" i="9"/>
  <c r="M41" i="9"/>
  <c r="K41" i="9"/>
  <c r="J41" i="9"/>
  <c r="I41" i="9"/>
  <c r="W38" i="9"/>
  <c r="V38" i="9"/>
  <c r="U38" i="9"/>
  <c r="S38" i="9"/>
  <c r="R38" i="9"/>
  <c r="Q38" i="9"/>
  <c r="O38" i="9"/>
  <c r="N38" i="9"/>
  <c r="M38" i="9"/>
  <c r="K38" i="9"/>
  <c r="J38" i="9"/>
  <c r="W35" i="9"/>
  <c r="V35" i="9"/>
  <c r="U35" i="9"/>
  <c r="S35" i="9"/>
  <c r="R35" i="9"/>
  <c r="Q35" i="9"/>
  <c r="O35" i="9"/>
  <c r="N35" i="9"/>
  <c r="M35" i="9"/>
  <c r="K35" i="9"/>
  <c r="J35" i="9"/>
  <c r="I38" i="9"/>
  <c r="I35" i="9"/>
  <c r="W31" i="9"/>
  <c r="V31" i="9"/>
  <c r="U31" i="9"/>
  <c r="S31" i="9"/>
  <c r="R31" i="9"/>
  <c r="Q31" i="9"/>
  <c r="O31" i="9"/>
  <c r="N31" i="9"/>
  <c r="M31" i="9"/>
  <c r="K31" i="9"/>
  <c r="J31" i="9"/>
  <c r="I31" i="9"/>
  <c r="W26" i="9"/>
  <c r="V26" i="9"/>
  <c r="U26" i="9"/>
  <c r="S26" i="9"/>
  <c r="R26" i="9"/>
  <c r="Q26" i="9"/>
  <c r="O26" i="9"/>
  <c r="N26" i="9"/>
  <c r="M26" i="9"/>
  <c r="K26" i="9"/>
  <c r="J26" i="9"/>
  <c r="I26" i="9"/>
  <c r="W22" i="9"/>
  <c r="V22" i="9"/>
  <c r="U22" i="9"/>
  <c r="S22" i="9"/>
  <c r="R22" i="9"/>
  <c r="Q22" i="9"/>
  <c r="O22" i="9"/>
  <c r="N22" i="9"/>
  <c r="M22" i="9"/>
  <c r="K22" i="9"/>
  <c r="J22" i="9"/>
  <c r="I22" i="9"/>
  <c r="W21" i="9"/>
  <c r="V21" i="9"/>
  <c r="U21" i="9"/>
  <c r="S21" i="9"/>
  <c r="R21" i="9"/>
  <c r="Q21" i="9"/>
  <c r="O21" i="9"/>
  <c r="N21" i="9"/>
  <c r="M21" i="9"/>
  <c r="K21" i="9"/>
  <c r="J21" i="9"/>
  <c r="I21" i="9"/>
  <c r="W20" i="9"/>
  <c r="V20" i="9"/>
  <c r="U20" i="9"/>
  <c r="S20" i="9"/>
  <c r="R20" i="9"/>
  <c r="Q20" i="9"/>
  <c r="O20" i="9"/>
  <c r="N20" i="9"/>
  <c r="M20" i="9"/>
  <c r="K20" i="9"/>
  <c r="J20" i="9"/>
  <c r="I20" i="9"/>
  <c r="W15" i="9"/>
  <c r="W27" i="9" s="1"/>
  <c r="V15" i="9"/>
  <c r="V27" i="9" s="1"/>
  <c r="U15" i="9"/>
  <c r="U27" i="9" s="1"/>
  <c r="S15" i="9"/>
  <c r="S27" i="9" s="1"/>
  <c r="R15" i="9"/>
  <c r="R27" i="9" s="1"/>
  <c r="Q15" i="9"/>
  <c r="Q27" i="9" s="1"/>
  <c r="O15" i="9"/>
  <c r="O27" i="9" s="1"/>
  <c r="N15" i="9"/>
  <c r="N27" i="9" s="1"/>
  <c r="M15" i="9"/>
  <c r="M27" i="9" s="1"/>
  <c r="K15" i="9"/>
  <c r="K27" i="9" s="1"/>
  <c r="J15" i="9"/>
  <c r="J27" i="9" s="1"/>
  <c r="I15" i="9"/>
  <c r="I27" i="9" s="1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G46" i="9"/>
  <c r="F46" i="9"/>
  <c r="E46" i="9"/>
  <c r="D46" i="9"/>
  <c r="C46" i="9"/>
  <c r="G44" i="9"/>
  <c r="F44" i="9"/>
  <c r="E44" i="9"/>
  <c r="D44" i="9"/>
  <c r="C44" i="9"/>
  <c r="G53" i="9"/>
  <c r="F53" i="9"/>
  <c r="E53" i="9"/>
  <c r="D53" i="9"/>
  <c r="C53" i="9"/>
  <c r="G52" i="9"/>
  <c r="F52" i="9"/>
  <c r="E52" i="9"/>
  <c r="D52" i="9"/>
  <c r="C52" i="9"/>
  <c r="G43" i="9"/>
  <c r="F43" i="9"/>
  <c r="E43" i="9"/>
  <c r="D43" i="9"/>
  <c r="C43" i="9"/>
  <c r="G42" i="9"/>
  <c r="F42" i="9"/>
  <c r="E42" i="9"/>
  <c r="D42" i="9"/>
  <c r="C42" i="9"/>
  <c r="G41" i="9"/>
  <c r="F41" i="9"/>
  <c r="E41" i="9"/>
  <c r="D41" i="9"/>
  <c r="C41" i="9"/>
  <c r="G38" i="9"/>
  <c r="F38" i="9"/>
  <c r="E38" i="9"/>
  <c r="D38" i="9"/>
  <c r="C38" i="9"/>
  <c r="G37" i="9"/>
  <c r="F37" i="9"/>
  <c r="E37" i="9"/>
  <c r="D37" i="9"/>
  <c r="C37" i="9"/>
  <c r="G36" i="9"/>
  <c r="F36" i="9"/>
  <c r="E36" i="9"/>
  <c r="D36" i="9"/>
  <c r="C36" i="9"/>
  <c r="G35" i="9"/>
  <c r="F35" i="9"/>
  <c r="E35" i="9"/>
  <c r="D35" i="9"/>
  <c r="C35" i="9"/>
  <c r="G31" i="9"/>
  <c r="F31" i="9"/>
  <c r="E31" i="9"/>
  <c r="D31" i="9"/>
  <c r="C31" i="9"/>
  <c r="G26" i="9"/>
  <c r="F26" i="9"/>
  <c r="E26" i="9"/>
  <c r="D26" i="9"/>
  <c r="C26" i="9"/>
  <c r="G22" i="9"/>
  <c r="F22" i="9"/>
  <c r="E22" i="9"/>
  <c r="D22" i="9"/>
  <c r="C22" i="9"/>
  <c r="G21" i="9"/>
  <c r="F21" i="9"/>
  <c r="E21" i="9"/>
  <c r="D21" i="9"/>
  <c r="C21" i="9"/>
  <c r="G20" i="9"/>
  <c r="F20" i="9"/>
  <c r="E20" i="9"/>
  <c r="D20" i="9"/>
  <c r="C20" i="9"/>
  <c r="G15" i="9"/>
  <c r="G27" i="9" s="1"/>
  <c r="F15" i="9"/>
  <c r="F27" i="9" s="1"/>
  <c r="E15" i="9"/>
  <c r="E27" i="9" s="1"/>
  <c r="D15" i="9"/>
  <c r="D27" i="9" s="1"/>
  <c r="C15" i="9"/>
  <c r="C27" i="9" s="1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G10" i="9"/>
  <c r="F10" i="9"/>
  <c r="E10" i="9"/>
  <c r="D10" i="9"/>
  <c r="C10" i="9"/>
  <c r="G9" i="9"/>
  <c r="F9" i="9"/>
  <c r="E9" i="9"/>
  <c r="D9" i="9"/>
  <c r="C9" i="9"/>
  <c r="G8" i="9"/>
  <c r="F8" i="9"/>
  <c r="E8" i="9"/>
  <c r="D8" i="9"/>
  <c r="C8" i="9"/>
  <c r="G7" i="9"/>
  <c r="F7" i="9"/>
  <c r="E7" i="9"/>
  <c r="D7" i="9"/>
  <c r="C7" i="9"/>
  <c r="G6" i="9"/>
  <c r="F6" i="9"/>
  <c r="E6" i="9"/>
  <c r="D6" i="9"/>
  <c r="C6" i="9"/>
  <c r="B10" i="9"/>
  <c r="B9" i="9"/>
  <c r="B8" i="9"/>
  <c r="B7" i="9"/>
  <c r="B6" i="9"/>
  <c r="AG12" i="10"/>
  <c r="V13" i="10"/>
  <c r="AJ13" i="10" s="1"/>
  <c r="V12" i="10"/>
  <c r="AK12" i="10" s="1"/>
  <c r="AM12" i="10" s="1"/>
  <c r="V11" i="10"/>
  <c r="AK11" i="10" s="1"/>
  <c r="V10" i="10"/>
  <c r="V9" i="10"/>
  <c r="R13" i="10"/>
  <c r="AG13" i="10" s="1"/>
  <c r="R12" i="10"/>
  <c r="R11" i="10"/>
  <c r="AG11" i="10" s="1"/>
  <c r="R10" i="10"/>
  <c r="R9" i="10"/>
  <c r="N13" i="10"/>
  <c r="N12" i="10"/>
  <c r="N11" i="10"/>
  <c r="N10" i="10"/>
  <c r="N9" i="10"/>
  <c r="Y137" i="8"/>
  <c r="X137" i="8"/>
  <c r="W137" i="8"/>
  <c r="Y136" i="8"/>
  <c r="X136" i="8"/>
  <c r="W136" i="8"/>
  <c r="U137" i="8"/>
  <c r="T137" i="8"/>
  <c r="V137" i="8" s="1"/>
  <c r="U136" i="8"/>
  <c r="T136" i="8"/>
  <c r="S137" i="8"/>
  <c r="S136" i="8"/>
  <c r="Q137" i="8"/>
  <c r="P137" i="8"/>
  <c r="Q136" i="8"/>
  <c r="P136" i="8"/>
  <c r="O137" i="8"/>
  <c r="O136" i="8"/>
  <c r="M137" i="8"/>
  <c r="L137" i="8"/>
  <c r="K137" i="8"/>
  <c r="M136" i="8"/>
  <c r="L136" i="8"/>
  <c r="K136" i="8"/>
  <c r="AH110" i="8"/>
  <c r="AC129" i="8"/>
  <c r="AS129" i="8" s="1"/>
  <c r="AB129" i="8"/>
  <c r="AC125" i="8" s="1"/>
  <c r="AA129" i="8"/>
  <c r="AQ129" i="8" s="1"/>
  <c r="AB125" i="8"/>
  <c r="Y27" i="8"/>
  <c r="X27" i="8"/>
  <c r="W27" i="8"/>
  <c r="AA27" i="8"/>
  <c r="Y129" i="8"/>
  <c r="AS125" i="8" s="1"/>
  <c r="X129" i="8"/>
  <c r="Y125" i="8" s="1"/>
  <c r="W129" i="8"/>
  <c r="X125" i="8" s="1"/>
  <c r="U129" i="8"/>
  <c r="V125" i="8" s="1"/>
  <c r="T129" i="8"/>
  <c r="U125" i="8" s="1"/>
  <c r="S129" i="8"/>
  <c r="AI129" i="8" s="1"/>
  <c r="Q129" i="8"/>
  <c r="AK125" i="8" s="1"/>
  <c r="P129" i="8"/>
  <c r="AJ125" i="8" s="1"/>
  <c r="O129" i="8"/>
  <c r="P125" i="8" s="1"/>
  <c r="M129" i="8"/>
  <c r="N125" i="8" s="1"/>
  <c r="L129" i="8"/>
  <c r="M125" i="8" s="1"/>
  <c r="R110" i="8"/>
  <c r="AK110" i="8" s="1"/>
  <c r="R109" i="8"/>
  <c r="AJ109" i="8" s="1"/>
  <c r="R108" i="8"/>
  <c r="AK108" i="8" s="1"/>
  <c r="R107" i="8"/>
  <c r="AI107" i="8" s="1"/>
  <c r="R106" i="8"/>
  <c r="AJ106" i="8" s="1"/>
  <c r="S121" i="8"/>
  <c r="T121" i="8"/>
  <c r="U121" i="8"/>
  <c r="R114" i="8"/>
  <c r="AK114" i="8" s="1"/>
  <c r="R115" i="8"/>
  <c r="AK115" i="8" s="1"/>
  <c r="R116" i="8"/>
  <c r="AJ116" i="8" s="1"/>
  <c r="R117" i="8"/>
  <c r="AI117" i="8" s="1"/>
  <c r="R118" i="8"/>
  <c r="AH118" i="8" s="1"/>
  <c r="R119" i="8"/>
  <c r="AK119" i="8" s="1"/>
  <c r="R120" i="8"/>
  <c r="AK120" i="8" s="1"/>
  <c r="T125" i="8"/>
  <c r="K129" i="8"/>
  <c r="L125" i="8" s="1"/>
  <c r="I129" i="8"/>
  <c r="Z129" i="8" s="1"/>
  <c r="AA125" i="8" s="1"/>
  <c r="H129" i="8"/>
  <c r="V129" i="8" s="1"/>
  <c r="W125" i="8" s="1"/>
  <c r="G129" i="8"/>
  <c r="R129" i="8" s="1"/>
  <c r="S125" i="8" s="1"/>
  <c r="G27" i="8"/>
  <c r="H27" i="8"/>
  <c r="I27" i="8"/>
  <c r="F129" i="8"/>
  <c r="N129" i="8" s="1"/>
  <c r="O125" i="8" s="1"/>
  <c r="E129" i="8"/>
  <c r="F125" i="8" s="1"/>
  <c r="D125" i="8"/>
  <c r="D129" i="8"/>
  <c r="E125" i="8" s="1"/>
  <c r="Z13" i="8"/>
  <c r="AQ13" i="8" s="1"/>
  <c r="V13" i="8"/>
  <c r="AN13" i="8" s="1"/>
  <c r="R13" i="8"/>
  <c r="AJ13" i="8" s="1"/>
  <c r="N13" i="8"/>
  <c r="AG13" i="8" s="1"/>
  <c r="AC14" i="8"/>
  <c r="W16" i="9" s="1"/>
  <c r="AB14" i="8"/>
  <c r="V16" i="9" s="1"/>
  <c r="AA14" i="8"/>
  <c r="U16" i="9" s="1"/>
  <c r="Y14" i="8"/>
  <c r="S16" i="9" s="1"/>
  <c r="X14" i="8"/>
  <c r="R16" i="9" s="1"/>
  <c r="W14" i="8"/>
  <c r="Q16" i="9" s="1"/>
  <c r="U14" i="8"/>
  <c r="O16" i="9" s="1"/>
  <c r="T14" i="8"/>
  <c r="N16" i="9" s="1"/>
  <c r="S14" i="8"/>
  <c r="M16" i="9" s="1"/>
  <c r="Q14" i="8"/>
  <c r="K16" i="9" s="1"/>
  <c r="P14" i="8"/>
  <c r="J16" i="9" s="1"/>
  <c r="O14" i="8"/>
  <c r="I16" i="9" s="1"/>
  <c r="M14" i="8"/>
  <c r="L14" i="8"/>
  <c r="K14" i="8"/>
  <c r="Z15" i="8"/>
  <c r="AQ15" i="8" s="1"/>
  <c r="V15" i="8"/>
  <c r="AO15" i="8" s="1"/>
  <c r="R15" i="8"/>
  <c r="AK15" i="8" s="1"/>
  <c r="N15" i="8"/>
  <c r="AF15" i="8" s="1"/>
  <c r="I14" i="8"/>
  <c r="G16" i="9" s="1"/>
  <c r="H14" i="8"/>
  <c r="F16" i="9" s="1"/>
  <c r="G14" i="8"/>
  <c r="E16" i="9" s="1"/>
  <c r="F14" i="8"/>
  <c r="D16" i="9" s="1"/>
  <c r="E14" i="8"/>
  <c r="C16" i="9" s="1"/>
  <c r="D14" i="8"/>
  <c r="C14" i="8"/>
  <c r="AB27" i="8"/>
  <c r="Z118" i="8"/>
  <c r="AS118" i="8" s="1"/>
  <c r="V118" i="8"/>
  <c r="AO118" i="8" s="1"/>
  <c r="N118" i="8"/>
  <c r="AG118" i="8" s="1"/>
  <c r="Z117" i="8"/>
  <c r="AS117" i="8" s="1"/>
  <c r="V117" i="8"/>
  <c r="AN117" i="8" s="1"/>
  <c r="N117" i="8"/>
  <c r="AF117" i="8" s="1"/>
  <c r="Z116" i="8"/>
  <c r="AQ116" i="8" s="1"/>
  <c r="V116" i="8"/>
  <c r="AO116" i="8" s="1"/>
  <c r="N116" i="8"/>
  <c r="AG116" i="8" s="1"/>
  <c r="Z115" i="8"/>
  <c r="AR115" i="8" s="1"/>
  <c r="V115" i="8"/>
  <c r="AN115" i="8" s="1"/>
  <c r="N115" i="8"/>
  <c r="AG115" i="8" s="1"/>
  <c r="Z114" i="8"/>
  <c r="AS114" i="8" s="1"/>
  <c r="V114" i="8"/>
  <c r="AL114" i="8" s="1"/>
  <c r="N114" i="8"/>
  <c r="AE114" i="8" s="1"/>
  <c r="Z96" i="8"/>
  <c r="AR96" i="8" s="1"/>
  <c r="V96" i="8"/>
  <c r="AN96" i="8" s="1"/>
  <c r="R96" i="8"/>
  <c r="AK96" i="8" s="1"/>
  <c r="N96" i="8"/>
  <c r="AG96" i="8" s="1"/>
  <c r="Z95" i="8"/>
  <c r="AS95" i="8" s="1"/>
  <c r="V95" i="8"/>
  <c r="AO95" i="8" s="1"/>
  <c r="R95" i="8"/>
  <c r="AK95" i="8" s="1"/>
  <c r="N95" i="8"/>
  <c r="AE95" i="8" s="1"/>
  <c r="Z94" i="8"/>
  <c r="AS94" i="8" s="1"/>
  <c r="V94" i="8"/>
  <c r="AM94" i="8" s="1"/>
  <c r="R94" i="8"/>
  <c r="AK94" i="8" s="1"/>
  <c r="N94" i="8"/>
  <c r="AF94" i="8" s="1"/>
  <c r="Z93" i="8"/>
  <c r="AR93" i="8" s="1"/>
  <c r="V93" i="8"/>
  <c r="AN93" i="8" s="1"/>
  <c r="R93" i="8"/>
  <c r="AH93" i="8" s="1"/>
  <c r="N93" i="8"/>
  <c r="AG93" i="8" s="1"/>
  <c r="Z92" i="8"/>
  <c r="AR92" i="8" s="1"/>
  <c r="V92" i="8"/>
  <c r="AO92" i="8" s="1"/>
  <c r="R92" i="8"/>
  <c r="AH92" i="8" s="1"/>
  <c r="N92" i="8"/>
  <c r="AG92" i="8" s="1"/>
  <c r="Z91" i="8"/>
  <c r="AR91" i="8" s="1"/>
  <c r="V91" i="8"/>
  <c r="AO91" i="8" s="1"/>
  <c r="R91" i="8"/>
  <c r="AI91" i="8" s="1"/>
  <c r="N91" i="8"/>
  <c r="AF91" i="8" s="1"/>
  <c r="Z90" i="8"/>
  <c r="AQ90" i="8" s="1"/>
  <c r="V90" i="8"/>
  <c r="AO90" i="8" s="1"/>
  <c r="R90" i="8"/>
  <c r="AJ90" i="8" s="1"/>
  <c r="N90" i="8"/>
  <c r="AG90" i="8" s="1"/>
  <c r="AC27" i="8"/>
  <c r="C121" i="8"/>
  <c r="N46" i="8"/>
  <c r="N47" i="8"/>
  <c r="Z128" i="8"/>
  <c r="V128" i="8"/>
  <c r="R128" i="8"/>
  <c r="N128" i="8"/>
  <c r="Z48" i="8"/>
  <c r="T53" i="9" s="1"/>
  <c r="V48" i="8"/>
  <c r="P53" i="9" s="1"/>
  <c r="R48" i="8"/>
  <c r="L53" i="9" s="1"/>
  <c r="N48" i="8"/>
  <c r="Z47" i="8"/>
  <c r="V47" i="8"/>
  <c r="R47" i="8"/>
  <c r="Z46" i="8"/>
  <c r="T52" i="9" s="1"/>
  <c r="V46" i="8"/>
  <c r="P52" i="9" s="1"/>
  <c r="R46" i="8"/>
  <c r="L52" i="9" s="1"/>
  <c r="Z54" i="8"/>
  <c r="V54" i="8"/>
  <c r="R54" i="8"/>
  <c r="N54" i="8"/>
  <c r="Z53" i="8"/>
  <c r="T58" i="9" s="1"/>
  <c r="V53" i="8"/>
  <c r="P58" i="9" s="1"/>
  <c r="R53" i="8"/>
  <c r="L58" i="9" s="1"/>
  <c r="N53" i="8"/>
  <c r="Z52" i="8"/>
  <c r="V52" i="8"/>
  <c r="R52" i="8"/>
  <c r="N52" i="8"/>
  <c r="Z62" i="8"/>
  <c r="T66" i="9" s="1"/>
  <c r="AH66" i="9" s="1"/>
  <c r="V62" i="8"/>
  <c r="P66" i="9" s="1"/>
  <c r="R62" i="8"/>
  <c r="L66" i="9" s="1"/>
  <c r="N62" i="8"/>
  <c r="Z61" i="8"/>
  <c r="T61" i="9" s="1"/>
  <c r="AH61" i="9" s="1"/>
  <c r="V61" i="8"/>
  <c r="P61" i="9" s="1"/>
  <c r="R61" i="8"/>
  <c r="L61" i="9" s="1"/>
  <c r="N61" i="8"/>
  <c r="Z60" i="8"/>
  <c r="V60" i="8"/>
  <c r="R60" i="8"/>
  <c r="N60" i="8"/>
  <c r="Z59" i="8"/>
  <c r="T60" i="9" s="1"/>
  <c r="AH60" i="9" s="1"/>
  <c r="V59" i="8"/>
  <c r="P60" i="9" s="1"/>
  <c r="R59" i="8"/>
  <c r="L60" i="9" s="1"/>
  <c r="N59" i="8"/>
  <c r="Z58" i="8"/>
  <c r="T59" i="9" s="1"/>
  <c r="V58" i="8"/>
  <c r="P59" i="9" s="1"/>
  <c r="R58" i="8"/>
  <c r="L59" i="9" s="1"/>
  <c r="N58" i="8"/>
  <c r="Z68" i="8"/>
  <c r="V68" i="8"/>
  <c r="R68" i="8"/>
  <c r="N68" i="8"/>
  <c r="Z67" i="8"/>
  <c r="T67" i="9" s="1"/>
  <c r="AH67" i="9" s="1"/>
  <c r="V67" i="8"/>
  <c r="P67" i="9" s="1"/>
  <c r="R67" i="8"/>
  <c r="L67" i="9" s="1"/>
  <c r="N67" i="8"/>
  <c r="Z66" i="8"/>
  <c r="V66" i="8"/>
  <c r="R66" i="8"/>
  <c r="N66" i="8"/>
  <c r="Z73" i="8"/>
  <c r="V73" i="8"/>
  <c r="R73" i="8"/>
  <c r="N73" i="8"/>
  <c r="Z72" i="8"/>
  <c r="V72" i="8"/>
  <c r="R72" i="8"/>
  <c r="N72" i="8"/>
  <c r="Z71" i="8"/>
  <c r="V71" i="8"/>
  <c r="R71" i="8"/>
  <c r="N71" i="8"/>
  <c r="Z89" i="8"/>
  <c r="T45" i="9" s="1"/>
  <c r="V89" i="8"/>
  <c r="R89" i="8"/>
  <c r="L45" i="9" s="1"/>
  <c r="N89" i="8"/>
  <c r="Z102" i="8"/>
  <c r="V102" i="8"/>
  <c r="R102" i="8"/>
  <c r="N102" i="8"/>
  <c r="Z101" i="8"/>
  <c r="V101" i="8"/>
  <c r="R101" i="8"/>
  <c r="N101" i="8"/>
  <c r="Z100" i="8"/>
  <c r="V100" i="8"/>
  <c r="R100" i="8"/>
  <c r="N100" i="8"/>
  <c r="Z99" i="8"/>
  <c r="V99" i="8"/>
  <c r="R99" i="8"/>
  <c r="N99" i="8"/>
  <c r="Z98" i="8"/>
  <c r="V98" i="8"/>
  <c r="R98" i="8"/>
  <c r="L38" i="9" s="1"/>
  <c r="N98" i="8"/>
  <c r="Z110" i="8"/>
  <c r="AS110" i="8" s="1"/>
  <c r="V110" i="8"/>
  <c r="AM110" i="8" s="1"/>
  <c r="N110" i="8"/>
  <c r="AF110" i="8" s="1"/>
  <c r="Z109" i="8"/>
  <c r="AS109" i="8" s="1"/>
  <c r="V109" i="8"/>
  <c r="AN109" i="8" s="1"/>
  <c r="N109" i="8"/>
  <c r="AG109" i="8" s="1"/>
  <c r="Z108" i="8"/>
  <c r="AS108" i="8" s="1"/>
  <c r="V108" i="8"/>
  <c r="AO108" i="8" s="1"/>
  <c r="N108" i="8"/>
  <c r="AG108" i="8" s="1"/>
  <c r="Z107" i="8"/>
  <c r="AP107" i="8" s="1"/>
  <c r="V107" i="8"/>
  <c r="AM107" i="8" s="1"/>
  <c r="N107" i="8"/>
  <c r="AG107" i="8" s="1"/>
  <c r="Z106" i="8"/>
  <c r="AQ106" i="8" s="1"/>
  <c r="V106" i="8"/>
  <c r="AO106" i="8" s="1"/>
  <c r="N106" i="8"/>
  <c r="AG106" i="8" s="1"/>
  <c r="Z120" i="8"/>
  <c r="AQ120" i="8" s="1"/>
  <c r="V120" i="8"/>
  <c r="AO120" i="8" s="1"/>
  <c r="N120" i="8"/>
  <c r="AF120" i="8" s="1"/>
  <c r="Z119" i="8"/>
  <c r="AS119" i="8" s="1"/>
  <c r="V119" i="8"/>
  <c r="AN119" i="8" s="1"/>
  <c r="N119" i="8"/>
  <c r="AG119" i="8" s="1"/>
  <c r="AF129" i="8" l="1"/>
  <c r="Z137" i="8"/>
  <c r="AA137" i="8" s="1"/>
  <c r="AB137" i="8" s="1"/>
  <c r="AC137" i="8" s="1"/>
  <c r="R125" i="8"/>
  <c r="N137" i="8"/>
  <c r="P45" i="9"/>
  <c r="P38" i="9"/>
  <c r="V136" i="8"/>
  <c r="AS92" i="8"/>
  <c r="AU95" i="8"/>
  <c r="AN94" i="8"/>
  <c r="AM114" i="8"/>
  <c r="AG129" i="8"/>
  <c r="AO136" i="8"/>
  <c r="Z136" i="8"/>
  <c r="AA136" i="8" s="1"/>
  <c r="AB136" i="8" s="1"/>
  <c r="AC136" i="8" s="1"/>
  <c r="AO94" i="8"/>
  <c r="AN114" i="8"/>
  <c r="L42" i="9"/>
  <c r="P43" i="9"/>
  <c r="T38" i="9"/>
  <c r="AF96" i="8"/>
  <c r="AL115" i="8"/>
  <c r="AN125" i="8"/>
  <c r="R136" i="8"/>
  <c r="AJ136" i="8" s="1"/>
  <c r="AK13" i="8"/>
  <c r="AL96" i="8"/>
  <c r="AK116" i="8"/>
  <c r="AP125" i="8"/>
  <c r="R137" i="8"/>
  <c r="AS13" i="8"/>
  <c r="AS106" i="8"/>
  <c r="AO117" i="8"/>
  <c r="AJ91" i="8"/>
  <c r="AI108" i="8"/>
  <c r="AE118" i="8"/>
  <c r="Q125" i="8"/>
  <c r="AN92" i="8"/>
  <c r="AK109" i="8"/>
  <c r="AQ118" i="8"/>
  <c r="AE90" i="8"/>
  <c r="AK91" i="8"/>
  <c r="AO93" i="8"/>
  <c r="AQ94" i="8"/>
  <c r="AM96" i="8"/>
  <c r="AE107" i="8"/>
  <c r="AQ108" i="8"/>
  <c r="AJ110" i="8"/>
  <c r="AR114" i="8"/>
  <c r="AP116" i="8"/>
  <c r="AI118" i="8"/>
  <c r="AO119" i="8"/>
  <c r="AH129" i="8"/>
  <c r="L31" i="9"/>
  <c r="T31" i="9"/>
  <c r="L35" i="9"/>
  <c r="T35" i="9"/>
  <c r="P42" i="9"/>
  <c r="AP108" i="8"/>
  <c r="AE13" i="8"/>
  <c r="AK90" i="8"/>
  <c r="AQ91" i="8"/>
  <c r="AP93" i="8"/>
  <c r="AM95" i="8"/>
  <c r="AO96" i="8"/>
  <c r="AJ107" i="8"/>
  <c r="AR108" i="8"/>
  <c r="AN110" i="8"/>
  <c r="AE115" i="8"/>
  <c r="AR116" i="8"/>
  <c r="AJ118" i="8"/>
  <c r="AP119" i="8"/>
  <c r="AM129" i="8"/>
  <c r="P15" i="9"/>
  <c r="P27" i="9" s="1"/>
  <c r="L26" i="9"/>
  <c r="T26" i="9"/>
  <c r="P41" i="9"/>
  <c r="L46" i="9"/>
  <c r="T46" i="9"/>
  <c r="AF13" i="8"/>
  <c r="AL90" i="8"/>
  <c r="AE92" i="8"/>
  <c r="AN95" i="8"/>
  <c r="AI106" i="8"/>
  <c r="AK107" i="8"/>
  <c r="AH109" i="8"/>
  <c r="AO110" i="8"/>
  <c r="AF115" i="8"/>
  <c r="AS116" i="8"/>
  <c r="AK118" i="8"/>
  <c r="AR119" i="8"/>
  <c r="AN129" i="8"/>
  <c r="L44" i="9"/>
  <c r="T44" i="9"/>
  <c r="AI13" i="8"/>
  <c r="AM90" i="8"/>
  <c r="AI92" i="8"/>
  <c r="AG94" i="8"/>
  <c r="AE96" i="8"/>
  <c r="AK106" i="8"/>
  <c r="AQ107" i="8"/>
  <c r="AI109" i="8"/>
  <c r="AF114" i="8"/>
  <c r="AH115" i="8"/>
  <c r="AL117" i="8"/>
  <c r="AP118" i="8"/>
  <c r="AH120" i="8"/>
  <c r="AP129" i="8"/>
  <c r="L43" i="9"/>
  <c r="T43" i="9"/>
  <c r="AP90" i="8"/>
  <c r="AH94" i="8"/>
  <c r="AL106" i="8"/>
  <c r="AG114" i="8"/>
  <c r="AI120" i="8"/>
  <c r="P31" i="9"/>
  <c r="P35" i="9"/>
  <c r="T42" i="9"/>
  <c r="AJ119" i="8"/>
  <c r="AL13" i="8"/>
  <c r="AR90" i="8"/>
  <c r="AP92" i="8"/>
  <c r="AI94" i="8"/>
  <c r="AN106" i="8"/>
  <c r="AJ108" i="8"/>
  <c r="AO109" i="8"/>
  <c r="AI114" i="8"/>
  <c r="AQ115" i="8"/>
  <c r="AQ117" i="8"/>
  <c r="AH119" i="8"/>
  <c r="AN120" i="8"/>
  <c r="AM125" i="8"/>
  <c r="L15" i="9"/>
  <c r="L27" i="9" s="1"/>
  <c r="T15" i="9"/>
  <c r="T27" i="9" s="1"/>
  <c r="P26" i="9"/>
  <c r="L41" i="9"/>
  <c r="T41" i="9"/>
  <c r="P46" i="9"/>
  <c r="AR13" i="8"/>
  <c r="AS90" i="8"/>
  <c r="AU90" i="8" s="1"/>
  <c r="AQ92" i="8"/>
  <c r="AJ96" i="8"/>
  <c r="AR106" i="8"/>
  <c r="AL108" i="8"/>
  <c r="AG110" i="8"/>
  <c r="AS115" i="8"/>
  <c r="AR117" i="8"/>
  <c r="AI119" i="8"/>
  <c r="P44" i="9"/>
  <c r="AP15" i="8"/>
  <c r="AG15" i="8"/>
  <c r="AH15" i="8"/>
  <c r="AI15" i="8"/>
  <c r="AJ15" i="8"/>
  <c r="AF45" i="9"/>
  <c r="AH45" i="9"/>
  <c r="AG45" i="9"/>
  <c r="AI45" i="9"/>
  <c r="G11" i="9"/>
  <c r="AJ45" i="9"/>
  <c r="AK45" i="9"/>
  <c r="C11" i="9"/>
  <c r="D11" i="9"/>
  <c r="E11" i="9"/>
  <c r="F11" i="9"/>
  <c r="P11" i="9"/>
  <c r="N11" i="9"/>
  <c r="O11" i="9"/>
  <c r="I11" i="9"/>
  <c r="M11" i="9"/>
  <c r="V11" i="9"/>
  <c r="U11" i="9"/>
  <c r="W11" i="9"/>
  <c r="S11" i="9"/>
  <c r="R11" i="9"/>
  <c r="T11" i="9"/>
  <c r="L11" i="9"/>
  <c r="Q11" i="9"/>
  <c r="K11" i="9"/>
  <c r="J11" i="9"/>
  <c r="AG10" i="9"/>
  <c r="AH10" i="9"/>
  <c r="AI10" i="9"/>
  <c r="AJ10" i="9"/>
  <c r="AK10" i="9"/>
  <c r="AI12" i="10"/>
  <c r="AH13" i="10"/>
  <c r="AI13" i="10"/>
  <c r="AH12" i="10"/>
  <c r="AM11" i="10"/>
  <c r="AJ12" i="10"/>
  <c r="AK13" i="10"/>
  <c r="AM13" i="10" s="1"/>
  <c r="AH11" i="10"/>
  <c r="AI11" i="10"/>
  <c r="AJ11" i="10"/>
  <c r="AL136" i="8"/>
  <c r="AM136" i="8"/>
  <c r="AN136" i="8"/>
  <c r="AK136" i="8"/>
  <c r="AH136" i="8"/>
  <c r="N136" i="8"/>
  <c r="AE136" i="8" s="1"/>
  <c r="AS96" i="8"/>
  <c r="AU96" i="8" s="1"/>
  <c r="AJ117" i="8"/>
  <c r="AI93" i="8"/>
  <c r="AG95" i="8"/>
  <c r="AE106" i="8"/>
  <c r="AR107" i="8"/>
  <c r="AP109" i="8"/>
  <c r="AL116" i="8"/>
  <c r="AG125" i="8"/>
  <c r="AR15" i="8"/>
  <c r="AL91" i="8"/>
  <c r="AJ93" i="8"/>
  <c r="AH95" i="8"/>
  <c r="AF106" i="8"/>
  <c r="AS107" i="8"/>
  <c r="AQ109" i="8"/>
  <c r="AO114" i="8"/>
  <c r="AM116" i="8"/>
  <c r="AE15" i="8"/>
  <c r="AS15" i="8"/>
  <c r="AN90" i="8"/>
  <c r="AM91" i="8"/>
  <c r="AL92" i="8"/>
  <c r="AK93" i="8"/>
  <c r="AJ94" i="8"/>
  <c r="AI95" i="8"/>
  <c r="AH96" i="8"/>
  <c r="AF107" i="8"/>
  <c r="AE108" i="8"/>
  <c r="AR109" i="8"/>
  <c r="AQ110" i="8"/>
  <c r="AP114" i="8"/>
  <c r="AO115" i="8"/>
  <c r="AN116" i="8"/>
  <c r="AM117" i="8"/>
  <c r="AL118" i="8"/>
  <c r="AJ120" i="8"/>
  <c r="AI125" i="8"/>
  <c r="AI136" i="8"/>
  <c r="AF95" i="8"/>
  <c r="AF125" i="8"/>
  <c r="AJ92" i="8"/>
  <c r="AM115" i="8"/>
  <c r="AK117" i="8"/>
  <c r="AK92" i="8"/>
  <c r="AP110" i="8"/>
  <c r="AH125" i="8"/>
  <c r="AH13" i="8"/>
  <c r="AN91" i="8"/>
  <c r="AM92" i="8"/>
  <c r="AL93" i="8"/>
  <c r="AJ95" i="8"/>
  <c r="AI96" i="8"/>
  <c r="AH106" i="8"/>
  <c r="AF108" i="8"/>
  <c r="AE109" i="8"/>
  <c r="AR110" i="8"/>
  <c r="AQ114" i="8"/>
  <c r="AP115" i="8"/>
  <c r="AM118" i="8"/>
  <c r="AL119" i="8"/>
  <c r="AJ129" i="8"/>
  <c r="AG120" i="8"/>
  <c r="AM93" i="8"/>
  <c r="AL94" i="8"/>
  <c r="AH107" i="8"/>
  <c r="AF109" i="8"/>
  <c r="AE110" i="8"/>
  <c r="AN118" i="8"/>
  <c r="AM119" i="8"/>
  <c r="AL120" i="8"/>
  <c r="AK129" i="8"/>
  <c r="AP91" i="8"/>
  <c r="AL95" i="8"/>
  <c r="AH108" i="8"/>
  <c r="AP117" i="8"/>
  <c r="AM120" i="8"/>
  <c r="AL129" i="8"/>
  <c r="AL125" i="8"/>
  <c r="AE116" i="8"/>
  <c r="AM13" i="8"/>
  <c r="AF90" i="8"/>
  <c r="AE91" i="8"/>
  <c r="AS91" i="8"/>
  <c r="AU91" i="8" s="1"/>
  <c r="AQ93" i="8"/>
  <c r="AP94" i="8"/>
  <c r="AM106" i="8"/>
  <c r="AL107" i="8"/>
  <c r="AI110" i="8"/>
  <c r="AH114" i="8"/>
  <c r="AF116" i="8"/>
  <c r="AE117" i="8"/>
  <c r="AR118" i="8"/>
  <c r="AQ119" i="8"/>
  <c r="AP120" i="8"/>
  <c r="AO129" i="8"/>
  <c r="AO125" i="8"/>
  <c r="AO13" i="8"/>
  <c r="AM15" i="8"/>
  <c r="AH90" i="8"/>
  <c r="AG91" i="8"/>
  <c r="AF92" i="8"/>
  <c r="AE93" i="8"/>
  <c r="AS93" i="8"/>
  <c r="AR94" i="8"/>
  <c r="AQ95" i="8"/>
  <c r="AP96" i="8"/>
  <c r="AN107" i="8"/>
  <c r="AM108" i="8"/>
  <c r="AL109" i="8"/>
  <c r="AJ114" i="8"/>
  <c r="AI115" i="8"/>
  <c r="AH116" i="8"/>
  <c r="AG117" i="8"/>
  <c r="AF118" i="8"/>
  <c r="AE119" i="8"/>
  <c r="AR120" i="8"/>
  <c r="AQ125" i="8"/>
  <c r="AQ136" i="8"/>
  <c r="AP13" i="8"/>
  <c r="AN15" i="8"/>
  <c r="AI90" i="8"/>
  <c r="AH91" i="8"/>
  <c r="AF93" i="8"/>
  <c r="AE94" i="8"/>
  <c r="AR95" i="8"/>
  <c r="AQ96" i="8"/>
  <c r="AP106" i="8"/>
  <c r="AO107" i="8"/>
  <c r="AN108" i="8"/>
  <c r="AM109" i="8"/>
  <c r="AL110" i="8"/>
  <c r="AJ115" i="8"/>
  <c r="AI116" i="8"/>
  <c r="AH117" i="8"/>
  <c r="AF119" i="8"/>
  <c r="AE120" i="8"/>
  <c r="AS120" i="8"/>
  <c r="AR129" i="8"/>
  <c r="AR125" i="8"/>
  <c r="AR136" i="8"/>
  <c r="AL15" i="8"/>
  <c r="AP95" i="8"/>
  <c r="AE129" i="8"/>
  <c r="AE125" i="8"/>
  <c r="AU92" i="8"/>
  <c r="G125" i="8"/>
  <c r="K125" i="8"/>
  <c r="H125" i="8"/>
  <c r="I125" i="8"/>
  <c r="Z125" i="8"/>
  <c r="Z14" i="8"/>
  <c r="T16" i="9" s="1"/>
  <c r="AK16" i="9" s="1"/>
  <c r="V14" i="8"/>
  <c r="AN14" i="8" s="1"/>
  <c r="R14" i="8"/>
  <c r="AJ14" i="8" s="1"/>
  <c r="AU94" i="8"/>
  <c r="AS136" i="8" l="1"/>
  <c r="AP136" i="8"/>
  <c r="AU93" i="8"/>
  <c r="AP14" i="8"/>
  <c r="AL14" i="8"/>
  <c r="AH16" i="9"/>
  <c r="AJ16" i="9"/>
  <c r="AM14" i="8"/>
  <c r="AK14" i="8"/>
  <c r="L16" i="9"/>
  <c r="AO14" i="8"/>
  <c r="P16" i="9"/>
  <c r="AG16" i="9" s="1"/>
  <c r="AI16" i="9"/>
  <c r="AM10" i="9"/>
  <c r="AF136" i="8"/>
  <c r="AG136" i="8"/>
  <c r="AI14" i="8"/>
  <c r="AG14" i="8"/>
  <c r="AE14" i="8"/>
  <c r="AH14" i="8"/>
  <c r="AQ14" i="8"/>
  <c r="AS14" i="8"/>
  <c r="AR14" i="8"/>
  <c r="AF14" i="8"/>
  <c r="N10" i="8" l="1"/>
  <c r="Z31" i="8"/>
  <c r="T36" i="9" s="1"/>
  <c r="V31" i="8"/>
  <c r="P36" i="9" s="1"/>
  <c r="L36" i="9"/>
  <c r="N31" i="8"/>
  <c r="Z27" i="8"/>
  <c r="V27" i="8"/>
  <c r="R27" i="8"/>
  <c r="N27" i="8"/>
  <c r="Z26" i="8"/>
  <c r="T37" i="9" s="1"/>
  <c r="V26" i="8"/>
  <c r="P37" i="9" s="1"/>
  <c r="R26" i="8"/>
  <c r="L37" i="9" s="1"/>
  <c r="N26" i="8"/>
  <c r="Z25" i="8"/>
  <c r="V25" i="8"/>
  <c r="R25" i="8"/>
  <c r="N25" i="8"/>
  <c r="Z21" i="8"/>
  <c r="T22" i="9" s="1"/>
  <c r="V21" i="8"/>
  <c r="P22" i="9" s="1"/>
  <c r="R21" i="8"/>
  <c r="L22" i="9" s="1"/>
  <c r="N21" i="8"/>
  <c r="Z20" i="8"/>
  <c r="T21" i="9" s="1"/>
  <c r="V20" i="8"/>
  <c r="P21" i="9" s="1"/>
  <c r="R20" i="8"/>
  <c r="L21" i="9" s="1"/>
  <c r="N20" i="8"/>
  <c r="Z19" i="8"/>
  <c r="T20" i="9" s="1"/>
  <c r="V19" i="8"/>
  <c r="P20" i="9" s="1"/>
  <c r="R19" i="8"/>
  <c r="L20" i="9" s="1"/>
  <c r="N19" i="8"/>
  <c r="AF31" i="8" l="1"/>
  <c r="AG31" i="8"/>
  <c r="AE31" i="8"/>
  <c r="AG26" i="8"/>
  <c r="AF26" i="8"/>
  <c r="AE26" i="8"/>
  <c r="AJ26" i="8"/>
  <c r="AH26" i="8"/>
  <c r="AK26" i="8"/>
  <c r="AI26" i="8"/>
  <c r="AM26" i="8"/>
  <c r="AL26" i="8"/>
  <c r="AN26" i="8"/>
  <c r="AO26" i="8"/>
  <c r="AS26" i="8"/>
  <c r="AR26" i="8"/>
  <c r="AQ26" i="8"/>
  <c r="AP26" i="8"/>
  <c r="AI27" i="8"/>
  <c r="AK27" i="8"/>
  <c r="AJ27" i="8"/>
  <c r="AH27" i="8"/>
  <c r="AL27" i="8"/>
  <c r="AO27" i="8"/>
  <c r="AN27" i="8"/>
  <c r="AM27" i="8"/>
  <c r="AK31" i="8"/>
  <c r="AH31" i="8"/>
  <c r="AJ31" i="8"/>
  <c r="AI31" i="8"/>
  <c r="AG27" i="8"/>
  <c r="AE27" i="8"/>
  <c r="AF27" i="8"/>
  <c r="AG25" i="8"/>
  <c r="AF25" i="8"/>
  <c r="AE25" i="8"/>
  <c r="AL31" i="8"/>
  <c r="AO31" i="8"/>
  <c r="AN31" i="8"/>
  <c r="AM31" i="8"/>
  <c r="AS27" i="8"/>
  <c r="AQ27" i="8"/>
  <c r="AP27" i="8"/>
  <c r="AR27" i="8"/>
  <c r="AK25" i="8"/>
  <c r="AI25" i="8"/>
  <c r="AJ25" i="8"/>
  <c r="AH25" i="8"/>
  <c r="AS31" i="8"/>
  <c r="AR31" i="8"/>
  <c r="AQ31" i="8"/>
  <c r="AP31" i="8"/>
  <c r="AN25" i="8"/>
  <c r="AM25" i="8"/>
  <c r="AL25" i="8"/>
  <c r="AO25" i="8"/>
  <c r="AG10" i="8"/>
  <c r="AE10" i="8"/>
  <c r="AF10" i="8"/>
  <c r="AS25" i="8"/>
  <c r="AQ25" i="8"/>
  <c r="AR25" i="8"/>
  <c r="AP25" i="8"/>
  <c r="AH54" i="9" l="1"/>
  <c r="AK54" i="9"/>
  <c r="AJ54" i="9"/>
  <c r="AI54" i="9"/>
  <c r="AG54" i="9"/>
  <c r="AK53" i="9"/>
  <c r="AJ53" i="9"/>
  <c r="AI53" i="9"/>
  <c r="AG53" i="9"/>
  <c r="Z8" i="8"/>
  <c r="T4" i="21" s="1"/>
  <c r="AH4" i="21" s="1"/>
  <c r="V8" i="8"/>
  <c r="P4" i="21" s="1"/>
  <c r="AD4" i="21" s="1"/>
  <c r="R8" i="8"/>
  <c r="L4" i="21" s="1"/>
  <c r="Z4" i="21" s="1"/>
  <c r="N8" i="8"/>
  <c r="O111" i="8"/>
  <c r="J55" i="9" l="1"/>
  <c r="S111" i="8"/>
  <c r="C55" i="9"/>
  <c r="F55" i="9"/>
  <c r="K55" i="9"/>
  <c r="V55" i="9"/>
  <c r="E55" i="9"/>
  <c r="O55" i="9"/>
  <c r="G55" i="9"/>
  <c r="I55" i="9"/>
  <c r="S55" i="9"/>
  <c r="D55" i="9"/>
  <c r="N55" i="9"/>
  <c r="M55" i="9"/>
  <c r="Q55" i="9"/>
  <c r="R55" i="9"/>
  <c r="U55" i="9"/>
  <c r="W55" i="9"/>
  <c r="W111" i="8"/>
  <c r="AA111" i="8"/>
  <c r="K111" i="8"/>
  <c r="X111" i="8"/>
  <c r="T111" i="8"/>
  <c r="U111" i="8"/>
  <c r="P111" i="8"/>
  <c r="M111" i="8"/>
  <c r="L111" i="8"/>
  <c r="AK44" i="9" l="1"/>
  <c r="AB111" i="8"/>
  <c r="Y111" i="8"/>
  <c r="Q111" i="8"/>
  <c r="AU120" i="8" l="1"/>
  <c r="AU107" i="8"/>
  <c r="AU108" i="8"/>
  <c r="AC111" i="8"/>
  <c r="AI44" i="9"/>
  <c r="AH44" i="9"/>
  <c r="AG44" i="9"/>
  <c r="AJ44" i="9"/>
  <c r="AO67" i="8" l="1"/>
  <c r="AN67" i="8"/>
  <c r="AM67" i="8"/>
  <c r="AJ67" i="8"/>
  <c r="AK67" i="8"/>
  <c r="AG67" i="8"/>
  <c r="AF67" i="8"/>
  <c r="AE67" i="8"/>
  <c r="Q63" i="8"/>
  <c r="K62" i="9" s="1"/>
  <c r="P63" i="8"/>
  <c r="J62" i="9" s="1"/>
  <c r="O63" i="8"/>
  <c r="I62" i="9" s="1"/>
  <c r="M63" i="8"/>
  <c r="U49" i="8"/>
  <c r="P49" i="8"/>
  <c r="O49" i="8"/>
  <c r="K63" i="8"/>
  <c r="B2" i="9"/>
  <c r="AG9" i="9"/>
  <c r="AG7" i="9"/>
  <c r="C63" i="8"/>
  <c r="C111" i="8"/>
  <c r="F111" i="8"/>
  <c r="E111" i="8"/>
  <c r="D111" i="8"/>
  <c r="AC63" i="8"/>
  <c r="W62" i="9" s="1"/>
  <c r="AB63" i="8"/>
  <c r="V62" i="9" s="1"/>
  <c r="AA63" i="8"/>
  <c r="U62" i="9" s="1"/>
  <c r="Y63" i="8"/>
  <c r="S62" i="9" s="1"/>
  <c r="X63" i="8"/>
  <c r="R62" i="9" s="1"/>
  <c r="W63" i="8"/>
  <c r="Q62" i="9" s="1"/>
  <c r="U63" i="8"/>
  <c r="O62" i="9" s="1"/>
  <c r="T63" i="8"/>
  <c r="N62" i="9" s="1"/>
  <c r="S63" i="8"/>
  <c r="M62" i="9" s="1"/>
  <c r="I63" i="8"/>
  <c r="G62" i="9" s="1"/>
  <c r="H63" i="8"/>
  <c r="F62" i="9" s="1"/>
  <c r="G63" i="8"/>
  <c r="E62" i="9" s="1"/>
  <c r="F63" i="8"/>
  <c r="D62" i="9" s="1"/>
  <c r="AH10" i="10"/>
  <c r="I111" i="8"/>
  <c r="H111" i="8"/>
  <c r="G111" i="8"/>
  <c r="AM100" i="8"/>
  <c r="AP99" i="8"/>
  <c r="AI99" i="8"/>
  <c r="R74" i="8"/>
  <c r="AH74" i="8" s="1"/>
  <c r="AH73" i="8"/>
  <c r="AH72" i="8"/>
  <c r="AH71" i="8"/>
  <c r="AK70" i="9"/>
  <c r="W71" i="9"/>
  <c r="AK59" i="9"/>
  <c r="AK58" i="9"/>
  <c r="AK52" i="9"/>
  <c r="AK55" i="9" s="1"/>
  <c r="W4" i="9"/>
  <c r="AK4" i="9" s="1"/>
  <c r="W3" i="9"/>
  <c r="AK3" i="9" s="1"/>
  <c r="AG74" i="8"/>
  <c r="AF74" i="8"/>
  <c r="AE74" i="8"/>
  <c r="AG73" i="8"/>
  <c r="AF73" i="8"/>
  <c r="AE73" i="8"/>
  <c r="AG72" i="8"/>
  <c r="AF72" i="8"/>
  <c r="AE72" i="8"/>
  <c r="AG71" i="8"/>
  <c r="AF71" i="8"/>
  <c r="AE71" i="8"/>
  <c r="AG68" i="8"/>
  <c r="AF68" i="8"/>
  <c r="AE68" i="8"/>
  <c r="AG66" i="8"/>
  <c r="AF66" i="8"/>
  <c r="AE66" i="8"/>
  <c r="AG62" i="8"/>
  <c r="AF62" i="8"/>
  <c r="AE62" i="8"/>
  <c r="AG61" i="8"/>
  <c r="AF61" i="8"/>
  <c r="AE61" i="8"/>
  <c r="AG60" i="8"/>
  <c r="AG58" i="8"/>
  <c r="AF58" i="8"/>
  <c r="AE58" i="8"/>
  <c r="AG54" i="8"/>
  <c r="AF54" i="8"/>
  <c r="AE54" i="8"/>
  <c r="AG53" i="8"/>
  <c r="AF53" i="8"/>
  <c r="AE53" i="8"/>
  <c r="AG52" i="8"/>
  <c r="AF52" i="8"/>
  <c r="AE52" i="8"/>
  <c r="AG48" i="8"/>
  <c r="AF48" i="8"/>
  <c r="AE48" i="8"/>
  <c r="AG47" i="8"/>
  <c r="AF47" i="8"/>
  <c r="AE47" i="8"/>
  <c r="AG46" i="8"/>
  <c r="AF46" i="8"/>
  <c r="AE46" i="8"/>
  <c r="AG8" i="8"/>
  <c r="AG83" i="8" s="1"/>
  <c r="AF8" i="8"/>
  <c r="AF83" i="8" s="1"/>
  <c r="AE8" i="8"/>
  <c r="AE83" i="8" s="1"/>
  <c r="AG7" i="8"/>
  <c r="AG82" i="8" s="1"/>
  <c r="AF7" i="8"/>
  <c r="AF82" i="8" s="1"/>
  <c r="AE7" i="8"/>
  <c r="AE82" i="8" s="1"/>
  <c r="AS67" i="8"/>
  <c r="AU67" i="8" s="1"/>
  <c r="AR67" i="8"/>
  <c r="AQ67" i="8"/>
  <c r="AI67" i="8"/>
  <c r="AS66" i="8"/>
  <c r="AQ66" i="8"/>
  <c r="AO66" i="8"/>
  <c r="AN66" i="8"/>
  <c r="AM66" i="8"/>
  <c r="AK66" i="8"/>
  <c r="AJ66" i="8"/>
  <c r="AI66" i="8"/>
  <c r="AR66" i="8"/>
  <c r="AP67" i="8"/>
  <c r="AL67" i="8"/>
  <c r="AF21" i="8"/>
  <c r="AS74" i="8"/>
  <c r="AS73" i="8"/>
  <c r="AS72" i="8"/>
  <c r="AS71" i="8"/>
  <c r="AS68" i="8"/>
  <c r="AS62" i="8"/>
  <c r="AS61" i="8"/>
  <c r="AS60" i="8"/>
  <c r="AS59" i="8"/>
  <c r="AS58" i="8"/>
  <c r="AS54" i="8"/>
  <c r="AS53" i="8"/>
  <c r="AS52" i="8"/>
  <c r="AS48" i="8"/>
  <c r="AS47" i="8"/>
  <c r="AS46" i="8"/>
  <c r="AS8" i="8"/>
  <c r="AS83" i="8" s="1"/>
  <c r="AS7" i="8"/>
  <c r="AS82" i="8" s="1"/>
  <c r="X4" i="10"/>
  <c r="AJ4" i="10" s="1"/>
  <c r="W4" i="10"/>
  <c r="AI4" i="10" s="1"/>
  <c r="V4" i="10"/>
  <c r="AH4" i="10" s="1"/>
  <c r="U4" i="10"/>
  <c r="AG4" i="10" s="1"/>
  <c r="T4" i="10"/>
  <c r="AF4" i="10" s="1"/>
  <c r="S4" i="10"/>
  <c r="AE4" i="10" s="1"/>
  <c r="R4" i="10"/>
  <c r="AD4" i="10" s="1"/>
  <c r="Q4" i="10"/>
  <c r="AC4" i="10" s="1"/>
  <c r="P4" i="10"/>
  <c r="AB4" i="10" s="1"/>
  <c r="O4" i="10"/>
  <c r="AA4" i="10" s="1"/>
  <c r="N4" i="10"/>
  <c r="M4" i="10"/>
  <c r="L4" i="10"/>
  <c r="K4" i="10"/>
  <c r="X3" i="10"/>
  <c r="AJ3" i="10" s="1"/>
  <c r="W3" i="10"/>
  <c r="AI3" i="10" s="1"/>
  <c r="V3" i="10"/>
  <c r="AH3" i="10" s="1"/>
  <c r="U3" i="10"/>
  <c r="AG3" i="10" s="1"/>
  <c r="T3" i="10"/>
  <c r="AF3" i="10" s="1"/>
  <c r="S3" i="10"/>
  <c r="AE3" i="10" s="1"/>
  <c r="R3" i="10"/>
  <c r="AD3" i="10" s="1"/>
  <c r="Q3" i="10"/>
  <c r="AC3" i="10" s="1"/>
  <c r="P3" i="10"/>
  <c r="AB3" i="10" s="1"/>
  <c r="O3" i="10"/>
  <c r="AA3" i="10" s="1"/>
  <c r="N3" i="10"/>
  <c r="M3" i="10"/>
  <c r="L3" i="10"/>
  <c r="K3" i="10"/>
  <c r="Y4" i="10"/>
  <c r="AK4" i="10" s="1"/>
  <c r="Y3" i="10"/>
  <c r="AK3" i="10" s="1"/>
  <c r="AC83" i="8"/>
  <c r="AC82" i="8"/>
  <c r="AC75" i="8"/>
  <c r="W73" i="9" s="1"/>
  <c r="AC43" i="8"/>
  <c r="AC42" i="8"/>
  <c r="AC11" i="8"/>
  <c r="AR68" i="8"/>
  <c r="S71" i="9"/>
  <c r="K71" i="9"/>
  <c r="J71" i="9"/>
  <c r="I71" i="9"/>
  <c r="G71" i="9"/>
  <c r="F71" i="9"/>
  <c r="E71" i="9"/>
  <c r="D71" i="9"/>
  <c r="C71" i="9"/>
  <c r="AR59" i="8"/>
  <c r="AQ59" i="8"/>
  <c r="AO59" i="8"/>
  <c r="AN59" i="8"/>
  <c r="AM59" i="8"/>
  <c r="AR61" i="8"/>
  <c r="AQ61" i="8"/>
  <c r="AO61" i="8"/>
  <c r="AN61" i="8"/>
  <c r="AM61" i="8"/>
  <c r="AK61" i="8"/>
  <c r="AJ61" i="8"/>
  <c r="AI61" i="8"/>
  <c r="AK59" i="8"/>
  <c r="AJ59" i="8"/>
  <c r="AI59" i="8"/>
  <c r="AP59" i="8"/>
  <c r="AL59" i="8"/>
  <c r="AH59" i="8"/>
  <c r="AD70" i="9"/>
  <c r="Z70" i="9"/>
  <c r="AA121" i="8"/>
  <c r="I121" i="8"/>
  <c r="H121" i="8"/>
  <c r="G121" i="8"/>
  <c r="D121" i="8"/>
  <c r="AR52" i="8"/>
  <c r="AQ52" i="8"/>
  <c r="AO52" i="8"/>
  <c r="AN52" i="8"/>
  <c r="AM52" i="8"/>
  <c r="AK52" i="8"/>
  <c r="AJ52" i="8"/>
  <c r="AI52" i="8"/>
  <c r="AP52" i="8"/>
  <c r="AL52" i="8"/>
  <c r="AH52" i="8"/>
  <c r="AR62" i="8"/>
  <c r="AQ62" i="8"/>
  <c r="AO62" i="8"/>
  <c r="AN62" i="8"/>
  <c r="AM62" i="8"/>
  <c r="AK62" i="8"/>
  <c r="AJ62" i="8"/>
  <c r="AI62" i="8"/>
  <c r="AR60" i="8"/>
  <c r="AQ60" i="8"/>
  <c r="AO60" i="8"/>
  <c r="AN60" i="8"/>
  <c r="AM60" i="8"/>
  <c r="AK60" i="8"/>
  <c r="AJ60" i="8"/>
  <c r="AI60" i="8"/>
  <c r="AP60" i="8"/>
  <c r="AL60" i="8"/>
  <c r="AH60" i="8"/>
  <c r="AF59" i="8"/>
  <c r="AP62" i="8"/>
  <c r="AL62" i="8"/>
  <c r="AH62" i="8"/>
  <c r="AJ59" i="9"/>
  <c r="AI59" i="9"/>
  <c r="AG59" i="9"/>
  <c r="AF59" i="9"/>
  <c r="AE59" i="9"/>
  <c r="AC59" i="9"/>
  <c r="AB59" i="9"/>
  <c r="AA59" i="9"/>
  <c r="Y59" i="9"/>
  <c r="AJ58" i="9"/>
  <c r="AI58" i="9"/>
  <c r="AG58" i="9"/>
  <c r="AF58" i="9"/>
  <c r="AE58" i="9"/>
  <c r="AC58" i="9"/>
  <c r="AB58" i="9"/>
  <c r="AA58" i="9"/>
  <c r="Y58" i="9"/>
  <c r="AJ52" i="9"/>
  <c r="AJ55" i="9" s="1"/>
  <c r="AI52" i="9"/>
  <c r="AI55" i="9" s="1"/>
  <c r="AG52" i="9"/>
  <c r="AG55" i="9" s="1"/>
  <c r="AF52" i="9"/>
  <c r="AE52" i="9"/>
  <c r="AC52" i="9"/>
  <c r="AB52" i="9"/>
  <c r="AA52" i="9"/>
  <c r="Y52" i="9"/>
  <c r="AI70" i="9"/>
  <c r="AG70" i="9"/>
  <c r="AF70" i="9"/>
  <c r="AE70" i="9"/>
  <c r="AC70" i="9"/>
  <c r="AB70" i="9"/>
  <c r="AA70" i="9"/>
  <c r="Y70" i="9"/>
  <c r="AJ70" i="9"/>
  <c r="V4" i="9"/>
  <c r="AJ4" i="9" s="1"/>
  <c r="U4" i="9"/>
  <c r="AI4" i="9" s="1"/>
  <c r="T4" i="9"/>
  <c r="AH4" i="9" s="1"/>
  <c r="S4" i="9"/>
  <c r="AG4" i="9" s="1"/>
  <c r="R4" i="9"/>
  <c r="AF4" i="9" s="1"/>
  <c r="Q4" i="9"/>
  <c r="AE4" i="9" s="1"/>
  <c r="P4" i="9"/>
  <c r="AD4" i="9" s="1"/>
  <c r="O4" i="9"/>
  <c r="AC4" i="9" s="1"/>
  <c r="N4" i="9"/>
  <c r="AB4" i="9" s="1"/>
  <c r="M4" i="9"/>
  <c r="AA4" i="9" s="1"/>
  <c r="L4" i="9"/>
  <c r="Z4" i="9" s="1"/>
  <c r="K4" i="9"/>
  <c r="Y4" i="9" s="1"/>
  <c r="J4" i="9"/>
  <c r="V3" i="9"/>
  <c r="AJ3" i="9" s="1"/>
  <c r="U3" i="9"/>
  <c r="AI3" i="9" s="1"/>
  <c r="T3" i="9"/>
  <c r="AH3" i="9" s="1"/>
  <c r="S3" i="9"/>
  <c r="AG3" i="9" s="1"/>
  <c r="R3" i="9"/>
  <c r="AF3" i="9" s="1"/>
  <c r="Q3" i="9"/>
  <c r="AE3" i="9" s="1"/>
  <c r="P3" i="9"/>
  <c r="AD3" i="9" s="1"/>
  <c r="O3" i="9"/>
  <c r="AC3" i="9" s="1"/>
  <c r="N3" i="9"/>
  <c r="AB3" i="9" s="1"/>
  <c r="M3" i="9"/>
  <c r="AA3" i="9" s="1"/>
  <c r="L3" i="9"/>
  <c r="Z3" i="9" s="1"/>
  <c r="K3" i="9"/>
  <c r="Y3" i="9" s="1"/>
  <c r="J3" i="9"/>
  <c r="I4" i="9"/>
  <c r="I3" i="9"/>
  <c r="G4" i="9"/>
  <c r="F4" i="9"/>
  <c r="E4" i="9"/>
  <c r="D4" i="9"/>
  <c r="G3" i="9"/>
  <c r="F3" i="9"/>
  <c r="E3" i="9"/>
  <c r="D3" i="9"/>
  <c r="C4" i="9"/>
  <c r="C3" i="9"/>
  <c r="Z10" i="8"/>
  <c r="V10" i="8"/>
  <c r="R10" i="8"/>
  <c r="AG20" i="8"/>
  <c r="AG19" i="8"/>
  <c r="N11" i="8"/>
  <c r="N16" i="8" s="1"/>
  <c r="AP53" i="8"/>
  <c r="AP68" i="8"/>
  <c r="AP73" i="8"/>
  <c r="AP72" i="8"/>
  <c r="AP71" i="8"/>
  <c r="Z74" i="8"/>
  <c r="AP74" i="8" s="1"/>
  <c r="V74" i="8"/>
  <c r="AL74" i="8" s="1"/>
  <c r="AL73" i="8"/>
  <c r="AL72" i="8"/>
  <c r="AL71" i="8"/>
  <c r="AL68" i="8"/>
  <c r="AL53" i="8"/>
  <c r="AH68" i="8"/>
  <c r="AH53" i="8"/>
  <c r="AR74" i="8"/>
  <c r="AQ74" i="8"/>
  <c r="AO74" i="8"/>
  <c r="AN74" i="8"/>
  <c r="AM74" i="8"/>
  <c r="AK74" i="8"/>
  <c r="AJ74" i="8"/>
  <c r="AI74" i="8"/>
  <c r="AR73" i="8"/>
  <c r="AQ73" i="8"/>
  <c r="AO73" i="8"/>
  <c r="AN73" i="8"/>
  <c r="AM73" i="8"/>
  <c r="AK73" i="8"/>
  <c r="AJ73" i="8"/>
  <c r="AI73" i="8"/>
  <c r="AR72" i="8"/>
  <c r="AQ72" i="8"/>
  <c r="AO72" i="8"/>
  <c r="AN72" i="8"/>
  <c r="AM72" i="8"/>
  <c r="AK72" i="8"/>
  <c r="AJ72" i="8"/>
  <c r="AI72" i="8"/>
  <c r="AR71" i="8"/>
  <c r="AQ71" i="8"/>
  <c r="AO71" i="8"/>
  <c r="AN71" i="8"/>
  <c r="AM71" i="8"/>
  <c r="AK71" i="8"/>
  <c r="AJ71" i="8"/>
  <c r="AI71" i="8"/>
  <c r="AQ68" i="8"/>
  <c r="AO68" i="8"/>
  <c r="AN68" i="8"/>
  <c r="AM68" i="8"/>
  <c r="AK68" i="8"/>
  <c r="AJ68" i="8"/>
  <c r="AI68" i="8"/>
  <c r="AR58" i="8"/>
  <c r="AQ58" i="8"/>
  <c r="AO58" i="8"/>
  <c r="AN58" i="8"/>
  <c r="AM58" i="8"/>
  <c r="AK58" i="8"/>
  <c r="AJ58" i="8"/>
  <c r="AI58" i="8"/>
  <c r="AR54" i="8"/>
  <c r="AQ54" i="8"/>
  <c r="AO54" i="8"/>
  <c r="AN54" i="8"/>
  <c r="AM54" i="8"/>
  <c r="AK54" i="8"/>
  <c r="AJ54" i="8"/>
  <c r="AI54" i="8"/>
  <c r="AR53" i="8"/>
  <c r="AQ53" i="8"/>
  <c r="AO53" i="8"/>
  <c r="AN53" i="8"/>
  <c r="AM53" i="8"/>
  <c r="AK53" i="8"/>
  <c r="AJ53" i="8"/>
  <c r="AI53" i="8"/>
  <c r="AR48" i="8"/>
  <c r="AQ48" i="8"/>
  <c r="AO48" i="8"/>
  <c r="AN48" i="8"/>
  <c r="AM48" i="8"/>
  <c r="AK48" i="8"/>
  <c r="AJ48" i="8"/>
  <c r="AI48" i="8"/>
  <c r="AR47" i="8"/>
  <c r="AQ47" i="8"/>
  <c r="AO47" i="8"/>
  <c r="AN47" i="8"/>
  <c r="AM47" i="8"/>
  <c r="AK47" i="8"/>
  <c r="AJ47" i="8"/>
  <c r="AI47" i="8"/>
  <c r="AQ46" i="8"/>
  <c r="AO46" i="8"/>
  <c r="AN46" i="8"/>
  <c r="AM46" i="8"/>
  <c r="AK46" i="8"/>
  <c r="AJ46" i="8"/>
  <c r="AI46" i="8"/>
  <c r="N74" i="8"/>
  <c r="U75" i="8"/>
  <c r="O73" i="9" s="1"/>
  <c r="M75" i="8"/>
  <c r="AB83" i="8"/>
  <c r="AA83" i="8"/>
  <c r="Z83" i="8"/>
  <c r="Y83" i="8"/>
  <c r="X83" i="8"/>
  <c r="W83" i="8"/>
  <c r="V83" i="8"/>
  <c r="U83" i="8"/>
  <c r="T83" i="8"/>
  <c r="S83" i="8"/>
  <c r="R83" i="8"/>
  <c r="Q83" i="8"/>
  <c r="P83" i="8"/>
  <c r="O83" i="8"/>
  <c r="N83" i="8"/>
  <c r="M83" i="8"/>
  <c r="L83" i="8"/>
  <c r="K83" i="8"/>
  <c r="AB82" i="8"/>
  <c r="AA82" i="8"/>
  <c r="Z82" i="8"/>
  <c r="Y82" i="8"/>
  <c r="X82" i="8"/>
  <c r="W82" i="8"/>
  <c r="V82" i="8"/>
  <c r="U82" i="8"/>
  <c r="T82" i="8"/>
  <c r="S82" i="8"/>
  <c r="R82" i="8"/>
  <c r="Q82" i="8"/>
  <c r="P82" i="8"/>
  <c r="O82" i="8"/>
  <c r="N82" i="8"/>
  <c r="M82" i="8"/>
  <c r="L82" i="8"/>
  <c r="K82" i="8"/>
  <c r="Y75" i="8"/>
  <c r="S73" i="9" s="1"/>
  <c r="X75" i="8"/>
  <c r="R73" i="9" s="1"/>
  <c r="W75" i="8"/>
  <c r="Q73" i="9" s="1"/>
  <c r="T75" i="8"/>
  <c r="N73" i="9" s="1"/>
  <c r="S75" i="8"/>
  <c r="M73" i="9" s="1"/>
  <c r="Q75" i="8"/>
  <c r="K73" i="9" s="1"/>
  <c r="P75" i="8"/>
  <c r="J73" i="9" s="1"/>
  <c r="O75" i="8"/>
  <c r="I73" i="9" s="1"/>
  <c r="L75" i="8"/>
  <c r="K75" i="8"/>
  <c r="M49" i="8"/>
  <c r="M55" i="8" s="1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I43" i="8"/>
  <c r="H43" i="8"/>
  <c r="G43" i="8"/>
  <c r="F43" i="8"/>
  <c r="E43" i="8"/>
  <c r="D43" i="8"/>
  <c r="C43" i="8"/>
  <c r="I42" i="8"/>
  <c r="H42" i="8"/>
  <c r="G42" i="8"/>
  <c r="F42" i="8"/>
  <c r="E42" i="8"/>
  <c r="D42" i="8"/>
  <c r="C42" i="8"/>
  <c r="AR46" i="8"/>
  <c r="X11" i="8"/>
  <c r="W11" i="8"/>
  <c r="U11" i="8"/>
  <c r="T11" i="8"/>
  <c r="S11" i="8"/>
  <c r="Q11" i="8"/>
  <c r="P11" i="8"/>
  <c r="O11" i="8"/>
  <c r="M11" i="8"/>
  <c r="L11" i="8"/>
  <c r="K11" i="8"/>
  <c r="AB11" i="8"/>
  <c r="AB16" i="8" s="1"/>
  <c r="AM8" i="8"/>
  <c r="AL8" i="8"/>
  <c r="AK8" i="8"/>
  <c r="AJ8" i="8"/>
  <c r="AI8" i="8"/>
  <c r="AH8" i="8"/>
  <c r="AM7" i="8"/>
  <c r="AL7" i="8"/>
  <c r="AK7" i="8"/>
  <c r="AJ7" i="8"/>
  <c r="AI7" i="8"/>
  <c r="AH7" i="8"/>
  <c r="AQ8" i="8"/>
  <c r="AP8" i="8"/>
  <c r="AO8" i="8"/>
  <c r="AN8" i="8"/>
  <c r="AQ7" i="8"/>
  <c r="AP7" i="8"/>
  <c r="AO7" i="8"/>
  <c r="AN7" i="8"/>
  <c r="AR8" i="8"/>
  <c r="AR7" i="8"/>
  <c r="H4" i="10"/>
  <c r="G4" i="10"/>
  <c r="F4" i="10"/>
  <c r="E4" i="10"/>
  <c r="D4" i="10"/>
  <c r="C4" i="10"/>
  <c r="H3" i="10"/>
  <c r="G3" i="10"/>
  <c r="F3" i="10"/>
  <c r="E3" i="10"/>
  <c r="D3" i="10"/>
  <c r="C3" i="10"/>
  <c r="I4" i="10"/>
  <c r="I3" i="10"/>
  <c r="AG10" i="10" l="1"/>
  <c r="AG8" i="9"/>
  <c r="C14" i="10"/>
  <c r="AI10" i="10"/>
  <c r="AI10" i="8"/>
  <c r="AK10" i="8"/>
  <c r="AJ10" i="8"/>
  <c r="AH10" i="8"/>
  <c r="AL10" i="8"/>
  <c r="AN10" i="8"/>
  <c r="AO10" i="8"/>
  <c r="AM10" i="8"/>
  <c r="AR10" i="8"/>
  <c r="AQ10" i="8"/>
  <c r="AP10" i="8"/>
  <c r="M16" i="8"/>
  <c r="M17" i="8" s="1"/>
  <c r="O16" i="8"/>
  <c r="O22" i="8" s="1"/>
  <c r="O28" i="8" s="1"/>
  <c r="O32" i="8" s="1"/>
  <c r="Q16" i="8"/>
  <c r="Q22" i="8" s="1"/>
  <c r="Q28" i="8" s="1"/>
  <c r="Q32" i="8" s="1"/>
  <c r="U16" i="8"/>
  <c r="U17" i="8" s="1"/>
  <c r="W16" i="8"/>
  <c r="W22" i="8" s="1"/>
  <c r="W28" i="8" s="1"/>
  <c r="W32" i="8" s="1"/>
  <c r="T16" i="8"/>
  <c r="T17" i="8" s="1"/>
  <c r="S16" i="8"/>
  <c r="S17" i="8" s="1"/>
  <c r="X16" i="8"/>
  <c r="X22" i="8" s="1"/>
  <c r="K16" i="8"/>
  <c r="K22" i="8" s="1"/>
  <c r="P16" i="8"/>
  <c r="P22" i="8" s="1"/>
  <c r="P28" i="8" s="1"/>
  <c r="P32" i="8" s="1"/>
  <c r="L16" i="8"/>
  <c r="L17" i="8" s="1"/>
  <c r="AC16" i="8"/>
  <c r="AC22" i="8" s="1"/>
  <c r="AU46" i="8"/>
  <c r="AU47" i="8"/>
  <c r="AU61" i="8"/>
  <c r="AU68" i="8"/>
  <c r="AU62" i="8"/>
  <c r="AU48" i="8"/>
  <c r="E63" i="8"/>
  <c r="C62" i="9" s="1"/>
  <c r="AU71" i="8"/>
  <c r="AH67" i="8"/>
  <c r="AU52" i="8"/>
  <c r="AU72" i="8"/>
  <c r="AG46" i="9"/>
  <c r="AU53" i="8"/>
  <c r="AU73" i="8"/>
  <c r="D63" i="8"/>
  <c r="AU54" i="8"/>
  <c r="AU74" i="8"/>
  <c r="AU58" i="8"/>
  <c r="AU59" i="8"/>
  <c r="R49" i="8"/>
  <c r="R55" i="8" s="1"/>
  <c r="AG43" i="9"/>
  <c r="AU60" i="8"/>
  <c r="AU66" i="8"/>
  <c r="AH66" i="8"/>
  <c r="AL66" i="8"/>
  <c r="AP66" i="8"/>
  <c r="AK20" i="8"/>
  <c r="AA21" i="9"/>
  <c r="AH48" i="8"/>
  <c r="Z58" i="9"/>
  <c r="AL48" i="8"/>
  <c r="AD58" i="9"/>
  <c r="AC15" i="9"/>
  <c r="AC27" i="9" s="1"/>
  <c r="AP47" i="8"/>
  <c r="AH53" i="9"/>
  <c r="AI98" i="8"/>
  <c r="Y73" i="9"/>
  <c r="AA73" i="9"/>
  <c r="AH54" i="8"/>
  <c r="AP48" i="8"/>
  <c r="AH58" i="9"/>
  <c r="AR19" i="8"/>
  <c r="AK21" i="8"/>
  <c r="AA22" i="9"/>
  <c r="AC69" i="8"/>
  <c r="AO21" i="8"/>
  <c r="AE73" i="9"/>
  <c r="AH58" i="8"/>
  <c r="Z59" i="9"/>
  <c r="AM19" i="8"/>
  <c r="AF20" i="9"/>
  <c r="AR21" i="8"/>
  <c r="AH22" i="9"/>
  <c r="AP54" i="8"/>
  <c r="AO20" i="8"/>
  <c r="AG21" i="9"/>
  <c r="AK73" i="9"/>
  <c r="AQ137" i="8"/>
  <c r="AH47" i="8"/>
  <c r="AB73" i="9"/>
  <c r="AC73" i="9"/>
  <c r="AL54" i="8"/>
  <c r="AP58" i="8"/>
  <c r="AH59" i="9"/>
  <c r="AG15" i="9"/>
  <c r="AG27" i="9" s="1"/>
  <c r="AR20" i="8"/>
  <c r="AK21" i="9"/>
  <c r="AF73" i="9"/>
  <c r="AG73" i="9"/>
  <c r="AH46" i="8"/>
  <c r="AL46" i="8"/>
  <c r="P55" i="9"/>
  <c r="AL58" i="8"/>
  <c r="AD59" i="9"/>
  <c r="AK19" i="8"/>
  <c r="Z20" i="9"/>
  <c r="AF49" i="8"/>
  <c r="AF55" i="8" s="1"/>
  <c r="Z111" i="8"/>
  <c r="R111" i="8"/>
  <c r="V111" i="8"/>
  <c r="N111" i="8"/>
  <c r="Q49" i="8"/>
  <c r="Q55" i="8" s="1"/>
  <c r="U55" i="8"/>
  <c r="O55" i="8"/>
  <c r="P55" i="8"/>
  <c r="AE49" i="8"/>
  <c r="AE55" i="8" s="1"/>
  <c r="L49" i="8"/>
  <c r="L55" i="8" s="1"/>
  <c r="K49" i="8"/>
  <c r="K55" i="8" s="1"/>
  <c r="M69" i="8"/>
  <c r="M76" i="8" s="1"/>
  <c r="M78" i="8" s="1"/>
  <c r="AF60" i="8"/>
  <c r="AF63" i="8" s="1"/>
  <c r="AF69" i="8" s="1"/>
  <c r="AQ63" i="8"/>
  <c r="AE60" i="8"/>
  <c r="L63" i="8"/>
  <c r="L69" i="8" s="1"/>
  <c r="L76" i="8" s="1"/>
  <c r="Q69" i="8"/>
  <c r="K63" i="9" s="1"/>
  <c r="O69" i="8"/>
  <c r="I63" i="9" s="1"/>
  <c r="AJ10" i="10"/>
  <c r="AK10" i="10"/>
  <c r="AM10" i="10" s="1"/>
  <c r="AR63" i="8"/>
  <c r="AS63" i="8"/>
  <c r="AO63" i="8"/>
  <c r="N63" i="8"/>
  <c r="N69" i="8" s="1"/>
  <c r="V63" i="8"/>
  <c r="P62" i="9" s="1"/>
  <c r="R63" i="8"/>
  <c r="L62" i="9" s="1"/>
  <c r="Z63" i="8"/>
  <c r="T62" i="9" s="1"/>
  <c r="U22" i="8"/>
  <c r="U28" i="8" s="1"/>
  <c r="U32" i="8" s="1"/>
  <c r="D14" i="10"/>
  <c r="R75" i="8"/>
  <c r="L73" i="9" s="1"/>
  <c r="AG89" i="8"/>
  <c r="AG98" i="8"/>
  <c r="AG137" i="8"/>
  <c r="AE128" i="8"/>
  <c r="AF75" i="8"/>
  <c r="AG21" i="8"/>
  <c r="AK71" i="9"/>
  <c r="AG99" i="8"/>
  <c r="AE75" i="8"/>
  <c r="AG49" i="8"/>
  <c r="AG55" i="8" s="1"/>
  <c r="AG75" i="8"/>
  <c r="AE21" i="8"/>
  <c r="Y22" i="9"/>
  <c r="AE11" i="8"/>
  <c r="AE16" i="8" s="1"/>
  <c r="AF11" i="8"/>
  <c r="AF16" i="8" s="1"/>
  <c r="AE19" i="8"/>
  <c r="AE20" i="8"/>
  <c r="AE59" i="8"/>
  <c r="AE89" i="8"/>
  <c r="AE98" i="8"/>
  <c r="AE99" i="8"/>
  <c r="AE137" i="8"/>
  <c r="AG11" i="8"/>
  <c r="AG16" i="8" s="1"/>
  <c r="AF19" i="8"/>
  <c r="AF20" i="8"/>
  <c r="AF89" i="8"/>
  <c r="AF98" i="8"/>
  <c r="AF99" i="8"/>
  <c r="AF128" i="8"/>
  <c r="AF137" i="8"/>
  <c r="AG59" i="8"/>
  <c r="AG63" i="8" s="1"/>
  <c r="AG69" i="8" s="1"/>
  <c r="AE42" i="8"/>
  <c r="AE43" i="8"/>
  <c r="AF42" i="8"/>
  <c r="AF43" i="8"/>
  <c r="AG42" i="8"/>
  <c r="AG43" i="8"/>
  <c r="AG128" i="8"/>
  <c r="AO102" i="8"/>
  <c r="AL102" i="8"/>
  <c r="AM102" i="8"/>
  <c r="AQ102" i="8"/>
  <c r="AN102" i="8"/>
  <c r="AF102" i="8"/>
  <c r="AH101" i="8"/>
  <c r="AK101" i="8"/>
  <c r="AJ101" i="8"/>
  <c r="AI101" i="8"/>
  <c r="AM101" i="8"/>
  <c r="AF101" i="8"/>
  <c r="AS101" i="8"/>
  <c r="AL101" i="8"/>
  <c r="AN101" i="8"/>
  <c r="U69" i="8"/>
  <c r="O63" i="9" s="1"/>
  <c r="AS98" i="8"/>
  <c r="AS100" i="8"/>
  <c r="AH21" i="8"/>
  <c r="AS21" i="8"/>
  <c r="AQ21" i="8"/>
  <c r="AI21" i="8"/>
  <c r="AJ21" i="8"/>
  <c r="AP21" i="8"/>
  <c r="AL21" i="8"/>
  <c r="AM21" i="8"/>
  <c r="AN21" i="8"/>
  <c r="AC49" i="8"/>
  <c r="AS75" i="8"/>
  <c r="AS49" i="8"/>
  <c r="AS10" i="8"/>
  <c r="T69" i="8"/>
  <c r="N63" i="9" s="1"/>
  <c r="AS19" i="8"/>
  <c r="AS20" i="8"/>
  <c r="AS99" i="8"/>
  <c r="AS42" i="8"/>
  <c r="AS43" i="8"/>
  <c r="AL61" i="8"/>
  <c r="AD71" i="9"/>
  <c r="AH61" i="8"/>
  <c r="AP61" i="8"/>
  <c r="Z71" i="9"/>
  <c r="S69" i="8"/>
  <c r="M63" i="9" s="1"/>
  <c r="N71" i="9"/>
  <c r="M71" i="9"/>
  <c r="U71" i="9"/>
  <c r="O71" i="9"/>
  <c r="Q71" i="9"/>
  <c r="R71" i="9"/>
  <c r="AF71" i="9"/>
  <c r="Y71" i="9"/>
  <c r="AG71" i="9"/>
  <c r="AC71" i="9"/>
  <c r="AI71" i="9"/>
  <c r="AE71" i="9"/>
  <c r="AB71" i="9"/>
  <c r="AA71" i="9"/>
  <c r="AH70" i="9"/>
  <c r="T49" i="8"/>
  <c r="T55" i="8" s="1"/>
  <c r="E121" i="8"/>
  <c r="F121" i="8"/>
  <c r="AB121" i="8"/>
  <c r="O121" i="8"/>
  <c r="W121" i="8"/>
  <c r="P121" i="8"/>
  <c r="X121" i="8"/>
  <c r="K121" i="8"/>
  <c r="L121" i="8"/>
  <c r="AB49" i="8"/>
  <c r="AB55" i="8" s="1"/>
  <c r="Y49" i="8"/>
  <c r="Y55" i="8" s="1"/>
  <c r="S49" i="8"/>
  <c r="S55" i="8" s="1"/>
  <c r="X49" i="8"/>
  <c r="X55" i="8" s="1"/>
  <c r="W49" i="8"/>
  <c r="W55" i="8" s="1"/>
  <c r="I69" i="8"/>
  <c r="G63" i="9" s="1"/>
  <c r="AO137" i="8"/>
  <c r="Y15" i="9"/>
  <c r="Y27" i="9" s="1"/>
  <c r="Y21" i="9"/>
  <c r="AF55" i="9"/>
  <c r="AB26" i="9"/>
  <c r="Y55" i="9"/>
  <c r="AC62" i="9"/>
  <c r="AR100" i="8"/>
  <c r="AE55" i="9"/>
  <c r="Y36" i="9"/>
  <c r="Y62" i="9"/>
  <c r="AB55" i="9"/>
  <c r="AA55" i="9"/>
  <c r="AC55" i="9"/>
  <c r="Y20" i="9"/>
  <c r="AR98" i="8"/>
  <c r="AO98" i="8"/>
  <c r="AK89" i="8"/>
  <c r="AP137" i="8"/>
  <c r="AO99" i="8"/>
  <c r="AM137" i="8"/>
  <c r="AN137" i="8"/>
  <c r="AK100" i="8"/>
  <c r="AL137" i="8"/>
  <c r="AI89" i="8"/>
  <c r="AH89" i="8"/>
  <c r="AH99" i="8"/>
  <c r="AJ100" i="8"/>
  <c r="AJ89" i="8"/>
  <c r="AK98" i="8"/>
  <c r="AQ99" i="8"/>
  <c r="AL98" i="8"/>
  <c r="AN100" i="8"/>
  <c r="AM98" i="8"/>
  <c r="AJ99" i="8"/>
  <c r="AR99" i="8"/>
  <c r="AO100" i="8"/>
  <c r="AN98" i="8"/>
  <c r="AK99" i="8"/>
  <c r="AH100" i="8"/>
  <c r="AP100" i="8"/>
  <c r="AI100" i="8"/>
  <c r="AQ100" i="8"/>
  <c r="AH98" i="8"/>
  <c r="AP98" i="8"/>
  <c r="AQ98" i="8"/>
  <c r="AJ98" i="8"/>
  <c r="AL100" i="8"/>
  <c r="R11" i="8"/>
  <c r="AH19" i="8"/>
  <c r="V11" i="8"/>
  <c r="V16" i="8" s="1"/>
  <c r="AJ20" i="8"/>
  <c r="N22" i="8"/>
  <c r="AH20" i="8"/>
  <c r="AI20" i="8"/>
  <c r="AP20" i="8"/>
  <c r="AQ20" i="8"/>
  <c r="AN19" i="8"/>
  <c r="AO19" i="8"/>
  <c r="AL19" i="8"/>
  <c r="AP19" i="8"/>
  <c r="AQ19" i="8"/>
  <c r="AL20" i="8"/>
  <c r="AM20" i="8"/>
  <c r="AN20" i="8"/>
  <c r="AI19" i="8"/>
  <c r="AJ19" i="8"/>
  <c r="V75" i="8"/>
  <c r="P73" i="9" s="1"/>
  <c r="V49" i="8"/>
  <c r="V55" i="8" s="1"/>
  <c r="Z49" i="8"/>
  <c r="Z55" i="8" s="1"/>
  <c r="N75" i="8"/>
  <c r="N49" i="8"/>
  <c r="N55" i="8" s="1"/>
  <c r="AL47" i="8"/>
  <c r="AP46" i="8"/>
  <c r="Q17" i="8"/>
  <c r="O17" i="8"/>
  <c r="U86" i="8" l="1"/>
  <c r="U36" i="8"/>
  <c r="U39" i="8"/>
  <c r="W86" i="8"/>
  <c r="W36" i="8"/>
  <c r="W39" i="8"/>
  <c r="Q86" i="8"/>
  <c r="Q39" i="8"/>
  <c r="Q36" i="8"/>
  <c r="P86" i="8"/>
  <c r="P39" i="8"/>
  <c r="P36" i="8"/>
  <c r="O86" i="8"/>
  <c r="O36" i="8"/>
  <c r="O39" i="8"/>
  <c r="AC76" i="8"/>
  <c r="W63" i="9"/>
  <c r="K17" i="8"/>
  <c r="M22" i="8"/>
  <c r="M28" i="8" s="1"/>
  <c r="M32" i="8" s="1"/>
  <c r="Y6" i="9"/>
  <c r="AI9" i="9"/>
  <c r="AJ9" i="9"/>
  <c r="AH9" i="9"/>
  <c r="AK9" i="9"/>
  <c r="AM9" i="9" s="1"/>
  <c r="AI8" i="9"/>
  <c r="AJ8" i="9"/>
  <c r="AK8" i="9"/>
  <c r="AM8" i="9" s="1"/>
  <c r="AH8" i="9"/>
  <c r="AH7" i="9"/>
  <c r="AI7" i="9"/>
  <c r="AJ7" i="9"/>
  <c r="AK7" i="9"/>
  <c r="AM7" i="9" s="1"/>
  <c r="Y14" i="10"/>
  <c r="Y15" i="10" s="1"/>
  <c r="AC17" i="8"/>
  <c r="T22" i="8"/>
  <c r="X17" i="8"/>
  <c r="W17" i="8"/>
  <c r="AC23" i="8"/>
  <c r="AC28" i="8"/>
  <c r="AC32" i="8" s="1"/>
  <c r="L22" i="8"/>
  <c r="L23" i="8" s="1"/>
  <c r="P17" i="8"/>
  <c r="K28" i="8"/>
  <c r="K32" i="8" s="1"/>
  <c r="K23" i="8"/>
  <c r="S22" i="8"/>
  <c r="R16" i="8"/>
  <c r="R22" i="8" s="1"/>
  <c r="AP63" i="8"/>
  <c r="AU106" i="8"/>
  <c r="AU110" i="8"/>
  <c r="AU99" i="8"/>
  <c r="AU19" i="8"/>
  <c r="AU114" i="8"/>
  <c r="AJ46" i="9"/>
  <c r="AK46" i="9"/>
  <c r="AH46" i="9"/>
  <c r="AI46" i="9"/>
  <c r="AH43" i="9"/>
  <c r="AJ43" i="9"/>
  <c r="AI43" i="9"/>
  <c r="AK43" i="9"/>
  <c r="AS55" i="8"/>
  <c r="AU100" i="8"/>
  <c r="AS69" i="8"/>
  <c r="AS76" i="8" s="1"/>
  <c r="AU63" i="8"/>
  <c r="AU109" i="8"/>
  <c r="AU98" i="8"/>
  <c r="AU31" i="8"/>
  <c r="AU27" i="8"/>
  <c r="AU25" i="8"/>
  <c r="AU21" i="8"/>
  <c r="AU20" i="8"/>
  <c r="AS11" i="8"/>
  <c r="AS16" i="8" s="1"/>
  <c r="AU10" i="8"/>
  <c r="T55" i="9"/>
  <c r="L55" i="9"/>
  <c r="AH52" i="9"/>
  <c r="AH55" i="9" s="1"/>
  <c r="AF74" i="9"/>
  <c r="AF83" i="9" s="1"/>
  <c r="AE74" i="9"/>
  <c r="AE83" i="9" s="1"/>
  <c r="W74" i="9"/>
  <c r="W83" i="9" s="1"/>
  <c r="AK37" i="9"/>
  <c r="AG37" i="9"/>
  <c r="Z73" i="9"/>
  <c r="Z74" i="9" s="1"/>
  <c r="Z83" i="9" s="1"/>
  <c r="AC74" i="9"/>
  <c r="AC83" i="9" s="1"/>
  <c r="AA63" i="9"/>
  <c r="AC63" i="9"/>
  <c r="O76" i="8"/>
  <c r="O78" i="8" s="1"/>
  <c r="AK63" i="9"/>
  <c r="AG74" i="9"/>
  <c r="AG83" i="9" s="1"/>
  <c r="T76" i="8"/>
  <c r="T78" i="8" s="1"/>
  <c r="AB63" i="9"/>
  <c r="Q76" i="8"/>
  <c r="Q78" i="8" s="1"/>
  <c r="Y63" i="9"/>
  <c r="Y74" i="9"/>
  <c r="Y83" i="9" s="1"/>
  <c r="AK74" i="9"/>
  <c r="AK83" i="9" s="1"/>
  <c r="AD73" i="9"/>
  <c r="AD74" i="9" s="1"/>
  <c r="AD83" i="9" s="1"/>
  <c r="R69" i="8"/>
  <c r="Z62" i="9"/>
  <c r="AB74" i="9"/>
  <c r="AB83" i="9" s="1"/>
  <c r="AA74" i="9"/>
  <c r="AA83" i="9" s="1"/>
  <c r="L78" i="8"/>
  <c r="AE63" i="8"/>
  <c r="AE69" i="8" s="1"/>
  <c r="AE76" i="8" s="1"/>
  <c r="AE78" i="8" s="1"/>
  <c r="V22" i="8"/>
  <c r="Z22" i="9"/>
  <c r="AM21" i="9"/>
  <c r="AG22" i="9"/>
  <c r="AE17" i="8"/>
  <c r="AG22" i="8"/>
  <c r="AG28" i="8" s="1"/>
  <c r="AE22" i="9"/>
  <c r="AF22" i="9"/>
  <c r="AD22" i="9"/>
  <c r="AF76" i="8"/>
  <c r="AF78" i="8" s="1"/>
  <c r="AG76" i="8"/>
  <c r="AG78" i="8" s="1"/>
  <c r="AG17" i="8"/>
  <c r="AC22" i="9"/>
  <c r="AB22" i="9"/>
  <c r="AJ15" i="9"/>
  <c r="AJ27" i="9" s="1"/>
  <c r="AK15" i="9"/>
  <c r="AK27" i="9" s="1"/>
  <c r="AJ20" i="9"/>
  <c r="AK20" i="9"/>
  <c r="AC55" i="8"/>
  <c r="AC78" i="8" s="1"/>
  <c r="AK62" i="9"/>
  <c r="AK35" i="9"/>
  <c r="AK22" i="9"/>
  <c r="AI22" i="9"/>
  <c r="AJ22" i="9"/>
  <c r="AE111" i="8"/>
  <c r="AG100" i="8"/>
  <c r="AG101" i="8"/>
  <c r="AE101" i="8"/>
  <c r="AG102" i="8"/>
  <c r="AE102" i="8"/>
  <c r="AP128" i="8"/>
  <c r="AR128" i="8"/>
  <c r="AS128" i="8"/>
  <c r="AJ128" i="8"/>
  <c r="AQ128" i="8"/>
  <c r="U76" i="8"/>
  <c r="U78" i="8" s="1"/>
  <c r="AO101" i="8"/>
  <c r="AU101" i="8" s="1"/>
  <c r="AC121" i="8"/>
  <c r="AP102" i="8"/>
  <c r="AK102" i="8"/>
  <c r="AJ102" i="8"/>
  <c r="AI102" i="8"/>
  <c r="AS102" i="8"/>
  <c r="AU102" i="8" s="1"/>
  <c r="AR102" i="8"/>
  <c r="AH102" i="8"/>
  <c r="AQ101" i="8"/>
  <c r="AP101" i="8"/>
  <c r="AR101" i="8"/>
  <c r="N17" i="8"/>
  <c r="L71" i="9"/>
  <c r="S76" i="8"/>
  <c r="S78" i="8" s="1"/>
  <c r="P71" i="9"/>
  <c r="AH71" i="9"/>
  <c r="T71" i="9"/>
  <c r="AJ71" i="9"/>
  <c r="V71" i="9"/>
  <c r="AF31" i="9"/>
  <c r="Z41" i="9"/>
  <c r="Y121" i="8"/>
  <c r="Y41" i="9"/>
  <c r="AK41" i="9"/>
  <c r="Z52" i="9"/>
  <c r="Z55" i="9" s="1"/>
  <c r="AD52" i="9"/>
  <c r="AD55" i="9" s="1"/>
  <c r="Q121" i="8"/>
  <c r="AB62" i="9"/>
  <c r="M121" i="8"/>
  <c r="AJ62" i="9"/>
  <c r="AG62" i="9"/>
  <c r="AF62" i="9"/>
  <c r="AA62" i="9"/>
  <c r="AE62" i="9"/>
  <c r="X69" i="8"/>
  <c r="R63" i="9" s="1"/>
  <c r="P69" i="8"/>
  <c r="J63" i="9" s="1"/>
  <c r="K69" i="8"/>
  <c r="K76" i="8" s="1"/>
  <c r="K78" i="8" s="1"/>
  <c r="W69" i="8"/>
  <c r="Q63" i="9" s="1"/>
  <c r="V69" i="8"/>
  <c r="P63" i="9" s="1"/>
  <c r="Y69" i="8"/>
  <c r="S63" i="9" s="1"/>
  <c r="AI20" i="9"/>
  <c r="AD21" i="9"/>
  <c r="Y31" i="9"/>
  <c r="AH20" i="9"/>
  <c r="Y26" i="9"/>
  <c r="AE21" i="9"/>
  <c r="AF15" i="9"/>
  <c r="AF27" i="9" s="1"/>
  <c r="AA26" i="9"/>
  <c r="AF21" i="9"/>
  <c r="AE36" i="9"/>
  <c r="AC38" i="9"/>
  <c r="AE15" i="9"/>
  <c r="AE27" i="9" s="1"/>
  <c r="AG20" i="9"/>
  <c r="AH36" i="9"/>
  <c r="AI35" i="9"/>
  <c r="AK38" i="9"/>
  <c r="AC21" i="9"/>
  <c r="AB21" i="9"/>
  <c r="Z21" i="9"/>
  <c r="AI15" i="9"/>
  <c r="AI27" i="9" s="1"/>
  <c r="AD62" i="9"/>
  <c r="Y38" i="9"/>
  <c r="AF36" i="9"/>
  <c r="AC37" i="9"/>
  <c r="AK137" i="8"/>
  <c r="AI21" i="9"/>
  <c r="AH21" i="9"/>
  <c r="AJ21" i="9"/>
  <c r="AB15" i="9"/>
  <c r="AB27" i="9" s="1"/>
  <c r="AA15" i="9"/>
  <c r="AA27" i="9" s="1"/>
  <c r="Z26" i="9"/>
  <c r="AJ35" i="9"/>
  <c r="AH15" i="9"/>
  <c r="AH27" i="9" s="1"/>
  <c r="AD15" i="9"/>
  <c r="AD27" i="9" s="1"/>
  <c r="AH62" i="9"/>
  <c r="AC20" i="9"/>
  <c r="AB20" i="9"/>
  <c r="AE20" i="9"/>
  <c r="AD20" i="9"/>
  <c r="AG36" i="9"/>
  <c r="Z15" i="9"/>
  <c r="Z27" i="9" s="1"/>
  <c r="AH35" i="9"/>
  <c r="AA20" i="9"/>
  <c r="AS89" i="8"/>
  <c r="AD36" i="9"/>
  <c r="AJ137" i="8"/>
  <c r="AL99" i="8"/>
  <c r="AN99" i="8"/>
  <c r="AM99" i="8"/>
  <c r="AH137" i="8"/>
  <c r="AI137" i="8"/>
  <c r="AC35" i="9"/>
  <c r="X23" i="8"/>
  <c r="X28" i="8"/>
  <c r="T23" i="8"/>
  <c r="T28" i="8"/>
  <c r="N76" i="8"/>
  <c r="N78" i="8" s="1"/>
  <c r="P23" i="8"/>
  <c r="O23" i="8"/>
  <c r="W23" i="8"/>
  <c r="Q23" i="8"/>
  <c r="U23" i="8"/>
  <c r="M23" i="8"/>
  <c r="AC86" i="8" l="1"/>
  <c r="AC36" i="8"/>
  <c r="AC39" i="8"/>
  <c r="M86" i="8"/>
  <c r="M39" i="8"/>
  <c r="M36" i="8"/>
  <c r="K33" i="8"/>
  <c r="K36" i="8"/>
  <c r="K39" i="8"/>
  <c r="L63" i="9"/>
  <c r="Z63" i="9" s="1"/>
  <c r="Y11" i="9"/>
  <c r="Y17" i="9" s="1"/>
  <c r="Y23" i="9" s="1"/>
  <c r="Y28" i="9" s="1"/>
  <c r="W17" i="9"/>
  <c r="W23" i="9" s="1"/>
  <c r="W28" i="9" s="1"/>
  <c r="K86" i="8"/>
  <c r="K103" i="8" s="1"/>
  <c r="K130" i="8" s="1"/>
  <c r="K29" i="8"/>
  <c r="L28" i="8"/>
  <c r="L32" i="8" s="1"/>
  <c r="AC29" i="8"/>
  <c r="R17" i="8"/>
  <c r="S28" i="8"/>
  <c r="S23" i="8"/>
  <c r="AU26" i="8"/>
  <c r="AS78" i="8"/>
  <c r="AS22" i="8"/>
  <c r="AS23" i="8" s="1"/>
  <c r="AI37" i="9"/>
  <c r="AJ37" i="9"/>
  <c r="AH37" i="9"/>
  <c r="AM37" i="9"/>
  <c r="AE37" i="9"/>
  <c r="AF37" i="9"/>
  <c r="AD37" i="9"/>
  <c r="R76" i="8"/>
  <c r="R78" i="8" s="1"/>
  <c r="AJ36" i="9"/>
  <c r="AR137" i="8"/>
  <c r="AD63" i="9"/>
  <c r="W76" i="8"/>
  <c r="W78" i="8" s="1"/>
  <c r="AE63" i="9"/>
  <c r="AI36" i="9"/>
  <c r="P76" i="8"/>
  <c r="P78" i="8" s="1"/>
  <c r="AG63" i="9"/>
  <c r="X76" i="8"/>
  <c r="X78" i="8" s="1"/>
  <c r="AF63" i="9"/>
  <c r="Z6" i="9"/>
  <c r="Z11" i="9" s="1"/>
  <c r="AF6" i="9"/>
  <c r="V17" i="8"/>
  <c r="AP111" i="8"/>
  <c r="AR111" i="8"/>
  <c r="AQ111" i="8"/>
  <c r="AS111" i="8"/>
  <c r="AM22" i="9"/>
  <c r="AG23" i="8"/>
  <c r="AE22" i="8"/>
  <c r="AE28" i="8" s="1"/>
  <c r="AE32" i="8" s="1"/>
  <c r="AF100" i="8"/>
  <c r="N121" i="8"/>
  <c r="AM20" i="9"/>
  <c r="AF111" i="8"/>
  <c r="AE100" i="8"/>
  <c r="AM15" i="9"/>
  <c r="AG121" i="8"/>
  <c r="AF17" i="8"/>
  <c r="AF22" i="8"/>
  <c r="AG111" i="8"/>
  <c r="AG32" i="8"/>
  <c r="AG29" i="8"/>
  <c r="AI128" i="8"/>
  <c r="AJ121" i="8"/>
  <c r="AN128" i="8"/>
  <c r="AK128" i="8"/>
  <c r="AH128" i="8"/>
  <c r="AJ38" i="9"/>
  <c r="X29" i="8"/>
  <c r="X32" i="8"/>
  <c r="T32" i="8"/>
  <c r="AS17" i="8"/>
  <c r="AR121" i="8"/>
  <c r="AS121" i="8"/>
  <c r="AC33" i="8"/>
  <c r="AD31" i="9"/>
  <c r="AN111" i="8"/>
  <c r="AE31" i="9"/>
  <c r="AG31" i="9"/>
  <c r="AP121" i="8"/>
  <c r="R121" i="8"/>
  <c r="AF42" i="9"/>
  <c r="AE42" i="9"/>
  <c r="AG42" i="9"/>
  <c r="AD42" i="9"/>
  <c r="Y42" i="9"/>
  <c r="AC42" i="9"/>
  <c r="AH121" i="8"/>
  <c r="AI41" i="9"/>
  <c r="AJ41" i="9"/>
  <c r="AC41" i="9"/>
  <c r="AN121" i="8"/>
  <c r="AI121" i="8"/>
  <c r="AH41" i="9"/>
  <c r="AA41" i="9"/>
  <c r="AB41" i="9"/>
  <c r="AQ121" i="8"/>
  <c r="Z121" i="8"/>
  <c r="Y76" i="8"/>
  <c r="Y78" i="8" s="1"/>
  <c r="V76" i="8"/>
  <c r="V78" i="8" s="1"/>
  <c r="AN89" i="8"/>
  <c r="AI38" i="9"/>
  <c r="AL89" i="8"/>
  <c r="AO89" i="8"/>
  <c r="AU89" i="8" s="1"/>
  <c r="AM89" i="8"/>
  <c r="AH38" i="9"/>
  <c r="AO111" i="8"/>
  <c r="AM111" i="8"/>
  <c r="AL111" i="8"/>
  <c r="AB35" i="9"/>
  <c r="AA35" i="9"/>
  <c r="Y35" i="9"/>
  <c r="Z35" i="9"/>
  <c r="AB37" i="9"/>
  <c r="AA37" i="9"/>
  <c r="Y37" i="9"/>
  <c r="Z37" i="9"/>
  <c r="AB38" i="9"/>
  <c r="Z38" i="9"/>
  <c r="AA38" i="9"/>
  <c r="AC36" i="9"/>
  <c r="AA36" i="9"/>
  <c r="AB36" i="9"/>
  <c r="Z36" i="9"/>
  <c r="AF35" i="9"/>
  <c r="AE35" i="9"/>
  <c r="AG35" i="9"/>
  <c r="AM35" i="9" s="1"/>
  <c r="AD35" i="9"/>
  <c r="AR89" i="8"/>
  <c r="AQ89" i="8"/>
  <c r="AP89" i="8"/>
  <c r="AG38" i="9"/>
  <c r="AM38" i="9" s="1"/>
  <c r="AD38" i="9"/>
  <c r="AE38" i="9"/>
  <c r="AF26" i="9"/>
  <c r="AD26" i="9"/>
  <c r="AE26" i="9"/>
  <c r="AC26" i="9"/>
  <c r="AG26" i="9"/>
  <c r="AF38" i="9"/>
  <c r="AK111" i="8"/>
  <c r="AI111" i="8"/>
  <c r="AJ111" i="8"/>
  <c r="AH111" i="8"/>
  <c r="V23" i="8"/>
  <c r="V28" i="8"/>
  <c r="N23" i="8"/>
  <c r="N28" i="8"/>
  <c r="N32" i="8" s="1"/>
  <c r="R28" i="8"/>
  <c r="R23" i="8"/>
  <c r="T29" i="8"/>
  <c r="O103" i="8"/>
  <c r="O130" i="8" s="1"/>
  <c r="O29" i="8"/>
  <c r="P29" i="8"/>
  <c r="P103" i="8"/>
  <c r="P130" i="8" s="1"/>
  <c r="M29" i="8"/>
  <c r="Q103" i="8"/>
  <c r="Q130" i="8" s="1"/>
  <c r="Q29" i="8"/>
  <c r="U103" i="8"/>
  <c r="U29" i="8"/>
  <c r="W103" i="8"/>
  <c r="W130" i="8" s="1"/>
  <c r="W29" i="8"/>
  <c r="T39" i="8" l="1"/>
  <c r="T36" i="8"/>
  <c r="L86" i="8"/>
  <c r="L103" i="8" s="1"/>
  <c r="L130" i="8" s="1"/>
  <c r="L39" i="8"/>
  <c r="L36" i="8"/>
  <c r="X86" i="8"/>
  <c r="X103" i="8" s="1"/>
  <c r="X130" i="8" s="1"/>
  <c r="X39" i="8"/>
  <c r="X36" i="8"/>
  <c r="N86" i="8"/>
  <c r="N36" i="8"/>
  <c r="N39" i="8"/>
  <c r="L29" i="8"/>
  <c r="AF11" i="9"/>
  <c r="AF17" i="9" s="1"/>
  <c r="W18" i="9"/>
  <c r="W24" i="9"/>
  <c r="Z17" i="9"/>
  <c r="Z23" i="9" s="1"/>
  <c r="Z28" i="9" s="1"/>
  <c r="AC6" i="9"/>
  <c r="AG6" i="9"/>
  <c r="AE6" i="9"/>
  <c r="AD6" i="9"/>
  <c r="AD11" i="9" s="1"/>
  <c r="AB6" i="9"/>
  <c r="AJ9" i="10"/>
  <c r="AA6" i="9"/>
  <c r="S32" i="8"/>
  <c r="S29" i="8"/>
  <c r="AS28" i="8"/>
  <c r="AS32" i="8" s="1"/>
  <c r="AS33" i="8" s="1"/>
  <c r="AU35" i="8"/>
  <c r="AU111" i="8"/>
  <c r="AU39" i="8"/>
  <c r="AK36" i="9"/>
  <c r="AM36" i="9" s="1"/>
  <c r="AS137" i="8"/>
  <c r="T86" i="8"/>
  <c r="T103" i="8" s="1"/>
  <c r="T130" i="8" s="1"/>
  <c r="AK9" i="10"/>
  <c r="AH9" i="10"/>
  <c r="AI9" i="10"/>
  <c r="AG9" i="10"/>
  <c r="AF9" i="10"/>
  <c r="AE9" i="10"/>
  <c r="AD9" i="10"/>
  <c r="AC9" i="10"/>
  <c r="AB9" i="10"/>
  <c r="AA9" i="10"/>
  <c r="AE121" i="8"/>
  <c r="AE29" i="8"/>
  <c r="AE23" i="8"/>
  <c r="AF121" i="8"/>
  <c r="AJ31" i="9"/>
  <c r="AK31" i="9"/>
  <c r="AM31" i="9" s="1"/>
  <c r="AJ26" i="9"/>
  <c r="AK26" i="9"/>
  <c r="AJ42" i="9"/>
  <c r="AK42" i="9"/>
  <c r="W32" i="9"/>
  <c r="W29" i="9"/>
  <c r="M103" i="8"/>
  <c r="M130" i="8" s="1"/>
  <c r="AF23" i="8"/>
  <c r="AF28" i="8"/>
  <c r="AE33" i="8"/>
  <c r="AG33" i="8"/>
  <c r="AL128" i="8"/>
  <c r="AK121" i="8"/>
  <c r="AO128" i="8"/>
  <c r="AM128" i="8"/>
  <c r="L33" i="8"/>
  <c r="AI31" i="9"/>
  <c r="T33" i="8"/>
  <c r="R29" i="8"/>
  <c r="R32" i="8"/>
  <c r="V29" i="8"/>
  <c r="V32" i="8"/>
  <c r="AH31" i="9"/>
  <c r="AC31" i="9"/>
  <c r="AB31" i="9"/>
  <c r="AA31" i="9"/>
  <c r="Z31" i="9"/>
  <c r="AC103" i="8"/>
  <c r="AC130" i="8" s="1"/>
  <c r="AL121" i="8"/>
  <c r="U130" i="8"/>
  <c r="AH42" i="9"/>
  <c r="AI42" i="9"/>
  <c r="Z42" i="9"/>
  <c r="AA42" i="9"/>
  <c r="V121" i="8"/>
  <c r="AO121" i="8"/>
  <c r="AU121" i="8" s="1"/>
  <c r="AG41" i="9"/>
  <c r="AM121" i="8"/>
  <c r="AB42" i="9"/>
  <c r="Y18" i="9"/>
  <c r="AI26" i="9"/>
  <c r="AH26" i="9"/>
  <c r="N29" i="8"/>
  <c r="X33" i="8"/>
  <c r="O33" i="8"/>
  <c r="U33" i="8"/>
  <c r="W33" i="8"/>
  <c r="Q33" i="8"/>
  <c r="N33" i="8"/>
  <c r="M33" i="8"/>
  <c r="P33" i="8"/>
  <c r="V86" i="8" l="1"/>
  <c r="V36" i="8"/>
  <c r="V39" i="8"/>
  <c r="S39" i="8"/>
  <c r="S36" i="8"/>
  <c r="R86" i="8"/>
  <c r="R39" i="8"/>
  <c r="R36" i="8"/>
  <c r="AS29" i="8"/>
  <c r="AA11" i="9"/>
  <c r="AA17" i="9" s="1"/>
  <c r="AB11" i="9"/>
  <c r="AF12" i="9" s="1"/>
  <c r="AG11" i="9"/>
  <c r="AG17" i="9" s="1"/>
  <c r="AC11" i="9"/>
  <c r="AC17" i="9" s="1"/>
  <c r="AE11" i="9"/>
  <c r="AE17" i="9" s="1"/>
  <c r="Z18" i="9"/>
  <c r="AM26" i="9"/>
  <c r="AD17" i="9"/>
  <c r="AD23" i="9" s="1"/>
  <c r="AD28" i="9" s="1"/>
  <c r="AD12" i="9"/>
  <c r="AH6" i="9"/>
  <c r="AJ6" i="9"/>
  <c r="AJ11" i="9" s="1"/>
  <c r="AK6" i="9"/>
  <c r="AK11" i="9" s="1"/>
  <c r="AI6" i="9"/>
  <c r="AI11" i="9" s="1"/>
  <c r="S86" i="8"/>
  <c r="S103" i="8" s="1"/>
  <c r="S130" i="8" s="1"/>
  <c r="S33" i="8"/>
  <c r="AF18" i="9"/>
  <c r="AF23" i="9"/>
  <c r="W33" i="9"/>
  <c r="W39" i="9"/>
  <c r="W47" i="9" s="1"/>
  <c r="AF29" i="8"/>
  <c r="AF32" i="8"/>
  <c r="Z32" i="9"/>
  <c r="Z80" i="9" s="1"/>
  <c r="Z24" i="9"/>
  <c r="Z29" i="9"/>
  <c r="AD41" i="9"/>
  <c r="AE41" i="9"/>
  <c r="AF41" i="9"/>
  <c r="Y32" i="9"/>
  <c r="Y80" i="9" s="1"/>
  <c r="Y24" i="9"/>
  <c r="R33" i="8"/>
  <c r="V33" i="8"/>
  <c r="AE12" i="9" l="1"/>
  <c r="AG12" i="9"/>
  <c r="AC12" i="9"/>
  <c r="AB17" i="9"/>
  <c r="AB18" i="9" s="1"/>
  <c r="AE23" i="9"/>
  <c r="AE28" i="9" s="1"/>
  <c r="AE32" i="9" s="1"/>
  <c r="AE81" i="9" s="1" a="1"/>
  <c r="AE81" i="9" s="1"/>
  <c r="AE18" i="9"/>
  <c r="AG23" i="9"/>
  <c r="AG24" i="9" s="1"/>
  <c r="AG18" i="9"/>
  <c r="AC23" i="9"/>
  <c r="AC24" i="9" s="1"/>
  <c r="AC18" i="9"/>
  <c r="AA18" i="9"/>
  <c r="AA23" i="9"/>
  <c r="AA28" i="9" s="1"/>
  <c r="AA32" i="9" s="1"/>
  <c r="AH11" i="9"/>
  <c r="AH17" i="9" s="1"/>
  <c r="AD18" i="9"/>
  <c r="AE24" i="9"/>
  <c r="AF24" i="9"/>
  <c r="AF28" i="9"/>
  <c r="AF32" i="9" s="1"/>
  <c r="AF80" i="9" s="1"/>
  <c r="AD24" i="9"/>
  <c r="AI12" i="9"/>
  <c r="AI17" i="9"/>
  <c r="AI23" i="9" s="1"/>
  <c r="AI28" i="9" s="1"/>
  <c r="AB23" i="9"/>
  <c r="AB28" i="9" s="1"/>
  <c r="AM6" i="9"/>
  <c r="AK17" i="9"/>
  <c r="W48" i="9"/>
  <c r="AF33" i="8"/>
  <c r="Z33" i="9"/>
  <c r="Z81" i="9" a="1"/>
  <c r="Z81" i="9" s="1"/>
  <c r="Z82" i="9" a="1"/>
  <c r="Z82" i="9" s="1"/>
  <c r="Z78" i="9"/>
  <c r="Z79" i="9"/>
  <c r="Z39" i="9"/>
  <c r="AD29" i="9"/>
  <c r="AD32" i="9"/>
  <c r="Y29" i="9"/>
  <c r="AL86" i="8"/>
  <c r="V103" i="8"/>
  <c r="V130" i="8" s="1"/>
  <c r="AM86" i="8"/>
  <c r="AN86" i="8"/>
  <c r="AG28" i="9" l="1"/>
  <c r="AG32" i="9" s="1"/>
  <c r="AG80" i="9" s="1"/>
  <c r="AH12" i="9"/>
  <c r="AA24" i="9"/>
  <c r="AC28" i="9"/>
  <c r="AC32" i="9" s="1"/>
  <c r="AA29" i="9"/>
  <c r="AA80" i="9"/>
  <c r="AA39" i="9"/>
  <c r="AA79" i="9"/>
  <c r="AA82" i="9" a="1"/>
  <c r="AA82" i="9" s="1"/>
  <c r="AA78" i="9"/>
  <c r="AA33" i="9"/>
  <c r="AA81" i="9" a="1"/>
  <c r="AA81" i="9" s="1"/>
  <c r="AI18" i="9"/>
  <c r="AB24" i="9"/>
  <c r="AH23" i="9"/>
  <c r="AH28" i="9" s="1"/>
  <c r="AH18" i="9"/>
  <c r="AM11" i="9"/>
  <c r="AK12" i="9"/>
  <c r="AM12" i="9" s="1"/>
  <c r="AG29" i="9"/>
  <c r="AG79" i="9"/>
  <c r="AG78" i="9"/>
  <c r="AG33" i="9"/>
  <c r="AE29" i="9"/>
  <c r="AE78" i="9"/>
  <c r="AE82" i="9" a="1"/>
  <c r="AE82" i="9" s="1"/>
  <c r="AE79" i="9"/>
  <c r="AG82" i="9" a="1"/>
  <c r="AG82" i="9" s="1"/>
  <c r="AE33" i="9"/>
  <c r="AG81" i="9" a="1"/>
  <c r="AG81" i="9" s="1"/>
  <c r="AE80" i="9"/>
  <c r="AG39" i="9"/>
  <c r="AE39" i="9"/>
  <c r="AF82" i="9" a="1"/>
  <c r="AF82" i="9" s="1"/>
  <c r="AF29" i="9"/>
  <c r="AI24" i="9"/>
  <c r="AM130" i="8"/>
  <c r="AN130" i="8"/>
  <c r="AL130" i="8"/>
  <c r="AD82" i="9" a="1"/>
  <c r="AD82" i="9" s="1"/>
  <c r="AD80" i="9"/>
  <c r="AD81" i="9" a="1"/>
  <c r="AD81" i="9" s="1"/>
  <c r="AD79" i="9"/>
  <c r="AF79" i="9"/>
  <c r="AF78" i="9"/>
  <c r="AF81" i="9" a="1"/>
  <c r="AF81" i="9" s="1"/>
  <c r="AD33" i="9"/>
  <c r="AF39" i="9"/>
  <c r="AD39" i="9"/>
  <c r="AF33" i="9"/>
  <c r="AD78" i="9"/>
  <c r="Y33" i="9"/>
  <c r="Y78" i="9"/>
  <c r="Y79" i="9"/>
  <c r="Y82" i="9" a="1"/>
  <c r="Y82" i="9" s="1"/>
  <c r="Y39" i="9"/>
  <c r="Y81" i="9" a="1"/>
  <c r="Y81" i="9" s="1"/>
  <c r="B83" i="8"/>
  <c r="B82" i="8"/>
  <c r="I83" i="8"/>
  <c r="H83" i="8"/>
  <c r="G83" i="8"/>
  <c r="F83" i="8"/>
  <c r="E83" i="8"/>
  <c r="D83" i="8"/>
  <c r="C83" i="8"/>
  <c r="I82" i="8"/>
  <c r="H82" i="8"/>
  <c r="G82" i="8"/>
  <c r="F82" i="8"/>
  <c r="E82" i="8"/>
  <c r="D82" i="8"/>
  <c r="C82" i="8"/>
  <c r="B43" i="8"/>
  <c r="B42" i="8"/>
  <c r="AR43" i="8"/>
  <c r="AQ43" i="8"/>
  <c r="AP43" i="8"/>
  <c r="AN43" i="8"/>
  <c r="AM43" i="8"/>
  <c r="AL43" i="8"/>
  <c r="AJ43" i="8"/>
  <c r="AI43" i="8"/>
  <c r="AH43" i="8"/>
  <c r="AO43" i="8"/>
  <c r="AK43" i="8"/>
  <c r="AR42" i="8"/>
  <c r="AQ42" i="8"/>
  <c r="AP42" i="8"/>
  <c r="AO42" i="8"/>
  <c r="AN42" i="8"/>
  <c r="AM42" i="8"/>
  <c r="AL42" i="8"/>
  <c r="AK42" i="8"/>
  <c r="AJ42" i="8"/>
  <c r="AI42" i="8"/>
  <c r="AH42" i="8"/>
  <c r="AC29" i="9" l="1"/>
  <c r="AB32" i="9"/>
  <c r="AB29" i="9"/>
  <c r="AK23" i="9"/>
  <c r="AK28" i="9" s="1"/>
  <c r="AK18" i="9"/>
  <c r="AM18" i="9" s="1"/>
  <c r="AM17" i="9"/>
  <c r="AH24" i="9"/>
  <c r="AC80" i="9"/>
  <c r="AC39" i="9"/>
  <c r="AC78" i="9"/>
  <c r="AC81" i="9" a="1"/>
  <c r="AC81" i="9" s="1"/>
  <c r="AC82" i="9" a="1"/>
  <c r="AC82" i="9" s="1"/>
  <c r="AC33" i="9"/>
  <c r="AC79" i="9"/>
  <c r="AI32" i="9"/>
  <c r="AI29" i="9"/>
  <c r="AH82" i="8"/>
  <c r="AK82" i="8"/>
  <c r="AL82" i="8"/>
  <c r="AL83" i="8"/>
  <c r="AO82" i="8"/>
  <c r="AP82" i="8"/>
  <c r="AK83" i="8"/>
  <c r="AP83" i="8"/>
  <c r="AQ83" i="8"/>
  <c r="AN82" i="8"/>
  <c r="AI82" i="8"/>
  <c r="AQ82" i="8"/>
  <c r="AN83" i="8"/>
  <c r="AM83" i="8"/>
  <c r="AJ82" i="8"/>
  <c r="AR82" i="8"/>
  <c r="AO83" i="8"/>
  <c r="AH83" i="8"/>
  <c r="AI83" i="8"/>
  <c r="AM82" i="8"/>
  <c r="AJ83" i="8"/>
  <c r="AR83" i="8"/>
  <c r="AB80" i="9" l="1"/>
  <c r="AB78" i="9"/>
  <c r="AB79" i="9"/>
  <c r="AB33" i="9"/>
  <c r="AB82" i="9" a="1"/>
  <c r="AB82" i="9" s="1"/>
  <c r="AB81" i="9" a="1"/>
  <c r="AB81" i="9" s="1"/>
  <c r="AB39" i="9"/>
  <c r="AH32" i="9"/>
  <c r="AH29" i="9"/>
  <c r="AK24" i="9"/>
  <c r="AM24" i="9" s="1"/>
  <c r="AM23" i="9"/>
  <c r="AI80" i="9"/>
  <c r="AI33" i="9"/>
  <c r="AI82" i="9" a="1"/>
  <c r="AI82" i="9" s="1"/>
  <c r="AI39" i="9"/>
  <c r="AI81" i="9" a="1"/>
  <c r="AI81" i="9" s="1"/>
  <c r="AI78" i="9"/>
  <c r="AI79" i="9"/>
  <c r="AM28" i="9" l="1"/>
  <c r="AK29" i="9"/>
  <c r="AM29" i="9" s="1"/>
  <c r="AK32" i="9"/>
  <c r="AH80" i="9"/>
  <c r="AH79" i="9"/>
  <c r="AH39" i="9"/>
  <c r="AH81" i="9" a="1"/>
  <c r="AH81" i="9" s="1"/>
  <c r="AH33" i="9"/>
  <c r="AH82" i="9" a="1"/>
  <c r="AH82" i="9" s="1"/>
  <c r="AH78" i="9"/>
  <c r="AK80" i="9" l="1"/>
  <c r="AM32" i="9"/>
  <c r="AK81" i="9" a="1"/>
  <c r="AK81" i="9" s="1"/>
  <c r="AK33" i="9"/>
  <c r="AM33" i="9" s="1"/>
  <c r="AK79" i="9"/>
  <c r="AK78" i="9"/>
  <c r="AK82" i="9" a="1"/>
  <c r="AK82" i="9" s="1"/>
  <c r="AK39" i="9"/>
  <c r="AM39" i="9" s="1"/>
  <c r="C69" i="8" l="1"/>
  <c r="C126" i="8"/>
  <c r="D75" i="8"/>
  <c r="C75" i="8"/>
  <c r="D69" i="8"/>
  <c r="D49" i="8"/>
  <c r="D55" i="8" s="1"/>
  <c r="C49" i="8"/>
  <c r="C55" i="8" s="1"/>
  <c r="D11" i="8"/>
  <c r="D16" i="8" s="1"/>
  <c r="C11" i="8"/>
  <c r="C16" i="8" s="1"/>
  <c r="H14" i="10"/>
  <c r="G14" i="10"/>
  <c r="F14" i="10"/>
  <c r="E14" i="10"/>
  <c r="X14" i="10"/>
  <c r="X15" i="10" s="1"/>
  <c r="W14" i="10"/>
  <c r="V14" i="10"/>
  <c r="U14" i="10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N14" i="10"/>
  <c r="N15" i="10" s="1"/>
  <c r="M14" i="10"/>
  <c r="M15" i="10" s="1"/>
  <c r="L14" i="10"/>
  <c r="L15" i="10" s="1"/>
  <c r="K14" i="10"/>
  <c r="K15" i="10" s="1"/>
  <c r="I14" i="10"/>
  <c r="Z75" i="8"/>
  <c r="T73" i="9" s="1"/>
  <c r="AB75" i="8"/>
  <c r="V73" i="9" s="1"/>
  <c r="AJ73" i="9" l="1"/>
  <c r="AH73" i="9"/>
  <c r="AH74" i="9" s="1"/>
  <c r="AH83" i="9" s="1"/>
  <c r="C15" i="10"/>
  <c r="D15" i="10"/>
  <c r="AA49" i="8"/>
  <c r="AA55" i="8" s="1"/>
  <c r="C22" i="8"/>
  <c r="D22" i="8"/>
  <c r="F17" i="9"/>
  <c r="Q17" i="9"/>
  <c r="O17" i="9"/>
  <c r="J17" i="9"/>
  <c r="R17" i="9"/>
  <c r="K17" i="9"/>
  <c r="C17" i="9"/>
  <c r="L17" i="9"/>
  <c r="D17" i="9"/>
  <c r="I17" i="9"/>
  <c r="M17" i="9"/>
  <c r="U17" i="9"/>
  <c r="G17" i="9"/>
  <c r="E17" i="9"/>
  <c r="D76" i="8"/>
  <c r="D78" i="8" s="1"/>
  <c r="C76" i="8"/>
  <c r="C78" i="8" s="1"/>
  <c r="T17" i="9"/>
  <c r="P17" i="9"/>
  <c r="N17" i="9"/>
  <c r="AA75" i="8"/>
  <c r="U73" i="9" s="1"/>
  <c r="W12" i="9" l="1"/>
  <c r="S17" i="9"/>
  <c r="W13" i="9"/>
  <c r="V17" i="9"/>
  <c r="AI73" i="9"/>
  <c r="AI74" i="9" s="1"/>
  <c r="AI83" i="9" s="1"/>
  <c r="D28" i="8"/>
  <c r="D32" i="8" s="1"/>
  <c r="C23" i="8"/>
  <c r="AI62" i="9"/>
  <c r="D17" i="8"/>
  <c r="C17" i="8"/>
  <c r="AJ74" i="9"/>
  <c r="AJ83" i="9" s="1"/>
  <c r="AJ17" i="9"/>
  <c r="D23" i="8" l="1"/>
  <c r="C28" i="8"/>
  <c r="C32" i="8" s="1"/>
  <c r="D29" i="8"/>
  <c r="D33" i="8"/>
  <c r="D86" i="8"/>
  <c r="C33" i="8" l="1"/>
  <c r="C86" i="8"/>
  <c r="C103" i="8" s="1"/>
  <c r="C29" i="8"/>
  <c r="D103" i="8"/>
  <c r="D130" i="8" s="1"/>
  <c r="C130" i="8" l="1"/>
  <c r="C131" i="8" s="1"/>
  <c r="C133" i="8" l="1"/>
  <c r="D124" i="8"/>
  <c r="D126" i="8" s="1"/>
  <c r="D131" i="8" s="1"/>
  <c r="D133" i="8" s="1"/>
  <c r="E124" i="8" l="1"/>
  <c r="E126" i="8" s="1"/>
  <c r="AM11" i="8"/>
  <c r="H49" i="8"/>
  <c r="H55" i="8" s="1"/>
  <c r="G49" i="8"/>
  <c r="G55" i="8" s="1"/>
  <c r="F49" i="8"/>
  <c r="F55" i="8" s="1"/>
  <c r="E49" i="8"/>
  <c r="E55" i="8" s="1"/>
  <c r="I49" i="8"/>
  <c r="I55" i="8" s="1"/>
  <c r="AM16" i="8" l="1"/>
  <c r="AH63" i="8"/>
  <c r="AH69" i="8" s="1"/>
  <c r="AH49" i="8"/>
  <c r="AH55" i="8" s="1"/>
  <c r="AH75" i="8"/>
  <c r="AJ75" i="8"/>
  <c r="AN11" i="8"/>
  <c r="AN49" i="8"/>
  <c r="AN55" i="8" s="1"/>
  <c r="AN75" i="8"/>
  <c r="AK75" i="8"/>
  <c r="AL49" i="8"/>
  <c r="AL55" i="8" s="1"/>
  <c r="AN63" i="8"/>
  <c r="AN69" i="8" s="1"/>
  <c r="AM63" i="8"/>
  <c r="AM69" i="8" s="1"/>
  <c r="AI63" i="8"/>
  <c r="AI69" i="8" s="1"/>
  <c r="AK11" i="8"/>
  <c r="AI49" i="8"/>
  <c r="AI55" i="8" s="1"/>
  <c r="AM49" i="8"/>
  <c r="AM55" i="8" s="1"/>
  <c r="AL75" i="8"/>
  <c r="AL11" i="8"/>
  <c r="AJ49" i="8"/>
  <c r="AJ55" i="8" s="1"/>
  <c r="AJ63" i="8"/>
  <c r="AJ69" i="8" s="1"/>
  <c r="AL63" i="8"/>
  <c r="AL69" i="8" s="1"/>
  <c r="AM75" i="8"/>
  <c r="AI75" i="8"/>
  <c r="AP75" i="8"/>
  <c r="AP49" i="8"/>
  <c r="AP55" i="8" s="1"/>
  <c r="AQ75" i="8"/>
  <c r="AP11" i="8"/>
  <c r="AP16" i="8" s="1"/>
  <c r="AP69" i="8"/>
  <c r="AQ69" i="8"/>
  <c r="AO11" i="8"/>
  <c r="AO16" i="8" s="1"/>
  <c r="AQ11" i="8"/>
  <c r="AQ16" i="8" s="1"/>
  <c r="AQ49" i="8"/>
  <c r="AQ55" i="8" s="1"/>
  <c r="AL16" i="8" l="1"/>
  <c r="AK16" i="8"/>
  <c r="AN16" i="8"/>
  <c r="AU11" i="8"/>
  <c r="AM22" i="8"/>
  <c r="AM28" i="8" s="1"/>
  <c r="AM32" i="8" s="1"/>
  <c r="AJ23" i="9"/>
  <c r="AJ28" i="9" s="1"/>
  <c r="AG14" i="10"/>
  <c r="AG15" i="10" s="1"/>
  <c r="AH14" i="10"/>
  <c r="AH15" i="10" s="1"/>
  <c r="AH76" i="8"/>
  <c r="AH78" i="8" s="1"/>
  <c r="C23" i="9"/>
  <c r="C28" i="9" s="1"/>
  <c r="AN76" i="8"/>
  <c r="AN78" i="8" s="1"/>
  <c r="AL76" i="8"/>
  <c r="AL78" i="8" s="1"/>
  <c r="AJ76" i="8"/>
  <c r="AJ78" i="8" s="1"/>
  <c r="AM76" i="8"/>
  <c r="AM78" i="8" s="1"/>
  <c r="AI76" i="8"/>
  <c r="AI78" i="8" s="1"/>
  <c r="AM17" i="8"/>
  <c r="AP76" i="8"/>
  <c r="AP78" i="8" s="1"/>
  <c r="AU16" i="8"/>
  <c r="AQ76" i="8"/>
  <c r="AQ78" i="8" s="1"/>
  <c r="AO22" i="8" l="1"/>
  <c r="AK22" i="8"/>
  <c r="AK28" i="8" s="1"/>
  <c r="AK32" i="8" s="1"/>
  <c r="AP22" i="8"/>
  <c r="AP28" i="8" s="1"/>
  <c r="AP32" i="8" s="1"/>
  <c r="AL22" i="8"/>
  <c r="AL23" i="8" s="1"/>
  <c r="AN22" i="8"/>
  <c r="AN28" i="8" s="1"/>
  <c r="AN32" i="8" s="1"/>
  <c r="AM23" i="8"/>
  <c r="AQ22" i="8"/>
  <c r="AQ23" i="8" s="1"/>
  <c r="AP17" i="8"/>
  <c r="AO17" i="8"/>
  <c r="AU17" i="8" s="1"/>
  <c r="AL17" i="8"/>
  <c r="AQ17" i="8"/>
  <c r="AN17" i="8"/>
  <c r="AJ18" i="9"/>
  <c r="AE14" i="10"/>
  <c r="AE15" i="10" s="1"/>
  <c r="AF14" i="10"/>
  <c r="AF15" i="10" s="1"/>
  <c r="AI14" i="10"/>
  <c r="AI15" i="10" s="1"/>
  <c r="AK14" i="10"/>
  <c r="AK15" i="10" s="1"/>
  <c r="AD14" i="10"/>
  <c r="AD15" i="10" s="1"/>
  <c r="C18" i="9"/>
  <c r="AM29" i="8"/>
  <c r="AK17" i="8"/>
  <c r="AK36" i="8" l="1"/>
  <c r="AK39" i="8"/>
  <c r="AO28" i="8"/>
  <c r="AO29" i="8" s="1"/>
  <c r="AU29" i="8" s="1"/>
  <c r="AU22" i="8"/>
  <c r="C24" i="9"/>
  <c r="C32" i="9"/>
  <c r="C80" i="9" s="1"/>
  <c r="C29" i="9"/>
  <c r="AK23" i="8"/>
  <c r="AP23" i="8"/>
  <c r="AO23" i="8"/>
  <c r="AU23" i="8" s="1"/>
  <c r="AN23" i="8"/>
  <c r="AL28" i="8"/>
  <c r="AL32" i="8" s="1"/>
  <c r="AL33" i="8" s="1"/>
  <c r="AQ28" i="8"/>
  <c r="AQ32" i="8" s="1"/>
  <c r="AC14" i="10"/>
  <c r="AC15" i="10" s="1"/>
  <c r="AB14" i="10"/>
  <c r="AK29" i="8"/>
  <c r="AP29" i="8"/>
  <c r="AJ32" i="9"/>
  <c r="AJ80" i="9" s="1"/>
  <c r="AJ24" i="9"/>
  <c r="AA14" i="10"/>
  <c r="AJ14" i="10"/>
  <c r="AM14" i="10"/>
  <c r="AM9" i="10"/>
  <c r="AM33" i="8"/>
  <c r="AK33" i="8"/>
  <c r="AN29" i="8"/>
  <c r="AO32" i="8" l="1"/>
  <c r="AU32" i="8" s="1"/>
  <c r="AU28" i="8"/>
  <c r="C39" i="9"/>
  <c r="C48" i="9" s="1"/>
  <c r="C79" i="9"/>
  <c r="C78" i="9"/>
  <c r="C81" i="9" a="1"/>
  <c r="C81" i="9" s="1"/>
  <c r="C33" i="9"/>
  <c r="C82" i="9" a="1"/>
  <c r="C82" i="9" s="1"/>
  <c r="AL29" i="8"/>
  <c r="AQ29" i="8"/>
  <c r="AJ29" i="9"/>
  <c r="AN33" i="8"/>
  <c r="AP33" i="8"/>
  <c r="AQ33" i="8"/>
  <c r="AO33" i="8" l="1"/>
  <c r="AU33" i="8" s="1"/>
  <c r="AJ82" i="9" a="1"/>
  <c r="AJ82" i="9" s="1"/>
  <c r="AJ33" i="9"/>
  <c r="AJ81" i="9" a="1"/>
  <c r="AJ81" i="9" s="1"/>
  <c r="AJ78" i="9"/>
  <c r="AJ79" i="9"/>
  <c r="AJ39" i="9"/>
  <c r="AK63" i="8" l="1"/>
  <c r="AO69" i="8"/>
  <c r="AU69" i="8" s="1"/>
  <c r="AK69" i="8" l="1"/>
  <c r="AK76" i="8" s="1"/>
  <c r="E75" i="8" l="1"/>
  <c r="C73" i="9" s="1"/>
  <c r="E11" i="8"/>
  <c r="E16" i="8" s="1"/>
  <c r="Y11" i="8"/>
  <c r="I11" i="8"/>
  <c r="I16" i="8" s="1"/>
  <c r="H11" i="8"/>
  <c r="H16" i="8" s="1"/>
  <c r="G11" i="8"/>
  <c r="G16" i="8" s="1"/>
  <c r="F11" i="8"/>
  <c r="F16" i="8" s="1"/>
  <c r="I75" i="8"/>
  <c r="G73" i="9" s="1"/>
  <c r="H75" i="8"/>
  <c r="F73" i="9" s="1"/>
  <c r="G75" i="8"/>
  <c r="E73" i="9" s="1"/>
  <c r="F75" i="8"/>
  <c r="D73" i="9" s="1"/>
  <c r="AB69" i="8"/>
  <c r="V63" i="9" s="1"/>
  <c r="Z69" i="8"/>
  <c r="T63" i="9" s="1"/>
  <c r="AR11" i="8"/>
  <c r="AR16" i="8" s="1"/>
  <c r="U74" i="9"/>
  <c r="U83" i="9" s="1"/>
  <c r="M74" i="9"/>
  <c r="M83" i="9" s="1"/>
  <c r="D12" i="9"/>
  <c r="Y16" i="8" l="1"/>
  <c r="AJ15" i="10"/>
  <c r="G15" i="10"/>
  <c r="U15" i="10"/>
  <c r="I15" i="10"/>
  <c r="H15" i="10"/>
  <c r="F15" i="10"/>
  <c r="E15" i="10"/>
  <c r="F69" i="8"/>
  <c r="D63" i="9" s="1"/>
  <c r="H69" i="8"/>
  <c r="F63" i="9" s="1"/>
  <c r="E69" i="8"/>
  <c r="C63" i="9" s="1"/>
  <c r="G69" i="8"/>
  <c r="E63" i="9" s="1"/>
  <c r="C74" i="9"/>
  <c r="C83" i="9" s="1"/>
  <c r="N74" i="9"/>
  <c r="N83" i="9" s="1"/>
  <c r="V74" i="9"/>
  <c r="V83" i="9" s="1"/>
  <c r="E74" i="9"/>
  <c r="E83" i="9" s="1"/>
  <c r="O74" i="9"/>
  <c r="O83" i="9" s="1"/>
  <c r="AH63" i="9"/>
  <c r="AJ63" i="9"/>
  <c r="E22" i="8"/>
  <c r="K74" i="9"/>
  <c r="G74" i="9"/>
  <c r="G83" i="9" s="1"/>
  <c r="J74" i="9"/>
  <c r="O23" i="9"/>
  <c r="O28" i="9" s="1"/>
  <c r="M12" i="9"/>
  <c r="U12" i="9"/>
  <c r="F74" i="9"/>
  <c r="F83" i="9" s="1"/>
  <c r="I74" i="9"/>
  <c r="U13" i="9"/>
  <c r="AO75" i="8"/>
  <c r="H22" i="8"/>
  <c r="G22" i="8"/>
  <c r="Y22" i="8"/>
  <c r="I22" i="8"/>
  <c r="AB22" i="8"/>
  <c r="F22" i="8"/>
  <c r="AA69" i="8"/>
  <c r="U63" i="9" s="1"/>
  <c r="AR69" i="8"/>
  <c r="AR75" i="8"/>
  <c r="G23" i="9"/>
  <c r="G28" i="9" s="1"/>
  <c r="G12" i="9"/>
  <c r="E23" i="9"/>
  <c r="E28" i="9" s="1"/>
  <c r="E12" i="9"/>
  <c r="F23" i="9"/>
  <c r="F28" i="9" s="1"/>
  <c r="F12" i="9"/>
  <c r="M13" i="9"/>
  <c r="Q74" i="9"/>
  <c r="Q83" i="9" s="1"/>
  <c r="D23" i="9"/>
  <c r="D28" i="9" s="1"/>
  <c r="R74" i="9"/>
  <c r="R83" i="9" s="1"/>
  <c r="S74" i="9"/>
  <c r="S83" i="9" s="1"/>
  <c r="D74" i="9"/>
  <c r="D83" i="9" s="1"/>
  <c r="AO76" i="8" l="1"/>
  <c r="AU76" i="8" s="1"/>
  <c r="AU75" i="8"/>
  <c r="G76" i="8"/>
  <c r="G78" i="8" s="1"/>
  <c r="AB28" i="8"/>
  <c r="AB32" i="8" s="1"/>
  <c r="I28" i="8"/>
  <c r="I32" i="8" s="1"/>
  <c r="Y23" i="8"/>
  <c r="E28" i="8"/>
  <c r="E32" i="8" s="1"/>
  <c r="F28" i="8"/>
  <c r="F32" i="8" s="1"/>
  <c r="G28" i="8"/>
  <c r="G32" i="8" s="1"/>
  <c r="H23" i="8"/>
  <c r="F76" i="8"/>
  <c r="F78" i="8" s="1"/>
  <c r="Y17" i="8"/>
  <c r="F17" i="8"/>
  <c r="E17" i="8"/>
  <c r="T74" i="9"/>
  <c r="T83" i="9" s="1"/>
  <c r="Z76" i="8"/>
  <c r="Z78" i="8" s="1"/>
  <c r="AO49" i="8"/>
  <c r="AU49" i="8" s="1"/>
  <c r="AK49" i="8"/>
  <c r="AB76" i="8"/>
  <c r="AB78" i="8" s="1"/>
  <c r="H76" i="8"/>
  <c r="H78" i="8" s="1"/>
  <c r="I76" i="8"/>
  <c r="I78" i="8" s="1"/>
  <c r="E76" i="8"/>
  <c r="E78" i="8" s="1"/>
  <c r="AI63" i="9"/>
  <c r="P74" i="9"/>
  <c r="P83" i="9" s="1"/>
  <c r="L74" i="9"/>
  <c r="L83" i="9" s="1"/>
  <c r="P13" i="9"/>
  <c r="T12" i="9"/>
  <c r="Q12" i="9"/>
  <c r="R13" i="9"/>
  <c r="T23" i="9"/>
  <c r="T28" i="9" s="1"/>
  <c r="O13" i="9"/>
  <c r="Q13" i="9"/>
  <c r="N13" i="9"/>
  <c r="R23" i="9"/>
  <c r="R28" i="9" s="1"/>
  <c r="P23" i="9"/>
  <c r="P28" i="9" s="1"/>
  <c r="J13" i="9"/>
  <c r="R12" i="9"/>
  <c r="N12" i="9"/>
  <c r="J23" i="9"/>
  <c r="J28" i="9" s="1"/>
  <c r="P12" i="9"/>
  <c r="AR49" i="8"/>
  <c r="AR55" i="8" s="1"/>
  <c r="H17" i="8"/>
  <c r="I17" i="8"/>
  <c r="G17" i="8"/>
  <c r="AR22" i="8"/>
  <c r="AB17" i="8"/>
  <c r="O18" i="9"/>
  <c r="F18" i="9"/>
  <c r="S12" i="9"/>
  <c r="S23" i="9"/>
  <c r="S28" i="9" s="1"/>
  <c r="S13" i="9"/>
  <c r="K23" i="9"/>
  <c r="K28" i="9" s="1"/>
  <c r="K13" i="9"/>
  <c r="U23" i="9"/>
  <c r="U28" i="9" s="1"/>
  <c r="AJ12" i="9"/>
  <c r="N23" i="9"/>
  <c r="N28" i="9" s="1"/>
  <c r="T13" i="9"/>
  <c r="D18" i="9"/>
  <c r="V12" i="9"/>
  <c r="V23" i="9"/>
  <c r="V28" i="9" s="1"/>
  <c r="V13" i="9"/>
  <c r="L23" i="9"/>
  <c r="L28" i="9" s="1"/>
  <c r="L13" i="9"/>
  <c r="O12" i="9"/>
  <c r="M23" i="9"/>
  <c r="M28" i="9" s="1"/>
  <c r="G18" i="9"/>
  <c r="Q23" i="9"/>
  <c r="Q28" i="9" s="1"/>
  <c r="E18" i="9"/>
  <c r="I23" i="9"/>
  <c r="I28" i="9" s="1"/>
  <c r="I86" i="8" l="1"/>
  <c r="I36" i="8"/>
  <c r="I39" i="8"/>
  <c r="AB86" i="8"/>
  <c r="AB36" i="8"/>
  <c r="AB39" i="8"/>
  <c r="E36" i="8"/>
  <c r="E39" i="8"/>
  <c r="F36" i="8"/>
  <c r="F39" i="8"/>
  <c r="G36" i="8"/>
  <c r="G39" i="8"/>
  <c r="J18" i="9"/>
  <c r="R18" i="9"/>
  <c r="R24" i="9"/>
  <c r="AB23" i="8"/>
  <c r="I23" i="8"/>
  <c r="F23" i="8"/>
  <c r="E23" i="8"/>
  <c r="H28" i="8"/>
  <c r="H32" i="8" s="1"/>
  <c r="Y28" i="8"/>
  <c r="Y32" i="8" s="1"/>
  <c r="G23" i="8"/>
  <c r="AK55" i="8"/>
  <c r="AK78" i="8" s="1"/>
  <c r="AO55" i="8"/>
  <c r="AR28" i="8"/>
  <c r="AR32" i="8" s="1"/>
  <c r="E86" i="8"/>
  <c r="G29" i="8"/>
  <c r="AB29" i="8"/>
  <c r="AR23" i="8"/>
  <c r="I29" i="8"/>
  <c r="E29" i="8"/>
  <c r="AR76" i="8"/>
  <c r="AA76" i="8"/>
  <c r="AA78" i="8" s="1"/>
  <c r="T18" i="9"/>
  <c r="P18" i="9"/>
  <c r="J24" i="9"/>
  <c r="I33" i="8"/>
  <c r="I103" i="8"/>
  <c r="I130" i="8" s="1"/>
  <c r="F29" i="8"/>
  <c r="AR17" i="8"/>
  <c r="I18" i="9"/>
  <c r="E32" i="9"/>
  <c r="E80" i="9" s="1"/>
  <c r="E24" i="9"/>
  <c r="D32" i="9"/>
  <c r="D80" i="9" s="1"/>
  <c r="D24" i="9"/>
  <c r="K18" i="9"/>
  <c r="Q18" i="9"/>
  <c r="L18" i="9"/>
  <c r="F32" i="9"/>
  <c r="F80" i="9" s="1"/>
  <c r="F24" i="9"/>
  <c r="O32" i="9"/>
  <c r="O24" i="9"/>
  <c r="V18" i="9"/>
  <c r="S18" i="9"/>
  <c r="T32" i="9"/>
  <c r="T24" i="9"/>
  <c r="P24" i="9"/>
  <c r="P32" i="9"/>
  <c r="G24" i="9"/>
  <c r="G32" i="9"/>
  <c r="G80" i="9" s="1"/>
  <c r="U18" i="9"/>
  <c r="M18" i="9"/>
  <c r="N18" i="9"/>
  <c r="H86" i="8" l="1"/>
  <c r="H103" i="8" s="1"/>
  <c r="H130" i="8" s="1"/>
  <c r="H39" i="8"/>
  <c r="H36" i="8"/>
  <c r="Y39" i="8"/>
  <c r="Y36" i="8"/>
  <c r="AO78" i="8"/>
  <c r="AU55" i="8"/>
  <c r="Y86" i="8"/>
  <c r="Y103" i="8" s="1"/>
  <c r="Y130" i="8" s="1"/>
  <c r="H29" i="8"/>
  <c r="H33" i="8"/>
  <c r="Y29" i="8"/>
  <c r="E103" i="8"/>
  <c r="E130" i="8" s="1"/>
  <c r="G33" i="8"/>
  <c r="G86" i="8"/>
  <c r="E33" i="8"/>
  <c r="AB103" i="8"/>
  <c r="AB130" i="8" s="1"/>
  <c r="AB33" i="8"/>
  <c r="F86" i="8"/>
  <c r="F33" i="8"/>
  <c r="AR78" i="8"/>
  <c r="R32" i="9"/>
  <c r="J32" i="9"/>
  <c r="AR29" i="8"/>
  <c r="Y33" i="8"/>
  <c r="G29" i="9"/>
  <c r="N32" i="9"/>
  <c r="N24" i="9"/>
  <c r="T29" i="9"/>
  <c r="F29" i="9"/>
  <c r="D29" i="9"/>
  <c r="O29" i="9"/>
  <c r="S24" i="9"/>
  <c r="S32" i="9"/>
  <c r="E29" i="9"/>
  <c r="U32" i="9"/>
  <c r="U24" i="9"/>
  <c r="Q24" i="9"/>
  <c r="Q32" i="9"/>
  <c r="M32" i="9"/>
  <c r="M24" i="9"/>
  <c r="P29" i="9"/>
  <c r="L32" i="9"/>
  <c r="L24" i="9"/>
  <c r="K24" i="9"/>
  <c r="K32" i="9"/>
  <c r="V32" i="9"/>
  <c r="V24" i="9"/>
  <c r="I24" i="9"/>
  <c r="I32" i="9"/>
  <c r="AO86" i="8" l="1"/>
  <c r="W82" i="9" a="1"/>
  <c r="W82" i="9" s="1"/>
  <c r="W78" i="9"/>
  <c r="W79" i="9"/>
  <c r="W80" i="9" a="1"/>
  <c r="W80" i="9" s="1"/>
  <c r="W81" i="9" a="1"/>
  <c r="W81" i="9" s="1"/>
  <c r="AO130" i="8"/>
  <c r="Q80" i="9" a="1"/>
  <c r="Q80" i="9" s="1"/>
  <c r="P80" i="9" a="1"/>
  <c r="P80" i="9" s="1"/>
  <c r="V80" i="9" a="1"/>
  <c r="V80" i="9" s="1"/>
  <c r="L80" i="9" a="1"/>
  <c r="L80" i="9" s="1"/>
  <c r="N80" i="9" a="1"/>
  <c r="N80" i="9" s="1"/>
  <c r="U80" i="9" a="1"/>
  <c r="U80" i="9" s="1"/>
  <c r="T80" i="9" a="1"/>
  <c r="T80" i="9" s="1"/>
  <c r="M80" i="9" a="1"/>
  <c r="M80" i="9" s="1"/>
  <c r="R80" i="9" a="1"/>
  <c r="R80" i="9" s="1"/>
  <c r="O80" i="9" a="1"/>
  <c r="O80" i="9" s="1"/>
  <c r="S80" i="9" a="1"/>
  <c r="S80" i="9" s="1"/>
  <c r="G103" i="8"/>
  <c r="G130" i="8" s="1"/>
  <c r="F103" i="8"/>
  <c r="F130" i="8" s="1"/>
  <c r="AN103" i="8"/>
  <c r="R29" i="9"/>
  <c r="J29" i="9"/>
  <c r="AO103" i="8"/>
  <c r="M29" i="9"/>
  <c r="Q29" i="9"/>
  <c r="R82" i="9" a="1"/>
  <c r="R82" i="9" s="1"/>
  <c r="J39" i="9"/>
  <c r="J47" i="9" s="1"/>
  <c r="J33" i="9"/>
  <c r="N29" i="9"/>
  <c r="D81" i="9" a="1"/>
  <c r="D81" i="9" s="1"/>
  <c r="D82" i="9" a="1"/>
  <c r="D82" i="9" s="1"/>
  <c r="D39" i="9"/>
  <c r="D47" i="9" s="1"/>
  <c r="D33" i="9"/>
  <c r="D79" i="9"/>
  <c r="D78" i="9"/>
  <c r="F82" i="9" a="1"/>
  <c r="F82" i="9" s="1"/>
  <c r="F81" i="9" a="1"/>
  <c r="F81" i="9" s="1"/>
  <c r="F33" i="9"/>
  <c r="F39" i="9"/>
  <c r="F47" i="9" s="1"/>
  <c r="F78" i="9"/>
  <c r="F79" i="9"/>
  <c r="G81" i="9" a="1"/>
  <c r="G81" i="9" s="1"/>
  <c r="G82" i="9" a="1"/>
  <c r="G82" i="9" s="1"/>
  <c r="G33" i="9"/>
  <c r="G79" i="9"/>
  <c r="G39" i="9"/>
  <c r="G47" i="9" s="1"/>
  <c r="G78" i="9"/>
  <c r="R33" i="9"/>
  <c r="R39" i="9"/>
  <c r="R47" i="9" s="1"/>
  <c r="V29" i="9"/>
  <c r="L29" i="9"/>
  <c r="U29" i="9"/>
  <c r="P39" i="9"/>
  <c r="P47" i="9" s="1"/>
  <c r="P33" i="9"/>
  <c r="O39" i="9"/>
  <c r="O47" i="9" s="1"/>
  <c r="O33" i="9"/>
  <c r="S29" i="9"/>
  <c r="I29" i="9"/>
  <c r="K29" i="9"/>
  <c r="E82" i="9" a="1"/>
  <c r="E82" i="9" s="1"/>
  <c r="E39" i="9"/>
  <c r="E47" i="9" s="1"/>
  <c r="E33" i="9"/>
  <c r="E81" i="9" a="1"/>
  <c r="E81" i="9" s="1"/>
  <c r="E79" i="9"/>
  <c r="E78" i="9"/>
  <c r="T33" i="9"/>
  <c r="T39" i="9"/>
  <c r="T47" i="9" s="1"/>
  <c r="N103" i="8" l="1"/>
  <c r="N130" i="8" s="1"/>
  <c r="AG86" i="8"/>
  <c r="AG103" i="8" s="1"/>
  <c r="AF86" i="8"/>
  <c r="AF103" i="8" s="1"/>
  <c r="AE86" i="8"/>
  <c r="AE103" i="8" s="1"/>
  <c r="R103" i="8"/>
  <c r="R130" i="8" s="1"/>
  <c r="AI86" i="8"/>
  <c r="AJ86" i="8"/>
  <c r="AK86" i="8"/>
  <c r="AK103" i="8" s="1"/>
  <c r="AH86" i="8"/>
  <c r="AL103" i="8"/>
  <c r="AM103" i="8"/>
  <c r="AR33" i="8"/>
  <c r="R81" i="9" a="1"/>
  <c r="R81" i="9" s="1"/>
  <c r="D48" i="9"/>
  <c r="U81" i="9" a="1"/>
  <c r="U81" i="9" s="1"/>
  <c r="S81" i="9" a="1"/>
  <c r="S81" i="9" s="1"/>
  <c r="U79" i="9"/>
  <c r="N82" i="9" a="1"/>
  <c r="N82" i="9" s="1"/>
  <c r="N81" i="9" a="1"/>
  <c r="N81" i="9" s="1"/>
  <c r="N78" i="9"/>
  <c r="K39" i="9"/>
  <c r="K47" i="9" s="1"/>
  <c r="K33" i="9"/>
  <c r="N79" i="9"/>
  <c r="M81" i="9" a="1"/>
  <c r="M81" i="9" s="1"/>
  <c r="Q39" i="9"/>
  <c r="Q47" i="9" s="1"/>
  <c r="T81" i="9" a="1"/>
  <c r="T81" i="9" s="1"/>
  <c r="T82" i="9" a="1"/>
  <c r="T82" i="9" s="1"/>
  <c r="Q33" i="9"/>
  <c r="T78" i="9"/>
  <c r="T79" i="9"/>
  <c r="I39" i="9"/>
  <c r="I47" i="9" s="1"/>
  <c r="L81" i="9" a="1"/>
  <c r="L81" i="9" s="1"/>
  <c r="L82" i="9" a="1"/>
  <c r="L82" i="9" s="1"/>
  <c r="I33" i="9"/>
  <c r="L78" i="9"/>
  <c r="L79" i="9"/>
  <c r="R79" i="9"/>
  <c r="S78" i="9"/>
  <c r="G48" i="9"/>
  <c r="J48" i="9"/>
  <c r="R78" i="9"/>
  <c r="O81" i="9" a="1"/>
  <c r="O81" i="9" s="1"/>
  <c r="L39" i="9"/>
  <c r="L47" i="9" s="1"/>
  <c r="L33" i="9"/>
  <c r="O82" i="9" a="1"/>
  <c r="O82" i="9" s="1"/>
  <c r="O78" i="9"/>
  <c r="O79" i="9"/>
  <c r="F48" i="9"/>
  <c r="M78" i="9"/>
  <c r="U39" i="9"/>
  <c r="U47" i="9" s="1"/>
  <c r="U33" i="9"/>
  <c r="Q82" i="9" a="1"/>
  <c r="Q82" i="9" s="1"/>
  <c r="N39" i="9"/>
  <c r="N47" i="9" s="1"/>
  <c r="N33" i="9"/>
  <c r="Q81" i="9" a="1"/>
  <c r="Q81" i="9" s="1"/>
  <c r="Q78" i="9"/>
  <c r="Q79" i="9"/>
  <c r="S82" i="9" a="1"/>
  <c r="S82" i="9" s="1"/>
  <c r="U78" i="9"/>
  <c r="M82" i="9" a="1"/>
  <c r="M82" i="9" s="1"/>
  <c r="E48" i="9"/>
  <c r="V82" i="9" a="1"/>
  <c r="V82" i="9" s="1"/>
  <c r="V81" i="9" a="1"/>
  <c r="V81" i="9" s="1"/>
  <c r="V78" i="9"/>
  <c r="S33" i="9"/>
  <c r="S39" i="9"/>
  <c r="S47" i="9" s="1"/>
  <c r="V79" i="9"/>
  <c r="T48" i="9"/>
  <c r="U82" i="9" a="1"/>
  <c r="U82" i="9" s="1"/>
  <c r="P81" i="9" a="1"/>
  <c r="P81" i="9" s="1"/>
  <c r="P82" i="9" a="1"/>
  <c r="P82" i="9" s="1"/>
  <c r="M39" i="9"/>
  <c r="M47" i="9" s="1"/>
  <c r="M33" i="9"/>
  <c r="P78" i="9"/>
  <c r="P79" i="9"/>
  <c r="S79" i="9"/>
  <c r="V33" i="9"/>
  <c r="V39" i="9"/>
  <c r="V47" i="9" s="1"/>
  <c r="M79" i="9"/>
  <c r="AK47" i="9" l="1"/>
  <c r="AK48" i="9" s="1"/>
  <c r="AG130" i="8"/>
  <c r="AE130" i="8"/>
  <c r="AF130" i="8"/>
  <c r="AK130" i="8"/>
  <c r="AI130" i="8"/>
  <c r="AJ130" i="8"/>
  <c r="AH130" i="8"/>
  <c r="AE47" i="9"/>
  <c r="AE48" i="9" s="1"/>
  <c r="AA47" i="9"/>
  <c r="AA48" i="9" s="1"/>
  <c r="AH47" i="9"/>
  <c r="AH48" i="9" s="1"/>
  <c r="AG47" i="9"/>
  <c r="AG48" i="9" s="1"/>
  <c r="AD47" i="9"/>
  <c r="AD48" i="9" s="1"/>
  <c r="AJ47" i="9"/>
  <c r="AJ48" i="9" s="1"/>
  <c r="AC47" i="9"/>
  <c r="AC48" i="9" s="1"/>
  <c r="AF47" i="9"/>
  <c r="AF48" i="9" s="1"/>
  <c r="AB47" i="9"/>
  <c r="AB48" i="9" s="1"/>
  <c r="AI47" i="9"/>
  <c r="AI48" i="9" s="1"/>
  <c r="U48" i="9"/>
  <c r="V48" i="9"/>
  <c r="S48" i="9"/>
  <c r="K48" i="9"/>
  <c r="R48" i="9"/>
  <c r="M48" i="9"/>
  <c r="O48" i="9"/>
  <c r="P48" i="9"/>
  <c r="I48" i="9" l="1"/>
  <c r="Z47" i="9"/>
  <c r="Z48" i="9" s="1"/>
  <c r="Y47" i="9"/>
  <c r="Y48" i="9" s="1"/>
  <c r="N48" i="9"/>
  <c r="Q48" i="9"/>
  <c r="L48" i="9"/>
  <c r="E131" i="8" l="1"/>
  <c r="E133" i="8" l="1"/>
  <c r="K124" i="8"/>
  <c r="F124" i="8"/>
  <c r="F126" i="8" s="1"/>
  <c r="F131" i="8" s="1"/>
  <c r="F133" i="8" s="1"/>
  <c r="G124" i="8" l="1"/>
  <c r="G126" i="8" s="1"/>
  <c r="G131" i="8" s="1"/>
  <c r="G133" i="8" s="1"/>
  <c r="H124" i="8" l="1"/>
  <c r="H126" i="8" s="1"/>
  <c r="H131" i="8" s="1"/>
  <c r="H133" i="8" s="1"/>
  <c r="I124" i="8" l="1"/>
  <c r="I126" i="8" s="1"/>
  <c r="I131" i="8" s="1"/>
  <c r="I133" i="8" s="1"/>
  <c r="K126" i="8" l="1"/>
  <c r="K131" i="8" s="1"/>
  <c r="K133" i="8" s="1"/>
  <c r="AE124" i="8" l="1"/>
  <c r="AE126" i="8" s="1"/>
  <c r="AE131" i="8" s="1"/>
  <c r="AE133" i="8" s="1"/>
  <c r="L124" i="8"/>
  <c r="L126" i="8" s="1"/>
  <c r="L131" i="8" s="1"/>
  <c r="L133" i="8" s="1"/>
  <c r="AF124" i="8" l="1"/>
  <c r="AF126" i="8" s="1"/>
  <c r="AF131" i="8" s="1"/>
  <c r="AF133" i="8" s="1"/>
  <c r="M124" i="8"/>
  <c r="M126" i="8" s="1"/>
  <c r="M131" i="8" s="1"/>
  <c r="M133" i="8" s="1"/>
  <c r="AG124" i="8" l="1"/>
  <c r="AG126" i="8" s="1"/>
  <c r="AG131" i="8" s="1"/>
  <c r="AG133" i="8" s="1"/>
  <c r="N124" i="8"/>
  <c r="N126" i="8" s="1"/>
  <c r="N131" i="8" s="1"/>
  <c r="N133" i="8" s="1"/>
  <c r="AH124" i="8" l="1"/>
  <c r="O124" i="8"/>
  <c r="O126" i="8" s="1"/>
  <c r="O131" i="8" s="1"/>
  <c r="O133" i="8" s="1"/>
  <c r="AI124" i="8" l="1"/>
  <c r="P124" i="8"/>
  <c r="P126" i="8" s="1"/>
  <c r="P131" i="8" s="1"/>
  <c r="P133" i="8" s="1"/>
  <c r="AJ124" i="8" l="1"/>
  <c r="Q124" i="8"/>
  <c r="Q126" i="8" s="1"/>
  <c r="Q131" i="8" s="1"/>
  <c r="Q133" i="8" s="1"/>
  <c r="AK124" i="8" l="1"/>
  <c r="R124" i="8"/>
  <c r="R126" i="8" s="1"/>
  <c r="R131" i="8" s="1"/>
  <c r="R133" i="8" s="1"/>
  <c r="AL124" i="8" l="1"/>
  <c r="AH126" i="8"/>
  <c r="S124" i="8"/>
  <c r="S126" i="8" s="1"/>
  <c r="S131" i="8" s="1"/>
  <c r="S133" i="8" s="1"/>
  <c r="AM124" i="8" l="1"/>
  <c r="T124" i="8"/>
  <c r="T126" i="8" s="1"/>
  <c r="T131" i="8" s="1"/>
  <c r="T133" i="8" s="1"/>
  <c r="AN124" i="8" l="1"/>
  <c r="U124" i="8"/>
  <c r="U126" i="8" s="1"/>
  <c r="U131" i="8" s="1"/>
  <c r="U133" i="8" s="1"/>
  <c r="AO124" i="8" l="1"/>
  <c r="V124" i="8"/>
  <c r="V126" i="8" s="1"/>
  <c r="V131" i="8" s="1"/>
  <c r="V133" i="8" s="1"/>
  <c r="AP124" i="8" l="1"/>
  <c r="W124" i="8"/>
  <c r="W126" i="8" s="1"/>
  <c r="W131" i="8" s="1"/>
  <c r="W133" i="8" s="1"/>
  <c r="AQ124" i="8" l="1"/>
  <c r="AM126" i="8"/>
  <c r="AM131" i="8" s="1"/>
  <c r="AM133" i="8" s="1"/>
  <c r="X124" i="8"/>
  <c r="X126" i="8" s="1"/>
  <c r="X131" i="8" s="1"/>
  <c r="X133" i="8" s="1"/>
  <c r="AR124" i="8" l="1"/>
  <c r="AN126" i="8"/>
  <c r="AN131" i="8" s="1"/>
  <c r="AN133" i="8" s="1"/>
  <c r="Y124" i="8"/>
  <c r="Y126" i="8" s="1"/>
  <c r="Y131" i="8" s="1"/>
  <c r="Y133" i="8" s="1"/>
  <c r="AS124" i="8" l="1"/>
  <c r="AO126" i="8"/>
  <c r="AO131" i="8" s="1"/>
  <c r="AO133" i="8" s="1"/>
  <c r="AI126" i="8"/>
  <c r="Z124" i="8"/>
  <c r="Z126" i="8" s="1"/>
  <c r="AA11" i="8" l="1"/>
  <c r="AA16" i="8" l="1"/>
  <c r="AA22" i="8" s="1"/>
  <c r="W15" i="10"/>
  <c r="AA28" i="8" l="1"/>
  <c r="AA32" i="8" s="1"/>
  <c r="AA17" i="8"/>
  <c r="AA86" i="8" l="1"/>
  <c r="AA36" i="8"/>
  <c r="AA39" i="8"/>
  <c r="AA23" i="8"/>
  <c r="AA29" i="8"/>
  <c r="AA33" i="8" l="1"/>
  <c r="AA103" i="8" l="1"/>
  <c r="AA130" i="8" s="1"/>
  <c r="AJ103" i="8"/>
  <c r="AH11" i="8"/>
  <c r="AH16" i="8" s="1"/>
  <c r="AJ11" i="8"/>
  <c r="AJ16" i="8" s="1"/>
  <c r="Z11" i="8"/>
  <c r="AI11" i="8"/>
  <c r="AI16" i="8" l="1"/>
  <c r="Z16" i="8"/>
  <c r="Z22" i="8" s="1"/>
  <c r="AB15" i="10"/>
  <c r="AA15" i="10"/>
  <c r="V15" i="10"/>
  <c r="AJ22" i="8"/>
  <c r="AH22" i="8"/>
  <c r="Z17" i="8" l="1"/>
  <c r="Z28" i="8"/>
  <c r="Z32" i="8" s="1"/>
  <c r="AI22" i="8"/>
  <c r="AI23" i="8" s="1"/>
  <c r="AI17" i="8"/>
  <c r="AJ28" i="8"/>
  <c r="AJ32" i="8" s="1"/>
  <c r="AJ17" i="8"/>
  <c r="AH17" i="8"/>
  <c r="AH28" i="8"/>
  <c r="AH32" i="8" s="1"/>
  <c r="AH39" i="8" l="1"/>
  <c r="AH36" i="8"/>
  <c r="AJ39" i="8"/>
  <c r="AJ36" i="8"/>
  <c r="Z86" i="8"/>
  <c r="Z39" i="8"/>
  <c r="Z36" i="8"/>
  <c r="AI28" i="8"/>
  <c r="AI32" i="8" s="1"/>
  <c r="Z23" i="8"/>
  <c r="Z29" i="8"/>
  <c r="AH23" i="8"/>
  <c r="AJ23" i="8"/>
  <c r="AI39" i="8" l="1"/>
  <c r="AI36" i="8"/>
  <c r="AI29" i="8"/>
  <c r="Z33" i="8"/>
  <c r="AS86" i="8"/>
  <c r="AJ29" i="8"/>
  <c r="AH29" i="8"/>
  <c r="AI33" i="8"/>
  <c r="AS103" i="8" l="1"/>
  <c r="AU103" i="8" s="1"/>
  <c r="AU86" i="8"/>
  <c r="AR86" i="8"/>
  <c r="AP86" i="8"/>
  <c r="AP103" i="8" s="1"/>
  <c r="AQ86" i="8"/>
  <c r="AQ103" i="8" s="1"/>
  <c r="AI103" i="8"/>
  <c r="AI131" i="8" s="1"/>
  <c r="AI133" i="8" s="1"/>
  <c r="Z103" i="8"/>
  <c r="Z130" i="8" s="1"/>
  <c r="AH103" i="8"/>
  <c r="AH33" i="8"/>
  <c r="AJ33" i="8"/>
  <c r="Z131" i="8" l="1"/>
  <c r="Z133" i="8" s="1"/>
  <c r="AS130" i="8"/>
  <c r="AR130" i="8"/>
  <c r="AQ130" i="8"/>
  <c r="AP130" i="8"/>
  <c r="AH131" i="8"/>
  <c r="AH133" i="8" s="1"/>
  <c r="AP126" i="8"/>
  <c r="AR103" i="8"/>
  <c r="AJ126" i="8"/>
  <c r="AJ131" i="8" s="1"/>
  <c r="AJ133" i="8" s="1"/>
  <c r="AA124" i="8" l="1"/>
  <c r="AA126" i="8" s="1"/>
  <c r="AA131" i="8" s="1"/>
  <c r="AA133" i="8" s="1"/>
  <c r="AP131" i="8"/>
  <c r="AP133" i="8" s="1"/>
  <c r="AQ126" i="8"/>
  <c r="AQ131" i="8" s="1"/>
  <c r="AQ133" i="8" s="1"/>
  <c r="AK126" i="8"/>
  <c r="AK131" i="8" s="1"/>
  <c r="AK133" i="8" s="1"/>
  <c r="AB124" i="8" l="1"/>
  <c r="AB126" i="8" s="1"/>
  <c r="AB131" i="8" s="1"/>
  <c r="AB133" i="8" s="1"/>
  <c r="AR126" i="8"/>
  <c r="AR131" i="8" s="1"/>
  <c r="AR133" i="8" s="1"/>
  <c r="AL126" i="8"/>
  <c r="AL131" i="8" s="1"/>
  <c r="AL133" i="8" s="1"/>
  <c r="AC124" i="8" l="1"/>
  <c r="AC126" i="8" s="1"/>
  <c r="AC131" i="8" s="1"/>
  <c r="AC133" i="8" s="1"/>
  <c r="AS126" i="8"/>
  <c r="AS131" i="8" s="1"/>
  <c r="AS133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<sst xmlns="http://schemas.openxmlformats.org/spreadsheetml/2006/main" count="280" uniqueCount="213">
  <si>
    <t>FYE</t>
  </si>
  <si>
    <t>Quarterly</t>
  </si>
  <si>
    <t>1Q24</t>
  </si>
  <si>
    <t>2Q24</t>
  </si>
  <si>
    <t>3Q24</t>
  </si>
  <si>
    <t>4Q24</t>
  </si>
  <si>
    <t>1Q23</t>
  </si>
  <si>
    <t>2Q23</t>
  </si>
  <si>
    <t>3Q23</t>
  </si>
  <si>
    <t>4Q23</t>
  </si>
  <si>
    <t>LTM</t>
  </si>
  <si>
    <t>EBITDA</t>
  </si>
  <si>
    <t>Total Revenue</t>
  </si>
  <si>
    <t>Accounts payable</t>
  </si>
  <si>
    <t>Changes in assets and liabilities:</t>
  </si>
  <si>
    <t>Cash-Flows Statement</t>
  </si>
  <si>
    <t>Other current assets</t>
  </si>
  <si>
    <t>Total stockholders' equity</t>
  </si>
  <si>
    <t>Total Liabilities</t>
  </si>
  <si>
    <t>X</t>
  </si>
  <si>
    <t>Total Current Liabilities</t>
  </si>
  <si>
    <t>Common stock</t>
  </si>
  <si>
    <t>Total Current Assets</t>
  </si>
  <si>
    <t>Total Assets</t>
  </si>
  <si>
    <t>Gross Profit</t>
  </si>
  <si>
    <t>Total Debt</t>
  </si>
  <si>
    <t>Variance</t>
  </si>
  <si>
    <t>FCF Analysis</t>
  </si>
  <si>
    <t>1Q22</t>
  </si>
  <si>
    <t>2Q22</t>
  </si>
  <si>
    <t>3Q22</t>
  </si>
  <si>
    <t>4Q22</t>
  </si>
  <si>
    <t>1Q25</t>
  </si>
  <si>
    <t>2Q25</t>
  </si>
  <si>
    <t>Y/Y Growth (%)</t>
  </si>
  <si>
    <t>Q/Q Growth (%)</t>
  </si>
  <si>
    <t>N/A</t>
  </si>
  <si>
    <t>Gross Margin (%)</t>
  </si>
  <si>
    <t>Earning before Interest &amp; Taxes (EBIT)</t>
  </si>
  <si>
    <t>Operating Margin (%)</t>
  </si>
  <si>
    <t>EBITDA Margin (%)</t>
  </si>
  <si>
    <t xml:space="preserve">(+) Share-based Compensation </t>
  </si>
  <si>
    <t>Adj. EBITDA</t>
  </si>
  <si>
    <t>Adj. EBITDA Margin (%)</t>
  </si>
  <si>
    <t>(-) Capital Expenditures</t>
  </si>
  <si>
    <t>(-) Cash Taxes</t>
  </si>
  <si>
    <t>(+/-) Changes in NWC</t>
  </si>
  <si>
    <t>Discretionary Cash-Flows</t>
  </si>
  <si>
    <t>Free-Cash Flows</t>
  </si>
  <si>
    <t>Capitalization</t>
  </si>
  <si>
    <t>Cash &amp; Cash Equivelants</t>
  </si>
  <si>
    <t>Total Liquidity</t>
  </si>
  <si>
    <t>Balance Sheet Metrics:</t>
  </si>
  <si>
    <t>Accounts Payable</t>
  </si>
  <si>
    <t>Current Liabilities</t>
  </si>
  <si>
    <t>Total Shareholder Equity</t>
  </si>
  <si>
    <t>Total Book Capitalization</t>
  </si>
  <si>
    <t>Debt-to-Book Capitalization</t>
  </si>
  <si>
    <t>Net loss</t>
  </si>
  <si>
    <t>Total liabilities and stockholders' equity</t>
  </si>
  <si>
    <t>Cash-Flows From Operating Activities</t>
  </si>
  <si>
    <t>Net income (loss)</t>
  </si>
  <si>
    <t>Net cash used in operating activities</t>
  </si>
  <si>
    <t>Cash flows from investing activities:</t>
  </si>
  <si>
    <t>Net cash used in investing activities</t>
  </si>
  <si>
    <t>Cash flows from financing activities:</t>
  </si>
  <si>
    <t>Net cash provided by financing activities</t>
  </si>
  <si>
    <t>Consolidated Revenue</t>
  </si>
  <si>
    <t>Adjustments to reconcile net income:</t>
  </si>
  <si>
    <t>Balance Check</t>
  </si>
  <si>
    <t>Net Change in Cash</t>
  </si>
  <si>
    <t>Cash paid during the period for:</t>
  </si>
  <si>
    <t xml:space="preserve">Provision for taxes </t>
  </si>
  <si>
    <t>3Q25</t>
  </si>
  <si>
    <t>Net Margin (%)</t>
  </si>
  <si>
    <t>Basic EPS</t>
  </si>
  <si>
    <t>Fully Diluted Shares</t>
  </si>
  <si>
    <t>Segment Anaysis</t>
  </si>
  <si>
    <t>Total Net Revenue</t>
  </si>
  <si>
    <t xml:space="preserve">(+/-) Other </t>
  </si>
  <si>
    <t>Credit Metrics</t>
  </si>
  <si>
    <t>Adjusted Cash Position BOP</t>
  </si>
  <si>
    <t>Adjusted Cash Position EOP</t>
  </si>
  <si>
    <t xml:space="preserve">(-) Cash Interest </t>
  </si>
  <si>
    <t>$ mm except per share</t>
  </si>
  <si>
    <t>Income Statement</t>
  </si>
  <si>
    <t xml:space="preserve">Balance Sheet </t>
  </si>
  <si>
    <t>Historical Financials</t>
  </si>
  <si>
    <t>Fiscal Period</t>
  </si>
  <si>
    <t>Fiscal Period End Date</t>
  </si>
  <si>
    <t>Interest Expense</t>
  </si>
  <si>
    <t>Operating Profit</t>
  </si>
  <si>
    <t>Earning Before Taxes</t>
  </si>
  <si>
    <t>EBT Margin (%)</t>
  </si>
  <si>
    <t>1Q21</t>
  </si>
  <si>
    <t>2Q21</t>
  </si>
  <si>
    <t>3Q21</t>
  </si>
  <si>
    <t>4Q21</t>
  </si>
  <si>
    <t>Current Assets</t>
  </si>
  <si>
    <t>Non-Current Assets</t>
  </si>
  <si>
    <t>Non-Current Liabilities</t>
  </si>
  <si>
    <t>Unrestricted Cash BOP</t>
  </si>
  <si>
    <t>EOP FX Adjustment</t>
  </si>
  <si>
    <t>General and Administrative (G&amp;A)</t>
  </si>
  <si>
    <t xml:space="preserve">Interest Income </t>
  </si>
  <si>
    <t>Other non-current assets</t>
  </si>
  <si>
    <t>Property and equipment, net</t>
  </si>
  <si>
    <t>Deferred income taxes</t>
  </si>
  <si>
    <t>Retained earnings</t>
  </si>
  <si>
    <t>Accumulated other comprehensive income (loss)</t>
  </si>
  <si>
    <t>Deferred revenue</t>
  </si>
  <si>
    <t>Purchases of property and equipment</t>
  </si>
  <si>
    <t>Disaggregated Revenues</t>
  </si>
  <si>
    <t>Offerings Drivers</t>
  </si>
  <si>
    <t>Variance Check</t>
  </si>
  <si>
    <t>Fully Diluted EPS</t>
  </si>
  <si>
    <t>Basic Shares</t>
  </si>
  <si>
    <t>Cash Position Variance Check</t>
  </si>
  <si>
    <t>(-) General and Administrative (G&amp;A)</t>
  </si>
  <si>
    <t>Marketable Securities</t>
  </si>
  <si>
    <t>(+/-) Divestiture / Acquisitions</t>
  </si>
  <si>
    <t>LTM Total Leverage</t>
  </si>
  <si>
    <t>LTM Net Leverage</t>
  </si>
  <si>
    <t xml:space="preserve">LTM Interest Coverage </t>
  </si>
  <si>
    <t>LTM Debt Service Coverage</t>
  </si>
  <si>
    <t>LTM Fixed Charge Coverage</t>
  </si>
  <si>
    <t>Netflix, Inc. (NASDAQ: NFLX)</t>
  </si>
  <si>
    <t>Marketing</t>
  </si>
  <si>
    <t>Technology and Development (T&amp;D)</t>
  </si>
  <si>
    <t>Cash and cash equivalents</t>
  </si>
  <si>
    <t>Short-term investments</t>
  </si>
  <si>
    <t>Content assets, net</t>
  </si>
  <si>
    <t>Current content liabilities</t>
  </si>
  <si>
    <t>Accrued expenses and other liabilities</t>
  </si>
  <si>
    <t>Short-term debt</t>
  </si>
  <si>
    <t>Non-current content liabilities</t>
  </si>
  <si>
    <t>Long-term debt</t>
  </si>
  <si>
    <t>Other non-current liabilities</t>
  </si>
  <si>
    <t>Treasury stock at cost</t>
  </si>
  <si>
    <t>Other non-current assets and liabilities</t>
  </si>
  <si>
    <t>Change in other assets</t>
  </si>
  <si>
    <t>Acquisitions</t>
  </si>
  <si>
    <t>Purchases of short-term investments</t>
  </si>
  <si>
    <t>Proceeds from maturities of short-term investments</t>
  </si>
  <si>
    <t>Additions to content assets</t>
  </si>
  <si>
    <t>Change in content liabilities</t>
  </si>
  <si>
    <t>Amortization of content assets</t>
  </si>
  <si>
    <t>Depreciation and amortization of property, equipment and intangibles</t>
  </si>
  <si>
    <t>Stock-based compensation expense</t>
  </si>
  <si>
    <t>Foreign currency remeasurement loss (gain) on debt</t>
  </si>
  <si>
    <t>Other non-cash items</t>
  </si>
  <si>
    <t>Proceeds from issuance of debt</t>
  </si>
  <si>
    <t>Debt issuance costs</t>
  </si>
  <si>
    <t>Repayments of debt</t>
  </si>
  <si>
    <t>Proceeds from issuance of common stock</t>
  </si>
  <si>
    <t>Repurchases of common stock</t>
  </si>
  <si>
    <t>Taxes paid related to net share settlement of equity awards</t>
  </si>
  <si>
    <t>Other financing activities</t>
  </si>
  <si>
    <t>EOP Restricted Cash Adjustment</t>
  </si>
  <si>
    <t>Other Income &amp; Expenses</t>
  </si>
  <si>
    <t>Other Cost of Revenues</t>
  </si>
  <si>
    <t>Total Cost of Revenue</t>
  </si>
  <si>
    <t>Income taxes paid</t>
  </si>
  <si>
    <t>Interest paid</t>
  </si>
  <si>
    <t>BOP Restricted Cash Adjustment</t>
  </si>
  <si>
    <t>UCAN Revenue</t>
  </si>
  <si>
    <t>EMEA Revenue</t>
  </si>
  <si>
    <t>LATAM Revenue</t>
  </si>
  <si>
    <t>APAC Revenue</t>
  </si>
  <si>
    <t>Domestic DVD Revenue</t>
  </si>
  <si>
    <t>$ in thousands except per share</t>
  </si>
  <si>
    <t>(-) Amortization of content assets</t>
  </si>
  <si>
    <t>(-) Other Cost of Revenues</t>
  </si>
  <si>
    <t>(-) Marketing</t>
  </si>
  <si>
    <t>(-) Technology and Development (T&amp;D)</t>
  </si>
  <si>
    <t>(+) Depreciation and amortization of PP&amp;E and intangibles</t>
  </si>
  <si>
    <t>(+) Amortization of content assets</t>
  </si>
  <si>
    <t>(+/-) Proceeds / (Purchases) of ST Investments</t>
  </si>
  <si>
    <t>(-) Proceeds From Equity Issuances / (Share Repurchases)</t>
  </si>
  <si>
    <t>(-) 'Proceeds from issuance of Debt / (Repayment), net</t>
  </si>
  <si>
    <t>(+/-) Changes in Additions to content assets</t>
  </si>
  <si>
    <t>(+/-) Changes in Other Financing Activities</t>
  </si>
  <si>
    <t>Content Liabilities</t>
  </si>
  <si>
    <t>Deferred Revenue</t>
  </si>
  <si>
    <t>5.750% Senior Notes due March 2024</t>
  </si>
  <si>
    <t>5.875% Senior Notes due February 2025</t>
  </si>
  <si>
    <t>3.625% Senior Notes due June 2025</t>
  </si>
  <si>
    <t>4.375% Senior Notes due November 2026</t>
  </si>
  <si>
    <t>5.400% Senior Notes due August 2054</t>
  </si>
  <si>
    <t>4.900% Senior Notes due August 2034</t>
  </si>
  <si>
    <t>6.375% Senior Notes due May 2029</t>
  </si>
  <si>
    <t>5.875% Senior Notes due November 2028</t>
  </si>
  <si>
    <t>4.875% Senior Notes due April 2028</t>
  </si>
  <si>
    <t>4.875% Senior Notes due June 2030</t>
  </si>
  <si>
    <t>5.375% Senior Notes due November 2029</t>
  </si>
  <si>
    <t>Summary Debt:</t>
  </si>
  <si>
    <t>CPLTD</t>
  </si>
  <si>
    <t>LTD</t>
  </si>
  <si>
    <t>($ in Millions)</t>
  </si>
  <si>
    <t>Total Senior Notes</t>
  </si>
  <si>
    <t xml:space="preserve">Consolidated Sr. Notes </t>
  </si>
  <si>
    <t>Debt Schedule</t>
  </si>
  <si>
    <t xml:space="preserve">5.500% Senior Notes due February 2022	</t>
  </si>
  <si>
    <t>5.375% Senior Notes due February 2021</t>
  </si>
  <si>
    <r>
      <t xml:space="preserve">3.000% Senior Notes due June 2025 </t>
    </r>
    <r>
      <rPr>
        <vertAlign val="superscript"/>
        <sz val="9"/>
        <color theme="1"/>
        <rFont val="Calibri"/>
        <family val="2"/>
      </rPr>
      <t>(1)</t>
    </r>
  </si>
  <si>
    <r>
      <t xml:space="preserve">3.625% Senior Notes due May 2027 </t>
    </r>
    <r>
      <rPr>
        <vertAlign val="superscript"/>
        <sz val="9"/>
        <color theme="1"/>
        <rFont val="Calibri"/>
        <family val="2"/>
      </rPr>
      <t>(1)</t>
    </r>
  </si>
  <si>
    <r>
      <t xml:space="preserve">4.625% Senior Notes due May 2029 </t>
    </r>
    <r>
      <rPr>
        <vertAlign val="superscript"/>
        <sz val="9"/>
        <color theme="1"/>
        <rFont val="Calibri"/>
        <family val="2"/>
      </rPr>
      <t>(1)</t>
    </r>
  </si>
  <si>
    <r>
      <t xml:space="preserve">3.875% Senior Notes due November 2029 </t>
    </r>
    <r>
      <rPr>
        <vertAlign val="superscript"/>
        <sz val="9"/>
        <color theme="1"/>
        <rFont val="Calibri"/>
        <family val="2"/>
      </rPr>
      <t>(1)</t>
    </r>
  </si>
  <si>
    <r>
      <t xml:space="preserve">3.625% Senior Notes due June 2030 </t>
    </r>
    <r>
      <rPr>
        <vertAlign val="superscript"/>
        <sz val="9"/>
        <color theme="1"/>
        <rFont val="Calibri"/>
        <family val="2"/>
      </rPr>
      <t>(1)</t>
    </r>
  </si>
  <si>
    <t>1)  The following Senior Notes have a principal amount denominated in euros: 3.000% Senior Notes for €470 million, 3.625% Senior Notes for €1,300 million, 4.625% Senior Notes for €1,100 million, 3.875% Senior Notes for €1,200 million, and 3.625% Senior Notes for €1,100 million.</t>
  </si>
  <si>
    <t>$3Bn RCF due April 2025, April 2029 (CP Backstop)</t>
  </si>
  <si>
    <t xml:space="preserve">$3Bn Commercial Paper Program </t>
  </si>
  <si>
    <t>Property and Equipment, 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</si>
</sst>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_(&quot;$ &quot;#,##0_);_(&quot;$ &quot;\(#,##0\)"/>
    <numFmt numFmtId="166" formatCode="#,##0.0%;\(#,##0.0%\)"/>
    <numFmt numFmtId="167" formatCode="#,##0.0&quot;bps&quot;_);\(#,##0.0&quot;bps&quot;\)"/>
    <numFmt numFmtId="168" formatCode="#,##0.00&quot;bps&quot;_);\(#,##0.00&quot;bps&quot;\)"/>
    <numFmt numFmtId="169" formatCode="_(* #,##0.00&quot;x&quot;_);_(* \(#,##0.00&quot;x&quot;\);_(* &quot;-&quot;_);_(@_)"/>
  </numFmts>
  <fonts count="34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9"/>
      <color theme="0"/>
      <name val="Calibri"/>
      <family val="2"/>
    </font>
    <font>
      <i/>
      <sz val="9"/>
      <color theme="0"/>
      <name val="Calibri"/>
      <family val="2"/>
    </font>
    <font>
      <sz val="9"/>
      <color theme="1"/>
      <name val="Calibri"/>
      <family val="2"/>
    </font>
    <font>
      <b/>
      <i/>
      <sz val="9"/>
      <color theme="0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b/>
      <sz val="9"/>
      <name val="Calibri"/>
      <family val="2"/>
    </font>
    <font>
      <b/>
      <i/>
      <sz val="9"/>
      <name val="Calibri"/>
      <family val="2"/>
    </font>
    <font>
      <i/>
      <sz val="8"/>
      <name val="Calibri"/>
      <family val="2"/>
    </font>
    <font>
      <sz val="9"/>
      <color rgb="FF0000CC"/>
      <name val="Calibri"/>
      <family val="2"/>
    </font>
    <font>
      <sz val="9"/>
      <color rgb="FF0000FF"/>
      <name val="Calibri"/>
      <family val="2"/>
    </font>
    <font>
      <sz val="8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indexed="8"/>
      <name val="Calibri"/>
      <family val="2"/>
    </font>
    <font>
      <sz val="9"/>
      <color rgb="FF0000E1"/>
      <name val="Calibri"/>
      <family val="2"/>
    </font>
    <font>
      <sz val="10"/>
      <name val="Arial"/>
      <family val="2"/>
    </font>
    <font>
      <sz val="9"/>
      <color rgb="FFFF0000"/>
      <name val="Tw Cen MT"/>
      <family val="2"/>
      <scheme val="minor"/>
    </font>
    <font>
      <sz val="8"/>
      <color rgb="FFFF0000"/>
      <name val="Calibri"/>
      <family val="2"/>
    </font>
    <font>
      <b/>
      <sz val="8"/>
      <color theme="1"/>
      <name val="Calibri"/>
      <family val="2"/>
    </font>
    <font>
      <i/>
      <sz val="8"/>
      <color theme="1"/>
      <name val="Calibri"/>
      <family val="2"/>
    </font>
    <font>
      <sz val="7"/>
      <color rgb="FFFF0000"/>
      <name val="Calibri"/>
      <family val="2"/>
    </font>
    <font>
      <sz val="9"/>
      <color rgb="FF00B050"/>
      <name val="Calibri"/>
      <family val="2"/>
    </font>
    <font>
      <sz val="10"/>
      <name val="Arial Narrow MT"/>
      <family val="2"/>
    </font>
    <font>
      <i/>
      <sz val="8"/>
      <color rgb="FFFF0000"/>
      <name val="Calibri"/>
      <family val="2"/>
    </font>
    <font>
      <b/>
      <i/>
      <sz val="8"/>
      <name val="Calibri"/>
      <family val="2"/>
    </font>
    <font>
      <b/>
      <sz val="8"/>
      <color theme="0"/>
      <name val="Calibri"/>
      <family val="2"/>
    </font>
    <font>
      <i/>
      <sz val="7"/>
      <color rgb="FFFF0000"/>
      <name val="Calibri"/>
      <family val="2"/>
    </font>
    <font>
      <i/>
      <sz val="9"/>
      <color rgb="FF0000CC"/>
      <name val="Calibri"/>
      <family val="2"/>
    </font>
    <font>
      <i/>
      <sz val="7"/>
      <color theme="1"/>
      <name val="Calibri"/>
      <family val="2"/>
    </font>
    <font>
      <vertAlign val="superscript"/>
      <sz val="9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lightGray"/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E5672"/>
        <bgColor indexed="64"/>
      </patternFill>
    </fill>
    <fill>
      <patternFill patternType="gray0625"/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6" fillId="0" borderId="0" applyNumberFormat="0" applyFont="0" applyFill="0" applyBorder="0" applyAlignment="0" applyProtection="0"/>
  </cellStyleXfs>
  <cellXfs count="175">
    <xf numFmtId="0" fontId="0" fillId="0" borderId="0" xfId="0"/>
    <xf numFmtId="0" fontId="2" fillId="2" borderId="0" xfId="0" applyFont="1" applyFill="1" applyAlignment="1">
      <alignment vertical="center" wrapText="1"/>
    </xf>
    <xf numFmtId="0" fontId="2" fillId="2" borderId="4" xfId="0" applyFont="1" applyFill="1" applyBorder="1" applyAlignment="1">
      <alignment horizontal="centerContinuous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/>
    <xf numFmtId="0" fontId="6" fillId="0" borderId="0" xfId="0" applyFont="1" applyAlignment="1">
      <alignment vertical="top" wrapText="1"/>
    </xf>
    <xf numFmtId="41" fontId="4" fillId="0" borderId="0" xfId="0" applyNumberFormat="1" applyFont="1"/>
    <xf numFmtId="37" fontId="4" fillId="0" borderId="0" xfId="0" applyNumberFormat="1" applyFont="1" applyAlignment="1">
      <alignment wrapText="1"/>
    </xf>
    <xf numFmtId="166" fontId="7" fillId="3" borderId="0" xfId="1" applyNumberFormat="1" applyFont="1" applyFill="1" applyBorder="1" applyAlignment="1">
      <alignment horizontal="right" vertical="center" wrapText="1"/>
    </xf>
    <xf numFmtId="0" fontId="8" fillId="3" borderId="5" xfId="0" applyFont="1" applyFill="1" applyBorder="1" applyAlignment="1">
      <alignment vertical="top" wrapText="1"/>
    </xf>
    <xf numFmtId="5" fontId="8" fillId="3" borderId="2" xfId="0" applyNumberFormat="1" applyFont="1" applyFill="1" applyBorder="1" applyAlignment="1">
      <alignment horizontal="right" vertical="top" wrapText="1"/>
    </xf>
    <xf numFmtId="166" fontId="9" fillId="3" borderId="0" xfId="1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 wrapText="1" indent="1"/>
    </xf>
    <xf numFmtId="5" fontId="8" fillId="4" borderId="0" xfId="0" applyNumberFormat="1" applyFont="1" applyFill="1" applyAlignment="1">
      <alignment horizontal="right" vertical="top" wrapText="1"/>
    </xf>
    <xf numFmtId="166" fontId="10" fillId="0" borderId="0" xfId="1" applyNumberFormat="1" applyFont="1" applyBorder="1" applyAlignment="1">
      <alignment horizontal="right" vertical="center" wrapText="1"/>
    </xf>
    <xf numFmtId="9" fontId="6" fillId="0" borderId="0" xfId="1" applyFont="1" applyAlignment="1">
      <alignment horizontal="left" vertical="top" wrapText="1" indent="1"/>
    </xf>
    <xf numFmtId="9" fontId="11" fillId="0" borderId="0" xfId="1" applyFont="1" applyAlignment="1">
      <alignment horizontal="right" vertical="top" wrapText="1"/>
    </xf>
    <xf numFmtId="9" fontId="4" fillId="0" borderId="0" xfId="1" applyFont="1" applyAlignment="1">
      <alignment wrapText="1"/>
    </xf>
    <xf numFmtId="9" fontId="12" fillId="0" borderId="0" xfId="1" applyFont="1" applyAlignment="1">
      <alignment horizontal="right" vertical="top" wrapText="1"/>
    </xf>
    <xf numFmtId="9" fontId="4" fillId="0" borderId="0" xfId="1" applyFont="1"/>
    <xf numFmtId="0" fontId="6" fillId="0" borderId="0" xfId="0" quotePrefix="1" applyFont="1" applyAlignment="1">
      <alignment vertical="top" wrapText="1"/>
    </xf>
    <xf numFmtId="37" fontId="6" fillId="0" borderId="0" xfId="0" applyNumberFormat="1" applyFont="1" applyAlignment="1">
      <alignment horizontal="right" vertical="top" wrapText="1"/>
    </xf>
    <xf numFmtId="0" fontId="8" fillId="0" borderId="0" xfId="0" applyFont="1" applyAlignment="1">
      <alignment vertical="top" wrapText="1"/>
    </xf>
    <xf numFmtId="5" fontId="8" fillId="0" borderId="2" xfId="0" applyNumberFormat="1" applyFont="1" applyBorder="1" applyAlignment="1">
      <alignment horizontal="right" vertical="top" wrapText="1"/>
    </xf>
    <xf numFmtId="9" fontId="13" fillId="0" borderId="0" xfId="1" applyFont="1" applyBorder="1" applyAlignment="1">
      <alignment horizontal="right" vertic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center" wrapText="1" indent="1"/>
    </xf>
    <xf numFmtId="9" fontId="6" fillId="0" borderId="0" xfId="1" applyFont="1" applyBorder="1" applyAlignment="1">
      <alignment horizontal="right" vertical="center" wrapText="1"/>
    </xf>
    <xf numFmtId="0" fontId="4" fillId="0" borderId="0" xfId="0" quotePrefix="1" applyFont="1"/>
    <xf numFmtId="41" fontId="6" fillId="0" borderId="0" xfId="0" applyNumberFormat="1" applyFont="1" applyAlignment="1">
      <alignment horizontal="right" vertical="top" wrapText="1"/>
    </xf>
    <xf numFmtId="0" fontId="2" fillId="2" borderId="0" xfId="0" applyFont="1" applyFill="1" applyAlignment="1">
      <alignment wrapText="1"/>
    </xf>
    <xf numFmtId="41" fontId="8" fillId="3" borderId="2" xfId="0" applyNumberFormat="1" applyFont="1" applyFill="1" applyBorder="1" applyAlignment="1">
      <alignment horizontal="right" vertical="top" wrapText="1"/>
    </xf>
    <xf numFmtId="0" fontId="15" fillId="0" borderId="6" xfId="0" applyFont="1" applyBorder="1"/>
    <xf numFmtId="0" fontId="15" fillId="0" borderId="0" xfId="0" applyFont="1"/>
    <xf numFmtId="0" fontId="4" fillId="4" borderId="0" xfId="0" applyFont="1" applyFill="1"/>
    <xf numFmtId="0" fontId="4" fillId="0" borderId="1" xfId="0" applyFont="1" applyBorder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65" fontId="4" fillId="0" borderId="0" xfId="0" applyNumberFormat="1" applyFont="1" applyAlignment="1">
      <alignment wrapText="1"/>
    </xf>
    <xf numFmtId="37" fontId="8" fillId="0" borderId="0" xfId="0" applyNumberFormat="1" applyFont="1" applyAlignment="1">
      <alignment horizontal="right" vertical="top" wrapText="1"/>
    </xf>
    <xf numFmtId="165" fontId="15" fillId="0" borderId="0" xfId="0" applyNumberFormat="1" applyFont="1" applyAlignment="1">
      <alignment wrapText="1"/>
    </xf>
    <xf numFmtId="9" fontId="6" fillId="0" borderId="0" xfId="1" applyFont="1" applyFill="1" applyBorder="1" applyAlignment="1">
      <alignment horizontal="right" vertical="center" wrapText="1"/>
    </xf>
    <xf numFmtId="166" fontId="7" fillId="0" borderId="0" xfId="1" applyNumberFormat="1" applyFont="1" applyBorder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10" fontId="16" fillId="0" borderId="0" xfId="1" applyNumberFormat="1" applyFont="1" applyFill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5" fontId="8" fillId="0" borderId="0" xfId="0" applyNumberFormat="1" applyFont="1" applyAlignment="1">
      <alignment horizontal="right" vertical="top" wrapText="1"/>
    </xf>
    <xf numFmtId="37" fontId="15" fillId="0" borderId="0" xfId="0" applyNumberFormat="1" applyFont="1" applyAlignment="1">
      <alignment wrapText="1"/>
    </xf>
    <xf numFmtId="37" fontId="8" fillId="0" borderId="0" xfId="0" applyNumberFormat="1" applyFont="1" applyAlignment="1">
      <alignment wrapText="1"/>
    </xf>
    <xf numFmtId="0" fontId="12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7" fillId="0" borderId="0" xfId="0" applyFont="1" applyAlignment="1">
      <alignment wrapText="1"/>
    </xf>
    <xf numFmtId="164" fontId="4" fillId="0" borderId="0" xfId="2" applyNumberFormat="1" applyFont="1" applyBorder="1" applyAlignment="1">
      <alignment wrapText="1"/>
    </xf>
    <xf numFmtId="0" fontId="4" fillId="0" borderId="0" xfId="0" applyFont="1" applyAlignment="1">
      <alignment horizontal="left" wrapText="1" indent="1"/>
    </xf>
    <xf numFmtId="37" fontId="11" fillId="0" borderId="0" xfId="2" applyNumberFormat="1" applyFont="1" applyBorder="1" applyAlignment="1">
      <alignment wrapText="1"/>
    </xf>
    <xf numFmtId="37" fontId="11" fillId="0" borderId="0" xfId="2" applyNumberFormat="1" applyFont="1" applyFill="1" applyBorder="1" applyAlignment="1">
      <alignment wrapText="1"/>
    </xf>
    <xf numFmtId="0" fontId="4" fillId="0" borderId="0" xfId="0" applyFont="1" applyAlignment="1">
      <alignment horizontal="left" indent="1"/>
    </xf>
    <xf numFmtId="37" fontId="8" fillId="0" borderId="0" xfId="2" applyNumberFormat="1" applyFont="1" applyBorder="1" applyAlignment="1">
      <alignment wrapText="1"/>
    </xf>
    <xf numFmtId="37" fontId="6" fillId="0" borderId="0" xfId="2" applyNumberFormat="1" applyFont="1" applyBorder="1" applyAlignment="1">
      <alignment wrapText="1"/>
    </xf>
    <xf numFmtId="37" fontId="15" fillId="0" borderId="0" xfId="2" applyNumberFormat="1" applyFont="1" applyBorder="1" applyAlignment="1">
      <alignment wrapText="1"/>
    </xf>
    <xf numFmtId="37" fontId="15" fillId="0" borderId="0" xfId="2" applyNumberFormat="1" applyFont="1" applyFill="1" applyBorder="1" applyAlignment="1">
      <alignment wrapText="1"/>
    </xf>
    <xf numFmtId="37" fontId="18" fillId="0" borderId="0" xfId="2" applyNumberFormat="1" applyFont="1" applyFill="1" applyBorder="1" applyAlignment="1">
      <alignment wrapText="1"/>
    </xf>
    <xf numFmtId="37" fontId="6" fillId="0" borderId="0" xfId="2" applyNumberFormat="1" applyFont="1" applyFill="1" applyBorder="1" applyAlignment="1">
      <alignment wrapText="1"/>
    </xf>
    <xf numFmtId="164" fontId="15" fillId="0" borderId="0" xfId="2" applyNumberFormat="1" applyFont="1" applyBorder="1" applyAlignment="1">
      <alignment wrapText="1"/>
    </xf>
    <xf numFmtId="0" fontId="20" fillId="0" borderId="0" xfId="0" applyFont="1" applyAlignment="1">
      <alignment vertical="top" wrapText="1"/>
    </xf>
    <xf numFmtId="43" fontId="20" fillId="0" borderId="0" xfId="0" applyNumberFormat="1" applyFont="1" applyAlignment="1">
      <alignment wrapText="1"/>
    </xf>
    <xf numFmtId="43" fontId="21" fillId="0" borderId="0" xfId="0" applyNumberFormat="1" applyFont="1" applyAlignment="1">
      <alignment wrapText="1"/>
    </xf>
    <xf numFmtId="0" fontId="22" fillId="0" borderId="0" xfId="0" applyFont="1" applyAlignment="1">
      <alignment wrapText="1"/>
    </xf>
    <xf numFmtId="41" fontId="8" fillId="0" borderId="0" xfId="0" applyNumberFormat="1" applyFont="1" applyAlignment="1">
      <alignment horizontal="right" vertical="top" wrapText="1"/>
    </xf>
    <xf numFmtId="0" fontId="17" fillId="0" borderId="6" xfId="0" applyFont="1" applyBorder="1"/>
    <xf numFmtId="0" fontId="4" fillId="0" borderId="1" xfId="0" applyFont="1" applyBorder="1" applyAlignment="1">
      <alignment wrapText="1"/>
    </xf>
    <xf numFmtId="164" fontId="4" fillId="0" borderId="1" xfId="2" applyNumberFormat="1" applyFont="1" applyBorder="1" applyAlignment="1">
      <alignment wrapText="1"/>
    </xf>
    <xf numFmtId="166" fontId="7" fillId="5" borderId="0" xfId="1" applyNumberFormat="1" applyFont="1" applyFill="1" applyBorder="1" applyAlignment="1">
      <alignment horizontal="right" vertical="center" wrapText="1"/>
    </xf>
    <xf numFmtId="166" fontId="9" fillId="5" borderId="0" xfId="1" applyNumberFormat="1" applyFont="1" applyFill="1" applyBorder="1" applyAlignment="1">
      <alignment horizontal="right" vertical="center" wrapText="1"/>
    </xf>
    <xf numFmtId="168" fontId="9" fillId="5" borderId="0" xfId="1" applyNumberFormat="1" applyFont="1" applyFill="1" applyBorder="1" applyAlignment="1">
      <alignment horizontal="right" vertical="center" wrapText="1"/>
    </xf>
    <xf numFmtId="0" fontId="8" fillId="0" borderId="6" xfId="0" applyFont="1" applyBorder="1" applyAlignment="1">
      <alignment vertical="top" wrapText="1"/>
    </xf>
    <xf numFmtId="41" fontId="24" fillId="0" borderId="0" xfId="0" applyNumberFormat="1" applyFont="1" applyAlignment="1">
      <alignment horizontal="right" vertical="center" wrapText="1"/>
    </xf>
    <xf numFmtId="0" fontId="15" fillId="0" borderId="0" xfId="0" applyFont="1" applyAlignment="1">
      <alignment horizontal="center"/>
    </xf>
    <xf numFmtId="41" fontId="11" fillId="0" borderId="0" xfId="0" applyNumberFormat="1" applyFont="1"/>
    <xf numFmtId="41" fontId="11" fillId="0" borderId="0" xfId="0" applyNumberFormat="1" applyFont="1" applyAlignment="1">
      <alignment horizontal="right" vertical="top" wrapText="1"/>
    </xf>
    <xf numFmtId="169" fontId="4" fillId="0" borderId="0" xfId="0" applyNumberFormat="1" applyFont="1"/>
    <xf numFmtId="0" fontId="4" fillId="0" borderId="0" xfId="0" quotePrefix="1" applyFont="1" applyAlignment="1">
      <alignment horizontal="left" indent="1"/>
    </xf>
    <xf numFmtId="14" fontId="3" fillId="2" borderId="0" xfId="0" quotePrefix="1" applyNumberFormat="1" applyFont="1" applyFill="1" applyAlignment="1">
      <alignment horizontal="center" vertical="center" wrapText="1"/>
    </xf>
    <xf numFmtId="41" fontId="8" fillId="6" borderId="2" xfId="0" applyNumberFormat="1" applyFont="1" applyFill="1" applyBorder="1" applyAlignment="1">
      <alignment horizontal="right" vertical="top" wrapText="1"/>
    </xf>
    <xf numFmtId="3" fontId="4" fillId="0" borderId="0" xfId="0" applyNumberFormat="1" applyFont="1" applyAlignment="1">
      <alignment wrapText="1"/>
    </xf>
    <xf numFmtId="43" fontId="21" fillId="0" borderId="7" xfId="0" applyNumberFormat="1" applyFont="1" applyBorder="1" applyAlignment="1">
      <alignment wrapText="1"/>
    </xf>
    <xf numFmtId="41" fontId="6" fillId="0" borderId="7" xfId="0" applyNumberFormat="1" applyFont="1" applyBorder="1" applyAlignment="1">
      <alignment horizontal="right" vertical="top" wrapText="1"/>
    </xf>
    <xf numFmtId="0" fontId="8" fillId="6" borderId="9" xfId="0" applyFont="1" applyFill="1" applyBorder="1" applyAlignment="1">
      <alignment horizontal="right" vertical="center" wrapText="1"/>
    </xf>
    <xf numFmtId="0" fontId="4" fillId="0" borderId="9" xfId="0" applyFont="1" applyBorder="1"/>
    <xf numFmtId="37" fontId="4" fillId="0" borderId="10" xfId="0" applyNumberFormat="1" applyFont="1" applyBorder="1" applyAlignment="1">
      <alignment wrapText="1"/>
    </xf>
    <xf numFmtId="41" fontId="8" fillId="0" borderId="12" xfId="0" applyNumberFormat="1" applyFont="1" applyBorder="1" applyAlignment="1">
      <alignment horizontal="right" vertical="top" wrapText="1"/>
    </xf>
    <xf numFmtId="41" fontId="6" fillId="0" borderId="13" xfId="0" applyNumberFormat="1" applyFont="1" applyBorder="1" applyAlignment="1">
      <alignment horizontal="right" vertical="top" wrapText="1"/>
    </xf>
    <xf numFmtId="41" fontId="25" fillId="0" borderId="0" xfId="0" applyNumberFormat="1" applyFont="1"/>
    <xf numFmtId="37" fontId="11" fillId="0" borderId="0" xfId="0" applyNumberFormat="1" applyFont="1" applyAlignment="1">
      <alignment horizontal="right" vertical="top" wrapText="1"/>
    </xf>
    <xf numFmtId="41" fontId="6" fillId="0" borderId="0" xfId="0" applyNumberFormat="1" applyFont="1" applyAlignment="1">
      <alignment horizontal="right" vertical="center" wrapText="1"/>
    </xf>
    <xf numFmtId="41" fontId="6" fillId="0" borderId="0" xfId="0" applyNumberFormat="1" applyFont="1" applyAlignment="1">
      <alignment horizontal="right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166" fontId="7" fillId="0" borderId="0" xfId="1" applyNumberFormat="1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centerContinuous" vertical="center" wrapText="1"/>
    </xf>
    <xf numFmtId="0" fontId="2" fillId="7" borderId="4" xfId="0" applyFont="1" applyFill="1" applyBorder="1" applyAlignment="1">
      <alignment horizontal="centerContinuous" vertical="center" wrapText="1"/>
    </xf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horizontal="center" vertical="center" wrapText="1"/>
    </xf>
    <xf numFmtId="14" fontId="3" fillId="7" borderId="0" xfId="0" applyNumberFormat="1" applyFont="1" applyFill="1" applyAlignment="1">
      <alignment horizontal="center" vertical="center" wrapText="1"/>
    </xf>
    <xf numFmtId="0" fontId="2" fillId="8" borderId="0" xfId="0" applyFont="1" applyFill="1" applyAlignment="1">
      <alignment vertical="center" wrapText="1"/>
    </xf>
    <xf numFmtId="0" fontId="2" fillId="8" borderId="4" xfId="0" applyFont="1" applyFill="1" applyBorder="1" applyAlignment="1">
      <alignment horizontal="centerContinuous" vertical="center" wrapText="1"/>
    </xf>
    <xf numFmtId="0" fontId="4" fillId="8" borderId="0" xfId="0" applyFont="1" applyFill="1" applyAlignment="1">
      <alignment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166" fontId="10" fillId="9" borderId="0" xfId="1" applyNumberFormat="1" applyFont="1" applyFill="1" applyBorder="1" applyAlignment="1">
      <alignment horizontal="right" vertical="center" wrapText="1"/>
    </xf>
    <xf numFmtId="0" fontId="21" fillId="0" borderId="1" xfId="0" applyFont="1" applyBorder="1" applyAlignment="1">
      <alignment vertical="top" wrapText="1"/>
    </xf>
    <xf numFmtId="43" fontId="21" fillId="0" borderId="1" xfId="0" applyNumberFormat="1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41" fontId="11" fillId="0" borderId="0" xfId="0" applyNumberFormat="1" applyFont="1" applyAlignment="1">
      <alignment horizontal="right" wrapText="1"/>
    </xf>
    <xf numFmtId="0" fontId="4" fillId="0" borderId="0" xfId="0" applyFont="1" applyAlignment="1">
      <alignment vertical="center" wrapText="1"/>
    </xf>
    <xf numFmtId="41" fontId="11" fillId="0" borderId="0" xfId="0" applyNumberFormat="1" applyFont="1" applyAlignment="1">
      <alignment horizontal="right" vertical="center" wrapText="1"/>
    </xf>
    <xf numFmtId="37" fontId="4" fillId="0" borderId="0" xfId="0" applyNumberFormat="1" applyFont="1" applyAlignment="1">
      <alignment vertical="center" wrapText="1"/>
    </xf>
    <xf numFmtId="41" fontId="6" fillId="0" borderId="0" xfId="0" applyNumberFormat="1" applyFont="1"/>
    <xf numFmtId="0" fontId="14" fillId="3" borderId="0" xfId="0" applyFont="1" applyFill="1"/>
    <xf numFmtId="166" fontId="10" fillId="3" borderId="0" xfId="1" applyNumberFormat="1" applyFont="1" applyFill="1" applyBorder="1" applyAlignment="1">
      <alignment horizontal="right" vertical="center" wrapText="1"/>
    </xf>
    <xf numFmtId="166" fontId="28" fillId="3" borderId="0" xfId="1" applyNumberFormat="1" applyFont="1" applyFill="1" applyBorder="1" applyAlignment="1">
      <alignment horizontal="right" vertical="center" wrapText="1"/>
    </xf>
    <xf numFmtId="167" fontId="28" fillId="3" borderId="0" xfId="1" applyNumberFormat="1" applyFont="1" applyFill="1" applyBorder="1" applyAlignment="1">
      <alignment horizontal="right" vertical="center" wrapText="1"/>
    </xf>
    <xf numFmtId="0" fontId="14" fillId="0" borderId="0" xfId="0" applyFont="1"/>
    <xf numFmtId="0" fontId="23" fillId="0" borderId="0" xfId="0" applyFont="1" applyAlignment="1">
      <alignment horizontal="left" wrapText="1"/>
    </xf>
    <xf numFmtId="41" fontId="11" fillId="0" borderId="13" xfId="0" applyNumberFormat="1" applyFont="1" applyBorder="1" applyAlignment="1">
      <alignment horizontal="right" vertical="top" wrapText="1"/>
    </xf>
    <xf numFmtId="41" fontId="7" fillId="0" borderId="9" xfId="0" applyNumberFormat="1" applyFont="1" applyBorder="1" applyAlignment="1">
      <alignment horizontal="right" vertical="top" wrapText="1"/>
    </xf>
    <xf numFmtId="0" fontId="30" fillId="0" borderId="0" xfId="0" applyFont="1" applyAlignment="1">
      <alignment horizontal="right" vertical="center" wrapText="1"/>
    </xf>
    <xf numFmtId="7" fontId="25" fillId="0" borderId="0" xfId="0" applyNumberFormat="1" applyFont="1" applyAlignment="1">
      <alignment horizontal="right"/>
    </xf>
    <xf numFmtId="5" fontId="6" fillId="0" borderId="0" xfId="0" applyNumberFormat="1" applyFont="1" applyAlignment="1">
      <alignment horizontal="right" vertical="top" wrapText="1"/>
    </xf>
    <xf numFmtId="41" fontId="8" fillId="6" borderId="0" xfId="0" applyNumberFormat="1" applyFont="1" applyFill="1" applyAlignment="1">
      <alignment horizontal="right" vertical="top" wrapText="1"/>
    </xf>
    <xf numFmtId="41" fontId="6" fillId="6" borderId="0" xfId="0" applyNumberFormat="1" applyFont="1" applyFill="1" applyAlignment="1">
      <alignment horizontal="right" vertical="top" wrapText="1"/>
    </xf>
    <xf numFmtId="41" fontId="6" fillId="0" borderId="10" xfId="0" applyNumberFormat="1" applyFont="1" applyBorder="1" applyAlignment="1">
      <alignment horizontal="right" vertical="top" wrapText="1"/>
    </xf>
    <xf numFmtId="41" fontId="8" fillId="6" borderId="10" xfId="0" applyNumberFormat="1" applyFont="1" applyFill="1" applyBorder="1" applyAlignment="1">
      <alignment horizontal="right" vertical="top" wrapText="1"/>
    </xf>
    <xf numFmtId="41" fontId="8" fillId="0" borderId="10" xfId="0" applyNumberFormat="1" applyFont="1" applyBorder="1" applyAlignment="1">
      <alignment horizontal="right" vertical="top" wrapText="1"/>
    </xf>
    <xf numFmtId="41" fontId="6" fillId="6" borderId="10" xfId="0" applyNumberFormat="1" applyFont="1" applyFill="1" applyBorder="1" applyAlignment="1">
      <alignment horizontal="right" vertical="top" wrapText="1"/>
    </xf>
    <xf numFmtId="43" fontId="21" fillId="0" borderId="11" xfId="0" applyNumberFormat="1" applyFont="1" applyBorder="1" applyAlignment="1">
      <alignment wrapText="1"/>
    </xf>
    <xf numFmtId="0" fontId="8" fillId="0" borderId="9" xfId="0" applyFont="1" applyBorder="1" applyAlignment="1">
      <alignment horizontal="right" vertical="center" wrapText="1"/>
    </xf>
    <xf numFmtId="0" fontId="27" fillId="0" borderId="8" xfId="0" applyFont="1" applyBorder="1" applyAlignment="1">
      <alignment horizontal="right" vertical="top" wrapText="1"/>
    </xf>
    <xf numFmtId="0" fontId="27" fillId="0" borderId="0" xfId="0" applyFont="1" applyAlignment="1">
      <alignment vertical="top" wrapText="1"/>
    </xf>
    <xf numFmtId="41" fontId="6" fillId="0" borderId="14" xfId="0" applyNumberFormat="1" applyFont="1" applyBorder="1" applyAlignment="1">
      <alignment horizontal="right" vertical="top" wrapText="1"/>
    </xf>
    <xf numFmtId="41" fontId="25" fillId="0" borderId="0" xfId="0" applyNumberFormat="1" applyFont="1" applyAlignment="1">
      <alignment vertical="center"/>
    </xf>
    <xf numFmtId="41" fontId="4" fillId="0" borderId="0" xfId="0" applyNumberFormat="1" applyFont="1" applyAlignment="1">
      <alignment vertical="center"/>
    </xf>
    <xf numFmtId="0" fontId="2" fillId="2" borderId="4" xfId="0" applyFont="1" applyFill="1" applyBorder="1" applyAlignment="1">
      <alignment horizontal="centerContinuous" vertical="center"/>
    </xf>
    <xf numFmtId="14" fontId="3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41" fontId="31" fillId="0" borderId="0" xfId="0" applyNumberFormat="1" applyFont="1" applyAlignment="1">
      <alignment horizontal="right" vertical="top" wrapText="1"/>
    </xf>
    <xf numFmtId="41" fontId="7" fillId="0" borderId="0" xfId="0" applyNumberFormat="1" applyFont="1" applyAlignment="1">
      <alignment horizontal="right" vertical="top" wrapText="1"/>
    </xf>
    <xf numFmtId="0" fontId="7" fillId="0" borderId="0" xfId="0" applyFont="1" applyAlignment="1">
      <alignment horizontal="left" vertical="top" wrapText="1" indent="1"/>
    </xf>
    <xf numFmtId="41" fontId="6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1" fontId="11" fillId="0" borderId="0" xfId="0" applyNumberFormat="1" applyFont="1" applyAlignment="1">
      <alignment vertical="center"/>
    </xf>
    <xf numFmtId="0" fontId="4" fillId="0" borderId="0" xfId="0" quotePrefix="1" applyFont="1" applyAlignment="1">
      <alignment vertical="center"/>
    </xf>
    <xf numFmtId="9" fontId="13" fillId="0" borderId="0" xfId="1" applyFont="1" applyFill="1" applyBorder="1" applyAlignment="1">
      <alignment horizontal="right" vertical="center" wrapText="1"/>
    </xf>
    <xf numFmtId="7" fontId="8" fillId="3" borderId="2" xfId="0" applyNumberFormat="1" applyFont="1" applyFill="1" applyBorder="1" applyAlignment="1">
      <alignment horizontal="right" vertical="top" wrapText="1"/>
    </xf>
    <xf numFmtId="0" fontId="23" fillId="0" borderId="3" xfId="0" applyFont="1" applyBorder="1" applyAlignment="1">
      <alignment horizontal="left" wrapText="1"/>
    </xf>
    <xf numFmtId="0" fontId="2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29" fillId="2" borderId="0" xfId="0" applyFont="1" applyFill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</cellXfs>
  <cellStyles count="5">
    <cellStyle name="%" xfId="3" xr:uid="{B2D0E839-0EB6-4A26-A036-4291FCE77A81}"/>
    <cellStyle name="******************************************" xfId="4" xr:uid="{7C8B12D3-B631-462E-992D-9CE2477EE747}"/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CC"/>
      <color rgb="FF00B03C"/>
      <color rgb="FF487B79"/>
      <color rgb="FF0E56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A1EF-DD86-43F0-AF53-6181CD7220DC}">
  <sheetPr>
    <tabColor rgb="FF002060"/>
  </sheetPr>
  <dimension ref="A2:AU152"/>
  <sheetViews>
    <sheetView showGridLines="0" tabSelected="1" zoomScaleNormal="100" workbookViewId="0">
      <selection activeCell="X128" sqref="X128"/>
    </sheetView>
  </sheetViews>
  <sheetFormatPr defaultRowHeight="12" outlineLevelRow="1" outlineLevelCol="4"/>
  <cols>
    <col min="1" max="1" width="1.625" style="5" bestFit="1" customWidth="1"/>
    <col min="2" max="2" width="36.25" style="5" customWidth="1"/>
    <col min="3" max="4" width="9" style="5" hidden="1" customWidth="1" outlineLevel="2"/>
    <col min="5" max="5" width="9" style="5" customWidth="1" outlineLevel="1" collapsed="1"/>
    <col min="6" max="6" width="9" style="5" customWidth="1" outlineLevel="1"/>
    <col min="7" max="9" width="9" style="5" bestFit="1" customWidth="1"/>
    <col min="10" max="10" width="1.5" style="5" customWidth="1"/>
    <col min="11" max="14" width="8.875" style="5" hidden="1" customWidth="1" outlineLevel="4"/>
    <col min="15" max="15" width="8.875" style="5" hidden="1" customWidth="1" outlineLevel="3" collapsed="1"/>
    <col min="16" max="18" width="8.875" style="5" hidden="1" customWidth="1" outlineLevel="3"/>
    <col min="19" max="19" width="8.875" style="5" customWidth="1" outlineLevel="2" collapsed="1"/>
    <col min="20" max="22" width="8.875" style="5" customWidth="1" outlineLevel="2"/>
    <col min="23" max="24" width="8.875" style="5" customWidth="1" outlineLevel="1"/>
    <col min="25" max="29" width="8.875" style="5" bestFit="1" customWidth="1"/>
    <col min="30" max="30" width="1.5" style="5" customWidth="1"/>
    <col min="31" max="40" width="8.75" style="5" hidden="1" customWidth="1" outlineLevel="1"/>
    <col min="41" max="41" width="9" style="5" bestFit="1" customWidth="1" collapsed="1"/>
    <col min="42" max="44" width="9" style="5" hidden="1" customWidth="1" outlineLevel="1"/>
    <col min="45" max="45" width="9" style="5" bestFit="1" customWidth="1" collapsed="1"/>
    <col min="46" max="46" width="1.25" style="5" customWidth="1"/>
    <col min="47" max="47" width="8" style="5" bestFit="1" customWidth="1"/>
    <col min="48" max="48" width="1.375" style="5" customWidth="1"/>
    <col min="49" max="16384" width="9" style="5"/>
  </cols>
  <sheetData>
    <row r="2" spans="1:47" ht="12.75" customHeight="1">
      <c r="B2" s="1" t="s">
        <v>126</v>
      </c>
      <c r="C2" s="106"/>
      <c r="D2" s="106"/>
      <c r="E2" s="106"/>
      <c r="F2" s="106"/>
      <c r="G2" s="106"/>
      <c r="H2" s="106"/>
      <c r="I2" s="106"/>
      <c r="J2" s="3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3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3"/>
      <c r="AU2" s="1"/>
    </row>
    <row r="3" spans="1:47" ht="12.75" customHeight="1">
      <c r="B3" s="6" t="s">
        <v>87</v>
      </c>
      <c r="C3" s="7"/>
      <c r="D3" s="7"/>
      <c r="E3" s="7"/>
      <c r="F3" s="7"/>
      <c r="G3" s="7"/>
      <c r="H3" s="7"/>
      <c r="I3" s="7"/>
      <c r="J3" s="3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3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3"/>
      <c r="AU3" s="1"/>
    </row>
    <row r="4" spans="1:47" ht="12.75" customHeight="1">
      <c r="B4" s="6" t="s">
        <v>170</v>
      </c>
      <c r="C4" s="3"/>
      <c r="D4" s="3"/>
      <c r="E4" s="3"/>
      <c r="F4" s="3"/>
      <c r="G4" s="3"/>
      <c r="H4" s="89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1"/>
    </row>
    <row r="6" spans="1:47" ht="12.75" customHeight="1">
      <c r="A6" s="5" t="s">
        <v>19</v>
      </c>
      <c r="B6" s="1" t="s">
        <v>85</v>
      </c>
      <c r="C6" s="2"/>
      <c r="D6" s="2"/>
      <c r="E6" s="2"/>
      <c r="F6" s="2"/>
      <c r="G6" s="2" t="s">
        <v>0</v>
      </c>
      <c r="H6" s="2"/>
      <c r="I6" s="2"/>
      <c r="J6" s="3"/>
      <c r="K6" s="2"/>
      <c r="L6" s="2"/>
      <c r="M6" s="2"/>
      <c r="N6" s="2"/>
      <c r="O6" s="2" t="s">
        <v>1</v>
      </c>
      <c r="P6" s="2"/>
      <c r="Q6" s="2"/>
      <c r="R6" s="2"/>
      <c r="S6" s="2" t="s">
        <v>1</v>
      </c>
      <c r="T6" s="2"/>
      <c r="U6" s="2"/>
      <c r="V6" s="2"/>
      <c r="W6" s="2"/>
      <c r="X6" s="2"/>
      <c r="Y6" s="2" t="s">
        <v>1</v>
      </c>
      <c r="Z6" s="2"/>
      <c r="AA6" s="2"/>
      <c r="AB6" s="2"/>
      <c r="AC6" s="2"/>
      <c r="AD6" s="3"/>
      <c r="AE6" s="2"/>
      <c r="AF6" s="2"/>
      <c r="AG6" s="2"/>
      <c r="AH6" s="2"/>
      <c r="AI6" s="2"/>
      <c r="AJ6" s="2"/>
      <c r="AK6" s="2"/>
      <c r="AL6" s="2"/>
      <c r="AM6" s="2"/>
      <c r="AN6" s="2" t="s">
        <v>10</v>
      </c>
      <c r="AO6" s="2" t="s">
        <v>10</v>
      </c>
      <c r="AP6" s="2"/>
      <c r="AQ6" s="2"/>
      <c r="AR6" s="2"/>
      <c r="AS6" s="2"/>
      <c r="AT6" s="40"/>
      <c r="AU6" s="170" t="s">
        <v>26</v>
      </c>
    </row>
    <row r="7" spans="1:47" ht="12.75" customHeight="1">
      <c r="B7" s="6" t="s">
        <v>88</v>
      </c>
      <c r="C7" s="7">
        <v>2018</v>
      </c>
      <c r="D7" s="7">
        <v>2019</v>
      </c>
      <c r="E7" s="7">
        <v>2020</v>
      </c>
      <c r="F7" s="7">
        <v>2021</v>
      </c>
      <c r="G7" s="7">
        <v>2022</v>
      </c>
      <c r="H7" s="7">
        <v>2023</v>
      </c>
      <c r="I7" s="7">
        <v>2024</v>
      </c>
      <c r="J7" s="3"/>
      <c r="K7" s="4" t="s">
        <v>94</v>
      </c>
      <c r="L7" s="4" t="s">
        <v>95</v>
      </c>
      <c r="M7" s="4" t="s">
        <v>96</v>
      </c>
      <c r="N7" s="4" t="s">
        <v>97</v>
      </c>
      <c r="O7" s="4" t="s">
        <v>28</v>
      </c>
      <c r="P7" s="4" t="s">
        <v>29</v>
      </c>
      <c r="Q7" s="4" t="s">
        <v>30</v>
      </c>
      <c r="R7" s="4" t="s">
        <v>31</v>
      </c>
      <c r="S7" s="4" t="s">
        <v>6</v>
      </c>
      <c r="T7" s="4" t="s">
        <v>7</v>
      </c>
      <c r="U7" s="4" t="s">
        <v>8</v>
      </c>
      <c r="V7" s="4" t="s">
        <v>9</v>
      </c>
      <c r="W7" s="4" t="s">
        <v>2</v>
      </c>
      <c r="X7" s="4" t="s">
        <v>3</v>
      </c>
      <c r="Y7" s="4" t="s">
        <v>4</v>
      </c>
      <c r="Z7" s="4" t="s">
        <v>5</v>
      </c>
      <c r="AA7" s="4" t="s">
        <v>32</v>
      </c>
      <c r="AB7" s="4" t="s">
        <v>33</v>
      </c>
      <c r="AC7" s="4" t="s">
        <v>73</v>
      </c>
      <c r="AD7" s="3"/>
      <c r="AE7" s="4" t="str">
        <f t="shared" ref="AE7:AS8" si="0">O7</f>
        <v>1Q22</v>
      </c>
      <c r="AF7" s="4" t="str">
        <f t="shared" si="0"/>
        <v>2Q22</v>
      </c>
      <c r="AG7" s="4" t="str">
        <f t="shared" si="0"/>
        <v>3Q22</v>
      </c>
      <c r="AH7" s="4" t="str">
        <f t="shared" si="0"/>
        <v>4Q22</v>
      </c>
      <c r="AI7" s="4" t="str">
        <f t="shared" si="0"/>
        <v>1Q23</v>
      </c>
      <c r="AJ7" s="4" t="str">
        <f t="shared" si="0"/>
        <v>2Q23</v>
      </c>
      <c r="AK7" s="4" t="str">
        <f t="shared" si="0"/>
        <v>3Q23</v>
      </c>
      <c r="AL7" s="4" t="str">
        <f t="shared" si="0"/>
        <v>4Q23</v>
      </c>
      <c r="AM7" s="4" t="str">
        <f t="shared" si="0"/>
        <v>1Q24</v>
      </c>
      <c r="AN7" s="4" t="str">
        <f t="shared" si="0"/>
        <v>2Q24</v>
      </c>
      <c r="AO7" s="4" t="str">
        <f t="shared" si="0"/>
        <v>3Q24</v>
      </c>
      <c r="AP7" s="4" t="str">
        <f t="shared" si="0"/>
        <v>4Q24</v>
      </c>
      <c r="AQ7" s="4" t="str">
        <f t="shared" si="0"/>
        <v>1Q25</v>
      </c>
      <c r="AR7" s="4" t="str">
        <f t="shared" si="0"/>
        <v>2Q25</v>
      </c>
      <c r="AS7" s="4" t="str">
        <f t="shared" si="0"/>
        <v>3Q25</v>
      </c>
      <c r="AT7" s="40"/>
      <c r="AU7" s="170"/>
    </row>
    <row r="8" spans="1:47" ht="12.75" customHeight="1">
      <c r="B8" s="6" t="s">
        <v>89</v>
      </c>
      <c r="C8" s="3">
        <v>43465</v>
      </c>
      <c r="D8" s="3">
        <v>43830</v>
      </c>
      <c r="E8" s="3">
        <v>44196</v>
      </c>
      <c r="F8" s="3">
        <v>44561</v>
      </c>
      <c r="G8" s="3">
        <v>44926</v>
      </c>
      <c r="H8" s="89">
        <v>45291</v>
      </c>
      <c r="I8" s="3">
        <v>45657</v>
      </c>
      <c r="J8" s="3"/>
      <c r="K8" s="3">
        <v>44286</v>
      </c>
      <c r="L8" s="3">
        <v>44377</v>
      </c>
      <c r="M8" s="3">
        <v>44469</v>
      </c>
      <c r="N8" s="3">
        <f>F8</f>
        <v>44561</v>
      </c>
      <c r="O8" s="3">
        <v>44651</v>
      </c>
      <c r="P8" s="3">
        <v>44742</v>
      </c>
      <c r="Q8" s="3">
        <v>44834</v>
      </c>
      <c r="R8" s="3">
        <f>G8</f>
        <v>44926</v>
      </c>
      <c r="S8" s="3">
        <v>45016</v>
      </c>
      <c r="T8" s="3">
        <v>45107</v>
      </c>
      <c r="U8" s="3">
        <v>45199</v>
      </c>
      <c r="V8" s="3">
        <f>H8</f>
        <v>45291</v>
      </c>
      <c r="W8" s="3">
        <v>45382</v>
      </c>
      <c r="X8" s="3">
        <v>45473</v>
      </c>
      <c r="Y8" s="3">
        <v>45565</v>
      </c>
      <c r="Z8" s="3">
        <f>I8</f>
        <v>45657</v>
      </c>
      <c r="AA8" s="3">
        <v>45747</v>
      </c>
      <c r="AB8" s="3">
        <v>45838</v>
      </c>
      <c r="AC8" s="3">
        <v>45930</v>
      </c>
      <c r="AD8" s="3"/>
      <c r="AE8" s="3">
        <f t="shared" si="0"/>
        <v>44651</v>
      </c>
      <c r="AF8" s="3">
        <f t="shared" si="0"/>
        <v>44742</v>
      </c>
      <c r="AG8" s="3">
        <f t="shared" si="0"/>
        <v>44834</v>
      </c>
      <c r="AH8" s="3">
        <f t="shared" si="0"/>
        <v>44926</v>
      </c>
      <c r="AI8" s="3">
        <f t="shared" si="0"/>
        <v>45016</v>
      </c>
      <c r="AJ8" s="3">
        <f t="shared" si="0"/>
        <v>45107</v>
      </c>
      <c r="AK8" s="3">
        <f t="shared" si="0"/>
        <v>45199</v>
      </c>
      <c r="AL8" s="3">
        <f t="shared" si="0"/>
        <v>45291</v>
      </c>
      <c r="AM8" s="3">
        <f t="shared" si="0"/>
        <v>45382</v>
      </c>
      <c r="AN8" s="3">
        <f t="shared" si="0"/>
        <v>45473</v>
      </c>
      <c r="AO8" s="3">
        <f t="shared" si="0"/>
        <v>45565</v>
      </c>
      <c r="AP8" s="3">
        <f t="shared" si="0"/>
        <v>45657</v>
      </c>
      <c r="AQ8" s="3">
        <f t="shared" si="0"/>
        <v>45747</v>
      </c>
      <c r="AR8" s="3">
        <f t="shared" si="0"/>
        <v>45838</v>
      </c>
      <c r="AS8" s="3">
        <f t="shared" si="0"/>
        <v>45930</v>
      </c>
      <c r="AT8" s="40"/>
      <c r="AU8" s="170"/>
    </row>
    <row r="9" spans="1:47" ht="5.0999999999999996" customHeight="1">
      <c r="AU9" s="105"/>
    </row>
    <row r="10" spans="1:47" ht="12.75" customHeight="1">
      <c r="B10" s="9" t="s">
        <v>67</v>
      </c>
      <c r="C10" s="100">
        <v>15794341</v>
      </c>
      <c r="D10" s="100">
        <v>20156447</v>
      </c>
      <c r="E10" s="100">
        <v>24996056</v>
      </c>
      <c r="F10" s="100">
        <v>29697844</v>
      </c>
      <c r="G10" s="100">
        <v>31615550</v>
      </c>
      <c r="H10" s="100">
        <v>33723297</v>
      </c>
      <c r="I10" s="100">
        <v>39000966</v>
      </c>
      <c r="J10" s="11"/>
      <c r="K10" s="100">
        <v>7163282</v>
      </c>
      <c r="L10" s="100">
        <v>7341777</v>
      </c>
      <c r="M10" s="100">
        <v>7483467</v>
      </c>
      <c r="N10" s="33">
        <f>SUM(F10-SUM(K10:M10))</f>
        <v>7709318</v>
      </c>
      <c r="O10" s="100">
        <v>7867767</v>
      </c>
      <c r="P10" s="100">
        <v>7970141</v>
      </c>
      <c r="Q10" s="100">
        <v>7925589</v>
      </c>
      <c r="R10" s="33">
        <f>SUM(G10-SUM(O10:Q10))</f>
        <v>7852053</v>
      </c>
      <c r="S10" s="100">
        <v>8161503</v>
      </c>
      <c r="T10" s="100">
        <v>8187301</v>
      </c>
      <c r="U10" s="100">
        <v>8541668</v>
      </c>
      <c r="V10" s="33">
        <f>SUM(H10-SUM(S10:U10))</f>
        <v>8832825</v>
      </c>
      <c r="W10" s="100">
        <v>9370440</v>
      </c>
      <c r="X10" s="100">
        <v>9559310</v>
      </c>
      <c r="Y10" s="100">
        <v>9824703</v>
      </c>
      <c r="Z10" s="33">
        <f>SUM(I10-SUM(W10:Y10))</f>
        <v>10246513</v>
      </c>
      <c r="AA10" s="86">
        <v>10542801</v>
      </c>
      <c r="AB10" s="86">
        <v>11079166</v>
      </c>
      <c r="AC10" s="86">
        <v>11510307</v>
      </c>
      <c r="AE10" s="33">
        <f t="shared" ref="AE10:AS10" si="1">SUM(L10:O10)</f>
        <v>30402329</v>
      </c>
      <c r="AF10" s="33">
        <f t="shared" si="1"/>
        <v>31030693</v>
      </c>
      <c r="AG10" s="33">
        <f t="shared" si="1"/>
        <v>31472815</v>
      </c>
      <c r="AH10" s="33">
        <f t="shared" si="1"/>
        <v>31615550</v>
      </c>
      <c r="AI10" s="33">
        <f t="shared" si="1"/>
        <v>31909286</v>
      </c>
      <c r="AJ10" s="33">
        <f t="shared" si="1"/>
        <v>32126446</v>
      </c>
      <c r="AK10" s="33">
        <f t="shared" si="1"/>
        <v>32742525</v>
      </c>
      <c r="AL10" s="33">
        <f t="shared" si="1"/>
        <v>33723297</v>
      </c>
      <c r="AM10" s="33">
        <f t="shared" si="1"/>
        <v>34932234</v>
      </c>
      <c r="AN10" s="33">
        <f t="shared" si="1"/>
        <v>36304243</v>
      </c>
      <c r="AO10" s="33">
        <f t="shared" si="1"/>
        <v>37587278</v>
      </c>
      <c r="AP10" s="33">
        <f t="shared" si="1"/>
        <v>39000966</v>
      </c>
      <c r="AQ10" s="33">
        <f t="shared" si="1"/>
        <v>40173327</v>
      </c>
      <c r="AR10" s="33">
        <f t="shared" si="1"/>
        <v>41693183</v>
      </c>
      <c r="AS10" s="33">
        <f t="shared" si="1"/>
        <v>43378787</v>
      </c>
      <c r="AT10" s="42"/>
      <c r="AU10" s="12">
        <f>SUM(AS10/AO10)-1</f>
        <v>0.15408162836372452</v>
      </c>
    </row>
    <row r="11" spans="1:47" ht="12.75" customHeight="1">
      <c r="B11" s="13" t="s">
        <v>12</v>
      </c>
      <c r="C11" s="14">
        <f t="shared" ref="C11:I11" si="2">+SUM(C10:C10)</f>
        <v>15794341</v>
      </c>
      <c r="D11" s="14">
        <f t="shared" si="2"/>
        <v>20156447</v>
      </c>
      <c r="E11" s="14">
        <f t="shared" si="2"/>
        <v>24996056</v>
      </c>
      <c r="F11" s="14">
        <f t="shared" si="2"/>
        <v>29697844</v>
      </c>
      <c r="G11" s="14">
        <f t="shared" si="2"/>
        <v>31615550</v>
      </c>
      <c r="H11" s="14">
        <f t="shared" si="2"/>
        <v>33723297</v>
      </c>
      <c r="I11" s="14">
        <f t="shared" si="2"/>
        <v>39000966</v>
      </c>
      <c r="J11" s="11"/>
      <c r="K11" s="14">
        <f t="shared" ref="K11:AB11" si="3">+SUM(K10:K10)</f>
        <v>7163282</v>
      </c>
      <c r="L11" s="14">
        <f t="shared" si="3"/>
        <v>7341777</v>
      </c>
      <c r="M11" s="14">
        <f t="shared" si="3"/>
        <v>7483467</v>
      </c>
      <c r="N11" s="14">
        <f t="shared" si="3"/>
        <v>7709318</v>
      </c>
      <c r="O11" s="14">
        <f t="shared" si="3"/>
        <v>7867767</v>
      </c>
      <c r="P11" s="14">
        <f t="shared" si="3"/>
        <v>7970141</v>
      </c>
      <c r="Q11" s="14">
        <f t="shared" si="3"/>
        <v>7925589</v>
      </c>
      <c r="R11" s="14">
        <f t="shared" si="3"/>
        <v>7852053</v>
      </c>
      <c r="S11" s="14">
        <f t="shared" si="3"/>
        <v>8161503</v>
      </c>
      <c r="T11" s="14">
        <f t="shared" si="3"/>
        <v>8187301</v>
      </c>
      <c r="U11" s="14">
        <f t="shared" si="3"/>
        <v>8541668</v>
      </c>
      <c r="V11" s="14">
        <f t="shared" si="3"/>
        <v>8832825</v>
      </c>
      <c r="W11" s="14">
        <f t="shared" si="3"/>
        <v>9370440</v>
      </c>
      <c r="X11" s="14">
        <f t="shared" si="3"/>
        <v>9559310</v>
      </c>
      <c r="Y11" s="14">
        <f t="shared" si="3"/>
        <v>9824703</v>
      </c>
      <c r="Z11" s="14">
        <f t="shared" si="3"/>
        <v>10246513</v>
      </c>
      <c r="AA11" s="14">
        <f t="shared" si="3"/>
        <v>10542801</v>
      </c>
      <c r="AB11" s="14">
        <f t="shared" si="3"/>
        <v>11079166</v>
      </c>
      <c r="AC11" s="14">
        <f>+SUM(AC10:AC10)</f>
        <v>11510307</v>
      </c>
      <c r="AE11" s="14">
        <f t="shared" ref="AE11:AG11" si="4">+SUM(AE10:AE10)</f>
        <v>30402329</v>
      </c>
      <c r="AF11" s="14">
        <f t="shared" si="4"/>
        <v>31030693</v>
      </c>
      <c r="AG11" s="14">
        <f t="shared" si="4"/>
        <v>31472815</v>
      </c>
      <c r="AH11" s="14">
        <f t="shared" ref="AH11:AR11" si="5">+SUM(AH10:AH10)</f>
        <v>31615550</v>
      </c>
      <c r="AI11" s="14">
        <f t="shared" si="5"/>
        <v>31909286</v>
      </c>
      <c r="AJ11" s="14">
        <f t="shared" si="5"/>
        <v>32126446</v>
      </c>
      <c r="AK11" s="14">
        <f t="shared" si="5"/>
        <v>32742525</v>
      </c>
      <c r="AL11" s="14">
        <f t="shared" si="5"/>
        <v>33723297</v>
      </c>
      <c r="AM11" s="14">
        <f t="shared" si="5"/>
        <v>34932234</v>
      </c>
      <c r="AN11" s="14">
        <f t="shared" si="5"/>
        <v>36304243</v>
      </c>
      <c r="AO11" s="14">
        <f t="shared" si="5"/>
        <v>37587278</v>
      </c>
      <c r="AP11" s="14">
        <f t="shared" si="5"/>
        <v>39000966</v>
      </c>
      <c r="AQ11" s="14">
        <f t="shared" si="5"/>
        <v>40173327</v>
      </c>
      <c r="AR11" s="14">
        <f t="shared" si="5"/>
        <v>41693183</v>
      </c>
      <c r="AS11" s="14">
        <f>+SUM(AS10:AS10)</f>
        <v>43378787</v>
      </c>
      <c r="AT11" s="42"/>
      <c r="AU11" s="15">
        <f>SUM(AS11/AO11)-1</f>
        <v>0.15408162836372452</v>
      </c>
    </row>
    <row r="12" spans="1:47" s="21" customFormat="1" ht="5.0999999999999996" customHeight="1">
      <c r="B12" s="19"/>
      <c r="C12" s="20"/>
      <c r="D12" s="20"/>
      <c r="E12" s="20"/>
      <c r="F12" s="20"/>
      <c r="G12" s="20"/>
      <c r="H12" s="20"/>
      <c r="I12" s="20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3"/>
      <c r="AB12" s="22"/>
      <c r="AC12" s="22"/>
      <c r="AU12" s="79"/>
    </row>
    <row r="13" spans="1:47" ht="12.75" customHeight="1">
      <c r="B13" s="9" t="s">
        <v>146</v>
      </c>
      <c r="C13" s="86">
        <v>-7532088</v>
      </c>
      <c r="D13" s="86">
        <v>-9216247</v>
      </c>
      <c r="E13" s="86">
        <v>-10806912</v>
      </c>
      <c r="F13" s="86">
        <v>-12230367</v>
      </c>
      <c r="G13" s="86">
        <v>-14026132</v>
      </c>
      <c r="H13" s="86">
        <v>-14197437</v>
      </c>
      <c r="I13" s="86">
        <v>-15301517</v>
      </c>
      <c r="J13" s="25"/>
      <c r="K13" s="86">
        <v>-2719196</v>
      </c>
      <c r="L13" s="86">
        <v>-2806803</v>
      </c>
      <c r="M13" s="86">
        <v>-2963051</v>
      </c>
      <c r="N13" s="33">
        <f>SUM(F13-SUM(K13:M13))</f>
        <v>-3741317</v>
      </c>
      <c r="O13" s="86">
        <v>-3166365</v>
      </c>
      <c r="P13" s="86">
        <v>-3261348</v>
      </c>
      <c r="Q13" s="86">
        <v>-3653592</v>
      </c>
      <c r="R13" s="33">
        <f>SUM(G13-SUM(O13:Q13))</f>
        <v>-3944827</v>
      </c>
      <c r="S13" s="86">
        <v>-3459984</v>
      </c>
      <c r="T13" s="86">
        <v>-3410021</v>
      </c>
      <c r="U13" s="86">
        <v>-3573353</v>
      </c>
      <c r="V13" s="33">
        <f>SUM(H13-SUM(S13:U13))</f>
        <v>-3754079</v>
      </c>
      <c r="W13" s="86">
        <v>-3670805</v>
      </c>
      <c r="X13" s="86">
        <v>-3769690</v>
      </c>
      <c r="Y13" s="86">
        <v>-3699521</v>
      </c>
      <c r="Z13" s="33">
        <f>SUM(I13-SUM(W13:Y13))</f>
        <v>-4161501</v>
      </c>
      <c r="AA13" s="86">
        <v>-3823112</v>
      </c>
      <c r="AB13" s="86">
        <v>-3832074</v>
      </c>
      <c r="AC13" s="86">
        <v>-4002744</v>
      </c>
      <c r="AE13" s="33">
        <f t="shared" ref="AE13:AE15" si="6">SUM(L13:O13)</f>
        <v>-12677536</v>
      </c>
      <c r="AF13" s="33">
        <f t="shared" ref="AF13:AF15" si="7">SUM(M13:P13)</f>
        <v>-13132081</v>
      </c>
      <c r="AG13" s="33">
        <f t="shared" ref="AG13:AG15" si="8">SUM(N13:Q13)</f>
        <v>-13822622</v>
      </c>
      <c r="AH13" s="33">
        <f t="shared" ref="AH13:AH15" si="9">SUM(O13:R13)</f>
        <v>-14026132</v>
      </c>
      <c r="AI13" s="33">
        <f t="shared" ref="AI13:AI15" si="10">SUM(P13:S13)</f>
        <v>-14319751</v>
      </c>
      <c r="AJ13" s="33">
        <f t="shared" ref="AJ13:AJ15" si="11">SUM(Q13:T13)</f>
        <v>-14468424</v>
      </c>
      <c r="AK13" s="33">
        <f t="shared" ref="AK13:AK15" si="12">SUM(R13:U13)</f>
        <v>-14388185</v>
      </c>
      <c r="AL13" s="33">
        <f t="shared" ref="AL13:AL15" si="13">SUM(S13:V13)</f>
        <v>-14197437</v>
      </c>
      <c r="AM13" s="33">
        <f t="shared" ref="AM13:AM15" si="14">SUM(T13:W13)</f>
        <v>-14408258</v>
      </c>
      <c r="AN13" s="33">
        <f t="shared" ref="AN13:AN15" si="15">SUM(U13:X13)</f>
        <v>-14767927</v>
      </c>
      <c r="AO13" s="33">
        <f t="shared" ref="AO13:AO15" si="16">SUM(V13:Y13)</f>
        <v>-14894095</v>
      </c>
      <c r="AP13" s="33">
        <f t="shared" ref="AP13:AP15" si="17">SUM(W13:Z13)</f>
        <v>-15301517</v>
      </c>
      <c r="AQ13" s="33">
        <f t="shared" ref="AQ13:AQ15" si="18">SUM(X13:AA13)</f>
        <v>-15453824</v>
      </c>
      <c r="AR13" s="33">
        <f t="shared" ref="AR13:AR15" si="19">SUM(Y13:AB13)</f>
        <v>-15516208</v>
      </c>
      <c r="AS13" s="33">
        <f>SUM(Z13:AC13)</f>
        <v>-15819431</v>
      </c>
      <c r="AT13" s="11"/>
      <c r="AU13" s="12">
        <f t="shared" ref="AU13:AU15" si="20">SUM(AS13/AO13)-1</f>
        <v>6.2127709001453368E-2</v>
      </c>
    </row>
    <row r="14" spans="1:47" ht="12.75" customHeight="1">
      <c r="B14" s="9" t="s">
        <v>160</v>
      </c>
      <c r="C14" s="33">
        <f>+C15-C13</f>
        <v>-2435450</v>
      </c>
      <c r="D14" s="33">
        <f t="shared" ref="D14:K14" si="21">+D15-D13</f>
        <v>-3223966</v>
      </c>
      <c r="E14" s="33">
        <f t="shared" si="21"/>
        <v>-4469407</v>
      </c>
      <c r="F14" s="33">
        <f t="shared" si="21"/>
        <v>-5102316</v>
      </c>
      <c r="G14" s="33">
        <f t="shared" si="21"/>
        <v>-5142153</v>
      </c>
      <c r="H14" s="33">
        <f t="shared" si="21"/>
        <v>-5517931</v>
      </c>
      <c r="I14" s="33">
        <f t="shared" si="21"/>
        <v>-5736947</v>
      </c>
      <c r="J14" s="25"/>
      <c r="K14" s="33">
        <f t="shared" si="21"/>
        <v>-1149315</v>
      </c>
      <c r="L14" s="33">
        <f t="shared" ref="L14" si="22">+L15-L13</f>
        <v>-1211205</v>
      </c>
      <c r="M14" s="33">
        <f t="shared" ref="M14" si="23">+M15-M13</f>
        <v>-1243538</v>
      </c>
      <c r="N14" s="160">
        <f>SUM(F14-SUM(K14:M14))</f>
        <v>-1498258</v>
      </c>
      <c r="O14" s="33">
        <f t="shared" ref="O14" si="24">+O15-O13</f>
        <v>-1118340</v>
      </c>
      <c r="P14" s="33">
        <f t="shared" ref="P14" si="25">+P15-P13</f>
        <v>-1429407</v>
      </c>
      <c r="Q14" s="33">
        <f t="shared" ref="Q14" si="26">+Q15-Q13</f>
        <v>-1135073</v>
      </c>
      <c r="R14" s="33">
        <f t="shared" ref="R14" si="27">+R15-R13</f>
        <v>-1459333</v>
      </c>
      <c r="S14" s="33">
        <f t="shared" ref="S14" si="28">+S15-S13</f>
        <v>-1343641</v>
      </c>
      <c r="T14" s="33">
        <f t="shared" ref="T14" si="29">+T15-T13</f>
        <v>-1263449</v>
      </c>
      <c r="U14" s="33">
        <f t="shared" ref="U14" si="30">+U15-U13</f>
        <v>-1357435</v>
      </c>
      <c r="V14" s="33">
        <f t="shared" ref="V14" si="31">+V15-V13</f>
        <v>-1553406</v>
      </c>
      <c r="W14" s="33">
        <f t="shared" ref="W14" si="32">+W15-W13</f>
        <v>-1306268</v>
      </c>
      <c r="X14" s="33">
        <f t="shared" ref="X14" si="33">+X15-X13</f>
        <v>-1404453</v>
      </c>
      <c r="Y14" s="33">
        <f t="shared" ref="Y14" si="34">+Y15-Y13</f>
        <v>-1420363</v>
      </c>
      <c r="Z14" s="33">
        <f t="shared" ref="Z14" si="35">+Z15-Z13</f>
        <v>-1605863</v>
      </c>
      <c r="AA14" s="33">
        <f t="shared" ref="AA14" si="36">+AA15-AA13</f>
        <v>-1440035</v>
      </c>
      <c r="AB14" s="33">
        <f t="shared" ref="AB14" si="37">+AB15-AB13</f>
        <v>-1493237</v>
      </c>
      <c r="AC14" s="33">
        <f t="shared" ref="AC14" si="38">+AC15-AC13</f>
        <v>-2161506</v>
      </c>
      <c r="AE14" s="33">
        <f t="shared" si="6"/>
        <v>-5071341</v>
      </c>
      <c r="AF14" s="33">
        <f t="shared" si="7"/>
        <v>-5289543</v>
      </c>
      <c r="AG14" s="33">
        <f t="shared" si="8"/>
        <v>-5181078</v>
      </c>
      <c r="AH14" s="33">
        <f t="shared" si="9"/>
        <v>-5142153</v>
      </c>
      <c r="AI14" s="33">
        <f t="shared" si="10"/>
        <v>-5367454</v>
      </c>
      <c r="AJ14" s="33">
        <f t="shared" si="11"/>
        <v>-5201496</v>
      </c>
      <c r="AK14" s="33">
        <f t="shared" si="12"/>
        <v>-5423858</v>
      </c>
      <c r="AL14" s="33">
        <f t="shared" si="13"/>
        <v>-5517931</v>
      </c>
      <c r="AM14" s="33">
        <f t="shared" si="14"/>
        <v>-5480558</v>
      </c>
      <c r="AN14" s="33">
        <f t="shared" si="15"/>
        <v>-5621562</v>
      </c>
      <c r="AO14" s="33">
        <f t="shared" si="16"/>
        <v>-5684490</v>
      </c>
      <c r="AP14" s="33">
        <f t="shared" si="17"/>
        <v>-5736947</v>
      </c>
      <c r="AQ14" s="33">
        <f t="shared" si="18"/>
        <v>-5870714</v>
      </c>
      <c r="AR14" s="33">
        <f t="shared" si="19"/>
        <v>-5959498</v>
      </c>
      <c r="AS14" s="33">
        <f>SUM(Z14:AC14)</f>
        <v>-6700641</v>
      </c>
      <c r="AT14" s="11"/>
      <c r="AU14" s="12">
        <f t="shared" si="20"/>
        <v>0.1787585165951564</v>
      </c>
    </row>
    <row r="15" spans="1:47" ht="12.75" customHeight="1" outlineLevel="1">
      <c r="B15" s="161" t="s">
        <v>161</v>
      </c>
      <c r="C15" s="159">
        <v>-9967538</v>
      </c>
      <c r="D15" s="159">
        <v>-12440213</v>
      </c>
      <c r="E15" s="159">
        <v>-15276319</v>
      </c>
      <c r="F15" s="159">
        <v>-17332683</v>
      </c>
      <c r="G15" s="159">
        <v>-19168285</v>
      </c>
      <c r="H15" s="159">
        <v>-19715368</v>
      </c>
      <c r="I15" s="159">
        <v>-21038464</v>
      </c>
      <c r="J15" s="25"/>
      <c r="K15" s="159">
        <v>-3868511</v>
      </c>
      <c r="L15" s="159">
        <v>-4018008</v>
      </c>
      <c r="M15" s="159">
        <v>-4206589</v>
      </c>
      <c r="N15" s="160">
        <f>SUM(F15-SUM(K15:M15))</f>
        <v>-5239575</v>
      </c>
      <c r="O15" s="159">
        <v>-4284705</v>
      </c>
      <c r="P15" s="159">
        <v>-4690755</v>
      </c>
      <c r="Q15" s="159">
        <v>-4788665</v>
      </c>
      <c r="R15" s="160">
        <f>SUM(G15-SUM(O15:Q15))</f>
        <v>-5404160</v>
      </c>
      <c r="S15" s="159">
        <v>-4803625</v>
      </c>
      <c r="T15" s="159">
        <v>-4673470</v>
      </c>
      <c r="U15" s="159">
        <v>-4930788</v>
      </c>
      <c r="V15" s="160">
        <f>SUM(H15-SUM(S15:U15))</f>
        <v>-5307485</v>
      </c>
      <c r="W15" s="159">
        <v>-4977073</v>
      </c>
      <c r="X15" s="159">
        <v>-5174143</v>
      </c>
      <c r="Y15" s="159">
        <v>-5119884</v>
      </c>
      <c r="Z15" s="160">
        <f>SUM(I15-SUM(W15:Y15))</f>
        <v>-5767364</v>
      </c>
      <c r="AA15" s="159">
        <v>-5263147</v>
      </c>
      <c r="AB15" s="159">
        <v>-5325311</v>
      </c>
      <c r="AC15" s="159">
        <v>-6164250</v>
      </c>
      <c r="AE15" s="33">
        <f t="shared" si="6"/>
        <v>-17748877</v>
      </c>
      <c r="AF15" s="33">
        <f t="shared" si="7"/>
        <v>-18421624</v>
      </c>
      <c r="AG15" s="33">
        <f t="shared" si="8"/>
        <v>-19003700</v>
      </c>
      <c r="AH15" s="33">
        <f t="shared" si="9"/>
        <v>-19168285</v>
      </c>
      <c r="AI15" s="33">
        <f t="shared" si="10"/>
        <v>-19687205</v>
      </c>
      <c r="AJ15" s="33">
        <f t="shared" si="11"/>
        <v>-19669920</v>
      </c>
      <c r="AK15" s="33">
        <f t="shared" si="12"/>
        <v>-19812043</v>
      </c>
      <c r="AL15" s="33">
        <f t="shared" si="13"/>
        <v>-19715368</v>
      </c>
      <c r="AM15" s="33">
        <f t="shared" si="14"/>
        <v>-19888816</v>
      </c>
      <c r="AN15" s="33">
        <f t="shared" si="15"/>
        <v>-20389489</v>
      </c>
      <c r="AO15" s="33">
        <f t="shared" si="16"/>
        <v>-20578585</v>
      </c>
      <c r="AP15" s="33">
        <f t="shared" si="17"/>
        <v>-21038464</v>
      </c>
      <c r="AQ15" s="33">
        <f t="shared" si="18"/>
        <v>-21324538</v>
      </c>
      <c r="AR15" s="33">
        <f t="shared" si="19"/>
        <v>-21475706</v>
      </c>
      <c r="AS15" s="33">
        <f>SUM(Z15:AC15)</f>
        <v>-22520072</v>
      </c>
      <c r="AT15" s="11"/>
      <c r="AU15" s="12">
        <f t="shared" si="20"/>
        <v>9.4345019348998083E-2</v>
      </c>
    </row>
    <row r="16" spans="1:47" ht="12.75" customHeight="1">
      <c r="B16" s="26" t="s">
        <v>24</v>
      </c>
      <c r="C16" s="27">
        <f>+SUM(C11+SUM(C13:C14))</f>
        <v>5826803</v>
      </c>
      <c r="D16" s="27">
        <f t="shared" ref="D16:AS16" si="39">+SUM(D11+SUM(D13:D14))</f>
        <v>7716234</v>
      </c>
      <c r="E16" s="27">
        <f t="shared" si="39"/>
        <v>9719737</v>
      </c>
      <c r="F16" s="27">
        <f t="shared" si="39"/>
        <v>12365161</v>
      </c>
      <c r="G16" s="27">
        <f t="shared" si="39"/>
        <v>12447265</v>
      </c>
      <c r="H16" s="27">
        <f t="shared" si="39"/>
        <v>14007929</v>
      </c>
      <c r="I16" s="27">
        <f t="shared" si="39"/>
        <v>17962502</v>
      </c>
      <c r="K16" s="27">
        <f t="shared" si="39"/>
        <v>3294771</v>
      </c>
      <c r="L16" s="27">
        <f t="shared" si="39"/>
        <v>3323769</v>
      </c>
      <c r="M16" s="27">
        <f t="shared" si="39"/>
        <v>3276878</v>
      </c>
      <c r="N16" s="27">
        <f t="shared" si="39"/>
        <v>2469743</v>
      </c>
      <c r="O16" s="27">
        <f t="shared" si="39"/>
        <v>3583062</v>
      </c>
      <c r="P16" s="27">
        <f t="shared" si="39"/>
        <v>3279386</v>
      </c>
      <c r="Q16" s="27">
        <f t="shared" si="39"/>
        <v>3136924</v>
      </c>
      <c r="R16" s="27">
        <f t="shared" si="39"/>
        <v>2447893</v>
      </c>
      <c r="S16" s="27">
        <f t="shared" si="39"/>
        <v>3357878</v>
      </c>
      <c r="T16" s="27">
        <f t="shared" si="39"/>
        <v>3513831</v>
      </c>
      <c r="U16" s="27">
        <f t="shared" si="39"/>
        <v>3610880</v>
      </c>
      <c r="V16" s="27">
        <f t="shared" si="39"/>
        <v>3525340</v>
      </c>
      <c r="W16" s="27">
        <f t="shared" si="39"/>
        <v>4393367</v>
      </c>
      <c r="X16" s="27">
        <f t="shared" si="39"/>
        <v>4385167</v>
      </c>
      <c r="Y16" s="27">
        <f t="shared" si="39"/>
        <v>4704819</v>
      </c>
      <c r="Z16" s="27">
        <f t="shared" si="39"/>
        <v>4479149</v>
      </c>
      <c r="AA16" s="27">
        <f t="shared" si="39"/>
        <v>5279654</v>
      </c>
      <c r="AB16" s="27">
        <f t="shared" si="39"/>
        <v>5753855</v>
      </c>
      <c r="AC16" s="27">
        <f t="shared" si="39"/>
        <v>5346057</v>
      </c>
      <c r="AE16" s="27">
        <f t="shared" si="39"/>
        <v>12653452</v>
      </c>
      <c r="AF16" s="27">
        <f t="shared" si="39"/>
        <v>12609069</v>
      </c>
      <c r="AG16" s="27">
        <f t="shared" si="39"/>
        <v>12469115</v>
      </c>
      <c r="AH16" s="27">
        <f t="shared" si="39"/>
        <v>12447265</v>
      </c>
      <c r="AI16" s="27">
        <f t="shared" si="39"/>
        <v>12222081</v>
      </c>
      <c r="AJ16" s="27">
        <f t="shared" si="39"/>
        <v>12456526</v>
      </c>
      <c r="AK16" s="27">
        <f t="shared" si="39"/>
        <v>12930482</v>
      </c>
      <c r="AL16" s="27">
        <f t="shared" si="39"/>
        <v>14007929</v>
      </c>
      <c r="AM16" s="27">
        <f t="shared" si="39"/>
        <v>15043418</v>
      </c>
      <c r="AN16" s="27">
        <f t="shared" si="39"/>
        <v>15914754</v>
      </c>
      <c r="AO16" s="27">
        <f t="shared" si="39"/>
        <v>17008693</v>
      </c>
      <c r="AP16" s="27">
        <f t="shared" si="39"/>
        <v>17962502</v>
      </c>
      <c r="AQ16" s="27">
        <f t="shared" si="39"/>
        <v>18848789</v>
      </c>
      <c r="AR16" s="27">
        <f t="shared" si="39"/>
        <v>20217477</v>
      </c>
      <c r="AS16" s="27">
        <f t="shared" si="39"/>
        <v>20858715</v>
      </c>
      <c r="AT16" s="44"/>
      <c r="AU16" s="80">
        <f>SUM(AS16/AO16)-1</f>
        <v>0.22635613447782266</v>
      </c>
    </row>
    <row r="17" spans="2:47" ht="12.75" customHeight="1">
      <c r="B17" s="16" t="s">
        <v>37</v>
      </c>
      <c r="C17" s="18">
        <f t="shared" ref="C17:I17" si="40">C16/C11</f>
        <v>0.36891713304151152</v>
      </c>
      <c r="D17" s="18">
        <f t="shared" si="40"/>
        <v>0.38281717010939476</v>
      </c>
      <c r="E17" s="18">
        <f t="shared" si="40"/>
        <v>0.38885082510616875</v>
      </c>
      <c r="F17" s="18">
        <f t="shared" si="40"/>
        <v>0.41636561226464791</v>
      </c>
      <c r="G17" s="18">
        <f t="shared" si="40"/>
        <v>0.39370705238403253</v>
      </c>
      <c r="H17" s="18">
        <f t="shared" si="40"/>
        <v>0.41537839553469519</v>
      </c>
      <c r="I17" s="18">
        <f t="shared" si="40"/>
        <v>0.46056556650417324</v>
      </c>
      <c r="J17" s="28"/>
      <c r="K17" s="18">
        <f t="shared" ref="K17:AC17" si="41">K16/K11</f>
        <v>0.4599527144121926</v>
      </c>
      <c r="L17" s="18">
        <f t="shared" si="41"/>
        <v>0.45271996139354276</v>
      </c>
      <c r="M17" s="18">
        <f t="shared" si="41"/>
        <v>0.43788233448480496</v>
      </c>
      <c r="N17" s="18">
        <f t="shared" si="41"/>
        <v>0.32035816916619603</v>
      </c>
      <c r="O17" s="18">
        <f t="shared" si="41"/>
        <v>0.45541028350229484</v>
      </c>
      <c r="P17" s="18">
        <f t="shared" si="41"/>
        <v>0.41145896917005609</v>
      </c>
      <c r="Q17" s="18">
        <f t="shared" si="41"/>
        <v>0.39579695591078468</v>
      </c>
      <c r="R17" s="18">
        <f t="shared" si="41"/>
        <v>0.3117519711087024</v>
      </c>
      <c r="S17" s="18">
        <f t="shared" si="41"/>
        <v>0.41142887529417072</v>
      </c>
      <c r="T17" s="18">
        <f t="shared" si="41"/>
        <v>0.42918062985591954</v>
      </c>
      <c r="U17" s="18">
        <f t="shared" si="41"/>
        <v>0.42273710474347631</v>
      </c>
      <c r="V17" s="18">
        <f t="shared" si="41"/>
        <v>0.39911806245453746</v>
      </c>
      <c r="W17" s="18">
        <f t="shared" si="41"/>
        <v>0.46885386385271127</v>
      </c>
      <c r="X17" s="18">
        <f t="shared" si="41"/>
        <v>0.45873258634775943</v>
      </c>
      <c r="Y17" s="18">
        <f t="shared" si="41"/>
        <v>0.47887646069301026</v>
      </c>
      <c r="Z17" s="18">
        <f t="shared" si="41"/>
        <v>0.43713885884885911</v>
      </c>
      <c r="AA17" s="18">
        <f t="shared" si="41"/>
        <v>0.50078285647239285</v>
      </c>
      <c r="AB17" s="18">
        <f t="shared" si="41"/>
        <v>0.51934008390162223</v>
      </c>
      <c r="AC17" s="18">
        <f t="shared" si="41"/>
        <v>0.46445824598770474</v>
      </c>
      <c r="AD17" s="29"/>
      <c r="AE17" s="18">
        <f t="shared" ref="AE17:AS17" si="42">AE16/AE11</f>
        <v>0.41620008782879758</v>
      </c>
      <c r="AF17" s="18">
        <f t="shared" si="42"/>
        <v>0.40634184354181196</v>
      </c>
      <c r="AG17" s="18">
        <f t="shared" si="42"/>
        <v>0.39618683616320943</v>
      </c>
      <c r="AH17" s="18">
        <f t="shared" si="42"/>
        <v>0.39370705238403253</v>
      </c>
      <c r="AI17" s="18">
        <f t="shared" si="42"/>
        <v>0.38302583768248527</v>
      </c>
      <c r="AJ17" s="18">
        <f t="shared" si="42"/>
        <v>0.38773432953025677</v>
      </c>
      <c r="AK17" s="18">
        <f t="shared" si="42"/>
        <v>0.39491401472549842</v>
      </c>
      <c r="AL17" s="18">
        <f t="shared" si="42"/>
        <v>0.41537839553469519</v>
      </c>
      <c r="AM17" s="18">
        <f t="shared" si="42"/>
        <v>0.43064574684802581</v>
      </c>
      <c r="AN17" s="18">
        <f t="shared" si="42"/>
        <v>0.43837173522665107</v>
      </c>
      <c r="AO17" s="18">
        <f t="shared" si="42"/>
        <v>0.45251196428749108</v>
      </c>
      <c r="AP17" s="18">
        <f t="shared" si="42"/>
        <v>0.46056556650417324</v>
      </c>
      <c r="AQ17" s="18">
        <f t="shared" si="42"/>
        <v>0.46918665710709001</v>
      </c>
      <c r="AR17" s="18">
        <f t="shared" si="42"/>
        <v>0.48491085461141215</v>
      </c>
      <c r="AS17" s="18">
        <f t="shared" si="42"/>
        <v>0.48085058256700447</v>
      </c>
      <c r="AT17" s="44"/>
      <c r="AU17" s="81">
        <f>SUM(AS17-AO17)*1000</f>
        <v>28.338618279513394</v>
      </c>
    </row>
    <row r="18" spans="2:47" ht="5.0999999999999996" customHeight="1">
      <c r="B18" s="30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44"/>
      <c r="AU18" s="79"/>
    </row>
    <row r="19" spans="2:47" ht="12.75" customHeight="1">
      <c r="B19" s="9" t="s">
        <v>127</v>
      </c>
      <c r="C19" s="86">
        <v>-2369469</v>
      </c>
      <c r="D19" s="86">
        <v>-2652462</v>
      </c>
      <c r="E19" s="86">
        <v>-2228362</v>
      </c>
      <c r="F19" s="86">
        <v>-2545146</v>
      </c>
      <c r="G19" s="86">
        <v>-2530502</v>
      </c>
      <c r="H19" s="86">
        <v>-2657883</v>
      </c>
      <c r="I19" s="86">
        <v>-2917554</v>
      </c>
      <c r="J19" s="33"/>
      <c r="K19" s="86">
        <v>-512512</v>
      </c>
      <c r="L19" s="86">
        <v>-603973</v>
      </c>
      <c r="M19" s="86">
        <v>-635948</v>
      </c>
      <c r="N19" s="33">
        <f t="shared" ref="N19:N21" si="43">SUM(F19-SUM(K19:M19))</f>
        <v>-792713</v>
      </c>
      <c r="O19" s="86">
        <v>-555978</v>
      </c>
      <c r="P19" s="86">
        <v>-574960</v>
      </c>
      <c r="Q19" s="86">
        <v>-567954</v>
      </c>
      <c r="R19" s="33">
        <f t="shared" ref="R19:R21" si="44">SUM(G19-SUM(O19:Q19))</f>
        <v>-831610</v>
      </c>
      <c r="S19" s="86">
        <v>-555362</v>
      </c>
      <c r="T19" s="86">
        <v>-627168</v>
      </c>
      <c r="U19" s="86">
        <v>-558736</v>
      </c>
      <c r="V19" s="33">
        <f t="shared" ref="V19:V21" si="45">SUM(H19-SUM(S19:U19))</f>
        <v>-916617</v>
      </c>
      <c r="W19" s="86">
        <v>-654340</v>
      </c>
      <c r="X19" s="86">
        <v>-644084</v>
      </c>
      <c r="Y19" s="86">
        <v>-642926</v>
      </c>
      <c r="Z19" s="33">
        <f t="shared" ref="Z19:Z21" si="46">SUM(I19-SUM(W19:Y19))</f>
        <v>-976204</v>
      </c>
      <c r="AA19" s="86">
        <v>-688370</v>
      </c>
      <c r="AB19" s="86">
        <v>-713265</v>
      </c>
      <c r="AC19" s="86">
        <v>-786295</v>
      </c>
      <c r="AE19" s="33">
        <f t="shared" ref="AE19:AS21" si="47">SUM(L19:O19)</f>
        <v>-2588612</v>
      </c>
      <c r="AF19" s="33">
        <f t="shared" si="47"/>
        <v>-2559599</v>
      </c>
      <c r="AG19" s="33">
        <f t="shared" si="47"/>
        <v>-2491605</v>
      </c>
      <c r="AH19" s="33">
        <f t="shared" si="47"/>
        <v>-2530502</v>
      </c>
      <c r="AI19" s="33">
        <f t="shared" si="47"/>
        <v>-2529886</v>
      </c>
      <c r="AJ19" s="33">
        <f t="shared" si="47"/>
        <v>-2582094</v>
      </c>
      <c r="AK19" s="33">
        <f t="shared" si="47"/>
        <v>-2572876</v>
      </c>
      <c r="AL19" s="33">
        <f t="shared" si="47"/>
        <v>-2657883</v>
      </c>
      <c r="AM19" s="33">
        <f t="shared" si="47"/>
        <v>-2756861</v>
      </c>
      <c r="AN19" s="33">
        <f t="shared" si="47"/>
        <v>-2773777</v>
      </c>
      <c r="AO19" s="33">
        <f t="shared" si="47"/>
        <v>-2857967</v>
      </c>
      <c r="AP19" s="33">
        <f t="shared" si="47"/>
        <v>-2917554</v>
      </c>
      <c r="AQ19" s="33">
        <f t="shared" si="47"/>
        <v>-2951584</v>
      </c>
      <c r="AR19" s="33">
        <f t="shared" si="47"/>
        <v>-3020765</v>
      </c>
      <c r="AS19" s="33">
        <f t="shared" si="47"/>
        <v>-3164134</v>
      </c>
      <c r="AT19" s="11"/>
      <c r="AU19" s="79">
        <f>SUM(AS19/AO19)-1</f>
        <v>0.10712754905847399</v>
      </c>
    </row>
    <row r="20" spans="2:47" ht="12.75" customHeight="1">
      <c r="B20" s="9" t="s">
        <v>128</v>
      </c>
      <c r="C20" s="86">
        <v>-1221814</v>
      </c>
      <c r="D20" s="86">
        <v>-1545149</v>
      </c>
      <c r="E20" s="86">
        <v>-1829600</v>
      </c>
      <c r="F20" s="86">
        <v>-2273885</v>
      </c>
      <c r="G20" s="86">
        <v>-2711041</v>
      </c>
      <c r="H20" s="86">
        <v>-2675758</v>
      </c>
      <c r="I20" s="86">
        <v>-2925295</v>
      </c>
      <c r="J20" s="33"/>
      <c r="K20" s="86">
        <v>-525207</v>
      </c>
      <c r="L20" s="86">
        <v>-537321</v>
      </c>
      <c r="M20" s="86">
        <v>-563887</v>
      </c>
      <c r="N20" s="33">
        <f t="shared" si="43"/>
        <v>-647470</v>
      </c>
      <c r="O20" s="86">
        <v>-657530</v>
      </c>
      <c r="P20" s="86">
        <v>-716846</v>
      </c>
      <c r="Q20" s="86">
        <v>-662739</v>
      </c>
      <c r="R20" s="33">
        <f t="shared" si="44"/>
        <v>-673926</v>
      </c>
      <c r="S20" s="86">
        <v>-687275</v>
      </c>
      <c r="T20" s="86">
        <v>-657983</v>
      </c>
      <c r="U20" s="86">
        <v>-657159</v>
      </c>
      <c r="V20" s="33">
        <f t="shared" si="45"/>
        <v>-673341</v>
      </c>
      <c r="W20" s="86">
        <v>-702473</v>
      </c>
      <c r="X20" s="86">
        <v>-711254</v>
      </c>
      <c r="Y20" s="86">
        <v>-735063</v>
      </c>
      <c r="Z20" s="33">
        <f t="shared" si="46"/>
        <v>-776505</v>
      </c>
      <c r="AA20" s="86">
        <v>-822823</v>
      </c>
      <c r="AB20" s="86">
        <v>-824683</v>
      </c>
      <c r="AC20" s="86">
        <v>-853584</v>
      </c>
      <c r="AE20" s="33">
        <f t="shared" si="47"/>
        <v>-2406208</v>
      </c>
      <c r="AF20" s="33">
        <f t="shared" si="47"/>
        <v>-2585733</v>
      </c>
      <c r="AG20" s="33">
        <f t="shared" si="47"/>
        <v>-2684585</v>
      </c>
      <c r="AH20" s="33">
        <f t="shared" si="47"/>
        <v>-2711041</v>
      </c>
      <c r="AI20" s="33">
        <f t="shared" si="47"/>
        <v>-2740786</v>
      </c>
      <c r="AJ20" s="33">
        <f t="shared" si="47"/>
        <v>-2681923</v>
      </c>
      <c r="AK20" s="33">
        <f t="shared" si="47"/>
        <v>-2676343</v>
      </c>
      <c r="AL20" s="33">
        <f t="shared" si="47"/>
        <v>-2675758</v>
      </c>
      <c r="AM20" s="33">
        <f t="shared" si="47"/>
        <v>-2690956</v>
      </c>
      <c r="AN20" s="33">
        <f t="shared" si="47"/>
        <v>-2744227</v>
      </c>
      <c r="AO20" s="33">
        <f t="shared" si="47"/>
        <v>-2822131</v>
      </c>
      <c r="AP20" s="33">
        <f t="shared" si="47"/>
        <v>-2925295</v>
      </c>
      <c r="AQ20" s="33">
        <f t="shared" si="47"/>
        <v>-3045645</v>
      </c>
      <c r="AR20" s="33">
        <f t="shared" si="47"/>
        <v>-3159074</v>
      </c>
      <c r="AS20" s="33">
        <f t="shared" si="47"/>
        <v>-3277595</v>
      </c>
      <c r="AT20" s="11"/>
      <c r="AU20" s="79">
        <f>SUM(AS20/AO20)-1</f>
        <v>0.16139009847523034</v>
      </c>
    </row>
    <row r="21" spans="2:47" ht="12.75" customHeight="1">
      <c r="B21" s="9" t="s">
        <v>103</v>
      </c>
      <c r="C21" s="86">
        <v>-630294</v>
      </c>
      <c r="D21" s="86">
        <v>-914369</v>
      </c>
      <c r="E21" s="86">
        <v>-1076486</v>
      </c>
      <c r="F21" s="86">
        <v>-1351621</v>
      </c>
      <c r="G21" s="86">
        <v>-1572891</v>
      </c>
      <c r="H21" s="86">
        <v>-1720285</v>
      </c>
      <c r="I21" s="86">
        <v>-1702039</v>
      </c>
      <c r="J21" s="33"/>
      <c r="K21" s="86">
        <v>-297196</v>
      </c>
      <c r="L21" s="86">
        <v>-334845</v>
      </c>
      <c r="M21" s="86">
        <v>-321790</v>
      </c>
      <c r="N21" s="33">
        <f t="shared" si="43"/>
        <v>-397790</v>
      </c>
      <c r="O21" s="86">
        <v>-397928</v>
      </c>
      <c r="P21" s="86">
        <v>-409297</v>
      </c>
      <c r="Q21" s="86">
        <v>-373213</v>
      </c>
      <c r="R21" s="33">
        <f t="shared" si="44"/>
        <v>-392453</v>
      </c>
      <c r="S21" s="86">
        <v>-400924</v>
      </c>
      <c r="T21" s="86">
        <v>-401497</v>
      </c>
      <c r="U21" s="86">
        <v>-478591</v>
      </c>
      <c r="V21" s="33">
        <f t="shared" si="45"/>
        <v>-439273</v>
      </c>
      <c r="W21" s="86">
        <v>-404020</v>
      </c>
      <c r="X21" s="86">
        <v>-426992</v>
      </c>
      <c r="Y21" s="86">
        <v>-417353</v>
      </c>
      <c r="Z21" s="33">
        <f t="shared" si="46"/>
        <v>-453674</v>
      </c>
      <c r="AA21" s="86">
        <v>-421462</v>
      </c>
      <c r="AB21" s="86">
        <v>-441213</v>
      </c>
      <c r="AC21" s="86">
        <v>-457931</v>
      </c>
      <c r="AE21" s="33">
        <f t="shared" si="47"/>
        <v>-1452353</v>
      </c>
      <c r="AF21" s="33">
        <f t="shared" si="47"/>
        <v>-1526805</v>
      </c>
      <c r="AG21" s="33">
        <f t="shared" si="47"/>
        <v>-1578228</v>
      </c>
      <c r="AH21" s="33">
        <f t="shared" si="47"/>
        <v>-1572891</v>
      </c>
      <c r="AI21" s="33">
        <f t="shared" si="47"/>
        <v>-1575887</v>
      </c>
      <c r="AJ21" s="33">
        <f t="shared" si="47"/>
        <v>-1568087</v>
      </c>
      <c r="AK21" s="33">
        <f t="shared" si="47"/>
        <v>-1673465</v>
      </c>
      <c r="AL21" s="33">
        <f t="shared" si="47"/>
        <v>-1720285</v>
      </c>
      <c r="AM21" s="33">
        <f t="shared" si="47"/>
        <v>-1723381</v>
      </c>
      <c r="AN21" s="33">
        <f t="shared" si="47"/>
        <v>-1748876</v>
      </c>
      <c r="AO21" s="33">
        <f t="shared" si="47"/>
        <v>-1687638</v>
      </c>
      <c r="AP21" s="33">
        <f t="shared" si="47"/>
        <v>-1702039</v>
      </c>
      <c r="AQ21" s="33">
        <f t="shared" si="47"/>
        <v>-1719481</v>
      </c>
      <c r="AR21" s="33">
        <f t="shared" si="47"/>
        <v>-1733702</v>
      </c>
      <c r="AS21" s="33">
        <f t="shared" si="47"/>
        <v>-1774280</v>
      </c>
      <c r="AT21" s="11"/>
      <c r="AU21" s="79">
        <f>SUM(AS21/AO21)-1</f>
        <v>5.1339209000982544E-2</v>
      </c>
    </row>
    <row r="22" spans="2:47" ht="12.75" customHeight="1">
      <c r="B22" s="26" t="s">
        <v>91</v>
      </c>
      <c r="C22" s="27">
        <f t="shared" ref="C22:I22" si="48">+SUM(C16+SUM(C19:C21))</f>
        <v>1605226</v>
      </c>
      <c r="D22" s="27">
        <f t="shared" si="48"/>
        <v>2604254</v>
      </c>
      <c r="E22" s="27">
        <f t="shared" si="48"/>
        <v>4585289</v>
      </c>
      <c r="F22" s="27">
        <f t="shared" si="48"/>
        <v>6194509</v>
      </c>
      <c r="G22" s="27">
        <f t="shared" si="48"/>
        <v>5632831</v>
      </c>
      <c r="H22" s="27">
        <f t="shared" si="48"/>
        <v>6954003</v>
      </c>
      <c r="I22" s="27">
        <f t="shared" si="48"/>
        <v>10417614</v>
      </c>
      <c r="J22" s="33"/>
      <c r="K22" s="27">
        <f t="shared" ref="K22:AC22" si="49">+SUM(K16+SUM(K19:K21))</f>
        <v>1959856</v>
      </c>
      <c r="L22" s="27">
        <f t="shared" si="49"/>
        <v>1847630</v>
      </c>
      <c r="M22" s="27">
        <f t="shared" si="49"/>
        <v>1755253</v>
      </c>
      <c r="N22" s="27">
        <f t="shared" si="49"/>
        <v>631770</v>
      </c>
      <c r="O22" s="27">
        <f t="shared" si="49"/>
        <v>1971626</v>
      </c>
      <c r="P22" s="27">
        <f t="shared" si="49"/>
        <v>1578283</v>
      </c>
      <c r="Q22" s="27">
        <f t="shared" si="49"/>
        <v>1533018</v>
      </c>
      <c r="R22" s="27">
        <f t="shared" si="49"/>
        <v>549904</v>
      </c>
      <c r="S22" s="27">
        <f t="shared" si="49"/>
        <v>1714317</v>
      </c>
      <c r="T22" s="27">
        <f t="shared" si="49"/>
        <v>1827183</v>
      </c>
      <c r="U22" s="27">
        <f t="shared" si="49"/>
        <v>1916394</v>
      </c>
      <c r="V22" s="27">
        <f t="shared" si="49"/>
        <v>1496109</v>
      </c>
      <c r="W22" s="27">
        <f t="shared" si="49"/>
        <v>2632534</v>
      </c>
      <c r="X22" s="27">
        <f t="shared" si="49"/>
        <v>2602837</v>
      </c>
      <c r="Y22" s="27">
        <f t="shared" si="49"/>
        <v>2909477</v>
      </c>
      <c r="Z22" s="27">
        <f t="shared" si="49"/>
        <v>2272766</v>
      </c>
      <c r="AA22" s="27">
        <f t="shared" si="49"/>
        <v>3346999</v>
      </c>
      <c r="AB22" s="27">
        <f t="shared" si="49"/>
        <v>3774694</v>
      </c>
      <c r="AC22" s="27">
        <f t="shared" si="49"/>
        <v>3248247</v>
      </c>
      <c r="AE22" s="27">
        <f t="shared" ref="AE22:AS22" si="50">+SUM(AE16+SUM(AE19:AE21))</f>
        <v>6206279</v>
      </c>
      <c r="AF22" s="27">
        <f t="shared" si="50"/>
        <v>5936932</v>
      </c>
      <c r="AG22" s="27">
        <f t="shared" si="50"/>
        <v>5714697</v>
      </c>
      <c r="AH22" s="27">
        <f t="shared" si="50"/>
        <v>5632831</v>
      </c>
      <c r="AI22" s="27">
        <f t="shared" si="50"/>
        <v>5375522</v>
      </c>
      <c r="AJ22" s="27">
        <f t="shared" si="50"/>
        <v>5624422</v>
      </c>
      <c r="AK22" s="27">
        <f t="shared" si="50"/>
        <v>6007798</v>
      </c>
      <c r="AL22" s="27">
        <f t="shared" si="50"/>
        <v>6954003</v>
      </c>
      <c r="AM22" s="27">
        <f t="shared" si="50"/>
        <v>7872220</v>
      </c>
      <c r="AN22" s="27">
        <f t="shared" si="50"/>
        <v>8647874</v>
      </c>
      <c r="AO22" s="27">
        <f t="shared" si="50"/>
        <v>9640957</v>
      </c>
      <c r="AP22" s="27">
        <f t="shared" si="50"/>
        <v>10417614</v>
      </c>
      <c r="AQ22" s="27">
        <f t="shared" si="50"/>
        <v>11132079</v>
      </c>
      <c r="AR22" s="27">
        <f t="shared" si="50"/>
        <v>12303936</v>
      </c>
      <c r="AS22" s="27">
        <f t="shared" si="50"/>
        <v>12642706</v>
      </c>
      <c r="AT22" s="11"/>
      <c r="AU22" s="80">
        <f>SUM(AS22/AO22)-1</f>
        <v>0.31135384173998504</v>
      </c>
    </row>
    <row r="23" spans="2:47" ht="12.75" customHeight="1">
      <c r="B23" s="16" t="s">
        <v>39</v>
      </c>
      <c r="C23" s="18">
        <f t="shared" ref="C23:I23" si="51">C22/C11</f>
        <v>0.10163298361102878</v>
      </c>
      <c r="D23" s="18">
        <f t="shared" si="51"/>
        <v>0.12920203645017397</v>
      </c>
      <c r="E23" s="18">
        <f t="shared" si="51"/>
        <v>0.18344049957321268</v>
      </c>
      <c r="F23" s="18">
        <f t="shared" si="51"/>
        <v>0.20858446828665408</v>
      </c>
      <c r="G23" s="18">
        <f t="shared" si="51"/>
        <v>0.17816647187855345</v>
      </c>
      <c r="H23" s="18">
        <f t="shared" si="51"/>
        <v>0.20620768485358951</v>
      </c>
      <c r="I23" s="18">
        <f t="shared" si="51"/>
        <v>0.26711169154117875</v>
      </c>
      <c r="J23" s="33"/>
      <c r="K23" s="18">
        <f t="shared" ref="K23:AC23" si="52">K22/K11</f>
        <v>0.27359749343945972</v>
      </c>
      <c r="L23" s="18">
        <f t="shared" si="52"/>
        <v>0.25165978209362666</v>
      </c>
      <c r="M23" s="18">
        <f t="shared" si="52"/>
        <v>0.23455077706629829</v>
      </c>
      <c r="N23" s="18">
        <f t="shared" si="52"/>
        <v>8.194888315672022E-2</v>
      </c>
      <c r="O23" s="18">
        <f t="shared" si="52"/>
        <v>0.25059537223204498</v>
      </c>
      <c r="P23" s="18">
        <f t="shared" si="52"/>
        <v>0.19802447660587183</v>
      </c>
      <c r="Q23" s="18">
        <f t="shared" si="52"/>
        <v>0.19342638130743342</v>
      </c>
      <c r="R23" s="18">
        <f t="shared" si="52"/>
        <v>7.0033149292293359E-2</v>
      </c>
      <c r="S23" s="18">
        <f t="shared" si="52"/>
        <v>0.21004917844176496</v>
      </c>
      <c r="T23" s="18">
        <f t="shared" si="52"/>
        <v>0.22317281360487418</v>
      </c>
      <c r="U23" s="18">
        <f t="shared" si="52"/>
        <v>0.22435828692943813</v>
      </c>
      <c r="V23" s="18">
        <f t="shared" si="52"/>
        <v>0.16938057756153893</v>
      </c>
      <c r="W23" s="18">
        <f t="shared" si="52"/>
        <v>0.28094027601692129</v>
      </c>
      <c r="X23" s="18">
        <f t="shared" si="52"/>
        <v>0.27228293673915793</v>
      </c>
      <c r="Y23" s="18">
        <f t="shared" si="52"/>
        <v>0.29613892654057838</v>
      </c>
      <c r="Z23" s="18">
        <f t="shared" si="52"/>
        <v>0.22180872653945785</v>
      </c>
      <c r="AA23" s="18">
        <f t="shared" si="52"/>
        <v>0.31746772039043514</v>
      </c>
      <c r="AB23" s="18">
        <f t="shared" si="52"/>
        <v>0.34070199868834894</v>
      </c>
      <c r="AC23" s="18">
        <f t="shared" si="52"/>
        <v>0.28220333306487827</v>
      </c>
      <c r="AE23" s="18">
        <f t="shared" ref="AE23:AS23" si="53">AE22/AE11</f>
        <v>0.20413827506438734</v>
      </c>
      <c r="AF23" s="18">
        <f t="shared" si="53"/>
        <v>0.19132450570794535</v>
      </c>
      <c r="AG23" s="18">
        <f t="shared" si="53"/>
        <v>0.18157565505341675</v>
      </c>
      <c r="AH23" s="18">
        <f t="shared" si="53"/>
        <v>0.17816647187855345</v>
      </c>
      <c r="AI23" s="18">
        <f t="shared" si="53"/>
        <v>0.16846262244789809</v>
      </c>
      <c r="AJ23" s="18">
        <f t="shared" si="53"/>
        <v>0.175071403789887</v>
      </c>
      <c r="AK23" s="18">
        <f t="shared" si="53"/>
        <v>0.18348609339078156</v>
      </c>
      <c r="AL23" s="18">
        <f t="shared" si="53"/>
        <v>0.20620768485358951</v>
      </c>
      <c r="AM23" s="18">
        <f t="shared" si="53"/>
        <v>0.22535690102156078</v>
      </c>
      <c r="AN23" s="18">
        <f t="shared" si="53"/>
        <v>0.23820560037569163</v>
      </c>
      <c r="AO23" s="18">
        <f t="shared" si="53"/>
        <v>0.25649521628035954</v>
      </c>
      <c r="AP23" s="18">
        <f t="shared" si="53"/>
        <v>0.26711169154117875</v>
      </c>
      <c r="AQ23" s="18">
        <f t="shared" si="53"/>
        <v>0.2771012468048763</v>
      </c>
      <c r="AR23" s="18">
        <f t="shared" si="53"/>
        <v>0.29510666048212247</v>
      </c>
      <c r="AS23" s="18">
        <f t="shared" si="53"/>
        <v>0.29144904397626425</v>
      </c>
      <c r="AT23" s="11"/>
      <c r="AU23" s="81">
        <f>SUM(AS23-AO23)*1000</f>
        <v>34.953827695904714</v>
      </c>
    </row>
    <row r="24" spans="2:47" ht="5.0999999999999996" customHeight="1">
      <c r="B24" s="16"/>
      <c r="C24" s="18"/>
      <c r="D24" s="18"/>
      <c r="E24" s="18"/>
      <c r="F24" s="18"/>
      <c r="G24" s="18"/>
      <c r="H24" s="18"/>
      <c r="I24" s="18"/>
      <c r="J24" s="33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33"/>
      <c r="AB24" s="86"/>
      <c r="AC24" s="86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11"/>
      <c r="AU24" s="79"/>
    </row>
    <row r="25" spans="2:47" ht="12.75" customHeight="1">
      <c r="B25" s="9" t="s">
        <v>104</v>
      </c>
      <c r="C25" s="86">
        <v>0</v>
      </c>
      <c r="D25" s="86">
        <v>0</v>
      </c>
      <c r="E25" s="86">
        <v>0</v>
      </c>
      <c r="F25" s="86">
        <v>0</v>
      </c>
      <c r="G25" s="86">
        <v>60000</v>
      </c>
      <c r="H25" s="86">
        <v>281000</v>
      </c>
      <c r="I25" s="86">
        <v>294000</v>
      </c>
      <c r="J25" s="33"/>
      <c r="K25" s="86">
        <v>0</v>
      </c>
      <c r="L25" s="86">
        <v>0</v>
      </c>
      <c r="M25" s="86">
        <v>0</v>
      </c>
      <c r="N25" s="33">
        <f t="shared" ref="N25:N27" si="54">SUM(F25-SUM(K25:M25))</f>
        <v>0</v>
      </c>
      <c r="O25" s="86">
        <v>0</v>
      </c>
      <c r="P25" s="86">
        <v>0</v>
      </c>
      <c r="Q25" s="86">
        <v>0</v>
      </c>
      <c r="R25" s="33">
        <f t="shared" ref="R25:R27" si="55">SUM(G25-SUM(O25:Q25))</f>
        <v>60000</v>
      </c>
      <c r="S25" s="86">
        <v>0</v>
      </c>
      <c r="T25" s="86">
        <v>0</v>
      </c>
      <c r="U25" s="86">
        <v>0</v>
      </c>
      <c r="V25" s="33">
        <f t="shared" ref="V25:V27" si="56">SUM(H25-SUM(S25:U25))</f>
        <v>281000</v>
      </c>
      <c r="W25" s="86">
        <v>67000</v>
      </c>
      <c r="X25" s="86">
        <v>63000</v>
      </c>
      <c r="Y25" s="86">
        <v>76000</v>
      </c>
      <c r="Z25" s="33">
        <f t="shared" ref="Z25:Z27" si="57">SUM(I25-SUM(W25:Y25))</f>
        <v>88000</v>
      </c>
      <c r="AA25" s="86">
        <v>82000</v>
      </c>
      <c r="AB25" s="86">
        <v>72000</v>
      </c>
      <c r="AC25" s="86">
        <v>67000</v>
      </c>
      <c r="AE25" s="33">
        <f t="shared" ref="AE25:AE27" si="58">SUM(L25:O25)</f>
        <v>0</v>
      </c>
      <c r="AF25" s="33">
        <f t="shared" ref="AF25:AF27" si="59">SUM(M25:P25)</f>
        <v>0</v>
      </c>
      <c r="AG25" s="33">
        <f t="shared" ref="AG25:AG27" si="60">SUM(N25:Q25)</f>
        <v>0</v>
      </c>
      <c r="AH25" s="33">
        <f t="shared" ref="AH25:AH27" si="61">SUM(O25:R25)</f>
        <v>60000</v>
      </c>
      <c r="AI25" s="33">
        <f t="shared" ref="AI25:AI27" si="62">SUM(P25:S25)</f>
        <v>60000</v>
      </c>
      <c r="AJ25" s="33">
        <f t="shared" ref="AJ25:AJ27" si="63">SUM(Q25:T25)</f>
        <v>60000</v>
      </c>
      <c r="AK25" s="33">
        <f t="shared" ref="AK25:AK27" si="64">SUM(R25:U25)</f>
        <v>60000</v>
      </c>
      <c r="AL25" s="33">
        <f t="shared" ref="AL25:AL27" si="65">SUM(S25:V25)</f>
        <v>281000</v>
      </c>
      <c r="AM25" s="33">
        <f t="shared" ref="AM25:AM27" si="66">SUM(T25:W25)</f>
        <v>348000</v>
      </c>
      <c r="AN25" s="33">
        <f t="shared" ref="AN25:AN27" si="67">SUM(U25:X25)</f>
        <v>411000</v>
      </c>
      <c r="AO25" s="33">
        <f t="shared" ref="AO25:AO27" si="68">SUM(V25:Y25)</f>
        <v>487000</v>
      </c>
      <c r="AP25" s="33">
        <f t="shared" ref="AP25:AP27" si="69">SUM(W25:Z25)</f>
        <v>294000</v>
      </c>
      <c r="AQ25" s="33">
        <f t="shared" ref="AQ25:AQ27" si="70">SUM(X25:AA25)</f>
        <v>309000</v>
      </c>
      <c r="AR25" s="33">
        <f t="shared" ref="AR25:AR27" si="71">SUM(Y25:AB25)</f>
        <v>318000</v>
      </c>
      <c r="AS25" s="33">
        <f t="shared" ref="AS25:AS27" si="72">SUM(Z25:AC25)</f>
        <v>309000</v>
      </c>
      <c r="AT25" s="11"/>
      <c r="AU25" s="79">
        <f>SUM(AS25/AO25)-1</f>
        <v>-0.3655030800821355</v>
      </c>
    </row>
    <row r="26" spans="2:47" ht="12.75" customHeight="1">
      <c r="B26" s="9" t="s">
        <v>90</v>
      </c>
      <c r="C26" s="86">
        <v>-420493</v>
      </c>
      <c r="D26" s="86">
        <v>-626023</v>
      </c>
      <c r="E26" s="86">
        <v>-767499</v>
      </c>
      <c r="F26" s="86">
        <v>-765620</v>
      </c>
      <c r="G26" s="86">
        <v>-706212</v>
      </c>
      <c r="H26" s="86">
        <v>-699826</v>
      </c>
      <c r="I26" s="86">
        <v>-718733</v>
      </c>
      <c r="J26" s="33"/>
      <c r="K26" s="86">
        <v>-194440</v>
      </c>
      <c r="L26" s="86">
        <v>-191322</v>
      </c>
      <c r="M26" s="86">
        <v>-190429</v>
      </c>
      <c r="N26" s="33">
        <f t="shared" si="54"/>
        <v>-189429</v>
      </c>
      <c r="O26" s="86">
        <v>-187579</v>
      </c>
      <c r="P26" s="86">
        <v>-175455</v>
      </c>
      <c r="Q26" s="86">
        <v>-172575</v>
      </c>
      <c r="R26" s="33">
        <f t="shared" si="55"/>
        <v>-170603</v>
      </c>
      <c r="S26" s="86">
        <v>-174239</v>
      </c>
      <c r="T26" s="86">
        <v>-174812</v>
      </c>
      <c r="U26" s="86">
        <v>-175563</v>
      </c>
      <c r="V26" s="33">
        <f t="shared" si="56"/>
        <v>-175212</v>
      </c>
      <c r="W26" s="86">
        <v>-173314</v>
      </c>
      <c r="X26" s="86">
        <v>-167986</v>
      </c>
      <c r="Y26" s="86">
        <v>-184830</v>
      </c>
      <c r="Z26" s="33">
        <f t="shared" si="57"/>
        <v>-192603</v>
      </c>
      <c r="AA26" s="86">
        <v>-184172</v>
      </c>
      <c r="AB26" s="86">
        <v>-182649</v>
      </c>
      <c r="AC26" s="86">
        <v>-175294</v>
      </c>
      <c r="AE26" s="33">
        <f t="shared" si="58"/>
        <v>-758759</v>
      </c>
      <c r="AF26" s="33">
        <f t="shared" si="59"/>
        <v>-742892</v>
      </c>
      <c r="AG26" s="33">
        <f t="shared" si="60"/>
        <v>-725038</v>
      </c>
      <c r="AH26" s="33">
        <f t="shared" si="61"/>
        <v>-706212</v>
      </c>
      <c r="AI26" s="33">
        <f t="shared" si="62"/>
        <v>-692872</v>
      </c>
      <c r="AJ26" s="33">
        <f t="shared" si="63"/>
        <v>-692229</v>
      </c>
      <c r="AK26" s="33">
        <f t="shared" si="64"/>
        <v>-695217</v>
      </c>
      <c r="AL26" s="33">
        <f t="shared" si="65"/>
        <v>-699826</v>
      </c>
      <c r="AM26" s="33">
        <f t="shared" si="66"/>
        <v>-698901</v>
      </c>
      <c r="AN26" s="33">
        <f t="shared" si="67"/>
        <v>-692075</v>
      </c>
      <c r="AO26" s="33">
        <f t="shared" si="68"/>
        <v>-701342</v>
      </c>
      <c r="AP26" s="33">
        <f t="shared" si="69"/>
        <v>-718733</v>
      </c>
      <c r="AQ26" s="33">
        <f t="shared" si="70"/>
        <v>-729591</v>
      </c>
      <c r="AR26" s="33">
        <f t="shared" si="71"/>
        <v>-744254</v>
      </c>
      <c r="AS26" s="33">
        <f t="shared" si="72"/>
        <v>-734718</v>
      </c>
      <c r="AT26" s="11"/>
      <c r="AU26" s="79">
        <f>SUM(AS26/AO26)-1</f>
        <v>4.7588765538068456E-2</v>
      </c>
    </row>
    <row r="27" spans="2:47" ht="12.75" customHeight="1">
      <c r="B27" s="9" t="s">
        <v>159</v>
      </c>
      <c r="C27" s="86">
        <v>41725</v>
      </c>
      <c r="D27" s="86">
        <v>84000</v>
      </c>
      <c r="E27" s="86">
        <v>-618441</v>
      </c>
      <c r="F27" s="86">
        <v>411214</v>
      </c>
      <c r="G27" s="33">
        <f>337310-G25</f>
        <v>277310</v>
      </c>
      <c r="H27" s="33">
        <f>-48772-H25</f>
        <v>-329772</v>
      </c>
      <c r="I27" s="33">
        <f>266776-I25</f>
        <v>-27224</v>
      </c>
      <c r="J27" s="33"/>
      <c r="K27" s="86">
        <v>269086</v>
      </c>
      <c r="L27" s="86">
        <v>-62519</v>
      </c>
      <c r="M27" s="86">
        <v>96135</v>
      </c>
      <c r="N27" s="33">
        <f t="shared" si="54"/>
        <v>108512</v>
      </c>
      <c r="O27" s="86">
        <v>195645</v>
      </c>
      <c r="P27" s="86">
        <v>220226</v>
      </c>
      <c r="Q27" s="86">
        <v>261404</v>
      </c>
      <c r="R27" s="33">
        <f t="shared" si="55"/>
        <v>-399965</v>
      </c>
      <c r="S27" s="86">
        <v>-71204</v>
      </c>
      <c r="T27" s="86">
        <v>26961</v>
      </c>
      <c r="U27" s="86">
        <v>168218</v>
      </c>
      <c r="V27" s="33">
        <f t="shared" si="56"/>
        <v>-453747</v>
      </c>
      <c r="W27" s="33">
        <f>155359-W25</f>
        <v>88359</v>
      </c>
      <c r="X27" s="33">
        <f>79005-X25</f>
        <v>16005</v>
      </c>
      <c r="Y27" s="33">
        <f>-21693-Y25</f>
        <v>-97693</v>
      </c>
      <c r="Z27" s="33">
        <f t="shared" si="57"/>
        <v>-33895</v>
      </c>
      <c r="AA27" s="33">
        <f>50899-AA25</f>
        <v>-31101</v>
      </c>
      <c r="AB27" s="33">
        <f>39630-AB25</f>
        <v>-32370</v>
      </c>
      <c r="AC27" s="33">
        <f>36457-AC25</f>
        <v>-30543</v>
      </c>
      <c r="AE27" s="33">
        <f t="shared" si="58"/>
        <v>337773</v>
      </c>
      <c r="AF27" s="33">
        <f t="shared" si="59"/>
        <v>620518</v>
      </c>
      <c r="AG27" s="33">
        <f t="shared" si="60"/>
        <v>785787</v>
      </c>
      <c r="AH27" s="33">
        <f t="shared" si="61"/>
        <v>277310</v>
      </c>
      <c r="AI27" s="33">
        <f t="shared" si="62"/>
        <v>10461</v>
      </c>
      <c r="AJ27" s="33">
        <f t="shared" si="63"/>
        <v>-182804</v>
      </c>
      <c r="AK27" s="33">
        <f t="shared" si="64"/>
        <v>-275990</v>
      </c>
      <c r="AL27" s="33">
        <f t="shared" si="65"/>
        <v>-329772</v>
      </c>
      <c r="AM27" s="33">
        <f t="shared" si="66"/>
        <v>-170209</v>
      </c>
      <c r="AN27" s="33">
        <f t="shared" si="67"/>
        <v>-181165</v>
      </c>
      <c r="AO27" s="33">
        <f t="shared" si="68"/>
        <v>-447076</v>
      </c>
      <c r="AP27" s="33">
        <f t="shared" si="69"/>
        <v>-27224</v>
      </c>
      <c r="AQ27" s="33">
        <f t="shared" si="70"/>
        <v>-146684</v>
      </c>
      <c r="AR27" s="33">
        <f t="shared" si="71"/>
        <v>-195059</v>
      </c>
      <c r="AS27" s="33">
        <f t="shared" si="72"/>
        <v>-127909</v>
      </c>
      <c r="AT27" s="11"/>
      <c r="AU27" s="79">
        <f>SUM(AS27/AO27)-1</f>
        <v>-0.71389875546886883</v>
      </c>
    </row>
    <row r="28" spans="2:47" ht="12.75" customHeight="1">
      <c r="B28" s="26" t="s">
        <v>92</v>
      </c>
      <c r="C28" s="27">
        <f t="shared" ref="C28:I28" si="73">SUM(C22+SUM(C25:C27))</f>
        <v>1226458</v>
      </c>
      <c r="D28" s="27">
        <f t="shared" si="73"/>
        <v>2062231</v>
      </c>
      <c r="E28" s="27">
        <f t="shared" si="73"/>
        <v>3199349</v>
      </c>
      <c r="F28" s="27">
        <f t="shared" si="73"/>
        <v>5840103</v>
      </c>
      <c r="G28" s="27">
        <f t="shared" si="73"/>
        <v>5263929</v>
      </c>
      <c r="H28" s="27">
        <f t="shared" si="73"/>
        <v>6205405</v>
      </c>
      <c r="I28" s="27">
        <f t="shared" si="73"/>
        <v>9965657</v>
      </c>
      <c r="K28" s="27">
        <f t="shared" ref="K28:AC28" si="74">SUM(K22+SUM(K25:K27))</f>
        <v>2034502</v>
      </c>
      <c r="L28" s="27">
        <f t="shared" si="74"/>
        <v>1593789</v>
      </c>
      <c r="M28" s="27">
        <f t="shared" si="74"/>
        <v>1660959</v>
      </c>
      <c r="N28" s="27">
        <f t="shared" si="74"/>
        <v>550853</v>
      </c>
      <c r="O28" s="27">
        <f t="shared" si="74"/>
        <v>1979692</v>
      </c>
      <c r="P28" s="27">
        <f t="shared" si="74"/>
        <v>1623054</v>
      </c>
      <c r="Q28" s="27">
        <f t="shared" si="74"/>
        <v>1621847</v>
      </c>
      <c r="R28" s="27">
        <f t="shared" si="74"/>
        <v>39336</v>
      </c>
      <c r="S28" s="27">
        <f t="shared" si="74"/>
        <v>1468874</v>
      </c>
      <c r="T28" s="27">
        <f t="shared" si="74"/>
        <v>1679332</v>
      </c>
      <c r="U28" s="27">
        <f t="shared" si="74"/>
        <v>1909049</v>
      </c>
      <c r="V28" s="27">
        <f t="shared" si="74"/>
        <v>1148150</v>
      </c>
      <c r="W28" s="27">
        <f t="shared" si="74"/>
        <v>2614579</v>
      </c>
      <c r="X28" s="27">
        <f t="shared" si="74"/>
        <v>2513856</v>
      </c>
      <c r="Y28" s="27">
        <f t="shared" si="74"/>
        <v>2702954</v>
      </c>
      <c r="Z28" s="27">
        <f t="shared" si="74"/>
        <v>2134268</v>
      </c>
      <c r="AA28" s="27">
        <f t="shared" si="74"/>
        <v>3213726</v>
      </c>
      <c r="AB28" s="27">
        <f t="shared" si="74"/>
        <v>3631675</v>
      </c>
      <c r="AC28" s="27">
        <f t="shared" si="74"/>
        <v>3109410</v>
      </c>
      <c r="AE28" s="27">
        <f t="shared" ref="AE28:AS28" si="75">SUM(AE22+SUM(AE25:AE27))</f>
        <v>5785293</v>
      </c>
      <c r="AF28" s="27">
        <f t="shared" si="75"/>
        <v>5814558</v>
      </c>
      <c r="AG28" s="27">
        <f t="shared" si="75"/>
        <v>5775446</v>
      </c>
      <c r="AH28" s="27">
        <f t="shared" si="75"/>
        <v>5263929</v>
      </c>
      <c r="AI28" s="27">
        <f t="shared" si="75"/>
        <v>4753111</v>
      </c>
      <c r="AJ28" s="27">
        <f t="shared" si="75"/>
        <v>4809389</v>
      </c>
      <c r="AK28" s="27">
        <f t="shared" si="75"/>
        <v>5096591</v>
      </c>
      <c r="AL28" s="27">
        <f t="shared" si="75"/>
        <v>6205405</v>
      </c>
      <c r="AM28" s="27">
        <f t="shared" si="75"/>
        <v>7351110</v>
      </c>
      <c r="AN28" s="27">
        <f t="shared" si="75"/>
        <v>8185634</v>
      </c>
      <c r="AO28" s="27">
        <f t="shared" si="75"/>
        <v>8979539</v>
      </c>
      <c r="AP28" s="27">
        <f t="shared" si="75"/>
        <v>9965657</v>
      </c>
      <c r="AQ28" s="27">
        <f t="shared" si="75"/>
        <v>10564804</v>
      </c>
      <c r="AR28" s="27">
        <f t="shared" si="75"/>
        <v>11682623</v>
      </c>
      <c r="AS28" s="27">
        <f t="shared" si="75"/>
        <v>12089079</v>
      </c>
      <c r="AT28" s="44"/>
      <c r="AU28" s="80">
        <f>SUM(AS28/AO28)-1</f>
        <v>0.34629171943014003</v>
      </c>
    </row>
    <row r="29" spans="2:47" ht="12.75" customHeight="1">
      <c r="B29" s="16" t="s">
        <v>93</v>
      </c>
      <c r="C29" s="18">
        <f t="shared" ref="C29:I29" si="76">C28/C11</f>
        <v>7.7651736150308515E-2</v>
      </c>
      <c r="D29" s="18">
        <f t="shared" si="76"/>
        <v>0.10231123570538002</v>
      </c>
      <c r="E29" s="18">
        <f t="shared" si="76"/>
        <v>0.12799415235747591</v>
      </c>
      <c r="F29" s="18">
        <f t="shared" si="76"/>
        <v>0.19665074003351893</v>
      </c>
      <c r="G29" s="18">
        <f t="shared" si="76"/>
        <v>0.16649809982745833</v>
      </c>
      <c r="H29" s="18">
        <f t="shared" si="76"/>
        <v>0.1840094401208755</v>
      </c>
      <c r="I29" s="18">
        <f t="shared" si="76"/>
        <v>0.25552333755015194</v>
      </c>
      <c r="J29" s="28"/>
      <c r="K29" s="18">
        <f t="shared" ref="K29:AC29" si="77">K28/K11</f>
        <v>0.28401813582098262</v>
      </c>
      <c r="L29" s="18">
        <f t="shared" si="77"/>
        <v>0.21708491009737832</v>
      </c>
      <c r="M29" s="18">
        <f t="shared" si="77"/>
        <v>0.22195046761080126</v>
      </c>
      <c r="N29" s="18">
        <f t="shared" si="77"/>
        <v>7.1452883380864557E-2</v>
      </c>
      <c r="O29" s="18">
        <f t="shared" si="77"/>
        <v>0.25162056781803527</v>
      </c>
      <c r="P29" s="18">
        <f t="shared" si="77"/>
        <v>0.20364181762907332</v>
      </c>
      <c r="Q29" s="18">
        <f t="shared" si="77"/>
        <v>0.20463425494307111</v>
      </c>
      <c r="R29" s="18">
        <f t="shared" si="77"/>
        <v>5.0096452481917788E-3</v>
      </c>
      <c r="S29" s="18">
        <f t="shared" si="77"/>
        <v>0.17997591865125823</v>
      </c>
      <c r="T29" s="18">
        <f t="shared" si="77"/>
        <v>0.20511423728039313</v>
      </c>
      <c r="U29" s="18">
        <f t="shared" si="77"/>
        <v>0.22349838462464239</v>
      </c>
      <c r="V29" s="18">
        <f t="shared" si="77"/>
        <v>0.12998672565119312</v>
      </c>
      <c r="W29" s="18">
        <f t="shared" si="77"/>
        <v>0.27902414401031328</v>
      </c>
      <c r="X29" s="18">
        <f t="shared" si="77"/>
        <v>0.26297462892196194</v>
      </c>
      <c r="Y29" s="18">
        <f t="shared" si="77"/>
        <v>0.27511813843125843</v>
      </c>
      <c r="Z29" s="18">
        <f t="shared" si="77"/>
        <v>0.20829212825865737</v>
      </c>
      <c r="AA29" s="18">
        <f t="shared" si="77"/>
        <v>0.30482658261310253</v>
      </c>
      <c r="AB29" s="18">
        <f t="shared" si="77"/>
        <v>0.32779317504584732</v>
      </c>
      <c r="AC29" s="18">
        <f t="shared" si="77"/>
        <v>0.27014136112963799</v>
      </c>
      <c r="AD29" s="29"/>
      <c r="AE29" s="18">
        <f t="shared" ref="AE29:AS29" si="78">AE28/AE11</f>
        <v>0.19029111223682896</v>
      </c>
      <c r="AF29" s="18">
        <f t="shared" si="78"/>
        <v>0.18738086190985165</v>
      </c>
      <c r="AG29" s="18">
        <f t="shared" si="78"/>
        <v>0.18350586053392429</v>
      </c>
      <c r="AH29" s="18">
        <f t="shared" si="78"/>
        <v>0.16649809982745833</v>
      </c>
      <c r="AI29" s="18">
        <f t="shared" si="78"/>
        <v>0.14895698386983652</v>
      </c>
      <c r="AJ29" s="18">
        <f t="shared" si="78"/>
        <v>0.14970186867230817</v>
      </c>
      <c r="AK29" s="18">
        <f t="shared" si="78"/>
        <v>0.15565662697058336</v>
      </c>
      <c r="AL29" s="18">
        <f t="shared" si="78"/>
        <v>0.1840094401208755</v>
      </c>
      <c r="AM29" s="18">
        <f t="shared" si="78"/>
        <v>0.21043916057587383</v>
      </c>
      <c r="AN29" s="18">
        <f t="shared" si="78"/>
        <v>0.22547320433041393</v>
      </c>
      <c r="AO29" s="18">
        <f t="shared" si="78"/>
        <v>0.23889835810935817</v>
      </c>
      <c r="AP29" s="18">
        <f t="shared" si="78"/>
        <v>0.25552333755015194</v>
      </c>
      <c r="AQ29" s="18">
        <f t="shared" si="78"/>
        <v>0.26298055921532215</v>
      </c>
      <c r="AR29" s="18">
        <f t="shared" si="78"/>
        <v>0.28020463201382345</v>
      </c>
      <c r="AS29" s="18">
        <f t="shared" si="78"/>
        <v>0.27868642338938615</v>
      </c>
      <c r="AT29" s="45"/>
      <c r="AU29" s="81">
        <f>SUM(AS29-AO29)*1000</f>
        <v>39.788065280027986</v>
      </c>
    </row>
    <row r="30" spans="2:47" ht="5.0999999999999996" customHeight="1">
      <c r="B30" s="30"/>
      <c r="C30" s="46"/>
      <c r="D30" s="46"/>
      <c r="E30" s="46"/>
      <c r="F30" s="46"/>
      <c r="G30" s="46"/>
      <c r="H30" s="46"/>
      <c r="I30" s="46"/>
      <c r="J30" s="31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5"/>
      <c r="AU30" s="79"/>
    </row>
    <row r="31" spans="2:47" ht="12.75" customHeight="1">
      <c r="B31" s="47" t="s">
        <v>72</v>
      </c>
      <c r="C31" s="86">
        <v>-15216</v>
      </c>
      <c r="D31" s="86">
        <v>-195315</v>
      </c>
      <c r="E31" s="86">
        <v>-437954</v>
      </c>
      <c r="F31" s="86">
        <v>-723875</v>
      </c>
      <c r="G31" s="86">
        <v>-772005</v>
      </c>
      <c r="H31" s="86">
        <v>-797415</v>
      </c>
      <c r="I31" s="86">
        <v>-1254026</v>
      </c>
      <c r="J31" s="33"/>
      <c r="K31" s="86">
        <v>-327787</v>
      </c>
      <c r="L31" s="86">
        <v>-240776</v>
      </c>
      <c r="M31" s="86">
        <v>-211888</v>
      </c>
      <c r="N31" s="33">
        <f>SUM(F31-SUM(K31:M31))</f>
        <v>56576</v>
      </c>
      <c r="O31" s="86">
        <v>-382245</v>
      </c>
      <c r="P31" s="86">
        <v>-182103</v>
      </c>
      <c r="Q31" s="86">
        <v>-223605</v>
      </c>
      <c r="R31" s="33">
        <f t="shared" ref="R31" si="79">SUM(G31-SUM(O31:Q31))</f>
        <v>15948</v>
      </c>
      <c r="S31" s="86">
        <v>-163754</v>
      </c>
      <c r="T31" s="86">
        <v>-191722</v>
      </c>
      <c r="U31" s="86">
        <v>-231627</v>
      </c>
      <c r="V31" s="33">
        <f>SUM(H31-SUM(S31:U31))</f>
        <v>-210312</v>
      </c>
      <c r="W31" s="86">
        <v>-282370</v>
      </c>
      <c r="X31" s="86">
        <v>-366550</v>
      </c>
      <c r="Y31" s="86">
        <v>-339445</v>
      </c>
      <c r="Z31" s="33">
        <f>SUM(I31-SUM(W31:Y31))</f>
        <v>-265661</v>
      </c>
      <c r="AA31" s="86">
        <v>-323375</v>
      </c>
      <c r="AB31" s="86">
        <v>-506262</v>
      </c>
      <c r="AC31" s="86">
        <v>-562494</v>
      </c>
      <c r="AD31" s="33"/>
      <c r="AE31" s="33">
        <f t="shared" ref="AE31" si="80">SUM(L31:O31)</f>
        <v>-778333</v>
      </c>
      <c r="AF31" s="33">
        <f t="shared" ref="AF31" si="81">SUM(M31:P31)</f>
        <v>-719660</v>
      </c>
      <c r="AG31" s="33">
        <f t="shared" ref="AG31" si="82">SUM(N31:Q31)</f>
        <v>-731377</v>
      </c>
      <c r="AH31" s="33">
        <f t="shared" ref="AH31" si="83">SUM(O31:R31)</f>
        <v>-772005</v>
      </c>
      <c r="AI31" s="33">
        <f t="shared" ref="AI31" si="84">SUM(P31:S31)</f>
        <v>-553514</v>
      </c>
      <c r="AJ31" s="33">
        <f t="shared" ref="AJ31" si="85">SUM(Q31:T31)</f>
        <v>-563133</v>
      </c>
      <c r="AK31" s="33">
        <f t="shared" ref="AK31" si="86">SUM(R31:U31)</f>
        <v>-571155</v>
      </c>
      <c r="AL31" s="33">
        <f t="shared" ref="AL31" si="87">SUM(S31:V31)</f>
        <v>-797415</v>
      </c>
      <c r="AM31" s="33">
        <f t="shared" ref="AM31" si="88">SUM(T31:W31)</f>
        <v>-916031</v>
      </c>
      <c r="AN31" s="33">
        <f t="shared" ref="AN31" si="89">SUM(U31:X31)</f>
        <v>-1090859</v>
      </c>
      <c r="AO31" s="33">
        <f t="shared" ref="AO31" si="90">SUM(V31:Y31)</f>
        <v>-1198677</v>
      </c>
      <c r="AP31" s="33">
        <f t="shared" ref="AP31" si="91">SUM(W31:Z31)</f>
        <v>-1254026</v>
      </c>
      <c r="AQ31" s="33">
        <f t="shared" ref="AQ31" si="92">SUM(X31:AA31)</f>
        <v>-1295031</v>
      </c>
      <c r="AR31" s="33">
        <f t="shared" ref="AR31" si="93">SUM(Y31:AB31)</f>
        <v>-1434743</v>
      </c>
      <c r="AS31" s="33">
        <f>SUM(Z31:AC31)</f>
        <v>-1657792</v>
      </c>
      <c r="AT31" s="45"/>
      <c r="AU31" s="79">
        <f>SUM(AS31/AO31)-1</f>
        <v>0.38301811080049086</v>
      </c>
    </row>
    <row r="32" spans="2:47" ht="12.75" customHeight="1">
      <c r="B32" s="13" t="s">
        <v>58</v>
      </c>
      <c r="C32" s="14">
        <f t="shared" ref="C32:I32" si="94">SUM(C28+SUM(C31:C31))</f>
        <v>1211242</v>
      </c>
      <c r="D32" s="14">
        <f t="shared" si="94"/>
        <v>1866916</v>
      </c>
      <c r="E32" s="14">
        <f t="shared" si="94"/>
        <v>2761395</v>
      </c>
      <c r="F32" s="14">
        <f t="shared" si="94"/>
        <v>5116228</v>
      </c>
      <c r="G32" s="14">
        <f t="shared" si="94"/>
        <v>4491924</v>
      </c>
      <c r="H32" s="14">
        <f t="shared" si="94"/>
        <v>5407990</v>
      </c>
      <c r="I32" s="14">
        <f t="shared" si="94"/>
        <v>8711631</v>
      </c>
      <c r="J32" s="11"/>
      <c r="K32" s="14">
        <f t="shared" ref="K32:AC32" si="95">SUM(K28+SUM(K31:K31))</f>
        <v>1706715</v>
      </c>
      <c r="L32" s="14">
        <f t="shared" si="95"/>
        <v>1353013</v>
      </c>
      <c r="M32" s="14">
        <f t="shared" si="95"/>
        <v>1449071</v>
      </c>
      <c r="N32" s="14">
        <f t="shared" si="95"/>
        <v>607429</v>
      </c>
      <c r="O32" s="14">
        <f t="shared" si="95"/>
        <v>1597447</v>
      </c>
      <c r="P32" s="14">
        <f t="shared" si="95"/>
        <v>1440951</v>
      </c>
      <c r="Q32" s="14">
        <f t="shared" si="95"/>
        <v>1398242</v>
      </c>
      <c r="R32" s="14">
        <f t="shared" si="95"/>
        <v>55284</v>
      </c>
      <c r="S32" s="14">
        <f t="shared" si="95"/>
        <v>1305120</v>
      </c>
      <c r="T32" s="14">
        <f t="shared" si="95"/>
        <v>1487610</v>
      </c>
      <c r="U32" s="14">
        <f t="shared" si="95"/>
        <v>1677422</v>
      </c>
      <c r="V32" s="14">
        <f t="shared" si="95"/>
        <v>937838</v>
      </c>
      <c r="W32" s="14">
        <f t="shared" si="95"/>
        <v>2332209</v>
      </c>
      <c r="X32" s="14">
        <f t="shared" si="95"/>
        <v>2147306</v>
      </c>
      <c r="Y32" s="14">
        <f t="shared" si="95"/>
        <v>2363509</v>
      </c>
      <c r="Z32" s="14">
        <f t="shared" si="95"/>
        <v>1868607</v>
      </c>
      <c r="AA32" s="14">
        <f t="shared" si="95"/>
        <v>2890351</v>
      </c>
      <c r="AB32" s="14">
        <f t="shared" si="95"/>
        <v>3125413</v>
      </c>
      <c r="AC32" s="14">
        <f t="shared" si="95"/>
        <v>2546916</v>
      </c>
      <c r="AD32" s="33"/>
      <c r="AE32" s="14">
        <f t="shared" ref="AE32:AS32" si="96">SUM(AE28+SUM(AE31:AE31))</f>
        <v>5006960</v>
      </c>
      <c r="AF32" s="14">
        <f t="shared" si="96"/>
        <v>5094898</v>
      </c>
      <c r="AG32" s="14">
        <f t="shared" si="96"/>
        <v>5044069</v>
      </c>
      <c r="AH32" s="14">
        <f t="shared" si="96"/>
        <v>4491924</v>
      </c>
      <c r="AI32" s="14">
        <f t="shared" si="96"/>
        <v>4199597</v>
      </c>
      <c r="AJ32" s="14">
        <f t="shared" si="96"/>
        <v>4246256</v>
      </c>
      <c r="AK32" s="14">
        <f t="shared" si="96"/>
        <v>4525436</v>
      </c>
      <c r="AL32" s="14">
        <f t="shared" si="96"/>
        <v>5407990</v>
      </c>
      <c r="AM32" s="14">
        <f t="shared" si="96"/>
        <v>6435079</v>
      </c>
      <c r="AN32" s="14">
        <f t="shared" si="96"/>
        <v>7094775</v>
      </c>
      <c r="AO32" s="14">
        <f t="shared" si="96"/>
        <v>7780862</v>
      </c>
      <c r="AP32" s="14">
        <f t="shared" si="96"/>
        <v>8711631</v>
      </c>
      <c r="AQ32" s="14">
        <f t="shared" si="96"/>
        <v>9269773</v>
      </c>
      <c r="AR32" s="14">
        <f t="shared" si="96"/>
        <v>10247880</v>
      </c>
      <c r="AS32" s="14">
        <f t="shared" si="96"/>
        <v>10431287</v>
      </c>
      <c r="AT32" s="37"/>
      <c r="AU32" s="80">
        <f>SUM(AS32/AO32)-1</f>
        <v>0.34063385265025903</v>
      </c>
    </row>
    <row r="33" spans="1:47" ht="12.75" customHeight="1">
      <c r="B33" s="16" t="s">
        <v>74</v>
      </c>
      <c r="C33" s="18">
        <f t="shared" ref="C33:I33" si="97">C32/C11</f>
        <v>7.6688353125970873E-2</v>
      </c>
      <c r="D33" s="18">
        <f t="shared" si="97"/>
        <v>9.2621283899885734E-2</v>
      </c>
      <c r="E33" s="18">
        <f t="shared" si="97"/>
        <v>0.11047322825648974</v>
      </c>
      <c r="F33" s="18">
        <f t="shared" si="97"/>
        <v>0.17227607499049427</v>
      </c>
      <c r="G33" s="18">
        <f t="shared" si="97"/>
        <v>0.14207957792921522</v>
      </c>
      <c r="H33" s="18">
        <f t="shared" si="97"/>
        <v>0.16036362043723068</v>
      </c>
      <c r="I33" s="18">
        <f t="shared" si="97"/>
        <v>0.22336962115246067</v>
      </c>
      <c r="J33" s="28"/>
      <c r="K33" s="18">
        <f t="shared" ref="K33:AC33" si="98">K32/K11</f>
        <v>0.23825880371595032</v>
      </c>
      <c r="L33" s="18">
        <f t="shared" si="98"/>
        <v>0.18428958002946699</v>
      </c>
      <c r="M33" s="18">
        <f t="shared" si="98"/>
        <v>0.19363631856731645</v>
      </c>
      <c r="N33" s="18">
        <f t="shared" si="98"/>
        <v>7.87915351267129E-2</v>
      </c>
      <c r="O33" s="18">
        <f t="shared" si="98"/>
        <v>0.20303689725432897</v>
      </c>
      <c r="P33" s="18">
        <f t="shared" si="98"/>
        <v>0.18079366475448802</v>
      </c>
      <c r="Q33" s="18">
        <f t="shared" si="98"/>
        <v>0.17642120983058798</v>
      </c>
      <c r="R33" s="18">
        <f t="shared" si="98"/>
        <v>7.0407064241670304E-3</v>
      </c>
      <c r="S33" s="18">
        <f t="shared" si="98"/>
        <v>0.15991172214235538</v>
      </c>
      <c r="T33" s="18">
        <f t="shared" si="98"/>
        <v>0.18169724064132978</v>
      </c>
      <c r="U33" s="18">
        <f t="shared" si="98"/>
        <v>0.19638108154051409</v>
      </c>
      <c r="V33" s="18">
        <f t="shared" si="98"/>
        <v>0.10617644977682678</v>
      </c>
      <c r="W33" s="18">
        <f t="shared" si="98"/>
        <v>0.24889002010577946</v>
      </c>
      <c r="X33" s="18">
        <f t="shared" si="98"/>
        <v>0.22462981114745731</v>
      </c>
      <c r="Y33" s="18">
        <f t="shared" si="98"/>
        <v>0.24056798459963624</v>
      </c>
      <c r="Z33" s="18">
        <f t="shared" si="98"/>
        <v>0.18236516168964018</v>
      </c>
      <c r="AA33" s="18">
        <f t="shared" si="98"/>
        <v>0.27415399380107808</v>
      </c>
      <c r="AB33" s="18">
        <f t="shared" si="98"/>
        <v>0.28209821930639906</v>
      </c>
      <c r="AC33" s="18">
        <f t="shared" si="98"/>
        <v>0.22127263851433329</v>
      </c>
      <c r="AD33" s="29"/>
      <c r="AE33" s="18">
        <f t="shared" ref="AE33:AS33" si="99">AE32/AE11</f>
        <v>0.16469001437356987</v>
      </c>
      <c r="AF33" s="18">
        <f t="shared" si="99"/>
        <v>0.16418898540229185</v>
      </c>
      <c r="AG33" s="18">
        <f t="shared" si="99"/>
        <v>0.16026748798923771</v>
      </c>
      <c r="AH33" s="18">
        <f t="shared" si="99"/>
        <v>0.14207957792921522</v>
      </c>
      <c r="AI33" s="18">
        <f t="shared" si="99"/>
        <v>0.13161049733297073</v>
      </c>
      <c r="AJ33" s="18">
        <f t="shared" si="99"/>
        <v>0.13217322575923898</v>
      </c>
      <c r="AK33" s="18">
        <f t="shared" si="99"/>
        <v>0.13821279818828877</v>
      </c>
      <c r="AL33" s="18">
        <f t="shared" si="99"/>
        <v>0.16036362043723068</v>
      </c>
      <c r="AM33" s="18">
        <f t="shared" si="99"/>
        <v>0.18421607389896677</v>
      </c>
      <c r="AN33" s="18">
        <f t="shared" si="99"/>
        <v>0.19542550439627676</v>
      </c>
      <c r="AO33" s="18">
        <f t="shared" si="99"/>
        <v>0.20700786047875028</v>
      </c>
      <c r="AP33" s="18">
        <f t="shared" si="99"/>
        <v>0.22336962115246067</v>
      </c>
      <c r="AQ33" s="18">
        <f t="shared" si="99"/>
        <v>0.23074446883625049</v>
      </c>
      <c r="AR33" s="18">
        <f t="shared" si="99"/>
        <v>0.24579269949238464</v>
      </c>
      <c r="AS33" s="18">
        <f t="shared" si="99"/>
        <v>0.24046977154985916</v>
      </c>
      <c r="AT33" s="45"/>
      <c r="AU33" s="81">
        <f>SUM(AS33-AO33)*1000</f>
        <v>33.461911071108879</v>
      </c>
    </row>
    <row r="34" spans="1:47" ht="5.0999999999999996" customHeight="1">
      <c r="B34" s="16"/>
      <c r="C34" s="18"/>
      <c r="D34" s="18"/>
      <c r="E34" s="18"/>
      <c r="F34" s="18"/>
      <c r="G34" s="18"/>
      <c r="H34" s="18"/>
      <c r="I34" s="18"/>
      <c r="J34" s="2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29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45"/>
      <c r="AU34" s="81"/>
    </row>
    <row r="35" spans="1:47" ht="12.75" customHeight="1">
      <c r="B35" s="47" t="s">
        <v>116</v>
      </c>
      <c r="C35" s="140"/>
      <c r="D35" s="140"/>
      <c r="E35" s="86">
        <v>440922</v>
      </c>
      <c r="F35" s="86">
        <v>443155</v>
      </c>
      <c r="G35" s="86">
        <v>444698</v>
      </c>
      <c r="H35" s="86">
        <v>441571</v>
      </c>
      <c r="I35" s="86">
        <f>429519</f>
        <v>429519</v>
      </c>
      <c r="J35" s="28"/>
      <c r="K35" s="86">
        <v>443224</v>
      </c>
      <c r="L35" s="86">
        <v>443159</v>
      </c>
      <c r="M35" s="86">
        <v>442778</v>
      </c>
      <c r="N35" s="33">
        <f>F35</f>
        <v>443155</v>
      </c>
      <c r="O35" s="86">
        <v>444146</v>
      </c>
      <c r="P35" s="86">
        <v>444557</v>
      </c>
      <c r="Q35" s="86">
        <v>444878</v>
      </c>
      <c r="R35" s="33">
        <f>G35</f>
        <v>444698</v>
      </c>
      <c r="S35" s="86">
        <v>445244</v>
      </c>
      <c r="T35" s="86">
        <v>443881</v>
      </c>
      <c r="U35" s="86">
        <v>441537</v>
      </c>
      <c r="V35" s="33">
        <f>K35</f>
        <v>443224</v>
      </c>
      <c r="W35" s="86">
        <v>432090</v>
      </c>
      <c r="X35" s="86">
        <v>430065</v>
      </c>
      <c r="Y35" s="86">
        <v>428239</v>
      </c>
      <c r="Z35" s="33">
        <f>I35</f>
        <v>429519</v>
      </c>
      <c r="AA35" s="86">
        <v>427270</v>
      </c>
      <c r="AB35" s="86">
        <v>425211</v>
      </c>
      <c r="AC35" s="86">
        <v>424455</v>
      </c>
      <c r="AD35" s="140"/>
      <c r="AE35" s="33">
        <f t="shared" ref="AE35:AR35" si="100">O35</f>
        <v>444146</v>
      </c>
      <c r="AF35" s="33">
        <f t="shared" si="100"/>
        <v>444557</v>
      </c>
      <c r="AG35" s="33">
        <f t="shared" si="100"/>
        <v>444878</v>
      </c>
      <c r="AH35" s="33">
        <f t="shared" si="100"/>
        <v>444698</v>
      </c>
      <c r="AI35" s="33">
        <f t="shared" si="100"/>
        <v>445244</v>
      </c>
      <c r="AJ35" s="33">
        <f t="shared" si="100"/>
        <v>443881</v>
      </c>
      <c r="AK35" s="33">
        <f t="shared" si="100"/>
        <v>441537</v>
      </c>
      <c r="AL35" s="33">
        <f t="shared" si="100"/>
        <v>443224</v>
      </c>
      <c r="AM35" s="33">
        <f t="shared" si="100"/>
        <v>432090</v>
      </c>
      <c r="AN35" s="33">
        <f t="shared" si="100"/>
        <v>430065</v>
      </c>
      <c r="AO35" s="33">
        <f t="shared" si="100"/>
        <v>428239</v>
      </c>
      <c r="AP35" s="33">
        <f t="shared" si="100"/>
        <v>429519</v>
      </c>
      <c r="AQ35" s="33">
        <f t="shared" si="100"/>
        <v>427270</v>
      </c>
      <c r="AR35" s="33">
        <f t="shared" si="100"/>
        <v>425211</v>
      </c>
      <c r="AS35" s="33">
        <f>AC35</f>
        <v>424455</v>
      </c>
      <c r="AT35" s="45"/>
      <c r="AU35" s="79">
        <f>SUM(AS35/AO35)-1</f>
        <v>-8.8361872692584997E-3</v>
      </c>
    </row>
    <row r="36" spans="1:47" ht="12.75" customHeight="1">
      <c r="B36" s="13" t="s">
        <v>75</v>
      </c>
      <c r="C36" s="14"/>
      <c r="D36" s="14"/>
      <c r="E36" s="168">
        <f t="shared" ref="E36:H36" si="101">E32/E35</f>
        <v>6.2627743682556094</v>
      </c>
      <c r="F36" s="168">
        <f t="shared" si="101"/>
        <v>11.545007954327493</v>
      </c>
      <c r="G36" s="168">
        <f t="shared" si="101"/>
        <v>10.101066341652087</v>
      </c>
      <c r="H36" s="168">
        <f t="shared" si="101"/>
        <v>12.247158441111395</v>
      </c>
      <c r="I36" s="168">
        <f>I32/I35</f>
        <v>20.282294846095283</v>
      </c>
      <c r="J36" s="28"/>
      <c r="K36" s="168">
        <f t="shared" ref="K36" si="102">K32/K35</f>
        <v>3.8506827247621969</v>
      </c>
      <c r="L36" s="168">
        <f t="shared" ref="L36" si="103">L32/L35</f>
        <v>3.0531096062587015</v>
      </c>
      <c r="M36" s="168">
        <f t="shared" ref="M36" si="104">M32/M35</f>
        <v>3.2726806661577585</v>
      </c>
      <c r="N36" s="168">
        <f t="shared" ref="N36" si="105">N32/N35</f>
        <v>1.3706919700781894</v>
      </c>
      <c r="O36" s="168">
        <f t="shared" ref="O36:X36" si="106">O32/O35</f>
        <v>3.5966709145190996</v>
      </c>
      <c r="P36" s="168">
        <f t="shared" si="106"/>
        <v>3.2413188859921225</v>
      </c>
      <c r="Q36" s="168">
        <f t="shared" si="106"/>
        <v>3.1429785244493997</v>
      </c>
      <c r="R36" s="168">
        <f t="shared" si="106"/>
        <v>0.12431807653733545</v>
      </c>
      <c r="S36" s="168">
        <f t="shared" si="106"/>
        <v>2.9312466872097098</v>
      </c>
      <c r="T36" s="168">
        <f t="shared" si="106"/>
        <v>3.3513712008398646</v>
      </c>
      <c r="U36" s="168">
        <f t="shared" si="106"/>
        <v>3.7990519480813614</v>
      </c>
      <c r="V36" s="168">
        <f t="shared" si="106"/>
        <v>2.1159458874068191</v>
      </c>
      <c r="W36" s="168">
        <f t="shared" si="106"/>
        <v>5.3975074637228353</v>
      </c>
      <c r="X36" s="168">
        <f t="shared" si="106"/>
        <v>4.9929801309104436</v>
      </c>
      <c r="Y36" s="168">
        <f>Y32/Y35</f>
        <v>5.5191353426474468</v>
      </c>
      <c r="Z36" s="168">
        <f t="shared" ref="Z36:AC36" si="107">Z32/Z35</f>
        <v>4.3504641238222295</v>
      </c>
      <c r="AA36" s="168">
        <f t="shared" si="107"/>
        <v>6.7646944554965245</v>
      </c>
      <c r="AB36" s="168">
        <f t="shared" si="107"/>
        <v>7.3502637514081242</v>
      </c>
      <c r="AC36" s="168">
        <f t="shared" si="107"/>
        <v>6.0004382089974202</v>
      </c>
      <c r="AD36" s="140"/>
      <c r="AE36" s="168">
        <f t="shared" ref="AE36" si="108">AE32/AE35</f>
        <v>11.273229973927492</v>
      </c>
      <c r="AF36" s="168">
        <f t="shared" ref="AF36" si="109">AF32/AF35</f>
        <v>11.460618098466563</v>
      </c>
      <c r="AG36" s="168">
        <f t="shared" ref="AG36" si="110">AG32/AG35</f>
        <v>11.338094938387602</v>
      </c>
      <c r="AH36" s="168">
        <f t="shared" ref="AH36" si="111">AH32/AH35</f>
        <v>10.101066341652087</v>
      </c>
      <c r="AI36" s="168">
        <f t="shared" ref="AI36" si="112">AI32/AI35</f>
        <v>9.4321248573815701</v>
      </c>
      <c r="AJ36" s="168">
        <f t="shared" ref="AJ36" si="113">AJ32/AJ35</f>
        <v>9.5662035545562887</v>
      </c>
      <c r="AK36" s="168">
        <f t="shared" ref="AK36" si="114">AK32/AK35</f>
        <v>10.249279222352827</v>
      </c>
      <c r="AL36" s="168">
        <f t="shared" ref="AL36" si="115">AL32/AL35</f>
        <v>12.201482771691063</v>
      </c>
      <c r="AM36" s="168">
        <f t="shared" ref="AM36" si="116">AM32/AM35</f>
        <v>14.892913513388415</v>
      </c>
      <c r="AN36" s="168">
        <f t="shared" ref="AN36" si="117">AN32/AN35</f>
        <v>16.496983014195528</v>
      </c>
      <c r="AO36" s="168">
        <f t="shared" ref="AO36" si="118">AO32/AO35</f>
        <v>18.169438094148362</v>
      </c>
      <c r="AP36" s="168">
        <f t="shared" ref="AP36" si="119">AP32/AP35</f>
        <v>20.282294846095283</v>
      </c>
      <c r="AQ36" s="168">
        <f t="shared" ref="AQ36" si="120">AQ32/AQ35</f>
        <v>21.695351885224799</v>
      </c>
      <c r="AR36" s="168">
        <f t="shared" ref="AR36" si="121">AR32/AR35</f>
        <v>24.100693538031706</v>
      </c>
      <c r="AS36" s="168">
        <f t="shared" ref="AS36" si="122">AS32/AS35</f>
        <v>24.575719452003156</v>
      </c>
      <c r="AT36" s="45"/>
      <c r="AU36" s="80">
        <f>SUM(AS36/AO36)-1</f>
        <v>0.35258555188440299</v>
      </c>
    </row>
    <row r="37" spans="1:47" ht="12.75" customHeight="1">
      <c r="B37" s="26"/>
      <c r="C37" s="51"/>
      <c r="D37" s="51"/>
      <c r="E37" s="51"/>
      <c r="F37" s="51"/>
      <c r="G37" s="51"/>
      <c r="H37" s="51"/>
      <c r="I37" s="51"/>
      <c r="J37" s="167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  <c r="AK37" s="140"/>
      <c r="AL37" s="140"/>
      <c r="AM37" s="140"/>
      <c r="AN37" s="140"/>
      <c r="AO37" s="140"/>
      <c r="AP37" s="140"/>
      <c r="AQ37" s="140"/>
      <c r="AR37" s="140"/>
      <c r="AS37" s="140"/>
      <c r="AT37" s="45"/>
      <c r="AU37" s="79"/>
    </row>
    <row r="38" spans="1:47" ht="12.75" customHeight="1">
      <c r="B38" s="47" t="s">
        <v>76</v>
      </c>
      <c r="C38" s="51"/>
      <c r="D38" s="51"/>
      <c r="E38" s="86">
        <v>454208</v>
      </c>
      <c r="F38" s="86">
        <v>455372</v>
      </c>
      <c r="G38" s="86">
        <v>451290</v>
      </c>
      <c r="H38" s="86">
        <v>449498</v>
      </c>
      <c r="I38" s="86">
        <v>439261</v>
      </c>
      <c r="J38" s="167"/>
      <c r="K38" s="86">
        <v>455641</v>
      </c>
      <c r="L38" s="86">
        <v>455129</v>
      </c>
      <c r="M38" s="86">
        <v>454925</v>
      </c>
      <c r="N38" s="33">
        <f>F38</f>
        <v>455372</v>
      </c>
      <c r="O38" s="86">
        <v>452984</v>
      </c>
      <c r="P38" s="86">
        <v>450169</v>
      </c>
      <c r="Q38" s="86">
        <v>450344</v>
      </c>
      <c r="R38" s="33">
        <f>G38</f>
        <v>451290</v>
      </c>
      <c r="S38" s="86">
        <v>452417</v>
      </c>
      <c r="T38" s="86">
        <v>451572</v>
      </c>
      <c r="U38" s="86">
        <v>450011</v>
      </c>
      <c r="V38" s="33">
        <f>K38</f>
        <v>455641</v>
      </c>
      <c r="W38" s="86">
        <v>441654</v>
      </c>
      <c r="X38" s="86">
        <v>439739</v>
      </c>
      <c r="Y38" s="86">
        <v>437898</v>
      </c>
      <c r="Z38" s="33">
        <f>I38</f>
        <v>439261</v>
      </c>
      <c r="AA38" s="86">
        <v>436962</v>
      </c>
      <c r="AB38" s="86">
        <v>434883</v>
      </c>
      <c r="AC38" s="86">
        <v>434039</v>
      </c>
      <c r="AD38" s="140"/>
      <c r="AE38" s="33">
        <f t="shared" ref="AE38:AR38" si="123">O38</f>
        <v>452984</v>
      </c>
      <c r="AF38" s="33">
        <f t="shared" si="123"/>
        <v>450169</v>
      </c>
      <c r="AG38" s="33">
        <f t="shared" si="123"/>
        <v>450344</v>
      </c>
      <c r="AH38" s="33">
        <f t="shared" si="123"/>
        <v>451290</v>
      </c>
      <c r="AI38" s="33">
        <f t="shared" si="123"/>
        <v>452417</v>
      </c>
      <c r="AJ38" s="33">
        <f t="shared" si="123"/>
        <v>451572</v>
      </c>
      <c r="AK38" s="33">
        <f t="shared" si="123"/>
        <v>450011</v>
      </c>
      <c r="AL38" s="33">
        <f t="shared" si="123"/>
        <v>455641</v>
      </c>
      <c r="AM38" s="33">
        <f t="shared" si="123"/>
        <v>441654</v>
      </c>
      <c r="AN38" s="33">
        <f t="shared" si="123"/>
        <v>439739</v>
      </c>
      <c r="AO38" s="33">
        <f t="shared" si="123"/>
        <v>437898</v>
      </c>
      <c r="AP38" s="33">
        <f t="shared" si="123"/>
        <v>439261</v>
      </c>
      <c r="AQ38" s="33">
        <f t="shared" si="123"/>
        <v>436962</v>
      </c>
      <c r="AR38" s="33">
        <f t="shared" si="123"/>
        <v>434883</v>
      </c>
      <c r="AS38" s="33">
        <f>AC38</f>
        <v>434039</v>
      </c>
      <c r="AT38" s="45"/>
      <c r="AU38" s="79">
        <f>SUM(AS38/AO38)-1</f>
        <v>-8.8125545218292745E-3</v>
      </c>
    </row>
    <row r="39" spans="1:47" ht="12.75" customHeight="1">
      <c r="B39" s="13" t="s">
        <v>115</v>
      </c>
      <c r="C39" s="14"/>
      <c r="D39" s="14"/>
      <c r="E39" s="168">
        <f t="shared" ref="E39:H39" si="124">E32/E38</f>
        <v>6.0795824820346622</v>
      </c>
      <c r="F39" s="168">
        <f t="shared" si="124"/>
        <v>11.235271382518029</v>
      </c>
      <c r="G39" s="168">
        <f t="shared" si="124"/>
        <v>9.9535199095925009</v>
      </c>
      <c r="H39" s="168">
        <f t="shared" si="124"/>
        <v>12.031177001899897</v>
      </c>
      <c r="I39" s="168">
        <f>I32/I38</f>
        <v>19.832470899988845</v>
      </c>
      <c r="J39" s="28"/>
      <c r="K39" s="168">
        <f t="shared" ref="K39" si="125">K32/K38</f>
        <v>3.7457450053880139</v>
      </c>
      <c r="L39" s="168">
        <f t="shared" ref="L39" si="126">L32/L38</f>
        <v>2.9728121038211146</v>
      </c>
      <c r="M39" s="168">
        <f t="shared" ref="M39" si="127">M32/M38</f>
        <v>3.1852964774413364</v>
      </c>
      <c r="N39" s="168">
        <f t="shared" ref="N39" si="128">N32/N38</f>
        <v>1.3339182031394112</v>
      </c>
      <c r="O39" s="168">
        <f t="shared" ref="O39:X39" si="129">O32/O38</f>
        <v>3.526497624640164</v>
      </c>
      <c r="P39" s="168">
        <f t="shared" si="129"/>
        <v>3.2009112133443218</v>
      </c>
      <c r="Q39" s="168">
        <f t="shared" si="129"/>
        <v>3.1048309736556945</v>
      </c>
      <c r="R39" s="168">
        <f t="shared" si="129"/>
        <v>0.12250216047330985</v>
      </c>
      <c r="S39" s="168">
        <f t="shared" si="129"/>
        <v>2.8847722344651063</v>
      </c>
      <c r="T39" s="168">
        <f t="shared" si="129"/>
        <v>3.2942919401557225</v>
      </c>
      <c r="U39" s="168">
        <f t="shared" si="129"/>
        <v>3.7275133274519958</v>
      </c>
      <c r="V39" s="168">
        <f t="shared" si="129"/>
        <v>2.0582827269714534</v>
      </c>
      <c r="W39" s="168">
        <f t="shared" si="129"/>
        <v>5.280624651876809</v>
      </c>
      <c r="X39" s="168">
        <f t="shared" si="129"/>
        <v>4.8831374974700905</v>
      </c>
      <c r="Y39" s="168">
        <f>Y32/Y38</f>
        <v>5.3973961972879527</v>
      </c>
      <c r="Z39" s="168">
        <f t="shared" ref="Z39:AC39" si="130">Z32/Z38</f>
        <v>4.2539788417364619</v>
      </c>
      <c r="AA39" s="168">
        <f t="shared" si="130"/>
        <v>6.6146507018916978</v>
      </c>
      <c r="AB39" s="168">
        <f t="shared" si="130"/>
        <v>7.1867904700804583</v>
      </c>
      <c r="AC39" s="168">
        <f t="shared" si="130"/>
        <v>5.8679427424724508</v>
      </c>
      <c r="AD39" s="140"/>
      <c r="AE39" s="168">
        <f t="shared" ref="AE39" si="131">AE32/AE38</f>
        <v>11.053282235134132</v>
      </c>
      <c r="AF39" s="168">
        <f t="shared" ref="AF39" si="132">AF32/AF38</f>
        <v>11.317745113501818</v>
      </c>
      <c r="AG39" s="168">
        <f t="shared" ref="AG39" si="133">AG32/AG38</f>
        <v>11.200480077451903</v>
      </c>
      <c r="AH39" s="168">
        <f t="shared" ref="AH39" si="134">AH32/AH38</f>
        <v>9.9535199095925009</v>
      </c>
      <c r="AI39" s="168">
        <f t="shared" ref="AI39" si="135">AI32/AI38</f>
        <v>9.2825800091508501</v>
      </c>
      <c r="AJ39" s="168">
        <f t="shared" ref="AJ39" si="136">AJ32/AJ38</f>
        <v>9.4032756681105116</v>
      </c>
      <c r="AK39" s="168">
        <f t="shared" ref="AK39" si="137">AK32/AK38</f>
        <v>10.056278624300296</v>
      </c>
      <c r="AL39" s="168">
        <f t="shared" ref="AL39" si="138">AL32/AL38</f>
        <v>11.868971405119382</v>
      </c>
      <c r="AM39" s="168">
        <f t="shared" ref="AM39" si="139">AM32/AM38</f>
        <v>14.570408056985785</v>
      </c>
      <c r="AN39" s="168">
        <f t="shared" ref="AN39" si="140">AN32/AN38</f>
        <v>16.134059066855567</v>
      </c>
      <c r="AO39" s="168">
        <f t="shared" ref="AO39" si="141">AO32/AO38</f>
        <v>17.768663021982288</v>
      </c>
      <c r="AP39" s="168">
        <f t="shared" ref="AP39" si="142">AP32/AP38</f>
        <v>19.832470899988845</v>
      </c>
      <c r="AQ39" s="168">
        <f t="shared" ref="AQ39" si="143">AQ32/AQ38</f>
        <v>21.214139902325602</v>
      </c>
      <c r="AR39" s="168">
        <f t="shared" ref="AR39" si="144">AR32/AR38</f>
        <v>23.564682914714993</v>
      </c>
      <c r="AS39" s="168">
        <f t="shared" ref="AS39" si="145">AS32/AS38</f>
        <v>24.033063849101119</v>
      </c>
      <c r="AT39" s="45"/>
      <c r="AU39" s="80">
        <f>SUM(AS39/AO39)-1</f>
        <v>0.35255330237108451</v>
      </c>
    </row>
    <row r="40" spans="1:47">
      <c r="B40" s="16"/>
      <c r="C40" s="18"/>
      <c r="D40" s="18"/>
      <c r="E40" s="18"/>
      <c r="F40" s="18"/>
      <c r="G40" s="18"/>
      <c r="H40" s="18"/>
      <c r="I40" s="18"/>
      <c r="J40" s="2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29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45"/>
    </row>
    <row r="41" spans="1:47" ht="12.75" customHeight="1">
      <c r="A41" s="5" t="s">
        <v>19</v>
      </c>
      <c r="B41" s="111" t="s">
        <v>86</v>
      </c>
      <c r="C41" s="112"/>
      <c r="D41" s="112"/>
      <c r="E41" s="112"/>
      <c r="F41" s="112"/>
      <c r="G41" s="112"/>
      <c r="H41" s="112"/>
      <c r="I41" s="112"/>
      <c r="J41" s="113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1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 t="s">
        <v>10</v>
      </c>
      <c r="AO41" s="112"/>
      <c r="AP41" s="112"/>
      <c r="AQ41" s="112"/>
      <c r="AR41" s="112"/>
      <c r="AS41" s="112"/>
      <c r="AT41" s="113"/>
      <c r="AU41" s="171" t="s">
        <v>26</v>
      </c>
    </row>
    <row r="42" spans="1:47" ht="12.75" customHeight="1">
      <c r="B42" s="115" t="str">
        <f t="shared" ref="B42:I43" si="146">B7</f>
        <v>Fiscal Period</v>
      </c>
      <c r="C42" s="114">
        <f t="shared" si="146"/>
        <v>2018</v>
      </c>
      <c r="D42" s="114">
        <f t="shared" si="146"/>
        <v>2019</v>
      </c>
      <c r="E42" s="114">
        <f t="shared" si="146"/>
        <v>2020</v>
      </c>
      <c r="F42" s="114">
        <f t="shared" si="146"/>
        <v>2021</v>
      </c>
      <c r="G42" s="114">
        <f t="shared" si="146"/>
        <v>2022</v>
      </c>
      <c r="H42" s="114">
        <f t="shared" si="146"/>
        <v>2023</v>
      </c>
      <c r="I42" s="114">
        <f t="shared" si="146"/>
        <v>2024</v>
      </c>
      <c r="J42" s="113"/>
      <c r="K42" s="114" t="str">
        <f t="shared" ref="K42:AC42" si="147">K7</f>
        <v>1Q21</v>
      </c>
      <c r="L42" s="114" t="str">
        <f t="shared" si="147"/>
        <v>2Q21</v>
      </c>
      <c r="M42" s="114" t="str">
        <f t="shared" si="147"/>
        <v>3Q21</v>
      </c>
      <c r="N42" s="114" t="str">
        <f t="shared" si="147"/>
        <v>4Q21</v>
      </c>
      <c r="O42" s="114" t="str">
        <f t="shared" si="147"/>
        <v>1Q22</v>
      </c>
      <c r="P42" s="114" t="str">
        <f t="shared" si="147"/>
        <v>2Q22</v>
      </c>
      <c r="Q42" s="114" t="str">
        <f t="shared" si="147"/>
        <v>3Q22</v>
      </c>
      <c r="R42" s="114" t="str">
        <f t="shared" si="147"/>
        <v>4Q22</v>
      </c>
      <c r="S42" s="114" t="str">
        <f t="shared" si="147"/>
        <v>1Q23</v>
      </c>
      <c r="T42" s="114" t="str">
        <f t="shared" si="147"/>
        <v>2Q23</v>
      </c>
      <c r="U42" s="114" t="str">
        <f t="shared" si="147"/>
        <v>3Q23</v>
      </c>
      <c r="V42" s="114" t="str">
        <f t="shared" si="147"/>
        <v>4Q23</v>
      </c>
      <c r="W42" s="114" t="str">
        <f t="shared" si="147"/>
        <v>1Q24</v>
      </c>
      <c r="X42" s="114" t="str">
        <f t="shared" si="147"/>
        <v>2Q24</v>
      </c>
      <c r="Y42" s="114" t="str">
        <f t="shared" si="147"/>
        <v>3Q24</v>
      </c>
      <c r="Z42" s="114" t="str">
        <f t="shared" si="147"/>
        <v>4Q24</v>
      </c>
      <c r="AA42" s="114" t="str">
        <f t="shared" si="147"/>
        <v>1Q25</v>
      </c>
      <c r="AB42" s="114" t="str">
        <f t="shared" si="147"/>
        <v>2Q25</v>
      </c>
      <c r="AC42" s="114" t="str">
        <f t="shared" si="147"/>
        <v>3Q25</v>
      </c>
      <c r="AD42" s="116"/>
      <c r="AE42" s="114" t="str">
        <f t="shared" ref="AE42:AS42" si="148">AE7</f>
        <v>1Q22</v>
      </c>
      <c r="AF42" s="114" t="str">
        <f t="shared" si="148"/>
        <v>2Q22</v>
      </c>
      <c r="AG42" s="114" t="str">
        <f t="shared" si="148"/>
        <v>3Q22</v>
      </c>
      <c r="AH42" s="114" t="str">
        <f t="shared" si="148"/>
        <v>4Q22</v>
      </c>
      <c r="AI42" s="114" t="str">
        <f t="shared" si="148"/>
        <v>1Q23</v>
      </c>
      <c r="AJ42" s="114" t="str">
        <f t="shared" si="148"/>
        <v>2Q23</v>
      </c>
      <c r="AK42" s="114" t="str">
        <f t="shared" si="148"/>
        <v>3Q23</v>
      </c>
      <c r="AL42" s="114" t="str">
        <f t="shared" si="148"/>
        <v>4Q23</v>
      </c>
      <c r="AM42" s="114" t="str">
        <f t="shared" si="148"/>
        <v>1Q24</v>
      </c>
      <c r="AN42" s="114" t="str">
        <f t="shared" si="148"/>
        <v>2Q24</v>
      </c>
      <c r="AO42" s="114" t="str">
        <f t="shared" si="148"/>
        <v>3Q24</v>
      </c>
      <c r="AP42" s="114" t="str">
        <f t="shared" si="148"/>
        <v>4Q24</v>
      </c>
      <c r="AQ42" s="114" t="str">
        <f t="shared" si="148"/>
        <v>1Q25</v>
      </c>
      <c r="AR42" s="114" t="str">
        <f t="shared" si="148"/>
        <v>2Q25</v>
      </c>
      <c r="AS42" s="114" t="str">
        <f t="shared" si="148"/>
        <v>3Q25</v>
      </c>
      <c r="AT42" s="113"/>
      <c r="AU42" s="171"/>
    </row>
    <row r="43" spans="1:47" ht="12.75" customHeight="1">
      <c r="B43" s="115" t="str">
        <f t="shared" si="146"/>
        <v>Fiscal Period End Date</v>
      </c>
      <c r="C43" s="117">
        <f t="shared" si="146"/>
        <v>43465</v>
      </c>
      <c r="D43" s="117">
        <f t="shared" si="146"/>
        <v>43830</v>
      </c>
      <c r="E43" s="117">
        <f t="shared" si="146"/>
        <v>44196</v>
      </c>
      <c r="F43" s="117">
        <f t="shared" si="146"/>
        <v>44561</v>
      </c>
      <c r="G43" s="117">
        <f t="shared" si="146"/>
        <v>44926</v>
      </c>
      <c r="H43" s="117">
        <f t="shared" si="146"/>
        <v>45291</v>
      </c>
      <c r="I43" s="117">
        <f t="shared" si="146"/>
        <v>45657</v>
      </c>
      <c r="J43" s="113"/>
      <c r="K43" s="117">
        <f t="shared" ref="K43:AC43" si="149">K8</f>
        <v>44286</v>
      </c>
      <c r="L43" s="117">
        <f t="shared" si="149"/>
        <v>44377</v>
      </c>
      <c r="M43" s="117">
        <f t="shared" si="149"/>
        <v>44469</v>
      </c>
      <c r="N43" s="117">
        <f t="shared" si="149"/>
        <v>44561</v>
      </c>
      <c r="O43" s="117">
        <f t="shared" si="149"/>
        <v>44651</v>
      </c>
      <c r="P43" s="117">
        <f t="shared" si="149"/>
        <v>44742</v>
      </c>
      <c r="Q43" s="117">
        <f t="shared" si="149"/>
        <v>44834</v>
      </c>
      <c r="R43" s="117">
        <f t="shared" si="149"/>
        <v>44926</v>
      </c>
      <c r="S43" s="117">
        <f t="shared" si="149"/>
        <v>45016</v>
      </c>
      <c r="T43" s="117">
        <f t="shared" si="149"/>
        <v>45107</v>
      </c>
      <c r="U43" s="117">
        <f t="shared" si="149"/>
        <v>45199</v>
      </c>
      <c r="V43" s="117">
        <f t="shared" si="149"/>
        <v>45291</v>
      </c>
      <c r="W43" s="117">
        <f t="shared" si="149"/>
        <v>45382</v>
      </c>
      <c r="X43" s="117">
        <f t="shared" si="149"/>
        <v>45473</v>
      </c>
      <c r="Y43" s="117">
        <f t="shared" si="149"/>
        <v>45565</v>
      </c>
      <c r="Z43" s="117">
        <f t="shared" si="149"/>
        <v>45657</v>
      </c>
      <c r="AA43" s="117">
        <f t="shared" si="149"/>
        <v>45747</v>
      </c>
      <c r="AB43" s="117">
        <f t="shared" si="149"/>
        <v>45838</v>
      </c>
      <c r="AC43" s="117">
        <f t="shared" si="149"/>
        <v>45930</v>
      </c>
      <c r="AD43" s="118"/>
      <c r="AE43" s="117">
        <f t="shared" ref="AE43:AS43" si="150">AE8</f>
        <v>44651</v>
      </c>
      <c r="AF43" s="117">
        <f t="shared" si="150"/>
        <v>44742</v>
      </c>
      <c r="AG43" s="117">
        <f t="shared" si="150"/>
        <v>44834</v>
      </c>
      <c r="AH43" s="117">
        <f t="shared" si="150"/>
        <v>44926</v>
      </c>
      <c r="AI43" s="117">
        <f t="shared" si="150"/>
        <v>45016</v>
      </c>
      <c r="AJ43" s="117">
        <f t="shared" si="150"/>
        <v>45107</v>
      </c>
      <c r="AK43" s="117">
        <f t="shared" si="150"/>
        <v>45199</v>
      </c>
      <c r="AL43" s="117">
        <f t="shared" si="150"/>
        <v>45291</v>
      </c>
      <c r="AM43" s="117">
        <f t="shared" si="150"/>
        <v>45382</v>
      </c>
      <c r="AN43" s="117">
        <f t="shared" si="150"/>
        <v>45473</v>
      </c>
      <c r="AO43" s="117">
        <f t="shared" si="150"/>
        <v>45565</v>
      </c>
      <c r="AP43" s="117">
        <f t="shared" si="150"/>
        <v>45657</v>
      </c>
      <c r="AQ43" s="117">
        <f t="shared" si="150"/>
        <v>45747</v>
      </c>
      <c r="AR43" s="117">
        <f t="shared" si="150"/>
        <v>45838</v>
      </c>
      <c r="AS43" s="117">
        <f t="shared" si="150"/>
        <v>45930</v>
      </c>
      <c r="AT43" s="113"/>
      <c r="AU43" s="171"/>
    </row>
    <row r="44" spans="1:47" ht="5.0999999999999996" customHeight="1">
      <c r="B44" s="49"/>
      <c r="C44" s="50"/>
      <c r="D44" s="50"/>
      <c r="E44" s="50"/>
      <c r="F44" s="50"/>
      <c r="G44" s="50"/>
      <c r="H44" s="50"/>
      <c r="I44" s="50"/>
    </row>
    <row r="45" spans="1:47">
      <c r="B45" s="82" t="s">
        <v>98</v>
      </c>
      <c r="C45" s="50"/>
      <c r="D45" s="50"/>
      <c r="E45" s="50"/>
      <c r="F45" s="50"/>
      <c r="G45" s="50"/>
      <c r="H45" s="50"/>
      <c r="I45" s="50"/>
    </row>
    <row r="46" spans="1:47" s="127" customFormat="1" ht="12.75" customHeight="1">
      <c r="B46" s="119" t="s">
        <v>129</v>
      </c>
      <c r="C46" s="128">
        <v>3794483</v>
      </c>
      <c r="D46" s="128">
        <v>5018437</v>
      </c>
      <c r="E46" s="128">
        <v>8205550</v>
      </c>
      <c r="F46" s="128">
        <v>6027804</v>
      </c>
      <c r="G46" s="128">
        <v>5147176</v>
      </c>
      <c r="H46" s="128">
        <v>7116913</v>
      </c>
      <c r="I46" s="128">
        <v>7804733</v>
      </c>
      <c r="K46" s="86">
        <v>8403705</v>
      </c>
      <c r="L46" s="86">
        <v>7777530</v>
      </c>
      <c r="M46" s="86">
        <v>7526681</v>
      </c>
      <c r="N46" s="33">
        <f t="shared" ref="N46:N48" si="151">F46</f>
        <v>6027804</v>
      </c>
      <c r="O46" s="86">
        <v>6008946</v>
      </c>
      <c r="P46" s="86">
        <v>5819449</v>
      </c>
      <c r="Q46" s="86">
        <v>6113733</v>
      </c>
      <c r="R46" s="102">
        <f t="shared" ref="R46:R48" si="152">G46</f>
        <v>5147176</v>
      </c>
      <c r="S46" s="86">
        <v>6714594</v>
      </c>
      <c r="T46" s="86">
        <v>7662788</v>
      </c>
      <c r="U46" s="86">
        <v>7353245</v>
      </c>
      <c r="V46" s="33">
        <f t="shared" ref="V46:V48" si="153">H46</f>
        <v>7116913</v>
      </c>
      <c r="W46" s="86">
        <v>7024766</v>
      </c>
      <c r="X46" s="86">
        <v>6624939</v>
      </c>
      <c r="Y46" s="86">
        <v>7457025</v>
      </c>
      <c r="Z46" s="33">
        <f t="shared" ref="Z46:Z48" si="154">I46</f>
        <v>7804733</v>
      </c>
      <c r="AA46" s="86">
        <v>7199848</v>
      </c>
      <c r="AB46" s="86">
        <v>8177405</v>
      </c>
      <c r="AC46" s="86">
        <v>9287287</v>
      </c>
      <c r="AE46" s="101">
        <f t="shared" ref="AE46:AS48" si="155">O46</f>
        <v>6008946</v>
      </c>
      <c r="AF46" s="101">
        <f t="shared" si="155"/>
        <v>5819449</v>
      </c>
      <c r="AG46" s="101">
        <f t="shared" si="155"/>
        <v>6113733</v>
      </c>
      <c r="AH46" s="101">
        <f t="shared" si="155"/>
        <v>5147176</v>
      </c>
      <c r="AI46" s="101">
        <f t="shared" si="155"/>
        <v>6714594</v>
      </c>
      <c r="AJ46" s="101">
        <f t="shared" si="155"/>
        <v>7662788</v>
      </c>
      <c r="AK46" s="101">
        <f t="shared" si="155"/>
        <v>7353245</v>
      </c>
      <c r="AL46" s="101">
        <f t="shared" si="155"/>
        <v>7116913</v>
      </c>
      <c r="AM46" s="101">
        <f t="shared" si="155"/>
        <v>7024766</v>
      </c>
      <c r="AN46" s="101">
        <f t="shared" si="155"/>
        <v>6624939</v>
      </c>
      <c r="AO46" s="101">
        <f t="shared" si="155"/>
        <v>7457025</v>
      </c>
      <c r="AP46" s="101">
        <f t="shared" si="155"/>
        <v>7804733</v>
      </c>
      <c r="AQ46" s="101">
        <f t="shared" si="155"/>
        <v>7199848</v>
      </c>
      <c r="AR46" s="101">
        <f t="shared" si="155"/>
        <v>8177405</v>
      </c>
      <c r="AS46" s="101">
        <f t="shared" si="155"/>
        <v>9287287</v>
      </c>
      <c r="AT46" s="129"/>
      <c r="AU46" s="79">
        <f>SUM(AS46/AO46)-1</f>
        <v>0.24544131205138786</v>
      </c>
    </row>
    <row r="47" spans="1:47" s="127" customFormat="1" ht="12.75" customHeight="1">
      <c r="B47" s="119" t="s">
        <v>16</v>
      </c>
      <c r="C47" s="128">
        <v>748466</v>
      </c>
      <c r="D47" s="128">
        <v>1160067</v>
      </c>
      <c r="E47" s="128">
        <v>1556030</v>
      </c>
      <c r="F47" s="128">
        <v>2042021</v>
      </c>
      <c r="G47" s="128">
        <v>3208021</v>
      </c>
      <c r="H47" s="128">
        <v>2780247</v>
      </c>
      <c r="I47" s="128">
        <v>3516640</v>
      </c>
      <c r="K47" s="86">
        <v>1703803</v>
      </c>
      <c r="L47" s="86">
        <v>1826746</v>
      </c>
      <c r="M47" s="86">
        <v>1889106</v>
      </c>
      <c r="N47" s="33">
        <f t="shared" si="151"/>
        <v>2042021</v>
      </c>
      <c r="O47" s="86">
        <v>2089069</v>
      </c>
      <c r="P47" s="86">
        <v>2021329</v>
      </c>
      <c r="Q47" s="86">
        <v>2703170</v>
      </c>
      <c r="R47" s="102">
        <f t="shared" si="152"/>
        <v>3208021</v>
      </c>
      <c r="S47" s="86">
        <v>2655119</v>
      </c>
      <c r="T47" s="86">
        <v>2929347</v>
      </c>
      <c r="U47" s="86">
        <v>2912028</v>
      </c>
      <c r="V47" s="33">
        <f t="shared" si="153"/>
        <v>2780247</v>
      </c>
      <c r="W47" s="86">
        <v>2875574</v>
      </c>
      <c r="X47" s="86">
        <v>2959641</v>
      </c>
      <c r="Y47" s="86">
        <v>2905172</v>
      </c>
      <c r="Z47" s="33">
        <f t="shared" si="154"/>
        <v>3516640</v>
      </c>
      <c r="AA47" s="86">
        <v>3326642</v>
      </c>
      <c r="AB47" s="86">
        <v>3602586</v>
      </c>
      <c r="AC47" s="86">
        <v>3638543</v>
      </c>
      <c r="AE47" s="101">
        <f t="shared" si="155"/>
        <v>2089069</v>
      </c>
      <c r="AF47" s="101">
        <f t="shared" si="155"/>
        <v>2021329</v>
      </c>
      <c r="AG47" s="101">
        <f t="shared" si="155"/>
        <v>2703170</v>
      </c>
      <c r="AH47" s="101">
        <f t="shared" si="155"/>
        <v>3208021</v>
      </c>
      <c r="AI47" s="101">
        <f t="shared" si="155"/>
        <v>2655119</v>
      </c>
      <c r="AJ47" s="101">
        <f t="shared" si="155"/>
        <v>2929347</v>
      </c>
      <c r="AK47" s="101">
        <f t="shared" si="155"/>
        <v>2912028</v>
      </c>
      <c r="AL47" s="101">
        <f t="shared" si="155"/>
        <v>2780247</v>
      </c>
      <c r="AM47" s="101">
        <f t="shared" si="155"/>
        <v>2875574</v>
      </c>
      <c r="AN47" s="101">
        <f t="shared" si="155"/>
        <v>2959641</v>
      </c>
      <c r="AO47" s="101">
        <f t="shared" si="155"/>
        <v>2905172</v>
      </c>
      <c r="AP47" s="101">
        <f t="shared" si="155"/>
        <v>3516640</v>
      </c>
      <c r="AQ47" s="101">
        <f t="shared" si="155"/>
        <v>3326642</v>
      </c>
      <c r="AR47" s="101">
        <f t="shared" si="155"/>
        <v>3602586</v>
      </c>
      <c r="AS47" s="101">
        <f t="shared" si="155"/>
        <v>3638543</v>
      </c>
      <c r="AT47" s="129"/>
      <c r="AU47" s="79">
        <f>SUM(AS47/AO47)-1</f>
        <v>0.25243634456066633</v>
      </c>
    </row>
    <row r="48" spans="1:47" s="127" customFormat="1" ht="12.75" customHeight="1">
      <c r="B48" s="119" t="s">
        <v>130</v>
      </c>
      <c r="C48" s="128">
        <v>0</v>
      </c>
      <c r="D48" s="128">
        <v>0</v>
      </c>
      <c r="E48" s="128">
        <v>0</v>
      </c>
      <c r="F48" s="128">
        <v>0</v>
      </c>
      <c r="G48" s="128">
        <v>911276</v>
      </c>
      <c r="H48" s="128">
        <v>20973</v>
      </c>
      <c r="I48" s="128">
        <v>1779006</v>
      </c>
      <c r="K48" s="86">
        <v>0</v>
      </c>
      <c r="L48" s="86">
        <v>0</v>
      </c>
      <c r="M48" s="86">
        <v>0</v>
      </c>
      <c r="N48" s="33">
        <f t="shared" si="151"/>
        <v>0</v>
      </c>
      <c r="O48" s="86">
        <v>0</v>
      </c>
      <c r="P48" s="86">
        <v>0</v>
      </c>
      <c r="Q48" s="86">
        <v>0</v>
      </c>
      <c r="R48" s="102">
        <f t="shared" si="152"/>
        <v>911276</v>
      </c>
      <c r="S48" s="86">
        <v>1112910</v>
      </c>
      <c r="T48" s="86">
        <v>914201</v>
      </c>
      <c r="U48" s="86">
        <v>514201</v>
      </c>
      <c r="V48" s="33">
        <f t="shared" si="153"/>
        <v>20973</v>
      </c>
      <c r="W48" s="86">
        <v>20973</v>
      </c>
      <c r="X48" s="86">
        <v>30973</v>
      </c>
      <c r="Y48" s="86">
        <v>1766902</v>
      </c>
      <c r="Z48" s="33">
        <f t="shared" si="154"/>
        <v>1779006</v>
      </c>
      <c r="AA48" s="86">
        <v>1171142</v>
      </c>
      <c r="AB48" s="86">
        <v>213115</v>
      </c>
      <c r="AC48" s="86">
        <v>37105</v>
      </c>
      <c r="AE48" s="101">
        <f t="shared" si="155"/>
        <v>0</v>
      </c>
      <c r="AF48" s="101">
        <f t="shared" si="155"/>
        <v>0</v>
      </c>
      <c r="AG48" s="101">
        <f t="shared" si="155"/>
        <v>0</v>
      </c>
      <c r="AH48" s="101">
        <f t="shared" si="155"/>
        <v>911276</v>
      </c>
      <c r="AI48" s="101">
        <f t="shared" si="155"/>
        <v>1112910</v>
      </c>
      <c r="AJ48" s="101">
        <f t="shared" si="155"/>
        <v>914201</v>
      </c>
      <c r="AK48" s="101">
        <f t="shared" si="155"/>
        <v>514201</v>
      </c>
      <c r="AL48" s="101">
        <f t="shared" si="155"/>
        <v>20973</v>
      </c>
      <c r="AM48" s="101">
        <f t="shared" si="155"/>
        <v>20973</v>
      </c>
      <c r="AN48" s="101">
        <f t="shared" si="155"/>
        <v>30973</v>
      </c>
      <c r="AO48" s="101">
        <f t="shared" si="155"/>
        <v>1766902</v>
      </c>
      <c r="AP48" s="101">
        <f t="shared" si="155"/>
        <v>1779006</v>
      </c>
      <c r="AQ48" s="101">
        <f t="shared" si="155"/>
        <v>1171142</v>
      </c>
      <c r="AR48" s="101">
        <f t="shared" si="155"/>
        <v>213115</v>
      </c>
      <c r="AS48" s="101">
        <f t="shared" si="155"/>
        <v>37105</v>
      </c>
      <c r="AT48" s="129"/>
      <c r="AU48" s="79">
        <f>SUM(AS48/AO48)-1</f>
        <v>-0.97899996717418392</v>
      </c>
    </row>
    <row r="49" spans="2:47" ht="12.75" customHeight="1">
      <c r="B49" s="26" t="s">
        <v>22</v>
      </c>
      <c r="C49" s="27">
        <f t="shared" ref="C49:I49" si="156">SUM(C46:C48)</f>
        <v>4542949</v>
      </c>
      <c r="D49" s="27">
        <f t="shared" si="156"/>
        <v>6178504</v>
      </c>
      <c r="E49" s="27">
        <f t="shared" si="156"/>
        <v>9761580</v>
      </c>
      <c r="F49" s="27">
        <f t="shared" si="156"/>
        <v>8069825</v>
      </c>
      <c r="G49" s="27">
        <f t="shared" si="156"/>
        <v>9266473</v>
      </c>
      <c r="H49" s="27">
        <f t="shared" si="156"/>
        <v>9918133</v>
      </c>
      <c r="I49" s="27">
        <f t="shared" si="156"/>
        <v>13100379</v>
      </c>
      <c r="J49" s="51"/>
      <c r="K49" s="27">
        <f t="shared" ref="K49:AC49" si="157">SUM(K46:K48)</f>
        <v>10107508</v>
      </c>
      <c r="L49" s="27">
        <f t="shared" si="157"/>
        <v>9604276</v>
      </c>
      <c r="M49" s="27">
        <f t="shared" si="157"/>
        <v>9415787</v>
      </c>
      <c r="N49" s="27">
        <f t="shared" si="157"/>
        <v>8069825</v>
      </c>
      <c r="O49" s="27">
        <f t="shared" si="157"/>
        <v>8098015</v>
      </c>
      <c r="P49" s="27">
        <f t="shared" si="157"/>
        <v>7840778</v>
      </c>
      <c r="Q49" s="27">
        <f t="shared" si="157"/>
        <v>8816903</v>
      </c>
      <c r="R49" s="27">
        <f t="shared" si="157"/>
        <v>9266473</v>
      </c>
      <c r="S49" s="27">
        <f t="shared" si="157"/>
        <v>10482623</v>
      </c>
      <c r="T49" s="27">
        <f t="shared" si="157"/>
        <v>11506336</v>
      </c>
      <c r="U49" s="27">
        <f t="shared" si="157"/>
        <v>10779474</v>
      </c>
      <c r="V49" s="27">
        <f t="shared" si="157"/>
        <v>9918133</v>
      </c>
      <c r="W49" s="27">
        <f t="shared" si="157"/>
        <v>9921313</v>
      </c>
      <c r="X49" s="27">
        <f t="shared" si="157"/>
        <v>9615553</v>
      </c>
      <c r="Y49" s="27">
        <f t="shared" si="157"/>
        <v>12129099</v>
      </c>
      <c r="Z49" s="27">
        <f t="shared" si="157"/>
        <v>13100379</v>
      </c>
      <c r="AA49" s="27">
        <f t="shared" si="157"/>
        <v>11697632</v>
      </c>
      <c r="AB49" s="27">
        <f t="shared" si="157"/>
        <v>11993106</v>
      </c>
      <c r="AC49" s="27">
        <f t="shared" si="157"/>
        <v>12962935</v>
      </c>
      <c r="AD49" s="51"/>
      <c r="AE49" s="27">
        <f t="shared" ref="AE49:AS49" si="158">SUM(AE46:AE48)</f>
        <v>8098015</v>
      </c>
      <c r="AF49" s="27">
        <f t="shared" si="158"/>
        <v>7840778</v>
      </c>
      <c r="AG49" s="27">
        <f t="shared" si="158"/>
        <v>8816903</v>
      </c>
      <c r="AH49" s="27">
        <f t="shared" si="158"/>
        <v>9266473</v>
      </c>
      <c r="AI49" s="27">
        <f t="shared" si="158"/>
        <v>10482623</v>
      </c>
      <c r="AJ49" s="27">
        <f t="shared" si="158"/>
        <v>11506336</v>
      </c>
      <c r="AK49" s="27">
        <f t="shared" si="158"/>
        <v>10779474</v>
      </c>
      <c r="AL49" s="27">
        <f t="shared" si="158"/>
        <v>9918133</v>
      </c>
      <c r="AM49" s="27">
        <f t="shared" si="158"/>
        <v>9921313</v>
      </c>
      <c r="AN49" s="27">
        <f t="shared" si="158"/>
        <v>9615553</v>
      </c>
      <c r="AO49" s="27">
        <f t="shared" si="158"/>
        <v>12129099</v>
      </c>
      <c r="AP49" s="27">
        <f t="shared" si="158"/>
        <v>13100379</v>
      </c>
      <c r="AQ49" s="27">
        <f t="shared" si="158"/>
        <v>11697632</v>
      </c>
      <c r="AR49" s="27">
        <f t="shared" si="158"/>
        <v>11993106</v>
      </c>
      <c r="AS49" s="27">
        <f t="shared" si="158"/>
        <v>12962935</v>
      </c>
      <c r="AT49" s="44"/>
      <c r="AU49" s="80">
        <f>SUM(AS49/AO49)-1</f>
        <v>6.8746738731376489E-2</v>
      </c>
    </row>
    <row r="50" spans="2:47" ht="5.0999999999999996" customHeight="1">
      <c r="B50" s="26"/>
      <c r="C50" s="52"/>
      <c r="D50" s="52"/>
      <c r="E50" s="52"/>
      <c r="F50" s="52"/>
      <c r="G50" s="52"/>
      <c r="H50" s="43"/>
      <c r="I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1"/>
    </row>
    <row r="51" spans="2:47" ht="12.75" customHeight="1">
      <c r="B51" s="82" t="s">
        <v>99</v>
      </c>
      <c r="C51" s="86"/>
      <c r="D51" s="86"/>
      <c r="E51" s="86"/>
      <c r="F51" s="86"/>
      <c r="G51" s="86"/>
      <c r="H51" s="86"/>
      <c r="I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33"/>
      <c r="AB51" s="86"/>
      <c r="AC51" s="86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11"/>
      <c r="AU51" s="79"/>
    </row>
    <row r="52" spans="2:47" ht="12.75" customHeight="1">
      <c r="B52" s="9" t="s">
        <v>131</v>
      </c>
      <c r="C52" s="86">
        <v>20102327</v>
      </c>
      <c r="D52" s="86">
        <v>24504567</v>
      </c>
      <c r="E52" s="86">
        <v>25383950</v>
      </c>
      <c r="F52" s="86">
        <v>30919539</v>
      </c>
      <c r="G52" s="86">
        <v>32736713</v>
      </c>
      <c r="H52" s="86">
        <v>31658056</v>
      </c>
      <c r="I52" s="86">
        <v>32452462</v>
      </c>
      <c r="K52" s="86">
        <v>26043991</v>
      </c>
      <c r="L52" s="86">
        <v>27291640</v>
      </c>
      <c r="M52" s="86">
        <v>28974045</v>
      </c>
      <c r="N52" s="33">
        <f t="shared" ref="N52:N54" si="159">F52</f>
        <v>30919539</v>
      </c>
      <c r="O52" s="86">
        <v>31191920</v>
      </c>
      <c r="P52" s="86">
        <v>32533199</v>
      </c>
      <c r="Q52" s="86">
        <v>32777340</v>
      </c>
      <c r="R52" s="102">
        <f t="shared" ref="R52:R54" si="160">G52</f>
        <v>32736713</v>
      </c>
      <c r="S52" s="86">
        <v>32349184</v>
      </c>
      <c r="T52" s="86">
        <v>32520774</v>
      </c>
      <c r="U52" s="86">
        <v>31749861</v>
      </c>
      <c r="V52" s="33">
        <f t="shared" ref="V52:V54" si="161">H52</f>
        <v>31658056</v>
      </c>
      <c r="W52" s="86">
        <v>31662100</v>
      </c>
      <c r="X52" s="86">
        <v>31927355</v>
      </c>
      <c r="Y52" s="86">
        <v>32175382</v>
      </c>
      <c r="Z52" s="33">
        <f t="shared" ref="Z52:Z54" si="162">I52</f>
        <v>32452462</v>
      </c>
      <c r="AA52" s="86">
        <v>32040839</v>
      </c>
      <c r="AB52" s="86">
        <v>32089394</v>
      </c>
      <c r="AC52" s="86">
        <v>32639879</v>
      </c>
      <c r="AE52" s="33">
        <f t="shared" ref="AE52:AS54" si="163">O52</f>
        <v>31191920</v>
      </c>
      <c r="AF52" s="33">
        <f t="shared" si="163"/>
        <v>32533199</v>
      </c>
      <c r="AG52" s="33">
        <f t="shared" si="163"/>
        <v>32777340</v>
      </c>
      <c r="AH52" s="33">
        <f t="shared" si="163"/>
        <v>32736713</v>
      </c>
      <c r="AI52" s="33">
        <f t="shared" si="163"/>
        <v>32349184</v>
      </c>
      <c r="AJ52" s="33">
        <f t="shared" si="163"/>
        <v>32520774</v>
      </c>
      <c r="AK52" s="33">
        <f t="shared" si="163"/>
        <v>31749861</v>
      </c>
      <c r="AL52" s="33">
        <f t="shared" si="163"/>
        <v>31658056</v>
      </c>
      <c r="AM52" s="33">
        <f t="shared" si="163"/>
        <v>31662100</v>
      </c>
      <c r="AN52" s="33">
        <f t="shared" si="163"/>
        <v>31927355</v>
      </c>
      <c r="AO52" s="33">
        <f t="shared" si="163"/>
        <v>32175382</v>
      </c>
      <c r="AP52" s="33">
        <f t="shared" si="163"/>
        <v>32452462</v>
      </c>
      <c r="AQ52" s="33">
        <f t="shared" si="163"/>
        <v>32040839</v>
      </c>
      <c r="AR52" s="33">
        <f t="shared" si="163"/>
        <v>32089394</v>
      </c>
      <c r="AS52" s="33">
        <f t="shared" si="163"/>
        <v>32639879</v>
      </c>
      <c r="AT52" s="11"/>
      <c r="AU52" s="79">
        <f t="shared" ref="AU52:AU55" si="164">SUM(AS52/AO52)-1</f>
        <v>1.4436409799268191E-2</v>
      </c>
    </row>
    <row r="53" spans="2:47" ht="12.75" customHeight="1">
      <c r="B53" s="9" t="s">
        <v>106</v>
      </c>
      <c r="C53" s="86">
        <v>418281</v>
      </c>
      <c r="D53" s="86">
        <v>565221</v>
      </c>
      <c r="E53" s="86">
        <v>960183</v>
      </c>
      <c r="F53" s="86">
        <v>1323453</v>
      </c>
      <c r="G53" s="86">
        <v>1398257</v>
      </c>
      <c r="H53" s="86">
        <v>1491444</v>
      </c>
      <c r="I53" s="86">
        <v>1593756</v>
      </c>
      <c r="K53" s="86">
        <v>1015419</v>
      </c>
      <c r="L53" s="86">
        <v>1107437</v>
      </c>
      <c r="M53" s="86">
        <v>1220114</v>
      </c>
      <c r="N53" s="33">
        <f t="shared" si="159"/>
        <v>1323453</v>
      </c>
      <c r="O53" s="86">
        <v>1383763</v>
      </c>
      <c r="P53" s="86">
        <v>1361920</v>
      </c>
      <c r="Q53" s="86">
        <v>1372754</v>
      </c>
      <c r="R53" s="102">
        <f t="shared" si="160"/>
        <v>1398257</v>
      </c>
      <c r="S53" s="86">
        <v>1413094</v>
      </c>
      <c r="T53" s="86">
        <v>1471968</v>
      </c>
      <c r="U53" s="86">
        <v>1498391</v>
      </c>
      <c r="V53" s="33">
        <f t="shared" si="161"/>
        <v>1491444</v>
      </c>
      <c r="W53" s="86">
        <v>1501168</v>
      </c>
      <c r="X53" s="86">
        <v>1510958</v>
      </c>
      <c r="Y53" s="86">
        <v>1568212</v>
      </c>
      <c r="Z53" s="33">
        <f t="shared" si="162"/>
        <v>1593756</v>
      </c>
      <c r="AA53" s="86">
        <v>1644346</v>
      </c>
      <c r="AB53" s="86">
        <v>1743566</v>
      </c>
      <c r="AC53" s="86">
        <v>1837889</v>
      </c>
      <c r="AE53" s="33">
        <f t="shared" si="163"/>
        <v>1383763</v>
      </c>
      <c r="AF53" s="33">
        <f t="shared" si="163"/>
        <v>1361920</v>
      </c>
      <c r="AG53" s="33">
        <f t="shared" si="163"/>
        <v>1372754</v>
      </c>
      <c r="AH53" s="33">
        <f t="shared" si="163"/>
        <v>1398257</v>
      </c>
      <c r="AI53" s="33">
        <f t="shared" si="163"/>
        <v>1413094</v>
      </c>
      <c r="AJ53" s="33">
        <f t="shared" si="163"/>
        <v>1471968</v>
      </c>
      <c r="AK53" s="33">
        <f t="shared" si="163"/>
        <v>1498391</v>
      </c>
      <c r="AL53" s="33">
        <f t="shared" si="163"/>
        <v>1491444</v>
      </c>
      <c r="AM53" s="33">
        <f t="shared" si="163"/>
        <v>1501168</v>
      </c>
      <c r="AN53" s="33">
        <f t="shared" si="163"/>
        <v>1510958</v>
      </c>
      <c r="AO53" s="33">
        <f t="shared" si="163"/>
        <v>1568212</v>
      </c>
      <c r="AP53" s="33">
        <f t="shared" si="163"/>
        <v>1593756</v>
      </c>
      <c r="AQ53" s="33">
        <f t="shared" si="163"/>
        <v>1644346</v>
      </c>
      <c r="AR53" s="33">
        <f t="shared" si="163"/>
        <v>1743566</v>
      </c>
      <c r="AS53" s="33">
        <f t="shared" si="163"/>
        <v>1837889</v>
      </c>
      <c r="AT53" s="11"/>
      <c r="AU53" s="79">
        <f t="shared" si="164"/>
        <v>0.1719646323328734</v>
      </c>
    </row>
    <row r="54" spans="2:47" ht="12.75" customHeight="1">
      <c r="B54" s="9" t="s">
        <v>105</v>
      </c>
      <c r="C54" s="86">
        <v>910843</v>
      </c>
      <c r="D54" s="86">
        <v>2727420</v>
      </c>
      <c r="E54" s="86">
        <v>3174646</v>
      </c>
      <c r="F54" s="86">
        <v>4271846</v>
      </c>
      <c r="G54" s="86">
        <v>5193325</v>
      </c>
      <c r="H54" s="86">
        <v>5664359</v>
      </c>
      <c r="I54" s="86">
        <v>6483777</v>
      </c>
      <c r="K54" s="86">
        <v>2956096</v>
      </c>
      <c r="L54" s="86">
        <v>2967616</v>
      </c>
      <c r="M54" s="86">
        <v>3129911</v>
      </c>
      <c r="N54" s="33">
        <f t="shared" si="159"/>
        <v>4271846</v>
      </c>
      <c r="O54" s="86">
        <v>4657206</v>
      </c>
      <c r="P54" s="86">
        <v>4615038</v>
      </c>
      <c r="Q54" s="86">
        <v>4595190</v>
      </c>
      <c r="R54" s="102">
        <f t="shared" si="160"/>
        <v>5193325</v>
      </c>
      <c r="S54" s="86">
        <v>5245444</v>
      </c>
      <c r="T54" s="86">
        <v>5318395</v>
      </c>
      <c r="U54" s="86">
        <v>5474060</v>
      </c>
      <c r="V54" s="33">
        <f t="shared" si="161"/>
        <v>5664359</v>
      </c>
      <c r="W54" s="86">
        <v>5743140</v>
      </c>
      <c r="X54" s="86">
        <v>6045029</v>
      </c>
      <c r="Y54" s="86">
        <v>6409151</v>
      </c>
      <c r="Z54" s="33">
        <f t="shared" si="162"/>
        <v>6483777</v>
      </c>
      <c r="AA54" s="86">
        <v>6704827</v>
      </c>
      <c r="AB54" s="86">
        <v>7273598</v>
      </c>
      <c r="AC54" s="86">
        <v>7494132</v>
      </c>
      <c r="AE54" s="33">
        <f t="shared" si="163"/>
        <v>4657206</v>
      </c>
      <c r="AF54" s="33">
        <f t="shared" si="163"/>
        <v>4615038</v>
      </c>
      <c r="AG54" s="33">
        <f t="shared" si="163"/>
        <v>4595190</v>
      </c>
      <c r="AH54" s="33">
        <f t="shared" si="163"/>
        <v>5193325</v>
      </c>
      <c r="AI54" s="33">
        <f t="shared" si="163"/>
        <v>5245444</v>
      </c>
      <c r="AJ54" s="33">
        <f t="shared" si="163"/>
        <v>5318395</v>
      </c>
      <c r="AK54" s="33">
        <f t="shared" si="163"/>
        <v>5474060</v>
      </c>
      <c r="AL54" s="33">
        <f t="shared" si="163"/>
        <v>5664359</v>
      </c>
      <c r="AM54" s="33">
        <f t="shared" si="163"/>
        <v>5743140</v>
      </c>
      <c r="AN54" s="33">
        <f t="shared" si="163"/>
        <v>6045029</v>
      </c>
      <c r="AO54" s="33">
        <f t="shared" si="163"/>
        <v>6409151</v>
      </c>
      <c r="AP54" s="33">
        <f t="shared" si="163"/>
        <v>6483777</v>
      </c>
      <c r="AQ54" s="33">
        <f t="shared" si="163"/>
        <v>6704827</v>
      </c>
      <c r="AR54" s="33">
        <f t="shared" si="163"/>
        <v>7273598</v>
      </c>
      <c r="AS54" s="33">
        <f t="shared" si="163"/>
        <v>7494132</v>
      </c>
      <c r="AT54" s="11"/>
      <c r="AU54" s="79">
        <f t="shared" si="164"/>
        <v>0.16928622839436924</v>
      </c>
    </row>
    <row r="55" spans="2:47" ht="12.75" customHeight="1">
      <c r="B55" s="13" t="s">
        <v>23</v>
      </c>
      <c r="C55" s="14">
        <f t="shared" ref="C55:I55" si="165">SUM(C52:C54)+C49</f>
        <v>25974400</v>
      </c>
      <c r="D55" s="14">
        <f t="shared" si="165"/>
        <v>33975712</v>
      </c>
      <c r="E55" s="14">
        <f t="shared" si="165"/>
        <v>39280359</v>
      </c>
      <c r="F55" s="14">
        <f t="shared" si="165"/>
        <v>44584663</v>
      </c>
      <c r="G55" s="14">
        <f t="shared" si="165"/>
        <v>48594768</v>
      </c>
      <c r="H55" s="14">
        <f t="shared" si="165"/>
        <v>48731992</v>
      </c>
      <c r="I55" s="14">
        <f t="shared" si="165"/>
        <v>53630374</v>
      </c>
      <c r="K55" s="14">
        <f t="shared" ref="K55:AC55" si="166">SUM(K52:K54)+K49</f>
        <v>40123014</v>
      </c>
      <c r="L55" s="14">
        <f t="shared" si="166"/>
        <v>40970969</v>
      </c>
      <c r="M55" s="14">
        <f t="shared" si="166"/>
        <v>42739857</v>
      </c>
      <c r="N55" s="14">
        <f t="shared" si="166"/>
        <v>44584663</v>
      </c>
      <c r="O55" s="14">
        <f t="shared" si="166"/>
        <v>45330904</v>
      </c>
      <c r="P55" s="14">
        <f t="shared" si="166"/>
        <v>46350935</v>
      </c>
      <c r="Q55" s="14">
        <f t="shared" si="166"/>
        <v>47562187</v>
      </c>
      <c r="R55" s="14">
        <f t="shared" si="166"/>
        <v>48594768</v>
      </c>
      <c r="S55" s="14">
        <f t="shared" si="166"/>
        <v>49490345</v>
      </c>
      <c r="T55" s="14">
        <f t="shared" si="166"/>
        <v>50817473</v>
      </c>
      <c r="U55" s="14">
        <f t="shared" si="166"/>
        <v>49501786</v>
      </c>
      <c r="V55" s="14">
        <f t="shared" si="166"/>
        <v>48731992</v>
      </c>
      <c r="W55" s="14">
        <f t="shared" si="166"/>
        <v>48827721</v>
      </c>
      <c r="X55" s="14">
        <f t="shared" si="166"/>
        <v>49098895</v>
      </c>
      <c r="Y55" s="14">
        <f t="shared" si="166"/>
        <v>52281844</v>
      </c>
      <c r="Z55" s="14">
        <f t="shared" si="166"/>
        <v>53630374</v>
      </c>
      <c r="AA55" s="14">
        <f t="shared" si="166"/>
        <v>52087644</v>
      </c>
      <c r="AB55" s="14">
        <f t="shared" si="166"/>
        <v>53099664</v>
      </c>
      <c r="AC55" s="14">
        <f t="shared" si="166"/>
        <v>54934835</v>
      </c>
      <c r="AE55" s="14">
        <f t="shared" ref="AE55:AS55" si="167">SUM(AE52:AE54)+AE49</f>
        <v>45330904</v>
      </c>
      <c r="AF55" s="14">
        <f t="shared" si="167"/>
        <v>46350935</v>
      </c>
      <c r="AG55" s="14">
        <f t="shared" si="167"/>
        <v>47562187</v>
      </c>
      <c r="AH55" s="14">
        <f t="shared" si="167"/>
        <v>48594768</v>
      </c>
      <c r="AI55" s="14">
        <f t="shared" si="167"/>
        <v>49490345</v>
      </c>
      <c r="AJ55" s="14">
        <f t="shared" si="167"/>
        <v>50817473</v>
      </c>
      <c r="AK55" s="14">
        <f t="shared" si="167"/>
        <v>49501786</v>
      </c>
      <c r="AL55" s="14">
        <f t="shared" si="167"/>
        <v>48731992</v>
      </c>
      <c r="AM55" s="14">
        <f t="shared" si="167"/>
        <v>48827721</v>
      </c>
      <c r="AN55" s="14">
        <f t="shared" si="167"/>
        <v>49098895</v>
      </c>
      <c r="AO55" s="14">
        <f t="shared" si="167"/>
        <v>52281844</v>
      </c>
      <c r="AP55" s="14">
        <f t="shared" si="167"/>
        <v>53630374</v>
      </c>
      <c r="AQ55" s="14">
        <f t="shared" si="167"/>
        <v>52087644</v>
      </c>
      <c r="AR55" s="14">
        <f t="shared" si="167"/>
        <v>53099664</v>
      </c>
      <c r="AS55" s="35">
        <f t="shared" si="167"/>
        <v>54934835</v>
      </c>
      <c r="AT55" s="44"/>
      <c r="AU55" s="80">
        <f t="shared" si="164"/>
        <v>5.0744021194049749E-2</v>
      </c>
    </row>
    <row r="56" spans="2:47" ht="12.75" customHeight="1">
      <c r="B56" s="26"/>
      <c r="C56" s="53"/>
      <c r="D56" s="53"/>
      <c r="E56" s="53"/>
      <c r="F56" s="53"/>
      <c r="G56" s="53"/>
      <c r="H56" s="43"/>
      <c r="I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1"/>
    </row>
    <row r="57" spans="2:47" ht="12.75" customHeight="1">
      <c r="B57" s="82" t="s">
        <v>54</v>
      </c>
      <c r="C57" s="53"/>
      <c r="D57" s="53"/>
      <c r="E57" s="53"/>
      <c r="F57" s="53"/>
      <c r="G57" s="53"/>
      <c r="H57" s="43"/>
      <c r="I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1"/>
    </row>
    <row r="58" spans="2:47" ht="12.75" customHeight="1">
      <c r="B58" s="125" t="s">
        <v>132</v>
      </c>
      <c r="C58" s="126">
        <v>4681562</v>
      </c>
      <c r="D58" s="126">
        <v>4413561</v>
      </c>
      <c r="E58" s="126">
        <v>4429536</v>
      </c>
      <c r="F58" s="126">
        <v>4292967</v>
      </c>
      <c r="G58" s="126">
        <v>4480150</v>
      </c>
      <c r="H58" s="126">
        <v>4466470</v>
      </c>
      <c r="I58" s="126">
        <v>4393681</v>
      </c>
      <c r="K58" s="86">
        <v>4297957</v>
      </c>
      <c r="L58" s="86">
        <v>4197874</v>
      </c>
      <c r="M58" s="86">
        <v>4110962</v>
      </c>
      <c r="N58" s="33">
        <f t="shared" ref="N58:N62" si="168">F58</f>
        <v>4292967</v>
      </c>
      <c r="O58" s="86">
        <v>4066289</v>
      </c>
      <c r="P58" s="86">
        <v>4174966</v>
      </c>
      <c r="Q58" s="86">
        <v>4225890</v>
      </c>
      <c r="R58" s="102">
        <f t="shared" ref="R58:R62" si="169">G58</f>
        <v>4480150</v>
      </c>
      <c r="S58" s="86">
        <v>4344580</v>
      </c>
      <c r="T58" s="86">
        <v>4440412</v>
      </c>
      <c r="U58" s="86">
        <v>4259582</v>
      </c>
      <c r="V58" s="33">
        <f t="shared" ref="V58:V62" si="170">H58</f>
        <v>4466470</v>
      </c>
      <c r="W58" s="86">
        <v>4436021</v>
      </c>
      <c r="X58" s="86">
        <v>4391437</v>
      </c>
      <c r="Y58" s="86">
        <v>4489971</v>
      </c>
      <c r="Z58" s="33">
        <f t="shared" ref="Z58:Z62" si="171">I58</f>
        <v>4393681</v>
      </c>
      <c r="AA58" s="86">
        <v>4128905</v>
      </c>
      <c r="AB58" s="86">
        <v>4091770</v>
      </c>
      <c r="AC58" s="86">
        <v>4102640</v>
      </c>
      <c r="AE58" s="102">
        <f t="shared" ref="AE58:AS62" si="172">O58</f>
        <v>4066289</v>
      </c>
      <c r="AF58" s="102">
        <f t="shared" si="172"/>
        <v>4174966</v>
      </c>
      <c r="AG58" s="102">
        <f t="shared" si="172"/>
        <v>4225890</v>
      </c>
      <c r="AH58" s="102">
        <f t="shared" si="172"/>
        <v>4480150</v>
      </c>
      <c r="AI58" s="102">
        <f t="shared" si="172"/>
        <v>4344580</v>
      </c>
      <c r="AJ58" s="102">
        <f t="shared" si="172"/>
        <v>4440412</v>
      </c>
      <c r="AK58" s="102">
        <f t="shared" si="172"/>
        <v>4259582</v>
      </c>
      <c r="AL58" s="102">
        <f t="shared" si="172"/>
        <v>4466470</v>
      </c>
      <c r="AM58" s="102">
        <f t="shared" si="172"/>
        <v>4436021</v>
      </c>
      <c r="AN58" s="102">
        <f t="shared" si="172"/>
        <v>4391437</v>
      </c>
      <c r="AO58" s="102">
        <f t="shared" si="172"/>
        <v>4489971</v>
      </c>
      <c r="AP58" s="102">
        <f t="shared" si="172"/>
        <v>4393681</v>
      </c>
      <c r="AQ58" s="102">
        <f t="shared" si="172"/>
        <v>4128905</v>
      </c>
      <c r="AR58" s="102">
        <f t="shared" si="172"/>
        <v>4091770</v>
      </c>
      <c r="AS58" s="102">
        <f t="shared" si="172"/>
        <v>4102640</v>
      </c>
      <c r="AT58" s="11"/>
      <c r="AU58" s="79">
        <f t="shared" ref="AU58:AU63" si="173">SUM(AS58/AO58)-1</f>
        <v>-8.6265813298125993E-2</v>
      </c>
    </row>
    <row r="59" spans="2:47" ht="12.75" customHeight="1">
      <c r="B59" s="125" t="s">
        <v>13</v>
      </c>
      <c r="C59" s="126">
        <v>562985</v>
      </c>
      <c r="D59" s="126">
        <v>674347</v>
      </c>
      <c r="E59" s="126">
        <v>656183</v>
      </c>
      <c r="F59" s="126">
        <v>837483</v>
      </c>
      <c r="G59" s="126">
        <v>671513</v>
      </c>
      <c r="H59" s="126">
        <v>747412</v>
      </c>
      <c r="I59" s="126">
        <v>899909</v>
      </c>
      <c r="K59" s="86">
        <v>532942</v>
      </c>
      <c r="L59" s="86">
        <v>622931</v>
      </c>
      <c r="M59" s="86">
        <v>643059</v>
      </c>
      <c r="N59" s="33">
        <f t="shared" si="168"/>
        <v>837483</v>
      </c>
      <c r="O59" s="86">
        <v>617202</v>
      </c>
      <c r="P59" s="86">
        <v>504278</v>
      </c>
      <c r="Q59" s="86">
        <v>560156</v>
      </c>
      <c r="R59" s="102">
        <f t="shared" si="169"/>
        <v>671513</v>
      </c>
      <c r="S59" s="86">
        <v>591987</v>
      </c>
      <c r="T59" s="86">
        <v>615374</v>
      </c>
      <c r="U59" s="86">
        <v>534429</v>
      </c>
      <c r="V59" s="33">
        <f t="shared" si="170"/>
        <v>747412</v>
      </c>
      <c r="W59" s="86">
        <v>607348</v>
      </c>
      <c r="X59" s="86">
        <v>598557</v>
      </c>
      <c r="Y59" s="86">
        <v>641953</v>
      </c>
      <c r="Z59" s="33">
        <f t="shared" si="171"/>
        <v>899909</v>
      </c>
      <c r="AA59" s="86">
        <v>614489</v>
      </c>
      <c r="AB59" s="86">
        <v>632718</v>
      </c>
      <c r="AC59" s="86">
        <v>793233</v>
      </c>
      <c r="AE59" s="102">
        <f t="shared" si="172"/>
        <v>617202</v>
      </c>
      <c r="AF59" s="102">
        <f t="shared" si="172"/>
        <v>504278</v>
      </c>
      <c r="AG59" s="102">
        <f t="shared" si="172"/>
        <v>560156</v>
      </c>
      <c r="AH59" s="102">
        <f t="shared" si="172"/>
        <v>671513</v>
      </c>
      <c r="AI59" s="102">
        <f t="shared" si="172"/>
        <v>591987</v>
      </c>
      <c r="AJ59" s="102">
        <f t="shared" si="172"/>
        <v>615374</v>
      </c>
      <c r="AK59" s="102">
        <f t="shared" si="172"/>
        <v>534429</v>
      </c>
      <c r="AL59" s="102">
        <f t="shared" si="172"/>
        <v>747412</v>
      </c>
      <c r="AM59" s="102">
        <f t="shared" si="172"/>
        <v>607348</v>
      </c>
      <c r="AN59" s="102">
        <f t="shared" si="172"/>
        <v>598557</v>
      </c>
      <c r="AO59" s="102">
        <f t="shared" si="172"/>
        <v>641953</v>
      </c>
      <c r="AP59" s="102">
        <f t="shared" si="172"/>
        <v>899909</v>
      </c>
      <c r="AQ59" s="102">
        <f t="shared" si="172"/>
        <v>614489</v>
      </c>
      <c r="AR59" s="102">
        <f t="shared" si="172"/>
        <v>632718</v>
      </c>
      <c r="AS59" s="102">
        <f t="shared" si="172"/>
        <v>793233</v>
      </c>
      <c r="AT59" s="11"/>
      <c r="AU59" s="79">
        <f t="shared" si="173"/>
        <v>0.23565588134956927</v>
      </c>
    </row>
    <row r="60" spans="2:47" ht="12.75" customHeight="1">
      <c r="B60" s="125" t="s">
        <v>133</v>
      </c>
      <c r="C60" s="126">
        <v>481874</v>
      </c>
      <c r="D60" s="126">
        <v>843043</v>
      </c>
      <c r="E60" s="126">
        <v>1102196</v>
      </c>
      <c r="F60" s="126">
        <v>1449351</v>
      </c>
      <c r="G60" s="126">
        <v>1514650</v>
      </c>
      <c r="H60" s="126">
        <v>1803960</v>
      </c>
      <c r="I60" s="126">
        <v>2156544</v>
      </c>
      <c r="K60" s="86">
        <v>1291812</v>
      </c>
      <c r="L60" s="86">
        <v>1125591</v>
      </c>
      <c r="M60" s="86">
        <v>1413120</v>
      </c>
      <c r="N60" s="33">
        <f t="shared" si="168"/>
        <v>1449351</v>
      </c>
      <c r="O60" s="86">
        <v>1817117</v>
      </c>
      <c r="P60" s="86">
        <v>1596035</v>
      </c>
      <c r="Q60" s="86">
        <v>1803555</v>
      </c>
      <c r="R60" s="102">
        <f t="shared" si="169"/>
        <v>1514650</v>
      </c>
      <c r="S60" s="86">
        <v>1718069</v>
      </c>
      <c r="T60" s="86">
        <v>1908714</v>
      </c>
      <c r="U60" s="86">
        <v>1838908</v>
      </c>
      <c r="V60" s="33">
        <f t="shared" si="170"/>
        <v>1803960</v>
      </c>
      <c r="W60" s="86">
        <v>1977428</v>
      </c>
      <c r="X60" s="86">
        <v>1876244</v>
      </c>
      <c r="Y60" s="86">
        <v>2241758</v>
      </c>
      <c r="Z60" s="33">
        <f t="shared" si="171"/>
        <v>2156544</v>
      </c>
      <c r="AA60" s="86">
        <v>2359518</v>
      </c>
      <c r="AB60" s="86">
        <v>2489486</v>
      </c>
      <c r="AC60" s="86">
        <v>3111311</v>
      </c>
      <c r="AE60" s="102">
        <f t="shared" si="172"/>
        <v>1817117</v>
      </c>
      <c r="AF60" s="102">
        <f t="shared" si="172"/>
        <v>1596035</v>
      </c>
      <c r="AG60" s="102">
        <f t="shared" si="172"/>
        <v>1803555</v>
      </c>
      <c r="AH60" s="102">
        <f t="shared" si="172"/>
        <v>1514650</v>
      </c>
      <c r="AI60" s="102">
        <f t="shared" si="172"/>
        <v>1718069</v>
      </c>
      <c r="AJ60" s="102">
        <f t="shared" si="172"/>
        <v>1908714</v>
      </c>
      <c r="AK60" s="102">
        <f t="shared" si="172"/>
        <v>1838908</v>
      </c>
      <c r="AL60" s="102">
        <f t="shared" si="172"/>
        <v>1803960</v>
      </c>
      <c r="AM60" s="102">
        <f t="shared" si="172"/>
        <v>1977428</v>
      </c>
      <c r="AN60" s="102">
        <f t="shared" si="172"/>
        <v>1876244</v>
      </c>
      <c r="AO60" s="102">
        <f t="shared" si="172"/>
        <v>2241758</v>
      </c>
      <c r="AP60" s="102">
        <f t="shared" si="172"/>
        <v>2156544</v>
      </c>
      <c r="AQ60" s="102">
        <f t="shared" si="172"/>
        <v>2359518</v>
      </c>
      <c r="AR60" s="102">
        <f t="shared" si="172"/>
        <v>2489486</v>
      </c>
      <c r="AS60" s="102">
        <f t="shared" si="172"/>
        <v>3111311</v>
      </c>
      <c r="AT60" s="11"/>
      <c r="AU60" s="79">
        <f t="shared" si="173"/>
        <v>0.38788888006644795</v>
      </c>
    </row>
    <row r="61" spans="2:47" ht="12.75" customHeight="1">
      <c r="B61" s="125" t="s">
        <v>110</v>
      </c>
      <c r="C61" s="126">
        <v>760899</v>
      </c>
      <c r="D61" s="126">
        <v>924745</v>
      </c>
      <c r="E61" s="126">
        <v>1117992</v>
      </c>
      <c r="F61" s="126">
        <v>1209342</v>
      </c>
      <c r="G61" s="126">
        <v>1264661</v>
      </c>
      <c r="H61" s="126">
        <v>1442969</v>
      </c>
      <c r="I61" s="126">
        <v>1520813</v>
      </c>
      <c r="K61" s="86">
        <v>1140271</v>
      </c>
      <c r="L61" s="86">
        <v>1187364</v>
      </c>
      <c r="M61" s="86">
        <v>1182632</v>
      </c>
      <c r="N61" s="33">
        <f t="shared" si="168"/>
        <v>1209342</v>
      </c>
      <c r="O61" s="86">
        <v>1239048</v>
      </c>
      <c r="P61" s="86">
        <v>1224743</v>
      </c>
      <c r="Q61" s="86">
        <v>1176323</v>
      </c>
      <c r="R61" s="102">
        <f t="shared" si="169"/>
        <v>1264661</v>
      </c>
      <c r="S61" s="86">
        <v>1262271</v>
      </c>
      <c r="T61" s="86">
        <v>1311918</v>
      </c>
      <c r="U61" s="86">
        <v>1306185</v>
      </c>
      <c r="V61" s="33">
        <f t="shared" si="170"/>
        <v>1442969</v>
      </c>
      <c r="W61" s="86">
        <v>1469484</v>
      </c>
      <c r="X61" s="86">
        <v>1473720</v>
      </c>
      <c r="Y61" s="86">
        <v>1513048</v>
      </c>
      <c r="Z61" s="33">
        <f t="shared" si="171"/>
        <v>1520813</v>
      </c>
      <c r="AA61" s="86">
        <v>1609726</v>
      </c>
      <c r="AB61" s="86">
        <v>1728361</v>
      </c>
      <c r="AC61" s="86">
        <v>1724675</v>
      </c>
      <c r="AE61" s="102">
        <f t="shared" si="172"/>
        <v>1239048</v>
      </c>
      <c r="AF61" s="102">
        <f t="shared" si="172"/>
        <v>1224743</v>
      </c>
      <c r="AG61" s="102">
        <f t="shared" si="172"/>
        <v>1176323</v>
      </c>
      <c r="AH61" s="102">
        <f t="shared" si="172"/>
        <v>1264661</v>
      </c>
      <c r="AI61" s="102">
        <f t="shared" si="172"/>
        <v>1262271</v>
      </c>
      <c r="AJ61" s="102">
        <f t="shared" si="172"/>
        <v>1311918</v>
      </c>
      <c r="AK61" s="102">
        <f t="shared" si="172"/>
        <v>1306185</v>
      </c>
      <c r="AL61" s="102">
        <f t="shared" si="172"/>
        <v>1442969</v>
      </c>
      <c r="AM61" s="102">
        <f t="shared" si="172"/>
        <v>1469484</v>
      </c>
      <c r="AN61" s="102">
        <f t="shared" si="172"/>
        <v>1473720</v>
      </c>
      <c r="AO61" s="102">
        <f t="shared" si="172"/>
        <v>1513048</v>
      </c>
      <c r="AP61" s="102">
        <f t="shared" si="172"/>
        <v>1520813</v>
      </c>
      <c r="AQ61" s="102">
        <f t="shared" si="172"/>
        <v>1609726</v>
      </c>
      <c r="AR61" s="102">
        <f t="shared" si="172"/>
        <v>1728361</v>
      </c>
      <c r="AS61" s="102">
        <f t="shared" si="172"/>
        <v>1724675</v>
      </c>
      <c r="AT61" s="11"/>
      <c r="AU61" s="79">
        <f t="shared" si="173"/>
        <v>0.13986800154390333</v>
      </c>
    </row>
    <row r="62" spans="2:47" ht="12.75" customHeight="1">
      <c r="B62" s="125" t="s">
        <v>134</v>
      </c>
      <c r="C62" s="126">
        <v>0</v>
      </c>
      <c r="D62" s="126">
        <v>0</v>
      </c>
      <c r="E62" s="126">
        <v>499878</v>
      </c>
      <c r="F62" s="126">
        <v>699823</v>
      </c>
      <c r="G62" s="126">
        <v>0</v>
      </c>
      <c r="H62" s="126">
        <v>399844</v>
      </c>
      <c r="I62" s="126">
        <v>1784453</v>
      </c>
      <c r="K62" s="86">
        <v>698788</v>
      </c>
      <c r="L62" s="86">
        <v>699128</v>
      </c>
      <c r="M62" s="86">
        <v>699473</v>
      </c>
      <c r="N62" s="33">
        <f t="shared" si="168"/>
        <v>699823</v>
      </c>
      <c r="O62" s="86">
        <v>0</v>
      </c>
      <c r="P62" s="86">
        <v>0</v>
      </c>
      <c r="Q62" s="86">
        <v>0</v>
      </c>
      <c r="R62" s="102">
        <f t="shared" si="169"/>
        <v>0</v>
      </c>
      <c r="S62" s="86">
        <v>399163</v>
      </c>
      <c r="T62" s="86">
        <v>399387</v>
      </c>
      <c r="U62" s="86">
        <v>399614</v>
      </c>
      <c r="V62" s="33">
        <f t="shared" si="170"/>
        <v>399844</v>
      </c>
      <c r="W62" s="86">
        <v>798936</v>
      </c>
      <c r="X62" s="86">
        <v>1800041</v>
      </c>
      <c r="Y62" s="86">
        <v>1820396</v>
      </c>
      <c r="Z62" s="33">
        <f t="shared" si="171"/>
        <v>1784453</v>
      </c>
      <c r="AA62" s="86">
        <v>1005881</v>
      </c>
      <c r="AB62" s="86">
        <v>0</v>
      </c>
      <c r="AC62" s="86">
        <v>0</v>
      </c>
      <c r="AE62" s="102">
        <f t="shared" si="172"/>
        <v>0</v>
      </c>
      <c r="AF62" s="102">
        <f t="shared" si="172"/>
        <v>0</v>
      </c>
      <c r="AG62" s="102">
        <f t="shared" si="172"/>
        <v>0</v>
      </c>
      <c r="AH62" s="102">
        <f t="shared" si="172"/>
        <v>0</v>
      </c>
      <c r="AI62" s="102">
        <f t="shared" si="172"/>
        <v>399163</v>
      </c>
      <c r="AJ62" s="102">
        <f t="shared" si="172"/>
        <v>399387</v>
      </c>
      <c r="AK62" s="102">
        <f t="shared" si="172"/>
        <v>399614</v>
      </c>
      <c r="AL62" s="102">
        <f t="shared" si="172"/>
        <v>399844</v>
      </c>
      <c r="AM62" s="102">
        <f t="shared" si="172"/>
        <v>798936</v>
      </c>
      <c r="AN62" s="102">
        <f t="shared" si="172"/>
        <v>1800041</v>
      </c>
      <c r="AO62" s="102">
        <f t="shared" si="172"/>
        <v>1820396</v>
      </c>
      <c r="AP62" s="102">
        <f t="shared" si="172"/>
        <v>1784453</v>
      </c>
      <c r="AQ62" s="102">
        <f t="shared" si="172"/>
        <v>1005881</v>
      </c>
      <c r="AR62" s="102">
        <f t="shared" si="172"/>
        <v>0</v>
      </c>
      <c r="AS62" s="102">
        <f t="shared" si="172"/>
        <v>0</v>
      </c>
      <c r="AT62" s="11"/>
      <c r="AU62" s="79">
        <f t="shared" si="173"/>
        <v>-1</v>
      </c>
    </row>
    <row r="63" spans="2:47" ht="12.75" customHeight="1">
      <c r="B63" s="26" t="s">
        <v>20</v>
      </c>
      <c r="C63" s="27">
        <f t="shared" ref="C63:I63" si="174">SUM(C58:C62)</f>
        <v>6487320</v>
      </c>
      <c r="D63" s="27">
        <f t="shared" si="174"/>
        <v>6855696</v>
      </c>
      <c r="E63" s="27">
        <f t="shared" si="174"/>
        <v>7805785</v>
      </c>
      <c r="F63" s="27">
        <f t="shared" si="174"/>
        <v>8488966</v>
      </c>
      <c r="G63" s="27">
        <f t="shared" si="174"/>
        <v>7930974</v>
      </c>
      <c r="H63" s="27">
        <f t="shared" si="174"/>
        <v>8860655</v>
      </c>
      <c r="I63" s="27">
        <f t="shared" si="174"/>
        <v>10755400</v>
      </c>
      <c r="K63" s="27">
        <f t="shared" ref="K63:AC63" si="175">SUM(K58:K62)</f>
        <v>7961770</v>
      </c>
      <c r="L63" s="27">
        <f t="shared" si="175"/>
        <v>7832888</v>
      </c>
      <c r="M63" s="27">
        <f t="shared" si="175"/>
        <v>8049246</v>
      </c>
      <c r="N63" s="27">
        <f t="shared" si="175"/>
        <v>8488966</v>
      </c>
      <c r="O63" s="27">
        <f t="shared" si="175"/>
        <v>7739656</v>
      </c>
      <c r="P63" s="27">
        <f t="shared" si="175"/>
        <v>7500022</v>
      </c>
      <c r="Q63" s="27">
        <f t="shared" si="175"/>
        <v>7765924</v>
      </c>
      <c r="R63" s="27">
        <f t="shared" si="175"/>
        <v>7930974</v>
      </c>
      <c r="S63" s="27">
        <f t="shared" si="175"/>
        <v>8316070</v>
      </c>
      <c r="T63" s="27">
        <f t="shared" si="175"/>
        <v>8675805</v>
      </c>
      <c r="U63" s="27">
        <f t="shared" si="175"/>
        <v>8338718</v>
      </c>
      <c r="V63" s="27">
        <f t="shared" si="175"/>
        <v>8860655</v>
      </c>
      <c r="W63" s="27">
        <f t="shared" si="175"/>
        <v>9289217</v>
      </c>
      <c r="X63" s="27">
        <f t="shared" si="175"/>
        <v>10139999</v>
      </c>
      <c r="Y63" s="27">
        <f t="shared" si="175"/>
        <v>10707126</v>
      </c>
      <c r="Z63" s="27">
        <f t="shared" si="175"/>
        <v>10755400</v>
      </c>
      <c r="AA63" s="27">
        <f t="shared" si="175"/>
        <v>9718519</v>
      </c>
      <c r="AB63" s="27">
        <f t="shared" si="175"/>
        <v>8942335</v>
      </c>
      <c r="AC63" s="27">
        <f t="shared" si="175"/>
        <v>9731859</v>
      </c>
      <c r="AD63" s="51"/>
      <c r="AE63" s="27">
        <f t="shared" ref="AE63:AS63" si="176">SUM(AE58:AE62)</f>
        <v>7739656</v>
      </c>
      <c r="AF63" s="27">
        <f t="shared" si="176"/>
        <v>7500022</v>
      </c>
      <c r="AG63" s="27">
        <f t="shared" si="176"/>
        <v>7765924</v>
      </c>
      <c r="AH63" s="27">
        <f t="shared" si="176"/>
        <v>7930974</v>
      </c>
      <c r="AI63" s="27">
        <f t="shared" si="176"/>
        <v>8316070</v>
      </c>
      <c r="AJ63" s="27">
        <f t="shared" si="176"/>
        <v>8675805</v>
      </c>
      <c r="AK63" s="27">
        <f t="shared" si="176"/>
        <v>8338718</v>
      </c>
      <c r="AL63" s="27">
        <f t="shared" si="176"/>
        <v>8860655</v>
      </c>
      <c r="AM63" s="27">
        <f t="shared" si="176"/>
        <v>9289217</v>
      </c>
      <c r="AN63" s="27">
        <f t="shared" si="176"/>
        <v>10139999</v>
      </c>
      <c r="AO63" s="27">
        <f t="shared" si="176"/>
        <v>10707126</v>
      </c>
      <c r="AP63" s="27">
        <f t="shared" si="176"/>
        <v>10755400</v>
      </c>
      <c r="AQ63" s="27">
        <f t="shared" si="176"/>
        <v>9718519</v>
      </c>
      <c r="AR63" s="27">
        <f t="shared" si="176"/>
        <v>8942335</v>
      </c>
      <c r="AS63" s="27">
        <f t="shared" si="176"/>
        <v>9731859</v>
      </c>
      <c r="AT63" s="44"/>
      <c r="AU63" s="80">
        <f t="shared" si="173"/>
        <v>-9.1085787166416132E-2</v>
      </c>
    </row>
    <row r="64" spans="2:47" ht="5.0999999999999996" customHeight="1">
      <c r="B64" s="26"/>
      <c r="C64" s="53"/>
      <c r="D64" s="53"/>
      <c r="E64" s="53"/>
      <c r="F64" s="53"/>
      <c r="G64" s="53"/>
      <c r="H64" s="43"/>
      <c r="I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1"/>
    </row>
    <row r="65" spans="2:47">
      <c r="B65" s="82" t="s">
        <v>100</v>
      </c>
      <c r="C65" s="53"/>
      <c r="D65" s="53"/>
      <c r="E65" s="53"/>
      <c r="F65" s="53"/>
      <c r="G65" s="53"/>
      <c r="H65" s="43"/>
      <c r="I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1"/>
    </row>
    <row r="66" spans="2:47" ht="12.75" customHeight="1">
      <c r="B66" s="125" t="s">
        <v>135</v>
      </c>
      <c r="C66" s="126">
        <v>3759026</v>
      </c>
      <c r="D66" s="126">
        <v>3334323</v>
      </c>
      <c r="E66" s="126">
        <v>2618084</v>
      </c>
      <c r="F66" s="126">
        <v>3094213</v>
      </c>
      <c r="G66" s="126">
        <v>3081277</v>
      </c>
      <c r="H66" s="126">
        <v>2578173</v>
      </c>
      <c r="I66" s="126">
        <v>1780806</v>
      </c>
      <c r="J66" s="54"/>
      <c r="K66" s="86">
        <v>2465626</v>
      </c>
      <c r="L66" s="86">
        <v>2265286</v>
      </c>
      <c r="M66" s="86">
        <v>2301026</v>
      </c>
      <c r="N66" s="33">
        <f t="shared" ref="N66:N68" si="177">F66</f>
        <v>3094213</v>
      </c>
      <c r="O66" s="86">
        <v>2945221</v>
      </c>
      <c r="P66" s="86">
        <v>2989961</v>
      </c>
      <c r="Q66" s="86">
        <v>2955368</v>
      </c>
      <c r="R66" s="102">
        <f t="shared" ref="R66:R68" si="178">G66</f>
        <v>3081277</v>
      </c>
      <c r="S66" s="86">
        <v>2908029</v>
      </c>
      <c r="T66" s="86">
        <v>2849387</v>
      </c>
      <c r="U66" s="86">
        <v>2668472</v>
      </c>
      <c r="V66" s="33">
        <f t="shared" ref="V66:V68" si="179">H66</f>
        <v>2578173</v>
      </c>
      <c r="W66" s="86">
        <v>2370692</v>
      </c>
      <c r="X66" s="86">
        <v>2028782</v>
      </c>
      <c r="Y66" s="86">
        <v>1918089</v>
      </c>
      <c r="Z66" s="33">
        <f t="shared" ref="Z66:Z68" si="180">I66</f>
        <v>1780806</v>
      </c>
      <c r="AA66" s="86">
        <v>1696662</v>
      </c>
      <c r="AB66" s="86">
        <v>1606404</v>
      </c>
      <c r="AC66" s="86">
        <v>1591973</v>
      </c>
      <c r="AD66" s="126"/>
      <c r="AE66" s="102">
        <f t="shared" ref="AE66:AS68" si="181">O66</f>
        <v>2945221</v>
      </c>
      <c r="AF66" s="102">
        <f t="shared" si="181"/>
        <v>2989961</v>
      </c>
      <c r="AG66" s="102">
        <f t="shared" si="181"/>
        <v>2955368</v>
      </c>
      <c r="AH66" s="102">
        <f t="shared" si="181"/>
        <v>3081277</v>
      </c>
      <c r="AI66" s="102">
        <f t="shared" si="181"/>
        <v>2908029</v>
      </c>
      <c r="AJ66" s="102">
        <f t="shared" si="181"/>
        <v>2849387</v>
      </c>
      <c r="AK66" s="102">
        <f t="shared" si="181"/>
        <v>2668472</v>
      </c>
      <c r="AL66" s="102">
        <f t="shared" si="181"/>
        <v>2578173</v>
      </c>
      <c r="AM66" s="102">
        <f t="shared" si="181"/>
        <v>2370692</v>
      </c>
      <c r="AN66" s="102">
        <f t="shared" si="181"/>
        <v>2028782</v>
      </c>
      <c r="AO66" s="102">
        <f t="shared" si="181"/>
        <v>1918089</v>
      </c>
      <c r="AP66" s="102">
        <f t="shared" si="181"/>
        <v>1780806</v>
      </c>
      <c r="AQ66" s="102">
        <f t="shared" si="181"/>
        <v>1696662</v>
      </c>
      <c r="AR66" s="102">
        <f t="shared" si="181"/>
        <v>1606404</v>
      </c>
      <c r="AS66" s="102">
        <f t="shared" si="181"/>
        <v>1591973</v>
      </c>
      <c r="AT66" s="44"/>
      <c r="AU66" s="79">
        <f t="shared" ref="AU66:AU76" si="182">SUM(AS66/AO66)-1</f>
        <v>-0.17002130766611978</v>
      </c>
    </row>
    <row r="67" spans="2:47" ht="12.75" customHeight="1">
      <c r="B67" s="125" t="s">
        <v>136</v>
      </c>
      <c r="C67" s="126">
        <v>10360058</v>
      </c>
      <c r="D67" s="126">
        <v>14759260</v>
      </c>
      <c r="E67" s="126">
        <v>15809095</v>
      </c>
      <c r="F67" s="126">
        <v>14693072</v>
      </c>
      <c r="G67" s="126">
        <v>14353076</v>
      </c>
      <c r="H67" s="126">
        <v>14143417</v>
      </c>
      <c r="I67" s="126">
        <v>13798351</v>
      </c>
      <c r="J67" s="54"/>
      <c r="K67" s="86">
        <v>14860552</v>
      </c>
      <c r="L67" s="86">
        <v>14926889</v>
      </c>
      <c r="M67" s="86">
        <v>14793691</v>
      </c>
      <c r="N67" s="33">
        <f t="shared" si="177"/>
        <v>14693072</v>
      </c>
      <c r="O67" s="86">
        <v>14534561</v>
      </c>
      <c r="P67" s="86">
        <v>14233303</v>
      </c>
      <c r="Q67" s="86">
        <v>13888117</v>
      </c>
      <c r="R67" s="102">
        <f t="shared" si="178"/>
        <v>14353076</v>
      </c>
      <c r="S67" s="86">
        <v>14037965</v>
      </c>
      <c r="T67" s="86">
        <v>14070151</v>
      </c>
      <c r="U67" s="86">
        <v>13900754</v>
      </c>
      <c r="V67" s="33">
        <f t="shared" si="179"/>
        <v>14143417</v>
      </c>
      <c r="W67" s="86">
        <v>13217038</v>
      </c>
      <c r="X67" s="86">
        <v>12180024</v>
      </c>
      <c r="Y67" s="86">
        <v>14160932</v>
      </c>
      <c r="Z67" s="33">
        <f t="shared" si="180"/>
        <v>13798351</v>
      </c>
      <c r="AA67" s="86">
        <v>14011037</v>
      </c>
      <c r="AB67" s="86">
        <v>14453206</v>
      </c>
      <c r="AC67" s="86">
        <v>14463020</v>
      </c>
      <c r="AD67" s="126"/>
      <c r="AE67" s="102">
        <f t="shared" si="181"/>
        <v>14534561</v>
      </c>
      <c r="AF67" s="102">
        <f t="shared" si="181"/>
        <v>14233303</v>
      </c>
      <c r="AG67" s="102">
        <f t="shared" si="181"/>
        <v>13888117</v>
      </c>
      <c r="AH67" s="102">
        <f t="shared" si="181"/>
        <v>14353076</v>
      </c>
      <c r="AI67" s="102">
        <f t="shared" si="181"/>
        <v>14037965</v>
      </c>
      <c r="AJ67" s="102">
        <f t="shared" si="181"/>
        <v>14070151</v>
      </c>
      <c r="AK67" s="102">
        <f t="shared" si="181"/>
        <v>13900754</v>
      </c>
      <c r="AL67" s="102">
        <f t="shared" si="181"/>
        <v>14143417</v>
      </c>
      <c r="AM67" s="102">
        <f t="shared" si="181"/>
        <v>13217038</v>
      </c>
      <c r="AN67" s="102">
        <f t="shared" si="181"/>
        <v>12180024</v>
      </c>
      <c r="AO67" s="102">
        <f t="shared" si="181"/>
        <v>14160932</v>
      </c>
      <c r="AP67" s="102">
        <f t="shared" si="181"/>
        <v>13798351</v>
      </c>
      <c r="AQ67" s="102">
        <f t="shared" si="181"/>
        <v>14011037</v>
      </c>
      <c r="AR67" s="102">
        <f t="shared" si="181"/>
        <v>14453206</v>
      </c>
      <c r="AS67" s="102">
        <f t="shared" si="181"/>
        <v>14463020</v>
      </c>
      <c r="AT67" s="44"/>
      <c r="AU67" s="79">
        <f t="shared" si="182"/>
        <v>2.1332494217188636E-2</v>
      </c>
    </row>
    <row r="68" spans="2:47" ht="12.75" customHeight="1">
      <c r="B68" s="125" t="s">
        <v>137</v>
      </c>
      <c r="C68" s="126">
        <v>129231</v>
      </c>
      <c r="D68" s="126">
        <v>1444276</v>
      </c>
      <c r="E68" s="126">
        <v>1982155</v>
      </c>
      <c r="F68" s="126">
        <v>2459164</v>
      </c>
      <c r="G68" s="126">
        <v>2452040</v>
      </c>
      <c r="H68" s="126">
        <v>2561434</v>
      </c>
      <c r="I68" s="126">
        <v>2552250</v>
      </c>
      <c r="J68" s="54"/>
      <c r="K68" s="86">
        <v>1950986</v>
      </c>
      <c r="L68" s="86">
        <v>2082035</v>
      </c>
      <c r="M68" s="86">
        <v>2281277</v>
      </c>
      <c r="N68" s="33">
        <f t="shared" si="177"/>
        <v>2459164</v>
      </c>
      <c r="O68" s="86">
        <v>2567427</v>
      </c>
      <c r="P68" s="86">
        <v>2551675</v>
      </c>
      <c r="Q68" s="86">
        <v>2424637</v>
      </c>
      <c r="R68" s="102">
        <f t="shared" si="178"/>
        <v>2452040</v>
      </c>
      <c r="S68" s="86">
        <v>2400085</v>
      </c>
      <c r="T68" s="86">
        <v>2389915</v>
      </c>
      <c r="U68" s="86">
        <v>2486215</v>
      </c>
      <c r="V68" s="33">
        <f t="shared" si="179"/>
        <v>2561434</v>
      </c>
      <c r="W68" s="86">
        <v>2585364</v>
      </c>
      <c r="X68" s="86">
        <v>2637397</v>
      </c>
      <c r="Y68" s="86">
        <v>2774961</v>
      </c>
      <c r="Z68" s="33">
        <f t="shared" si="180"/>
        <v>2552250</v>
      </c>
      <c r="AA68" s="86">
        <v>2633353</v>
      </c>
      <c r="AB68" s="86">
        <v>3145820</v>
      </c>
      <c r="AC68" s="86">
        <v>3193948</v>
      </c>
      <c r="AE68" s="102">
        <f t="shared" si="181"/>
        <v>2567427</v>
      </c>
      <c r="AF68" s="102">
        <f t="shared" si="181"/>
        <v>2551675</v>
      </c>
      <c r="AG68" s="102">
        <f t="shared" si="181"/>
        <v>2424637</v>
      </c>
      <c r="AH68" s="102">
        <f t="shared" si="181"/>
        <v>2452040</v>
      </c>
      <c r="AI68" s="102">
        <f t="shared" si="181"/>
        <v>2400085</v>
      </c>
      <c r="AJ68" s="102">
        <f t="shared" si="181"/>
        <v>2389915</v>
      </c>
      <c r="AK68" s="102">
        <f t="shared" si="181"/>
        <v>2486215</v>
      </c>
      <c r="AL68" s="102">
        <f t="shared" si="181"/>
        <v>2561434</v>
      </c>
      <c r="AM68" s="102">
        <f t="shared" si="181"/>
        <v>2585364</v>
      </c>
      <c r="AN68" s="102">
        <f t="shared" si="181"/>
        <v>2637397</v>
      </c>
      <c r="AO68" s="102">
        <f t="shared" si="181"/>
        <v>2774961</v>
      </c>
      <c r="AP68" s="102">
        <f t="shared" si="181"/>
        <v>2552250</v>
      </c>
      <c r="AQ68" s="102">
        <f t="shared" si="181"/>
        <v>2633353</v>
      </c>
      <c r="AR68" s="102">
        <f t="shared" si="181"/>
        <v>3145820</v>
      </c>
      <c r="AS68" s="102">
        <f t="shared" si="181"/>
        <v>3193948</v>
      </c>
      <c r="AT68" s="44"/>
      <c r="AU68" s="79">
        <f t="shared" si="182"/>
        <v>0.15098842830583936</v>
      </c>
    </row>
    <row r="69" spans="2:47" ht="12.75" customHeight="1">
      <c r="B69" s="13" t="s">
        <v>18</v>
      </c>
      <c r="C69" s="14">
        <f t="shared" ref="C69:I69" si="183">SUM(C66:C68)+C63</f>
        <v>20735635</v>
      </c>
      <c r="D69" s="14">
        <f t="shared" si="183"/>
        <v>26393555</v>
      </c>
      <c r="E69" s="14">
        <f t="shared" si="183"/>
        <v>28215119</v>
      </c>
      <c r="F69" s="14">
        <f t="shared" si="183"/>
        <v>28735415</v>
      </c>
      <c r="G69" s="14">
        <f t="shared" si="183"/>
        <v>27817367</v>
      </c>
      <c r="H69" s="14">
        <f t="shared" si="183"/>
        <v>28143679</v>
      </c>
      <c r="I69" s="14">
        <f t="shared" si="183"/>
        <v>28886807</v>
      </c>
      <c r="K69" s="14">
        <f t="shared" ref="K69:AC69" si="184">SUM(K66:K68)+K63</f>
        <v>27238934</v>
      </c>
      <c r="L69" s="14">
        <f t="shared" si="184"/>
        <v>27107098</v>
      </c>
      <c r="M69" s="14">
        <f t="shared" si="184"/>
        <v>27425240</v>
      </c>
      <c r="N69" s="14">
        <f t="shared" si="184"/>
        <v>28735415</v>
      </c>
      <c r="O69" s="14">
        <f t="shared" si="184"/>
        <v>27786865</v>
      </c>
      <c r="P69" s="14">
        <f t="shared" si="184"/>
        <v>27274961</v>
      </c>
      <c r="Q69" s="14">
        <f t="shared" si="184"/>
        <v>27034046</v>
      </c>
      <c r="R69" s="14">
        <f t="shared" si="184"/>
        <v>27817367</v>
      </c>
      <c r="S69" s="14">
        <f t="shared" si="184"/>
        <v>27662149</v>
      </c>
      <c r="T69" s="14">
        <f t="shared" si="184"/>
        <v>27985258</v>
      </c>
      <c r="U69" s="14">
        <f t="shared" si="184"/>
        <v>27394159</v>
      </c>
      <c r="V69" s="14">
        <f t="shared" si="184"/>
        <v>28143679</v>
      </c>
      <c r="W69" s="14">
        <f t="shared" si="184"/>
        <v>27462311</v>
      </c>
      <c r="X69" s="14">
        <f t="shared" si="184"/>
        <v>26986202</v>
      </c>
      <c r="Y69" s="14">
        <f t="shared" si="184"/>
        <v>29561108</v>
      </c>
      <c r="Z69" s="14">
        <f t="shared" si="184"/>
        <v>28886807</v>
      </c>
      <c r="AA69" s="14">
        <f t="shared" si="184"/>
        <v>28059571</v>
      </c>
      <c r="AB69" s="14">
        <f t="shared" si="184"/>
        <v>28147765</v>
      </c>
      <c r="AC69" s="14">
        <f t="shared" si="184"/>
        <v>28980800</v>
      </c>
      <c r="AE69" s="14">
        <f t="shared" ref="AE69:AS69" si="185">SUM(AE66:AE68)+AE63</f>
        <v>27786865</v>
      </c>
      <c r="AF69" s="14">
        <f t="shared" si="185"/>
        <v>27274961</v>
      </c>
      <c r="AG69" s="14">
        <f t="shared" si="185"/>
        <v>27034046</v>
      </c>
      <c r="AH69" s="14">
        <f t="shared" si="185"/>
        <v>27817367</v>
      </c>
      <c r="AI69" s="14">
        <f t="shared" si="185"/>
        <v>27662149</v>
      </c>
      <c r="AJ69" s="14">
        <f t="shared" si="185"/>
        <v>27985258</v>
      </c>
      <c r="AK69" s="14">
        <f t="shared" si="185"/>
        <v>27394159</v>
      </c>
      <c r="AL69" s="14">
        <f t="shared" si="185"/>
        <v>28143679</v>
      </c>
      <c r="AM69" s="14">
        <f t="shared" si="185"/>
        <v>27462311</v>
      </c>
      <c r="AN69" s="14">
        <f t="shared" si="185"/>
        <v>26986202</v>
      </c>
      <c r="AO69" s="14">
        <f t="shared" si="185"/>
        <v>29561108</v>
      </c>
      <c r="AP69" s="14">
        <f t="shared" si="185"/>
        <v>28886807</v>
      </c>
      <c r="AQ69" s="14">
        <f t="shared" si="185"/>
        <v>28059571</v>
      </c>
      <c r="AR69" s="14">
        <f t="shared" si="185"/>
        <v>28147765</v>
      </c>
      <c r="AS69" s="14">
        <f t="shared" si="185"/>
        <v>28980800</v>
      </c>
      <c r="AT69" s="44"/>
      <c r="AU69" s="80">
        <f t="shared" si="182"/>
        <v>-1.9630793270671743E-2</v>
      </c>
    </row>
    <row r="70" spans="2:47" ht="5.0999999999999996" customHeight="1">
      <c r="B70" s="26"/>
      <c r="C70" s="52"/>
      <c r="D70" s="52"/>
      <c r="E70" s="52"/>
      <c r="F70" s="52"/>
      <c r="G70" s="52"/>
      <c r="H70" s="43"/>
      <c r="I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1"/>
    </row>
    <row r="71" spans="2:47" ht="12.75" customHeight="1">
      <c r="B71" s="9" t="s">
        <v>21</v>
      </c>
      <c r="C71" s="86">
        <v>2315988</v>
      </c>
      <c r="D71" s="86">
        <v>2793929</v>
      </c>
      <c r="E71" s="86">
        <v>3447698</v>
      </c>
      <c r="F71" s="86">
        <v>4024561</v>
      </c>
      <c r="G71" s="86">
        <v>4637601</v>
      </c>
      <c r="H71" s="86">
        <v>5145172</v>
      </c>
      <c r="I71" s="86">
        <v>6252126</v>
      </c>
      <c r="J71" s="33"/>
      <c r="K71" s="86">
        <v>3600084</v>
      </c>
      <c r="L71" s="86">
        <v>3721246</v>
      </c>
      <c r="M71" s="86">
        <v>3852531</v>
      </c>
      <c r="N71" s="33">
        <f t="shared" ref="N71:N73" si="186">F71</f>
        <v>4024561</v>
      </c>
      <c r="O71" s="86">
        <v>4155580</v>
      </c>
      <c r="P71" s="86">
        <v>4316870</v>
      </c>
      <c r="Q71" s="86">
        <v>4473962</v>
      </c>
      <c r="R71" s="102">
        <f t="shared" ref="R71:R73" si="187">G71</f>
        <v>4637601</v>
      </c>
      <c r="S71" s="86">
        <v>4762395</v>
      </c>
      <c r="T71" s="86">
        <v>4874208</v>
      </c>
      <c r="U71" s="86">
        <v>5011427</v>
      </c>
      <c r="V71" s="33">
        <f t="shared" ref="V71:V73" si="188">H71</f>
        <v>5145172</v>
      </c>
      <c r="W71" s="86">
        <v>5489850</v>
      </c>
      <c r="X71" s="86">
        <v>5680061</v>
      </c>
      <c r="Y71" s="86">
        <v>5887903</v>
      </c>
      <c r="Z71" s="33">
        <f t="shared" ref="Z71:Z73" si="189">I71</f>
        <v>6252126</v>
      </c>
      <c r="AA71" s="86">
        <v>6677469</v>
      </c>
      <c r="AB71" s="86">
        <v>6932828</v>
      </c>
      <c r="AC71" s="86">
        <v>7080325</v>
      </c>
      <c r="AE71" s="33">
        <f t="shared" ref="AE71:AS74" si="190">O71</f>
        <v>4155580</v>
      </c>
      <c r="AF71" s="33">
        <f t="shared" si="190"/>
        <v>4316870</v>
      </c>
      <c r="AG71" s="33">
        <f t="shared" si="190"/>
        <v>4473962</v>
      </c>
      <c r="AH71" s="33">
        <f t="shared" si="190"/>
        <v>4637601</v>
      </c>
      <c r="AI71" s="33">
        <f t="shared" si="190"/>
        <v>4762395</v>
      </c>
      <c r="AJ71" s="33">
        <f t="shared" si="190"/>
        <v>4874208</v>
      </c>
      <c r="AK71" s="33">
        <f t="shared" si="190"/>
        <v>5011427</v>
      </c>
      <c r="AL71" s="33">
        <f t="shared" si="190"/>
        <v>5145172</v>
      </c>
      <c r="AM71" s="33">
        <f t="shared" si="190"/>
        <v>5489850</v>
      </c>
      <c r="AN71" s="33">
        <f t="shared" si="190"/>
        <v>5680061</v>
      </c>
      <c r="AO71" s="33">
        <f t="shared" si="190"/>
        <v>5887903</v>
      </c>
      <c r="AP71" s="33">
        <f t="shared" si="190"/>
        <v>6252126</v>
      </c>
      <c r="AQ71" s="33">
        <f t="shared" si="190"/>
        <v>6677469</v>
      </c>
      <c r="AR71" s="33">
        <f t="shared" si="190"/>
        <v>6932828</v>
      </c>
      <c r="AS71" s="33">
        <f t="shared" si="190"/>
        <v>7080325</v>
      </c>
      <c r="AT71" s="11"/>
      <c r="AU71" s="79">
        <f t="shared" si="182"/>
        <v>0.20252065973233591</v>
      </c>
    </row>
    <row r="72" spans="2:47" ht="12.75" customHeight="1">
      <c r="B72" s="9" t="s">
        <v>138</v>
      </c>
      <c r="C72" s="86">
        <v>0</v>
      </c>
      <c r="D72" s="86">
        <v>0</v>
      </c>
      <c r="E72" s="86">
        <v>0</v>
      </c>
      <c r="F72" s="86">
        <v>-824190</v>
      </c>
      <c r="G72" s="86">
        <v>-824190</v>
      </c>
      <c r="H72" s="86">
        <v>-6922200</v>
      </c>
      <c r="I72" s="86">
        <v>-13171638</v>
      </c>
      <c r="J72" s="33"/>
      <c r="K72" s="86">
        <v>0</v>
      </c>
      <c r="L72" s="86">
        <v>-500022</v>
      </c>
      <c r="M72" s="86">
        <v>-600022</v>
      </c>
      <c r="N72" s="33">
        <f t="shared" si="186"/>
        <v>-824190</v>
      </c>
      <c r="O72" s="86">
        <v>-824190</v>
      </c>
      <c r="P72" s="86">
        <v>-824190</v>
      </c>
      <c r="Q72" s="86">
        <v>-824190</v>
      </c>
      <c r="R72" s="102">
        <f t="shared" si="187"/>
        <v>-824190</v>
      </c>
      <c r="S72" s="86">
        <v>-1228920</v>
      </c>
      <c r="T72" s="86">
        <v>-1876753</v>
      </c>
      <c r="U72" s="86">
        <v>-4399677</v>
      </c>
      <c r="V72" s="33">
        <f t="shared" si="188"/>
        <v>-6922200</v>
      </c>
      <c r="W72" s="86">
        <v>-8934056</v>
      </c>
      <c r="X72" s="86">
        <v>-10547055</v>
      </c>
      <c r="Y72" s="86">
        <v>-12254855</v>
      </c>
      <c r="Z72" s="33">
        <f t="shared" si="189"/>
        <v>-13171638</v>
      </c>
      <c r="AA72" s="86">
        <v>-16754929</v>
      </c>
      <c r="AB72" s="86">
        <v>-18392942</v>
      </c>
      <c r="AC72" s="86">
        <v>-20270631</v>
      </c>
      <c r="AE72" s="33">
        <f t="shared" si="190"/>
        <v>-824190</v>
      </c>
      <c r="AF72" s="33">
        <f t="shared" si="190"/>
        <v>-824190</v>
      </c>
      <c r="AG72" s="33">
        <f t="shared" si="190"/>
        <v>-824190</v>
      </c>
      <c r="AH72" s="33">
        <f t="shared" si="190"/>
        <v>-824190</v>
      </c>
      <c r="AI72" s="33">
        <f t="shared" si="190"/>
        <v>-1228920</v>
      </c>
      <c r="AJ72" s="33">
        <f t="shared" si="190"/>
        <v>-1876753</v>
      </c>
      <c r="AK72" s="33">
        <f t="shared" si="190"/>
        <v>-4399677</v>
      </c>
      <c r="AL72" s="33">
        <f t="shared" si="190"/>
        <v>-6922200</v>
      </c>
      <c r="AM72" s="33">
        <f t="shared" si="190"/>
        <v>-8934056</v>
      </c>
      <c r="AN72" s="33">
        <f t="shared" si="190"/>
        <v>-10547055</v>
      </c>
      <c r="AO72" s="33">
        <f t="shared" si="190"/>
        <v>-12254855</v>
      </c>
      <c r="AP72" s="33">
        <f t="shared" si="190"/>
        <v>-13171638</v>
      </c>
      <c r="AQ72" s="33">
        <f t="shared" si="190"/>
        <v>-16754929</v>
      </c>
      <c r="AR72" s="33">
        <f t="shared" si="190"/>
        <v>-18392942</v>
      </c>
      <c r="AS72" s="33">
        <f t="shared" si="190"/>
        <v>-20270631</v>
      </c>
      <c r="AT72" s="11"/>
      <c r="AU72" s="79">
        <f t="shared" si="182"/>
        <v>0.65408982807222116</v>
      </c>
    </row>
    <row r="73" spans="2:47" ht="12.75" customHeight="1">
      <c r="B73" s="9" t="s">
        <v>109</v>
      </c>
      <c r="C73" s="86">
        <v>-19582</v>
      </c>
      <c r="D73" s="86">
        <v>-23521</v>
      </c>
      <c r="E73" s="86">
        <v>44398</v>
      </c>
      <c r="F73" s="86">
        <v>-40495</v>
      </c>
      <c r="G73" s="86">
        <v>-217306</v>
      </c>
      <c r="H73" s="86">
        <v>-223945</v>
      </c>
      <c r="I73" s="86">
        <v>362162</v>
      </c>
      <c r="J73" s="33"/>
      <c r="K73" s="86">
        <v>4137</v>
      </c>
      <c r="L73" s="86">
        <v>9775</v>
      </c>
      <c r="M73" s="86">
        <v>-19835</v>
      </c>
      <c r="N73" s="33">
        <f t="shared" si="186"/>
        <v>-40495</v>
      </c>
      <c r="O73" s="86">
        <v>-74170</v>
      </c>
      <c r="P73" s="86">
        <v>-144476</v>
      </c>
      <c r="Q73" s="86">
        <v>-247643</v>
      </c>
      <c r="R73" s="102">
        <f t="shared" si="187"/>
        <v>-217306</v>
      </c>
      <c r="S73" s="86">
        <v>-191695</v>
      </c>
      <c r="T73" s="86">
        <v>-139266</v>
      </c>
      <c r="U73" s="86">
        <v>-155571</v>
      </c>
      <c r="V73" s="33">
        <f t="shared" si="188"/>
        <v>-223945</v>
      </c>
      <c r="W73" s="86">
        <v>-111879</v>
      </c>
      <c r="X73" s="86">
        <v>-89114</v>
      </c>
      <c r="Y73" s="86">
        <v>-344622</v>
      </c>
      <c r="Z73" s="33">
        <f t="shared" si="189"/>
        <v>362162</v>
      </c>
      <c r="AA73" s="86">
        <v>-85735</v>
      </c>
      <c r="AB73" s="86">
        <v>-904668</v>
      </c>
      <c r="AC73" s="86">
        <v>-719256</v>
      </c>
      <c r="AE73" s="33">
        <f t="shared" si="190"/>
        <v>-74170</v>
      </c>
      <c r="AF73" s="33">
        <f t="shared" si="190"/>
        <v>-144476</v>
      </c>
      <c r="AG73" s="33">
        <f t="shared" si="190"/>
        <v>-247643</v>
      </c>
      <c r="AH73" s="33">
        <f t="shared" si="190"/>
        <v>-217306</v>
      </c>
      <c r="AI73" s="33">
        <f t="shared" si="190"/>
        <v>-191695</v>
      </c>
      <c r="AJ73" s="33">
        <f t="shared" si="190"/>
        <v>-139266</v>
      </c>
      <c r="AK73" s="33">
        <f t="shared" si="190"/>
        <v>-155571</v>
      </c>
      <c r="AL73" s="33">
        <f t="shared" si="190"/>
        <v>-223945</v>
      </c>
      <c r="AM73" s="33">
        <f t="shared" si="190"/>
        <v>-111879</v>
      </c>
      <c r="AN73" s="33">
        <f t="shared" si="190"/>
        <v>-89114</v>
      </c>
      <c r="AO73" s="33">
        <f t="shared" si="190"/>
        <v>-344622</v>
      </c>
      <c r="AP73" s="33">
        <f t="shared" si="190"/>
        <v>362162</v>
      </c>
      <c r="AQ73" s="33">
        <f t="shared" si="190"/>
        <v>-85735</v>
      </c>
      <c r="AR73" s="33">
        <f t="shared" si="190"/>
        <v>-904668</v>
      </c>
      <c r="AS73" s="33">
        <f t="shared" si="190"/>
        <v>-719256</v>
      </c>
      <c r="AT73" s="11"/>
      <c r="AU73" s="79">
        <f t="shared" si="182"/>
        <v>1.0870867211031219</v>
      </c>
    </row>
    <row r="74" spans="2:47" ht="12.75" customHeight="1">
      <c r="B74" s="9" t="s">
        <v>108</v>
      </c>
      <c r="C74" s="86">
        <v>2942359</v>
      </c>
      <c r="D74" s="86">
        <v>4811749</v>
      </c>
      <c r="E74" s="86">
        <v>7573144</v>
      </c>
      <c r="F74" s="86">
        <v>12689372</v>
      </c>
      <c r="G74" s="86">
        <v>17181296</v>
      </c>
      <c r="H74" s="86">
        <v>22589286</v>
      </c>
      <c r="I74" s="86">
        <v>31300917</v>
      </c>
      <c r="J74" s="33"/>
      <c r="K74" s="86">
        <v>9279859</v>
      </c>
      <c r="L74" s="86">
        <v>10632872</v>
      </c>
      <c r="M74" s="86">
        <v>12081943</v>
      </c>
      <c r="N74" s="33">
        <f>F74</f>
        <v>12689372</v>
      </c>
      <c r="O74" s="86">
        <v>14286819</v>
      </c>
      <c r="P74" s="86">
        <v>15727770</v>
      </c>
      <c r="Q74" s="86">
        <v>17126012</v>
      </c>
      <c r="R74" s="102">
        <f>G74</f>
        <v>17181296</v>
      </c>
      <c r="S74" s="86">
        <v>18486416</v>
      </c>
      <c r="T74" s="86">
        <v>19974026</v>
      </c>
      <c r="U74" s="86">
        <v>21651448</v>
      </c>
      <c r="V74" s="33">
        <f>H74</f>
        <v>22589286</v>
      </c>
      <c r="W74" s="86">
        <v>24921495</v>
      </c>
      <c r="X74" s="86">
        <v>27068801</v>
      </c>
      <c r="Y74" s="86">
        <v>29432310</v>
      </c>
      <c r="Z74" s="33">
        <f>I74</f>
        <v>31300917</v>
      </c>
      <c r="AA74" s="86">
        <v>34191268</v>
      </c>
      <c r="AB74" s="86">
        <v>37316681</v>
      </c>
      <c r="AC74" s="86">
        <v>39863597</v>
      </c>
      <c r="AE74" s="33">
        <f t="shared" si="190"/>
        <v>14286819</v>
      </c>
      <c r="AF74" s="33">
        <f t="shared" si="190"/>
        <v>15727770</v>
      </c>
      <c r="AG74" s="33">
        <f t="shared" si="190"/>
        <v>17126012</v>
      </c>
      <c r="AH74" s="33">
        <f t="shared" si="190"/>
        <v>17181296</v>
      </c>
      <c r="AI74" s="33">
        <f t="shared" si="190"/>
        <v>18486416</v>
      </c>
      <c r="AJ74" s="33">
        <f t="shared" si="190"/>
        <v>19974026</v>
      </c>
      <c r="AK74" s="33">
        <f t="shared" si="190"/>
        <v>21651448</v>
      </c>
      <c r="AL74" s="33">
        <f t="shared" si="190"/>
        <v>22589286</v>
      </c>
      <c r="AM74" s="33">
        <f t="shared" si="190"/>
        <v>24921495</v>
      </c>
      <c r="AN74" s="33">
        <f t="shared" si="190"/>
        <v>27068801</v>
      </c>
      <c r="AO74" s="33">
        <f t="shared" si="190"/>
        <v>29432310</v>
      </c>
      <c r="AP74" s="33">
        <f t="shared" si="190"/>
        <v>31300917</v>
      </c>
      <c r="AQ74" s="33">
        <f t="shared" si="190"/>
        <v>34191268</v>
      </c>
      <c r="AR74" s="33">
        <f t="shared" si="190"/>
        <v>37316681</v>
      </c>
      <c r="AS74" s="33">
        <f t="shared" si="190"/>
        <v>39863597</v>
      </c>
      <c r="AT74" s="11"/>
      <c r="AU74" s="79">
        <f t="shared" si="182"/>
        <v>0.35441618411874565</v>
      </c>
    </row>
    <row r="75" spans="2:47" ht="12.75" customHeight="1">
      <c r="B75" s="13" t="s">
        <v>17</v>
      </c>
      <c r="C75" s="14">
        <f t="shared" ref="C75:I75" si="191">SUM(C71:C74)</f>
        <v>5238765</v>
      </c>
      <c r="D75" s="14">
        <f t="shared" si="191"/>
        <v>7582157</v>
      </c>
      <c r="E75" s="14">
        <f t="shared" si="191"/>
        <v>11065240</v>
      </c>
      <c r="F75" s="14">
        <f t="shared" si="191"/>
        <v>15849248</v>
      </c>
      <c r="G75" s="14">
        <f t="shared" si="191"/>
        <v>20777401</v>
      </c>
      <c r="H75" s="14">
        <f t="shared" si="191"/>
        <v>20588313</v>
      </c>
      <c r="I75" s="14">
        <f t="shared" si="191"/>
        <v>24743567</v>
      </c>
      <c r="J75" s="55"/>
      <c r="K75" s="14">
        <f t="shared" ref="K75:AC75" si="192">SUM(K71:K74)</f>
        <v>12884080</v>
      </c>
      <c r="L75" s="14">
        <f t="shared" si="192"/>
        <v>13863871</v>
      </c>
      <c r="M75" s="14">
        <f t="shared" si="192"/>
        <v>15314617</v>
      </c>
      <c r="N75" s="14">
        <f t="shared" si="192"/>
        <v>15849248</v>
      </c>
      <c r="O75" s="14">
        <f t="shared" si="192"/>
        <v>17544039</v>
      </c>
      <c r="P75" s="14">
        <f t="shared" si="192"/>
        <v>19075974</v>
      </c>
      <c r="Q75" s="14">
        <f t="shared" si="192"/>
        <v>20528141</v>
      </c>
      <c r="R75" s="14">
        <f t="shared" si="192"/>
        <v>20777401</v>
      </c>
      <c r="S75" s="14">
        <f t="shared" si="192"/>
        <v>21828196</v>
      </c>
      <c r="T75" s="14">
        <f t="shared" si="192"/>
        <v>22832215</v>
      </c>
      <c r="U75" s="14">
        <f t="shared" si="192"/>
        <v>22107627</v>
      </c>
      <c r="V75" s="14">
        <f t="shared" si="192"/>
        <v>20588313</v>
      </c>
      <c r="W75" s="14">
        <f t="shared" si="192"/>
        <v>21365410</v>
      </c>
      <c r="X75" s="14">
        <f t="shared" si="192"/>
        <v>22112693</v>
      </c>
      <c r="Y75" s="14">
        <f t="shared" si="192"/>
        <v>22720736</v>
      </c>
      <c r="Z75" s="14">
        <f t="shared" si="192"/>
        <v>24743567</v>
      </c>
      <c r="AA75" s="14">
        <f t="shared" si="192"/>
        <v>24028073</v>
      </c>
      <c r="AB75" s="14">
        <f t="shared" si="192"/>
        <v>24951899</v>
      </c>
      <c r="AC75" s="14">
        <f t="shared" si="192"/>
        <v>25954035</v>
      </c>
      <c r="AE75" s="14">
        <f t="shared" ref="AE75:AS75" si="193">SUM(AE71:AE74)</f>
        <v>17544039</v>
      </c>
      <c r="AF75" s="14">
        <f t="shared" si="193"/>
        <v>19075974</v>
      </c>
      <c r="AG75" s="14">
        <f t="shared" si="193"/>
        <v>20528141</v>
      </c>
      <c r="AH75" s="14">
        <f t="shared" si="193"/>
        <v>20777401</v>
      </c>
      <c r="AI75" s="14">
        <f t="shared" si="193"/>
        <v>21828196</v>
      </c>
      <c r="AJ75" s="14">
        <f t="shared" si="193"/>
        <v>22832215</v>
      </c>
      <c r="AK75" s="14">
        <f t="shared" si="193"/>
        <v>22107627</v>
      </c>
      <c r="AL75" s="14">
        <f t="shared" si="193"/>
        <v>20588313</v>
      </c>
      <c r="AM75" s="14">
        <f t="shared" si="193"/>
        <v>21365410</v>
      </c>
      <c r="AN75" s="14">
        <f t="shared" si="193"/>
        <v>22112693</v>
      </c>
      <c r="AO75" s="14">
        <f t="shared" si="193"/>
        <v>22720736</v>
      </c>
      <c r="AP75" s="14">
        <f t="shared" si="193"/>
        <v>24743567</v>
      </c>
      <c r="AQ75" s="14">
        <f t="shared" si="193"/>
        <v>24028073</v>
      </c>
      <c r="AR75" s="14">
        <f t="shared" si="193"/>
        <v>24951899</v>
      </c>
      <c r="AS75" s="14">
        <f t="shared" si="193"/>
        <v>25954035</v>
      </c>
      <c r="AT75" s="44"/>
      <c r="AU75" s="79">
        <f t="shared" si="182"/>
        <v>0.14230608550708923</v>
      </c>
    </row>
    <row r="76" spans="2:47" ht="12.75" customHeight="1">
      <c r="B76" s="26" t="s">
        <v>59</v>
      </c>
      <c r="C76" s="33">
        <f t="shared" ref="C76:I76" si="194">SUM(C75+C69)</f>
        <v>25974400</v>
      </c>
      <c r="D76" s="33">
        <f t="shared" si="194"/>
        <v>33975712</v>
      </c>
      <c r="E76" s="33">
        <f t="shared" si="194"/>
        <v>39280359</v>
      </c>
      <c r="F76" s="33">
        <f t="shared" si="194"/>
        <v>44584663</v>
      </c>
      <c r="G76" s="33">
        <f t="shared" si="194"/>
        <v>48594768</v>
      </c>
      <c r="H76" s="33">
        <f t="shared" si="194"/>
        <v>48731992</v>
      </c>
      <c r="I76" s="33">
        <f t="shared" si="194"/>
        <v>53630374</v>
      </c>
      <c r="J76" s="33"/>
      <c r="K76" s="33">
        <f t="shared" ref="K76:AC76" si="195">SUM(K75+K69)</f>
        <v>40123014</v>
      </c>
      <c r="L76" s="33">
        <f t="shared" si="195"/>
        <v>40970969</v>
      </c>
      <c r="M76" s="33">
        <f t="shared" si="195"/>
        <v>42739857</v>
      </c>
      <c r="N76" s="33">
        <f t="shared" si="195"/>
        <v>44584663</v>
      </c>
      <c r="O76" s="33">
        <f t="shared" si="195"/>
        <v>45330904</v>
      </c>
      <c r="P76" s="33">
        <f t="shared" si="195"/>
        <v>46350935</v>
      </c>
      <c r="Q76" s="33">
        <f t="shared" si="195"/>
        <v>47562187</v>
      </c>
      <c r="R76" s="33">
        <f t="shared" si="195"/>
        <v>48594768</v>
      </c>
      <c r="S76" s="33">
        <f t="shared" si="195"/>
        <v>49490345</v>
      </c>
      <c r="T76" s="33">
        <f t="shared" si="195"/>
        <v>50817473</v>
      </c>
      <c r="U76" s="33">
        <f t="shared" si="195"/>
        <v>49501786</v>
      </c>
      <c r="V76" s="33">
        <f t="shared" si="195"/>
        <v>48731992</v>
      </c>
      <c r="W76" s="33">
        <f t="shared" si="195"/>
        <v>48827721</v>
      </c>
      <c r="X76" s="33">
        <f t="shared" si="195"/>
        <v>49098895</v>
      </c>
      <c r="Y76" s="33">
        <f t="shared" si="195"/>
        <v>52281844</v>
      </c>
      <c r="Z76" s="33">
        <f t="shared" si="195"/>
        <v>53630374</v>
      </c>
      <c r="AA76" s="33">
        <f t="shared" si="195"/>
        <v>52087644</v>
      </c>
      <c r="AB76" s="33">
        <f t="shared" si="195"/>
        <v>53099664</v>
      </c>
      <c r="AC76" s="33">
        <f t="shared" si="195"/>
        <v>54934835</v>
      </c>
      <c r="AD76" s="33"/>
      <c r="AE76" s="33">
        <f t="shared" ref="AE76:AS76" si="196">SUM(AE75+AE69)</f>
        <v>45330904</v>
      </c>
      <c r="AF76" s="33">
        <f t="shared" si="196"/>
        <v>46350935</v>
      </c>
      <c r="AG76" s="33">
        <f t="shared" si="196"/>
        <v>47562187</v>
      </c>
      <c r="AH76" s="33">
        <f t="shared" si="196"/>
        <v>48594768</v>
      </c>
      <c r="AI76" s="33">
        <f t="shared" si="196"/>
        <v>49490345</v>
      </c>
      <c r="AJ76" s="33">
        <f t="shared" si="196"/>
        <v>50817473</v>
      </c>
      <c r="AK76" s="33">
        <f t="shared" si="196"/>
        <v>49501786</v>
      </c>
      <c r="AL76" s="33">
        <f t="shared" si="196"/>
        <v>48731992</v>
      </c>
      <c r="AM76" s="33">
        <f t="shared" si="196"/>
        <v>48827721</v>
      </c>
      <c r="AN76" s="33">
        <f t="shared" si="196"/>
        <v>49098895</v>
      </c>
      <c r="AO76" s="33">
        <f t="shared" si="196"/>
        <v>52281844</v>
      </c>
      <c r="AP76" s="33">
        <f t="shared" si="196"/>
        <v>53630374</v>
      </c>
      <c r="AQ76" s="33">
        <f t="shared" si="196"/>
        <v>52087644</v>
      </c>
      <c r="AR76" s="33">
        <f t="shared" si="196"/>
        <v>53099664</v>
      </c>
      <c r="AS76" s="33">
        <f t="shared" si="196"/>
        <v>54934835</v>
      </c>
      <c r="AT76" s="11"/>
      <c r="AU76" s="80">
        <f t="shared" si="182"/>
        <v>5.0744021194049749E-2</v>
      </c>
    </row>
    <row r="77" spans="2:47" ht="5.0999999999999996" customHeight="1">
      <c r="B77" s="26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11"/>
    </row>
    <row r="78" spans="2:47" ht="12.75" customHeight="1">
      <c r="B78" s="151" t="s">
        <v>69</v>
      </c>
      <c r="C78" s="73">
        <f t="shared" ref="C78:I78" si="197">C76-C55</f>
        <v>0</v>
      </c>
      <c r="D78" s="73">
        <f t="shared" si="197"/>
        <v>0</v>
      </c>
      <c r="E78" s="73">
        <f t="shared" si="197"/>
        <v>0</v>
      </c>
      <c r="F78" s="73">
        <f t="shared" si="197"/>
        <v>0</v>
      </c>
      <c r="G78" s="73">
        <f t="shared" si="197"/>
        <v>0</v>
      </c>
      <c r="H78" s="73">
        <f t="shared" si="197"/>
        <v>0</v>
      </c>
      <c r="I78" s="73">
        <f t="shared" si="197"/>
        <v>0</v>
      </c>
      <c r="J78" s="74"/>
      <c r="K78" s="73">
        <f t="shared" ref="K78:AC78" si="198">K76-K55</f>
        <v>0</v>
      </c>
      <c r="L78" s="73">
        <f t="shared" si="198"/>
        <v>0</v>
      </c>
      <c r="M78" s="73">
        <f t="shared" si="198"/>
        <v>0</v>
      </c>
      <c r="N78" s="73">
        <f t="shared" si="198"/>
        <v>0</v>
      </c>
      <c r="O78" s="73">
        <f t="shared" si="198"/>
        <v>0</v>
      </c>
      <c r="P78" s="73">
        <f t="shared" si="198"/>
        <v>0</v>
      </c>
      <c r="Q78" s="73">
        <f t="shared" si="198"/>
        <v>0</v>
      </c>
      <c r="R78" s="73">
        <f t="shared" si="198"/>
        <v>0</v>
      </c>
      <c r="S78" s="73">
        <f t="shared" si="198"/>
        <v>0</v>
      </c>
      <c r="T78" s="73">
        <f t="shared" si="198"/>
        <v>0</v>
      </c>
      <c r="U78" s="73">
        <f t="shared" si="198"/>
        <v>0</v>
      </c>
      <c r="V78" s="73">
        <f t="shared" si="198"/>
        <v>0</v>
      </c>
      <c r="W78" s="73">
        <f t="shared" si="198"/>
        <v>0</v>
      </c>
      <c r="X78" s="73">
        <f t="shared" si="198"/>
        <v>0</v>
      </c>
      <c r="Y78" s="73">
        <f t="shared" si="198"/>
        <v>0</v>
      </c>
      <c r="Z78" s="73">
        <f t="shared" si="198"/>
        <v>0</v>
      </c>
      <c r="AA78" s="73">
        <f t="shared" si="198"/>
        <v>0</v>
      </c>
      <c r="AB78" s="73">
        <f t="shared" si="198"/>
        <v>0</v>
      </c>
      <c r="AC78" s="73">
        <f t="shared" si="198"/>
        <v>0</v>
      </c>
      <c r="AD78" s="29"/>
      <c r="AE78" s="73">
        <f t="shared" ref="AE78:AS78" si="199">AE76-AE55</f>
        <v>0</v>
      </c>
      <c r="AF78" s="73">
        <f t="shared" si="199"/>
        <v>0</v>
      </c>
      <c r="AG78" s="73">
        <f t="shared" si="199"/>
        <v>0</v>
      </c>
      <c r="AH78" s="73">
        <f t="shared" si="199"/>
        <v>0</v>
      </c>
      <c r="AI78" s="73">
        <f t="shared" si="199"/>
        <v>0</v>
      </c>
      <c r="AJ78" s="73">
        <f t="shared" si="199"/>
        <v>0</v>
      </c>
      <c r="AK78" s="73">
        <f t="shared" si="199"/>
        <v>0</v>
      </c>
      <c r="AL78" s="73">
        <f t="shared" si="199"/>
        <v>0</v>
      </c>
      <c r="AM78" s="73">
        <f t="shared" si="199"/>
        <v>0</v>
      </c>
      <c r="AN78" s="73">
        <f t="shared" si="199"/>
        <v>0</v>
      </c>
      <c r="AO78" s="73">
        <f t="shared" si="199"/>
        <v>0</v>
      </c>
      <c r="AP78" s="73">
        <f t="shared" si="199"/>
        <v>0</v>
      </c>
      <c r="AQ78" s="73">
        <f t="shared" si="199"/>
        <v>0</v>
      </c>
      <c r="AR78" s="73">
        <f t="shared" si="199"/>
        <v>0</v>
      </c>
      <c r="AS78" s="73">
        <f t="shared" si="199"/>
        <v>0</v>
      </c>
    </row>
    <row r="79" spans="2:47" ht="5.0999999999999996" customHeight="1" thickBot="1">
      <c r="B79" s="121"/>
      <c r="C79" s="122"/>
      <c r="D79" s="122"/>
      <c r="E79" s="122"/>
      <c r="F79" s="122"/>
      <c r="G79" s="122"/>
      <c r="H79" s="122"/>
      <c r="I79" s="122"/>
      <c r="J79" s="123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  <c r="AD79" s="124"/>
      <c r="AE79" s="122"/>
      <c r="AF79" s="122"/>
      <c r="AG79" s="122"/>
      <c r="AH79" s="122"/>
      <c r="AI79" s="122"/>
      <c r="AJ79" s="122"/>
      <c r="AK79" s="122"/>
      <c r="AL79" s="122"/>
      <c r="AM79" s="122"/>
      <c r="AN79" s="122"/>
      <c r="AO79" s="122"/>
      <c r="AP79" s="122"/>
      <c r="AQ79" s="122"/>
      <c r="AR79" s="122"/>
      <c r="AS79" s="122"/>
      <c r="AT79" s="77"/>
      <c r="AU79" s="77"/>
    </row>
    <row r="80" spans="2:47">
      <c r="B80" s="71"/>
      <c r="C80" s="72"/>
      <c r="D80" s="72"/>
      <c r="E80" s="72"/>
      <c r="F80" s="56"/>
      <c r="G80" s="25"/>
      <c r="H80" s="25"/>
      <c r="I80" s="25"/>
      <c r="J80" s="56"/>
    </row>
    <row r="81" spans="1:47" ht="12.75" customHeight="1">
      <c r="A81" s="5" t="s">
        <v>19</v>
      </c>
      <c r="B81" s="103" t="s">
        <v>15</v>
      </c>
      <c r="C81" s="107"/>
      <c r="D81" s="107"/>
      <c r="E81" s="107"/>
      <c r="F81" s="107"/>
      <c r="G81" s="107"/>
      <c r="H81" s="107"/>
      <c r="I81" s="107"/>
      <c r="J81" s="108"/>
      <c r="K81" s="107"/>
      <c r="L81" s="107"/>
      <c r="M81" s="107"/>
      <c r="N81" s="107"/>
      <c r="O81" s="107"/>
      <c r="P81" s="107"/>
      <c r="Q81" s="107"/>
      <c r="R81" s="107"/>
      <c r="S81" s="107"/>
      <c r="T81" s="107"/>
      <c r="U81" s="107"/>
      <c r="V81" s="107"/>
      <c r="W81" s="107"/>
      <c r="X81" s="107"/>
      <c r="Y81" s="107"/>
      <c r="Z81" s="107"/>
      <c r="AA81" s="107"/>
      <c r="AB81" s="107"/>
      <c r="AC81" s="107"/>
      <c r="AD81" s="103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 t="s">
        <v>10</v>
      </c>
      <c r="AO81" s="107"/>
      <c r="AP81" s="107"/>
      <c r="AQ81" s="107"/>
      <c r="AR81" s="107"/>
      <c r="AS81" s="107"/>
      <c r="AT81" s="108"/>
      <c r="AU81" s="172" t="s">
        <v>26</v>
      </c>
    </row>
    <row r="82" spans="1:47" ht="12.75" customHeight="1">
      <c r="B82" s="104" t="str">
        <f t="shared" ref="B82:I83" si="200">B7</f>
        <v>Fiscal Period</v>
      </c>
      <c r="C82" s="109">
        <f t="shared" si="200"/>
        <v>2018</v>
      </c>
      <c r="D82" s="109">
        <f t="shared" si="200"/>
        <v>2019</v>
      </c>
      <c r="E82" s="109">
        <f t="shared" si="200"/>
        <v>2020</v>
      </c>
      <c r="F82" s="109">
        <f t="shared" si="200"/>
        <v>2021</v>
      </c>
      <c r="G82" s="109">
        <f t="shared" si="200"/>
        <v>2022</v>
      </c>
      <c r="H82" s="109">
        <f t="shared" si="200"/>
        <v>2023</v>
      </c>
      <c r="I82" s="109">
        <f t="shared" si="200"/>
        <v>2024</v>
      </c>
      <c r="J82" s="108"/>
      <c r="K82" s="109" t="str">
        <f t="shared" ref="K82:AC82" si="201">K7</f>
        <v>1Q21</v>
      </c>
      <c r="L82" s="109" t="str">
        <f t="shared" si="201"/>
        <v>2Q21</v>
      </c>
      <c r="M82" s="109" t="str">
        <f t="shared" si="201"/>
        <v>3Q21</v>
      </c>
      <c r="N82" s="109" t="str">
        <f t="shared" si="201"/>
        <v>4Q21</v>
      </c>
      <c r="O82" s="109" t="str">
        <f t="shared" si="201"/>
        <v>1Q22</v>
      </c>
      <c r="P82" s="109" t="str">
        <f t="shared" si="201"/>
        <v>2Q22</v>
      </c>
      <c r="Q82" s="109" t="str">
        <f t="shared" si="201"/>
        <v>3Q22</v>
      </c>
      <c r="R82" s="109" t="str">
        <f t="shared" si="201"/>
        <v>4Q22</v>
      </c>
      <c r="S82" s="109" t="str">
        <f t="shared" si="201"/>
        <v>1Q23</v>
      </c>
      <c r="T82" s="109" t="str">
        <f t="shared" si="201"/>
        <v>2Q23</v>
      </c>
      <c r="U82" s="109" t="str">
        <f t="shared" si="201"/>
        <v>3Q23</v>
      </c>
      <c r="V82" s="109" t="str">
        <f t="shared" si="201"/>
        <v>4Q23</v>
      </c>
      <c r="W82" s="109" t="str">
        <f t="shared" si="201"/>
        <v>1Q24</v>
      </c>
      <c r="X82" s="109" t="str">
        <f t="shared" si="201"/>
        <v>2Q24</v>
      </c>
      <c r="Y82" s="109" t="str">
        <f t="shared" si="201"/>
        <v>3Q24</v>
      </c>
      <c r="Z82" s="109" t="str">
        <f t="shared" si="201"/>
        <v>4Q24</v>
      </c>
      <c r="AA82" s="109" t="str">
        <f t="shared" si="201"/>
        <v>1Q25</v>
      </c>
      <c r="AB82" s="109" t="str">
        <f t="shared" si="201"/>
        <v>2Q25</v>
      </c>
      <c r="AC82" s="109" t="str">
        <f t="shared" si="201"/>
        <v>3Q25</v>
      </c>
      <c r="AD82" s="109"/>
      <c r="AE82" s="109" t="str">
        <f t="shared" ref="AE82:AS82" si="202">AE7</f>
        <v>1Q22</v>
      </c>
      <c r="AF82" s="109" t="str">
        <f t="shared" si="202"/>
        <v>2Q22</v>
      </c>
      <c r="AG82" s="109" t="str">
        <f t="shared" si="202"/>
        <v>3Q22</v>
      </c>
      <c r="AH82" s="109" t="str">
        <f t="shared" si="202"/>
        <v>4Q22</v>
      </c>
      <c r="AI82" s="109" t="str">
        <f t="shared" si="202"/>
        <v>1Q23</v>
      </c>
      <c r="AJ82" s="109" t="str">
        <f t="shared" si="202"/>
        <v>2Q23</v>
      </c>
      <c r="AK82" s="109" t="str">
        <f t="shared" si="202"/>
        <v>3Q23</v>
      </c>
      <c r="AL82" s="109" t="str">
        <f t="shared" si="202"/>
        <v>4Q23</v>
      </c>
      <c r="AM82" s="109" t="str">
        <f t="shared" si="202"/>
        <v>1Q24</v>
      </c>
      <c r="AN82" s="109" t="str">
        <f t="shared" si="202"/>
        <v>2Q24</v>
      </c>
      <c r="AO82" s="109" t="str">
        <f t="shared" si="202"/>
        <v>3Q24</v>
      </c>
      <c r="AP82" s="109" t="str">
        <f t="shared" si="202"/>
        <v>4Q24</v>
      </c>
      <c r="AQ82" s="109" t="str">
        <f t="shared" si="202"/>
        <v>1Q25</v>
      </c>
      <c r="AR82" s="109" t="str">
        <f t="shared" si="202"/>
        <v>2Q25</v>
      </c>
      <c r="AS82" s="109" t="str">
        <f t="shared" si="202"/>
        <v>3Q25</v>
      </c>
      <c r="AT82" s="108"/>
      <c r="AU82" s="172"/>
    </row>
    <row r="83" spans="1:47" ht="12.75" customHeight="1">
      <c r="B83" s="104" t="str">
        <f t="shared" si="200"/>
        <v>Fiscal Period End Date</v>
      </c>
      <c r="C83" s="110">
        <f t="shared" si="200"/>
        <v>43465</v>
      </c>
      <c r="D83" s="110">
        <f t="shared" si="200"/>
        <v>43830</v>
      </c>
      <c r="E83" s="110">
        <f t="shared" si="200"/>
        <v>44196</v>
      </c>
      <c r="F83" s="110">
        <f t="shared" si="200"/>
        <v>44561</v>
      </c>
      <c r="G83" s="110">
        <f t="shared" si="200"/>
        <v>44926</v>
      </c>
      <c r="H83" s="110">
        <f t="shared" si="200"/>
        <v>45291</v>
      </c>
      <c r="I83" s="110">
        <f t="shared" si="200"/>
        <v>45657</v>
      </c>
      <c r="J83" s="108"/>
      <c r="K83" s="110">
        <f t="shared" ref="K83:AC83" si="203">K8</f>
        <v>44286</v>
      </c>
      <c r="L83" s="110">
        <f t="shared" si="203"/>
        <v>44377</v>
      </c>
      <c r="M83" s="110">
        <f t="shared" si="203"/>
        <v>44469</v>
      </c>
      <c r="N83" s="110">
        <f t="shared" si="203"/>
        <v>44561</v>
      </c>
      <c r="O83" s="110">
        <f t="shared" si="203"/>
        <v>44651</v>
      </c>
      <c r="P83" s="110">
        <f t="shared" si="203"/>
        <v>44742</v>
      </c>
      <c r="Q83" s="110">
        <f t="shared" si="203"/>
        <v>44834</v>
      </c>
      <c r="R83" s="110">
        <f t="shared" si="203"/>
        <v>44926</v>
      </c>
      <c r="S83" s="110">
        <f t="shared" si="203"/>
        <v>45016</v>
      </c>
      <c r="T83" s="110">
        <f t="shared" si="203"/>
        <v>45107</v>
      </c>
      <c r="U83" s="110">
        <f t="shared" si="203"/>
        <v>45199</v>
      </c>
      <c r="V83" s="110">
        <f t="shared" si="203"/>
        <v>45291</v>
      </c>
      <c r="W83" s="110">
        <f t="shared" si="203"/>
        <v>45382</v>
      </c>
      <c r="X83" s="110">
        <f t="shared" si="203"/>
        <v>45473</v>
      </c>
      <c r="Y83" s="110">
        <f t="shared" si="203"/>
        <v>45565</v>
      </c>
      <c r="Z83" s="110">
        <f t="shared" si="203"/>
        <v>45657</v>
      </c>
      <c r="AA83" s="110">
        <f t="shared" si="203"/>
        <v>45747</v>
      </c>
      <c r="AB83" s="110">
        <f t="shared" si="203"/>
        <v>45838</v>
      </c>
      <c r="AC83" s="110">
        <f t="shared" si="203"/>
        <v>45930</v>
      </c>
      <c r="AD83" s="110"/>
      <c r="AE83" s="110">
        <f t="shared" ref="AE83:AS83" si="204">AE8</f>
        <v>44651</v>
      </c>
      <c r="AF83" s="110">
        <f t="shared" si="204"/>
        <v>44742</v>
      </c>
      <c r="AG83" s="110">
        <f t="shared" si="204"/>
        <v>44834</v>
      </c>
      <c r="AH83" s="110">
        <f t="shared" si="204"/>
        <v>44926</v>
      </c>
      <c r="AI83" s="110">
        <f t="shared" si="204"/>
        <v>45016</v>
      </c>
      <c r="AJ83" s="110">
        <f t="shared" si="204"/>
        <v>45107</v>
      </c>
      <c r="AK83" s="110">
        <f t="shared" si="204"/>
        <v>45199</v>
      </c>
      <c r="AL83" s="110">
        <f t="shared" si="204"/>
        <v>45291</v>
      </c>
      <c r="AM83" s="110">
        <f t="shared" si="204"/>
        <v>45382</v>
      </c>
      <c r="AN83" s="110">
        <f t="shared" si="204"/>
        <v>45473</v>
      </c>
      <c r="AO83" s="110">
        <f t="shared" si="204"/>
        <v>45565</v>
      </c>
      <c r="AP83" s="110">
        <f t="shared" si="204"/>
        <v>45657</v>
      </c>
      <c r="AQ83" s="110">
        <f t="shared" si="204"/>
        <v>45747</v>
      </c>
      <c r="AR83" s="110">
        <f t="shared" si="204"/>
        <v>45838</v>
      </c>
      <c r="AS83" s="110">
        <f t="shared" si="204"/>
        <v>45930</v>
      </c>
      <c r="AT83" s="108"/>
      <c r="AU83" s="172"/>
    </row>
    <row r="84" spans="1:47" ht="5.0999999999999996" customHeight="1">
      <c r="B84" s="57"/>
      <c r="C84" s="50"/>
      <c r="D84" s="50"/>
      <c r="E84" s="50"/>
      <c r="F84" s="50"/>
      <c r="G84" s="50"/>
      <c r="H84" s="50"/>
      <c r="I84" s="50"/>
    </row>
    <row r="85" spans="1:47" ht="12.75" customHeight="1">
      <c r="B85" s="58" t="s">
        <v>60</v>
      </c>
      <c r="C85" s="59"/>
      <c r="D85" s="59"/>
      <c r="E85" s="59"/>
      <c r="F85" s="59"/>
      <c r="G85" s="59"/>
      <c r="H85" s="59"/>
      <c r="I85" s="59"/>
    </row>
    <row r="86" spans="1:47" ht="12.75" customHeight="1">
      <c r="B86" s="60" t="s">
        <v>61</v>
      </c>
      <c r="C86" s="141">
        <f t="shared" ref="C86:I86" si="205">C32</f>
        <v>1211242</v>
      </c>
      <c r="D86" s="33">
        <f t="shared" si="205"/>
        <v>1866916</v>
      </c>
      <c r="E86" s="33">
        <f t="shared" si="205"/>
        <v>2761395</v>
      </c>
      <c r="F86" s="33">
        <f t="shared" si="205"/>
        <v>5116228</v>
      </c>
      <c r="G86" s="33">
        <f t="shared" si="205"/>
        <v>4491924</v>
      </c>
      <c r="H86" s="33">
        <f t="shared" si="205"/>
        <v>5407990</v>
      </c>
      <c r="I86" s="33">
        <f t="shared" si="205"/>
        <v>8711631</v>
      </c>
      <c r="J86" s="33"/>
      <c r="K86" s="33">
        <f t="shared" ref="K86:AC86" si="206">K32</f>
        <v>1706715</v>
      </c>
      <c r="L86" s="33">
        <f t="shared" si="206"/>
        <v>1353013</v>
      </c>
      <c r="M86" s="33">
        <f t="shared" si="206"/>
        <v>1449071</v>
      </c>
      <c r="N86" s="33">
        <f t="shared" si="206"/>
        <v>607429</v>
      </c>
      <c r="O86" s="141">
        <f t="shared" si="206"/>
        <v>1597447</v>
      </c>
      <c r="P86" s="33">
        <f t="shared" si="206"/>
        <v>1440951</v>
      </c>
      <c r="Q86" s="33">
        <f t="shared" si="206"/>
        <v>1398242</v>
      </c>
      <c r="R86" s="33">
        <f t="shared" si="206"/>
        <v>55284</v>
      </c>
      <c r="S86" s="33">
        <f t="shared" si="206"/>
        <v>1305120</v>
      </c>
      <c r="T86" s="33">
        <f t="shared" si="206"/>
        <v>1487610</v>
      </c>
      <c r="U86" s="33">
        <f t="shared" si="206"/>
        <v>1677422</v>
      </c>
      <c r="V86" s="33">
        <f t="shared" si="206"/>
        <v>937838</v>
      </c>
      <c r="W86" s="33">
        <f t="shared" si="206"/>
        <v>2332209</v>
      </c>
      <c r="X86" s="33">
        <f t="shared" si="206"/>
        <v>2147306</v>
      </c>
      <c r="Y86" s="33">
        <f t="shared" si="206"/>
        <v>2363509</v>
      </c>
      <c r="Z86" s="33">
        <f t="shared" si="206"/>
        <v>1868607</v>
      </c>
      <c r="AA86" s="33">
        <f t="shared" si="206"/>
        <v>2890351</v>
      </c>
      <c r="AB86" s="33">
        <f t="shared" si="206"/>
        <v>3125413</v>
      </c>
      <c r="AC86" s="33">
        <f t="shared" si="206"/>
        <v>2546916</v>
      </c>
      <c r="AE86" s="33">
        <f t="shared" ref="AE86:AS86" si="207">SUM(L86:O86)</f>
        <v>5006960</v>
      </c>
      <c r="AF86" s="33">
        <f t="shared" si="207"/>
        <v>5094898</v>
      </c>
      <c r="AG86" s="33">
        <f t="shared" si="207"/>
        <v>5044069</v>
      </c>
      <c r="AH86" s="33">
        <f t="shared" si="207"/>
        <v>4491924</v>
      </c>
      <c r="AI86" s="33">
        <f t="shared" si="207"/>
        <v>4199597</v>
      </c>
      <c r="AJ86" s="33">
        <f t="shared" si="207"/>
        <v>4246256</v>
      </c>
      <c r="AK86" s="33">
        <f t="shared" si="207"/>
        <v>4525436</v>
      </c>
      <c r="AL86" s="33">
        <f t="shared" si="207"/>
        <v>5407990</v>
      </c>
      <c r="AM86" s="33">
        <f t="shared" si="207"/>
        <v>6435079</v>
      </c>
      <c r="AN86" s="33">
        <f t="shared" si="207"/>
        <v>7094775</v>
      </c>
      <c r="AO86" s="33">
        <f t="shared" si="207"/>
        <v>7780862</v>
      </c>
      <c r="AP86" s="33">
        <f t="shared" si="207"/>
        <v>8711631</v>
      </c>
      <c r="AQ86" s="33">
        <f t="shared" si="207"/>
        <v>9269773</v>
      </c>
      <c r="AR86" s="33">
        <f t="shared" si="207"/>
        <v>10247880</v>
      </c>
      <c r="AS86" s="33">
        <f t="shared" si="207"/>
        <v>10431287</v>
      </c>
      <c r="AT86" s="11"/>
      <c r="AU86" s="79">
        <f>SUM(AS86/AO86)-1</f>
        <v>0.34063385265025903</v>
      </c>
    </row>
    <row r="87" spans="1:47" ht="5.0999999999999996" customHeight="1"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11"/>
      <c r="AU87" s="79"/>
    </row>
    <row r="88" spans="1:47" ht="12.75" customHeight="1">
      <c r="B88" s="37" t="s">
        <v>68</v>
      </c>
      <c r="C88" s="33"/>
      <c r="D88" s="33"/>
      <c r="E88" s="33"/>
      <c r="F88" s="33"/>
      <c r="G88" s="33"/>
      <c r="H88" s="33"/>
      <c r="I88" s="33"/>
      <c r="J88" s="33"/>
      <c r="K88" s="86"/>
      <c r="L88" s="86"/>
      <c r="M88" s="86"/>
      <c r="N88" s="33"/>
      <c r="O88" s="86"/>
      <c r="P88" s="86"/>
      <c r="Q88" s="86"/>
      <c r="R88" s="33"/>
      <c r="S88" s="86"/>
      <c r="T88" s="86"/>
      <c r="U88" s="86"/>
      <c r="V88" s="33"/>
      <c r="W88" s="86"/>
      <c r="X88" s="86"/>
      <c r="Y88" s="86"/>
      <c r="Z88" s="33"/>
      <c r="AA88" s="86"/>
      <c r="AB88" s="86"/>
      <c r="AC88" s="86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62"/>
      <c r="AU88" s="79"/>
    </row>
    <row r="89" spans="1:47" ht="12.75" customHeight="1">
      <c r="B89" s="63" t="s">
        <v>144</v>
      </c>
      <c r="C89" s="86">
        <v>-13043437</v>
      </c>
      <c r="D89" s="86">
        <v>-13916683</v>
      </c>
      <c r="E89" s="86">
        <v>-11779284</v>
      </c>
      <c r="F89" s="86">
        <v>-17702202</v>
      </c>
      <c r="G89" s="86">
        <v>-16839038</v>
      </c>
      <c r="H89" s="86">
        <v>-12554703</v>
      </c>
      <c r="I89" s="86">
        <v>-16223617</v>
      </c>
      <c r="J89" s="33"/>
      <c r="K89" s="86">
        <v>-3284576</v>
      </c>
      <c r="L89" s="86">
        <v>-4096750</v>
      </c>
      <c r="M89" s="86">
        <v>-4666237</v>
      </c>
      <c r="N89" s="33">
        <f t="shared" ref="N89" si="208">SUM(F89-SUM(K89:M89))</f>
        <v>-5654639</v>
      </c>
      <c r="O89" s="86">
        <v>-3584164</v>
      </c>
      <c r="P89" s="86">
        <v>-4687011</v>
      </c>
      <c r="Q89" s="86">
        <v>-4582671</v>
      </c>
      <c r="R89" s="33">
        <f t="shared" ref="R89" si="209">SUM(G89-SUM(O89:Q89))</f>
        <v>-3985192</v>
      </c>
      <c r="S89" s="86">
        <v>-2458666</v>
      </c>
      <c r="T89" s="86">
        <v>-3683007</v>
      </c>
      <c r="U89" s="86">
        <v>-2883839</v>
      </c>
      <c r="V89" s="33">
        <f t="shared" ref="V89" si="210">SUM(H89-SUM(S89:U89))</f>
        <v>-3529191</v>
      </c>
      <c r="W89" s="86">
        <v>-3728967</v>
      </c>
      <c r="X89" s="86">
        <v>-4048852</v>
      </c>
      <c r="Y89" s="86">
        <v>-4016396</v>
      </c>
      <c r="Z89" s="33">
        <f t="shared" ref="Z89" si="211">SUM(I89-SUM(W89:Y89))</f>
        <v>-4429402</v>
      </c>
      <c r="AA89" s="86">
        <v>-3549657</v>
      </c>
      <c r="AB89" s="86">
        <v>-3835813</v>
      </c>
      <c r="AC89" s="86">
        <v>-4653935</v>
      </c>
      <c r="AE89" s="33">
        <f t="shared" ref="AE89:AS89" si="212">SUM(L89:O89)</f>
        <v>-18001790</v>
      </c>
      <c r="AF89" s="33">
        <f t="shared" si="212"/>
        <v>-18592051</v>
      </c>
      <c r="AG89" s="33">
        <f t="shared" si="212"/>
        <v>-18508485</v>
      </c>
      <c r="AH89" s="33">
        <f t="shared" si="212"/>
        <v>-16839038</v>
      </c>
      <c r="AI89" s="33">
        <f t="shared" si="212"/>
        <v>-15713540</v>
      </c>
      <c r="AJ89" s="33">
        <f t="shared" si="212"/>
        <v>-14709536</v>
      </c>
      <c r="AK89" s="33">
        <f t="shared" si="212"/>
        <v>-13010704</v>
      </c>
      <c r="AL89" s="33">
        <f t="shared" si="212"/>
        <v>-12554703</v>
      </c>
      <c r="AM89" s="33">
        <f t="shared" si="212"/>
        <v>-13825004</v>
      </c>
      <c r="AN89" s="33">
        <f t="shared" si="212"/>
        <v>-14190849</v>
      </c>
      <c r="AO89" s="33">
        <f t="shared" si="212"/>
        <v>-15323406</v>
      </c>
      <c r="AP89" s="33">
        <f t="shared" si="212"/>
        <v>-16223617</v>
      </c>
      <c r="AQ89" s="33">
        <f t="shared" si="212"/>
        <v>-16044307</v>
      </c>
      <c r="AR89" s="33">
        <f t="shared" si="212"/>
        <v>-15831268</v>
      </c>
      <c r="AS89" s="33">
        <f t="shared" si="212"/>
        <v>-16468807</v>
      </c>
      <c r="AT89" s="11"/>
      <c r="AU89" s="79">
        <f t="shared" ref="AU89:AU103" si="213">SUM(AS89/AO89)-1</f>
        <v>7.4748459970322534E-2</v>
      </c>
    </row>
    <row r="90" spans="1:47" ht="12.75" customHeight="1">
      <c r="B90" s="63" t="s">
        <v>145</v>
      </c>
      <c r="C90" s="86">
        <v>999880</v>
      </c>
      <c r="D90" s="86">
        <v>-694011</v>
      </c>
      <c r="E90" s="86">
        <v>-757433</v>
      </c>
      <c r="F90" s="86">
        <v>232898</v>
      </c>
      <c r="G90" s="86">
        <v>179310</v>
      </c>
      <c r="H90" s="86">
        <v>-585602</v>
      </c>
      <c r="I90" s="86">
        <v>-779135</v>
      </c>
      <c r="J90" s="33"/>
      <c r="K90" s="86">
        <v>-266040</v>
      </c>
      <c r="L90" s="86">
        <v>-312208</v>
      </c>
      <c r="M90" s="86">
        <v>-29246</v>
      </c>
      <c r="N90" s="33">
        <f t="shared" ref="N90:N96" si="214">SUM(F90-SUM(K90:M90))</f>
        <v>840392</v>
      </c>
      <c r="O90" s="86">
        <v>-347149</v>
      </c>
      <c r="P90" s="86">
        <v>191228</v>
      </c>
      <c r="Q90" s="86">
        <v>60867</v>
      </c>
      <c r="R90" s="33">
        <f t="shared" ref="R90:R96" si="215">SUM(G90-SUM(O90:Q90))</f>
        <v>274364</v>
      </c>
      <c r="S90" s="86">
        <v>-354791</v>
      </c>
      <c r="T90" s="86">
        <v>46119</v>
      </c>
      <c r="U90" s="86">
        <v>-325989</v>
      </c>
      <c r="V90" s="33">
        <f t="shared" ref="V90:V96" si="216">SUM(H90-SUM(S90:U90))</f>
        <v>49059</v>
      </c>
      <c r="W90" s="86">
        <v>-189441</v>
      </c>
      <c r="X90" s="86">
        <v>-366572</v>
      </c>
      <c r="Y90" s="86">
        <v>-83585</v>
      </c>
      <c r="Z90" s="33">
        <f t="shared" ref="Z90:Z96" si="217">SUM(I90-SUM(W90:Y90))</f>
        <v>-139537</v>
      </c>
      <c r="AA90" s="86">
        <v>-411253</v>
      </c>
      <c r="AB90" s="86">
        <v>-214052</v>
      </c>
      <c r="AC90" s="86">
        <v>24262</v>
      </c>
      <c r="AE90" s="33">
        <f t="shared" ref="AE90:AE96" si="218">SUM(L90:O90)</f>
        <v>151789</v>
      </c>
      <c r="AF90" s="33">
        <f t="shared" ref="AF90:AF96" si="219">SUM(M90:P90)</f>
        <v>655225</v>
      </c>
      <c r="AG90" s="33">
        <f t="shared" ref="AG90:AG96" si="220">SUM(N90:Q90)</f>
        <v>745338</v>
      </c>
      <c r="AH90" s="33">
        <f t="shared" ref="AH90:AH96" si="221">SUM(O90:R90)</f>
        <v>179310</v>
      </c>
      <c r="AI90" s="33">
        <f t="shared" ref="AI90:AI96" si="222">SUM(P90:S90)</f>
        <v>171668</v>
      </c>
      <c r="AJ90" s="33">
        <f t="shared" ref="AJ90:AJ96" si="223">SUM(Q90:T90)</f>
        <v>26559</v>
      </c>
      <c r="AK90" s="33">
        <f t="shared" ref="AK90:AK96" si="224">SUM(R90:U90)</f>
        <v>-360297</v>
      </c>
      <c r="AL90" s="33">
        <f t="shared" ref="AL90:AL96" si="225">SUM(S90:V90)</f>
        <v>-585602</v>
      </c>
      <c r="AM90" s="33">
        <f t="shared" ref="AM90:AM96" si="226">SUM(T90:W90)</f>
        <v>-420252</v>
      </c>
      <c r="AN90" s="33">
        <f t="shared" ref="AN90:AN96" si="227">SUM(U90:X90)</f>
        <v>-832943</v>
      </c>
      <c r="AO90" s="33">
        <f t="shared" ref="AO90:AO96" si="228">SUM(V90:Y90)</f>
        <v>-590539</v>
      </c>
      <c r="AP90" s="33">
        <f t="shared" ref="AP90:AP96" si="229">SUM(W90:Z90)</f>
        <v>-779135</v>
      </c>
      <c r="AQ90" s="33">
        <f t="shared" ref="AQ90:AQ96" si="230">SUM(X90:AA90)</f>
        <v>-1000947</v>
      </c>
      <c r="AR90" s="33">
        <f t="shared" ref="AR90:AR96" si="231">SUM(Y90:AB90)</f>
        <v>-848427</v>
      </c>
      <c r="AS90" s="33">
        <f t="shared" ref="AS90:AS96" si="232">SUM(Z90:AC90)</f>
        <v>-740580</v>
      </c>
      <c r="AT90" s="11"/>
      <c r="AU90" s="79">
        <f t="shared" si="213"/>
        <v>0.25407466738013906</v>
      </c>
    </row>
    <row r="91" spans="1:47" ht="12.75" customHeight="1">
      <c r="B91" s="63" t="s">
        <v>146</v>
      </c>
      <c r="C91" s="86">
        <v>7532088</v>
      </c>
      <c r="D91" s="86">
        <v>9216247</v>
      </c>
      <c r="E91" s="86">
        <v>10806912</v>
      </c>
      <c r="F91" s="86">
        <v>12230367</v>
      </c>
      <c r="G91" s="86">
        <v>14026132</v>
      </c>
      <c r="H91" s="86">
        <v>14197437</v>
      </c>
      <c r="I91" s="86">
        <v>15301517</v>
      </c>
      <c r="J91" s="33"/>
      <c r="K91" s="86">
        <v>2719196</v>
      </c>
      <c r="L91" s="86">
        <v>2806803</v>
      </c>
      <c r="M91" s="86">
        <v>2963051</v>
      </c>
      <c r="N91" s="33">
        <f t="shared" si="214"/>
        <v>3741317</v>
      </c>
      <c r="O91" s="86">
        <v>3166365</v>
      </c>
      <c r="P91" s="86">
        <v>3261348</v>
      </c>
      <c r="Q91" s="86">
        <v>3653592</v>
      </c>
      <c r="R91" s="33">
        <f t="shared" si="215"/>
        <v>3944827</v>
      </c>
      <c r="S91" s="86">
        <v>3459984</v>
      </c>
      <c r="T91" s="86">
        <v>3410021</v>
      </c>
      <c r="U91" s="86">
        <v>3573353</v>
      </c>
      <c r="V91" s="33">
        <f t="shared" si="216"/>
        <v>3754079</v>
      </c>
      <c r="W91" s="86">
        <v>3670805</v>
      </c>
      <c r="X91" s="86">
        <v>3769690</v>
      </c>
      <c r="Y91" s="86">
        <v>3699521</v>
      </c>
      <c r="Z91" s="33">
        <f t="shared" si="217"/>
        <v>4161501</v>
      </c>
      <c r="AA91" s="86">
        <v>3823112</v>
      </c>
      <c r="AB91" s="86">
        <v>3832074</v>
      </c>
      <c r="AC91" s="86">
        <v>4002744</v>
      </c>
      <c r="AE91" s="33">
        <f t="shared" si="218"/>
        <v>12677536</v>
      </c>
      <c r="AF91" s="33">
        <f t="shared" si="219"/>
        <v>13132081</v>
      </c>
      <c r="AG91" s="33">
        <f t="shared" si="220"/>
        <v>13822622</v>
      </c>
      <c r="AH91" s="33">
        <f t="shared" si="221"/>
        <v>14026132</v>
      </c>
      <c r="AI91" s="33">
        <f t="shared" si="222"/>
        <v>14319751</v>
      </c>
      <c r="AJ91" s="33">
        <f t="shared" si="223"/>
        <v>14468424</v>
      </c>
      <c r="AK91" s="33">
        <f t="shared" si="224"/>
        <v>14388185</v>
      </c>
      <c r="AL91" s="33">
        <f t="shared" si="225"/>
        <v>14197437</v>
      </c>
      <c r="AM91" s="33">
        <f t="shared" si="226"/>
        <v>14408258</v>
      </c>
      <c r="AN91" s="33">
        <f t="shared" si="227"/>
        <v>14767927</v>
      </c>
      <c r="AO91" s="33">
        <f t="shared" si="228"/>
        <v>14894095</v>
      </c>
      <c r="AP91" s="33">
        <f t="shared" si="229"/>
        <v>15301517</v>
      </c>
      <c r="AQ91" s="33">
        <f t="shared" si="230"/>
        <v>15453824</v>
      </c>
      <c r="AR91" s="33">
        <f t="shared" si="231"/>
        <v>15516208</v>
      </c>
      <c r="AS91" s="33">
        <f t="shared" si="232"/>
        <v>15819431</v>
      </c>
      <c r="AT91" s="11"/>
      <c r="AU91" s="79">
        <f t="shared" si="213"/>
        <v>6.2127709001453368E-2</v>
      </c>
    </row>
    <row r="92" spans="1:47" ht="12.75" customHeight="1">
      <c r="B92" s="63" t="s">
        <v>147</v>
      </c>
      <c r="C92" s="86">
        <v>83157</v>
      </c>
      <c r="D92" s="86">
        <v>103579</v>
      </c>
      <c r="E92" s="86">
        <v>115710</v>
      </c>
      <c r="F92" s="86">
        <v>208412</v>
      </c>
      <c r="G92" s="86">
        <v>336682</v>
      </c>
      <c r="H92" s="86">
        <v>356947</v>
      </c>
      <c r="I92" s="86">
        <v>328914</v>
      </c>
      <c r="J92" s="33"/>
      <c r="K92" s="86">
        <v>35741</v>
      </c>
      <c r="L92" s="86">
        <v>38434</v>
      </c>
      <c r="M92" s="86">
        <v>70253</v>
      </c>
      <c r="N92" s="33">
        <f t="shared" si="214"/>
        <v>63984</v>
      </c>
      <c r="O92" s="86">
        <v>74602</v>
      </c>
      <c r="P92" s="86">
        <v>83505</v>
      </c>
      <c r="Q92" s="86">
        <v>85188</v>
      </c>
      <c r="R92" s="33">
        <f t="shared" si="215"/>
        <v>93387</v>
      </c>
      <c r="S92" s="86">
        <v>90335</v>
      </c>
      <c r="T92" s="86">
        <v>89385</v>
      </c>
      <c r="U92" s="86">
        <v>90660</v>
      </c>
      <c r="V92" s="33">
        <f t="shared" si="216"/>
        <v>86567</v>
      </c>
      <c r="W92" s="86">
        <v>87234</v>
      </c>
      <c r="X92" s="86">
        <v>81227</v>
      </c>
      <c r="Y92" s="86">
        <v>80914</v>
      </c>
      <c r="Z92" s="33">
        <f t="shared" si="217"/>
        <v>79539</v>
      </c>
      <c r="AA92" s="86">
        <v>80067</v>
      </c>
      <c r="AB92" s="86">
        <v>80013</v>
      </c>
      <c r="AC92" s="86">
        <v>87326</v>
      </c>
      <c r="AE92" s="33">
        <f t="shared" si="218"/>
        <v>247273</v>
      </c>
      <c r="AF92" s="33">
        <f t="shared" si="219"/>
        <v>292344</v>
      </c>
      <c r="AG92" s="33">
        <f t="shared" si="220"/>
        <v>307279</v>
      </c>
      <c r="AH92" s="33">
        <f t="shared" si="221"/>
        <v>336682</v>
      </c>
      <c r="AI92" s="33">
        <f t="shared" si="222"/>
        <v>352415</v>
      </c>
      <c r="AJ92" s="33">
        <f t="shared" si="223"/>
        <v>358295</v>
      </c>
      <c r="AK92" s="33">
        <f t="shared" si="224"/>
        <v>363767</v>
      </c>
      <c r="AL92" s="33">
        <f t="shared" si="225"/>
        <v>356947</v>
      </c>
      <c r="AM92" s="33">
        <f t="shared" si="226"/>
        <v>353846</v>
      </c>
      <c r="AN92" s="33">
        <f t="shared" si="227"/>
        <v>345688</v>
      </c>
      <c r="AO92" s="33">
        <f t="shared" si="228"/>
        <v>335942</v>
      </c>
      <c r="AP92" s="33">
        <f t="shared" si="229"/>
        <v>328914</v>
      </c>
      <c r="AQ92" s="33">
        <f t="shared" si="230"/>
        <v>321747</v>
      </c>
      <c r="AR92" s="33">
        <f t="shared" si="231"/>
        <v>320533</v>
      </c>
      <c r="AS92" s="33">
        <f t="shared" si="232"/>
        <v>326945</v>
      </c>
      <c r="AT92" s="11"/>
      <c r="AU92" s="79">
        <f t="shared" si="213"/>
        <v>-2.6781408695548681E-2</v>
      </c>
    </row>
    <row r="93" spans="1:47" ht="12.75" customHeight="1">
      <c r="B93" s="63" t="s">
        <v>148</v>
      </c>
      <c r="C93" s="86">
        <v>320657</v>
      </c>
      <c r="D93" s="86">
        <v>405376</v>
      </c>
      <c r="E93" s="86">
        <v>415180</v>
      </c>
      <c r="F93" s="86">
        <v>403220</v>
      </c>
      <c r="G93" s="86">
        <v>575452</v>
      </c>
      <c r="H93" s="86">
        <v>339368</v>
      </c>
      <c r="I93" s="86">
        <v>272588</v>
      </c>
      <c r="J93" s="33"/>
      <c r="K93" s="86">
        <v>107230</v>
      </c>
      <c r="L93" s="86">
        <v>101583</v>
      </c>
      <c r="M93" s="86">
        <v>95078</v>
      </c>
      <c r="N93" s="33">
        <f t="shared" si="214"/>
        <v>99329</v>
      </c>
      <c r="O93" s="86">
        <v>119209</v>
      </c>
      <c r="P93" s="86">
        <v>150392</v>
      </c>
      <c r="Q93" s="86">
        <v>152062</v>
      </c>
      <c r="R93" s="33">
        <f t="shared" si="215"/>
        <v>153789</v>
      </c>
      <c r="S93" s="86">
        <v>99099</v>
      </c>
      <c r="T93" s="86">
        <v>78030</v>
      </c>
      <c r="U93" s="86">
        <v>79720</v>
      </c>
      <c r="V93" s="33">
        <f t="shared" si="216"/>
        <v>82519</v>
      </c>
      <c r="W93" s="86">
        <v>76345</v>
      </c>
      <c r="X93" s="86">
        <v>68766</v>
      </c>
      <c r="Y93" s="86">
        <v>65650</v>
      </c>
      <c r="Z93" s="33">
        <f t="shared" si="217"/>
        <v>61827</v>
      </c>
      <c r="AA93" s="86">
        <v>71977</v>
      </c>
      <c r="AB93" s="86">
        <v>80862</v>
      </c>
      <c r="AC93" s="86">
        <v>80986</v>
      </c>
      <c r="AE93" s="33">
        <f t="shared" si="218"/>
        <v>415199</v>
      </c>
      <c r="AF93" s="33">
        <f t="shared" si="219"/>
        <v>464008</v>
      </c>
      <c r="AG93" s="33">
        <f t="shared" si="220"/>
        <v>520992</v>
      </c>
      <c r="AH93" s="33">
        <f t="shared" si="221"/>
        <v>575452</v>
      </c>
      <c r="AI93" s="33">
        <f t="shared" si="222"/>
        <v>555342</v>
      </c>
      <c r="AJ93" s="33">
        <f t="shared" si="223"/>
        <v>482980</v>
      </c>
      <c r="AK93" s="33">
        <f t="shared" si="224"/>
        <v>410638</v>
      </c>
      <c r="AL93" s="33">
        <f t="shared" si="225"/>
        <v>339368</v>
      </c>
      <c r="AM93" s="33">
        <f t="shared" si="226"/>
        <v>316614</v>
      </c>
      <c r="AN93" s="33">
        <f t="shared" si="227"/>
        <v>307350</v>
      </c>
      <c r="AO93" s="33">
        <f t="shared" si="228"/>
        <v>293280</v>
      </c>
      <c r="AP93" s="33">
        <f t="shared" si="229"/>
        <v>272588</v>
      </c>
      <c r="AQ93" s="33">
        <f t="shared" si="230"/>
        <v>268220</v>
      </c>
      <c r="AR93" s="33">
        <f t="shared" si="231"/>
        <v>280316</v>
      </c>
      <c r="AS93" s="33">
        <f t="shared" si="232"/>
        <v>295652</v>
      </c>
      <c r="AT93" s="11"/>
      <c r="AU93" s="79">
        <f t="shared" si="213"/>
        <v>8.0878341516639196E-3</v>
      </c>
    </row>
    <row r="94" spans="1:47" ht="12.75" customHeight="1">
      <c r="B94" s="63" t="s">
        <v>149</v>
      </c>
      <c r="C94" s="86">
        <v>-73953</v>
      </c>
      <c r="D94" s="86">
        <v>-45576</v>
      </c>
      <c r="E94" s="86">
        <v>533278</v>
      </c>
      <c r="F94" s="86">
        <v>-430661</v>
      </c>
      <c r="G94" s="86">
        <v>-353111</v>
      </c>
      <c r="H94" s="86">
        <v>176296</v>
      </c>
      <c r="I94" s="86">
        <v>-121539</v>
      </c>
      <c r="J94" s="33"/>
      <c r="K94" s="86">
        <v>-253330</v>
      </c>
      <c r="L94" s="86">
        <v>63074</v>
      </c>
      <c r="M94" s="86">
        <v>-136488</v>
      </c>
      <c r="N94" s="33">
        <f t="shared" si="214"/>
        <v>-103917</v>
      </c>
      <c r="O94" s="86">
        <v>-161821</v>
      </c>
      <c r="P94" s="86">
        <v>-304513</v>
      </c>
      <c r="Q94" s="86">
        <v>-348458</v>
      </c>
      <c r="R94" s="33">
        <f t="shared" si="215"/>
        <v>461681</v>
      </c>
      <c r="S94" s="86">
        <v>80651</v>
      </c>
      <c r="T94" s="86">
        <v>28952</v>
      </c>
      <c r="U94" s="86">
        <v>-172678</v>
      </c>
      <c r="V94" s="33">
        <f t="shared" si="216"/>
        <v>239371</v>
      </c>
      <c r="W94" s="86">
        <v>-130801</v>
      </c>
      <c r="X94" s="86">
        <v>-42692</v>
      </c>
      <c r="Y94" s="86">
        <v>104809</v>
      </c>
      <c r="Z94" s="33">
        <f t="shared" si="217"/>
        <v>-52855</v>
      </c>
      <c r="AA94" s="86">
        <v>28547</v>
      </c>
      <c r="AB94" s="86">
        <v>55238</v>
      </c>
      <c r="AC94" s="86">
        <v>-1707</v>
      </c>
      <c r="AE94" s="33">
        <f t="shared" si="218"/>
        <v>-339152</v>
      </c>
      <c r="AF94" s="33">
        <f t="shared" si="219"/>
        <v>-706739</v>
      </c>
      <c r="AG94" s="33">
        <f t="shared" si="220"/>
        <v>-918709</v>
      </c>
      <c r="AH94" s="33">
        <f t="shared" si="221"/>
        <v>-353111</v>
      </c>
      <c r="AI94" s="33">
        <f t="shared" si="222"/>
        <v>-110639</v>
      </c>
      <c r="AJ94" s="33">
        <f t="shared" si="223"/>
        <v>222826</v>
      </c>
      <c r="AK94" s="33">
        <f t="shared" si="224"/>
        <v>398606</v>
      </c>
      <c r="AL94" s="33">
        <f t="shared" si="225"/>
        <v>176296</v>
      </c>
      <c r="AM94" s="33">
        <f t="shared" si="226"/>
        <v>-35156</v>
      </c>
      <c r="AN94" s="33">
        <f t="shared" si="227"/>
        <v>-106800</v>
      </c>
      <c r="AO94" s="33">
        <f t="shared" si="228"/>
        <v>170687</v>
      </c>
      <c r="AP94" s="33">
        <f t="shared" si="229"/>
        <v>-121539</v>
      </c>
      <c r="AQ94" s="33">
        <f t="shared" si="230"/>
        <v>37809</v>
      </c>
      <c r="AR94" s="33">
        <f t="shared" si="231"/>
        <v>135739</v>
      </c>
      <c r="AS94" s="33">
        <f t="shared" si="232"/>
        <v>29223</v>
      </c>
      <c r="AT94" s="11"/>
      <c r="AU94" s="79">
        <f t="shared" si="213"/>
        <v>-0.82879188221715772</v>
      </c>
    </row>
    <row r="95" spans="1:47" ht="12.75" customHeight="1">
      <c r="B95" s="63" t="s">
        <v>150</v>
      </c>
      <c r="C95" s="86">
        <v>81640</v>
      </c>
      <c r="D95" s="86">
        <v>228230</v>
      </c>
      <c r="E95" s="86">
        <v>293126</v>
      </c>
      <c r="F95" s="86">
        <v>376777</v>
      </c>
      <c r="G95" s="86">
        <v>533543</v>
      </c>
      <c r="H95" s="86">
        <v>512075</v>
      </c>
      <c r="I95" s="86">
        <v>494778</v>
      </c>
      <c r="J95" s="33"/>
      <c r="K95" s="86">
        <v>72657</v>
      </c>
      <c r="L95" s="86">
        <v>108103</v>
      </c>
      <c r="M95" s="86">
        <v>102211</v>
      </c>
      <c r="N95" s="33">
        <f t="shared" si="214"/>
        <v>93806</v>
      </c>
      <c r="O95" s="86">
        <v>101968</v>
      </c>
      <c r="P95" s="86">
        <v>205374</v>
      </c>
      <c r="Q95" s="86">
        <v>102513</v>
      </c>
      <c r="R95" s="33">
        <f t="shared" si="215"/>
        <v>123688</v>
      </c>
      <c r="S95" s="86">
        <v>120008</v>
      </c>
      <c r="T95" s="86">
        <v>121483</v>
      </c>
      <c r="U95" s="86">
        <v>115688</v>
      </c>
      <c r="V95" s="33">
        <f t="shared" si="216"/>
        <v>154896</v>
      </c>
      <c r="W95" s="86">
        <v>97181</v>
      </c>
      <c r="X95" s="86">
        <v>138588</v>
      </c>
      <c r="Y95" s="86">
        <v>128082</v>
      </c>
      <c r="Z95" s="33">
        <f t="shared" si="217"/>
        <v>130927</v>
      </c>
      <c r="AA95" s="86">
        <v>114730</v>
      </c>
      <c r="AB95" s="86">
        <v>120139</v>
      </c>
      <c r="AC95" s="86">
        <v>142293</v>
      </c>
      <c r="AE95" s="33">
        <f t="shared" si="218"/>
        <v>406088</v>
      </c>
      <c r="AF95" s="33">
        <f t="shared" si="219"/>
        <v>503359</v>
      </c>
      <c r="AG95" s="33">
        <f t="shared" si="220"/>
        <v>503661</v>
      </c>
      <c r="AH95" s="33">
        <f t="shared" si="221"/>
        <v>533543</v>
      </c>
      <c r="AI95" s="33">
        <f t="shared" si="222"/>
        <v>551583</v>
      </c>
      <c r="AJ95" s="33">
        <f t="shared" si="223"/>
        <v>467692</v>
      </c>
      <c r="AK95" s="33">
        <f t="shared" si="224"/>
        <v>480867</v>
      </c>
      <c r="AL95" s="33">
        <f t="shared" si="225"/>
        <v>512075</v>
      </c>
      <c r="AM95" s="33">
        <f t="shared" si="226"/>
        <v>489248</v>
      </c>
      <c r="AN95" s="33">
        <f t="shared" si="227"/>
        <v>506353</v>
      </c>
      <c r="AO95" s="33">
        <f t="shared" si="228"/>
        <v>518747</v>
      </c>
      <c r="AP95" s="33">
        <f t="shared" si="229"/>
        <v>494778</v>
      </c>
      <c r="AQ95" s="33">
        <f t="shared" si="230"/>
        <v>512327</v>
      </c>
      <c r="AR95" s="33">
        <f t="shared" si="231"/>
        <v>493878</v>
      </c>
      <c r="AS95" s="33">
        <f t="shared" si="232"/>
        <v>508089</v>
      </c>
      <c r="AT95" s="11"/>
      <c r="AU95" s="79">
        <f t="shared" si="213"/>
        <v>-2.0545660986955094E-2</v>
      </c>
    </row>
    <row r="96" spans="1:47" ht="12.75" customHeight="1">
      <c r="B96" s="63" t="s">
        <v>107</v>
      </c>
      <c r="C96" s="86">
        <v>-85520</v>
      </c>
      <c r="D96" s="86">
        <v>-94443</v>
      </c>
      <c r="E96" s="86">
        <v>70066</v>
      </c>
      <c r="F96" s="86">
        <v>199548</v>
      </c>
      <c r="G96" s="86">
        <v>-166550</v>
      </c>
      <c r="H96" s="86">
        <v>-459359</v>
      </c>
      <c r="I96" s="86">
        <v>-590698</v>
      </c>
      <c r="J96" s="33"/>
      <c r="K96" s="86">
        <v>159733</v>
      </c>
      <c r="L96" s="86">
        <v>51127</v>
      </c>
      <c r="M96" s="86">
        <v>50967</v>
      </c>
      <c r="N96" s="33">
        <f t="shared" si="214"/>
        <v>-62279</v>
      </c>
      <c r="O96" s="86">
        <v>-68906</v>
      </c>
      <c r="P96" s="86">
        <v>-115820</v>
      </c>
      <c r="Q96" s="86">
        <v>-57797</v>
      </c>
      <c r="R96" s="33">
        <f t="shared" si="215"/>
        <v>75973</v>
      </c>
      <c r="S96" s="86">
        <v>-98782</v>
      </c>
      <c r="T96" s="86">
        <v>-103172</v>
      </c>
      <c r="U96" s="86">
        <v>-86277</v>
      </c>
      <c r="V96" s="33">
        <f t="shared" si="216"/>
        <v>-171128</v>
      </c>
      <c r="W96" s="86">
        <v>-107077</v>
      </c>
      <c r="X96" s="86">
        <v>-209387</v>
      </c>
      <c r="Y96" s="86">
        <v>-200982</v>
      </c>
      <c r="Z96" s="33">
        <f t="shared" si="217"/>
        <v>-73252</v>
      </c>
      <c r="AA96" s="86">
        <v>-163928</v>
      </c>
      <c r="AB96" s="86">
        <v>-135755</v>
      </c>
      <c r="AC96" s="86">
        <v>20539</v>
      </c>
      <c r="AE96" s="33">
        <f t="shared" si="218"/>
        <v>-29091</v>
      </c>
      <c r="AF96" s="33">
        <f t="shared" si="219"/>
        <v>-196038</v>
      </c>
      <c r="AG96" s="33">
        <f t="shared" si="220"/>
        <v>-304802</v>
      </c>
      <c r="AH96" s="33">
        <f t="shared" si="221"/>
        <v>-166550</v>
      </c>
      <c r="AI96" s="33">
        <f t="shared" si="222"/>
        <v>-196426</v>
      </c>
      <c r="AJ96" s="33">
        <f t="shared" si="223"/>
        <v>-183778</v>
      </c>
      <c r="AK96" s="33">
        <f t="shared" si="224"/>
        <v>-212258</v>
      </c>
      <c r="AL96" s="33">
        <f t="shared" si="225"/>
        <v>-459359</v>
      </c>
      <c r="AM96" s="33">
        <f t="shared" si="226"/>
        <v>-467654</v>
      </c>
      <c r="AN96" s="33">
        <f t="shared" si="227"/>
        <v>-573869</v>
      </c>
      <c r="AO96" s="33">
        <f t="shared" si="228"/>
        <v>-688574</v>
      </c>
      <c r="AP96" s="33">
        <f t="shared" si="229"/>
        <v>-590698</v>
      </c>
      <c r="AQ96" s="33">
        <f t="shared" si="230"/>
        <v>-647549</v>
      </c>
      <c r="AR96" s="33">
        <f t="shared" si="231"/>
        <v>-573917</v>
      </c>
      <c r="AS96" s="33">
        <f t="shared" si="232"/>
        <v>-352396</v>
      </c>
      <c r="AT96" s="11"/>
      <c r="AU96" s="79">
        <f t="shared" si="213"/>
        <v>-0.48822348796207815</v>
      </c>
    </row>
    <row r="97" spans="2:47" ht="12.75" customHeight="1">
      <c r="B97" s="37" t="s">
        <v>14</v>
      </c>
      <c r="C97" s="86"/>
      <c r="D97" s="86"/>
      <c r="E97" s="86"/>
      <c r="F97" s="86"/>
      <c r="G97" s="86"/>
      <c r="H97" s="86"/>
      <c r="I97" s="86"/>
      <c r="J97" s="33"/>
      <c r="K97" s="86"/>
      <c r="L97" s="86"/>
      <c r="M97" s="86"/>
      <c r="N97" s="33"/>
      <c r="O97" s="86"/>
      <c r="P97" s="86"/>
      <c r="Q97" s="86"/>
      <c r="R97" s="33"/>
      <c r="S97" s="86"/>
      <c r="T97" s="86"/>
      <c r="U97" s="86"/>
      <c r="V97" s="33"/>
      <c r="W97" s="86"/>
      <c r="X97" s="86"/>
      <c r="Y97" s="86"/>
      <c r="Z97" s="33"/>
      <c r="AA97" s="86"/>
      <c r="AB97" s="86"/>
      <c r="AC97" s="86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62"/>
      <c r="AU97" s="79"/>
    </row>
    <row r="98" spans="2:47" ht="12.75" customHeight="1">
      <c r="B98" s="63" t="s">
        <v>16</v>
      </c>
      <c r="C98" s="86">
        <v>-200192</v>
      </c>
      <c r="D98" s="86">
        <v>-252113</v>
      </c>
      <c r="E98" s="86">
        <v>-187623</v>
      </c>
      <c r="F98" s="86">
        <v>-369681</v>
      </c>
      <c r="G98" s="86">
        <v>-353834</v>
      </c>
      <c r="H98" s="86">
        <v>-181003</v>
      </c>
      <c r="I98" s="86">
        <v>22180</v>
      </c>
      <c r="J98" s="33"/>
      <c r="K98" s="86">
        <v>-221555</v>
      </c>
      <c r="L98" s="86">
        <v>-52373</v>
      </c>
      <c r="M98" s="86">
        <v>-95145</v>
      </c>
      <c r="N98" s="33">
        <f t="shared" ref="N98:N102" si="233">SUM(F98-SUM(K98:M98))</f>
        <v>-608</v>
      </c>
      <c r="O98" s="86">
        <v>41157</v>
      </c>
      <c r="P98" s="86">
        <v>123399</v>
      </c>
      <c r="Q98" s="86">
        <v>-120071</v>
      </c>
      <c r="R98" s="33">
        <f t="shared" ref="R98:R102" si="234">SUM(G98-SUM(O98:Q98))</f>
        <v>-398319</v>
      </c>
      <c r="S98" s="86">
        <v>-88522</v>
      </c>
      <c r="T98" s="86">
        <v>-183049</v>
      </c>
      <c r="U98" s="86">
        <v>103766</v>
      </c>
      <c r="V98" s="33">
        <f t="shared" ref="V98:V102" si="235">SUM(H98-SUM(S98:U98))</f>
        <v>-13198</v>
      </c>
      <c r="W98" s="86">
        <v>38049</v>
      </c>
      <c r="X98" s="86">
        <v>-28959</v>
      </c>
      <c r="Y98" s="86">
        <v>54956</v>
      </c>
      <c r="Z98" s="33">
        <f t="shared" ref="Z98:Z102" si="236">SUM(I98-SUM(W98:Y98))</f>
        <v>-41866</v>
      </c>
      <c r="AA98" s="86">
        <v>-131367</v>
      </c>
      <c r="AB98" s="86">
        <v>-176683</v>
      </c>
      <c r="AC98" s="86">
        <v>-169597</v>
      </c>
      <c r="AE98" s="33">
        <f t="shared" ref="AE98:AS102" si="237">SUM(L98:O98)</f>
        <v>-106969</v>
      </c>
      <c r="AF98" s="33">
        <f t="shared" si="237"/>
        <v>68803</v>
      </c>
      <c r="AG98" s="33">
        <f t="shared" si="237"/>
        <v>43877</v>
      </c>
      <c r="AH98" s="33">
        <f t="shared" si="237"/>
        <v>-353834</v>
      </c>
      <c r="AI98" s="33">
        <f t="shared" si="237"/>
        <v>-483513</v>
      </c>
      <c r="AJ98" s="33">
        <f t="shared" si="237"/>
        <v>-789961</v>
      </c>
      <c r="AK98" s="33">
        <f t="shared" si="237"/>
        <v>-566124</v>
      </c>
      <c r="AL98" s="33">
        <f t="shared" si="237"/>
        <v>-181003</v>
      </c>
      <c r="AM98" s="33">
        <f t="shared" si="237"/>
        <v>-54432</v>
      </c>
      <c r="AN98" s="33">
        <f t="shared" si="237"/>
        <v>99658</v>
      </c>
      <c r="AO98" s="33">
        <f t="shared" si="237"/>
        <v>50848</v>
      </c>
      <c r="AP98" s="33">
        <f t="shared" si="237"/>
        <v>22180</v>
      </c>
      <c r="AQ98" s="33">
        <f t="shared" si="237"/>
        <v>-147236</v>
      </c>
      <c r="AR98" s="33">
        <f t="shared" si="237"/>
        <v>-294960</v>
      </c>
      <c r="AS98" s="33">
        <f t="shared" si="237"/>
        <v>-519513</v>
      </c>
      <c r="AT98" s="62"/>
      <c r="AU98" s="79">
        <f t="shared" si="213"/>
        <v>-11.216980018879799</v>
      </c>
    </row>
    <row r="99" spans="2:47" ht="12.75" customHeight="1">
      <c r="B99" s="63" t="s">
        <v>13</v>
      </c>
      <c r="C99" s="86">
        <v>199198</v>
      </c>
      <c r="D99" s="86">
        <v>96063</v>
      </c>
      <c r="E99" s="86">
        <v>-41605</v>
      </c>
      <c r="F99" s="86">
        <v>145115</v>
      </c>
      <c r="G99" s="86">
        <v>-158543</v>
      </c>
      <c r="H99" s="86">
        <v>93502</v>
      </c>
      <c r="I99" s="86">
        <v>121353</v>
      </c>
      <c r="J99" s="33"/>
      <c r="K99" s="86">
        <v>-137313</v>
      </c>
      <c r="L99" s="86">
        <v>72313</v>
      </c>
      <c r="M99" s="86">
        <v>24836</v>
      </c>
      <c r="N99" s="33">
        <f t="shared" si="233"/>
        <v>185279</v>
      </c>
      <c r="O99" s="86">
        <v>-215444</v>
      </c>
      <c r="P99" s="86">
        <v>-122048</v>
      </c>
      <c r="Q99" s="86">
        <v>53875</v>
      </c>
      <c r="R99" s="33">
        <f t="shared" si="234"/>
        <v>125074</v>
      </c>
      <c r="S99" s="86">
        <v>-89668</v>
      </c>
      <c r="T99" s="86">
        <v>38332</v>
      </c>
      <c r="U99" s="86">
        <v>-68390</v>
      </c>
      <c r="V99" s="33">
        <f t="shared" si="235"/>
        <v>213228</v>
      </c>
      <c r="W99" s="86">
        <v>-145265</v>
      </c>
      <c r="X99" s="86">
        <v>-19358</v>
      </c>
      <c r="Y99" s="86">
        <v>30597</v>
      </c>
      <c r="Z99" s="33">
        <f t="shared" si="236"/>
        <v>255379</v>
      </c>
      <c r="AA99" s="86">
        <v>-276426</v>
      </c>
      <c r="AB99" s="86">
        <v>11046</v>
      </c>
      <c r="AC99" s="86">
        <v>139451</v>
      </c>
      <c r="AE99" s="33">
        <f t="shared" si="237"/>
        <v>66984</v>
      </c>
      <c r="AF99" s="33">
        <f t="shared" si="237"/>
        <v>-127377</v>
      </c>
      <c r="AG99" s="33">
        <f t="shared" si="237"/>
        <v>-98338</v>
      </c>
      <c r="AH99" s="33">
        <f t="shared" si="237"/>
        <v>-158543</v>
      </c>
      <c r="AI99" s="33">
        <f t="shared" si="237"/>
        <v>-32767</v>
      </c>
      <c r="AJ99" s="33">
        <f t="shared" si="237"/>
        <v>127613</v>
      </c>
      <c r="AK99" s="33">
        <f t="shared" si="237"/>
        <v>5348</v>
      </c>
      <c r="AL99" s="33">
        <f t="shared" si="237"/>
        <v>93502</v>
      </c>
      <c r="AM99" s="33">
        <f t="shared" si="237"/>
        <v>37905</v>
      </c>
      <c r="AN99" s="33">
        <f t="shared" si="237"/>
        <v>-19785</v>
      </c>
      <c r="AO99" s="33">
        <f t="shared" si="237"/>
        <v>79202</v>
      </c>
      <c r="AP99" s="33">
        <f t="shared" si="237"/>
        <v>121353</v>
      </c>
      <c r="AQ99" s="33">
        <f t="shared" si="237"/>
        <v>-9808</v>
      </c>
      <c r="AR99" s="33">
        <f t="shared" si="237"/>
        <v>20596</v>
      </c>
      <c r="AS99" s="33">
        <f t="shared" si="237"/>
        <v>129450</v>
      </c>
      <c r="AT99" s="62"/>
      <c r="AU99" s="79">
        <f t="shared" si="213"/>
        <v>0.63442842352465845</v>
      </c>
    </row>
    <row r="100" spans="2:47" ht="12.75" customHeight="1">
      <c r="B100" s="63" t="s">
        <v>133</v>
      </c>
      <c r="C100" s="86">
        <v>150422</v>
      </c>
      <c r="D100" s="86">
        <v>157778</v>
      </c>
      <c r="E100" s="86">
        <v>198183</v>
      </c>
      <c r="F100" s="86">
        <v>180338</v>
      </c>
      <c r="G100" s="86">
        <v>-55513</v>
      </c>
      <c r="H100" s="86">
        <v>103565</v>
      </c>
      <c r="I100" s="86">
        <v>191899</v>
      </c>
      <c r="J100" s="33"/>
      <c r="K100" s="86">
        <v>177897</v>
      </c>
      <c r="L100" s="86">
        <v>-171430</v>
      </c>
      <c r="M100" s="86">
        <v>269774</v>
      </c>
      <c r="N100" s="33">
        <f t="shared" si="233"/>
        <v>-95903</v>
      </c>
      <c r="O100" s="86">
        <v>350763</v>
      </c>
      <c r="P100" s="86">
        <v>-238719</v>
      </c>
      <c r="Q100" s="86">
        <v>212072</v>
      </c>
      <c r="R100" s="33">
        <f t="shared" si="234"/>
        <v>-379629</v>
      </c>
      <c r="S100" s="86">
        <v>185299</v>
      </c>
      <c r="T100" s="86">
        <v>177831</v>
      </c>
      <c r="U100" s="86">
        <v>-65029</v>
      </c>
      <c r="V100" s="33">
        <f t="shared" si="235"/>
        <v>-194536</v>
      </c>
      <c r="W100" s="86">
        <v>251782</v>
      </c>
      <c r="X100" s="86">
        <v>-114303</v>
      </c>
      <c r="Y100" s="86">
        <v>179011</v>
      </c>
      <c r="Z100" s="33">
        <f t="shared" si="236"/>
        <v>-124591</v>
      </c>
      <c r="AA100" s="86">
        <v>306413</v>
      </c>
      <c r="AB100" s="86">
        <v>-267235</v>
      </c>
      <c r="AC100" s="86">
        <v>707151</v>
      </c>
      <c r="AE100" s="33">
        <f t="shared" si="237"/>
        <v>353204</v>
      </c>
      <c r="AF100" s="33">
        <f t="shared" si="237"/>
        <v>285915</v>
      </c>
      <c r="AG100" s="33">
        <f t="shared" si="237"/>
        <v>228213</v>
      </c>
      <c r="AH100" s="33">
        <f t="shared" si="237"/>
        <v>-55513</v>
      </c>
      <c r="AI100" s="33">
        <f t="shared" si="237"/>
        <v>-220977</v>
      </c>
      <c r="AJ100" s="33">
        <f t="shared" si="237"/>
        <v>195573</v>
      </c>
      <c r="AK100" s="33">
        <f t="shared" si="237"/>
        <v>-81528</v>
      </c>
      <c r="AL100" s="33">
        <f t="shared" si="237"/>
        <v>103565</v>
      </c>
      <c r="AM100" s="33">
        <f t="shared" si="237"/>
        <v>170048</v>
      </c>
      <c r="AN100" s="33">
        <f t="shared" si="237"/>
        <v>-122086</v>
      </c>
      <c r="AO100" s="33">
        <f t="shared" si="237"/>
        <v>121954</v>
      </c>
      <c r="AP100" s="33">
        <f t="shared" si="237"/>
        <v>191899</v>
      </c>
      <c r="AQ100" s="33">
        <f t="shared" si="237"/>
        <v>246530</v>
      </c>
      <c r="AR100" s="33">
        <f t="shared" si="237"/>
        <v>93598</v>
      </c>
      <c r="AS100" s="33">
        <f t="shared" si="237"/>
        <v>621738</v>
      </c>
      <c r="AT100" s="62"/>
      <c r="AU100" s="79">
        <f t="shared" si="213"/>
        <v>4.0981353625137347</v>
      </c>
    </row>
    <row r="101" spans="2:47" ht="12.75" customHeight="1">
      <c r="B101" s="63" t="s">
        <v>110</v>
      </c>
      <c r="C101" s="86">
        <v>142277</v>
      </c>
      <c r="D101" s="86">
        <v>163846</v>
      </c>
      <c r="E101" s="86">
        <v>193247</v>
      </c>
      <c r="F101" s="86">
        <v>91350</v>
      </c>
      <c r="G101" s="86">
        <v>27356</v>
      </c>
      <c r="H101" s="86">
        <v>178708</v>
      </c>
      <c r="I101" s="86">
        <v>77844</v>
      </c>
      <c r="J101" s="33"/>
      <c r="K101" s="86">
        <v>22279</v>
      </c>
      <c r="L101" s="86">
        <v>47093</v>
      </c>
      <c r="M101" s="86">
        <v>-4732</v>
      </c>
      <c r="N101" s="33">
        <f t="shared" si="233"/>
        <v>26710</v>
      </c>
      <c r="O101" s="86">
        <v>16743</v>
      </c>
      <c r="P101" s="86">
        <v>-10376</v>
      </c>
      <c r="Q101" s="86">
        <v>-48420</v>
      </c>
      <c r="R101" s="33">
        <f t="shared" si="234"/>
        <v>69409</v>
      </c>
      <c r="S101" s="86">
        <v>-2390</v>
      </c>
      <c r="T101" s="86">
        <v>49647</v>
      </c>
      <c r="U101" s="86">
        <v>-5733</v>
      </c>
      <c r="V101" s="33">
        <f t="shared" si="235"/>
        <v>137184</v>
      </c>
      <c r="W101" s="86">
        <v>26515</v>
      </c>
      <c r="X101" s="86">
        <v>4236</v>
      </c>
      <c r="Y101" s="86">
        <v>39328</v>
      </c>
      <c r="Z101" s="33">
        <f t="shared" si="236"/>
        <v>7765</v>
      </c>
      <c r="AA101" s="86">
        <v>88913</v>
      </c>
      <c r="AB101" s="86">
        <v>118635</v>
      </c>
      <c r="AC101" s="86">
        <v>-3686</v>
      </c>
      <c r="AE101" s="33">
        <f t="shared" si="237"/>
        <v>85814</v>
      </c>
      <c r="AF101" s="33">
        <f t="shared" si="237"/>
        <v>28345</v>
      </c>
      <c r="AG101" s="33">
        <f t="shared" si="237"/>
        <v>-15343</v>
      </c>
      <c r="AH101" s="33">
        <f t="shared" si="237"/>
        <v>27356</v>
      </c>
      <c r="AI101" s="33">
        <f t="shared" si="237"/>
        <v>8223</v>
      </c>
      <c r="AJ101" s="33">
        <f t="shared" si="237"/>
        <v>68246</v>
      </c>
      <c r="AK101" s="33">
        <f t="shared" si="237"/>
        <v>110933</v>
      </c>
      <c r="AL101" s="33">
        <f t="shared" si="237"/>
        <v>178708</v>
      </c>
      <c r="AM101" s="33">
        <f t="shared" si="237"/>
        <v>207613</v>
      </c>
      <c r="AN101" s="33">
        <f t="shared" si="237"/>
        <v>162202</v>
      </c>
      <c r="AO101" s="33">
        <f t="shared" si="237"/>
        <v>207263</v>
      </c>
      <c r="AP101" s="33">
        <f t="shared" si="237"/>
        <v>77844</v>
      </c>
      <c r="AQ101" s="33">
        <f t="shared" si="237"/>
        <v>140242</v>
      </c>
      <c r="AR101" s="33">
        <f t="shared" si="237"/>
        <v>254641</v>
      </c>
      <c r="AS101" s="33">
        <f t="shared" si="237"/>
        <v>211627</v>
      </c>
      <c r="AT101" s="62"/>
      <c r="AU101" s="79">
        <f t="shared" si="213"/>
        <v>2.1055374089924417E-2</v>
      </c>
    </row>
    <row r="102" spans="2:47" ht="12.75" customHeight="1">
      <c r="B102" s="63" t="s">
        <v>139</v>
      </c>
      <c r="C102" s="86">
        <v>2062</v>
      </c>
      <c r="D102" s="86">
        <v>-122531</v>
      </c>
      <c r="E102" s="86">
        <v>-194075</v>
      </c>
      <c r="F102" s="86">
        <v>-289099</v>
      </c>
      <c r="G102" s="86">
        <v>-217553</v>
      </c>
      <c r="H102" s="86">
        <v>-310920</v>
      </c>
      <c r="I102" s="86">
        <v>-446351</v>
      </c>
      <c r="J102" s="33"/>
      <c r="K102" s="86">
        <v>-61368</v>
      </c>
      <c r="L102" s="86">
        <v>-72543</v>
      </c>
      <c r="M102" s="86">
        <v>-11014</v>
      </c>
      <c r="N102" s="33">
        <f t="shared" si="233"/>
        <v>-144174</v>
      </c>
      <c r="O102" s="86">
        <v>-167931</v>
      </c>
      <c r="P102" s="86">
        <v>125040</v>
      </c>
      <c r="Q102" s="86">
        <v>-4184</v>
      </c>
      <c r="R102" s="33">
        <f t="shared" si="234"/>
        <v>-170478</v>
      </c>
      <c r="S102" s="86">
        <v>-68937</v>
      </c>
      <c r="T102" s="86">
        <v>-117950</v>
      </c>
      <c r="U102" s="86">
        <v>-40359</v>
      </c>
      <c r="V102" s="33">
        <f t="shared" si="235"/>
        <v>-83674</v>
      </c>
      <c r="W102" s="86">
        <v>-66047</v>
      </c>
      <c r="X102" s="86">
        <v>-88843</v>
      </c>
      <c r="Y102" s="86">
        <v>-124313</v>
      </c>
      <c r="Z102" s="33">
        <f t="shared" si="236"/>
        <v>-167148</v>
      </c>
      <c r="AA102" s="86">
        <v>-82280</v>
      </c>
      <c r="AB102" s="86">
        <v>-370624</v>
      </c>
      <c r="AC102" s="86">
        <v>-97569</v>
      </c>
      <c r="AE102" s="33">
        <f t="shared" si="237"/>
        <v>-395662</v>
      </c>
      <c r="AF102" s="33">
        <f t="shared" si="237"/>
        <v>-198079</v>
      </c>
      <c r="AG102" s="33">
        <f t="shared" si="237"/>
        <v>-191249</v>
      </c>
      <c r="AH102" s="33">
        <f t="shared" si="237"/>
        <v>-217553</v>
      </c>
      <c r="AI102" s="33">
        <f t="shared" si="237"/>
        <v>-118559</v>
      </c>
      <c r="AJ102" s="33">
        <f t="shared" si="237"/>
        <v>-361549</v>
      </c>
      <c r="AK102" s="33">
        <f t="shared" si="237"/>
        <v>-397724</v>
      </c>
      <c r="AL102" s="33">
        <f t="shared" si="237"/>
        <v>-310920</v>
      </c>
      <c r="AM102" s="33">
        <f t="shared" si="237"/>
        <v>-308030</v>
      </c>
      <c r="AN102" s="33">
        <f t="shared" si="237"/>
        <v>-278923</v>
      </c>
      <c r="AO102" s="33">
        <f t="shared" si="237"/>
        <v>-362877</v>
      </c>
      <c r="AP102" s="33">
        <f t="shared" si="237"/>
        <v>-446351</v>
      </c>
      <c r="AQ102" s="33">
        <f t="shared" si="237"/>
        <v>-462584</v>
      </c>
      <c r="AR102" s="33">
        <f t="shared" si="237"/>
        <v>-744365</v>
      </c>
      <c r="AS102" s="33">
        <f t="shared" si="237"/>
        <v>-717621</v>
      </c>
      <c r="AT102" s="62"/>
      <c r="AU102" s="79">
        <f t="shared" si="213"/>
        <v>0.97758744698616895</v>
      </c>
    </row>
    <row r="103" spans="2:47" ht="12.75" customHeight="1">
      <c r="B103" s="13" t="s">
        <v>62</v>
      </c>
      <c r="C103" s="35">
        <f t="shared" ref="C103:I103" si="238">SUM(C86:C102)</f>
        <v>-2680479</v>
      </c>
      <c r="D103" s="35">
        <f t="shared" si="238"/>
        <v>-2887322</v>
      </c>
      <c r="E103" s="35">
        <f t="shared" si="238"/>
        <v>2427077</v>
      </c>
      <c r="F103" s="14">
        <f t="shared" si="238"/>
        <v>392610</v>
      </c>
      <c r="G103" s="14">
        <f t="shared" si="238"/>
        <v>2026257</v>
      </c>
      <c r="H103" s="14">
        <f t="shared" si="238"/>
        <v>7274301</v>
      </c>
      <c r="I103" s="14">
        <f t="shared" si="238"/>
        <v>7361364</v>
      </c>
      <c r="K103" s="14">
        <f t="shared" ref="K103:AC103" si="239">SUM(K86:K102)</f>
        <v>777266</v>
      </c>
      <c r="L103" s="14">
        <f t="shared" si="239"/>
        <v>-63761</v>
      </c>
      <c r="M103" s="14">
        <f t="shared" si="239"/>
        <v>82379</v>
      </c>
      <c r="N103" s="14">
        <f t="shared" si="239"/>
        <v>-403274</v>
      </c>
      <c r="O103" s="14">
        <f t="shared" si="239"/>
        <v>922839</v>
      </c>
      <c r="P103" s="14">
        <f t="shared" si="239"/>
        <v>102750</v>
      </c>
      <c r="Q103" s="14">
        <f t="shared" si="239"/>
        <v>556810</v>
      </c>
      <c r="R103" s="14">
        <f t="shared" si="239"/>
        <v>443858</v>
      </c>
      <c r="S103" s="14">
        <f t="shared" si="239"/>
        <v>2178740</v>
      </c>
      <c r="T103" s="14">
        <f t="shared" si="239"/>
        <v>1440232</v>
      </c>
      <c r="U103" s="14">
        <f t="shared" si="239"/>
        <v>1992315</v>
      </c>
      <c r="V103" s="14">
        <f t="shared" si="239"/>
        <v>1663014</v>
      </c>
      <c r="W103" s="14">
        <f t="shared" si="239"/>
        <v>2212522</v>
      </c>
      <c r="X103" s="14">
        <f t="shared" si="239"/>
        <v>1290847</v>
      </c>
      <c r="Y103" s="14">
        <f t="shared" si="239"/>
        <v>2321101</v>
      </c>
      <c r="Z103" s="14">
        <f t="shared" si="239"/>
        <v>1536894</v>
      </c>
      <c r="AA103" s="14">
        <f t="shared" si="239"/>
        <v>2789199</v>
      </c>
      <c r="AB103" s="14">
        <f t="shared" si="239"/>
        <v>2423258</v>
      </c>
      <c r="AC103" s="14">
        <f t="shared" si="239"/>
        <v>2825174</v>
      </c>
      <c r="AE103" s="14">
        <f t="shared" ref="AE103:AS103" si="240">SUM(AE86:AE102)</f>
        <v>538183</v>
      </c>
      <c r="AF103" s="14">
        <f t="shared" si="240"/>
        <v>704694</v>
      </c>
      <c r="AG103" s="14">
        <f t="shared" si="240"/>
        <v>1179125</v>
      </c>
      <c r="AH103" s="14">
        <f t="shared" si="240"/>
        <v>2026257</v>
      </c>
      <c r="AI103" s="14">
        <f t="shared" si="240"/>
        <v>3282158</v>
      </c>
      <c r="AJ103" s="14">
        <f t="shared" si="240"/>
        <v>4619640</v>
      </c>
      <c r="AK103" s="14">
        <f t="shared" si="240"/>
        <v>6055145</v>
      </c>
      <c r="AL103" s="14">
        <f t="shared" si="240"/>
        <v>7274301</v>
      </c>
      <c r="AM103" s="14">
        <f t="shared" si="240"/>
        <v>7308083</v>
      </c>
      <c r="AN103" s="14">
        <f t="shared" si="240"/>
        <v>7158698</v>
      </c>
      <c r="AO103" s="14">
        <f t="shared" si="240"/>
        <v>7487484</v>
      </c>
      <c r="AP103" s="14">
        <f t="shared" si="240"/>
        <v>7361364</v>
      </c>
      <c r="AQ103" s="14">
        <f t="shared" si="240"/>
        <v>7938041</v>
      </c>
      <c r="AR103" s="14">
        <f t="shared" si="240"/>
        <v>9070452</v>
      </c>
      <c r="AS103" s="14">
        <f t="shared" si="240"/>
        <v>9574525</v>
      </c>
      <c r="AT103" s="44"/>
      <c r="AU103" s="80">
        <f t="shared" si="213"/>
        <v>0.27873729012309068</v>
      </c>
    </row>
    <row r="104" spans="2:47" ht="12.75" customHeight="1">
      <c r="B104" s="56"/>
      <c r="C104" s="64"/>
      <c r="D104" s="64"/>
      <c r="E104" s="64"/>
      <c r="F104" s="64"/>
      <c r="G104" s="64"/>
      <c r="H104" s="64"/>
      <c r="I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1"/>
    </row>
    <row r="105" spans="2:47" ht="12.75" customHeight="1">
      <c r="B105" s="56" t="s">
        <v>63</v>
      </c>
      <c r="C105" s="62"/>
      <c r="D105" s="62"/>
      <c r="E105" s="61"/>
      <c r="F105" s="61"/>
      <c r="G105" s="61"/>
      <c r="H105" s="61"/>
      <c r="I105" s="61"/>
      <c r="K105" s="86"/>
      <c r="L105" s="86"/>
      <c r="M105" s="86"/>
      <c r="N105" s="33"/>
      <c r="O105" s="86"/>
      <c r="P105" s="86"/>
      <c r="Q105" s="86"/>
      <c r="R105" s="33"/>
      <c r="S105" s="86"/>
      <c r="T105" s="86"/>
      <c r="U105" s="86"/>
      <c r="V105" s="33"/>
      <c r="W105" s="86"/>
      <c r="X105" s="86"/>
      <c r="Y105" s="86"/>
      <c r="Z105" s="33"/>
      <c r="AA105" s="61"/>
      <c r="AB105" s="61"/>
      <c r="AC105" s="61"/>
      <c r="AE105" s="61"/>
      <c r="AF105" s="61"/>
      <c r="AG105" s="61"/>
      <c r="AH105" s="61"/>
      <c r="AI105" s="61"/>
      <c r="AJ105" s="61"/>
      <c r="AK105" s="61"/>
      <c r="AL105" s="61"/>
      <c r="AM105" s="61"/>
      <c r="AN105" s="61"/>
      <c r="AO105" s="61"/>
      <c r="AP105" s="61"/>
      <c r="AQ105" s="61"/>
      <c r="AR105" s="61"/>
      <c r="AS105" s="61"/>
      <c r="AT105" s="62"/>
      <c r="AU105" s="41"/>
    </row>
    <row r="106" spans="2:47" ht="12.75" customHeight="1">
      <c r="B106" s="63" t="s">
        <v>111</v>
      </c>
      <c r="C106" s="86">
        <v>-173946</v>
      </c>
      <c r="D106" s="86">
        <v>-253035</v>
      </c>
      <c r="E106" s="86">
        <v>-497923</v>
      </c>
      <c r="F106" s="86">
        <v>-524585</v>
      </c>
      <c r="G106" s="86">
        <v>-407729</v>
      </c>
      <c r="H106" s="86">
        <v>-348552</v>
      </c>
      <c r="I106" s="86">
        <v>-439538</v>
      </c>
      <c r="J106" s="33"/>
      <c r="K106" s="86">
        <v>-81001</v>
      </c>
      <c r="L106" s="86">
        <v>-110278</v>
      </c>
      <c r="M106" s="86">
        <v>-167327</v>
      </c>
      <c r="N106" s="33">
        <f t="shared" ref="N106:N110" si="241">SUM(F106-SUM(K106:M106))</f>
        <v>-165979</v>
      </c>
      <c r="O106" s="86">
        <v>-121158</v>
      </c>
      <c r="P106" s="86">
        <v>-90018</v>
      </c>
      <c r="Q106" s="86">
        <v>-84960</v>
      </c>
      <c r="R106" s="33">
        <f t="shared" ref="R106:R110" si="242">SUM(G106-SUM(O106:Q106))</f>
        <v>-111593</v>
      </c>
      <c r="S106" s="86">
        <v>-62019</v>
      </c>
      <c r="T106" s="86">
        <v>-100972</v>
      </c>
      <c r="U106" s="86">
        <v>-103929</v>
      </c>
      <c r="V106" s="33">
        <f t="shared" ref="V106:V110" si="243">SUM(H106-SUM(S106:U106))</f>
        <v>-81632</v>
      </c>
      <c r="W106" s="86">
        <v>-75714</v>
      </c>
      <c r="X106" s="86">
        <v>-78287</v>
      </c>
      <c r="Y106" s="86">
        <v>-126863</v>
      </c>
      <c r="Z106" s="33">
        <f t="shared" ref="Z106:Z110" si="244">SUM(I106-SUM(W106:Y106))</f>
        <v>-158674</v>
      </c>
      <c r="AA106" s="86">
        <v>-128277</v>
      </c>
      <c r="AB106" s="86">
        <v>-155889</v>
      </c>
      <c r="AC106" s="86">
        <v>-164719</v>
      </c>
      <c r="AD106" s="33"/>
      <c r="AE106" s="33">
        <f t="shared" ref="AE106:AE110" si="245">SUM(L106:O106)</f>
        <v>-564742</v>
      </c>
      <c r="AF106" s="33">
        <f t="shared" ref="AF106:AF110" si="246">SUM(M106:P106)</f>
        <v>-544482</v>
      </c>
      <c r="AG106" s="33">
        <f t="shared" ref="AG106:AG110" si="247">SUM(N106:Q106)</f>
        <v>-462115</v>
      </c>
      <c r="AH106" s="33">
        <f t="shared" ref="AH106:AH110" si="248">SUM(O106:R106)</f>
        <v>-407729</v>
      </c>
      <c r="AI106" s="33">
        <f t="shared" ref="AI106:AI110" si="249">SUM(P106:S106)</f>
        <v>-348590</v>
      </c>
      <c r="AJ106" s="33">
        <f t="shared" ref="AJ106:AJ110" si="250">SUM(Q106:T106)</f>
        <v>-359544</v>
      </c>
      <c r="AK106" s="33">
        <f t="shared" ref="AK106:AK110" si="251">SUM(R106:U106)</f>
        <v>-378513</v>
      </c>
      <c r="AL106" s="33">
        <f t="shared" ref="AL106:AL110" si="252">SUM(S106:V106)</f>
        <v>-348552</v>
      </c>
      <c r="AM106" s="33">
        <f t="shared" ref="AM106:AM110" si="253">SUM(T106:W106)</f>
        <v>-362247</v>
      </c>
      <c r="AN106" s="33">
        <f t="shared" ref="AN106:AN110" si="254">SUM(U106:X106)</f>
        <v>-339562</v>
      </c>
      <c r="AO106" s="33">
        <f t="shared" ref="AO106:AO110" si="255">SUM(V106:Y106)</f>
        <v>-362496</v>
      </c>
      <c r="AP106" s="33">
        <f t="shared" ref="AP106:AP110" si="256">SUM(W106:Z106)</f>
        <v>-439538</v>
      </c>
      <c r="AQ106" s="33">
        <f t="shared" ref="AQ106:AQ110" si="257">SUM(X106:AA106)</f>
        <v>-492101</v>
      </c>
      <c r="AR106" s="33">
        <f t="shared" ref="AR106:AR110" si="258">SUM(Y106:AB106)</f>
        <v>-569703</v>
      </c>
      <c r="AS106" s="33">
        <f t="shared" ref="AS106:AS110" si="259">SUM(Z106:AC106)</f>
        <v>-607559</v>
      </c>
      <c r="AT106" s="62"/>
      <c r="AU106" s="79">
        <f t="shared" ref="AU106:AU121" si="260">SUM(AS106/AO106)-1</f>
        <v>0.67604332185734473</v>
      </c>
    </row>
    <row r="107" spans="2:47" ht="12.75" customHeight="1">
      <c r="B107" s="63" t="s">
        <v>140</v>
      </c>
      <c r="C107" s="86">
        <v>-165174</v>
      </c>
      <c r="D107" s="86">
        <v>-134029</v>
      </c>
      <c r="E107" s="86">
        <v>-7431</v>
      </c>
      <c r="F107" s="86">
        <v>-26919</v>
      </c>
      <c r="G107" s="86">
        <v>0</v>
      </c>
      <c r="H107" s="86">
        <v>0</v>
      </c>
      <c r="I107" s="86">
        <v>0</v>
      </c>
      <c r="J107" s="33"/>
      <c r="K107" s="86">
        <v>-4615</v>
      </c>
      <c r="L107" s="86">
        <v>-1000</v>
      </c>
      <c r="M107" s="86">
        <v>-21304</v>
      </c>
      <c r="N107" s="33">
        <f t="shared" si="241"/>
        <v>0</v>
      </c>
      <c r="O107" s="86">
        <v>0</v>
      </c>
      <c r="P107" s="86">
        <v>0</v>
      </c>
      <c r="Q107" s="86">
        <v>0</v>
      </c>
      <c r="R107" s="33">
        <f t="shared" si="242"/>
        <v>0</v>
      </c>
      <c r="S107" s="86">
        <v>0</v>
      </c>
      <c r="T107" s="86">
        <v>0</v>
      </c>
      <c r="U107" s="86">
        <v>0</v>
      </c>
      <c r="V107" s="33">
        <f t="shared" si="243"/>
        <v>0</v>
      </c>
      <c r="W107" s="86">
        <v>0</v>
      </c>
      <c r="X107" s="86">
        <v>0</v>
      </c>
      <c r="Y107" s="86">
        <v>0</v>
      </c>
      <c r="Z107" s="33">
        <f t="shared" si="244"/>
        <v>0</v>
      </c>
      <c r="AA107" s="86">
        <v>0</v>
      </c>
      <c r="AB107" s="86">
        <v>0</v>
      </c>
      <c r="AC107" s="86">
        <v>0</v>
      </c>
      <c r="AD107" s="33"/>
      <c r="AE107" s="33">
        <f t="shared" si="245"/>
        <v>-22304</v>
      </c>
      <c r="AF107" s="33">
        <f t="shared" si="246"/>
        <v>-21304</v>
      </c>
      <c r="AG107" s="33">
        <f t="shared" si="247"/>
        <v>0</v>
      </c>
      <c r="AH107" s="33">
        <f t="shared" si="248"/>
        <v>0</v>
      </c>
      <c r="AI107" s="33">
        <f t="shared" si="249"/>
        <v>0</v>
      </c>
      <c r="AJ107" s="33">
        <f t="shared" si="250"/>
        <v>0</v>
      </c>
      <c r="AK107" s="33">
        <f t="shared" si="251"/>
        <v>0</v>
      </c>
      <c r="AL107" s="33">
        <f t="shared" si="252"/>
        <v>0</v>
      </c>
      <c r="AM107" s="33">
        <f t="shared" si="253"/>
        <v>0</v>
      </c>
      <c r="AN107" s="33">
        <f t="shared" si="254"/>
        <v>0</v>
      </c>
      <c r="AO107" s="33">
        <f t="shared" si="255"/>
        <v>0</v>
      </c>
      <c r="AP107" s="33">
        <f t="shared" si="256"/>
        <v>0</v>
      </c>
      <c r="AQ107" s="33">
        <f t="shared" si="257"/>
        <v>0</v>
      </c>
      <c r="AR107" s="33">
        <f t="shared" si="258"/>
        <v>0</v>
      </c>
      <c r="AS107" s="33">
        <f t="shared" si="259"/>
        <v>0</v>
      </c>
      <c r="AT107" s="62"/>
      <c r="AU107" s="79" t="e">
        <f t="shared" si="260"/>
        <v>#DIV/0!</v>
      </c>
    </row>
    <row r="108" spans="2:47" ht="12.75" customHeight="1">
      <c r="B108" s="63" t="s">
        <v>141</v>
      </c>
      <c r="C108" s="86">
        <v>0</v>
      </c>
      <c r="D108" s="86">
        <v>0</v>
      </c>
      <c r="E108" s="86">
        <v>0</v>
      </c>
      <c r="F108" s="86">
        <v>-788349</v>
      </c>
      <c r="G108" s="86">
        <v>-757387</v>
      </c>
      <c r="H108" s="86">
        <v>0</v>
      </c>
      <c r="I108" s="86">
        <v>0</v>
      </c>
      <c r="J108" s="33"/>
      <c r="K108" s="86">
        <v>0</v>
      </c>
      <c r="L108" s="86">
        <v>0</v>
      </c>
      <c r="M108" s="86">
        <v>0</v>
      </c>
      <c r="N108" s="33">
        <f t="shared" si="241"/>
        <v>-788349</v>
      </c>
      <c r="O108" s="86">
        <v>-124521</v>
      </c>
      <c r="P108" s="86">
        <v>-68876</v>
      </c>
      <c r="Q108" s="86">
        <v>0</v>
      </c>
      <c r="R108" s="33">
        <f t="shared" si="242"/>
        <v>-563990</v>
      </c>
      <c r="S108" s="86">
        <v>0</v>
      </c>
      <c r="T108" s="86">
        <v>0</v>
      </c>
      <c r="U108" s="86">
        <v>0</v>
      </c>
      <c r="V108" s="33">
        <f t="shared" si="243"/>
        <v>0</v>
      </c>
      <c r="W108" s="86">
        <v>0</v>
      </c>
      <c r="X108" s="86">
        <v>0</v>
      </c>
      <c r="Y108" s="86">
        <v>0</v>
      </c>
      <c r="Z108" s="33">
        <f t="shared" si="244"/>
        <v>0</v>
      </c>
      <c r="AA108" s="86">
        <v>0</v>
      </c>
      <c r="AB108" s="86">
        <v>-36190</v>
      </c>
      <c r="AC108" s="86">
        <v>36190</v>
      </c>
      <c r="AD108" s="33"/>
      <c r="AE108" s="33">
        <f t="shared" si="245"/>
        <v>-912870</v>
      </c>
      <c r="AF108" s="33">
        <f t="shared" si="246"/>
        <v>-981746</v>
      </c>
      <c r="AG108" s="33">
        <f t="shared" si="247"/>
        <v>-981746</v>
      </c>
      <c r="AH108" s="33">
        <f t="shared" si="248"/>
        <v>-757387</v>
      </c>
      <c r="AI108" s="33">
        <f t="shared" si="249"/>
        <v>-632866</v>
      </c>
      <c r="AJ108" s="33">
        <f t="shared" si="250"/>
        <v>-563990</v>
      </c>
      <c r="AK108" s="33">
        <f t="shared" si="251"/>
        <v>-563990</v>
      </c>
      <c r="AL108" s="33">
        <f t="shared" si="252"/>
        <v>0</v>
      </c>
      <c r="AM108" s="33">
        <f t="shared" si="253"/>
        <v>0</v>
      </c>
      <c r="AN108" s="33">
        <f t="shared" si="254"/>
        <v>0</v>
      </c>
      <c r="AO108" s="33">
        <f t="shared" si="255"/>
        <v>0</v>
      </c>
      <c r="AP108" s="33">
        <f t="shared" si="256"/>
        <v>0</v>
      </c>
      <c r="AQ108" s="33">
        <f t="shared" si="257"/>
        <v>0</v>
      </c>
      <c r="AR108" s="33">
        <f t="shared" si="258"/>
        <v>-36190</v>
      </c>
      <c r="AS108" s="33">
        <f t="shared" si="259"/>
        <v>0</v>
      </c>
      <c r="AT108" s="62"/>
      <c r="AU108" s="79" t="e">
        <f t="shared" si="260"/>
        <v>#DIV/0!</v>
      </c>
    </row>
    <row r="109" spans="2:47" ht="12.75" customHeight="1">
      <c r="B109" s="63" t="s">
        <v>142</v>
      </c>
      <c r="C109" s="86">
        <v>0</v>
      </c>
      <c r="D109" s="86">
        <v>0</v>
      </c>
      <c r="E109" s="86">
        <v>0</v>
      </c>
      <c r="F109" s="86">
        <v>0</v>
      </c>
      <c r="G109" s="86">
        <v>-911276</v>
      </c>
      <c r="H109" s="86">
        <v>-504862</v>
      </c>
      <c r="I109" s="86">
        <v>-1742246</v>
      </c>
      <c r="J109" s="33"/>
      <c r="K109" s="86">
        <v>0</v>
      </c>
      <c r="L109" s="86">
        <v>0</v>
      </c>
      <c r="M109" s="86">
        <v>0</v>
      </c>
      <c r="N109" s="33">
        <f t="shared" si="241"/>
        <v>0</v>
      </c>
      <c r="O109" s="86">
        <v>0</v>
      </c>
      <c r="P109" s="86">
        <v>0</v>
      </c>
      <c r="Q109" s="86">
        <v>0</v>
      </c>
      <c r="R109" s="33">
        <f t="shared" si="242"/>
        <v>-911276</v>
      </c>
      <c r="S109" s="86">
        <v>-201634</v>
      </c>
      <c r="T109" s="86">
        <v>-303228</v>
      </c>
      <c r="U109" s="86">
        <v>0</v>
      </c>
      <c r="V109" s="33">
        <f t="shared" si="243"/>
        <v>0</v>
      </c>
      <c r="W109" s="86">
        <v>0</v>
      </c>
      <c r="X109" s="86">
        <v>0</v>
      </c>
      <c r="Y109" s="86">
        <v>-1742246</v>
      </c>
      <c r="Z109" s="33">
        <f t="shared" si="244"/>
        <v>0</v>
      </c>
      <c r="AA109" s="86">
        <v>-156015</v>
      </c>
      <c r="AB109" s="86">
        <v>-1650</v>
      </c>
      <c r="AC109" s="86">
        <v>-3850</v>
      </c>
      <c r="AD109" s="33"/>
      <c r="AE109" s="33">
        <f t="shared" si="245"/>
        <v>0</v>
      </c>
      <c r="AF109" s="33">
        <f t="shared" si="246"/>
        <v>0</v>
      </c>
      <c r="AG109" s="33">
        <f t="shared" si="247"/>
        <v>0</v>
      </c>
      <c r="AH109" s="33">
        <f t="shared" si="248"/>
        <v>-911276</v>
      </c>
      <c r="AI109" s="33">
        <f t="shared" si="249"/>
        <v>-1112910</v>
      </c>
      <c r="AJ109" s="33">
        <f t="shared" si="250"/>
        <v>-1416138</v>
      </c>
      <c r="AK109" s="33">
        <f t="shared" si="251"/>
        <v>-1416138</v>
      </c>
      <c r="AL109" s="33">
        <f t="shared" si="252"/>
        <v>-504862</v>
      </c>
      <c r="AM109" s="33">
        <f t="shared" si="253"/>
        <v>-303228</v>
      </c>
      <c r="AN109" s="33">
        <f t="shared" si="254"/>
        <v>0</v>
      </c>
      <c r="AO109" s="33">
        <f t="shared" si="255"/>
        <v>-1742246</v>
      </c>
      <c r="AP109" s="33">
        <f t="shared" si="256"/>
        <v>-1742246</v>
      </c>
      <c r="AQ109" s="33">
        <f t="shared" si="257"/>
        <v>-1898261</v>
      </c>
      <c r="AR109" s="33">
        <f t="shared" si="258"/>
        <v>-1899911</v>
      </c>
      <c r="AS109" s="33">
        <f t="shared" si="259"/>
        <v>-161515</v>
      </c>
      <c r="AT109" s="62"/>
      <c r="AU109" s="79">
        <f t="shared" si="260"/>
        <v>-0.90729495145920835</v>
      </c>
    </row>
    <row r="110" spans="2:47" ht="12.75" customHeight="1">
      <c r="B110" s="63" t="s">
        <v>143</v>
      </c>
      <c r="C110" s="86">
        <v>0</v>
      </c>
      <c r="D110" s="86">
        <v>0</v>
      </c>
      <c r="E110" s="86">
        <v>0</v>
      </c>
      <c r="F110" s="86">
        <v>0</v>
      </c>
      <c r="G110" s="86">
        <v>0</v>
      </c>
      <c r="H110" s="86">
        <v>1395165</v>
      </c>
      <c r="I110" s="86">
        <v>0</v>
      </c>
      <c r="J110" s="33"/>
      <c r="K110" s="86">
        <v>0</v>
      </c>
      <c r="L110" s="86">
        <v>0</v>
      </c>
      <c r="M110" s="86">
        <v>0</v>
      </c>
      <c r="N110" s="33">
        <f t="shared" si="241"/>
        <v>0</v>
      </c>
      <c r="O110" s="86">
        <v>0</v>
      </c>
      <c r="P110" s="86">
        <v>0</v>
      </c>
      <c r="Q110" s="86">
        <v>0</v>
      </c>
      <c r="R110" s="33">
        <f t="shared" si="242"/>
        <v>0</v>
      </c>
      <c r="S110" s="86">
        <v>0</v>
      </c>
      <c r="T110" s="86">
        <v>501937</v>
      </c>
      <c r="U110" s="86">
        <v>400000</v>
      </c>
      <c r="V110" s="33">
        <f t="shared" si="243"/>
        <v>493228</v>
      </c>
      <c r="W110" s="86">
        <v>0</v>
      </c>
      <c r="X110" s="86">
        <v>0</v>
      </c>
      <c r="Y110" s="86">
        <v>0</v>
      </c>
      <c r="Z110" s="33">
        <f t="shared" si="244"/>
        <v>0</v>
      </c>
      <c r="AA110" s="86">
        <v>769954</v>
      </c>
      <c r="AB110" s="86">
        <v>962413</v>
      </c>
      <c r="AC110" s="86">
        <v>176250</v>
      </c>
      <c r="AD110" s="33"/>
      <c r="AE110" s="33">
        <f t="shared" si="245"/>
        <v>0</v>
      </c>
      <c r="AF110" s="33">
        <f t="shared" si="246"/>
        <v>0</v>
      </c>
      <c r="AG110" s="33">
        <f t="shared" si="247"/>
        <v>0</v>
      </c>
      <c r="AH110" s="33">
        <f t="shared" si="248"/>
        <v>0</v>
      </c>
      <c r="AI110" s="33">
        <f t="shared" si="249"/>
        <v>0</v>
      </c>
      <c r="AJ110" s="33">
        <f t="shared" si="250"/>
        <v>501937</v>
      </c>
      <c r="AK110" s="33">
        <f t="shared" si="251"/>
        <v>901937</v>
      </c>
      <c r="AL110" s="33">
        <f t="shared" si="252"/>
        <v>1395165</v>
      </c>
      <c r="AM110" s="33">
        <f t="shared" si="253"/>
        <v>1395165</v>
      </c>
      <c r="AN110" s="33">
        <f t="shared" si="254"/>
        <v>893228</v>
      </c>
      <c r="AO110" s="33">
        <f t="shared" si="255"/>
        <v>493228</v>
      </c>
      <c r="AP110" s="33">
        <f t="shared" si="256"/>
        <v>0</v>
      </c>
      <c r="AQ110" s="33">
        <f t="shared" si="257"/>
        <v>769954</v>
      </c>
      <c r="AR110" s="33">
        <f t="shared" si="258"/>
        <v>1732367</v>
      </c>
      <c r="AS110" s="33">
        <f t="shared" si="259"/>
        <v>1908617</v>
      </c>
      <c r="AT110" s="62"/>
      <c r="AU110" s="79">
        <f t="shared" si="260"/>
        <v>2.8696444646289341</v>
      </c>
    </row>
    <row r="111" spans="2:47" ht="12.75" customHeight="1">
      <c r="B111" s="13" t="s">
        <v>64</v>
      </c>
      <c r="C111" s="14">
        <f t="shared" ref="C111:I111" si="261">SUM(C106:C110)</f>
        <v>-339120</v>
      </c>
      <c r="D111" s="14">
        <f t="shared" si="261"/>
        <v>-387064</v>
      </c>
      <c r="E111" s="14">
        <f t="shared" si="261"/>
        <v>-505354</v>
      </c>
      <c r="F111" s="14">
        <f t="shared" si="261"/>
        <v>-1339853</v>
      </c>
      <c r="G111" s="14">
        <f t="shared" si="261"/>
        <v>-2076392</v>
      </c>
      <c r="H111" s="14">
        <f t="shared" si="261"/>
        <v>541751</v>
      </c>
      <c r="I111" s="14">
        <f t="shared" si="261"/>
        <v>-2181784</v>
      </c>
      <c r="K111" s="14">
        <f t="shared" ref="K111:AC111" si="262">SUM(K106:K110)</f>
        <v>-85616</v>
      </c>
      <c r="L111" s="14">
        <f t="shared" si="262"/>
        <v>-111278</v>
      </c>
      <c r="M111" s="14">
        <f t="shared" si="262"/>
        <v>-188631</v>
      </c>
      <c r="N111" s="14">
        <f t="shared" si="262"/>
        <v>-954328</v>
      </c>
      <c r="O111" s="14">
        <f t="shared" si="262"/>
        <v>-245679</v>
      </c>
      <c r="P111" s="14">
        <f t="shared" si="262"/>
        <v>-158894</v>
      </c>
      <c r="Q111" s="14">
        <f t="shared" si="262"/>
        <v>-84960</v>
      </c>
      <c r="R111" s="14">
        <f t="shared" si="262"/>
        <v>-1586859</v>
      </c>
      <c r="S111" s="14">
        <f t="shared" si="262"/>
        <v>-263653</v>
      </c>
      <c r="T111" s="14">
        <f t="shared" si="262"/>
        <v>97737</v>
      </c>
      <c r="U111" s="14">
        <f t="shared" si="262"/>
        <v>296071</v>
      </c>
      <c r="V111" s="14">
        <f t="shared" si="262"/>
        <v>411596</v>
      </c>
      <c r="W111" s="14">
        <f t="shared" si="262"/>
        <v>-75714</v>
      </c>
      <c r="X111" s="14">
        <f t="shared" si="262"/>
        <v>-78287</v>
      </c>
      <c r="Y111" s="14">
        <f t="shared" si="262"/>
        <v>-1869109</v>
      </c>
      <c r="Z111" s="14">
        <f t="shared" si="262"/>
        <v>-158674</v>
      </c>
      <c r="AA111" s="14">
        <f t="shared" si="262"/>
        <v>485662</v>
      </c>
      <c r="AB111" s="14">
        <f t="shared" si="262"/>
        <v>768684</v>
      </c>
      <c r="AC111" s="14">
        <f t="shared" si="262"/>
        <v>43871</v>
      </c>
      <c r="AE111" s="14">
        <f t="shared" ref="AE111:AS111" si="263">SUM(AE106:AE110)</f>
        <v>-1499916</v>
      </c>
      <c r="AF111" s="14">
        <f t="shared" si="263"/>
        <v>-1547532</v>
      </c>
      <c r="AG111" s="14">
        <f t="shared" si="263"/>
        <v>-1443861</v>
      </c>
      <c r="AH111" s="14">
        <f t="shared" si="263"/>
        <v>-2076392</v>
      </c>
      <c r="AI111" s="14">
        <f t="shared" si="263"/>
        <v>-2094366</v>
      </c>
      <c r="AJ111" s="14">
        <f t="shared" si="263"/>
        <v>-1837735</v>
      </c>
      <c r="AK111" s="14">
        <f t="shared" si="263"/>
        <v>-1456704</v>
      </c>
      <c r="AL111" s="14">
        <f t="shared" si="263"/>
        <v>541751</v>
      </c>
      <c r="AM111" s="14">
        <f t="shared" si="263"/>
        <v>729690</v>
      </c>
      <c r="AN111" s="14">
        <f t="shared" si="263"/>
        <v>553666</v>
      </c>
      <c r="AO111" s="14">
        <f t="shared" si="263"/>
        <v>-1611514</v>
      </c>
      <c r="AP111" s="14">
        <f t="shared" si="263"/>
        <v>-2181784</v>
      </c>
      <c r="AQ111" s="14">
        <f t="shared" si="263"/>
        <v>-1620408</v>
      </c>
      <c r="AR111" s="14">
        <f t="shared" si="263"/>
        <v>-773437</v>
      </c>
      <c r="AS111" s="14">
        <f t="shared" si="263"/>
        <v>1139543</v>
      </c>
      <c r="AT111" s="44"/>
      <c r="AU111" s="80">
        <f t="shared" si="260"/>
        <v>-1.7071257215264652</v>
      </c>
    </row>
    <row r="112" spans="2:47" ht="5.0999999999999996" customHeight="1">
      <c r="B112" s="55"/>
      <c r="C112" s="64"/>
      <c r="D112" s="64"/>
      <c r="E112" s="64"/>
      <c r="F112" s="64"/>
      <c r="G112" s="64"/>
      <c r="H112" s="64"/>
      <c r="I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1"/>
    </row>
    <row r="113" spans="2:47" ht="12.75" customHeight="1">
      <c r="B113" s="56" t="s">
        <v>65</v>
      </c>
      <c r="C113" s="66"/>
      <c r="D113" s="66"/>
      <c r="E113" s="66"/>
      <c r="F113" s="66"/>
      <c r="G113" s="66"/>
      <c r="H113" s="66"/>
      <c r="I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67"/>
      <c r="AU113" s="79"/>
    </row>
    <row r="114" spans="2:47" ht="12.75" customHeight="1">
      <c r="B114" s="88" t="s">
        <v>151</v>
      </c>
      <c r="C114" s="86">
        <v>3961852</v>
      </c>
      <c r="D114" s="86">
        <v>4469306</v>
      </c>
      <c r="E114" s="86">
        <v>1009464</v>
      </c>
      <c r="F114" s="86">
        <v>0</v>
      </c>
      <c r="G114" s="86">
        <v>0</v>
      </c>
      <c r="H114" s="86">
        <v>0</v>
      </c>
      <c r="I114" s="86">
        <v>1794460</v>
      </c>
      <c r="K114" s="86">
        <v>0</v>
      </c>
      <c r="L114" s="86">
        <v>0</v>
      </c>
      <c r="M114" s="86">
        <v>0</v>
      </c>
      <c r="N114" s="33">
        <f t="shared" ref="N114:N118" si="264">SUM(F114-SUM(K114:M114))</f>
        <v>0</v>
      </c>
      <c r="O114" s="86">
        <v>0</v>
      </c>
      <c r="P114" s="86">
        <v>0</v>
      </c>
      <c r="Q114" s="86">
        <v>0</v>
      </c>
      <c r="R114" s="33">
        <f t="shared" ref="R114:R118" si="265">SUM(G114-SUM(O114:Q114))</f>
        <v>0</v>
      </c>
      <c r="S114" s="86">
        <v>0</v>
      </c>
      <c r="T114" s="86">
        <v>0</v>
      </c>
      <c r="U114" s="86">
        <v>0</v>
      </c>
      <c r="V114" s="33">
        <f t="shared" ref="V114:V118" si="266">SUM(H114-SUM(S114:U114))</f>
        <v>0</v>
      </c>
      <c r="W114" s="86">
        <v>0</v>
      </c>
      <c r="X114" s="86">
        <v>0</v>
      </c>
      <c r="Y114" s="86">
        <v>1794460</v>
      </c>
      <c r="Z114" s="33">
        <f t="shared" ref="Z114:Z118" si="267">SUM(I114-SUM(W114:Y114))</f>
        <v>0</v>
      </c>
      <c r="AA114" s="86">
        <v>0</v>
      </c>
      <c r="AB114" s="86">
        <v>0</v>
      </c>
      <c r="AC114" s="86">
        <v>0</v>
      </c>
      <c r="AD114" s="33"/>
      <c r="AE114" s="33">
        <f t="shared" ref="AE114:AE120" si="268">SUM(L114:O114)</f>
        <v>0</v>
      </c>
      <c r="AF114" s="33">
        <f t="shared" ref="AF114:AF120" si="269">SUM(M114:P114)</f>
        <v>0</v>
      </c>
      <c r="AG114" s="33">
        <f t="shared" ref="AG114:AG120" si="270">SUM(N114:Q114)</f>
        <v>0</v>
      </c>
      <c r="AH114" s="33">
        <f t="shared" ref="AH114:AH120" si="271">SUM(O114:R114)</f>
        <v>0</v>
      </c>
      <c r="AI114" s="33">
        <f t="shared" ref="AI114:AI120" si="272">SUM(P114:S114)</f>
        <v>0</v>
      </c>
      <c r="AJ114" s="33">
        <f t="shared" ref="AJ114:AJ120" si="273">SUM(Q114:T114)</f>
        <v>0</v>
      </c>
      <c r="AK114" s="33">
        <f t="shared" ref="AK114:AK120" si="274">SUM(R114:U114)</f>
        <v>0</v>
      </c>
      <c r="AL114" s="33">
        <f t="shared" ref="AL114:AL120" si="275">SUM(S114:V114)</f>
        <v>0</v>
      </c>
      <c r="AM114" s="33">
        <f t="shared" ref="AM114:AM120" si="276">SUM(T114:W114)</f>
        <v>0</v>
      </c>
      <c r="AN114" s="33">
        <f t="shared" ref="AN114:AN120" si="277">SUM(U114:X114)</f>
        <v>0</v>
      </c>
      <c r="AO114" s="33">
        <f t="shared" ref="AO114:AO120" si="278">SUM(V114:Y114)</f>
        <v>1794460</v>
      </c>
      <c r="AP114" s="33">
        <f t="shared" ref="AP114:AP120" si="279">SUM(W114:Z114)</f>
        <v>1794460</v>
      </c>
      <c r="AQ114" s="33">
        <f t="shared" ref="AQ114:AQ120" si="280">SUM(X114:AA114)</f>
        <v>1794460</v>
      </c>
      <c r="AR114" s="33">
        <f t="shared" ref="AR114:AR120" si="281">SUM(Y114:AB114)</f>
        <v>1794460</v>
      </c>
      <c r="AS114" s="33">
        <f t="shared" ref="AS114:AS120" si="282">SUM(Z114:AC114)</f>
        <v>0</v>
      </c>
      <c r="AT114" s="67"/>
      <c r="AU114" s="79">
        <f t="shared" si="260"/>
        <v>-1</v>
      </c>
    </row>
    <row r="115" spans="2:47" ht="12.75" customHeight="1">
      <c r="B115" s="88" t="s">
        <v>152</v>
      </c>
      <c r="C115" s="86">
        <v>-35871</v>
      </c>
      <c r="D115" s="86">
        <v>-36134</v>
      </c>
      <c r="E115" s="86">
        <v>-7559</v>
      </c>
      <c r="F115" s="86">
        <v>0</v>
      </c>
      <c r="G115" s="86">
        <v>0</v>
      </c>
      <c r="H115" s="86">
        <v>0</v>
      </c>
      <c r="I115" s="86">
        <v>0</v>
      </c>
      <c r="K115" s="86">
        <v>0</v>
      </c>
      <c r="L115" s="86">
        <v>0</v>
      </c>
      <c r="M115" s="86">
        <v>0</v>
      </c>
      <c r="N115" s="33">
        <f t="shared" si="264"/>
        <v>0</v>
      </c>
      <c r="O115" s="86">
        <v>0</v>
      </c>
      <c r="P115" s="86">
        <v>0</v>
      </c>
      <c r="Q115" s="86">
        <v>0</v>
      </c>
      <c r="R115" s="33">
        <f t="shared" si="265"/>
        <v>0</v>
      </c>
      <c r="S115" s="86">
        <v>0</v>
      </c>
      <c r="T115" s="86">
        <v>0</v>
      </c>
      <c r="U115" s="86">
        <v>0</v>
      </c>
      <c r="V115" s="33">
        <f t="shared" si="266"/>
        <v>0</v>
      </c>
      <c r="W115" s="86">
        <v>0</v>
      </c>
      <c r="X115" s="86">
        <v>0</v>
      </c>
      <c r="Y115" s="86">
        <v>0</v>
      </c>
      <c r="Z115" s="33">
        <f t="shared" si="267"/>
        <v>0</v>
      </c>
      <c r="AA115" s="86">
        <v>0</v>
      </c>
      <c r="AB115" s="86">
        <v>0</v>
      </c>
      <c r="AC115" s="86">
        <v>0</v>
      </c>
      <c r="AD115" s="33"/>
      <c r="AE115" s="33">
        <f t="shared" si="268"/>
        <v>0</v>
      </c>
      <c r="AF115" s="33">
        <f t="shared" si="269"/>
        <v>0</v>
      </c>
      <c r="AG115" s="33">
        <f t="shared" si="270"/>
        <v>0</v>
      </c>
      <c r="AH115" s="33">
        <f t="shared" si="271"/>
        <v>0</v>
      </c>
      <c r="AI115" s="33">
        <f t="shared" si="272"/>
        <v>0</v>
      </c>
      <c r="AJ115" s="33">
        <f t="shared" si="273"/>
        <v>0</v>
      </c>
      <c r="AK115" s="33">
        <f t="shared" si="274"/>
        <v>0</v>
      </c>
      <c r="AL115" s="33">
        <f t="shared" si="275"/>
        <v>0</v>
      </c>
      <c r="AM115" s="33">
        <f t="shared" si="276"/>
        <v>0</v>
      </c>
      <c r="AN115" s="33">
        <f t="shared" si="277"/>
        <v>0</v>
      </c>
      <c r="AO115" s="33">
        <f t="shared" si="278"/>
        <v>0</v>
      </c>
      <c r="AP115" s="33">
        <f t="shared" si="279"/>
        <v>0</v>
      </c>
      <c r="AQ115" s="33">
        <f t="shared" si="280"/>
        <v>0</v>
      </c>
      <c r="AR115" s="33">
        <f t="shared" si="281"/>
        <v>0</v>
      </c>
      <c r="AS115" s="33">
        <f t="shared" si="282"/>
        <v>0</v>
      </c>
      <c r="AT115" s="67"/>
      <c r="AU115" s="79" t="e">
        <f t="shared" si="260"/>
        <v>#DIV/0!</v>
      </c>
    </row>
    <row r="116" spans="2:47" ht="12.75" customHeight="1">
      <c r="B116" s="88" t="s">
        <v>153</v>
      </c>
      <c r="C116" s="86">
        <v>0</v>
      </c>
      <c r="D116" s="86">
        <v>0</v>
      </c>
      <c r="E116" s="86">
        <v>0</v>
      </c>
      <c r="F116" s="86">
        <v>-500000</v>
      </c>
      <c r="G116" s="86">
        <v>-700000</v>
      </c>
      <c r="H116" s="86">
        <v>0</v>
      </c>
      <c r="I116" s="86">
        <v>-400000</v>
      </c>
      <c r="K116" s="86">
        <v>-500000</v>
      </c>
      <c r="L116" s="86">
        <v>0</v>
      </c>
      <c r="M116" s="86">
        <v>0</v>
      </c>
      <c r="N116" s="33">
        <f t="shared" si="264"/>
        <v>0</v>
      </c>
      <c r="O116" s="86">
        <v>-700000</v>
      </c>
      <c r="P116" s="86">
        <v>0</v>
      </c>
      <c r="Q116" s="86">
        <v>0</v>
      </c>
      <c r="R116" s="33">
        <f t="shared" si="265"/>
        <v>0</v>
      </c>
      <c r="S116" s="86">
        <v>0</v>
      </c>
      <c r="T116" s="86">
        <v>0</v>
      </c>
      <c r="U116" s="86">
        <v>0</v>
      </c>
      <c r="V116" s="33">
        <f t="shared" si="266"/>
        <v>0</v>
      </c>
      <c r="W116" s="86">
        <v>-400000</v>
      </c>
      <c r="X116" s="86">
        <v>0</v>
      </c>
      <c r="Y116" s="86">
        <v>0</v>
      </c>
      <c r="Z116" s="33">
        <f t="shared" si="267"/>
        <v>0</v>
      </c>
      <c r="AA116" s="86">
        <v>-800000</v>
      </c>
      <c r="AB116" s="86">
        <v>-1033450</v>
      </c>
      <c r="AC116" s="86">
        <v>0</v>
      </c>
      <c r="AD116" s="33"/>
      <c r="AE116" s="33">
        <f t="shared" si="268"/>
        <v>-700000</v>
      </c>
      <c r="AF116" s="33">
        <f t="shared" si="269"/>
        <v>-700000</v>
      </c>
      <c r="AG116" s="33">
        <f t="shared" si="270"/>
        <v>-700000</v>
      </c>
      <c r="AH116" s="33">
        <f t="shared" si="271"/>
        <v>-700000</v>
      </c>
      <c r="AI116" s="33">
        <f t="shared" si="272"/>
        <v>0</v>
      </c>
      <c r="AJ116" s="33">
        <f t="shared" si="273"/>
        <v>0</v>
      </c>
      <c r="AK116" s="33">
        <f t="shared" si="274"/>
        <v>0</v>
      </c>
      <c r="AL116" s="33">
        <f t="shared" si="275"/>
        <v>0</v>
      </c>
      <c r="AM116" s="33">
        <f t="shared" si="276"/>
        <v>-400000</v>
      </c>
      <c r="AN116" s="33">
        <f t="shared" si="277"/>
        <v>-400000</v>
      </c>
      <c r="AO116" s="33">
        <f t="shared" si="278"/>
        <v>-400000</v>
      </c>
      <c r="AP116" s="33">
        <f t="shared" si="279"/>
        <v>-400000</v>
      </c>
      <c r="AQ116" s="33">
        <f t="shared" si="280"/>
        <v>-800000</v>
      </c>
      <c r="AR116" s="33">
        <f t="shared" si="281"/>
        <v>-1833450</v>
      </c>
      <c r="AS116" s="33">
        <f t="shared" si="282"/>
        <v>-1833450</v>
      </c>
      <c r="AT116" s="67"/>
      <c r="AU116" s="79">
        <f t="shared" si="260"/>
        <v>3.5836249999999996</v>
      </c>
    </row>
    <row r="117" spans="2:47" ht="12.75" customHeight="1">
      <c r="B117" s="88" t="s">
        <v>154</v>
      </c>
      <c r="C117" s="86">
        <v>124502</v>
      </c>
      <c r="D117" s="86">
        <v>72490</v>
      </c>
      <c r="E117" s="86">
        <v>235406</v>
      </c>
      <c r="F117" s="86">
        <v>174414</v>
      </c>
      <c r="G117" s="86">
        <v>35746</v>
      </c>
      <c r="H117" s="86">
        <v>169990</v>
      </c>
      <c r="I117" s="86">
        <v>832887</v>
      </c>
      <c r="K117" s="86">
        <v>48071</v>
      </c>
      <c r="L117" s="86">
        <v>19749</v>
      </c>
      <c r="M117" s="86">
        <v>18445</v>
      </c>
      <c r="N117" s="33">
        <f t="shared" si="264"/>
        <v>88149</v>
      </c>
      <c r="O117" s="86">
        <v>13678</v>
      </c>
      <c r="P117" s="86">
        <v>11250</v>
      </c>
      <c r="Q117" s="86">
        <v>4113</v>
      </c>
      <c r="R117" s="33">
        <f t="shared" si="265"/>
        <v>6705</v>
      </c>
      <c r="S117" s="86">
        <v>26028</v>
      </c>
      <c r="T117" s="86">
        <v>34717</v>
      </c>
      <c r="U117" s="86">
        <v>57818</v>
      </c>
      <c r="V117" s="33">
        <f t="shared" si="266"/>
        <v>51427</v>
      </c>
      <c r="W117" s="86">
        <v>268881</v>
      </c>
      <c r="X117" s="86">
        <v>118750</v>
      </c>
      <c r="Y117" s="86">
        <v>143244</v>
      </c>
      <c r="Z117" s="33">
        <f t="shared" si="267"/>
        <v>302012</v>
      </c>
      <c r="AA117" s="86">
        <v>351602</v>
      </c>
      <c r="AB117" s="86">
        <v>169066</v>
      </c>
      <c r="AC117" s="86">
        <v>70215</v>
      </c>
      <c r="AD117" s="33"/>
      <c r="AE117" s="33">
        <f t="shared" si="268"/>
        <v>140021</v>
      </c>
      <c r="AF117" s="33">
        <f t="shared" si="269"/>
        <v>131522</v>
      </c>
      <c r="AG117" s="33">
        <f t="shared" si="270"/>
        <v>117190</v>
      </c>
      <c r="AH117" s="33">
        <f t="shared" si="271"/>
        <v>35746</v>
      </c>
      <c r="AI117" s="33">
        <f t="shared" si="272"/>
        <v>48096</v>
      </c>
      <c r="AJ117" s="33">
        <f t="shared" si="273"/>
        <v>71563</v>
      </c>
      <c r="AK117" s="33">
        <f t="shared" si="274"/>
        <v>125268</v>
      </c>
      <c r="AL117" s="33">
        <f t="shared" si="275"/>
        <v>169990</v>
      </c>
      <c r="AM117" s="33">
        <f t="shared" si="276"/>
        <v>412843</v>
      </c>
      <c r="AN117" s="33">
        <f t="shared" si="277"/>
        <v>496876</v>
      </c>
      <c r="AO117" s="33">
        <f t="shared" si="278"/>
        <v>582302</v>
      </c>
      <c r="AP117" s="33">
        <f t="shared" si="279"/>
        <v>832887</v>
      </c>
      <c r="AQ117" s="33">
        <f t="shared" si="280"/>
        <v>915608</v>
      </c>
      <c r="AR117" s="33">
        <f t="shared" si="281"/>
        <v>965924</v>
      </c>
      <c r="AS117" s="33">
        <f t="shared" si="282"/>
        <v>892895</v>
      </c>
      <c r="AT117" s="67"/>
      <c r="AU117" s="79">
        <f t="shared" si="260"/>
        <v>0.53338817314726716</v>
      </c>
    </row>
    <row r="118" spans="2:47" ht="12.75" customHeight="1">
      <c r="B118" s="88" t="s">
        <v>155</v>
      </c>
      <c r="C118" s="86">
        <v>0</v>
      </c>
      <c r="D118" s="86">
        <v>0</v>
      </c>
      <c r="E118" s="86">
        <v>0</v>
      </c>
      <c r="F118" s="86">
        <v>-600022</v>
      </c>
      <c r="G118" s="86">
        <v>0</v>
      </c>
      <c r="H118" s="86">
        <v>-6045347</v>
      </c>
      <c r="I118" s="86">
        <v>-6263746</v>
      </c>
      <c r="K118" s="86">
        <v>0</v>
      </c>
      <c r="L118" s="86">
        <v>-500022</v>
      </c>
      <c r="M118" s="86">
        <v>-100000</v>
      </c>
      <c r="N118" s="33">
        <f t="shared" si="264"/>
        <v>0</v>
      </c>
      <c r="O118" s="86">
        <v>0</v>
      </c>
      <c r="P118" s="86">
        <v>0</v>
      </c>
      <c r="Q118" s="86">
        <v>0</v>
      </c>
      <c r="R118" s="33">
        <f t="shared" si="265"/>
        <v>0</v>
      </c>
      <c r="S118" s="86">
        <v>-400101</v>
      </c>
      <c r="T118" s="86">
        <v>-645146</v>
      </c>
      <c r="U118" s="86">
        <v>-2500100</v>
      </c>
      <c r="V118" s="33">
        <f t="shared" si="266"/>
        <v>-2500000</v>
      </c>
      <c r="W118" s="86">
        <v>-2000000</v>
      </c>
      <c r="X118" s="86">
        <v>-1599998</v>
      </c>
      <c r="Y118" s="86">
        <v>-1700000</v>
      </c>
      <c r="Z118" s="33">
        <f t="shared" si="267"/>
        <v>-963748</v>
      </c>
      <c r="AA118" s="86">
        <v>-3536396</v>
      </c>
      <c r="AB118" s="86">
        <v>-1654327</v>
      </c>
      <c r="AC118" s="86">
        <v>-1856885</v>
      </c>
      <c r="AD118" s="33"/>
      <c r="AE118" s="33">
        <f t="shared" si="268"/>
        <v>-600022</v>
      </c>
      <c r="AF118" s="33">
        <f t="shared" si="269"/>
        <v>-100000</v>
      </c>
      <c r="AG118" s="33">
        <f t="shared" si="270"/>
        <v>0</v>
      </c>
      <c r="AH118" s="33">
        <f t="shared" si="271"/>
        <v>0</v>
      </c>
      <c r="AI118" s="33">
        <f t="shared" si="272"/>
        <v>-400101</v>
      </c>
      <c r="AJ118" s="33">
        <f t="shared" si="273"/>
        <v>-1045247</v>
      </c>
      <c r="AK118" s="33">
        <f t="shared" si="274"/>
        <v>-3545347</v>
      </c>
      <c r="AL118" s="33">
        <f t="shared" si="275"/>
        <v>-6045347</v>
      </c>
      <c r="AM118" s="33">
        <f t="shared" si="276"/>
        <v>-7645246</v>
      </c>
      <c r="AN118" s="33">
        <f t="shared" si="277"/>
        <v>-8600098</v>
      </c>
      <c r="AO118" s="33">
        <f t="shared" si="278"/>
        <v>-7799998</v>
      </c>
      <c r="AP118" s="33">
        <f t="shared" si="279"/>
        <v>-6263746</v>
      </c>
      <c r="AQ118" s="33">
        <f t="shared" si="280"/>
        <v>-7800142</v>
      </c>
      <c r="AR118" s="33">
        <f t="shared" si="281"/>
        <v>-7854471</v>
      </c>
      <c r="AS118" s="33">
        <f t="shared" si="282"/>
        <v>-8011356</v>
      </c>
      <c r="AT118" s="67"/>
      <c r="AU118" s="79">
        <f t="shared" si="260"/>
        <v>2.7097186435176113E-2</v>
      </c>
    </row>
    <row r="119" spans="2:47" ht="12.75" customHeight="1">
      <c r="B119" s="88" t="s">
        <v>156</v>
      </c>
      <c r="C119" s="86">
        <v>0</v>
      </c>
      <c r="D119" s="86">
        <v>0</v>
      </c>
      <c r="E119" s="86">
        <v>0</v>
      </c>
      <c r="F119" s="86">
        <v>-224168</v>
      </c>
      <c r="G119" s="86">
        <v>0</v>
      </c>
      <c r="H119" s="86">
        <v>0</v>
      </c>
      <c r="I119" s="86">
        <v>-8285</v>
      </c>
      <c r="K119" s="86">
        <v>0</v>
      </c>
      <c r="L119" s="86">
        <v>0</v>
      </c>
      <c r="M119" s="86">
        <v>0</v>
      </c>
      <c r="N119" s="33">
        <f t="shared" ref="N119:N120" si="283">SUM(F119-SUM(K119:M119))</f>
        <v>-224168</v>
      </c>
      <c r="O119" s="86">
        <v>0</v>
      </c>
      <c r="P119" s="86">
        <v>0</v>
      </c>
      <c r="Q119" s="86">
        <v>0</v>
      </c>
      <c r="R119" s="33">
        <f t="shared" ref="R119:R120" si="284">SUM(G119-SUM(O119:Q119))</f>
        <v>0</v>
      </c>
      <c r="S119" s="86">
        <v>0</v>
      </c>
      <c r="T119" s="86">
        <v>0</v>
      </c>
      <c r="U119" s="86">
        <v>0</v>
      </c>
      <c r="V119" s="33">
        <f t="shared" ref="V119:V120" si="285">SUM(H119-SUM(S119:U119))</f>
        <v>0</v>
      </c>
      <c r="W119" s="86">
        <v>-1825</v>
      </c>
      <c r="X119" s="86">
        <v>-1883</v>
      </c>
      <c r="Y119" s="86">
        <v>-2024</v>
      </c>
      <c r="Z119" s="33">
        <f t="shared" ref="Z119:Z120" si="286">SUM(I119-SUM(W119:Y119))</f>
        <v>-2553</v>
      </c>
      <c r="AA119" s="86">
        <v>-27870</v>
      </c>
      <c r="AB119" s="86">
        <v>-6114</v>
      </c>
      <c r="AC119" s="86">
        <v>-6196</v>
      </c>
      <c r="AD119" s="33"/>
      <c r="AE119" s="33">
        <f t="shared" si="268"/>
        <v>-224168</v>
      </c>
      <c r="AF119" s="33">
        <f t="shared" si="269"/>
        <v>-224168</v>
      </c>
      <c r="AG119" s="33">
        <f t="shared" si="270"/>
        <v>-224168</v>
      </c>
      <c r="AH119" s="33">
        <f t="shared" si="271"/>
        <v>0</v>
      </c>
      <c r="AI119" s="33">
        <f t="shared" si="272"/>
        <v>0</v>
      </c>
      <c r="AJ119" s="33">
        <f t="shared" si="273"/>
        <v>0</v>
      </c>
      <c r="AK119" s="33">
        <f t="shared" si="274"/>
        <v>0</v>
      </c>
      <c r="AL119" s="33">
        <f t="shared" si="275"/>
        <v>0</v>
      </c>
      <c r="AM119" s="33">
        <f t="shared" si="276"/>
        <v>-1825</v>
      </c>
      <c r="AN119" s="33">
        <f t="shared" si="277"/>
        <v>-3708</v>
      </c>
      <c r="AO119" s="33">
        <f t="shared" si="278"/>
        <v>-5732</v>
      </c>
      <c r="AP119" s="33">
        <f t="shared" si="279"/>
        <v>-8285</v>
      </c>
      <c r="AQ119" s="33">
        <f t="shared" si="280"/>
        <v>-34330</v>
      </c>
      <c r="AR119" s="33">
        <f t="shared" si="281"/>
        <v>-38561</v>
      </c>
      <c r="AS119" s="33">
        <f t="shared" si="282"/>
        <v>-42733</v>
      </c>
      <c r="AT119" s="67"/>
      <c r="AU119" s="79">
        <f t="shared" si="260"/>
        <v>6.4551639916259598</v>
      </c>
    </row>
    <row r="120" spans="2:47" ht="12.75" customHeight="1">
      <c r="B120" s="88" t="s">
        <v>157</v>
      </c>
      <c r="C120" s="86">
        <v>-1956</v>
      </c>
      <c r="D120" s="86">
        <v>0</v>
      </c>
      <c r="E120" s="86">
        <v>0</v>
      </c>
      <c r="F120" s="86">
        <v>0</v>
      </c>
      <c r="G120" s="86">
        <v>0</v>
      </c>
      <c r="H120" s="86">
        <v>-75446</v>
      </c>
      <c r="I120" s="86">
        <v>-29743</v>
      </c>
      <c r="K120" s="86">
        <v>0</v>
      </c>
      <c r="L120" s="86">
        <v>0</v>
      </c>
      <c r="M120" s="86">
        <v>0</v>
      </c>
      <c r="N120" s="33">
        <f t="shared" si="283"/>
        <v>0</v>
      </c>
      <c r="O120" s="86">
        <v>0</v>
      </c>
      <c r="P120" s="86">
        <v>0</v>
      </c>
      <c r="Q120" s="86">
        <v>0</v>
      </c>
      <c r="R120" s="33">
        <f t="shared" si="284"/>
        <v>0</v>
      </c>
      <c r="S120" s="86">
        <v>0</v>
      </c>
      <c r="T120" s="86">
        <v>-38920</v>
      </c>
      <c r="U120" s="86">
        <v>-32826</v>
      </c>
      <c r="V120" s="33">
        <f t="shared" si="285"/>
        <v>-3700</v>
      </c>
      <c r="W120" s="86">
        <v>0</v>
      </c>
      <c r="X120" s="86">
        <v>-6250</v>
      </c>
      <c r="Y120" s="86">
        <v>-9084</v>
      </c>
      <c r="Z120" s="33">
        <f t="shared" si="286"/>
        <v>-14409</v>
      </c>
      <c r="AA120" s="86">
        <v>-15652</v>
      </c>
      <c r="AB120" s="86">
        <v>21957</v>
      </c>
      <c r="AC120" s="86">
        <v>55837</v>
      </c>
      <c r="AD120" s="33"/>
      <c r="AE120" s="33">
        <f t="shared" si="268"/>
        <v>0</v>
      </c>
      <c r="AF120" s="33">
        <f t="shared" si="269"/>
        <v>0</v>
      </c>
      <c r="AG120" s="33">
        <f t="shared" si="270"/>
        <v>0</v>
      </c>
      <c r="AH120" s="33">
        <f t="shared" si="271"/>
        <v>0</v>
      </c>
      <c r="AI120" s="33">
        <f t="shared" si="272"/>
        <v>0</v>
      </c>
      <c r="AJ120" s="33">
        <f t="shared" si="273"/>
        <v>-38920</v>
      </c>
      <c r="AK120" s="33">
        <f t="shared" si="274"/>
        <v>-71746</v>
      </c>
      <c r="AL120" s="33">
        <f t="shared" si="275"/>
        <v>-75446</v>
      </c>
      <c r="AM120" s="33">
        <f t="shared" si="276"/>
        <v>-75446</v>
      </c>
      <c r="AN120" s="33">
        <f t="shared" si="277"/>
        <v>-42776</v>
      </c>
      <c r="AO120" s="33">
        <f t="shared" si="278"/>
        <v>-19034</v>
      </c>
      <c r="AP120" s="33">
        <f t="shared" si="279"/>
        <v>-29743</v>
      </c>
      <c r="AQ120" s="33">
        <f t="shared" si="280"/>
        <v>-45395</v>
      </c>
      <c r="AR120" s="33">
        <f t="shared" si="281"/>
        <v>-17188</v>
      </c>
      <c r="AS120" s="33">
        <f t="shared" si="282"/>
        <v>47733</v>
      </c>
      <c r="AT120" s="67"/>
      <c r="AU120" s="79">
        <f t="shared" si="260"/>
        <v>-3.5077755595250606</v>
      </c>
    </row>
    <row r="121" spans="2:47" ht="12.75" customHeight="1">
      <c r="B121" s="13" t="s">
        <v>66</v>
      </c>
      <c r="C121" s="35">
        <f t="shared" ref="C121:I121" si="287">SUM(C114:C120)</f>
        <v>4048527</v>
      </c>
      <c r="D121" s="35">
        <f t="shared" si="287"/>
        <v>4505662</v>
      </c>
      <c r="E121" s="35">
        <f t="shared" si="287"/>
        <v>1237311</v>
      </c>
      <c r="F121" s="35">
        <f t="shared" si="287"/>
        <v>-1149776</v>
      </c>
      <c r="G121" s="35">
        <f t="shared" si="287"/>
        <v>-664254</v>
      </c>
      <c r="H121" s="35">
        <f t="shared" si="287"/>
        <v>-5950803</v>
      </c>
      <c r="I121" s="35">
        <f t="shared" si="287"/>
        <v>-4074427</v>
      </c>
      <c r="J121" s="33"/>
      <c r="K121" s="35">
        <f t="shared" ref="K121:AC121" si="288">SUM(K114:K120)</f>
        <v>-451929</v>
      </c>
      <c r="L121" s="35">
        <f t="shared" si="288"/>
        <v>-480273</v>
      </c>
      <c r="M121" s="35">
        <f t="shared" si="288"/>
        <v>-81555</v>
      </c>
      <c r="N121" s="35">
        <f t="shared" si="288"/>
        <v>-136019</v>
      </c>
      <c r="O121" s="35">
        <f t="shared" si="288"/>
        <v>-686322</v>
      </c>
      <c r="P121" s="35">
        <f t="shared" si="288"/>
        <v>11250</v>
      </c>
      <c r="Q121" s="35">
        <f t="shared" si="288"/>
        <v>4113</v>
      </c>
      <c r="R121" s="35">
        <f t="shared" si="288"/>
        <v>6705</v>
      </c>
      <c r="S121" s="35">
        <f t="shared" si="288"/>
        <v>-374073</v>
      </c>
      <c r="T121" s="35">
        <f t="shared" si="288"/>
        <v>-649349</v>
      </c>
      <c r="U121" s="35">
        <f t="shared" si="288"/>
        <v>-2475108</v>
      </c>
      <c r="V121" s="35">
        <f t="shared" si="288"/>
        <v>-2452273</v>
      </c>
      <c r="W121" s="35">
        <f t="shared" si="288"/>
        <v>-2132944</v>
      </c>
      <c r="X121" s="35">
        <f t="shared" si="288"/>
        <v>-1489381</v>
      </c>
      <c r="Y121" s="35">
        <f t="shared" si="288"/>
        <v>226596</v>
      </c>
      <c r="Z121" s="35">
        <f t="shared" si="288"/>
        <v>-678698</v>
      </c>
      <c r="AA121" s="35">
        <f t="shared" si="288"/>
        <v>-4028316</v>
      </c>
      <c r="AB121" s="35">
        <f t="shared" si="288"/>
        <v>-2502868</v>
      </c>
      <c r="AC121" s="35">
        <f t="shared" si="288"/>
        <v>-1737029</v>
      </c>
      <c r="AD121" s="33"/>
      <c r="AE121" s="35">
        <f t="shared" ref="AE121:AS121" si="289">SUM(AE114:AE120)</f>
        <v>-1384169</v>
      </c>
      <c r="AF121" s="35">
        <f t="shared" si="289"/>
        <v>-892646</v>
      </c>
      <c r="AG121" s="35">
        <f t="shared" si="289"/>
        <v>-806978</v>
      </c>
      <c r="AH121" s="35">
        <f t="shared" si="289"/>
        <v>-664254</v>
      </c>
      <c r="AI121" s="35">
        <f t="shared" si="289"/>
        <v>-352005</v>
      </c>
      <c r="AJ121" s="35">
        <f t="shared" si="289"/>
        <v>-1012604</v>
      </c>
      <c r="AK121" s="35">
        <f t="shared" si="289"/>
        <v>-3491825</v>
      </c>
      <c r="AL121" s="35">
        <f t="shared" si="289"/>
        <v>-5950803</v>
      </c>
      <c r="AM121" s="35">
        <f t="shared" si="289"/>
        <v>-7709674</v>
      </c>
      <c r="AN121" s="35">
        <f t="shared" si="289"/>
        <v>-8549706</v>
      </c>
      <c r="AO121" s="35">
        <f t="shared" si="289"/>
        <v>-5848002</v>
      </c>
      <c r="AP121" s="35">
        <f t="shared" si="289"/>
        <v>-4074427</v>
      </c>
      <c r="AQ121" s="35">
        <f t="shared" si="289"/>
        <v>-5969799</v>
      </c>
      <c r="AR121" s="35">
        <f t="shared" si="289"/>
        <v>-6983286</v>
      </c>
      <c r="AS121" s="35">
        <f t="shared" si="289"/>
        <v>-8946911</v>
      </c>
      <c r="AT121" s="44"/>
      <c r="AU121" s="80">
        <f t="shared" si="260"/>
        <v>0.52990901849896765</v>
      </c>
    </row>
    <row r="122" spans="2:47" ht="5.0999999999999996" customHeight="1">
      <c r="B122" s="8"/>
      <c r="C122" s="68"/>
      <c r="D122" s="68"/>
      <c r="E122" s="68"/>
      <c r="F122" s="68"/>
      <c r="G122" s="68"/>
      <c r="H122" s="68"/>
      <c r="I122" s="68"/>
      <c r="J122" s="33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48"/>
    </row>
    <row r="123" spans="2:47" ht="5.0999999999999996" customHeight="1">
      <c r="B123" s="75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11"/>
      <c r="AU123" s="48"/>
    </row>
    <row r="124" spans="2:47">
      <c r="B124" s="97" t="s">
        <v>101</v>
      </c>
      <c r="C124" s="137">
        <v>2822795</v>
      </c>
      <c r="D124" s="98">
        <f t="shared" ref="D124:I124" si="290">C131</f>
        <v>3794483</v>
      </c>
      <c r="E124" s="98">
        <f t="shared" si="290"/>
        <v>5018437</v>
      </c>
      <c r="F124" s="98">
        <f t="shared" si="290"/>
        <v>8205550</v>
      </c>
      <c r="G124" s="98">
        <f t="shared" si="290"/>
        <v>6027804</v>
      </c>
      <c r="H124" s="98">
        <f t="shared" si="290"/>
        <v>5147176</v>
      </c>
      <c r="I124" s="98">
        <f t="shared" si="290"/>
        <v>7116913</v>
      </c>
      <c r="J124" s="98"/>
      <c r="K124" s="98">
        <f>E131</f>
        <v>8205550</v>
      </c>
      <c r="L124" s="98">
        <f t="shared" ref="L124:AC124" si="291">K131</f>
        <v>8403705</v>
      </c>
      <c r="M124" s="98">
        <f t="shared" si="291"/>
        <v>7777530</v>
      </c>
      <c r="N124" s="98">
        <f t="shared" si="291"/>
        <v>7526681</v>
      </c>
      <c r="O124" s="98">
        <f t="shared" si="291"/>
        <v>6027804</v>
      </c>
      <c r="P124" s="98">
        <f t="shared" si="291"/>
        <v>6008946</v>
      </c>
      <c r="Q124" s="98">
        <f t="shared" si="291"/>
        <v>5819449</v>
      </c>
      <c r="R124" s="98">
        <f t="shared" si="291"/>
        <v>6113733</v>
      </c>
      <c r="S124" s="98">
        <f t="shared" si="291"/>
        <v>5147176</v>
      </c>
      <c r="T124" s="98">
        <f t="shared" si="291"/>
        <v>6714594</v>
      </c>
      <c r="U124" s="98">
        <f t="shared" si="291"/>
        <v>7662788</v>
      </c>
      <c r="V124" s="98">
        <f t="shared" si="291"/>
        <v>7353245</v>
      </c>
      <c r="W124" s="98">
        <f t="shared" si="291"/>
        <v>7116913</v>
      </c>
      <c r="X124" s="98">
        <f t="shared" si="291"/>
        <v>7024766</v>
      </c>
      <c r="Y124" s="98">
        <f t="shared" si="291"/>
        <v>6624939</v>
      </c>
      <c r="Z124" s="98">
        <f t="shared" si="291"/>
        <v>7457025</v>
      </c>
      <c r="AA124" s="98">
        <f t="shared" si="291"/>
        <v>7804733</v>
      </c>
      <c r="AB124" s="98">
        <f t="shared" si="291"/>
        <v>7199848</v>
      </c>
      <c r="AC124" s="98">
        <f t="shared" si="291"/>
        <v>8177405</v>
      </c>
      <c r="AD124" s="98"/>
      <c r="AE124" s="98">
        <f t="shared" ref="AE124:AS124" si="292">K131</f>
        <v>8403705</v>
      </c>
      <c r="AF124" s="98">
        <f t="shared" si="292"/>
        <v>7777530</v>
      </c>
      <c r="AG124" s="98">
        <f t="shared" si="292"/>
        <v>7526681</v>
      </c>
      <c r="AH124" s="98">
        <f t="shared" si="292"/>
        <v>6027804</v>
      </c>
      <c r="AI124" s="98">
        <f t="shared" si="292"/>
        <v>6008946</v>
      </c>
      <c r="AJ124" s="98">
        <f t="shared" si="292"/>
        <v>5819449</v>
      </c>
      <c r="AK124" s="98">
        <f t="shared" si="292"/>
        <v>6113733</v>
      </c>
      <c r="AL124" s="98">
        <f t="shared" si="292"/>
        <v>5147176</v>
      </c>
      <c r="AM124" s="98">
        <f t="shared" si="292"/>
        <v>6714594</v>
      </c>
      <c r="AN124" s="98">
        <f t="shared" si="292"/>
        <v>7662788</v>
      </c>
      <c r="AO124" s="98">
        <f t="shared" si="292"/>
        <v>7353245</v>
      </c>
      <c r="AP124" s="98">
        <f t="shared" si="292"/>
        <v>7116913</v>
      </c>
      <c r="AQ124" s="98">
        <f t="shared" si="292"/>
        <v>7024766</v>
      </c>
      <c r="AR124" s="98">
        <f t="shared" si="292"/>
        <v>6624939</v>
      </c>
      <c r="AS124" s="152">
        <f t="shared" si="292"/>
        <v>7457025</v>
      </c>
      <c r="AT124" s="11"/>
      <c r="AU124" s="48"/>
    </row>
    <row r="125" spans="2:47">
      <c r="B125" s="138" t="s">
        <v>164</v>
      </c>
      <c r="C125" s="86">
        <v>0</v>
      </c>
      <c r="D125" s="33">
        <f>-C129</f>
        <v>17558</v>
      </c>
      <c r="E125" s="33">
        <f>-D129</f>
        <v>25349</v>
      </c>
      <c r="F125" s="33">
        <f>-E129</f>
        <v>33320</v>
      </c>
      <c r="G125" s="33">
        <f t="shared" ref="G125:I125" si="293">-F129</f>
        <v>27307</v>
      </c>
      <c r="H125" s="33">
        <f t="shared" si="293"/>
        <v>23406</v>
      </c>
      <c r="I125" s="33">
        <f t="shared" si="293"/>
        <v>1602</v>
      </c>
      <c r="J125" s="33"/>
      <c r="K125" s="86">
        <f>-E129</f>
        <v>33320</v>
      </c>
      <c r="L125" s="33">
        <f t="shared" ref="L125:AC125" si="294">-K129</f>
        <v>32748</v>
      </c>
      <c r="M125" s="33">
        <f t="shared" si="294"/>
        <v>27088</v>
      </c>
      <c r="N125" s="33">
        <f t="shared" si="294"/>
        <v>26287</v>
      </c>
      <c r="O125" s="33">
        <f t="shared" si="294"/>
        <v>27307</v>
      </c>
      <c r="P125" s="33">
        <f t="shared" si="294"/>
        <v>25555</v>
      </c>
      <c r="Q125" s="33">
        <f t="shared" si="294"/>
        <v>24960</v>
      </c>
      <c r="R125" s="33">
        <f t="shared" si="294"/>
        <v>26581</v>
      </c>
      <c r="S125" s="33">
        <f t="shared" si="294"/>
        <v>23406</v>
      </c>
      <c r="T125" s="33">
        <f t="shared" si="294"/>
        <v>23425</v>
      </c>
      <c r="U125" s="33">
        <f t="shared" si="294"/>
        <v>3477</v>
      </c>
      <c r="V125" s="33">
        <f t="shared" si="294"/>
        <v>3591</v>
      </c>
      <c r="W125" s="33">
        <f t="shared" si="294"/>
        <v>1602</v>
      </c>
      <c r="X125" s="33">
        <f t="shared" si="294"/>
        <v>1823</v>
      </c>
      <c r="Y125" s="33">
        <f t="shared" si="294"/>
        <v>2106</v>
      </c>
      <c r="Z125" s="33">
        <f t="shared" si="294"/>
        <v>2060</v>
      </c>
      <c r="AA125" s="33">
        <f t="shared" si="294"/>
        <v>2604</v>
      </c>
      <c r="AB125" s="33">
        <f t="shared" si="294"/>
        <v>4180</v>
      </c>
      <c r="AC125" s="33">
        <f t="shared" si="294"/>
        <v>3168</v>
      </c>
      <c r="AD125" s="33"/>
      <c r="AE125" s="33">
        <f t="shared" ref="AE125:AS125" si="295">-K129</f>
        <v>32748</v>
      </c>
      <c r="AF125" s="33">
        <f t="shared" si="295"/>
        <v>27088</v>
      </c>
      <c r="AG125" s="33">
        <f t="shared" si="295"/>
        <v>26287</v>
      </c>
      <c r="AH125" s="33">
        <f t="shared" si="295"/>
        <v>27307</v>
      </c>
      <c r="AI125" s="33">
        <f t="shared" si="295"/>
        <v>25555</v>
      </c>
      <c r="AJ125" s="33">
        <f t="shared" si="295"/>
        <v>24960</v>
      </c>
      <c r="AK125" s="33">
        <f t="shared" si="295"/>
        <v>26581</v>
      </c>
      <c r="AL125" s="33">
        <f t="shared" si="295"/>
        <v>23406</v>
      </c>
      <c r="AM125" s="33">
        <f t="shared" si="295"/>
        <v>23425</v>
      </c>
      <c r="AN125" s="33">
        <f t="shared" si="295"/>
        <v>3477</v>
      </c>
      <c r="AO125" s="33">
        <f t="shared" si="295"/>
        <v>3591</v>
      </c>
      <c r="AP125" s="33">
        <f t="shared" si="295"/>
        <v>1602</v>
      </c>
      <c r="AQ125" s="33">
        <f t="shared" si="295"/>
        <v>1823</v>
      </c>
      <c r="AR125" s="33">
        <f t="shared" si="295"/>
        <v>2106</v>
      </c>
      <c r="AS125" s="144">
        <f t="shared" si="295"/>
        <v>2060</v>
      </c>
      <c r="AT125" s="11"/>
      <c r="AU125" s="48"/>
    </row>
    <row r="126" spans="2:47">
      <c r="B126" s="94" t="s">
        <v>81</v>
      </c>
      <c r="C126" s="90">
        <f t="shared" ref="C126:I126" si="296">SUM(C124:C125)</f>
        <v>2822795</v>
      </c>
      <c r="D126" s="90">
        <f t="shared" si="296"/>
        <v>3812041</v>
      </c>
      <c r="E126" s="90">
        <f t="shared" si="296"/>
        <v>5043786</v>
      </c>
      <c r="F126" s="90">
        <f t="shared" si="296"/>
        <v>8238870</v>
      </c>
      <c r="G126" s="90">
        <f t="shared" si="296"/>
        <v>6055111</v>
      </c>
      <c r="H126" s="90">
        <f t="shared" si="296"/>
        <v>5170582</v>
      </c>
      <c r="I126" s="90">
        <f t="shared" si="296"/>
        <v>7118515</v>
      </c>
      <c r="J126" s="33"/>
      <c r="K126" s="90">
        <f t="shared" ref="K126:AC126" si="297">SUM(K124:K125)</f>
        <v>8238870</v>
      </c>
      <c r="L126" s="90">
        <f t="shared" si="297"/>
        <v>8436453</v>
      </c>
      <c r="M126" s="90">
        <f t="shared" si="297"/>
        <v>7804618</v>
      </c>
      <c r="N126" s="90">
        <f t="shared" si="297"/>
        <v>7552968</v>
      </c>
      <c r="O126" s="90">
        <f t="shared" si="297"/>
        <v>6055111</v>
      </c>
      <c r="P126" s="90">
        <f t="shared" si="297"/>
        <v>6034501</v>
      </c>
      <c r="Q126" s="90">
        <f t="shared" si="297"/>
        <v>5844409</v>
      </c>
      <c r="R126" s="90">
        <f t="shared" si="297"/>
        <v>6140314</v>
      </c>
      <c r="S126" s="90">
        <f t="shared" si="297"/>
        <v>5170582</v>
      </c>
      <c r="T126" s="90">
        <f t="shared" si="297"/>
        <v>6738019</v>
      </c>
      <c r="U126" s="90">
        <f t="shared" si="297"/>
        <v>7666265</v>
      </c>
      <c r="V126" s="90">
        <f t="shared" si="297"/>
        <v>7356836</v>
      </c>
      <c r="W126" s="90">
        <f t="shared" si="297"/>
        <v>7118515</v>
      </c>
      <c r="X126" s="90">
        <f t="shared" si="297"/>
        <v>7026589</v>
      </c>
      <c r="Y126" s="90">
        <f t="shared" si="297"/>
        <v>6627045</v>
      </c>
      <c r="Z126" s="90">
        <f t="shared" si="297"/>
        <v>7459085</v>
      </c>
      <c r="AA126" s="90">
        <f t="shared" si="297"/>
        <v>7807337</v>
      </c>
      <c r="AB126" s="90">
        <f t="shared" si="297"/>
        <v>7204028</v>
      </c>
      <c r="AC126" s="90">
        <f t="shared" si="297"/>
        <v>8180573</v>
      </c>
      <c r="AD126" s="33"/>
      <c r="AE126" s="142">
        <f t="shared" ref="AE126:AS126" si="298">SUM(AE124:AE125)</f>
        <v>8436453</v>
      </c>
      <c r="AF126" s="142">
        <f t="shared" si="298"/>
        <v>7804618</v>
      </c>
      <c r="AG126" s="142">
        <f t="shared" si="298"/>
        <v>7552968</v>
      </c>
      <c r="AH126" s="142">
        <f t="shared" si="298"/>
        <v>6055111</v>
      </c>
      <c r="AI126" s="142">
        <f t="shared" si="298"/>
        <v>6034501</v>
      </c>
      <c r="AJ126" s="142">
        <f t="shared" si="298"/>
        <v>5844409</v>
      </c>
      <c r="AK126" s="142">
        <f t="shared" si="298"/>
        <v>6140314</v>
      </c>
      <c r="AL126" s="142">
        <f t="shared" si="298"/>
        <v>5170582</v>
      </c>
      <c r="AM126" s="142">
        <f t="shared" si="298"/>
        <v>6738019</v>
      </c>
      <c r="AN126" s="142">
        <f t="shared" si="298"/>
        <v>7666265</v>
      </c>
      <c r="AO126" s="142">
        <f t="shared" si="298"/>
        <v>7356836</v>
      </c>
      <c r="AP126" s="142">
        <f t="shared" si="298"/>
        <v>7118515</v>
      </c>
      <c r="AQ126" s="142">
        <f t="shared" si="298"/>
        <v>7026589</v>
      </c>
      <c r="AR126" s="142">
        <f t="shared" si="298"/>
        <v>6627045</v>
      </c>
      <c r="AS126" s="145">
        <f t="shared" si="298"/>
        <v>7459085</v>
      </c>
      <c r="AT126" s="11"/>
      <c r="AU126" s="48"/>
    </row>
    <row r="127" spans="2:47" ht="5.0999999999999996" customHeight="1">
      <c r="B127" s="149"/>
      <c r="C127" s="75"/>
      <c r="D127" s="75"/>
      <c r="E127" s="75"/>
      <c r="F127" s="75"/>
      <c r="G127" s="75"/>
      <c r="H127" s="75"/>
      <c r="I127" s="75"/>
      <c r="J127" s="33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  <c r="AA127" s="75"/>
      <c r="AB127" s="75"/>
      <c r="AC127" s="75"/>
      <c r="AD127" s="33"/>
      <c r="AE127" s="75"/>
      <c r="AF127" s="75"/>
      <c r="AG127" s="75"/>
      <c r="AH127" s="75"/>
      <c r="AI127" s="75"/>
      <c r="AJ127" s="75"/>
      <c r="AK127" s="75"/>
      <c r="AL127" s="75"/>
      <c r="AM127" s="75"/>
      <c r="AN127" s="75"/>
      <c r="AO127" s="75"/>
      <c r="AP127" s="75"/>
      <c r="AQ127" s="75"/>
      <c r="AR127" s="75"/>
      <c r="AS127" s="146"/>
      <c r="AT127" s="11"/>
      <c r="AU127" s="48"/>
    </row>
    <row r="128" spans="2:47">
      <c r="B128" s="138" t="s">
        <v>102</v>
      </c>
      <c r="C128" s="86">
        <v>-39682</v>
      </c>
      <c r="D128" s="86">
        <v>469</v>
      </c>
      <c r="E128" s="86">
        <v>36050</v>
      </c>
      <c r="F128" s="86">
        <v>-86740</v>
      </c>
      <c r="G128" s="86">
        <v>-170140</v>
      </c>
      <c r="H128" s="86">
        <v>82684</v>
      </c>
      <c r="I128" s="86">
        <v>-416331</v>
      </c>
      <c r="J128" s="33"/>
      <c r="K128" s="86">
        <v>-42138</v>
      </c>
      <c r="L128" s="86">
        <v>23477</v>
      </c>
      <c r="M128" s="86">
        <v>-63843</v>
      </c>
      <c r="N128" s="33">
        <f>SUM(F128-SUM(K128:M128))</f>
        <v>-4236</v>
      </c>
      <c r="O128" s="86">
        <v>-11448</v>
      </c>
      <c r="P128" s="86">
        <v>-145198</v>
      </c>
      <c r="Q128" s="86">
        <v>-180058</v>
      </c>
      <c r="R128" s="33">
        <f>SUM(G128-SUM(O128:Q128))</f>
        <v>166564</v>
      </c>
      <c r="S128" s="86">
        <v>26423</v>
      </c>
      <c r="T128" s="86">
        <v>39626</v>
      </c>
      <c r="U128" s="86">
        <v>-122707</v>
      </c>
      <c r="V128" s="33">
        <f>SUM(H128-SUM(S128:U128))</f>
        <v>139342</v>
      </c>
      <c r="W128" s="86">
        <v>-95790</v>
      </c>
      <c r="X128" s="86">
        <v>-122723</v>
      </c>
      <c r="Y128" s="86">
        <v>153452</v>
      </c>
      <c r="Z128" s="33">
        <f>SUM(I128-SUM(W128:Y128))</f>
        <v>-351270</v>
      </c>
      <c r="AA128" s="86">
        <v>150146</v>
      </c>
      <c r="AB128" s="86">
        <v>287471</v>
      </c>
      <c r="AC128" s="86">
        <v>-21721</v>
      </c>
      <c r="AD128" s="33"/>
      <c r="AE128" s="33">
        <f t="shared" ref="AE128:AS128" si="299">SUM(L128:O128)</f>
        <v>-56050</v>
      </c>
      <c r="AF128" s="33">
        <f t="shared" si="299"/>
        <v>-224725</v>
      </c>
      <c r="AG128" s="33">
        <f t="shared" si="299"/>
        <v>-340940</v>
      </c>
      <c r="AH128" s="33">
        <f t="shared" si="299"/>
        <v>-170140</v>
      </c>
      <c r="AI128" s="33">
        <f t="shared" si="299"/>
        <v>-132269</v>
      </c>
      <c r="AJ128" s="33">
        <f t="shared" si="299"/>
        <v>52555</v>
      </c>
      <c r="AK128" s="33">
        <f t="shared" si="299"/>
        <v>109906</v>
      </c>
      <c r="AL128" s="33">
        <f t="shared" si="299"/>
        <v>82684</v>
      </c>
      <c r="AM128" s="33">
        <f t="shared" si="299"/>
        <v>-39529</v>
      </c>
      <c r="AN128" s="33">
        <f t="shared" si="299"/>
        <v>-201878</v>
      </c>
      <c r="AO128" s="33">
        <f t="shared" si="299"/>
        <v>74281</v>
      </c>
      <c r="AP128" s="33">
        <f t="shared" si="299"/>
        <v>-416331</v>
      </c>
      <c r="AQ128" s="33">
        <f t="shared" si="299"/>
        <v>-170395</v>
      </c>
      <c r="AR128" s="33">
        <f t="shared" si="299"/>
        <v>239799</v>
      </c>
      <c r="AS128" s="144">
        <f t="shared" si="299"/>
        <v>64626</v>
      </c>
      <c r="AT128" s="11"/>
      <c r="AU128" s="48"/>
    </row>
    <row r="129" spans="2:47">
      <c r="B129" s="138" t="s">
        <v>158</v>
      </c>
      <c r="C129" s="86">
        <v>-17558</v>
      </c>
      <c r="D129" s="86">
        <f>-(1863+23486)</f>
        <v>-25349</v>
      </c>
      <c r="E129" s="86">
        <f>-(31537+1783)</f>
        <v>-33320</v>
      </c>
      <c r="F129" s="86">
        <f>-(3189 +24118 )</f>
        <v>-27307</v>
      </c>
      <c r="G129" s="86">
        <f>-(19996+3410)</f>
        <v>-23406</v>
      </c>
      <c r="H129" s="86">
        <f>-(1466+136)</f>
        <v>-1602</v>
      </c>
      <c r="I129" s="86">
        <f>-(2472+132)</f>
        <v>-2604</v>
      </c>
      <c r="J129" s="33"/>
      <c r="K129" s="86">
        <f>-(30589 +2159)</f>
        <v>-32748</v>
      </c>
      <c r="L129" s="86">
        <f>-(24399  +2689)</f>
        <v>-27088</v>
      </c>
      <c r="M129" s="86">
        <f>-(24307 +1980)</f>
        <v>-26287</v>
      </c>
      <c r="N129" s="33">
        <f t="shared" ref="N129" si="300">F129</f>
        <v>-27307</v>
      </c>
      <c r="O129" s="86">
        <f>-(24600+955)</f>
        <v>-25555</v>
      </c>
      <c r="P129" s="86">
        <f>-(24056+904)</f>
        <v>-24960</v>
      </c>
      <c r="Q129" s="86">
        <f>-(23762+2819)</f>
        <v>-26581</v>
      </c>
      <c r="R129" s="102">
        <f t="shared" ref="R129" si="301">G129</f>
        <v>-23406</v>
      </c>
      <c r="S129" s="86">
        <f>-(19536+3889)</f>
        <v>-23425</v>
      </c>
      <c r="T129" s="86">
        <f>-(1763+1714)</f>
        <v>-3477</v>
      </c>
      <c r="U129" s="86">
        <f>-(1933+1658)</f>
        <v>-3591</v>
      </c>
      <c r="V129" s="33">
        <f t="shared" ref="V129" si="302">H129</f>
        <v>-1602</v>
      </c>
      <c r="W129" s="86">
        <f>-(1690+133)</f>
        <v>-1823</v>
      </c>
      <c r="X129" s="86">
        <f>-(1973+133)</f>
        <v>-2106</v>
      </c>
      <c r="Y129" s="86">
        <f>-(1923+137)</f>
        <v>-2060</v>
      </c>
      <c r="Z129" s="33">
        <f t="shared" ref="Z129" si="303">I129</f>
        <v>-2604</v>
      </c>
      <c r="AA129" s="86">
        <f>-(4044+136)</f>
        <v>-4180</v>
      </c>
      <c r="AB129" s="86">
        <f>-(3024+144)</f>
        <v>-3168</v>
      </c>
      <c r="AC129" s="86">
        <f>-(3437+144)</f>
        <v>-3581</v>
      </c>
      <c r="AD129" s="33"/>
      <c r="AE129" s="33">
        <f t="shared" ref="AE129:AS129" si="304">O129</f>
        <v>-25555</v>
      </c>
      <c r="AF129" s="33">
        <f t="shared" si="304"/>
        <v>-24960</v>
      </c>
      <c r="AG129" s="33">
        <f t="shared" si="304"/>
        <v>-26581</v>
      </c>
      <c r="AH129" s="33">
        <f t="shared" si="304"/>
        <v>-23406</v>
      </c>
      <c r="AI129" s="33">
        <f t="shared" si="304"/>
        <v>-23425</v>
      </c>
      <c r="AJ129" s="33">
        <f t="shared" si="304"/>
        <v>-3477</v>
      </c>
      <c r="AK129" s="33">
        <f t="shared" si="304"/>
        <v>-3591</v>
      </c>
      <c r="AL129" s="33">
        <f t="shared" si="304"/>
        <v>-1602</v>
      </c>
      <c r="AM129" s="33">
        <f t="shared" si="304"/>
        <v>-1823</v>
      </c>
      <c r="AN129" s="33">
        <f t="shared" si="304"/>
        <v>-2106</v>
      </c>
      <c r="AO129" s="33">
        <f t="shared" si="304"/>
        <v>-2060</v>
      </c>
      <c r="AP129" s="33">
        <f t="shared" si="304"/>
        <v>-2604</v>
      </c>
      <c r="AQ129" s="33">
        <f t="shared" si="304"/>
        <v>-4180</v>
      </c>
      <c r="AR129" s="33">
        <f t="shared" si="304"/>
        <v>-3168</v>
      </c>
      <c r="AS129" s="144">
        <f t="shared" si="304"/>
        <v>-3581</v>
      </c>
      <c r="AT129" s="11"/>
      <c r="AU129" s="48"/>
    </row>
    <row r="130" spans="2:47">
      <c r="B130" s="138" t="s">
        <v>70</v>
      </c>
      <c r="C130" s="33">
        <f t="shared" ref="C130:I130" si="305">+C121+C111+C103</f>
        <v>1028928</v>
      </c>
      <c r="D130" s="33">
        <f t="shared" si="305"/>
        <v>1231276</v>
      </c>
      <c r="E130" s="33">
        <f t="shared" si="305"/>
        <v>3159034</v>
      </c>
      <c r="F130" s="33">
        <f t="shared" si="305"/>
        <v>-2097019</v>
      </c>
      <c r="G130" s="33">
        <f t="shared" si="305"/>
        <v>-714389</v>
      </c>
      <c r="H130" s="33">
        <f t="shared" si="305"/>
        <v>1865249</v>
      </c>
      <c r="I130" s="33">
        <f t="shared" si="305"/>
        <v>1105153</v>
      </c>
      <c r="J130" s="33"/>
      <c r="K130" s="33">
        <f t="shared" ref="K130:AC130" si="306">+K121+K111+K103</f>
        <v>239721</v>
      </c>
      <c r="L130" s="33">
        <f t="shared" si="306"/>
        <v>-655312</v>
      </c>
      <c r="M130" s="33">
        <f t="shared" si="306"/>
        <v>-187807</v>
      </c>
      <c r="N130" s="33">
        <f t="shared" si="306"/>
        <v>-1493621</v>
      </c>
      <c r="O130" s="33">
        <f t="shared" si="306"/>
        <v>-9162</v>
      </c>
      <c r="P130" s="33">
        <f t="shared" si="306"/>
        <v>-44894</v>
      </c>
      <c r="Q130" s="33">
        <f t="shared" si="306"/>
        <v>475963</v>
      </c>
      <c r="R130" s="33">
        <f t="shared" si="306"/>
        <v>-1136296</v>
      </c>
      <c r="S130" s="33">
        <f t="shared" si="306"/>
        <v>1541014</v>
      </c>
      <c r="T130" s="33">
        <f t="shared" si="306"/>
        <v>888620</v>
      </c>
      <c r="U130" s="33">
        <f t="shared" si="306"/>
        <v>-186722</v>
      </c>
      <c r="V130" s="33">
        <f t="shared" si="306"/>
        <v>-377663</v>
      </c>
      <c r="W130" s="33">
        <f t="shared" si="306"/>
        <v>3864</v>
      </c>
      <c r="X130" s="33">
        <f t="shared" si="306"/>
        <v>-276821</v>
      </c>
      <c r="Y130" s="33">
        <f t="shared" si="306"/>
        <v>678588</v>
      </c>
      <c r="Z130" s="33">
        <f t="shared" si="306"/>
        <v>699522</v>
      </c>
      <c r="AA130" s="33">
        <f t="shared" si="306"/>
        <v>-753455</v>
      </c>
      <c r="AB130" s="33">
        <f t="shared" si="306"/>
        <v>689074</v>
      </c>
      <c r="AC130" s="33">
        <f t="shared" si="306"/>
        <v>1132016</v>
      </c>
      <c r="AD130" s="33"/>
      <c r="AE130" s="33">
        <f t="shared" ref="AE130:AS130" si="307">SUM(L130:O130)</f>
        <v>-2345902</v>
      </c>
      <c r="AF130" s="33">
        <f t="shared" si="307"/>
        <v>-1735484</v>
      </c>
      <c r="AG130" s="33">
        <f t="shared" si="307"/>
        <v>-1071714</v>
      </c>
      <c r="AH130" s="33">
        <f t="shared" si="307"/>
        <v>-714389</v>
      </c>
      <c r="AI130" s="33">
        <f t="shared" si="307"/>
        <v>835787</v>
      </c>
      <c r="AJ130" s="33">
        <f t="shared" si="307"/>
        <v>1769301</v>
      </c>
      <c r="AK130" s="33">
        <f t="shared" si="307"/>
        <v>1106616</v>
      </c>
      <c r="AL130" s="33">
        <f t="shared" si="307"/>
        <v>1865249</v>
      </c>
      <c r="AM130" s="33">
        <f t="shared" si="307"/>
        <v>328099</v>
      </c>
      <c r="AN130" s="33">
        <f t="shared" si="307"/>
        <v>-837342</v>
      </c>
      <c r="AO130" s="33">
        <f t="shared" si="307"/>
        <v>27968</v>
      </c>
      <c r="AP130" s="33">
        <f t="shared" si="307"/>
        <v>1105153</v>
      </c>
      <c r="AQ130" s="33">
        <f t="shared" si="307"/>
        <v>347834</v>
      </c>
      <c r="AR130" s="33">
        <f t="shared" si="307"/>
        <v>1313729</v>
      </c>
      <c r="AS130" s="144">
        <f t="shared" si="307"/>
        <v>1767157</v>
      </c>
      <c r="AT130" s="11"/>
      <c r="AU130" s="48"/>
    </row>
    <row r="131" spans="2:47">
      <c r="B131" s="94" t="s">
        <v>82</v>
      </c>
      <c r="C131" s="90">
        <f t="shared" ref="C131:I131" si="308">SUM(C126:C130)</f>
        <v>3794483</v>
      </c>
      <c r="D131" s="90">
        <f t="shared" si="308"/>
        <v>5018437</v>
      </c>
      <c r="E131" s="90">
        <f t="shared" si="308"/>
        <v>8205550</v>
      </c>
      <c r="F131" s="90">
        <f t="shared" si="308"/>
        <v>6027804</v>
      </c>
      <c r="G131" s="90">
        <f t="shared" si="308"/>
        <v>5147176</v>
      </c>
      <c r="H131" s="90">
        <f t="shared" si="308"/>
        <v>7116913</v>
      </c>
      <c r="I131" s="90">
        <f t="shared" si="308"/>
        <v>7804733</v>
      </c>
      <c r="J131" s="33"/>
      <c r="K131" s="90">
        <f t="shared" ref="K131:AC131" si="309">SUM(K126:K130)</f>
        <v>8403705</v>
      </c>
      <c r="L131" s="90">
        <f t="shared" si="309"/>
        <v>7777530</v>
      </c>
      <c r="M131" s="90">
        <f t="shared" si="309"/>
        <v>7526681</v>
      </c>
      <c r="N131" s="90">
        <f t="shared" si="309"/>
        <v>6027804</v>
      </c>
      <c r="O131" s="90">
        <f t="shared" si="309"/>
        <v>6008946</v>
      </c>
      <c r="P131" s="90">
        <f t="shared" si="309"/>
        <v>5819449</v>
      </c>
      <c r="Q131" s="90">
        <f t="shared" si="309"/>
        <v>6113733</v>
      </c>
      <c r="R131" s="90">
        <f t="shared" si="309"/>
        <v>5147176</v>
      </c>
      <c r="S131" s="90">
        <f t="shared" si="309"/>
        <v>6714594</v>
      </c>
      <c r="T131" s="90">
        <f t="shared" si="309"/>
        <v>7662788</v>
      </c>
      <c r="U131" s="90">
        <f t="shared" si="309"/>
        <v>7353245</v>
      </c>
      <c r="V131" s="90">
        <f t="shared" si="309"/>
        <v>7116913</v>
      </c>
      <c r="W131" s="90">
        <f t="shared" si="309"/>
        <v>7024766</v>
      </c>
      <c r="X131" s="90">
        <f t="shared" si="309"/>
        <v>6624939</v>
      </c>
      <c r="Y131" s="90">
        <f t="shared" si="309"/>
        <v>7457025</v>
      </c>
      <c r="Z131" s="90">
        <f t="shared" si="309"/>
        <v>7804733</v>
      </c>
      <c r="AA131" s="90">
        <f t="shared" si="309"/>
        <v>7199848</v>
      </c>
      <c r="AB131" s="90">
        <f t="shared" si="309"/>
        <v>8177405</v>
      </c>
      <c r="AC131" s="90">
        <f t="shared" si="309"/>
        <v>9287287</v>
      </c>
      <c r="AD131" s="33"/>
      <c r="AE131" s="143">
        <f t="shared" ref="AE131:AG131" si="310">SUM(AE126:AE130)</f>
        <v>6008946</v>
      </c>
      <c r="AF131" s="143">
        <f t="shared" si="310"/>
        <v>5819449</v>
      </c>
      <c r="AG131" s="143">
        <f t="shared" si="310"/>
        <v>6113733</v>
      </c>
      <c r="AH131" s="143">
        <f t="shared" ref="AH131:AS131" si="311">SUM(AH126:AH130)</f>
        <v>5147176</v>
      </c>
      <c r="AI131" s="143">
        <f t="shared" si="311"/>
        <v>6714594</v>
      </c>
      <c r="AJ131" s="143">
        <f t="shared" si="311"/>
        <v>7662788</v>
      </c>
      <c r="AK131" s="143">
        <f t="shared" si="311"/>
        <v>7353245</v>
      </c>
      <c r="AL131" s="143">
        <f t="shared" si="311"/>
        <v>7116913</v>
      </c>
      <c r="AM131" s="143">
        <f t="shared" si="311"/>
        <v>7024766</v>
      </c>
      <c r="AN131" s="143">
        <f t="shared" si="311"/>
        <v>6624939</v>
      </c>
      <c r="AO131" s="143">
        <f t="shared" si="311"/>
        <v>7457025</v>
      </c>
      <c r="AP131" s="143">
        <f t="shared" si="311"/>
        <v>7804733</v>
      </c>
      <c r="AQ131" s="143">
        <f t="shared" si="311"/>
        <v>7199848</v>
      </c>
      <c r="AR131" s="143">
        <f t="shared" si="311"/>
        <v>8177405</v>
      </c>
      <c r="AS131" s="147">
        <f t="shared" si="311"/>
        <v>9287287</v>
      </c>
      <c r="AT131" s="11"/>
      <c r="AU131" s="48"/>
    </row>
    <row r="132" spans="2:47" ht="5.0999999999999996" customHeight="1">
      <c r="B132" s="95"/>
      <c r="C132" s="68"/>
      <c r="D132" s="68"/>
      <c r="E132" s="68"/>
      <c r="F132" s="68"/>
      <c r="G132" s="68"/>
      <c r="H132" s="68"/>
      <c r="I132" s="68"/>
      <c r="J132" s="33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  <c r="AC132" s="68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96"/>
      <c r="AT132" s="11"/>
      <c r="AU132" s="48"/>
    </row>
    <row r="133" spans="2:47">
      <c r="B133" s="150" t="s">
        <v>117</v>
      </c>
      <c r="C133" s="92">
        <f t="shared" ref="C133:I133" si="312">C131-C46</f>
        <v>0</v>
      </c>
      <c r="D133" s="92">
        <f t="shared" si="312"/>
        <v>0</v>
      </c>
      <c r="E133" s="92">
        <f t="shared" si="312"/>
        <v>0</v>
      </c>
      <c r="F133" s="92">
        <f t="shared" si="312"/>
        <v>0</v>
      </c>
      <c r="G133" s="92">
        <f t="shared" si="312"/>
        <v>0</v>
      </c>
      <c r="H133" s="92">
        <f t="shared" si="312"/>
        <v>0</v>
      </c>
      <c r="I133" s="92">
        <f t="shared" si="312"/>
        <v>0</v>
      </c>
      <c r="J133" s="93"/>
      <c r="K133" s="92">
        <f t="shared" ref="K133:AC133" si="313">K131-K46</f>
        <v>0</v>
      </c>
      <c r="L133" s="92">
        <f t="shared" si="313"/>
        <v>0</v>
      </c>
      <c r="M133" s="92">
        <f t="shared" si="313"/>
        <v>0</v>
      </c>
      <c r="N133" s="92">
        <f t="shared" si="313"/>
        <v>0</v>
      </c>
      <c r="O133" s="92">
        <f t="shared" si="313"/>
        <v>0</v>
      </c>
      <c r="P133" s="92">
        <f t="shared" si="313"/>
        <v>0</v>
      </c>
      <c r="Q133" s="92">
        <f t="shared" si="313"/>
        <v>0</v>
      </c>
      <c r="R133" s="92">
        <f t="shared" si="313"/>
        <v>0</v>
      </c>
      <c r="S133" s="92">
        <f t="shared" si="313"/>
        <v>0</v>
      </c>
      <c r="T133" s="92">
        <f t="shared" si="313"/>
        <v>0</v>
      </c>
      <c r="U133" s="92">
        <f t="shared" si="313"/>
        <v>0</v>
      </c>
      <c r="V133" s="92">
        <f t="shared" si="313"/>
        <v>0</v>
      </c>
      <c r="W133" s="92">
        <f t="shared" si="313"/>
        <v>0</v>
      </c>
      <c r="X133" s="92">
        <f t="shared" si="313"/>
        <v>0</v>
      </c>
      <c r="Y133" s="92">
        <f t="shared" si="313"/>
        <v>0</v>
      </c>
      <c r="Z133" s="92">
        <f t="shared" si="313"/>
        <v>0</v>
      </c>
      <c r="AA133" s="92">
        <f t="shared" si="313"/>
        <v>0</v>
      </c>
      <c r="AB133" s="92">
        <f t="shared" si="313"/>
        <v>0</v>
      </c>
      <c r="AC133" s="92">
        <f t="shared" si="313"/>
        <v>0</v>
      </c>
      <c r="AD133" s="92"/>
      <c r="AE133" s="92">
        <f t="shared" ref="AE133:AS133" si="314">AE131-AE46</f>
        <v>0</v>
      </c>
      <c r="AF133" s="92">
        <f t="shared" si="314"/>
        <v>0</v>
      </c>
      <c r="AG133" s="92">
        <f t="shared" si="314"/>
        <v>0</v>
      </c>
      <c r="AH133" s="92">
        <f t="shared" si="314"/>
        <v>0</v>
      </c>
      <c r="AI133" s="92">
        <f t="shared" si="314"/>
        <v>0</v>
      </c>
      <c r="AJ133" s="92">
        <f t="shared" si="314"/>
        <v>0</v>
      </c>
      <c r="AK133" s="92">
        <f t="shared" si="314"/>
        <v>0</v>
      </c>
      <c r="AL133" s="92">
        <f t="shared" si="314"/>
        <v>0</v>
      </c>
      <c r="AM133" s="92">
        <f t="shared" si="314"/>
        <v>0</v>
      </c>
      <c r="AN133" s="92">
        <f t="shared" si="314"/>
        <v>0</v>
      </c>
      <c r="AO133" s="92">
        <f t="shared" si="314"/>
        <v>0</v>
      </c>
      <c r="AP133" s="92">
        <f t="shared" si="314"/>
        <v>0</v>
      </c>
      <c r="AQ133" s="92">
        <f t="shared" si="314"/>
        <v>0</v>
      </c>
      <c r="AR133" s="92">
        <f t="shared" si="314"/>
        <v>0</v>
      </c>
      <c r="AS133" s="148">
        <f t="shared" si="314"/>
        <v>0</v>
      </c>
      <c r="AT133" s="11"/>
      <c r="AU133" s="48"/>
    </row>
    <row r="134" spans="2:47" ht="5.0999999999999996" customHeight="1">
      <c r="B134" s="8"/>
      <c r="C134" s="68"/>
      <c r="D134" s="68"/>
      <c r="E134" s="68"/>
      <c r="F134" s="68"/>
      <c r="G134" s="68"/>
      <c r="H134" s="68"/>
      <c r="I134" s="68"/>
      <c r="J134" s="33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48"/>
    </row>
    <row r="135" spans="2:47" ht="12.75" customHeight="1">
      <c r="B135" s="76" t="s">
        <v>71</v>
      </c>
      <c r="C135" s="65"/>
      <c r="D135" s="65"/>
      <c r="E135" s="65"/>
      <c r="F135" s="65"/>
      <c r="G135" s="65"/>
      <c r="H135" s="65"/>
      <c r="I135" s="65"/>
      <c r="J135" s="11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  <c r="AA135" s="86"/>
      <c r="AB135" s="65"/>
      <c r="AC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9"/>
      <c r="AU135" s="48"/>
    </row>
    <row r="136" spans="2:47" ht="12.75" customHeight="1">
      <c r="B136" s="8" t="s">
        <v>162</v>
      </c>
      <c r="C136" s="128">
        <v>131069</v>
      </c>
      <c r="D136" s="86">
        <v>400658</v>
      </c>
      <c r="E136" s="86">
        <v>291582</v>
      </c>
      <c r="F136" s="86">
        <v>509265</v>
      </c>
      <c r="G136" s="86">
        <v>811720</v>
      </c>
      <c r="H136" s="86">
        <v>1154973</v>
      </c>
      <c r="I136" s="86">
        <v>1641530</v>
      </c>
      <c r="J136" s="11"/>
      <c r="K136" s="65">
        <f>$F$136/4</f>
        <v>127316.25</v>
      </c>
      <c r="L136" s="65">
        <f t="shared" ref="L136:M137" si="315">$F$136/4</f>
        <v>127316.25</v>
      </c>
      <c r="M136" s="65">
        <f t="shared" si="315"/>
        <v>127316.25</v>
      </c>
      <c r="N136" s="33">
        <f t="shared" ref="N136" si="316">SUM(F136-SUM(K136:M136))</f>
        <v>127316.25</v>
      </c>
      <c r="O136" s="65">
        <f>$G$136/4</f>
        <v>202930</v>
      </c>
      <c r="P136" s="65">
        <f t="shared" ref="P136:Q136" si="317">$G$136/4</f>
        <v>202930</v>
      </c>
      <c r="Q136" s="65">
        <f t="shared" si="317"/>
        <v>202930</v>
      </c>
      <c r="R136" s="33">
        <f t="shared" ref="R136" si="318">SUM(G136-SUM(O136:Q136))</f>
        <v>202930</v>
      </c>
      <c r="S136" s="65">
        <f>$H$136/4</f>
        <v>288743.25</v>
      </c>
      <c r="T136" s="65">
        <f t="shared" ref="T136:U136" si="319">$H$136/4</f>
        <v>288743.25</v>
      </c>
      <c r="U136" s="65">
        <f t="shared" si="319"/>
        <v>288743.25</v>
      </c>
      <c r="V136" s="33">
        <f t="shared" ref="V136" si="320">SUM(H136-SUM(S136:U136))</f>
        <v>288743.25</v>
      </c>
      <c r="W136" s="65">
        <f>$I$136/4</f>
        <v>410382.5</v>
      </c>
      <c r="X136" s="65">
        <f t="shared" ref="X136:Y136" si="321">$I$136/4</f>
        <v>410382.5</v>
      </c>
      <c r="Y136" s="65">
        <f t="shared" si="321"/>
        <v>410382.5</v>
      </c>
      <c r="Z136" s="33">
        <f t="shared" ref="Z136" si="322">SUM(I136-SUM(W136:Y136))</f>
        <v>410382.5</v>
      </c>
      <c r="AA136" s="86">
        <f>Z136</f>
        <v>410382.5</v>
      </c>
      <c r="AB136" s="86">
        <f t="shared" ref="AB136:AC136" si="323">AA136</f>
        <v>410382.5</v>
      </c>
      <c r="AC136" s="86">
        <f t="shared" si="323"/>
        <v>410382.5</v>
      </c>
      <c r="AE136" s="33">
        <f t="shared" ref="AE136" si="324">SUM(L136:O136)</f>
        <v>584878.75</v>
      </c>
      <c r="AF136" s="33">
        <f t="shared" ref="AF136" si="325">SUM(M136:P136)</f>
        <v>660492.5</v>
      </c>
      <c r="AG136" s="33">
        <f t="shared" ref="AG136" si="326">SUM(N136:Q136)</f>
        <v>736106.25</v>
      </c>
      <c r="AH136" s="33">
        <f t="shared" ref="AH136" si="327">SUM(O136:R136)</f>
        <v>811720</v>
      </c>
      <c r="AI136" s="33">
        <f t="shared" ref="AI136" si="328">SUM(P136:S136)</f>
        <v>897533.25</v>
      </c>
      <c r="AJ136" s="33">
        <f t="shared" ref="AJ136" si="329">SUM(Q136:T136)</f>
        <v>983346.5</v>
      </c>
      <c r="AK136" s="33">
        <f t="shared" ref="AK136" si="330">SUM(R136:U136)</f>
        <v>1069159.75</v>
      </c>
      <c r="AL136" s="33">
        <f t="shared" ref="AL136" si="331">SUM(S136:V136)</f>
        <v>1154973</v>
      </c>
      <c r="AM136" s="33">
        <f t="shared" ref="AM136" si="332">SUM(T136:W136)</f>
        <v>1276612.25</v>
      </c>
      <c r="AN136" s="33">
        <f t="shared" ref="AN136" si="333">SUM(U136:X136)</f>
        <v>1398251.5</v>
      </c>
      <c r="AO136" s="33">
        <f t="shared" ref="AO136" si="334">SUM(V136:Y136)</f>
        <v>1519890.75</v>
      </c>
      <c r="AP136" s="33">
        <f t="shared" ref="AP136" si="335">SUM(W136:Z136)</f>
        <v>1641530</v>
      </c>
      <c r="AQ136" s="33">
        <f t="shared" ref="AQ136" si="336">SUM(X136:AA136)</f>
        <v>1641530</v>
      </c>
      <c r="AR136" s="33">
        <f t="shared" ref="AR136" si="337">SUM(Y136:AB136)</f>
        <v>1641530</v>
      </c>
      <c r="AS136" s="33">
        <f t="shared" ref="AS136" si="338">SUM(Z136:AC136)</f>
        <v>1641530</v>
      </c>
      <c r="AT136" s="69"/>
      <c r="AU136" s="48"/>
    </row>
    <row r="137" spans="2:47" ht="12.75" customHeight="1">
      <c r="B137" s="8" t="s">
        <v>163</v>
      </c>
      <c r="C137" s="86">
        <v>375831</v>
      </c>
      <c r="D137" s="86">
        <v>599132</v>
      </c>
      <c r="E137" s="86">
        <v>762904</v>
      </c>
      <c r="F137" s="86">
        <v>763432</v>
      </c>
      <c r="G137" s="86">
        <v>701693</v>
      </c>
      <c r="H137" s="86">
        <v>684504</v>
      </c>
      <c r="I137" s="86">
        <v>674502</v>
      </c>
      <c r="J137" s="33"/>
      <c r="K137" s="65">
        <f t="shared" ref="K137" si="339">$F$136/4</f>
        <v>127316.25</v>
      </c>
      <c r="L137" s="65">
        <f t="shared" si="315"/>
        <v>127316.25</v>
      </c>
      <c r="M137" s="65">
        <f t="shared" si="315"/>
        <v>127316.25</v>
      </c>
      <c r="N137" s="33">
        <f>SUM(F137-SUM(K137:M137))</f>
        <v>381483.25</v>
      </c>
      <c r="O137" s="65">
        <f>$G$137/4</f>
        <v>175423.25</v>
      </c>
      <c r="P137" s="65">
        <f t="shared" ref="P137:Q137" si="340">$G$137/4</f>
        <v>175423.25</v>
      </c>
      <c r="Q137" s="65">
        <f t="shared" si="340"/>
        <v>175423.25</v>
      </c>
      <c r="R137" s="33">
        <f>SUM(G137-SUM(O137:Q137))</f>
        <v>175423.25</v>
      </c>
      <c r="S137" s="65">
        <f>$H$137/4</f>
        <v>171126</v>
      </c>
      <c r="T137" s="65">
        <f t="shared" ref="T137:U137" si="341">$H$137/4</f>
        <v>171126</v>
      </c>
      <c r="U137" s="65">
        <f t="shared" si="341"/>
        <v>171126</v>
      </c>
      <c r="V137" s="33">
        <f>SUM(H137-SUM(S137:U137))</f>
        <v>171126</v>
      </c>
      <c r="W137" s="65">
        <f>$I$137/4</f>
        <v>168625.5</v>
      </c>
      <c r="X137" s="65">
        <f t="shared" ref="X137:Y137" si="342">$I$137/4</f>
        <v>168625.5</v>
      </c>
      <c r="Y137" s="65">
        <f t="shared" si="342"/>
        <v>168625.5</v>
      </c>
      <c r="Z137" s="33">
        <f>SUM(I137-SUM(W137:Y137))</f>
        <v>168625.5</v>
      </c>
      <c r="AA137" s="86">
        <f t="shared" ref="AA137:AC137" si="343">Z137</f>
        <v>168625.5</v>
      </c>
      <c r="AB137" s="86">
        <f t="shared" si="343"/>
        <v>168625.5</v>
      </c>
      <c r="AC137" s="86">
        <f t="shared" si="343"/>
        <v>168625.5</v>
      </c>
      <c r="AD137" s="33"/>
      <c r="AE137" s="33">
        <f>SUM(L137:O137)</f>
        <v>811539</v>
      </c>
      <c r="AF137" s="33">
        <f>SUM(M137:P137)</f>
        <v>859646</v>
      </c>
      <c r="AG137" s="33">
        <f>SUM(N137:Q137)</f>
        <v>907753</v>
      </c>
      <c r="AH137" s="33">
        <f>SUM(O137:R137)</f>
        <v>701693</v>
      </c>
      <c r="AI137" s="33">
        <f>SUM(P137:S137)</f>
        <v>697395.75</v>
      </c>
      <c r="AJ137" s="33">
        <f t="shared" ref="AJ137:AS137" si="344">SUM(Q137:T137)</f>
        <v>693098.5</v>
      </c>
      <c r="AK137" s="33">
        <f t="shared" si="344"/>
        <v>688801.25</v>
      </c>
      <c r="AL137" s="33">
        <f t="shared" si="344"/>
        <v>684504</v>
      </c>
      <c r="AM137" s="33">
        <f t="shared" si="344"/>
        <v>682003.5</v>
      </c>
      <c r="AN137" s="33">
        <f t="shared" si="344"/>
        <v>679503</v>
      </c>
      <c r="AO137" s="33">
        <f t="shared" si="344"/>
        <v>677002.5</v>
      </c>
      <c r="AP137" s="33">
        <f t="shared" si="344"/>
        <v>674502</v>
      </c>
      <c r="AQ137" s="33">
        <f t="shared" si="344"/>
        <v>674502</v>
      </c>
      <c r="AR137" s="33">
        <f t="shared" si="344"/>
        <v>674502</v>
      </c>
      <c r="AS137" s="33">
        <f t="shared" si="344"/>
        <v>674502</v>
      </c>
      <c r="AT137" s="11"/>
      <c r="AU137" s="48"/>
    </row>
    <row r="138" spans="2:47" ht="5.0999999999999996" customHeight="1" thickBot="1">
      <c r="B138" s="77"/>
      <c r="C138" s="78"/>
      <c r="D138" s="78"/>
      <c r="E138" s="78"/>
      <c r="F138" s="78"/>
      <c r="G138" s="78"/>
      <c r="H138" s="78"/>
      <c r="I138" s="78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U138" s="48"/>
    </row>
    <row r="139" spans="2:47" ht="12.75" customHeight="1">
      <c r="B139" s="169"/>
      <c r="C139" s="169"/>
      <c r="D139" s="169"/>
      <c r="E139" s="169"/>
      <c r="F139" s="169"/>
      <c r="G139" s="169"/>
      <c r="H139" s="169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  <c r="AA139" s="169"/>
      <c r="AB139" s="169"/>
      <c r="AC139" s="169"/>
      <c r="AD139" s="169"/>
      <c r="AE139" s="169"/>
      <c r="AF139" s="169"/>
      <c r="AG139" s="169"/>
      <c r="AH139" s="169"/>
      <c r="AI139" s="169"/>
      <c r="AJ139" s="169"/>
      <c r="AK139" s="169"/>
      <c r="AL139" s="169"/>
      <c r="AM139" s="169"/>
      <c r="AN139" s="169"/>
      <c r="AO139" s="169"/>
      <c r="AP139" s="169"/>
      <c r="AQ139" s="169"/>
      <c r="AR139" s="169"/>
      <c r="AS139" s="136"/>
      <c r="AU139" s="48"/>
    </row>
    <row r="140" spans="2:47" ht="12.75" customHeight="1">
      <c r="B140" s="56"/>
      <c r="C140" s="70"/>
      <c r="D140" s="70"/>
      <c r="E140" s="70"/>
      <c r="F140" s="70"/>
      <c r="G140" s="70"/>
      <c r="H140" s="70"/>
      <c r="I140" s="70"/>
    </row>
    <row r="141" spans="2:47" ht="12.75" customHeight="1">
      <c r="C141" s="59"/>
      <c r="D141" s="59"/>
      <c r="E141" s="59"/>
      <c r="F141" s="59"/>
      <c r="G141" s="59"/>
      <c r="H141" s="59"/>
      <c r="I141" s="59"/>
    </row>
    <row r="142" spans="2:47" ht="12.75" customHeight="1">
      <c r="C142" s="59"/>
      <c r="D142" s="59"/>
      <c r="E142" s="59"/>
      <c r="F142" s="59"/>
      <c r="G142" s="59"/>
      <c r="H142" s="59"/>
      <c r="I142" s="59"/>
    </row>
    <row r="143" spans="2:47" ht="12.75" customHeight="1">
      <c r="C143" s="59"/>
      <c r="D143" s="59"/>
      <c r="E143" s="59"/>
      <c r="F143" s="59"/>
      <c r="G143" s="59"/>
      <c r="H143" s="59"/>
      <c r="I143" s="59"/>
    </row>
    <row r="144" spans="2:47" ht="12.75" customHeight="1">
      <c r="C144" s="59"/>
      <c r="D144" s="59"/>
      <c r="E144" s="59"/>
      <c r="F144" s="59"/>
      <c r="G144" s="59"/>
      <c r="H144" s="59"/>
      <c r="I144" s="59"/>
    </row>
    <row r="145" spans="3:24" ht="12.75" customHeight="1">
      <c r="C145" s="59"/>
      <c r="D145" s="59"/>
      <c r="E145" s="59"/>
      <c r="F145" s="59"/>
      <c r="G145" s="59"/>
      <c r="H145" s="59"/>
      <c r="I145" s="59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</row>
    <row r="146" spans="3:24" ht="12.75" customHeight="1">
      <c r="C146" s="59"/>
      <c r="D146" s="59"/>
      <c r="E146" s="59"/>
      <c r="F146" s="59"/>
      <c r="G146" s="59"/>
      <c r="H146" s="59"/>
      <c r="I146" s="59"/>
    </row>
    <row r="147" spans="3:24" ht="12.75" customHeight="1">
      <c r="C147" s="59"/>
      <c r="D147" s="59"/>
      <c r="E147" s="59"/>
      <c r="F147" s="59"/>
      <c r="G147" s="59"/>
      <c r="H147" s="59"/>
      <c r="I147" s="59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</row>
    <row r="148" spans="3:24"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</row>
    <row r="149" spans="3:24"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</row>
    <row r="151" spans="3:24"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</row>
    <row r="152" spans="3:24"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</row>
  </sheetData>
  <mergeCells count="4">
    <mergeCell ref="B139:AR139"/>
    <mergeCell ref="AU6:AU8"/>
    <mergeCell ref="AU41:AU43"/>
    <mergeCell ref="AU81:AU83"/>
  </mergeCells>
  <dataValidations count="1">
    <dataValidation type="list" allowBlank="1" showInputMessage="1" showErrorMessage="1" sqref="B4" xr:uid="{95A5AB56-0215-4703-953B-CB353CAB6883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R17:AR18 AR33 J49 AE23:AP24 V106:V110 AE28:AP30" formulaRange="1"/>
    <ignoredError sqref="C17:I18 C23:I24 C28:I30 C32:I34 K17:AC18 K22:AC24 K32:AC34 K28:AC30 AU104:AU105 AU112 AS103:AU103 AS113:AU115 AS112:AT112 AS106:AU111 AS104:AT105" evalError="1"/>
    <ignoredError sqref="K87:R88 AB129 AE128:AS129 Z14 N14 V14 R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77D2-8829-42BE-A7B1-460B1A987ED3}">
  <sheetPr>
    <tabColor rgb="FFC00000"/>
  </sheetPr>
  <dimension ref="A2:AM16"/>
  <sheetViews>
    <sheetView showGridLines="0" zoomScaleNormal="100" workbookViewId="0">
      <selection activeCell="I25" sqref="I25:I26"/>
    </sheetView>
  </sheetViews>
  <sheetFormatPr defaultRowHeight="12" outlineLevelCol="2"/>
  <cols>
    <col min="1" max="1" width="1.5" style="8" customWidth="1"/>
    <col min="2" max="2" width="46.5" style="8" bestFit="1" customWidth="1"/>
    <col min="3" max="5" width="8.625" style="8" hidden="1" customWidth="1" outlineLevel="2"/>
    <col min="6" max="6" width="8.625" style="8" hidden="1" customWidth="1" outlineLevel="1"/>
    <col min="7" max="7" width="8.625" style="8" bestFit="1" customWidth="1" collapsed="1"/>
    <col min="8" max="9" width="8.625" style="8" bestFit="1" customWidth="1"/>
    <col min="10" max="10" width="1.5" style="8" customWidth="1"/>
    <col min="11" max="13" width="7.875" style="8" hidden="1" customWidth="1" outlineLevel="1"/>
    <col min="14" max="14" width="8.75" style="8" hidden="1" customWidth="1" outlineLevel="1"/>
    <col min="15" max="17" width="8" style="8" hidden="1" customWidth="1" outlineLevel="1"/>
    <col min="18" max="18" width="8.75" style="8" hidden="1" customWidth="1" outlineLevel="1"/>
    <col min="19" max="19" width="8.5" style="8" customWidth="1" collapsed="1"/>
    <col min="20" max="20" width="8.25" style="8" bestFit="1" customWidth="1"/>
    <col min="21" max="21" width="8.5" style="8" bestFit="1" customWidth="1"/>
    <col min="22" max="25" width="9.125" style="8" bestFit="1" customWidth="1"/>
    <col min="26" max="26" width="1.5" style="8" customWidth="1"/>
    <col min="27" max="32" width="8.75" style="8" hidden="1" customWidth="1" outlineLevel="1"/>
    <col min="33" max="33" width="8.75" style="8" bestFit="1" customWidth="1" collapsed="1"/>
    <col min="34" max="36" width="8.75" style="8" hidden="1" customWidth="1" outlineLevel="1"/>
    <col min="37" max="37" width="8.75" style="8" bestFit="1" customWidth="1" collapsed="1"/>
    <col min="38" max="38" width="1.5" style="8" customWidth="1"/>
    <col min="39" max="39" width="9.875" style="8" bestFit="1" customWidth="1"/>
    <col min="40" max="16384" width="9" style="8"/>
  </cols>
  <sheetData>
    <row r="2" spans="1:39" s="5" customFormat="1" ht="12.75" customHeight="1">
      <c r="B2" s="1" t="s">
        <v>126</v>
      </c>
      <c r="C2" s="2" t="s">
        <v>0</v>
      </c>
      <c r="D2" s="2"/>
      <c r="E2" s="2"/>
      <c r="F2" s="2"/>
      <c r="G2" s="2" t="s">
        <v>0</v>
      </c>
      <c r="H2" s="2"/>
      <c r="I2" s="2"/>
      <c r="J2" s="3"/>
      <c r="K2" s="2" t="s">
        <v>1</v>
      </c>
      <c r="L2" s="2"/>
      <c r="M2" s="2"/>
      <c r="N2" s="2"/>
      <c r="O2" s="2"/>
      <c r="P2" s="2"/>
      <c r="Q2" s="2"/>
      <c r="R2" s="2"/>
      <c r="S2" s="2" t="s">
        <v>1</v>
      </c>
      <c r="T2" s="2" t="s">
        <v>1</v>
      </c>
      <c r="U2" s="2"/>
      <c r="V2" s="2"/>
      <c r="W2" s="2"/>
      <c r="X2" s="2"/>
      <c r="Y2" s="2"/>
      <c r="Z2" s="3"/>
      <c r="AA2" s="2" t="s">
        <v>10</v>
      </c>
      <c r="AB2" s="2"/>
      <c r="AC2" s="2"/>
      <c r="AD2" s="2"/>
      <c r="AE2" s="2" t="s">
        <v>10</v>
      </c>
      <c r="AF2" s="2"/>
      <c r="AG2" s="2" t="s">
        <v>10</v>
      </c>
      <c r="AH2" s="2"/>
      <c r="AI2" s="2"/>
      <c r="AJ2" s="2"/>
      <c r="AK2" s="2"/>
      <c r="AL2" s="3"/>
      <c r="AM2" s="170" t="s">
        <v>26</v>
      </c>
    </row>
    <row r="3" spans="1:39" s="5" customFormat="1" ht="12.75" customHeight="1">
      <c r="B3" s="6" t="s">
        <v>77</v>
      </c>
      <c r="C3" s="7">
        <f>'Historical Financials'!C7</f>
        <v>2018</v>
      </c>
      <c r="D3" s="7">
        <f>'Historical Financials'!D7</f>
        <v>2019</v>
      </c>
      <c r="E3" s="7">
        <f>'Historical Financials'!E7</f>
        <v>2020</v>
      </c>
      <c r="F3" s="7">
        <f>'Historical Financials'!F7</f>
        <v>2021</v>
      </c>
      <c r="G3" s="7">
        <f>'Historical Financials'!G7</f>
        <v>2022</v>
      </c>
      <c r="H3" s="7">
        <f>'Historical Financials'!H7</f>
        <v>2023</v>
      </c>
      <c r="I3" s="7">
        <f>'Historical Financials'!I7</f>
        <v>2024</v>
      </c>
      <c r="J3" s="3"/>
      <c r="K3" s="7" t="str">
        <f>'Historical Financials'!O7</f>
        <v>1Q22</v>
      </c>
      <c r="L3" s="7" t="str">
        <f>'Historical Financials'!P7</f>
        <v>2Q22</v>
      </c>
      <c r="M3" s="7" t="str">
        <f>'Historical Financials'!Q7</f>
        <v>3Q22</v>
      </c>
      <c r="N3" s="7" t="str">
        <f>'Historical Financials'!R7</f>
        <v>4Q22</v>
      </c>
      <c r="O3" s="7" t="str">
        <f>'Historical Financials'!S7</f>
        <v>1Q23</v>
      </c>
      <c r="P3" s="7" t="str">
        <f>'Historical Financials'!T7</f>
        <v>2Q23</v>
      </c>
      <c r="Q3" s="7" t="str">
        <f>'Historical Financials'!U7</f>
        <v>3Q23</v>
      </c>
      <c r="R3" s="7" t="str">
        <f>'Historical Financials'!V7</f>
        <v>4Q23</v>
      </c>
      <c r="S3" s="7" t="str">
        <f>'Historical Financials'!W7</f>
        <v>1Q24</v>
      </c>
      <c r="T3" s="7" t="str">
        <f>'Historical Financials'!X7</f>
        <v>2Q24</v>
      </c>
      <c r="U3" s="7" t="str">
        <f>'Historical Financials'!Y7</f>
        <v>3Q24</v>
      </c>
      <c r="V3" s="7" t="str">
        <f>'Historical Financials'!Z7</f>
        <v>4Q24</v>
      </c>
      <c r="W3" s="7" t="str">
        <f>'Historical Financials'!AA7</f>
        <v>1Q25</v>
      </c>
      <c r="X3" s="7" t="str">
        <f>'Historical Financials'!AB7</f>
        <v>2Q25</v>
      </c>
      <c r="Y3" s="7" t="str">
        <f>'Historical Financials'!AC7</f>
        <v>3Q25</v>
      </c>
      <c r="Z3" s="4"/>
      <c r="AA3" s="4" t="str">
        <f t="shared" ref="AA3:AJ4" si="0">O3</f>
        <v>1Q23</v>
      </c>
      <c r="AB3" s="4" t="str">
        <f t="shared" si="0"/>
        <v>2Q23</v>
      </c>
      <c r="AC3" s="4" t="str">
        <f t="shared" si="0"/>
        <v>3Q23</v>
      </c>
      <c r="AD3" s="4" t="str">
        <f t="shared" si="0"/>
        <v>4Q23</v>
      </c>
      <c r="AE3" s="4" t="str">
        <f t="shared" si="0"/>
        <v>1Q24</v>
      </c>
      <c r="AF3" s="4" t="str">
        <f t="shared" si="0"/>
        <v>2Q24</v>
      </c>
      <c r="AG3" s="4" t="str">
        <f t="shared" si="0"/>
        <v>3Q24</v>
      </c>
      <c r="AH3" s="4" t="str">
        <f t="shared" si="0"/>
        <v>4Q24</v>
      </c>
      <c r="AI3" s="4" t="str">
        <f t="shared" si="0"/>
        <v>1Q25</v>
      </c>
      <c r="AJ3" s="4" t="str">
        <f t="shared" si="0"/>
        <v>2Q25</v>
      </c>
      <c r="AK3" s="4" t="str">
        <f>Y3</f>
        <v>3Q25</v>
      </c>
      <c r="AL3" s="3"/>
      <c r="AM3" s="170"/>
    </row>
    <row r="4" spans="1:39" s="5" customFormat="1" ht="12.75" customHeight="1">
      <c r="B4" s="6" t="s">
        <v>170</v>
      </c>
      <c r="C4" s="3">
        <f>'Historical Financials'!C8</f>
        <v>43465</v>
      </c>
      <c r="D4" s="3">
        <f>'Historical Financials'!D8</f>
        <v>43830</v>
      </c>
      <c r="E4" s="3">
        <f>'Historical Financials'!E8</f>
        <v>44196</v>
      </c>
      <c r="F4" s="3">
        <f>'Historical Financials'!F8</f>
        <v>44561</v>
      </c>
      <c r="G4" s="3">
        <f>'Historical Financials'!G8</f>
        <v>44926</v>
      </c>
      <c r="H4" s="3">
        <f>'Historical Financials'!H8</f>
        <v>45291</v>
      </c>
      <c r="I4" s="3">
        <f>'Historical Financials'!I8</f>
        <v>45657</v>
      </c>
      <c r="J4" s="3"/>
      <c r="K4" s="3">
        <f>'Historical Financials'!O8</f>
        <v>44651</v>
      </c>
      <c r="L4" s="3">
        <f>'Historical Financials'!P8</f>
        <v>44742</v>
      </c>
      <c r="M4" s="3">
        <f>'Historical Financials'!Q8</f>
        <v>44834</v>
      </c>
      <c r="N4" s="3">
        <f>'Historical Financials'!R8</f>
        <v>44926</v>
      </c>
      <c r="O4" s="3">
        <f>'Historical Financials'!S8</f>
        <v>45016</v>
      </c>
      <c r="P4" s="3">
        <f>'Historical Financials'!T8</f>
        <v>45107</v>
      </c>
      <c r="Q4" s="3">
        <f>'Historical Financials'!U8</f>
        <v>45199</v>
      </c>
      <c r="R4" s="3">
        <f>'Historical Financials'!V8</f>
        <v>45291</v>
      </c>
      <c r="S4" s="3">
        <f>'Historical Financials'!W8</f>
        <v>45382</v>
      </c>
      <c r="T4" s="3">
        <f>'Historical Financials'!X8</f>
        <v>45473</v>
      </c>
      <c r="U4" s="3">
        <f>'Historical Financials'!Y8</f>
        <v>45565</v>
      </c>
      <c r="V4" s="3">
        <f>'Historical Financials'!Z8</f>
        <v>45657</v>
      </c>
      <c r="W4" s="3">
        <f>'Historical Financials'!AA8</f>
        <v>45747</v>
      </c>
      <c r="X4" s="3">
        <f>'Historical Financials'!AB8</f>
        <v>45838</v>
      </c>
      <c r="Y4" s="3">
        <f>'Historical Financials'!AC8</f>
        <v>45930</v>
      </c>
      <c r="Z4" s="3"/>
      <c r="AA4" s="3">
        <f t="shared" si="0"/>
        <v>45016</v>
      </c>
      <c r="AB4" s="3">
        <f t="shared" si="0"/>
        <v>45107</v>
      </c>
      <c r="AC4" s="3">
        <f t="shared" si="0"/>
        <v>45199</v>
      </c>
      <c r="AD4" s="3">
        <f t="shared" si="0"/>
        <v>45291</v>
      </c>
      <c r="AE4" s="3">
        <f t="shared" si="0"/>
        <v>45382</v>
      </c>
      <c r="AF4" s="3">
        <f t="shared" si="0"/>
        <v>45473</v>
      </c>
      <c r="AG4" s="3">
        <f t="shared" si="0"/>
        <v>45565</v>
      </c>
      <c r="AH4" s="3">
        <f t="shared" si="0"/>
        <v>45657</v>
      </c>
      <c r="AI4" s="3">
        <f t="shared" si="0"/>
        <v>45747</v>
      </c>
      <c r="AJ4" s="3">
        <f t="shared" si="0"/>
        <v>45838</v>
      </c>
      <c r="AK4" s="3">
        <f>Y4</f>
        <v>45930</v>
      </c>
      <c r="AL4" s="3"/>
      <c r="AM4" s="170"/>
    </row>
    <row r="5" spans="1:39" ht="5.0999999999999996" customHeight="1"/>
    <row r="6" spans="1:39">
      <c r="A6" s="37" t="s">
        <v>19</v>
      </c>
      <c r="B6" s="1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 ht="5.0999999999999996" customHeight="1"/>
    <row r="8" spans="1:39" ht="12.75" customHeight="1">
      <c r="A8" s="84"/>
      <c r="B8" s="82" t="s">
        <v>112</v>
      </c>
      <c r="C8" s="26"/>
      <c r="D8" s="26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5"/>
      <c r="AA8" s="11"/>
      <c r="AB8" s="11"/>
      <c r="AC8" s="11"/>
      <c r="AD8" s="11"/>
      <c r="AE8" s="11"/>
      <c r="AF8" s="11"/>
      <c r="AG8" s="11"/>
      <c r="AH8" s="11"/>
      <c r="AI8" s="11"/>
      <c r="AJ8" s="11"/>
      <c r="AM8" s="12"/>
    </row>
    <row r="9" spans="1:39" ht="12.75" customHeight="1">
      <c r="B9" s="9" t="s">
        <v>165</v>
      </c>
      <c r="C9" s="85">
        <v>8281532</v>
      </c>
      <c r="D9" s="85">
        <v>10051208</v>
      </c>
      <c r="E9" s="85">
        <v>11455396</v>
      </c>
      <c r="F9" s="85">
        <v>12972100</v>
      </c>
      <c r="G9" s="85">
        <v>14084643</v>
      </c>
      <c r="H9" s="85">
        <v>14873783</v>
      </c>
      <c r="I9" s="85">
        <v>17359369</v>
      </c>
      <c r="J9" s="85"/>
      <c r="K9" s="85">
        <v>3350424</v>
      </c>
      <c r="L9" s="85">
        <v>3537863</v>
      </c>
      <c r="M9" s="85">
        <v>3601565</v>
      </c>
      <c r="N9" s="130">
        <f t="shared" ref="N9:N13" si="1">SUM(G9-SUM(K9:M9))</f>
        <v>3594791</v>
      </c>
      <c r="O9" s="85">
        <v>3608645</v>
      </c>
      <c r="P9" s="85">
        <v>3599448</v>
      </c>
      <c r="Q9" s="85">
        <v>3735133</v>
      </c>
      <c r="R9" s="130">
        <f t="shared" ref="R9:R13" si="2">SUM(H9-SUM(O9:Q9))</f>
        <v>3930557</v>
      </c>
      <c r="S9" s="85">
        <v>4224315</v>
      </c>
      <c r="T9" s="85">
        <v>4295560</v>
      </c>
      <c r="U9" s="85">
        <v>4322476</v>
      </c>
      <c r="V9" s="130">
        <f t="shared" ref="V9:V13" si="3">SUM(I9-SUM(S9:U9))</f>
        <v>4517018</v>
      </c>
      <c r="W9" s="85">
        <v>4617098</v>
      </c>
      <c r="X9" s="85">
        <v>4929003</v>
      </c>
      <c r="Y9" s="85">
        <v>5071781</v>
      </c>
      <c r="Z9" s="11"/>
      <c r="AA9" s="11">
        <f t="shared" ref="AA9:AF9" si="4">SUM(L9:O9)</f>
        <v>14342864</v>
      </c>
      <c r="AB9" s="11">
        <f t="shared" si="4"/>
        <v>14404449</v>
      </c>
      <c r="AC9" s="11">
        <f t="shared" si="4"/>
        <v>14538017</v>
      </c>
      <c r="AD9" s="11">
        <f t="shared" si="4"/>
        <v>14873783</v>
      </c>
      <c r="AE9" s="11">
        <f t="shared" si="4"/>
        <v>15489453</v>
      </c>
      <c r="AF9" s="11">
        <f t="shared" si="4"/>
        <v>16185565</v>
      </c>
      <c r="AG9" s="130">
        <f t="shared" ref="AG9:AK10" si="5">SUM(R9:U9)</f>
        <v>16772908</v>
      </c>
      <c r="AH9" s="130">
        <f t="shared" si="5"/>
        <v>17359369</v>
      </c>
      <c r="AI9" s="130">
        <f t="shared" si="5"/>
        <v>17752152</v>
      </c>
      <c r="AJ9" s="130">
        <f t="shared" si="5"/>
        <v>18385595</v>
      </c>
      <c r="AK9" s="130">
        <f t="shared" si="5"/>
        <v>19134900</v>
      </c>
      <c r="AM9" s="12">
        <f>SUM(AK9/AG9)-1</f>
        <v>0.14082185390869606</v>
      </c>
    </row>
    <row r="10" spans="1:39" ht="12.75" customHeight="1">
      <c r="B10" s="9" t="s">
        <v>166</v>
      </c>
      <c r="C10" s="85">
        <v>3963707</v>
      </c>
      <c r="D10" s="85">
        <v>5543067</v>
      </c>
      <c r="E10" s="85">
        <v>7772252</v>
      </c>
      <c r="F10" s="85">
        <v>9699819</v>
      </c>
      <c r="G10" s="85">
        <v>9745015</v>
      </c>
      <c r="H10" s="85">
        <v>10556487</v>
      </c>
      <c r="I10" s="85">
        <v>12387035</v>
      </c>
      <c r="J10" s="85"/>
      <c r="K10" s="85">
        <v>2561831</v>
      </c>
      <c r="L10" s="85">
        <v>2457235</v>
      </c>
      <c r="M10" s="85">
        <v>2375814</v>
      </c>
      <c r="N10" s="130">
        <f t="shared" si="1"/>
        <v>2350135</v>
      </c>
      <c r="O10" s="85">
        <v>2517641</v>
      </c>
      <c r="P10" s="85">
        <v>2562170</v>
      </c>
      <c r="Q10" s="85">
        <v>2693146</v>
      </c>
      <c r="R10" s="130">
        <f t="shared" si="2"/>
        <v>2783530</v>
      </c>
      <c r="S10" s="85">
        <v>2958193</v>
      </c>
      <c r="T10" s="85">
        <v>3007772</v>
      </c>
      <c r="U10" s="85">
        <v>3133466</v>
      </c>
      <c r="V10" s="130">
        <f t="shared" si="3"/>
        <v>3287604</v>
      </c>
      <c r="W10" s="85">
        <v>3404676</v>
      </c>
      <c r="X10" s="85">
        <v>3538175</v>
      </c>
      <c r="Y10" s="85">
        <v>3699052</v>
      </c>
      <c r="Z10" s="11"/>
      <c r="AA10" s="11"/>
      <c r="AB10" s="11"/>
      <c r="AC10" s="11"/>
      <c r="AD10" s="11"/>
      <c r="AE10" s="11"/>
      <c r="AF10" s="11"/>
      <c r="AG10" s="130">
        <f t="shared" si="5"/>
        <v>11882961</v>
      </c>
      <c r="AH10" s="130">
        <f t="shared" si="5"/>
        <v>12387035</v>
      </c>
      <c r="AI10" s="130">
        <f t="shared" si="5"/>
        <v>12833518</v>
      </c>
      <c r="AJ10" s="130">
        <f t="shared" si="5"/>
        <v>13363921</v>
      </c>
      <c r="AK10" s="130">
        <f t="shared" si="5"/>
        <v>13929507</v>
      </c>
      <c r="AM10" s="12">
        <f>SUM(AK10/AG10)-1</f>
        <v>0.17222525597786609</v>
      </c>
    </row>
    <row r="11" spans="1:39" ht="12.75" customHeight="1">
      <c r="B11" s="9" t="s">
        <v>167</v>
      </c>
      <c r="C11" s="85">
        <v>2237697</v>
      </c>
      <c r="D11" s="85">
        <v>2795434</v>
      </c>
      <c r="E11" s="85">
        <v>3156727</v>
      </c>
      <c r="F11" s="85">
        <v>3576976</v>
      </c>
      <c r="G11" s="85">
        <v>4069973</v>
      </c>
      <c r="H11" s="85">
        <v>4446461</v>
      </c>
      <c r="I11" s="85">
        <v>4839816</v>
      </c>
      <c r="J11" s="85"/>
      <c r="K11" s="85">
        <v>998948</v>
      </c>
      <c r="L11" s="85">
        <v>1030234</v>
      </c>
      <c r="M11" s="85">
        <v>1023945</v>
      </c>
      <c r="N11" s="130">
        <f t="shared" si="1"/>
        <v>1016846</v>
      </c>
      <c r="O11" s="85">
        <v>1070192</v>
      </c>
      <c r="P11" s="85">
        <v>1077435</v>
      </c>
      <c r="Q11" s="85">
        <v>1142811</v>
      </c>
      <c r="R11" s="130">
        <f t="shared" si="2"/>
        <v>1156023</v>
      </c>
      <c r="S11" s="85">
        <v>1165008</v>
      </c>
      <c r="T11" s="85">
        <v>1204145</v>
      </c>
      <c r="U11" s="85">
        <v>1240892</v>
      </c>
      <c r="V11" s="130">
        <f t="shared" si="3"/>
        <v>1229771</v>
      </c>
      <c r="W11" s="85">
        <v>1261934</v>
      </c>
      <c r="X11" s="85">
        <v>1306735</v>
      </c>
      <c r="Y11" s="85">
        <v>1370913</v>
      </c>
      <c r="Z11" s="11"/>
      <c r="AA11" s="11"/>
      <c r="AB11" s="11"/>
      <c r="AC11" s="11"/>
      <c r="AD11" s="11"/>
      <c r="AE11" s="11"/>
      <c r="AF11" s="11"/>
      <c r="AG11" s="130">
        <f t="shared" ref="AG11:AG13" si="6">SUM(R11:U11)</f>
        <v>4766068</v>
      </c>
      <c r="AH11" s="130">
        <f t="shared" ref="AH11:AH13" si="7">SUM(S11:V11)</f>
        <v>4839816</v>
      </c>
      <c r="AI11" s="130">
        <f t="shared" ref="AI11:AI13" si="8">SUM(T11:W11)</f>
        <v>4936742</v>
      </c>
      <c r="AJ11" s="130">
        <f t="shared" ref="AJ11:AJ13" si="9">SUM(U11:X11)</f>
        <v>5039332</v>
      </c>
      <c r="AK11" s="130">
        <f t="shared" ref="AK11:AK13" si="10">SUM(V11:Y11)</f>
        <v>5169353</v>
      </c>
      <c r="AM11" s="12">
        <f t="shared" ref="AM11:AM13" si="11">SUM(AK11/AG11)-1</f>
        <v>8.4615872035396889E-2</v>
      </c>
    </row>
    <row r="12" spans="1:39" ht="12.75" customHeight="1">
      <c r="B12" s="9" t="s">
        <v>168</v>
      </c>
      <c r="C12" s="85">
        <v>945816</v>
      </c>
      <c r="D12" s="85">
        <v>1469521</v>
      </c>
      <c r="E12" s="85">
        <v>2372300</v>
      </c>
      <c r="F12" s="85">
        <v>3266601</v>
      </c>
      <c r="G12" s="85">
        <v>3570221</v>
      </c>
      <c r="H12" s="85">
        <v>3763727</v>
      </c>
      <c r="I12" s="85">
        <v>4414746</v>
      </c>
      <c r="J12" s="85"/>
      <c r="K12" s="85">
        <v>916754</v>
      </c>
      <c r="L12" s="85">
        <v>907719</v>
      </c>
      <c r="M12" s="85">
        <v>889037</v>
      </c>
      <c r="N12" s="130">
        <f t="shared" si="1"/>
        <v>856711</v>
      </c>
      <c r="O12" s="85">
        <v>933523</v>
      </c>
      <c r="P12" s="85">
        <v>919273</v>
      </c>
      <c r="Q12" s="85">
        <v>948216</v>
      </c>
      <c r="R12" s="130">
        <f t="shared" si="2"/>
        <v>962715</v>
      </c>
      <c r="S12" s="85">
        <v>1022924</v>
      </c>
      <c r="T12" s="85">
        <v>1051833</v>
      </c>
      <c r="U12" s="85">
        <v>1127869</v>
      </c>
      <c r="V12" s="130">
        <f t="shared" si="3"/>
        <v>1212120</v>
      </c>
      <c r="W12" s="85">
        <v>1259093</v>
      </c>
      <c r="X12" s="85">
        <v>1305253</v>
      </c>
      <c r="Y12" s="85">
        <v>1368561</v>
      </c>
      <c r="Z12" s="11"/>
      <c r="AA12" s="11"/>
      <c r="AB12" s="11"/>
      <c r="AC12" s="11"/>
      <c r="AD12" s="11"/>
      <c r="AE12" s="11"/>
      <c r="AF12" s="11"/>
      <c r="AG12" s="130">
        <f t="shared" si="6"/>
        <v>4165341</v>
      </c>
      <c r="AH12" s="130">
        <f t="shared" si="7"/>
        <v>4414746</v>
      </c>
      <c r="AI12" s="130">
        <f t="shared" si="8"/>
        <v>4650915</v>
      </c>
      <c r="AJ12" s="130">
        <f t="shared" si="9"/>
        <v>4904335</v>
      </c>
      <c r="AK12" s="130">
        <f t="shared" si="10"/>
        <v>5145027</v>
      </c>
      <c r="AM12" s="12">
        <f t="shared" si="11"/>
        <v>0.23519947106371353</v>
      </c>
    </row>
    <row r="13" spans="1:39" ht="12.75" customHeight="1">
      <c r="B13" s="9" t="s">
        <v>169</v>
      </c>
      <c r="C13" s="85">
        <v>365589</v>
      </c>
      <c r="D13" s="85">
        <v>297217</v>
      </c>
      <c r="E13" s="85">
        <v>239381</v>
      </c>
      <c r="F13" s="85">
        <v>182348</v>
      </c>
      <c r="G13" s="85">
        <v>145698</v>
      </c>
      <c r="H13" s="85">
        <v>82839</v>
      </c>
      <c r="I13" s="85">
        <v>0</v>
      </c>
      <c r="J13" s="85"/>
      <c r="K13" s="85">
        <v>39810</v>
      </c>
      <c r="L13" s="85">
        <v>37090</v>
      </c>
      <c r="M13" s="85">
        <v>35228</v>
      </c>
      <c r="N13" s="130">
        <f t="shared" si="1"/>
        <v>33570</v>
      </c>
      <c r="O13" s="85">
        <v>31502</v>
      </c>
      <c r="P13" s="85">
        <v>28975</v>
      </c>
      <c r="Q13" s="85">
        <v>22362</v>
      </c>
      <c r="R13" s="130">
        <f t="shared" si="2"/>
        <v>0</v>
      </c>
      <c r="S13" s="85">
        <v>0</v>
      </c>
      <c r="T13" s="85">
        <v>0</v>
      </c>
      <c r="U13" s="85">
        <v>0</v>
      </c>
      <c r="V13" s="130">
        <f t="shared" si="3"/>
        <v>0</v>
      </c>
      <c r="W13" s="85">
        <v>0</v>
      </c>
      <c r="X13" s="85">
        <v>0</v>
      </c>
      <c r="Y13" s="85">
        <v>0</v>
      </c>
      <c r="Z13" s="11"/>
      <c r="AA13" s="11"/>
      <c r="AB13" s="11"/>
      <c r="AC13" s="11"/>
      <c r="AD13" s="11"/>
      <c r="AE13" s="11"/>
      <c r="AF13" s="11"/>
      <c r="AG13" s="130">
        <f t="shared" si="6"/>
        <v>0</v>
      </c>
      <c r="AH13" s="130">
        <f t="shared" si="7"/>
        <v>0</v>
      </c>
      <c r="AI13" s="130">
        <f t="shared" si="8"/>
        <v>0</v>
      </c>
      <c r="AJ13" s="130">
        <f t="shared" si="9"/>
        <v>0</v>
      </c>
      <c r="AK13" s="130">
        <f t="shared" si="10"/>
        <v>0</v>
      </c>
      <c r="AM13" s="12" t="e">
        <f t="shared" si="11"/>
        <v>#DIV/0!</v>
      </c>
    </row>
    <row r="14" spans="1:39" ht="12.75" customHeight="1">
      <c r="B14" s="13" t="s">
        <v>78</v>
      </c>
      <c r="C14" s="35">
        <f t="shared" ref="C14:I14" si="12">SUM(C9:C13)</f>
        <v>15794341</v>
      </c>
      <c r="D14" s="35">
        <f t="shared" si="12"/>
        <v>20156447</v>
      </c>
      <c r="E14" s="35">
        <f t="shared" si="12"/>
        <v>24996056</v>
      </c>
      <c r="F14" s="35">
        <f t="shared" si="12"/>
        <v>29697844</v>
      </c>
      <c r="G14" s="35">
        <f t="shared" si="12"/>
        <v>31615550</v>
      </c>
      <c r="H14" s="35">
        <f t="shared" si="12"/>
        <v>33723297</v>
      </c>
      <c r="I14" s="35">
        <f t="shared" si="12"/>
        <v>39000966</v>
      </c>
      <c r="J14" s="11"/>
      <c r="K14" s="35">
        <f t="shared" ref="K14:Y14" si="13">SUM(K9:K13)</f>
        <v>7867767</v>
      </c>
      <c r="L14" s="35">
        <f t="shared" si="13"/>
        <v>7970141</v>
      </c>
      <c r="M14" s="35">
        <f t="shared" si="13"/>
        <v>7925589</v>
      </c>
      <c r="N14" s="35">
        <f t="shared" si="13"/>
        <v>7852053</v>
      </c>
      <c r="O14" s="35">
        <f t="shared" si="13"/>
        <v>8161503</v>
      </c>
      <c r="P14" s="35">
        <f t="shared" si="13"/>
        <v>8187301</v>
      </c>
      <c r="Q14" s="35">
        <f t="shared" si="13"/>
        <v>8541668</v>
      </c>
      <c r="R14" s="35">
        <f t="shared" si="13"/>
        <v>8832825</v>
      </c>
      <c r="S14" s="35">
        <f t="shared" si="13"/>
        <v>9370440</v>
      </c>
      <c r="T14" s="35">
        <f t="shared" si="13"/>
        <v>9559310</v>
      </c>
      <c r="U14" s="35">
        <f t="shared" si="13"/>
        <v>9824703</v>
      </c>
      <c r="V14" s="35">
        <f t="shared" si="13"/>
        <v>10246513</v>
      </c>
      <c r="W14" s="35">
        <f t="shared" si="13"/>
        <v>10542801</v>
      </c>
      <c r="X14" s="35">
        <f t="shared" si="13"/>
        <v>11079166</v>
      </c>
      <c r="Y14" s="35">
        <f t="shared" si="13"/>
        <v>11510307</v>
      </c>
      <c r="Z14" s="5"/>
      <c r="AA14" s="35">
        <f t="shared" ref="AA14:AK14" si="14">SUM(AA9:AA13)</f>
        <v>14342864</v>
      </c>
      <c r="AB14" s="35">
        <f t="shared" si="14"/>
        <v>14404449</v>
      </c>
      <c r="AC14" s="35">
        <f t="shared" si="14"/>
        <v>14538017</v>
      </c>
      <c r="AD14" s="35">
        <f t="shared" si="14"/>
        <v>14873783</v>
      </c>
      <c r="AE14" s="35">
        <f t="shared" si="14"/>
        <v>15489453</v>
      </c>
      <c r="AF14" s="35">
        <f t="shared" si="14"/>
        <v>16185565</v>
      </c>
      <c r="AG14" s="35">
        <f t="shared" si="14"/>
        <v>37587278</v>
      </c>
      <c r="AH14" s="35">
        <f t="shared" si="14"/>
        <v>39000966</v>
      </c>
      <c r="AI14" s="35">
        <f t="shared" si="14"/>
        <v>40173327</v>
      </c>
      <c r="AJ14" s="35">
        <f t="shared" si="14"/>
        <v>41693183</v>
      </c>
      <c r="AK14" s="35">
        <f t="shared" si="14"/>
        <v>43378787</v>
      </c>
      <c r="AM14" s="15">
        <f>SUM(AK14/AG14)-1</f>
        <v>0.15408162836372452</v>
      </c>
    </row>
    <row r="15" spans="1:39">
      <c r="B15" s="139" t="s">
        <v>114</v>
      </c>
      <c r="C15" s="83">
        <f>+C14-'Historical Financials'!C11</f>
        <v>0</v>
      </c>
      <c r="D15" s="83">
        <f>+D14-'Historical Financials'!D11</f>
        <v>0</v>
      </c>
      <c r="E15" s="83">
        <f>+E14-'Historical Financials'!E11</f>
        <v>0</v>
      </c>
      <c r="F15" s="83">
        <f>+F14-'Historical Financials'!F11</f>
        <v>0</v>
      </c>
      <c r="G15" s="83">
        <f>+G14-'Historical Financials'!G11</f>
        <v>0</v>
      </c>
      <c r="H15" s="83">
        <f>+H14-'Historical Financials'!H11</f>
        <v>0</v>
      </c>
      <c r="I15" s="83">
        <f>+I14-'Historical Financials'!I11</f>
        <v>0</v>
      </c>
      <c r="J15" s="11"/>
      <c r="K15" s="83">
        <f>K14-'Historical Financials'!O11</f>
        <v>0</v>
      </c>
      <c r="L15" s="83">
        <f>L14-'Historical Financials'!P11</f>
        <v>0</v>
      </c>
      <c r="M15" s="83">
        <f>M14-'Historical Financials'!Q11</f>
        <v>0</v>
      </c>
      <c r="N15" s="83">
        <f>N14-'Historical Financials'!R11</f>
        <v>0</v>
      </c>
      <c r="O15" s="83">
        <f>O14-'Historical Financials'!S11</f>
        <v>0</v>
      </c>
      <c r="P15" s="83">
        <f>P14-'Historical Financials'!T11</f>
        <v>0</v>
      </c>
      <c r="Q15" s="83">
        <f>Q14-'Historical Financials'!U11</f>
        <v>0</v>
      </c>
      <c r="R15" s="83">
        <f>R14-'Historical Financials'!V11</f>
        <v>0</v>
      </c>
      <c r="S15" s="83">
        <f>S14-'Historical Financials'!W11</f>
        <v>0</v>
      </c>
      <c r="T15" s="83">
        <f>T14-'Historical Financials'!X11</f>
        <v>0</v>
      </c>
      <c r="U15" s="83">
        <f>U14-'Historical Financials'!Y11</f>
        <v>0</v>
      </c>
      <c r="V15" s="83">
        <f>V14-'Historical Financials'!Z11</f>
        <v>0</v>
      </c>
      <c r="W15" s="83">
        <f>W14-'Historical Financials'!AA11</f>
        <v>0</v>
      </c>
      <c r="X15" s="83">
        <f>X14-'Historical Financials'!AB11</f>
        <v>0</v>
      </c>
      <c r="Y15" s="83">
        <f>Y14-'Historical Financials'!AC11</f>
        <v>0</v>
      </c>
      <c r="Z15" s="83"/>
      <c r="AA15" s="83">
        <f>+AA14-'Historical Financials'!AI11</f>
        <v>-17566422</v>
      </c>
      <c r="AB15" s="83">
        <f>+AB14-'Historical Financials'!AJ11</f>
        <v>-17721997</v>
      </c>
      <c r="AC15" s="83">
        <f>+AC14-'Historical Financials'!AK11</f>
        <v>-18204508</v>
      </c>
      <c r="AD15" s="83">
        <f>+AD14-'Historical Financials'!AL11</f>
        <v>-18849514</v>
      </c>
      <c r="AE15" s="83">
        <f>+AE14-'Historical Financials'!AM11</f>
        <v>-19442781</v>
      </c>
      <c r="AF15" s="83">
        <f>+AF14-'Historical Financials'!AN11</f>
        <v>-20118678</v>
      </c>
      <c r="AG15" s="83">
        <f>+AG14-'Historical Financials'!AO11</f>
        <v>0</v>
      </c>
      <c r="AH15" s="83">
        <f>+AH14-'Historical Financials'!AP11</f>
        <v>0</v>
      </c>
      <c r="AI15" s="83">
        <f>+AI14-'Historical Financials'!AQ11</f>
        <v>0</v>
      </c>
      <c r="AJ15" s="83">
        <f>+AJ14-'Historical Financials'!AR11</f>
        <v>0</v>
      </c>
      <c r="AK15" s="83">
        <f>AK14-'Historical Financials'!AS11</f>
        <v>0</v>
      </c>
    </row>
    <row r="16" spans="1:39" ht="5.0999999999999996" customHeight="1">
      <c r="B16" s="19"/>
      <c r="C16" s="19"/>
      <c r="D16" s="19"/>
      <c r="E16" s="20"/>
      <c r="F16" s="20"/>
      <c r="G16" s="20"/>
      <c r="H16" s="20"/>
      <c r="I16" s="20"/>
      <c r="J16" s="21"/>
      <c r="K16" s="22"/>
      <c r="L16" s="22"/>
      <c r="M16" s="22"/>
      <c r="N16" s="23"/>
      <c r="O16" s="22"/>
      <c r="P16" s="22"/>
      <c r="Q16" s="22"/>
      <c r="R16" s="23"/>
      <c r="S16" s="22"/>
      <c r="T16" s="22"/>
      <c r="U16" s="22"/>
      <c r="V16" s="22"/>
      <c r="W16" s="22"/>
      <c r="X16" s="22"/>
      <c r="Y16" s="22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</row>
  </sheetData>
  <mergeCells count="1">
    <mergeCell ref="AM2:AM4"/>
  </mergeCells>
  <dataValidations disablePrompts="1" count="1">
    <dataValidation type="list" allowBlank="1" showInputMessage="1" showErrorMessage="1" sqref="B4" xr:uid="{62176FD9-E514-4BEC-85E1-6C6963572068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M9:AM13" evalErro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C0D2-A617-43BF-9493-F1D2AA08251E}">
  <sheetPr>
    <tabColor theme="6" tint="-0.249977111117893"/>
  </sheetPr>
  <dimension ref="A2:AM84"/>
  <sheetViews>
    <sheetView showGridLines="0" zoomScaleNormal="100" workbookViewId="0">
      <selection activeCell="B2" sqref="B2:AM84"/>
    </sheetView>
  </sheetViews>
  <sheetFormatPr defaultRowHeight="12" outlineLevelCol="2"/>
  <cols>
    <col min="1" max="1" width="1.5" style="8" customWidth="1"/>
    <col min="2" max="2" width="41.625" style="8" customWidth="1"/>
    <col min="3" max="4" width="8.625" style="8" hidden="1" customWidth="1" outlineLevel="1"/>
    <col min="5" max="5" width="9" style="8" bestFit="1" customWidth="1" collapsed="1"/>
    <col min="6" max="6" width="9.25" style="8" bestFit="1" customWidth="1"/>
    <col min="7" max="7" width="9" style="8"/>
    <col min="8" max="8" width="1.5" style="8" customWidth="1"/>
    <col min="9" max="11" width="8" style="8" hidden="1" customWidth="1" outlineLevel="2"/>
    <col min="12" max="12" width="8.625" style="8" hidden="1" customWidth="1" outlineLevel="2"/>
    <col min="13" max="13" width="8" style="8" customWidth="1" outlineLevel="1" collapsed="1"/>
    <col min="14" max="14" width="8" style="8" customWidth="1" outlineLevel="1"/>
    <col min="15" max="18" width="8.875" style="8" customWidth="1" outlineLevel="1"/>
    <col min="19" max="23" width="8.875" style="8" bestFit="1" customWidth="1"/>
    <col min="24" max="24" width="1.625" style="8" customWidth="1"/>
    <col min="25" max="25" width="9" style="8" hidden="1" customWidth="1" outlineLevel="1"/>
    <col min="26" max="26" width="8.625" style="8" hidden="1" customWidth="1" outlineLevel="1"/>
    <col min="27" max="27" width="8.5" style="8" hidden="1" customWidth="1" outlineLevel="1"/>
    <col min="28" max="29" width="8.25" style="8" hidden="1" customWidth="1" outlineLevel="1"/>
    <col min="30" max="30" width="9.25" style="8" hidden="1" customWidth="1" outlineLevel="1"/>
    <col min="31" max="31" width="9.75" style="8" hidden="1" customWidth="1" outlineLevel="1"/>
    <col min="32" max="32" width="9" style="8" hidden="1" customWidth="1" outlineLevel="1"/>
    <col min="33" max="33" width="9" style="8" customWidth="1" collapsed="1"/>
    <col min="34" max="35" width="9" style="8" hidden="1" customWidth="1" outlineLevel="1"/>
    <col min="36" max="36" width="8.5" style="8" hidden="1" customWidth="1" outlineLevel="1"/>
    <col min="37" max="37" width="8.5" style="8" bestFit="1" customWidth="1" collapsed="1"/>
    <col min="38" max="38" width="1.5" style="8" customWidth="1"/>
    <col min="39" max="39" width="9.375" style="135" bestFit="1" customWidth="1"/>
    <col min="40" max="16384" width="9" style="8"/>
  </cols>
  <sheetData>
    <row r="2" spans="2:39" s="5" customFormat="1" ht="12.75" customHeight="1">
      <c r="B2" s="1" t="str">
        <f>'Historical Financials'!B2</f>
        <v>Netflix, Inc. (NASDAQ: NFLX)</v>
      </c>
      <c r="C2" s="2" t="s">
        <v>0</v>
      </c>
      <c r="D2" s="2"/>
      <c r="E2" s="2" t="s">
        <v>0</v>
      </c>
      <c r="F2" s="2"/>
      <c r="G2" s="2"/>
      <c r="H2" s="3"/>
      <c r="I2" s="2" t="s">
        <v>1</v>
      </c>
      <c r="J2" s="2"/>
      <c r="K2" s="2"/>
      <c r="L2" s="2"/>
      <c r="M2" s="2" t="s">
        <v>1</v>
      </c>
      <c r="N2" s="2"/>
      <c r="O2" s="2"/>
      <c r="P2" s="2"/>
      <c r="Q2" s="2"/>
      <c r="R2" s="2"/>
      <c r="S2" s="2" t="s">
        <v>1</v>
      </c>
      <c r="T2" s="2"/>
      <c r="U2" s="2"/>
      <c r="V2" s="2"/>
      <c r="W2" s="2"/>
      <c r="X2" s="3"/>
      <c r="Y2" s="2" t="s">
        <v>10</v>
      </c>
      <c r="Z2" s="2"/>
      <c r="AA2" s="2"/>
      <c r="AB2" s="2"/>
      <c r="AC2" s="2"/>
      <c r="AD2" s="2"/>
      <c r="AE2" s="2"/>
      <c r="AF2" s="2" t="s">
        <v>10</v>
      </c>
      <c r="AG2" s="2" t="s">
        <v>10</v>
      </c>
      <c r="AH2" s="2"/>
      <c r="AI2" s="2"/>
      <c r="AJ2" s="2"/>
      <c r="AK2" s="2"/>
      <c r="AL2" s="3"/>
      <c r="AM2" s="173" t="s">
        <v>26</v>
      </c>
    </row>
    <row r="3" spans="2:39" s="5" customFormat="1" ht="12.75" customHeight="1">
      <c r="B3" s="6" t="s">
        <v>27</v>
      </c>
      <c r="C3" s="7">
        <f>'Historical Financials'!E7</f>
        <v>2020</v>
      </c>
      <c r="D3" s="7">
        <f>'Historical Financials'!F7</f>
        <v>2021</v>
      </c>
      <c r="E3" s="7">
        <f>'Historical Financials'!G7</f>
        <v>2022</v>
      </c>
      <c r="F3" s="7">
        <f>'Historical Financials'!H7</f>
        <v>2023</v>
      </c>
      <c r="G3" s="7">
        <f>'Historical Financials'!I7</f>
        <v>2024</v>
      </c>
      <c r="H3" s="3"/>
      <c r="I3" s="7" t="str">
        <f>'Historical Financials'!O7</f>
        <v>1Q22</v>
      </c>
      <c r="J3" s="7" t="str">
        <f>'Historical Financials'!P7</f>
        <v>2Q22</v>
      </c>
      <c r="K3" s="7" t="str">
        <f>'Historical Financials'!Q7</f>
        <v>3Q22</v>
      </c>
      <c r="L3" s="7" t="str">
        <f>'Historical Financials'!R7</f>
        <v>4Q22</v>
      </c>
      <c r="M3" s="7" t="str">
        <f>'Historical Financials'!S7</f>
        <v>1Q23</v>
      </c>
      <c r="N3" s="7" t="str">
        <f>'Historical Financials'!T7</f>
        <v>2Q23</v>
      </c>
      <c r="O3" s="7" t="str">
        <f>'Historical Financials'!U7</f>
        <v>3Q23</v>
      </c>
      <c r="P3" s="7" t="str">
        <f>'Historical Financials'!V7</f>
        <v>4Q23</v>
      </c>
      <c r="Q3" s="7" t="str">
        <f>'Historical Financials'!W7</f>
        <v>1Q24</v>
      </c>
      <c r="R3" s="7" t="str">
        <f>'Historical Financials'!X7</f>
        <v>2Q24</v>
      </c>
      <c r="S3" s="7" t="str">
        <f>'Historical Financials'!Y7</f>
        <v>3Q24</v>
      </c>
      <c r="T3" s="7" t="str">
        <f>'Historical Financials'!Z7</f>
        <v>4Q24</v>
      </c>
      <c r="U3" s="7" t="str">
        <f>'Historical Financials'!AA7</f>
        <v>1Q25</v>
      </c>
      <c r="V3" s="7" t="str">
        <f>'Historical Financials'!AB7</f>
        <v>2Q25</v>
      </c>
      <c r="W3" s="7" t="str">
        <f>'Historical Financials'!AC7</f>
        <v>3Q25</v>
      </c>
      <c r="X3" s="3"/>
      <c r="Y3" s="4" t="str">
        <f t="shared" ref="Y3:AK4" si="0">K3</f>
        <v>3Q22</v>
      </c>
      <c r="Z3" s="4" t="str">
        <f t="shared" si="0"/>
        <v>4Q22</v>
      </c>
      <c r="AA3" s="4" t="str">
        <f t="shared" si="0"/>
        <v>1Q23</v>
      </c>
      <c r="AB3" s="4" t="str">
        <f t="shared" si="0"/>
        <v>2Q23</v>
      </c>
      <c r="AC3" s="4" t="str">
        <f t="shared" si="0"/>
        <v>3Q23</v>
      </c>
      <c r="AD3" s="4" t="str">
        <f t="shared" si="0"/>
        <v>4Q23</v>
      </c>
      <c r="AE3" s="4" t="str">
        <f t="shared" si="0"/>
        <v>1Q24</v>
      </c>
      <c r="AF3" s="4" t="str">
        <f t="shared" si="0"/>
        <v>2Q24</v>
      </c>
      <c r="AG3" s="4" t="str">
        <f t="shared" si="0"/>
        <v>3Q24</v>
      </c>
      <c r="AH3" s="4" t="str">
        <f t="shared" si="0"/>
        <v>4Q24</v>
      </c>
      <c r="AI3" s="4" t="str">
        <f t="shared" si="0"/>
        <v>1Q25</v>
      </c>
      <c r="AJ3" s="4" t="str">
        <f t="shared" si="0"/>
        <v>2Q25</v>
      </c>
      <c r="AK3" s="4" t="str">
        <f t="shared" si="0"/>
        <v>3Q25</v>
      </c>
      <c r="AL3" s="3"/>
      <c r="AM3" s="173"/>
    </row>
    <row r="4" spans="2:39" s="5" customFormat="1" ht="12.75" customHeight="1">
      <c r="B4" s="6" t="s">
        <v>84</v>
      </c>
      <c r="C4" s="3">
        <f>'Historical Financials'!E8</f>
        <v>44196</v>
      </c>
      <c r="D4" s="3">
        <f>'Historical Financials'!F8</f>
        <v>44561</v>
      </c>
      <c r="E4" s="3">
        <f>'Historical Financials'!G8</f>
        <v>44926</v>
      </c>
      <c r="F4" s="3">
        <f>'Historical Financials'!H8</f>
        <v>45291</v>
      </c>
      <c r="G4" s="3">
        <f>'Historical Financials'!I8</f>
        <v>45657</v>
      </c>
      <c r="H4" s="3"/>
      <c r="I4" s="3">
        <f>'Historical Financials'!O8</f>
        <v>44651</v>
      </c>
      <c r="J4" s="3">
        <f>'Historical Financials'!P8</f>
        <v>44742</v>
      </c>
      <c r="K4" s="3">
        <f>'Historical Financials'!Q8</f>
        <v>44834</v>
      </c>
      <c r="L4" s="3">
        <f>'Historical Financials'!R8</f>
        <v>44926</v>
      </c>
      <c r="M4" s="3">
        <f>'Historical Financials'!S8</f>
        <v>45016</v>
      </c>
      <c r="N4" s="3">
        <f>'Historical Financials'!T8</f>
        <v>45107</v>
      </c>
      <c r="O4" s="3">
        <f>'Historical Financials'!U8</f>
        <v>45199</v>
      </c>
      <c r="P4" s="3">
        <f>'Historical Financials'!V8</f>
        <v>45291</v>
      </c>
      <c r="Q4" s="3">
        <f>'Historical Financials'!W8</f>
        <v>45382</v>
      </c>
      <c r="R4" s="3">
        <f>'Historical Financials'!X8</f>
        <v>45473</v>
      </c>
      <c r="S4" s="3">
        <f>'Historical Financials'!Y8</f>
        <v>45565</v>
      </c>
      <c r="T4" s="3">
        <f>'Historical Financials'!Z8</f>
        <v>45657</v>
      </c>
      <c r="U4" s="3">
        <f>'Historical Financials'!AA8</f>
        <v>45747</v>
      </c>
      <c r="V4" s="3">
        <f>'Historical Financials'!AB8</f>
        <v>45838</v>
      </c>
      <c r="W4" s="3">
        <f>'Historical Financials'!AC8</f>
        <v>45930</v>
      </c>
      <c r="X4" s="3"/>
      <c r="Y4" s="3">
        <f t="shared" si="0"/>
        <v>44834</v>
      </c>
      <c r="Z4" s="3">
        <f t="shared" si="0"/>
        <v>44926</v>
      </c>
      <c r="AA4" s="3">
        <f t="shared" si="0"/>
        <v>45016</v>
      </c>
      <c r="AB4" s="3">
        <f t="shared" si="0"/>
        <v>45107</v>
      </c>
      <c r="AC4" s="3">
        <f t="shared" si="0"/>
        <v>45199</v>
      </c>
      <c r="AD4" s="3">
        <f t="shared" si="0"/>
        <v>45291</v>
      </c>
      <c r="AE4" s="3">
        <f t="shared" si="0"/>
        <v>45382</v>
      </c>
      <c r="AF4" s="3">
        <f t="shared" si="0"/>
        <v>45473</v>
      </c>
      <c r="AG4" s="3">
        <f t="shared" si="0"/>
        <v>45565</v>
      </c>
      <c r="AH4" s="3">
        <f t="shared" si="0"/>
        <v>45657</v>
      </c>
      <c r="AI4" s="3">
        <f t="shared" si="0"/>
        <v>45747</v>
      </c>
      <c r="AJ4" s="3">
        <f t="shared" si="0"/>
        <v>45838</v>
      </c>
      <c r="AK4" s="3">
        <f t="shared" si="0"/>
        <v>45930</v>
      </c>
      <c r="AL4" s="3"/>
      <c r="AM4" s="173"/>
    </row>
    <row r="5" spans="2:39" ht="5.0999999999999996" customHeight="1">
      <c r="AM5" s="131"/>
    </row>
    <row r="6" spans="2:39" ht="12.75" customHeight="1">
      <c r="B6" s="9" t="str">
        <f>'Revenue Drivers'!B9</f>
        <v>UCAN Revenue</v>
      </c>
      <c r="C6" s="99">
        <f>('Revenue Drivers'!E9)/1000</f>
        <v>11455.396000000001</v>
      </c>
      <c r="D6" s="99">
        <f>('Revenue Drivers'!F9)/1000</f>
        <v>12972.1</v>
      </c>
      <c r="E6" s="99">
        <f>('Revenue Drivers'!G9)/1000</f>
        <v>14084.643</v>
      </c>
      <c r="F6" s="99">
        <f>('Revenue Drivers'!H9)/1000</f>
        <v>14873.782999999999</v>
      </c>
      <c r="G6" s="99">
        <f>('Revenue Drivers'!I9)/1000</f>
        <v>17359.368999999999</v>
      </c>
      <c r="H6" s="10"/>
      <c r="I6" s="99">
        <f>('Revenue Drivers'!K9)/1000</f>
        <v>3350.424</v>
      </c>
      <c r="J6" s="99">
        <f>('Revenue Drivers'!L9)/1000</f>
        <v>3537.8629999999998</v>
      </c>
      <c r="K6" s="99">
        <f>('Revenue Drivers'!M9)/1000</f>
        <v>3601.5650000000001</v>
      </c>
      <c r="L6" s="99">
        <f>('Revenue Drivers'!N9)/1000</f>
        <v>3594.7910000000002</v>
      </c>
      <c r="M6" s="99">
        <f>('Revenue Drivers'!O9)/1000</f>
        <v>3608.645</v>
      </c>
      <c r="N6" s="99">
        <f>('Revenue Drivers'!P9)/1000</f>
        <v>3599.4479999999999</v>
      </c>
      <c r="O6" s="99">
        <f>('Revenue Drivers'!Q9)/1000</f>
        <v>3735.1329999999998</v>
      </c>
      <c r="P6" s="99">
        <f>('Revenue Drivers'!R9)/1000</f>
        <v>3930.5569999999998</v>
      </c>
      <c r="Q6" s="99">
        <f>('Revenue Drivers'!S9)/1000</f>
        <v>4224.3149999999996</v>
      </c>
      <c r="R6" s="99">
        <f>('Revenue Drivers'!T9)/1000</f>
        <v>4295.5600000000004</v>
      </c>
      <c r="S6" s="99">
        <f>('Revenue Drivers'!U9)/1000</f>
        <v>4322.4759999999997</v>
      </c>
      <c r="T6" s="99">
        <f>('Revenue Drivers'!V9)/1000</f>
        <v>4517.018</v>
      </c>
      <c r="U6" s="99">
        <f>('Revenue Drivers'!W9)/1000</f>
        <v>4617.098</v>
      </c>
      <c r="V6" s="99">
        <f>('Revenue Drivers'!X9)/1000</f>
        <v>4929.0029999999997</v>
      </c>
      <c r="W6" s="99">
        <f>('Revenue Drivers'!Y9)/1000</f>
        <v>5071.7809999999999</v>
      </c>
      <c r="X6" s="5"/>
      <c r="Y6" s="10">
        <f t="shared" ref="Y6:AK6" si="1">SUM(H6:K6)</f>
        <v>10489.852000000001</v>
      </c>
      <c r="Z6" s="10">
        <f t="shared" si="1"/>
        <v>14084.643</v>
      </c>
      <c r="AA6" s="10">
        <f t="shared" si="1"/>
        <v>14342.864000000001</v>
      </c>
      <c r="AB6" s="10">
        <f t="shared" si="1"/>
        <v>14404.449000000001</v>
      </c>
      <c r="AC6" s="10">
        <f t="shared" si="1"/>
        <v>14538.017</v>
      </c>
      <c r="AD6" s="10">
        <f t="shared" si="1"/>
        <v>14873.782999999999</v>
      </c>
      <c r="AE6" s="10">
        <f t="shared" si="1"/>
        <v>15489.452999999998</v>
      </c>
      <c r="AF6" s="10">
        <f t="shared" si="1"/>
        <v>16185.564999999999</v>
      </c>
      <c r="AG6" s="154">
        <f t="shared" si="1"/>
        <v>16772.907999999999</v>
      </c>
      <c r="AH6" s="154">
        <f t="shared" si="1"/>
        <v>17359.368999999999</v>
      </c>
      <c r="AI6" s="154">
        <f t="shared" si="1"/>
        <v>17752.152000000002</v>
      </c>
      <c r="AJ6" s="154">
        <f t="shared" si="1"/>
        <v>18385.594999999998</v>
      </c>
      <c r="AK6" s="154">
        <f t="shared" si="1"/>
        <v>19134.899999999998</v>
      </c>
      <c r="AM6" s="132">
        <f t="shared" ref="AM6:AM11" si="2">SUM(AK6/AG6)-1</f>
        <v>0.14082185390869606</v>
      </c>
    </row>
    <row r="7" spans="2:39" ht="12.75" customHeight="1">
      <c r="B7" s="9" t="str">
        <f>'Revenue Drivers'!B10</f>
        <v>EMEA Revenue</v>
      </c>
      <c r="C7" s="99">
        <f>('Revenue Drivers'!E10)/1000</f>
        <v>7772.2520000000004</v>
      </c>
      <c r="D7" s="99">
        <f>('Revenue Drivers'!F10)/1000</f>
        <v>9699.8189999999995</v>
      </c>
      <c r="E7" s="99">
        <f>('Revenue Drivers'!G10)/1000</f>
        <v>9745.0149999999994</v>
      </c>
      <c r="F7" s="99">
        <f>('Revenue Drivers'!H10)/1000</f>
        <v>10556.486999999999</v>
      </c>
      <c r="G7" s="99">
        <f>('Revenue Drivers'!I10)/1000</f>
        <v>12387.035</v>
      </c>
      <c r="H7" s="10"/>
      <c r="I7" s="99">
        <f>('Revenue Drivers'!K10)/1000</f>
        <v>2561.8310000000001</v>
      </c>
      <c r="J7" s="99">
        <f>('Revenue Drivers'!L10)/1000</f>
        <v>2457.2350000000001</v>
      </c>
      <c r="K7" s="99">
        <f>('Revenue Drivers'!M10)/1000</f>
        <v>2375.8139999999999</v>
      </c>
      <c r="L7" s="99">
        <f>('Revenue Drivers'!N10)/1000</f>
        <v>2350.1350000000002</v>
      </c>
      <c r="M7" s="99">
        <f>('Revenue Drivers'!O10)/1000</f>
        <v>2517.6410000000001</v>
      </c>
      <c r="N7" s="99">
        <f>('Revenue Drivers'!P10)/1000</f>
        <v>2562.17</v>
      </c>
      <c r="O7" s="99">
        <f>('Revenue Drivers'!Q10)/1000</f>
        <v>2693.1460000000002</v>
      </c>
      <c r="P7" s="99">
        <f>('Revenue Drivers'!R10)/1000</f>
        <v>2783.53</v>
      </c>
      <c r="Q7" s="99">
        <f>('Revenue Drivers'!S10)/1000</f>
        <v>2958.1930000000002</v>
      </c>
      <c r="R7" s="99">
        <f>('Revenue Drivers'!T10)/1000</f>
        <v>3007.7719999999999</v>
      </c>
      <c r="S7" s="99">
        <f>('Revenue Drivers'!U10)/1000</f>
        <v>3133.4659999999999</v>
      </c>
      <c r="T7" s="99">
        <f>('Revenue Drivers'!V10)/1000</f>
        <v>3287.6039999999998</v>
      </c>
      <c r="U7" s="99">
        <f>('Revenue Drivers'!W10)/1000</f>
        <v>3404.6759999999999</v>
      </c>
      <c r="V7" s="99">
        <f>('Revenue Drivers'!X10)/1000</f>
        <v>3538.1750000000002</v>
      </c>
      <c r="W7" s="99">
        <f>('Revenue Drivers'!Y10)/1000</f>
        <v>3699.0520000000001</v>
      </c>
      <c r="X7" s="5"/>
      <c r="Y7" s="10"/>
      <c r="Z7" s="10"/>
      <c r="AA7" s="10"/>
      <c r="AB7" s="10"/>
      <c r="AC7" s="10"/>
      <c r="AD7" s="10"/>
      <c r="AE7" s="10"/>
      <c r="AF7" s="10"/>
      <c r="AG7" s="154">
        <f t="shared" ref="AG7:AK9" si="3">SUM(P7:S7)</f>
        <v>11882.960999999999</v>
      </c>
      <c r="AH7" s="154">
        <f t="shared" si="3"/>
        <v>12387.035</v>
      </c>
      <c r="AI7" s="154">
        <f t="shared" si="3"/>
        <v>12833.517999999998</v>
      </c>
      <c r="AJ7" s="154">
        <f t="shared" si="3"/>
        <v>13363.920999999998</v>
      </c>
      <c r="AK7" s="154">
        <f t="shared" si="3"/>
        <v>13929.507</v>
      </c>
      <c r="AM7" s="132">
        <f t="shared" si="2"/>
        <v>0.17222525597786609</v>
      </c>
    </row>
    <row r="8" spans="2:39" ht="12.75" customHeight="1">
      <c r="B8" s="9" t="str">
        <f>'Revenue Drivers'!B11</f>
        <v>LATAM Revenue</v>
      </c>
      <c r="C8" s="99">
        <f>('Revenue Drivers'!E11)/1000</f>
        <v>3156.7269999999999</v>
      </c>
      <c r="D8" s="99">
        <f>('Revenue Drivers'!F11)/1000</f>
        <v>3576.9760000000001</v>
      </c>
      <c r="E8" s="99">
        <f>('Revenue Drivers'!G11)/1000</f>
        <v>4069.973</v>
      </c>
      <c r="F8" s="99">
        <f>('Revenue Drivers'!H11)/1000</f>
        <v>4446.4610000000002</v>
      </c>
      <c r="G8" s="99">
        <f>('Revenue Drivers'!I11)/1000</f>
        <v>4839.8159999999998</v>
      </c>
      <c r="H8" s="10"/>
      <c r="I8" s="99">
        <f>('Revenue Drivers'!K11)/1000</f>
        <v>998.94799999999998</v>
      </c>
      <c r="J8" s="99">
        <f>('Revenue Drivers'!L11)/1000</f>
        <v>1030.2339999999999</v>
      </c>
      <c r="K8" s="99">
        <f>('Revenue Drivers'!M11)/1000</f>
        <v>1023.9450000000001</v>
      </c>
      <c r="L8" s="99">
        <f>('Revenue Drivers'!N11)/1000</f>
        <v>1016.846</v>
      </c>
      <c r="M8" s="99">
        <f>('Revenue Drivers'!O11)/1000</f>
        <v>1070.192</v>
      </c>
      <c r="N8" s="99">
        <f>('Revenue Drivers'!P11)/1000</f>
        <v>1077.4349999999999</v>
      </c>
      <c r="O8" s="99">
        <f>('Revenue Drivers'!Q11)/1000</f>
        <v>1142.8109999999999</v>
      </c>
      <c r="P8" s="99">
        <f>('Revenue Drivers'!R11)/1000</f>
        <v>1156.0229999999999</v>
      </c>
      <c r="Q8" s="99">
        <f>('Revenue Drivers'!S11)/1000</f>
        <v>1165.008</v>
      </c>
      <c r="R8" s="99">
        <f>('Revenue Drivers'!T11)/1000</f>
        <v>1204.145</v>
      </c>
      <c r="S8" s="99">
        <f>('Revenue Drivers'!U11)/1000</f>
        <v>1240.8920000000001</v>
      </c>
      <c r="T8" s="99">
        <f>('Revenue Drivers'!V11)/1000</f>
        <v>1229.771</v>
      </c>
      <c r="U8" s="99">
        <f>('Revenue Drivers'!W11)/1000</f>
        <v>1261.934</v>
      </c>
      <c r="V8" s="99">
        <f>('Revenue Drivers'!X11)/1000</f>
        <v>1306.7349999999999</v>
      </c>
      <c r="W8" s="99">
        <f>('Revenue Drivers'!Y11)/1000</f>
        <v>1370.913</v>
      </c>
      <c r="X8" s="5"/>
      <c r="Y8" s="10"/>
      <c r="Z8" s="10"/>
      <c r="AA8" s="10"/>
      <c r="AB8" s="10"/>
      <c r="AC8" s="10"/>
      <c r="AD8" s="10"/>
      <c r="AE8" s="10"/>
      <c r="AF8" s="10"/>
      <c r="AG8" s="154">
        <f t="shared" si="3"/>
        <v>4766.0680000000002</v>
      </c>
      <c r="AH8" s="154">
        <f t="shared" si="3"/>
        <v>4839.8159999999998</v>
      </c>
      <c r="AI8" s="154">
        <f t="shared" si="3"/>
        <v>4936.7420000000002</v>
      </c>
      <c r="AJ8" s="154">
        <f t="shared" si="3"/>
        <v>5039.3319999999994</v>
      </c>
      <c r="AK8" s="154">
        <f t="shared" si="3"/>
        <v>5169.3529999999992</v>
      </c>
      <c r="AM8" s="132">
        <f t="shared" si="2"/>
        <v>8.4615872035396666E-2</v>
      </c>
    </row>
    <row r="9" spans="2:39" ht="12.75" customHeight="1">
      <c r="B9" s="9" t="str">
        <f>'Revenue Drivers'!B12</f>
        <v>APAC Revenue</v>
      </c>
      <c r="C9" s="99">
        <f>('Revenue Drivers'!E12)/1000</f>
        <v>2372.3000000000002</v>
      </c>
      <c r="D9" s="99">
        <f>('Revenue Drivers'!F12)/1000</f>
        <v>3266.6010000000001</v>
      </c>
      <c r="E9" s="99">
        <f>('Revenue Drivers'!G12)/1000</f>
        <v>3570.221</v>
      </c>
      <c r="F9" s="99">
        <f>('Revenue Drivers'!H12)/1000</f>
        <v>3763.7269999999999</v>
      </c>
      <c r="G9" s="99">
        <f>('Revenue Drivers'!I12)/1000</f>
        <v>4414.7460000000001</v>
      </c>
      <c r="H9" s="10"/>
      <c r="I9" s="99">
        <f>('Revenue Drivers'!K12)/1000</f>
        <v>916.75400000000002</v>
      </c>
      <c r="J9" s="99">
        <f>('Revenue Drivers'!L12)/1000</f>
        <v>907.71900000000005</v>
      </c>
      <c r="K9" s="99">
        <f>('Revenue Drivers'!M12)/1000</f>
        <v>889.03700000000003</v>
      </c>
      <c r="L9" s="99">
        <f>('Revenue Drivers'!N12)/1000</f>
        <v>856.71100000000001</v>
      </c>
      <c r="M9" s="99">
        <f>('Revenue Drivers'!O12)/1000</f>
        <v>933.52300000000002</v>
      </c>
      <c r="N9" s="99">
        <f>('Revenue Drivers'!P12)/1000</f>
        <v>919.27300000000002</v>
      </c>
      <c r="O9" s="99">
        <f>('Revenue Drivers'!Q12)/1000</f>
        <v>948.21600000000001</v>
      </c>
      <c r="P9" s="99">
        <f>('Revenue Drivers'!R12)/1000</f>
        <v>962.71500000000003</v>
      </c>
      <c r="Q9" s="99">
        <f>('Revenue Drivers'!S12)/1000</f>
        <v>1022.924</v>
      </c>
      <c r="R9" s="99">
        <f>('Revenue Drivers'!T12)/1000</f>
        <v>1051.8330000000001</v>
      </c>
      <c r="S9" s="99">
        <f>('Revenue Drivers'!U12)/1000</f>
        <v>1127.8689999999999</v>
      </c>
      <c r="T9" s="99">
        <f>('Revenue Drivers'!V12)/1000</f>
        <v>1212.1199999999999</v>
      </c>
      <c r="U9" s="99">
        <f>('Revenue Drivers'!W12)/1000</f>
        <v>1259.0930000000001</v>
      </c>
      <c r="V9" s="99">
        <f>('Revenue Drivers'!X12)/1000</f>
        <v>1305.2529999999999</v>
      </c>
      <c r="W9" s="99">
        <f>('Revenue Drivers'!Y12)/1000</f>
        <v>1368.5609999999999</v>
      </c>
      <c r="X9" s="5"/>
      <c r="Y9" s="10"/>
      <c r="Z9" s="10"/>
      <c r="AA9" s="10"/>
      <c r="AB9" s="10"/>
      <c r="AC9" s="10"/>
      <c r="AD9" s="10"/>
      <c r="AE9" s="10"/>
      <c r="AF9" s="10"/>
      <c r="AG9" s="154">
        <f t="shared" si="3"/>
        <v>4165.3410000000003</v>
      </c>
      <c r="AH9" s="154">
        <f t="shared" si="3"/>
        <v>4414.7460000000001</v>
      </c>
      <c r="AI9" s="154">
        <f t="shared" si="3"/>
        <v>4650.915</v>
      </c>
      <c r="AJ9" s="154">
        <f t="shared" si="3"/>
        <v>4904.3349999999991</v>
      </c>
      <c r="AK9" s="154">
        <f t="shared" si="3"/>
        <v>5145.0269999999991</v>
      </c>
      <c r="AM9" s="132">
        <f t="shared" si="2"/>
        <v>0.23519947106371331</v>
      </c>
    </row>
    <row r="10" spans="2:39" ht="12.75" customHeight="1">
      <c r="B10" s="9" t="str">
        <f>'Revenue Drivers'!B13</f>
        <v>Domestic DVD Revenue</v>
      </c>
      <c r="C10" s="99">
        <f>('Revenue Drivers'!E13)/1000</f>
        <v>239.381</v>
      </c>
      <c r="D10" s="99">
        <f>('Revenue Drivers'!F13)/1000</f>
        <v>182.34800000000001</v>
      </c>
      <c r="E10" s="99">
        <f>('Revenue Drivers'!G13)/1000</f>
        <v>145.69800000000001</v>
      </c>
      <c r="F10" s="99">
        <f>('Revenue Drivers'!H13)/1000</f>
        <v>82.838999999999999</v>
      </c>
      <c r="G10" s="99">
        <f>('Revenue Drivers'!I13)/1000</f>
        <v>0</v>
      </c>
      <c r="H10" s="10"/>
      <c r="I10" s="99">
        <f>('Revenue Drivers'!K13)/1000</f>
        <v>39.81</v>
      </c>
      <c r="J10" s="99">
        <f>('Revenue Drivers'!L13)/1000</f>
        <v>37.090000000000003</v>
      </c>
      <c r="K10" s="99">
        <f>('Revenue Drivers'!M13)/1000</f>
        <v>35.228000000000002</v>
      </c>
      <c r="L10" s="99">
        <f>('Revenue Drivers'!N13)/1000</f>
        <v>33.57</v>
      </c>
      <c r="M10" s="99">
        <f>('Revenue Drivers'!O13)/1000</f>
        <v>31.501999999999999</v>
      </c>
      <c r="N10" s="99">
        <f>('Revenue Drivers'!P13)/1000</f>
        <v>28.975000000000001</v>
      </c>
      <c r="O10" s="99">
        <f>('Revenue Drivers'!Q13)/1000</f>
        <v>22.361999999999998</v>
      </c>
      <c r="P10" s="99">
        <f>('Revenue Drivers'!R13)/1000</f>
        <v>0</v>
      </c>
      <c r="Q10" s="99">
        <f>('Revenue Drivers'!S13)/1000</f>
        <v>0</v>
      </c>
      <c r="R10" s="99">
        <f>('Revenue Drivers'!T13)/1000</f>
        <v>0</v>
      </c>
      <c r="S10" s="99">
        <f>('Revenue Drivers'!U13)/1000</f>
        <v>0</v>
      </c>
      <c r="T10" s="99">
        <f>('Revenue Drivers'!V13)/1000</f>
        <v>0</v>
      </c>
      <c r="U10" s="99">
        <f>('Revenue Drivers'!W13)/1000</f>
        <v>0</v>
      </c>
      <c r="V10" s="99">
        <f>('Revenue Drivers'!X13)/1000</f>
        <v>0</v>
      </c>
      <c r="W10" s="99">
        <f>('Revenue Drivers'!Y13)/1000</f>
        <v>0</v>
      </c>
      <c r="X10" s="5"/>
      <c r="Y10" s="10"/>
      <c r="Z10" s="10"/>
      <c r="AA10" s="10"/>
      <c r="AB10" s="10"/>
      <c r="AC10" s="10"/>
      <c r="AD10" s="10"/>
      <c r="AE10" s="10"/>
      <c r="AF10" s="10"/>
      <c r="AG10" s="154">
        <f t="shared" ref="AG10" si="4">SUM(P10:S10)</f>
        <v>0</v>
      </c>
      <c r="AH10" s="154">
        <f t="shared" ref="AH10" si="5">SUM(Q10:T10)</f>
        <v>0</v>
      </c>
      <c r="AI10" s="154">
        <f t="shared" ref="AI10" si="6">SUM(R10:U10)</f>
        <v>0</v>
      </c>
      <c r="AJ10" s="154">
        <f t="shared" ref="AJ10" si="7">SUM(S10:V10)</f>
        <v>0</v>
      </c>
      <c r="AK10" s="154">
        <f t="shared" ref="AK10" si="8">SUM(T10:W10)</f>
        <v>0</v>
      </c>
      <c r="AM10" s="132" t="e">
        <f t="shared" si="2"/>
        <v>#DIV/0!</v>
      </c>
    </row>
    <row r="11" spans="2:39" ht="12.75" customHeight="1">
      <c r="B11" s="13" t="s">
        <v>12</v>
      </c>
      <c r="C11" s="14">
        <f>SUM(C6:C10)</f>
        <v>24996.056</v>
      </c>
      <c r="D11" s="14">
        <f t="shared" ref="D11:G11" si="9">SUM(D6:D10)</f>
        <v>29697.844000000001</v>
      </c>
      <c r="E11" s="14">
        <f t="shared" si="9"/>
        <v>31615.550000000003</v>
      </c>
      <c r="F11" s="14">
        <f t="shared" si="9"/>
        <v>33723.296999999999</v>
      </c>
      <c r="G11" s="14">
        <f t="shared" si="9"/>
        <v>39000.966</v>
      </c>
      <c r="H11" s="10"/>
      <c r="I11" s="14">
        <f t="shared" ref="I11" si="10">SUM(I6:I10)</f>
        <v>7867.7670000000007</v>
      </c>
      <c r="J11" s="14">
        <f t="shared" ref="J11" si="11">SUM(J6:J10)</f>
        <v>7970.1410000000005</v>
      </c>
      <c r="K11" s="14">
        <f t="shared" ref="K11" si="12">SUM(K6:K10)</f>
        <v>7925.5889999999999</v>
      </c>
      <c r="L11" s="14">
        <f t="shared" ref="L11" si="13">SUM(L6:L10)</f>
        <v>7852.0530000000008</v>
      </c>
      <c r="M11" s="14">
        <f t="shared" ref="M11" si="14">SUM(M6:M10)</f>
        <v>8161.5030000000006</v>
      </c>
      <c r="N11" s="14">
        <f t="shared" ref="N11" si="15">SUM(N6:N10)</f>
        <v>8187.3010000000004</v>
      </c>
      <c r="O11" s="14">
        <f t="shared" ref="O11" si="16">SUM(O6:O10)</f>
        <v>8541.6679999999997</v>
      </c>
      <c r="P11" s="14">
        <f t="shared" ref="P11" si="17">SUM(P6:P10)</f>
        <v>8832.8249999999989</v>
      </c>
      <c r="Q11" s="14">
        <f t="shared" ref="Q11" si="18">SUM(Q6:Q10)</f>
        <v>9370.4399999999987</v>
      </c>
      <c r="R11" s="14">
        <f t="shared" ref="R11" si="19">SUM(R6:R10)</f>
        <v>9559.3100000000013</v>
      </c>
      <c r="S11" s="14">
        <f t="shared" ref="S11" si="20">SUM(S6:S10)</f>
        <v>9824.7029999999995</v>
      </c>
      <c r="T11" s="14">
        <f t="shared" ref="T11" si="21">SUM(T6:T10)</f>
        <v>10246.512999999999</v>
      </c>
      <c r="U11" s="14">
        <f t="shared" ref="U11" si="22">SUM(U6:U10)</f>
        <v>10542.800999999999</v>
      </c>
      <c r="V11" s="14">
        <f t="shared" ref="V11" si="23">SUM(V6:V10)</f>
        <v>11079.166000000001</v>
      </c>
      <c r="W11" s="14">
        <f t="shared" ref="W11" si="24">SUM(W6:W10)</f>
        <v>11510.307000000001</v>
      </c>
      <c r="X11" s="5"/>
      <c r="Y11" s="14">
        <f t="shared" ref="Y11" si="25">SUM(Y6:Y10)</f>
        <v>10489.852000000001</v>
      </c>
      <c r="Z11" s="14">
        <f t="shared" ref="Z11" si="26">SUM(Z6:Z10)</f>
        <v>14084.643</v>
      </c>
      <c r="AA11" s="14">
        <f t="shared" ref="AA11" si="27">SUM(AA6:AA10)</f>
        <v>14342.864000000001</v>
      </c>
      <c r="AB11" s="14">
        <f t="shared" ref="AB11" si="28">SUM(AB6:AB10)</f>
        <v>14404.449000000001</v>
      </c>
      <c r="AC11" s="14">
        <f t="shared" ref="AC11" si="29">SUM(AC6:AC10)</f>
        <v>14538.017</v>
      </c>
      <c r="AD11" s="14">
        <f t="shared" ref="AD11" si="30">SUM(AD6:AD10)</f>
        <v>14873.782999999999</v>
      </c>
      <c r="AE11" s="14">
        <f t="shared" ref="AE11" si="31">SUM(AE6:AE10)</f>
        <v>15489.452999999998</v>
      </c>
      <c r="AF11" s="14">
        <f t="shared" ref="AF11" si="32">SUM(AF6:AF10)</f>
        <v>16185.564999999999</v>
      </c>
      <c r="AG11" s="14">
        <f t="shared" ref="AG11" si="33">SUM(AG6:AG10)</f>
        <v>37587.277999999998</v>
      </c>
      <c r="AH11" s="14">
        <f t="shared" ref="AH11" si="34">SUM(AH6:AH10)</f>
        <v>39000.966</v>
      </c>
      <c r="AI11" s="14">
        <f t="shared" ref="AI11" si="35">SUM(AI6:AI10)</f>
        <v>40173.326999999997</v>
      </c>
      <c r="AJ11" s="14">
        <f t="shared" ref="AJ11" si="36">SUM(AJ6:AJ10)</f>
        <v>41693.182999999997</v>
      </c>
      <c r="AK11" s="14">
        <f t="shared" ref="AK11" si="37">SUM(AK6:AK10)</f>
        <v>43378.786999999997</v>
      </c>
      <c r="AM11" s="133">
        <f t="shared" si="2"/>
        <v>0.15408162836372452</v>
      </c>
    </row>
    <row r="12" spans="2:39" ht="12.75" customHeight="1">
      <c r="B12" s="16" t="s">
        <v>34</v>
      </c>
      <c r="C12" s="17"/>
      <c r="D12" s="18">
        <f>SUM(D11/C11)-1</f>
        <v>0.18810119484449861</v>
      </c>
      <c r="E12" s="18">
        <f>SUM(E11/D11)-1</f>
        <v>6.4573913176997122E-2</v>
      </c>
      <c r="F12" s="18">
        <f>SUM(F11/E11)-1</f>
        <v>6.6668047843545297E-2</v>
      </c>
      <c r="G12" s="18">
        <f>SUM(G11/F11)-1</f>
        <v>0.15649919994477424</v>
      </c>
      <c r="H12" s="11"/>
      <c r="I12" s="17"/>
      <c r="J12" s="17"/>
      <c r="K12" s="17"/>
      <c r="L12" s="17"/>
      <c r="M12" s="18">
        <f>SUM(M11/I11)-1</f>
        <v>3.7334100005757653E-2</v>
      </c>
      <c r="N12" s="18">
        <f t="shared" ref="N12:W12" si="38">SUM(N11/J11)-1</f>
        <v>2.7246694882813172E-2</v>
      </c>
      <c r="O12" s="18">
        <f t="shared" si="38"/>
        <v>7.773289783257753E-2</v>
      </c>
      <c r="P12" s="18">
        <f t="shared" si="38"/>
        <v>0.12490644166563802</v>
      </c>
      <c r="Q12" s="18">
        <f t="shared" si="38"/>
        <v>0.14812676047536799</v>
      </c>
      <c r="R12" s="18">
        <f t="shared" si="38"/>
        <v>0.16757769135396394</v>
      </c>
      <c r="S12" s="18">
        <f t="shared" si="38"/>
        <v>0.15020895216250496</v>
      </c>
      <c r="T12" s="18">
        <f t="shared" si="38"/>
        <v>0.16004936133117087</v>
      </c>
      <c r="U12" s="18">
        <f t="shared" si="38"/>
        <v>0.12511269481475806</v>
      </c>
      <c r="V12" s="18">
        <f t="shared" si="38"/>
        <v>0.15899222851858541</v>
      </c>
      <c r="W12" s="18">
        <f t="shared" si="38"/>
        <v>0.17156793442000251</v>
      </c>
      <c r="X12" s="5"/>
      <c r="Y12" s="120"/>
      <c r="Z12" s="120"/>
      <c r="AA12" s="120"/>
      <c r="AB12" s="120"/>
      <c r="AC12" s="18">
        <f t="shared" ref="AC12:AK12" si="39">SUM(AC11/Y11)-1</f>
        <v>0.38591249905146419</v>
      </c>
      <c r="AD12" s="18">
        <f t="shared" si="39"/>
        <v>5.6028399157862951E-2</v>
      </c>
      <c r="AE12" s="18">
        <f t="shared" si="39"/>
        <v>7.9941425924417553E-2</v>
      </c>
      <c r="AF12" s="18">
        <f t="shared" si="39"/>
        <v>0.12365040828705065</v>
      </c>
      <c r="AG12" s="18">
        <f t="shared" si="39"/>
        <v>1.5854473825419242</v>
      </c>
      <c r="AH12" s="18">
        <f t="shared" si="39"/>
        <v>1.6221282104223249</v>
      </c>
      <c r="AI12" s="18">
        <f t="shared" si="39"/>
        <v>1.5935923624933692</v>
      </c>
      <c r="AJ12" s="18">
        <f t="shared" si="39"/>
        <v>1.5759485689872426</v>
      </c>
      <c r="AK12" s="18">
        <f t="shared" si="39"/>
        <v>0.15408162836372452</v>
      </c>
      <c r="AM12" s="134">
        <f>SUM(AK12-AG12)*10000</f>
        <v>-14313.657541781997</v>
      </c>
    </row>
    <row r="13" spans="2:39" ht="12.75" customHeight="1">
      <c r="B13" s="16" t="s">
        <v>35</v>
      </c>
      <c r="C13" s="18" t="s">
        <v>36</v>
      </c>
      <c r="D13" s="18" t="s">
        <v>36</v>
      </c>
      <c r="E13" s="18" t="s">
        <v>36</v>
      </c>
      <c r="F13" s="18" t="s">
        <v>36</v>
      </c>
      <c r="G13" s="18" t="s">
        <v>36</v>
      </c>
      <c r="H13" s="11"/>
      <c r="I13" s="17"/>
      <c r="J13" s="18">
        <f>SUM(J11/I11)-1</f>
        <v>1.3011824066472721E-2</v>
      </c>
      <c r="K13" s="18">
        <f t="shared" ref="K13:W13" si="40">SUM(K11/J11)-1</f>
        <v>-5.5898634666564639E-3</v>
      </c>
      <c r="L13" s="18">
        <f t="shared" si="40"/>
        <v>-9.2783009565596819E-3</v>
      </c>
      <c r="M13" s="18">
        <f t="shared" si="40"/>
        <v>3.9410075301325564E-2</v>
      </c>
      <c r="N13" s="18">
        <f t="shared" si="40"/>
        <v>3.1609373910663763E-3</v>
      </c>
      <c r="O13" s="18">
        <f t="shared" si="40"/>
        <v>4.3282517645314211E-2</v>
      </c>
      <c r="P13" s="18">
        <f t="shared" si="40"/>
        <v>3.4086667849885899E-2</v>
      </c>
      <c r="Q13" s="18">
        <f t="shared" si="40"/>
        <v>6.0865578113457497E-2</v>
      </c>
      <c r="R13" s="18">
        <f t="shared" si="40"/>
        <v>2.0155937181178585E-2</v>
      </c>
      <c r="S13" s="18">
        <f t="shared" si="40"/>
        <v>2.7762777857397447E-2</v>
      </c>
      <c r="T13" s="18">
        <f t="shared" si="40"/>
        <v>4.293361336215451E-2</v>
      </c>
      <c r="U13" s="18">
        <f t="shared" si="40"/>
        <v>2.8915983417968638E-2</v>
      </c>
      <c r="V13" s="18">
        <f t="shared" si="40"/>
        <v>5.0874999917005059E-2</v>
      </c>
      <c r="W13" s="18">
        <f t="shared" si="40"/>
        <v>3.8914571728593916E-2</v>
      </c>
      <c r="X13" s="5"/>
      <c r="Y13" s="18" t="s">
        <v>36</v>
      </c>
      <c r="Z13" s="18" t="s">
        <v>36</v>
      </c>
      <c r="AA13" s="18" t="s">
        <v>36</v>
      </c>
      <c r="AB13" s="18" t="s">
        <v>36</v>
      </c>
      <c r="AC13" s="18" t="s">
        <v>36</v>
      </c>
      <c r="AD13" s="18" t="s">
        <v>36</v>
      </c>
      <c r="AE13" s="18" t="s">
        <v>36</v>
      </c>
      <c r="AF13" s="18" t="s">
        <v>36</v>
      </c>
      <c r="AG13" s="18" t="s">
        <v>36</v>
      </c>
      <c r="AH13" s="18" t="s">
        <v>36</v>
      </c>
      <c r="AI13" s="18" t="s">
        <v>36</v>
      </c>
      <c r="AJ13" s="18" t="s">
        <v>36</v>
      </c>
      <c r="AK13" s="18" t="s">
        <v>36</v>
      </c>
      <c r="AM13" s="131"/>
    </row>
    <row r="14" spans="2:39" ht="5.0999999999999996" customHeight="1">
      <c r="B14" s="19"/>
      <c r="C14" s="99"/>
      <c r="D14" s="20"/>
      <c r="E14" s="20"/>
      <c r="F14" s="20"/>
      <c r="G14" s="20"/>
      <c r="H14" s="21"/>
      <c r="I14" s="22"/>
      <c r="J14" s="22"/>
      <c r="K14" s="22"/>
      <c r="L14" s="23"/>
      <c r="M14" s="22"/>
      <c r="N14" s="22"/>
      <c r="O14" s="22"/>
      <c r="P14" s="23"/>
      <c r="Q14" s="22"/>
      <c r="R14" s="22"/>
      <c r="S14" s="22"/>
      <c r="T14" s="22"/>
      <c r="U14" s="22"/>
      <c r="V14" s="22"/>
      <c r="W14" s="22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M14" s="131"/>
    </row>
    <row r="15" spans="2:39" ht="12.75" customHeight="1">
      <c r="B15" s="24" t="s">
        <v>171</v>
      </c>
      <c r="C15" s="99">
        <f>('Historical Financials'!E13)/1000</f>
        <v>-10806.912</v>
      </c>
      <c r="D15" s="99">
        <f>('Historical Financials'!F13)/1000</f>
        <v>-12230.367</v>
      </c>
      <c r="E15" s="99">
        <f>('Historical Financials'!G13)/1000</f>
        <v>-14026.132</v>
      </c>
      <c r="F15" s="99">
        <f>('Historical Financials'!H13)/1000</f>
        <v>-14197.437</v>
      </c>
      <c r="G15" s="99">
        <f>('Historical Financials'!I13)/1000</f>
        <v>-15301.517</v>
      </c>
      <c r="H15" s="10"/>
      <c r="I15" s="99">
        <f>('Historical Financials'!O13)/1000</f>
        <v>-3166.3649999999998</v>
      </c>
      <c r="J15" s="99">
        <f>('Historical Financials'!P13)/1000</f>
        <v>-3261.348</v>
      </c>
      <c r="K15" s="99">
        <f>('Historical Financials'!Q13)/1000</f>
        <v>-3653.5920000000001</v>
      </c>
      <c r="L15" s="99">
        <f>('Historical Financials'!R13)/1000</f>
        <v>-3944.8270000000002</v>
      </c>
      <c r="M15" s="99">
        <f>('Historical Financials'!S13)/1000</f>
        <v>-3459.9839999999999</v>
      </c>
      <c r="N15" s="99">
        <f>('Historical Financials'!T13)/1000</f>
        <v>-3410.0210000000002</v>
      </c>
      <c r="O15" s="99">
        <f>('Historical Financials'!U13)/1000</f>
        <v>-3573.3530000000001</v>
      </c>
      <c r="P15" s="99">
        <f>('Historical Financials'!V13)/1000</f>
        <v>-3754.0790000000002</v>
      </c>
      <c r="Q15" s="99">
        <f>('Historical Financials'!W13)/1000</f>
        <v>-3670.8049999999998</v>
      </c>
      <c r="R15" s="99">
        <f>('Historical Financials'!X13)/1000</f>
        <v>-3769.69</v>
      </c>
      <c r="S15" s="99">
        <f>('Historical Financials'!Y13)/1000</f>
        <v>-3699.5210000000002</v>
      </c>
      <c r="T15" s="99">
        <f>('Historical Financials'!Z13)/1000</f>
        <v>-4161.5010000000002</v>
      </c>
      <c r="U15" s="99">
        <f>('Historical Financials'!AA13)/1000</f>
        <v>-3823.1120000000001</v>
      </c>
      <c r="V15" s="99">
        <f>('Historical Financials'!AB13)/1000</f>
        <v>-3832.0740000000001</v>
      </c>
      <c r="W15" s="99">
        <f>('Historical Financials'!AC13)/1000</f>
        <v>-4002.7440000000001</v>
      </c>
      <c r="X15" s="5"/>
      <c r="Y15" s="10">
        <f t="shared" ref="Y15:AK15" si="41">SUM(H15:K15)</f>
        <v>-10081.305</v>
      </c>
      <c r="Z15" s="10">
        <f t="shared" si="41"/>
        <v>-14026.132000000001</v>
      </c>
      <c r="AA15" s="10">
        <f t="shared" si="41"/>
        <v>-14319.751</v>
      </c>
      <c r="AB15" s="10">
        <f t="shared" si="41"/>
        <v>-14468.424000000001</v>
      </c>
      <c r="AC15" s="10">
        <f t="shared" si="41"/>
        <v>-14388.185000000001</v>
      </c>
      <c r="AD15" s="10">
        <f t="shared" si="41"/>
        <v>-14197.437</v>
      </c>
      <c r="AE15" s="10">
        <f t="shared" si="41"/>
        <v>-14408.258</v>
      </c>
      <c r="AF15" s="10">
        <f t="shared" si="41"/>
        <v>-14767.927000000001</v>
      </c>
      <c r="AG15" s="154">
        <f t="shared" si="41"/>
        <v>-14894.095000000001</v>
      </c>
      <c r="AH15" s="154">
        <f t="shared" si="41"/>
        <v>-15301.517</v>
      </c>
      <c r="AI15" s="154">
        <f t="shared" si="41"/>
        <v>-15453.824000000001</v>
      </c>
      <c r="AJ15" s="154">
        <f t="shared" si="41"/>
        <v>-15516.208000000002</v>
      </c>
      <c r="AK15" s="154">
        <f t="shared" si="41"/>
        <v>-15819.431</v>
      </c>
      <c r="AM15" s="132">
        <f>SUM(AK15/AG15)-1</f>
        <v>6.2127709001453146E-2</v>
      </c>
    </row>
    <row r="16" spans="2:39" ht="12.75" customHeight="1">
      <c r="B16" s="24" t="s">
        <v>172</v>
      </c>
      <c r="C16" s="99">
        <f>('Historical Financials'!E14)/1000</f>
        <v>-4469.4070000000002</v>
      </c>
      <c r="D16" s="99">
        <f>('Historical Financials'!F14)/1000</f>
        <v>-5102.3159999999998</v>
      </c>
      <c r="E16" s="99">
        <f>('Historical Financials'!G14)/1000</f>
        <v>-5142.1530000000002</v>
      </c>
      <c r="F16" s="99">
        <f>('Historical Financials'!H14)/1000</f>
        <v>-5517.9309999999996</v>
      </c>
      <c r="G16" s="99">
        <f>('Historical Financials'!I14)/1000</f>
        <v>-5736.9470000000001</v>
      </c>
      <c r="H16" s="10"/>
      <c r="I16" s="99">
        <f>('Historical Financials'!O14)/1000</f>
        <v>-1118.3399999999999</v>
      </c>
      <c r="J16" s="99">
        <f>('Historical Financials'!P14)/1000</f>
        <v>-1429.4069999999999</v>
      </c>
      <c r="K16" s="99">
        <f>('Historical Financials'!Q14)/1000</f>
        <v>-1135.0730000000001</v>
      </c>
      <c r="L16" s="99">
        <f>('Historical Financials'!R14)/1000</f>
        <v>-1459.3330000000001</v>
      </c>
      <c r="M16" s="99">
        <f>('Historical Financials'!S14)/1000</f>
        <v>-1343.6410000000001</v>
      </c>
      <c r="N16" s="99">
        <f>('Historical Financials'!T14)/1000</f>
        <v>-1263.4490000000001</v>
      </c>
      <c r="O16" s="99">
        <f>('Historical Financials'!U14)/1000</f>
        <v>-1357.4349999999999</v>
      </c>
      <c r="P16" s="99">
        <f>('Historical Financials'!V14)/1000</f>
        <v>-1553.4059999999999</v>
      </c>
      <c r="Q16" s="99">
        <f>('Historical Financials'!W14)/1000</f>
        <v>-1306.268</v>
      </c>
      <c r="R16" s="99">
        <f>('Historical Financials'!X14)/1000</f>
        <v>-1404.453</v>
      </c>
      <c r="S16" s="99">
        <f>('Historical Financials'!Y14)/1000</f>
        <v>-1420.3630000000001</v>
      </c>
      <c r="T16" s="99">
        <f>('Historical Financials'!Z14)/1000</f>
        <v>-1605.8630000000001</v>
      </c>
      <c r="U16" s="99">
        <f>('Historical Financials'!AA14)/1000</f>
        <v>-1440.0350000000001</v>
      </c>
      <c r="V16" s="99">
        <f>('Historical Financials'!AB14)/1000</f>
        <v>-1493.2370000000001</v>
      </c>
      <c r="W16" s="99">
        <f>('Historical Financials'!AC14)/1000</f>
        <v>-2161.5059999999999</v>
      </c>
      <c r="X16" s="5"/>
      <c r="Y16" s="10"/>
      <c r="Z16" s="10"/>
      <c r="AA16" s="10"/>
      <c r="AB16" s="10"/>
      <c r="AC16" s="10"/>
      <c r="AD16" s="10"/>
      <c r="AE16" s="10"/>
      <c r="AF16" s="10"/>
      <c r="AG16" s="154">
        <f t="shared" ref="AG16" si="42">SUM(P16:S16)</f>
        <v>-5684.4900000000007</v>
      </c>
      <c r="AH16" s="154">
        <f t="shared" ref="AH16" si="43">SUM(Q16:T16)</f>
        <v>-5736.9470000000001</v>
      </c>
      <c r="AI16" s="154">
        <f t="shared" ref="AI16" si="44">SUM(R16:U16)</f>
        <v>-5870.7139999999999</v>
      </c>
      <c r="AJ16" s="154">
        <f t="shared" ref="AJ16" si="45">SUM(S16:V16)</f>
        <v>-5959.4980000000005</v>
      </c>
      <c r="AK16" s="154">
        <f t="shared" ref="AK16" si="46">SUM(T16:W16)</f>
        <v>-6700.6409999999996</v>
      </c>
      <c r="AM16" s="132"/>
    </row>
    <row r="17" spans="2:39" ht="12.75" customHeight="1">
      <c r="B17" s="26" t="s">
        <v>24</v>
      </c>
      <c r="C17" s="27">
        <f>SUM(C11+SUM(C15:C16))</f>
        <v>9719.737000000001</v>
      </c>
      <c r="D17" s="27">
        <f t="shared" ref="D17:G17" si="47">SUM(D11+SUM(D15:D16))</f>
        <v>12365.161</v>
      </c>
      <c r="E17" s="27">
        <f t="shared" si="47"/>
        <v>12447.265000000003</v>
      </c>
      <c r="F17" s="27">
        <f t="shared" si="47"/>
        <v>14007.929</v>
      </c>
      <c r="G17" s="27">
        <f t="shared" si="47"/>
        <v>17962.502</v>
      </c>
      <c r="H17" s="5"/>
      <c r="I17" s="27">
        <f t="shared" ref="I17" si="48">SUM(I11+SUM(I15:I16))</f>
        <v>3583.0620000000008</v>
      </c>
      <c r="J17" s="27">
        <f t="shared" ref="J17" si="49">SUM(J11+SUM(J15:J16))</f>
        <v>3279.3860000000004</v>
      </c>
      <c r="K17" s="27">
        <f t="shared" ref="K17" si="50">SUM(K11+SUM(K15:K16))</f>
        <v>3136.924</v>
      </c>
      <c r="L17" s="27">
        <f t="shared" ref="L17" si="51">SUM(L11+SUM(L15:L16))</f>
        <v>2447.8930000000009</v>
      </c>
      <c r="M17" s="27">
        <f t="shared" ref="M17" si="52">SUM(M11+SUM(M15:M16))</f>
        <v>3357.8780000000006</v>
      </c>
      <c r="N17" s="27">
        <f t="shared" ref="N17" si="53">SUM(N11+SUM(N15:N16))</f>
        <v>3513.8310000000001</v>
      </c>
      <c r="O17" s="27">
        <f t="shared" ref="O17" si="54">SUM(O11+SUM(O15:O16))</f>
        <v>3610.8799999999992</v>
      </c>
      <c r="P17" s="27">
        <f t="shared" ref="P17" si="55">SUM(P11+SUM(P15:P16))</f>
        <v>3525.3399999999983</v>
      </c>
      <c r="Q17" s="27">
        <f t="shared" ref="Q17" si="56">SUM(Q11+SUM(Q15:Q16))</f>
        <v>4393.3669999999984</v>
      </c>
      <c r="R17" s="27">
        <f t="shared" ref="R17" si="57">SUM(R11+SUM(R15:R16))</f>
        <v>4385.1670000000013</v>
      </c>
      <c r="S17" s="27">
        <f t="shared" ref="S17" si="58">SUM(S11+SUM(S15:S16))</f>
        <v>4704.8189999999995</v>
      </c>
      <c r="T17" s="27">
        <f t="shared" ref="T17" si="59">SUM(T11+SUM(T15:T16))</f>
        <v>4479.1489999999985</v>
      </c>
      <c r="U17" s="27">
        <f t="shared" ref="U17" si="60">SUM(U11+SUM(U15:U16))</f>
        <v>5279.6539999999995</v>
      </c>
      <c r="V17" s="27">
        <f t="shared" ref="V17" si="61">SUM(V11+SUM(V15:V16))</f>
        <v>5753.8550000000014</v>
      </c>
      <c r="W17" s="27">
        <f t="shared" ref="W17" si="62">SUM(W11+SUM(W15:W16))</f>
        <v>5346.0570000000007</v>
      </c>
      <c r="X17" s="5"/>
      <c r="Y17" s="27">
        <f t="shared" ref="Y17" si="63">SUM(Y11+SUM(Y15:Y16))</f>
        <v>408.54700000000048</v>
      </c>
      <c r="Z17" s="27">
        <f t="shared" ref="Z17" si="64">SUM(Z11+SUM(Z15:Z16))</f>
        <v>58.510999999998603</v>
      </c>
      <c r="AA17" s="27">
        <f t="shared" ref="AA17" si="65">SUM(AA11+SUM(AA15:AA16))</f>
        <v>23.113000000001193</v>
      </c>
      <c r="AB17" s="27">
        <f t="shared" ref="AB17" si="66">SUM(AB11+SUM(AB15:AB16))</f>
        <v>-63.975000000000364</v>
      </c>
      <c r="AC17" s="27">
        <f t="shared" ref="AC17" si="67">SUM(AC11+SUM(AC15:AC16))</f>
        <v>149.83199999999852</v>
      </c>
      <c r="AD17" s="27">
        <f t="shared" ref="AD17" si="68">SUM(AD11+SUM(AD15:AD16))</f>
        <v>676.34599999999955</v>
      </c>
      <c r="AE17" s="27">
        <f t="shared" ref="AE17" si="69">SUM(AE11+SUM(AE15:AE16))</f>
        <v>1081.1949999999979</v>
      </c>
      <c r="AF17" s="27">
        <f t="shared" ref="AF17" si="70">SUM(AF11+SUM(AF15:AF16))</f>
        <v>1417.6379999999972</v>
      </c>
      <c r="AG17" s="27">
        <f t="shared" ref="AG17" si="71">SUM(AG11+SUM(AG15:AG16))</f>
        <v>17008.692999999996</v>
      </c>
      <c r="AH17" s="27">
        <f t="shared" ref="AH17" si="72">SUM(AH11+SUM(AH15:AH16))</f>
        <v>17962.502</v>
      </c>
      <c r="AI17" s="27">
        <f t="shared" ref="AI17" si="73">SUM(AI11+SUM(AI15:AI16))</f>
        <v>18848.788999999997</v>
      </c>
      <c r="AJ17" s="27">
        <f t="shared" ref="AJ17" si="74">SUM(AJ11+SUM(AJ15:AJ16))</f>
        <v>20217.476999999995</v>
      </c>
      <c r="AK17" s="27">
        <f t="shared" ref="AK17" si="75">SUM(AK11+SUM(AK15:AK16))</f>
        <v>20858.714999999997</v>
      </c>
      <c r="AM17" s="133">
        <f>SUM(AK17/AG17)-1</f>
        <v>0.22635613447782266</v>
      </c>
    </row>
    <row r="18" spans="2:39" ht="12.75" customHeight="1">
      <c r="B18" s="16" t="s">
        <v>37</v>
      </c>
      <c r="C18" s="18">
        <f>C17/C11</f>
        <v>0.38885082510616881</v>
      </c>
      <c r="D18" s="18">
        <f>D17/D11</f>
        <v>0.41636561226464791</v>
      </c>
      <c r="E18" s="18">
        <f>E17/E11</f>
        <v>0.39370705238403259</v>
      </c>
      <c r="F18" s="18">
        <f>F17/F11</f>
        <v>0.41537839553469524</v>
      </c>
      <c r="G18" s="18">
        <f>G17/G11</f>
        <v>0.46056556650417324</v>
      </c>
      <c r="H18" s="28"/>
      <c r="I18" s="18">
        <f t="shared" ref="I18:V18" si="76">I17/I11</f>
        <v>0.45541028350229495</v>
      </c>
      <c r="J18" s="18">
        <f t="shared" si="76"/>
        <v>0.41145896917005609</v>
      </c>
      <c r="K18" s="18">
        <f t="shared" si="76"/>
        <v>0.39579695591078468</v>
      </c>
      <c r="L18" s="18">
        <f t="shared" si="76"/>
        <v>0.31175197110870251</v>
      </c>
      <c r="M18" s="18">
        <f t="shared" si="76"/>
        <v>0.41142887529417072</v>
      </c>
      <c r="N18" s="18">
        <f t="shared" si="76"/>
        <v>0.42918062985591954</v>
      </c>
      <c r="O18" s="18">
        <f t="shared" si="76"/>
        <v>0.42273710474347626</v>
      </c>
      <c r="P18" s="18">
        <f t="shared" si="76"/>
        <v>0.39911806245453735</v>
      </c>
      <c r="Q18" s="18">
        <f t="shared" si="76"/>
        <v>0.46885386385271116</v>
      </c>
      <c r="R18" s="18">
        <f t="shared" si="76"/>
        <v>0.45873258634775949</v>
      </c>
      <c r="S18" s="18">
        <f t="shared" si="76"/>
        <v>0.47887646069301021</v>
      </c>
      <c r="T18" s="18">
        <f t="shared" si="76"/>
        <v>0.437138858848859</v>
      </c>
      <c r="U18" s="18">
        <f t="shared" si="76"/>
        <v>0.50078285647239285</v>
      </c>
      <c r="V18" s="18">
        <f t="shared" si="76"/>
        <v>0.51934008390162223</v>
      </c>
      <c r="W18" s="18">
        <f>W17/W11</f>
        <v>0.4644582459877048</v>
      </c>
      <c r="X18" s="29"/>
      <c r="Y18" s="18">
        <f t="shared" ref="Y18:AI18" si="77">Y17/Y11</f>
        <v>3.894687932680084E-2</v>
      </c>
      <c r="Z18" s="18">
        <f t="shared" si="77"/>
        <v>4.1542408991125015E-3</v>
      </c>
      <c r="AA18" s="18">
        <f t="shared" si="77"/>
        <v>1.6114633730056418E-3</v>
      </c>
      <c r="AB18" s="18">
        <f t="shared" si="77"/>
        <v>-4.4413361455200653E-3</v>
      </c>
      <c r="AC18" s="18">
        <f t="shared" si="77"/>
        <v>1.0306219892300203E-2</v>
      </c>
      <c r="AD18" s="18">
        <f t="shared" si="77"/>
        <v>4.5472358982244096E-2</v>
      </c>
      <c r="AE18" s="18">
        <f t="shared" si="77"/>
        <v>6.9802013021376424E-2</v>
      </c>
      <c r="AF18" s="18">
        <f t="shared" si="77"/>
        <v>8.7586562470942306E-2</v>
      </c>
      <c r="AG18" s="18">
        <f t="shared" si="77"/>
        <v>0.45251196428749102</v>
      </c>
      <c r="AH18" s="18">
        <f t="shared" si="77"/>
        <v>0.46056556650417324</v>
      </c>
      <c r="AI18" s="18">
        <f t="shared" si="77"/>
        <v>0.46918665710708995</v>
      </c>
      <c r="AJ18" s="18">
        <f>AJ17/AJ11</f>
        <v>0.48491085461141203</v>
      </c>
      <c r="AK18" s="18">
        <f>AK17/AK11</f>
        <v>0.48085058256700441</v>
      </c>
      <c r="AM18" s="134">
        <f>SUM(AK18-AG18)*10000</f>
        <v>283.38618279513395</v>
      </c>
    </row>
    <row r="19" spans="2:39" ht="5.0999999999999996" customHeight="1">
      <c r="B19" s="30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5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M19" s="131"/>
    </row>
    <row r="20" spans="2:39" ht="12.75" customHeight="1">
      <c r="B20" s="24" t="s">
        <v>173</v>
      </c>
      <c r="C20" s="153">
        <f>('Historical Financials'!E19)/1000</f>
        <v>-2228.3620000000001</v>
      </c>
      <c r="D20" s="153">
        <f>('Historical Financials'!F19)/1000</f>
        <v>-2545.1460000000002</v>
      </c>
      <c r="E20" s="153">
        <f>('Historical Financials'!G19)/1000</f>
        <v>-2530.502</v>
      </c>
      <c r="F20" s="153">
        <f>('Historical Financials'!H19)/1000</f>
        <v>-2657.8829999999998</v>
      </c>
      <c r="G20" s="153">
        <f>('Historical Financials'!I19)/1000</f>
        <v>-2917.5540000000001</v>
      </c>
      <c r="H20" s="99"/>
      <c r="I20" s="153">
        <f>('Historical Financials'!O19)/1000</f>
        <v>-555.97799999999995</v>
      </c>
      <c r="J20" s="153">
        <f>('Historical Financials'!P19)/1000</f>
        <v>-574.96</v>
      </c>
      <c r="K20" s="153">
        <f>('Historical Financials'!Q19)/1000</f>
        <v>-567.95399999999995</v>
      </c>
      <c r="L20" s="153">
        <f>('Historical Financials'!R19)/1000</f>
        <v>-831.61</v>
      </c>
      <c r="M20" s="153">
        <f>('Historical Financials'!S19)/1000</f>
        <v>-555.36199999999997</v>
      </c>
      <c r="N20" s="153">
        <f>('Historical Financials'!T19)/1000</f>
        <v>-627.16800000000001</v>
      </c>
      <c r="O20" s="153">
        <f>('Historical Financials'!U19)/1000</f>
        <v>-558.73599999999999</v>
      </c>
      <c r="P20" s="153">
        <f>('Historical Financials'!V19)/1000</f>
        <v>-916.61699999999996</v>
      </c>
      <c r="Q20" s="153">
        <f>('Historical Financials'!W19)/1000</f>
        <v>-654.34</v>
      </c>
      <c r="R20" s="153">
        <f>('Historical Financials'!X19)/1000</f>
        <v>-644.08399999999995</v>
      </c>
      <c r="S20" s="153">
        <f>('Historical Financials'!Y19)/1000</f>
        <v>-642.92600000000004</v>
      </c>
      <c r="T20" s="153">
        <f>('Historical Financials'!Z19)/1000</f>
        <v>-976.20399999999995</v>
      </c>
      <c r="U20" s="153">
        <f>('Historical Financials'!AA19)/1000</f>
        <v>-688.37</v>
      </c>
      <c r="V20" s="153">
        <f>('Historical Financials'!AB19)/1000</f>
        <v>-713.26499999999999</v>
      </c>
      <c r="W20" s="153">
        <f>('Historical Financials'!AC19)/1000</f>
        <v>-786.29499999999996</v>
      </c>
      <c r="X20" s="5"/>
      <c r="Y20" s="10">
        <f t="shared" ref="Y20:AK22" si="78">SUM(H20:K20)</f>
        <v>-1698.8920000000001</v>
      </c>
      <c r="Z20" s="10">
        <f t="shared" si="78"/>
        <v>-2530.502</v>
      </c>
      <c r="AA20" s="10">
        <f t="shared" si="78"/>
        <v>-2529.886</v>
      </c>
      <c r="AB20" s="10">
        <f t="shared" si="78"/>
        <v>-2582.0940000000001</v>
      </c>
      <c r="AC20" s="10">
        <f t="shared" si="78"/>
        <v>-2572.8759999999997</v>
      </c>
      <c r="AD20" s="10">
        <f t="shared" si="78"/>
        <v>-2657.8829999999998</v>
      </c>
      <c r="AE20" s="10">
        <f t="shared" si="78"/>
        <v>-2756.8609999999999</v>
      </c>
      <c r="AF20" s="10">
        <f t="shared" si="78"/>
        <v>-2773.777</v>
      </c>
      <c r="AG20" s="154">
        <f t="shared" si="78"/>
        <v>-2857.9669999999996</v>
      </c>
      <c r="AH20" s="154">
        <f t="shared" si="78"/>
        <v>-2917.5540000000001</v>
      </c>
      <c r="AI20" s="154">
        <f t="shared" si="78"/>
        <v>-2951.5839999999998</v>
      </c>
      <c r="AJ20" s="154">
        <f t="shared" si="78"/>
        <v>-3020.7649999999999</v>
      </c>
      <c r="AK20" s="154">
        <f t="shared" si="78"/>
        <v>-3164.134</v>
      </c>
      <c r="AM20" s="132">
        <f>SUM(AK20/AG20)-1</f>
        <v>0.10712754905847421</v>
      </c>
    </row>
    <row r="21" spans="2:39" ht="12.75" customHeight="1">
      <c r="B21" s="24" t="s">
        <v>174</v>
      </c>
      <c r="C21" s="153">
        <f>('Historical Financials'!E20)/1000</f>
        <v>-1829.6</v>
      </c>
      <c r="D21" s="153">
        <f>('Historical Financials'!F20)/1000</f>
        <v>-2273.8850000000002</v>
      </c>
      <c r="E21" s="153">
        <f>('Historical Financials'!G20)/1000</f>
        <v>-2711.0410000000002</v>
      </c>
      <c r="F21" s="153">
        <f>('Historical Financials'!H20)/1000</f>
        <v>-2675.7579999999998</v>
      </c>
      <c r="G21" s="153">
        <f>('Historical Financials'!I20)/1000</f>
        <v>-2925.2950000000001</v>
      </c>
      <c r="H21" s="99"/>
      <c r="I21" s="153">
        <f>('Historical Financials'!O20)/1000</f>
        <v>-657.53</v>
      </c>
      <c r="J21" s="153">
        <f>('Historical Financials'!P20)/1000</f>
        <v>-716.846</v>
      </c>
      <c r="K21" s="153">
        <f>('Historical Financials'!Q20)/1000</f>
        <v>-662.73900000000003</v>
      </c>
      <c r="L21" s="153">
        <f>('Historical Financials'!R20)/1000</f>
        <v>-673.92600000000004</v>
      </c>
      <c r="M21" s="153">
        <f>('Historical Financials'!S20)/1000</f>
        <v>-687.27499999999998</v>
      </c>
      <c r="N21" s="153">
        <f>('Historical Financials'!T20)/1000</f>
        <v>-657.98299999999995</v>
      </c>
      <c r="O21" s="153">
        <f>('Historical Financials'!U20)/1000</f>
        <v>-657.15899999999999</v>
      </c>
      <c r="P21" s="153">
        <f>('Historical Financials'!V20)/1000</f>
        <v>-673.34100000000001</v>
      </c>
      <c r="Q21" s="153">
        <f>('Historical Financials'!W20)/1000</f>
        <v>-702.47299999999996</v>
      </c>
      <c r="R21" s="153">
        <f>('Historical Financials'!X20)/1000</f>
        <v>-711.25400000000002</v>
      </c>
      <c r="S21" s="153">
        <f>('Historical Financials'!Y20)/1000</f>
        <v>-735.06299999999999</v>
      </c>
      <c r="T21" s="153">
        <f>('Historical Financials'!Z20)/1000</f>
        <v>-776.505</v>
      </c>
      <c r="U21" s="153">
        <f>('Historical Financials'!AA20)/1000</f>
        <v>-822.82299999999998</v>
      </c>
      <c r="V21" s="153">
        <f>('Historical Financials'!AB20)/1000</f>
        <v>-824.68299999999999</v>
      </c>
      <c r="W21" s="153">
        <f>('Historical Financials'!AC20)/1000</f>
        <v>-853.58399999999995</v>
      </c>
      <c r="X21" s="5"/>
      <c r="Y21" s="10">
        <f t="shared" si="78"/>
        <v>-2037.115</v>
      </c>
      <c r="Z21" s="10">
        <f t="shared" si="78"/>
        <v>-2711.0410000000002</v>
      </c>
      <c r="AA21" s="10">
        <f t="shared" si="78"/>
        <v>-2740.7860000000001</v>
      </c>
      <c r="AB21" s="10">
        <f t="shared" si="78"/>
        <v>-2681.9229999999998</v>
      </c>
      <c r="AC21" s="10">
        <f t="shared" si="78"/>
        <v>-2676.3429999999998</v>
      </c>
      <c r="AD21" s="10">
        <f t="shared" si="78"/>
        <v>-2675.7579999999998</v>
      </c>
      <c r="AE21" s="10">
        <f t="shared" si="78"/>
        <v>-2690.9559999999997</v>
      </c>
      <c r="AF21" s="10">
        <f t="shared" si="78"/>
        <v>-2744.2269999999999</v>
      </c>
      <c r="AG21" s="154">
        <f t="shared" si="78"/>
        <v>-2822.1309999999999</v>
      </c>
      <c r="AH21" s="154">
        <f t="shared" si="78"/>
        <v>-2925.2950000000001</v>
      </c>
      <c r="AI21" s="154">
        <f t="shared" si="78"/>
        <v>-3045.645</v>
      </c>
      <c r="AJ21" s="154">
        <f t="shared" si="78"/>
        <v>-3159.0740000000001</v>
      </c>
      <c r="AK21" s="154">
        <f t="shared" si="78"/>
        <v>-3277.5949999999998</v>
      </c>
      <c r="AM21" s="132">
        <f>SUM(AK21/AG21)-1</f>
        <v>0.16139009847523034</v>
      </c>
    </row>
    <row r="22" spans="2:39" ht="12.75" customHeight="1">
      <c r="B22" s="24" t="s">
        <v>118</v>
      </c>
      <c r="C22" s="153">
        <f>('Historical Financials'!E21)/1000</f>
        <v>-1076.4860000000001</v>
      </c>
      <c r="D22" s="153">
        <f>('Historical Financials'!F21)/1000</f>
        <v>-1351.6210000000001</v>
      </c>
      <c r="E22" s="153">
        <f>('Historical Financials'!G21)/1000</f>
        <v>-1572.8910000000001</v>
      </c>
      <c r="F22" s="153">
        <f>('Historical Financials'!H21)/1000</f>
        <v>-1720.2850000000001</v>
      </c>
      <c r="G22" s="153">
        <f>('Historical Financials'!I21)/1000</f>
        <v>-1702.039</v>
      </c>
      <c r="H22" s="99"/>
      <c r="I22" s="153">
        <f>('Historical Financials'!O21)/1000</f>
        <v>-397.928</v>
      </c>
      <c r="J22" s="153">
        <f>('Historical Financials'!P21)/1000</f>
        <v>-409.29700000000003</v>
      </c>
      <c r="K22" s="153">
        <f>('Historical Financials'!Q21)/1000</f>
        <v>-373.21300000000002</v>
      </c>
      <c r="L22" s="153">
        <f>('Historical Financials'!R21)/1000</f>
        <v>-392.45299999999997</v>
      </c>
      <c r="M22" s="153">
        <f>('Historical Financials'!S21)/1000</f>
        <v>-400.92399999999998</v>
      </c>
      <c r="N22" s="153">
        <f>('Historical Financials'!T21)/1000</f>
        <v>-401.49700000000001</v>
      </c>
      <c r="O22" s="153">
        <f>('Historical Financials'!U21)/1000</f>
        <v>-478.59100000000001</v>
      </c>
      <c r="P22" s="153">
        <f>('Historical Financials'!V21)/1000</f>
        <v>-439.27300000000002</v>
      </c>
      <c r="Q22" s="153">
        <f>('Historical Financials'!W21)/1000</f>
        <v>-404.02</v>
      </c>
      <c r="R22" s="153">
        <f>('Historical Financials'!X21)/1000</f>
        <v>-426.99200000000002</v>
      </c>
      <c r="S22" s="153">
        <f>('Historical Financials'!Y21)/1000</f>
        <v>-417.35300000000001</v>
      </c>
      <c r="T22" s="153">
        <f>('Historical Financials'!Z21)/1000</f>
        <v>-453.67399999999998</v>
      </c>
      <c r="U22" s="153">
        <f>('Historical Financials'!AA21)/1000</f>
        <v>-421.46199999999999</v>
      </c>
      <c r="V22" s="153">
        <f>('Historical Financials'!AB21)/1000</f>
        <v>-441.21300000000002</v>
      </c>
      <c r="W22" s="153">
        <f>('Historical Financials'!AC21)/1000</f>
        <v>-457.93099999999998</v>
      </c>
      <c r="X22" s="5"/>
      <c r="Y22" s="10">
        <f t="shared" si="78"/>
        <v>-1180.4380000000001</v>
      </c>
      <c r="Z22" s="10">
        <f t="shared" si="78"/>
        <v>-1572.8910000000001</v>
      </c>
      <c r="AA22" s="10">
        <f t="shared" si="78"/>
        <v>-1575.8869999999999</v>
      </c>
      <c r="AB22" s="10">
        <f t="shared" si="78"/>
        <v>-1568.087</v>
      </c>
      <c r="AC22" s="10">
        <f t="shared" si="78"/>
        <v>-1673.4650000000001</v>
      </c>
      <c r="AD22" s="10">
        <f t="shared" si="78"/>
        <v>-1720.2850000000003</v>
      </c>
      <c r="AE22" s="10">
        <f t="shared" si="78"/>
        <v>-1723.3809999999999</v>
      </c>
      <c r="AF22" s="10">
        <f t="shared" si="78"/>
        <v>-1748.876</v>
      </c>
      <c r="AG22" s="154">
        <f t="shared" si="78"/>
        <v>-1687.6380000000001</v>
      </c>
      <c r="AH22" s="154">
        <f t="shared" si="78"/>
        <v>-1702.039</v>
      </c>
      <c r="AI22" s="154">
        <f t="shared" si="78"/>
        <v>-1719.481</v>
      </c>
      <c r="AJ22" s="154">
        <f t="shared" si="78"/>
        <v>-1733.702</v>
      </c>
      <c r="AK22" s="154">
        <f t="shared" si="78"/>
        <v>-1774.28</v>
      </c>
      <c r="AM22" s="132">
        <f>SUM(AK22/AG22)-1</f>
        <v>5.1339209000982322E-2</v>
      </c>
    </row>
    <row r="23" spans="2:39" ht="12.75" customHeight="1">
      <c r="B23" s="13" t="s">
        <v>38</v>
      </c>
      <c r="C23" s="14">
        <f>SUM(C17+SUM(C20:C22))</f>
        <v>4585.2890000000007</v>
      </c>
      <c r="D23" s="14">
        <f>SUM(D17+SUM(D20:D22))</f>
        <v>6194.5089999999991</v>
      </c>
      <c r="E23" s="14">
        <f>SUM(E17+SUM(E20:E22))</f>
        <v>5632.8310000000038</v>
      </c>
      <c r="F23" s="14">
        <f>SUM(F17+SUM(F20:F22))</f>
        <v>6954.0030000000006</v>
      </c>
      <c r="G23" s="14">
        <f>SUM(G17+SUM(G20:G22))</f>
        <v>10417.614000000001</v>
      </c>
      <c r="H23" s="11"/>
      <c r="I23" s="14">
        <f t="shared" ref="I23:W23" si="79">SUM(I17+SUM(I20:I22))</f>
        <v>1971.6260000000011</v>
      </c>
      <c r="J23" s="14">
        <f t="shared" si="79"/>
        <v>1578.2830000000004</v>
      </c>
      <c r="K23" s="14">
        <f t="shared" si="79"/>
        <v>1533.018</v>
      </c>
      <c r="L23" s="14">
        <f t="shared" si="79"/>
        <v>549.90400000000091</v>
      </c>
      <c r="M23" s="14">
        <f t="shared" si="79"/>
        <v>1714.3170000000007</v>
      </c>
      <c r="N23" s="14">
        <f t="shared" si="79"/>
        <v>1827.1830000000002</v>
      </c>
      <c r="O23" s="14">
        <f t="shared" si="79"/>
        <v>1916.3939999999993</v>
      </c>
      <c r="P23" s="14">
        <f t="shared" si="79"/>
        <v>1496.1089999999981</v>
      </c>
      <c r="Q23" s="14">
        <f t="shared" si="79"/>
        <v>2632.5339999999983</v>
      </c>
      <c r="R23" s="14">
        <f t="shared" si="79"/>
        <v>2602.8370000000014</v>
      </c>
      <c r="S23" s="14">
        <f t="shared" si="79"/>
        <v>2909.4769999999994</v>
      </c>
      <c r="T23" s="14">
        <f t="shared" si="79"/>
        <v>2272.7659999999987</v>
      </c>
      <c r="U23" s="14">
        <f t="shared" si="79"/>
        <v>3346.9989999999998</v>
      </c>
      <c r="V23" s="14">
        <f t="shared" si="79"/>
        <v>3774.6940000000013</v>
      </c>
      <c r="W23" s="14">
        <f t="shared" si="79"/>
        <v>3248.2470000000008</v>
      </c>
      <c r="X23" s="5"/>
      <c r="Y23" s="14">
        <f t="shared" ref="Y23:AK23" si="80">SUM(Y17+SUM(Y20:Y22))</f>
        <v>-4507.8979999999992</v>
      </c>
      <c r="Z23" s="14">
        <f t="shared" si="80"/>
        <v>-6755.9230000000007</v>
      </c>
      <c r="AA23" s="14">
        <f t="shared" si="80"/>
        <v>-6823.445999999999</v>
      </c>
      <c r="AB23" s="14">
        <f t="shared" si="80"/>
        <v>-6896.0789999999997</v>
      </c>
      <c r="AC23" s="14">
        <f t="shared" si="80"/>
        <v>-6772.8520000000008</v>
      </c>
      <c r="AD23" s="14">
        <f t="shared" si="80"/>
        <v>-6377.58</v>
      </c>
      <c r="AE23" s="14">
        <f t="shared" si="80"/>
        <v>-6090.0030000000006</v>
      </c>
      <c r="AF23" s="14">
        <f t="shared" si="80"/>
        <v>-5849.2420000000029</v>
      </c>
      <c r="AG23" s="14">
        <f t="shared" si="80"/>
        <v>9640.9569999999949</v>
      </c>
      <c r="AH23" s="14">
        <f t="shared" si="80"/>
        <v>10417.614000000001</v>
      </c>
      <c r="AI23" s="14">
        <f t="shared" si="80"/>
        <v>11132.078999999998</v>
      </c>
      <c r="AJ23" s="14">
        <f t="shared" si="80"/>
        <v>12303.935999999994</v>
      </c>
      <c r="AK23" s="14">
        <f t="shared" si="80"/>
        <v>12642.705999999996</v>
      </c>
      <c r="AM23" s="133">
        <f>SUM(AK23/AG23)-1</f>
        <v>0.31135384173998526</v>
      </c>
    </row>
    <row r="24" spans="2:39" ht="12.75" customHeight="1">
      <c r="B24" s="16" t="s">
        <v>39</v>
      </c>
      <c r="C24" s="18">
        <f>C23/C11</f>
        <v>0.18344049957321271</v>
      </c>
      <c r="D24" s="18">
        <f>D23/D11</f>
        <v>0.20858446828665403</v>
      </c>
      <c r="E24" s="18">
        <f>E23/E11</f>
        <v>0.17816647187855353</v>
      </c>
      <c r="F24" s="18">
        <f>F23/F11</f>
        <v>0.20620768485358951</v>
      </c>
      <c r="G24" s="18">
        <f>G23/G11</f>
        <v>0.26711169154117881</v>
      </c>
      <c r="H24" s="28"/>
      <c r="I24" s="18">
        <f t="shared" ref="I24:W24" si="81">I23/I11</f>
        <v>0.25059537223204514</v>
      </c>
      <c r="J24" s="18">
        <f t="shared" si="81"/>
        <v>0.19802447660587189</v>
      </c>
      <c r="K24" s="18">
        <f t="shared" si="81"/>
        <v>0.19342638130743342</v>
      </c>
      <c r="L24" s="18">
        <f t="shared" si="81"/>
        <v>7.003314929229347E-2</v>
      </c>
      <c r="M24" s="18">
        <f t="shared" si="81"/>
        <v>0.21004917844176502</v>
      </c>
      <c r="N24" s="18">
        <f t="shared" si="81"/>
        <v>0.2231728136048742</v>
      </c>
      <c r="O24" s="18">
        <f t="shared" si="81"/>
        <v>0.22435828692943807</v>
      </c>
      <c r="P24" s="18">
        <f t="shared" si="81"/>
        <v>0.16938057756153874</v>
      </c>
      <c r="Q24" s="18">
        <f t="shared" si="81"/>
        <v>0.28094027601692118</v>
      </c>
      <c r="R24" s="18">
        <f t="shared" si="81"/>
        <v>0.27228293673915804</v>
      </c>
      <c r="S24" s="18">
        <f t="shared" si="81"/>
        <v>0.29613892654057833</v>
      </c>
      <c r="T24" s="18">
        <f t="shared" si="81"/>
        <v>0.22180872653945777</v>
      </c>
      <c r="U24" s="18">
        <f t="shared" si="81"/>
        <v>0.31746772039043514</v>
      </c>
      <c r="V24" s="18">
        <f t="shared" si="81"/>
        <v>0.34070199868834899</v>
      </c>
      <c r="W24" s="18">
        <f t="shared" si="81"/>
        <v>0.28220333306487833</v>
      </c>
      <c r="X24" s="29"/>
      <c r="Y24" s="18">
        <f t="shared" ref="Y24:AK24" si="82">Y23/Y11</f>
        <v>-0.42973895151237584</v>
      </c>
      <c r="Z24" s="18">
        <f t="shared" si="82"/>
        <v>-0.47966590278504045</v>
      </c>
      <c r="AA24" s="18">
        <f t="shared" si="82"/>
        <v>-0.47573803948778975</v>
      </c>
      <c r="AB24" s="18">
        <f t="shared" si="82"/>
        <v>-0.47874646229092133</v>
      </c>
      <c r="AC24" s="18">
        <f t="shared" si="82"/>
        <v>-0.46587178980462057</v>
      </c>
      <c r="AD24" s="18">
        <f t="shared" si="82"/>
        <v>-0.42877995463561625</v>
      </c>
      <c r="AE24" s="18">
        <f t="shared" si="82"/>
        <v>-0.39317095316406597</v>
      </c>
      <c r="AF24" s="18">
        <f t="shared" si="82"/>
        <v>-0.36138633405753851</v>
      </c>
      <c r="AG24" s="18">
        <f t="shared" si="82"/>
        <v>0.25649521628035943</v>
      </c>
      <c r="AH24" s="18">
        <f t="shared" si="82"/>
        <v>0.26711169154117881</v>
      </c>
      <c r="AI24" s="18">
        <f t="shared" si="82"/>
        <v>0.27710124680487624</v>
      </c>
      <c r="AJ24" s="18">
        <f t="shared" si="82"/>
        <v>0.29510666048212236</v>
      </c>
      <c r="AK24" s="18">
        <f t="shared" si="82"/>
        <v>0.2914490439762642</v>
      </c>
      <c r="AM24" s="134">
        <f>SUM(AK24-AG24)*10000</f>
        <v>349.53827695904772</v>
      </c>
    </row>
    <row r="25" spans="2:39" ht="5.0999999999999996" customHeight="1">
      <c r="AM25" s="131"/>
    </row>
    <row r="26" spans="2:39" ht="12.75" customHeight="1">
      <c r="B26" s="32" t="s">
        <v>175</v>
      </c>
      <c r="C26" s="153">
        <f>('Historical Financials'!E92)/1000</f>
        <v>115.71</v>
      </c>
      <c r="D26" s="153">
        <f>('Historical Financials'!F92)/1000</f>
        <v>208.41200000000001</v>
      </c>
      <c r="E26" s="153">
        <f>('Historical Financials'!G92)/1000</f>
        <v>336.68200000000002</v>
      </c>
      <c r="F26" s="153">
        <f>('Historical Financials'!H92)/1000</f>
        <v>356.947</v>
      </c>
      <c r="G26" s="153">
        <f>('Historical Financials'!I92)/1000</f>
        <v>328.91399999999999</v>
      </c>
      <c r="I26" s="153">
        <f>('Historical Financials'!O92)/1000</f>
        <v>74.602000000000004</v>
      </c>
      <c r="J26" s="153">
        <f>('Historical Financials'!P92)/1000</f>
        <v>83.504999999999995</v>
      </c>
      <c r="K26" s="153">
        <f>('Historical Financials'!Q92)/1000</f>
        <v>85.188000000000002</v>
      </c>
      <c r="L26" s="153">
        <f>('Historical Financials'!R92)/1000</f>
        <v>93.387</v>
      </c>
      <c r="M26" s="153">
        <f>('Historical Financials'!S92)/1000</f>
        <v>90.334999999999994</v>
      </c>
      <c r="N26" s="153">
        <f>('Historical Financials'!T92)/1000</f>
        <v>89.385000000000005</v>
      </c>
      <c r="O26" s="153">
        <f>('Historical Financials'!U92)/1000</f>
        <v>90.66</v>
      </c>
      <c r="P26" s="153">
        <f>('Historical Financials'!V92)/1000</f>
        <v>86.566999999999993</v>
      </c>
      <c r="Q26" s="153">
        <f>('Historical Financials'!W92)/1000</f>
        <v>87.233999999999995</v>
      </c>
      <c r="R26" s="153">
        <f>('Historical Financials'!X92)/1000</f>
        <v>81.227000000000004</v>
      </c>
      <c r="S26" s="153">
        <f>('Historical Financials'!Y92)/1000</f>
        <v>80.914000000000001</v>
      </c>
      <c r="T26" s="153">
        <f>('Historical Financials'!Z92)/1000</f>
        <v>79.539000000000001</v>
      </c>
      <c r="U26" s="153">
        <f>('Historical Financials'!AA92)/1000</f>
        <v>80.066999999999993</v>
      </c>
      <c r="V26" s="153">
        <f>('Historical Financials'!AB92)/1000</f>
        <v>80.013000000000005</v>
      </c>
      <c r="W26" s="153">
        <f>('Historical Financials'!AC92)/1000</f>
        <v>87.325999999999993</v>
      </c>
      <c r="Y26" s="10">
        <f t="shared" ref="Y26:AK26" si="83">SUM(H26:K26)</f>
        <v>243.29500000000002</v>
      </c>
      <c r="Z26" s="10">
        <f t="shared" si="83"/>
        <v>336.68200000000002</v>
      </c>
      <c r="AA26" s="10">
        <f t="shared" si="83"/>
        <v>352.41499999999996</v>
      </c>
      <c r="AB26" s="10">
        <f t="shared" si="83"/>
        <v>358.29499999999996</v>
      </c>
      <c r="AC26" s="10">
        <f t="shared" si="83"/>
        <v>363.76699999999994</v>
      </c>
      <c r="AD26" s="10">
        <f t="shared" si="83"/>
        <v>356.947</v>
      </c>
      <c r="AE26" s="10">
        <f t="shared" si="83"/>
        <v>353.846</v>
      </c>
      <c r="AF26" s="10">
        <f t="shared" si="83"/>
        <v>345.68799999999999</v>
      </c>
      <c r="AG26" s="10">
        <f t="shared" si="83"/>
        <v>335.94200000000001</v>
      </c>
      <c r="AH26" s="10">
        <f t="shared" si="83"/>
        <v>328.91399999999999</v>
      </c>
      <c r="AI26" s="10">
        <f t="shared" si="83"/>
        <v>321.74700000000001</v>
      </c>
      <c r="AJ26" s="10">
        <f t="shared" si="83"/>
        <v>320.53300000000002</v>
      </c>
      <c r="AK26" s="10">
        <f t="shared" si="83"/>
        <v>326.94499999999999</v>
      </c>
      <c r="AM26" s="132">
        <f>SUM(AK26/AG26)-1</f>
        <v>-2.6781408695548681E-2</v>
      </c>
    </row>
    <row r="27" spans="2:39" ht="12.75" customHeight="1">
      <c r="B27" s="32" t="s">
        <v>176</v>
      </c>
      <c r="C27" s="162">
        <f>-C15</f>
        <v>10806.912</v>
      </c>
      <c r="D27" s="162">
        <f t="shared" ref="D27:AK27" si="84">-D15</f>
        <v>12230.367</v>
      </c>
      <c r="E27" s="162">
        <f t="shared" si="84"/>
        <v>14026.132</v>
      </c>
      <c r="F27" s="162">
        <f t="shared" si="84"/>
        <v>14197.437</v>
      </c>
      <c r="G27" s="162">
        <f t="shared" si="84"/>
        <v>15301.517</v>
      </c>
      <c r="I27" s="162">
        <f t="shared" si="84"/>
        <v>3166.3649999999998</v>
      </c>
      <c r="J27" s="162">
        <f t="shared" si="84"/>
        <v>3261.348</v>
      </c>
      <c r="K27" s="162">
        <f t="shared" si="84"/>
        <v>3653.5920000000001</v>
      </c>
      <c r="L27" s="162">
        <f t="shared" si="84"/>
        <v>3944.8270000000002</v>
      </c>
      <c r="M27" s="162">
        <f t="shared" si="84"/>
        <v>3459.9839999999999</v>
      </c>
      <c r="N27" s="162">
        <f t="shared" si="84"/>
        <v>3410.0210000000002</v>
      </c>
      <c r="O27" s="162">
        <f t="shared" si="84"/>
        <v>3573.3530000000001</v>
      </c>
      <c r="P27" s="162">
        <f t="shared" si="84"/>
        <v>3754.0790000000002</v>
      </c>
      <c r="Q27" s="162">
        <f t="shared" si="84"/>
        <v>3670.8049999999998</v>
      </c>
      <c r="R27" s="162">
        <f t="shared" si="84"/>
        <v>3769.69</v>
      </c>
      <c r="S27" s="162">
        <f t="shared" si="84"/>
        <v>3699.5210000000002</v>
      </c>
      <c r="T27" s="162">
        <f t="shared" si="84"/>
        <v>4161.5010000000002</v>
      </c>
      <c r="U27" s="162">
        <f t="shared" si="84"/>
        <v>3823.1120000000001</v>
      </c>
      <c r="V27" s="162">
        <f t="shared" si="84"/>
        <v>3832.0740000000001</v>
      </c>
      <c r="W27" s="162">
        <f t="shared" si="84"/>
        <v>4002.7440000000001</v>
      </c>
      <c r="X27" s="162"/>
      <c r="Y27" s="162">
        <f t="shared" si="84"/>
        <v>10081.305</v>
      </c>
      <c r="Z27" s="162">
        <f t="shared" si="84"/>
        <v>14026.132000000001</v>
      </c>
      <c r="AA27" s="162">
        <f t="shared" si="84"/>
        <v>14319.751</v>
      </c>
      <c r="AB27" s="162">
        <f t="shared" si="84"/>
        <v>14468.424000000001</v>
      </c>
      <c r="AC27" s="162">
        <f t="shared" si="84"/>
        <v>14388.185000000001</v>
      </c>
      <c r="AD27" s="162">
        <f t="shared" si="84"/>
        <v>14197.437</v>
      </c>
      <c r="AE27" s="162">
        <f t="shared" si="84"/>
        <v>14408.258</v>
      </c>
      <c r="AF27" s="162">
        <f t="shared" si="84"/>
        <v>14767.927000000001</v>
      </c>
      <c r="AG27" s="162">
        <f t="shared" si="84"/>
        <v>14894.095000000001</v>
      </c>
      <c r="AH27" s="162">
        <f t="shared" si="84"/>
        <v>15301.517</v>
      </c>
      <c r="AI27" s="162">
        <f t="shared" si="84"/>
        <v>15453.824000000001</v>
      </c>
      <c r="AJ27" s="162">
        <f t="shared" si="84"/>
        <v>15516.208000000002</v>
      </c>
      <c r="AK27" s="162">
        <f t="shared" si="84"/>
        <v>15819.431</v>
      </c>
      <c r="AM27" s="132"/>
    </row>
    <row r="28" spans="2:39" ht="12.75" customHeight="1">
      <c r="B28" s="26" t="s">
        <v>11</v>
      </c>
      <c r="C28" s="27">
        <f>SUM(C23+SUM(C26:C27))</f>
        <v>15507.911</v>
      </c>
      <c r="D28" s="27">
        <f t="shared" ref="D28:G28" si="85">SUM(D23+SUM(D26:D27))</f>
        <v>18633.288</v>
      </c>
      <c r="E28" s="27">
        <f t="shared" si="85"/>
        <v>19995.645000000004</v>
      </c>
      <c r="F28" s="27">
        <f t="shared" si="85"/>
        <v>21508.387000000002</v>
      </c>
      <c r="G28" s="27">
        <f t="shared" si="85"/>
        <v>26048.045000000002</v>
      </c>
      <c r="I28" s="27">
        <f t="shared" ref="I28" si="86">SUM(I23+SUM(I26:I27))</f>
        <v>5212.5930000000008</v>
      </c>
      <c r="J28" s="27">
        <f t="shared" ref="J28" si="87">SUM(J23+SUM(J26:J27))</f>
        <v>4923.1360000000004</v>
      </c>
      <c r="K28" s="27">
        <f t="shared" ref="K28" si="88">SUM(K23+SUM(K26:K27))</f>
        <v>5271.7980000000007</v>
      </c>
      <c r="L28" s="27">
        <f t="shared" ref="L28" si="89">SUM(L23+SUM(L26:L27))</f>
        <v>4588.1180000000013</v>
      </c>
      <c r="M28" s="27">
        <f t="shared" ref="M28" si="90">SUM(M23+SUM(M26:M27))</f>
        <v>5264.6360000000004</v>
      </c>
      <c r="N28" s="27">
        <f t="shared" ref="N28" si="91">SUM(N23+SUM(N26:N27))</f>
        <v>5326.5890000000009</v>
      </c>
      <c r="O28" s="27">
        <f t="shared" ref="O28" si="92">SUM(O23+SUM(O26:O27))</f>
        <v>5580.4069999999992</v>
      </c>
      <c r="P28" s="27">
        <f t="shared" ref="P28" si="93">SUM(P23+SUM(P26:P27))</f>
        <v>5336.7549999999983</v>
      </c>
      <c r="Q28" s="27">
        <f t="shared" ref="Q28" si="94">SUM(Q23+SUM(Q26:Q27))</f>
        <v>6390.5729999999985</v>
      </c>
      <c r="R28" s="27">
        <f t="shared" ref="R28" si="95">SUM(R23+SUM(R26:R27))</f>
        <v>6453.7540000000008</v>
      </c>
      <c r="S28" s="27">
        <f t="shared" ref="S28" si="96">SUM(S23+SUM(S26:S27))</f>
        <v>6689.9120000000003</v>
      </c>
      <c r="T28" s="27">
        <f t="shared" ref="T28" si="97">SUM(T23+SUM(T26:T27))</f>
        <v>6513.8059999999987</v>
      </c>
      <c r="U28" s="27">
        <f t="shared" ref="U28" si="98">SUM(U23+SUM(U26:U27))</f>
        <v>7250.1779999999999</v>
      </c>
      <c r="V28" s="27">
        <f t="shared" ref="V28" si="99">SUM(V23+SUM(V26:V27))</f>
        <v>7686.7810000000009</v>
      </c>
      <c r="W28" s="27">
        <f t="shared" ref="W28" si="100">SUM(W23+SUM(W26:W27))</f>
        <v>7338.3170000000009</v>
      </c>
      <c r="Y28" s="27">
        <f t="shared" ref="Y28" si="101">SUM(Y23+SUM(Y26:Y27))</f>
        <v>5816.7020000000011</v>
      </c>
      <c r="Z28" s="27">
        <f t="shared" ref="Z28" si="102">SUM(Z23+SUM(Z26:Z27))</f>
        <v>7606.8910000000014</v>
      </c>
      <c r="AA28" s="27">
        <f t="shared" ref="AA28" si="103">SUM(AA23+SUM(AA26:AA27))</f>
        <v>7848.7200000000021</v>
      </c>
      <c r="AB28" s="27">
        <f t="shared" ref="AB28" si="104">SUM(AB23+SUM(AB26:AB27))</f>
        <v>7930.6400000000012</v>
      </c>
      <c r="AC28" s="27">
        <f t="shared" ref="AC28" si="105">SUM(AC23+SUM(AC26:AC27))</f>
        <v>7979.1</v>
      </c>
      <c r="AD28" s="27">
        <f t="shared" ref="AD28" si="106">SUM(AD23+SUM(AD26:AD27))</f>
        <v>8176.8040000000001</v>
      </c>
      <c r="AE28" s="27">
        <f t="shared" ref="AE28" si="107">SUM(AE23+SUM(AE26:AE27))</f>
        <v>8672.1009999999987</v>
      </c>
      <c r="AF28" s="27">
        <f t="shared" ref="AF28" si="108">SUM(AF23+SUM(AF26:AF27))</f>
        <v>9264.3729999999996</v>
      </c>
      <c r="AG28" s="27">
        <f t="shared" ref="AG28" si="109">SUM(AG23+SUM(AG26:AG27))</f>
        <v>24870.993999999995</v>
      </c>
      <c r="AH28" s="27">
        <f t="shared" ref="AH28" si="110">SUM(AH23+SUM(AH26:AH27))</f>
        <v>26048.045000000002</v>
      </c>
      <c r="AI28" s="27">
        <f t="shared" ref="AI28" si="111">SUM(AI23+SUM(AI26:AI27))</f>
        <v>26907.649999999998</v>
      </c>
      <c r="AJ28" s="27">
        <f t="shared" ref="AJ28" si="112">SUM(AJ23+SUM(AJ26:AJ27))</f>
        <v>28140.676999999996</v>
      </c>
      <c r="AK28" s="27">
        <f t="shared" ref="AK28" si="113">SUM(AK23+SUM(AK26:AK27))</f>
        <v>28789.081999999995</v>
      </c>
      <c r="AM28" s="133">
        <f>SUM(AK28/AG28)-1</f>
        <v>0.15753644586943327</v>
      </c>
    </row>
    <row r="29" spans="2:39" ht="12.75" customHeight="1">
      <c r="B29" s="16" t="s">
        <v>40</v>
      </c>
      <c r="C29" s="18">
        <f>C28/C11</f>
        <v>0.62041431656258095</v>
      </c>
      <c r="D29" s="18">
        <f>D28/D11</f>
        <v>0.6274289810398358</v>
      </c>
      <c r="E29" s="18">
        <f>E28/E11</f>
        <v>0.63246234843297056</v>
      </c>
      <c r="F29" s="18">
        <f>F28/F11</f>
        <v>0.63779016031558255</v>
      </c>
      <c r="G29" s="18">
        <f>G28/G11</f>
        <v>0.66788204681904551</v>
      </c>
      <c r="I29" s="18">
        <f t="shared" ref="I29:W29" si="114">I28/I11</f>
        <v>0.66252508494468643</v>
      </c>
      <c r="J29" s="18">
        <f t="shared" si="114"/>
        <v>0.6176974786267897</v>
      </c>
      <c r="K29" s="18">
        <f t="shared" si="114"/>
        <v>0.66516166811072353</v>
      </c>
      <c r="L29" s="18">
        <f t="shared" si="114"/>
        <v>0.58432081393235635</v>
      </c>
      <c r="M29" s="18">
        <f t="shared" si="114"/>
        <v>0.64505716655375855</v>
      </c>
      <c r="N29" s="18">
        <f t="shared" si="114"/>
        <v>0.65059156857675082</v>
      </c>
      <c r="O29" s="18">
        <f t="shared" si="114"/>
        <v>0.65331583948240546</v>
      </c>
      <c r="P29" s="18">
        <f t="shared" si="114"/>
        <v>0.60419571314953013</v>
      </c>
      <c r="Q29" s="18">
        <f t="shared" si="114"/>
        <v>0.68199284131801707</v>
      </c>
      <c r="R29" s="18">
        <f t="shared" si="114"/>
        <v>0.67512759812162171</v>
      </c>
      <c r="S29" s="18">
        <f t="shared" si="114"/>
        <v>0.68092765755870688</v>
      </c>
      <c r="T29" s="18">
        <f t="shared" si="114"/>
        <v>0.63570953357498294</v>
      </c>
      <c r="U29" s="18">
        <f t="shared" si="114"/>
        <v>0.68768992225121206</v>
      </c>
      <c r="V29" s="18">
        <f t="shared" si="114"/>
        <v>0.69380502106385988</v>
      </c>
      <c r="W29" s="18">
        <f t="shared" si="114"/>
        <v>0.63754311679089015</v>
      </c>
      <c r="Y29" s="18">
        <f t="shared" ref="Y29:AK29" si="115">Y28/Y11</f>
        <v>0.55450753737993641</v>
      </c>
      <c r="Z29" s="18">
        <f t="shared" si="115"/>
        <v>0.54008404756868889</v>
      </c>
      <c r="AA29" s="18">
        <f t="shared" si="115"/>
        <v>0.54722125232450092</v>
      </c>
      <c r="AB29" s="18">
        <f t="shared" si="115"/>
        <v>0.55056878607435811</v>
      </c>
      <c r="AC29" s="18">
        <f t="shared" si="115"/>
        <v>0.5488437659689076</v>
      </c>
      <c r="AD29" s="18">
        <f t="shared" si="115"/>
        <v>0.54974608678908388</v>
      </c>
      <c r="AE29" s="18">
        <f t="shared" si="115"/>
        <v>0.55987135246157493</v>
      </c>
      <c r="AF29" s="18">
        <f t="shared" si="115"/>
        <v>0.57238489975481244</v>
      </c>
      <c r="AG29" s="18">
        <f t="shared" si="115"/>
        <v>0.66168648871035551</v>
      </c>
      <c r="AH29" s="18">
        <f t="shared" si="115"/>
        <v>0.66788204681904551</v>
      </c>
      <c r="AI29" s="18">
        <f t="shared" si="115"/>
        <v>0.66978893732152178</v>
      </c>
      <c r="AJ29" s="18">
        <f t="shared" si="115"/>
        <v>0.67494671730867839</v>
      </c>
      <c r="AK29" s="18">
        <f t="shared" si="115"/>
        <v>0.66366728972850253</v>
      </c>
      <c r="AM29" s="134">
        <f>SUM(AK29-AG29)*10000</f>
        <v>19.808010181470159</v>
      </c>
    </row>
    <row r="30" spans="2:39" ht="5.0999999999999996" customHeight="1">
      <c r="AM30" s="131"/>
    </row>
    <row r="31" spans="2:39" ht="12.75" customHeight="1">
      <c r="B31" s="32" t="s">
        <v>41</v>
      </c>
      <c r="C31" s="153">
        <f>('Historical Financials'!E93)/1000</f>
        <v>415.18</v>
      </c>
      <c r="D31" s="153">
        <f>('Historical Financials'!F93)/1000</f>
        <v>403.22</v>
      </c>
      <c r="E31" s="153">
        <f>('Historical Financials'!G93)/1000</f>
        <v>575.452</v>
      </c>
      <c r="F31" s="153">
        <f>('Historical Financials'!H93)/1000</f>
        <v>339.36799999999999</v>
      </c>
      <c r="G31" s="153">
        <f>('Historical Financials'!I93)/1000</f>
        <v>272.58800000000002</v>
      </c>
      <c r="I31" s="153">
        <f>('Historical Financials'!O93)/1000</f>
        <v>119.209</v>
      </c>
      <c r="J31" s="153">
        <f>('Historical Financials'!P93)/1000</f>
        <v>150.392</v>
      </c>
      <c r="K31" s="153">
        <f>('Historical Financials'!Q93)/1000</f>
        <v>152.06200000000001</v>
      </c>
      <c r="L31" s="153">
        <f>('Historical Financials'!R93)/1000</f>
        <v>153.78899999999999</v>
      </c>
      <c r="M31" s="153">
        <f>('Historical Financials'!S93)/1000</f>
        <v>99.099000000000004</v>
      </c>
      <c r="N31" s="153">
        <f>('Historical Financials'!T93)/1000</f>
        <v>78.03</v>
      </c>
      <c r="O31" s="153">
        <f>('Historical Financials'!U93)/1000</f>
        <v>79.72</v>
      </c>
      <c r="P31" s="153">
        <f>('Historical Financials'!V93)/1000</f>
        <v>82.519000000000005</v>
      </c>
      <c r="Q31" s="153">
        <f>('Historical Financials'!W93)/1000</f>
        <v>76.344999999999999</v>
      </c>
      <c r="R31" s="153">
        <f>('Historical Financials'!X93)/1000</f>
        <v>68.766000000000005</v>
      </c>
      <c r="S31" s="153">
        <f>('Historical Financials'!Y93)/1000</f>
        <v>65.650000000000006</v>
      </c>
      <c r="T31" s="153">
        <f>('Historical Financials'!Z93)/1000</f>
        <v>61.826999999999998</v>
      </c>
      <c r="U31" s="153">
        <f>('Historical Financials'!AA93)/1000</f>
        <v>71.977000000000004</v>
      </c>
      <c r="V31" s="153">
        <f>('Historical Financials'!AB93)/1000</f>
        <v>80.861999999999995</v>
      </c>
      <c r="W31" s="153">
        <f>('Historical Financials'!AC93)/1000</f>
        <v>80.986000000000004</v>
      </c>
      <c r="Y31" s="10">
        <f t="shared" ref="Y31:AK31" si="116">SUM(H31:K31)</f>
        <v>421.66300000000001</v>
      </c>
      <c r="Z31" s="10">
        <f t="shared" si="116"/>
        <v>575.452</v>
      </c>
      <c r="AA31" s="10">
        <f t="shared" si="116"/>
        <v>555.34199999999998</v>
      </c>
      <c r="AB31" s="10">
        <f t="shared" si="116"/>
        <v>482.98</v>
      </c>
      <c r="AC31" s="10">
        <f t="shared" si="116"/>
        <v>410.63800000000003</v>
      </c>
      <c r="AD31" s="10">
        <f t="shared" si="116"/>
        <v>339.36800000000005</v>
      </c>
      <c r="AE31" s="10">
        <f t="shared" si="116"/>
        <v>316.61400000000003</v>
      </c>
      <c r="AF31" s="10">
        <f t="shared" si="116"/>
        <v>307.35000000000002</v>
      </c>
      <c r="AG31" s="154">
        <f t="shared" si="116"/>
        <v>293.27999999999997</v>
      </c>
      <c r="AH31" s="154">
        <f t="shared" si="116"/>
        <v>272.58799999999997</v>
      </c>
      <c r="AI31" s="154">
        <f t="shared" si="116"/>
        <v>268.22000000000003</v>
      </c>
      <c r="AJ31" s="154">
        <f t="shared" si="116"/>
        <v>280.31600000000003</v>
      </c>
      <c r="AK31" s="154">
        <f t="shared" si="116"/>
        <v>295.65199999999999</v>
      </c>
      <c r="AM31" s="132">
        <f>SUM(AK31/AG31)-1</f>
        <v>8.0878341516639196E-3</v>
      </c>
    </row>
    <row r="32" spans="2:39" ht="12.75" customHeight="1">
      <c r="B32" s="13" t="s">
        <v>42</v>
      </c>
      <c r="C32" s="14">
        <f>+SUM(C28+SUM(C31:C31))</f>
        <v>15923.091</v>
      </c>
      <c r="D32" s="14">
        <f>+SUM(D28+SUM(D31:D31))</f>
        <v>19036.508000000002</v>
      </c>
      <c r="E32" s="14">
        <f>+SUM(E28+SUM(E31:E31))</f>
        <v>20571.097000000005</v>
      </c>
      <c r="F32" s="14">
        <f>+SUM(F28+SUM(F31:F31))</f>
        <v>21847.755000000001</v>
      </c>
      <c r="G32" s="14">
        <f>+SUM(G28+SUM(G31:G31))</f>
        <v>26320.633000000002</v>
      </c>
      <c r="H32" s="11"/>
      <c r="I32" s="14">
        <f t="shared" ref="I32:W32" si="117">+SUM(I28+SUM(I31:I31))</f>
        <v>5331.8020000000006</v>
      </c>
      <c r="J32" s="14">
        <f t="shared" si="117"/>
        <v>5073.5280000000002</v>
      </c>
      <c r="K32" s="14">
        <f t="shared" si="117"/>
        <v>5423.8600000000006</v>
      </c>
      <c r="L32" s="14">
        <f t="shared" si="117"/>
        <v>4741.9070000000011</v>
      </c>
      <c r="M32" s="14">
        <f t="shared" si="117"/>
        <v>5363.7350000000006</v>
      </c>
      <c r="N32" s="14">
        <f t="shared" si="117"/>
        <v>5404.6190000000006</v>
      </c>
      <c r="O32" s="14">
        <f t="shared" si="117"/>
        <v>5660.1269999999995</v>
      </c>
      <c r="P32" s="14">
        <f t="shared" si="117"/>
        <v>5419.2739999999985</v>
      </c>
      <c r="Q32" s="14">
        <f t="shared" si="117"/>
        <v>6466.9179999999988</v>
      </c>
      <c r="R32" s="14">
        <f t="shared" si="117"/>
        <v>6522.52</v>
      </c>
      <c r="S32" s="14">
        <f t="shared" si="117"/>
        <v>6755.5619999999999</v>
      </c>
      <c r="T32" s="14">
        <f t="shared" si="117"/>
        <v>6575.6329999999989</v>
      </c>
      <c r="U32" s="14">
        <f t="shared" si="117"/>
        <v>7322.1549999999997</v>
      </c>
      <c r="V32" s="14">
        <f t="shared" si="117"/>
        <v>7767.6430000000009</v>
      </c>
      <c r="W32" s="14">
        <f t="shared" si="117"/>
        <v>7419.3030000000008</v>
      </c>
      <c r="Y32" s="14">
        <f t="shared" ref="Y32:AK32" si="118">+SUM(Y28+SUM(Y31:Y31))</f>
        <v>6238.3650000000016</v>
      </c>
      <c r="Z32" s="14">
        <f t="shared" si="118"/>
        <v>8182.3430000000017</v>
      </c>
      <c r="AA32" s="14">
        <f t="shared" si="118"/>
        <v>8404.0620000000017</v>
      </c>
      <c r="AB32" s="14">
        <f t="shared" si="118"/>
        <v>8413.6200000000008</v>
      </c>
      <c r="AC32" s="14">
        <f t="shared" si="118"/>
        <v>8389.7380000000012</v>
      </c>
      <c r="AD32" s="14">
        <f t="shared" si="118"/>
        <v>8516.1720000000005</v>
      </c>
      <c r="AE32" s="14">
        <f t="shared" si="118"/>
        <v>8988.7149999999983</v>
      </c>
      <c r="AF32" s="14">
        <f t="shared" si="118"/>
        <v>9571.723</v>
      </c>
      <c r="AG32" s="14">
        <f t="shared" si="118"/>
        <v>25164.273999999994</v>
      </c>
      <c r="AH32" s="14">
        <f t="shared" si="118"/>
        <v>26320.633000000002</v>
      </c>
      <c r="AI32" s="14">
        <f t="shared" si="118"/>
        <v>27175.87</v>
      </c>
      <c r="AJ32" s="14">
        <f t="shared" si="118"/>
        <v>28420.992999999995</v>
      </c>
      <c r="AK32" s="14">
        <f t="shared" si="118"/>
        <v>29084.733999999993</v>
      </c>
      <c r="AM32" s="133">
        <f>SUM(AK32/AG32)-1</f>
        <v>0.15579467939349256</v>
      </c>
    </row>
    <row r="33" spans="2:39" ht="12.75" customHeight="1">
      <c r="B33" s="16" t="s">
        <v>43</v>
      </c>
      <c r="C33" s="18">
        <f>C32/C11</f>
        <v>0.63702413692784177</v>
      </c>
      <c r="D33" s="18">
        <f>D32/D11</f>
        <v>0.6410063976361382</v>
      </c>
      <c r="E33" s="18">
        <f>E32/E11</f>
        <v>0.65066389798690849</v>
      </c>
      <c r="F33" s="18">
        <f>F32/F11</f>
        <v>0.64785347055479192</v>
      </c>
      <c r="G33" s="18">
        <f>G32/G11</f>
        <v>0.67487130959781871</v>
      </c>
      <c r="I33" s="18">
        <f t="shared" ref="I33:W33" si="119">I32/I11</f>
        <v>0.67767665209201033</v>
      </c>
      <c r="J33" s="18">
        <f t="shared" si="119"/>
        <v>0.63656690640730196</v>
      </c>
      <c r="K33" s="18">
        <f t="shared" si="119"/>
        <v>0.68434787622724325</v>
      </c>
      <c r="L33" s="18">
        <f t="shared" si="119"/>
        <v>0.60390664708962105</v>
      </c>
      <c r="M33" s="18">
        <f t="shared" si="119"/>
        <v>0.65719941535278492</v>
      </c>
      <c r="N33" s="18">
        <f t="shared" si="119"/>
        <v>0.66012218190097083</v>
      </c>
      <c r="O33" s="18">
        <f t="shared" si="119"/>
        <v>0.66264891119626745</v>
      </c>
      <c r="P33" s="18">
        <f t="shared" si="119"/>
        <v>0.61353802435800542</v>
      </c>
      <c r="Q33" s="18">
        <f t="shared" si="119"/>
        <v>0.69014027089442964</v>
      </c>
      <c r="R33" s="18">
        <f t="shared" si="119"/>
        <v>0.68232121356039288</v>
      </c>
      <c r="S33" s="18">
        <f t="shared" si="119"/>
        <v>0.68760979339528128</v>
      </c>
      <c r="T33" s="18">
        <f t="shared" si="119"/>
        <v>0.64174348873611931</v>
      </c>
      <c r="U33" s="18">
        <f t="shared" si="119"/>
        <v>0.69451704532789726</v>
      </c>
      <c r="V33" s="18">
        <f t="shared" si="119"/>
        <v>0.70110358487272417</v>
      </c>
      <c r="W33" s="18">
        <f t="shared" si="119"/>
        <v>0.64457907160947148</v>
      </c>
      <c r="Y33" s="18">
        <f t="shared" ref="Y33:AK33" si="120">Y32/Y11</f>
        <v>0.59470476799863348</v>
      </c>
      <c r="Z33" s="18">
        <f t="shared" si="120"/>
        <v>0.58094074517898686</v>
      </c>
      <c r="AA33" s="18">
        <f t="shared" si="120"/>
        <v>0.58594029755842358</v>
      </c>
      <c r="AB33" s="18">
        <f t="shared" si="120"/>
        <v>0.58409870450442081</v>
      </c>
      <c r="AC33" s="18">
        <f t="shared" si="120"/>
        <v>0.5770895714319223</v>
      </c>
      <c r="AD33" s="18">
        <f t="shared" si="120"/>
        <v>0.57256260898790856</v>
      </c>
      <c r="AE33" s="18">
        <f t="shared" si="120"/>
        <v>0.58031197099084131</v>
      </c>
      <c r="AF33" s="18">
        <f t="shared" si="120"/>
        <v>0.59137404224072498</v>
      </c>
      <c r="AG33" s="18">
        <f t="shared" si="120"/>
        <v>0.66948912874191091</v>
      </c>
      <c r="AH33" s="18">
        <f t="shared" si="120"/>
        <v>0.67487130959781871</v>
      </c>
      <c r="AI33" s="18">
        <f t="shared" si="120"/>
        <v>0.67646550657853155</v>
      </c>
      <c r="AJ33" s="18">
        <f t="shared" si="120"/>
        <v>0.68167002265094501</v>
      </c>
      <c r="AK33" s="18">
        <f t="shared" si="120"/>
        <v>0.67048287910862969</v>
      </c>
      <c r="AM33" s="134">
        <f>SUM(AK33-AG33)*10000</f>
        <v>9.9375036671878192</v>
      </c>
    </row>
    <row r="34" spans="2:39" ht="5.0999999999999996" customHeight="1">
      <c r="AM34" s="131"/>
    </row>
    <row r="35" spans="2:39" ht="12.75" customHeight="1">
      <c r="B35" s="24" t="s">
        <v>44</v>
      </c>
      <c r="C35" s="153">
        <f>('Historical Financials'!E106)/1000</f>
        <v>-497.923</v>
      </c>
      <c r="D35" s="153">
        <f>('Historical Financials'!F106)/1000</f>
        <v>-524.58500000000004</v>
      </c>
      <c r="E35" s="153">
        <f>('Historical Financials'!G106)/1000</f>
        <v>-407.72899999999998</v>
      </c>
      <c r="F35" s="153">
        <f>('Historical Financials'!H106)/1000</f>
        <v>-348.55200000000002</v>
      </c>
      <c r="G35" s="153">
        <f>('Historical Financials'!I106)/1000</f>
        <v>-439.53800000000001</v>
      </c>
      <c r="I35" s="153">
        <f>('Historical Financials'!O106)/1000</f>
        <v>-121.158</v>
      </c>
      <c r="J35" s="153">
        <f>('Historical Financials'!P106)/1000</f>
        <v>-90.018000000000001</v>
      </c>
      <c r="K35" s="153">
        <f>('Historical Financials'!Q106)/1000</f>
        <v>-84.96</v>
      </c>
      <c r="L35" s="153">
        <f>('Historical Financials'!R106)/1000</f>
        <v>-111.593</v>
      </c>
      <c r="M35" s="153">
        <f>('Historical Financials'!S106)/1000</f>
        <v>-62.018999999999998</v>
      </c>
      <c r="N35" s="153">
        <f>('Historical Financials'!T106)/1000</f>
        <v>-100.97199999999999</v>
      </c>
      <c r="O35" s="153">
        <f>('Historical Financials'!U106)/1000</f>
        <v>-103.929</v>
      </c>
      <c r="P35" s="153">
        <f>('Historical Financials'!V106)/1000</f>
        <v>-81.632000000000005</v>
      </c>
      <c r="Q35" s="153">
        <f>('Historical Financials'!W106)/1000</f>
        <v>-75.713999999999999</v>
      </c>
      <c r="R35" s="153">
        <f>('Historical Financials'!X106)/1000</f>
        <v>-78.287000000000006</v>
      </c>
      <c r="S35" s="153">
        <f>('Historical Financials'!Y106)/1000</f>
        <v>-126.863</v>
      </c>
      <c r="T35" s="153">
        <f>('Historical Financials'!Z106)/1000</f>
        <v>-158.67400000000001</v>
      </c>
      <c r="U35" s="153">
        <f>('Historical Financials'!AA106)/1000</f>
        <v>-128.27699999999999</v>
      </c>
      <c r="V35" s="153">
        <f>('Historical Financials'!AB106)/1000</f>
        <v>-155.88900000000001</v>
      </c>
      <c r="W35" s="153">
        <f>('Historical Financials'!AC106)/1000</f>
        <v>-164.71899999999999</v>
      </c>
      <c r="Y35" s="10">
        <f t="shared" ref="Y35:AK38" si="121">SUM(H35:K35)</f>
        <v>-296.13599999999997</v>
      </c>
      <c r="Z35" s="10">
        <f t="shared" si="121"/>
        <v>-407.72899999999998</v>
      </c>
      <c r="AA35" s="10">
        <f t="shared" si="121"/>
        <v>-348.59000000000003</v>
      </c>
      <c r="AB35" s="10">
        <f t="shared" si="121"/>
        <v>-359.54399999999998</v>
      </c>
      <c r="AC35" s="10">
        <f t="shared" si="121"/>
        <v>-378.51300000000003</v>
      </c>
      <c r="AD35" s="10">
        <f t="shared" si="121"/>
        <v>-348.55199999999996</v>
      </c>
      <c r="AE35" s="10">
        <f t="shared" si="121"/>
        <v>-362.24700000000001</v>
      </c>
      <c r="AF35" s="10">
        <f t="shared" si="121"/>
        <v>-339.56200000000001</v>
      </c>
      <c r="AG35" s="154">
        <f t="shared" si="121"/>
        <v>-362.49599999999998</v>
      </c>
      <c r="AH35" s="154">
        <f t="shared" si="121"/>
        <v>-439.53800000000001</v>
      </c>
      <c r="AI35" s="154">
        <f t="shared" si="121"/>
        <v>-492.101</v>
      </c>
      <c r="AJ35" s="154">
        <f t="shared" si="121"/>
        <v>-569.70299999999997</v>
      </c>
      <c r="AK35" s="154">
        <f t="shared" si="121"/>
        <v>-607.55899999999997</v>
      </c>
      <c r="AM35" s="132">
        <f>SUM(AK35/AG35)-1</f>
        <v>0.67604332185734473</v>
      </c>
    </row>
    <row r="36" spans="2:39" ht="12.75" customHeight="1">
      <c r="B36" s="24" t="s">
        <v>45</v>
      </c>
      <c r="C36" s="153">
        <f>-('Historical Financials'!E136)/1000</f>
        <v>-291.58199999999999</v>
      </c>
      <c r="D36" s="153">
        <f>-('Historical Financials'!F136)/1000</f>
        <v>-509.26499999999999</v>
      </c>
      <c r="E36" s="153">
        <f>-('Historical Financials'!G136)/1000</f>
        <v>-811.72</v>
      </c>
      <c r="F36" s="153">
        <f>-('Historical Financials'!H136)/1000</f>
        <v>-1154.973</v>
      </c>
      <c r="G36" s="153">
        <f>-('Historical Financials'!I136)/1000</f>
        <v>-1641.53</v>
      </c>
      <c r="I36" s="153">
        <f>('Historical Financials'!O31)/1000</f>
        <v>-382.245</v>
      </c>
      <c r="J36" s="153">
        <f>('Historical Financials'!P31)/1000</f>
        <v>-182.10300000000001</v>
      </c>
      <c r="K36" s="153">
        <f>('Historical Financials'!Q31)/1000</f>
        <v>-223.60499999999999</v>
      </c>
      <c r="L36" s="153">
        <f>('Historical Financials'!R31)/1000</f>
        <v>15.948</v>
      </c>
      <c r="M36" s="153">
        <f>('Historical Financials'!S31)/1000</f>
        <v>-163.75399999999999</v>
      </c>
      <c r="N36" s="153">
        <f>('Historical Financials'!T31)/1000</f>
        <v>-191.72200000000001</v>
      </c>
      <c r="O36" s="153">
        <f>('Historical Financials'!U31)/1000</f>
        <v>-231.62700000000001</v>
      </c>
      <c r="P36" s="153">
        <f>('Historical Financials'!V31)/1000</f>
        <v>-210.31200000000001</v>
      </c>
      <c r="Q36" s="153">
        <f>('Historical Financials'!W31)/1000</f>
        <v>-282.37</v>
      </c>
      <c r="R36" s="153">
        <f>('Historical Financials'!X31)/1000</f>
        <v>-366.55</v>
      </c>
      <c r="S36" s="153">
        <f>('Historical Financials'!Y31)/1000</f>
        <v>-339.44499999999999</v>
      </c>
      <c r="T36" s="153">
        <f>('Historical Financials'!Z31)/1000</f>
        <v>-265.661</v>
      </c>
      <c r="U36" s="153">
        <f>('Historical Financials'!AA31)/1000</f>
        <v>-323.375</v>
      </c>
      <c r="V36" s="153">
        <f>('Historical Financials'!AB31)/1000</f>
        <v>-506.262</v>
      </c>
      <c r="W36" s="153">
        <f>('Historical Financials'!AC31)/1000</f>
        <v>-562.49400000000003</v>
      </c>
      <c r="Y36" s="10">
        <f t="shared" si="121"/>
        <v>-787.95299999999997</v>
      </c>
      <c r="Z36" s="10">
        <f t="shared" si="121"/>
        <v>-772.005</v>
      </c>
      <c r="AA36" s="10">
        <f t="shared" si="121"/>
        <v>-553.51400000000001</v>
      </c>
      <c r="AB36" s="10">
        <f t="shared" si="121"/>
        <v>-563.13299999999992</v>
      </c>
      <c r="AC36" s="10">
        <f t="shared" si="121"/>
        <v>-571.15499999999997</v>
      </c>
      <c r="AD36" s="10">
        <f t="shared" si="121"/>
        <v>-797.41500000000008</v>
      </c>
      <c r="AE36" s="10">
        <f t="shared" si="121"/>
        <v>-916.03100000000006</v>
      </c>
      <c r="AF36" s="10">
        <f t="shared" si="121"/>
        <v>-1090.8589999999999</v>
      </c>
      <c r="AG36" s="154">
        <f t="shared" si="121"/>
        <v>-1198.6769999999999</v>
      </c>
      <c r="AH36" s="154">
        <f t="shared" si="121"/>
        <v>-1254.0260000000001</v>
      </c>
      <c r="AI36" s="154">
        <f t="shared" si="121"/>
        <v>-1295.0309999999999</v>
      </c>
      <c r="AJ36" s="154">
        <f t="shared" si="121"/>
        <v>-1434.7429999999999</v>
      </c>
      <c r="AK36" s="154">
        <f t="shared" si="121"/>
        <v>-1657.7919999999999</v>
      </c>
      <c r="AM36" s="132">
        <f>SUM(AK36/AG36)-1</f>
        <v>0.38301811080049086</v>
      </c>
    </row>
    <row r="37" spans="2:39" ht="12.75" customHeight="1">
      <c r="B37" s="24" t="s">
        <v>83</v>
      </c>
      <c r="C37" s="153">
        <f>-('Historical Financials'!E137)/1000</f>
        <v>-762.904</v>
      </c>
      <c r="D37" s="153">
        <f>-('Historical Financials'!F137)/1000</f>
        <v>-763.43200000000002</v>
      </c>
      <c r="E37" s="153">
        <f>-('Historical Financials'!G137)/1000</f>
        <v>-701.69299999999998</v>
      </c>
      <c r="F37" s="153">
        <f>-('Historical Financials'!H137)/1000</f>
        <v>-684.50400000000002</v>
      </c>
      <c r="G37" s="153">
        <f>-('Historical Financials'!I137)/1000</f>
        <v>-674.50199999999995</v>
      </c>
      <c r="I37" s="153">
        <f>('Historical Financials'!O26)/1000</f>
        <v>-187.57900000000001</v>
      </c>
      <c r="J37" s="153">
        <f>('Historical Financials'!P26)/1000</f>
        <v>-175.45500000000001</v>
      </c>
      <c r="K37" s="153">
        <f>('Historical Financials'!Q26)/1000</f>
        <v>-172.57499999999999</v>
      </c>
      <c r="L37" s="153">
        <f>('Historical Financials'!R26)/1000</f>
        <v>-170.60300000000001</v>
      </c>
      <c r="M37" s="153">
        <f>('Historical Financials'!S26)/1000</f>
        <v>-174.239</v>
      </c>
      <c r="N37" s="153">
        <f>('Historical Financials'!T26)/1000</f>
        <v>-174.81200000000001</v>
      </c>
      <c r="O37" s="153">
        <f>('Historical Financials'!U26)/1000</f>
        <v>-175.56299999999999</v>
      </c>
      <c r="P37" s="153">
        <f>('Historical Financials'!V26)/1000</f>
        <v>-175.21199999999999</v>
      </c>
      <c r="Q37" s="153">
        <f>('Historical Financials'!W26)/1000</f>
        <v>-173.31399999999999</v>
      </c>
      <c r="R37" s="153">
        <f>('Historical Financials'!X26)/1000</f>
        <v>-167.98599999999999</v>
      </c>
      <c r="S37" s="153">
        <f>('Historical Financials'!Y26)/1000</f>
        <v>-184.83</v>
      </c>
      <c r="T37" s="153">
        <f>('Historical Financials'!Z26)/1000</f>
        <v>-192.60300000000001</v>
      </c>
      <c r="U37" s="153">
        <f>('Historical Financials'!AA26)/1000</f>
        <v>-184.172</v>
      </c>
      <c r="V37" s="153">
        <f>('Historical Financials'!AB26)/1000</f>
        <v>-182.649</v>
      </c>
      <c r="W37" s="153">
        <f>('Historical Financials'!AC26)/1000</f>
        <v>-175.29400000000001</v>
      </c>
      <c r="Y37" s="10">
        <f t="shared" si="121"/>
        <v>-535.60899999999992</v>
      </c>
      <c r="Z37" s="10">
        <f t="shared" si="121"/>
        <v>-706.21199999999999</v>
      </c>
      <c r="AA37" s="10">
        <f t="shared" si="121"/>
        <v>-692.87200000000007</v>
      </c>
      <c r="AB37" s="10">
        <f t="shared" si="121"/>
        <v>-692.22900000000004</v>
      </c>
      <c r="AC37" s="10">
        <f t="shared" si="121"/>
        <v>-695.21699999999998</v>
      </c>
      <c r="AD37" s="10">
        <f t="shared" si="121"/>
        <v>-699.82600000000002</v>
      </c>
      <c r="AE37" s="10">
        <f t="shared" si="121"/>
        <v>-698.90099999999995</v>
      </c>
      <c r="AF37" s="10">
        <f t="shared" si="121"/>
        <v>-692.07499999999993</v>
      </c>
      <c r="AG37" s="154">
        <f t="shared" si="121"/>
        <v>-701.34199999999998</v>
      </c>
      <c r="AH37" s="154">
        <f t="shared" si="121"/>
        <v>-718.73299999999995</v>
      </c>
      <c r="AI37" s="154">
        <f t="shared" si="121"/>
        <v>-729.59100000000012</v>
      </c>
      <c r="AJ37" s="154">
        <f t="shared" si="121"/>
        <v>-744.25400000000002</v>
      </c>
      <c r="AK37" s="154">
        <f t="shared" si="121"/>
        <v>-734.71799999999996</v>
      </c>
      <c r="AM37" s="132">
        <f>SUM(AK37/AG37)-1</f>
        <v>4.7588765538068456E-2</v>
      </c>
    </row>
    <row r="38" spans="2:39" ht="12.75" customHeight="1">
      <c r="B38" s="24" t="s">
        <v>46</v>
      </c>
      <c r="C38" s="153">
        <f>SUM('Historical Financials'!E98:E102)/1000</f>
        <v>-31.873000000000001</v>
      </c>
      <c r="D38" s="153">
        <f>SUM('Historical Financials'!F98:F102)/1000</f>
        <v>-241.977</v>
      </c>
      <c r="E38" s="153">
        <f>SUM('Historical Financials'!G98:G102)/1000</f>
        <v>-758.08699999999999</v>
      </c>
      <c r="F38" s="153">
        <f>SUM('Historical Financials'!H98:H102)/1000</f>
        <v>-116.148</v>
      </c>
      <c r="G38" s="153">
        <f>SUM('Historical Financials'!I98:I102)/1000</f>
        <v>-33.075000000000003</v>
      </c>
      <c r="I38" s="153">
        <f>SUM('Historical Financials'!O98:O102)/1000</f>
        <v>25.288</v>
      </c>
      <c r="J38" s="153">
        <f>SUM('Historical Financials'!P98:P102)/1000</f>
        <v>-122.70399999999999</v>
      </c>
      <c r="K38" s="153">
        <f>SUM('Historical Financials'!Q98:Q102)/1000</f>
        <v>93.272000000000006</v>
      </c>
      <c r="L38" s="153">
        <f>SUM('Historical Financials'!R98:R102)/1000</f>
        <v>-753.94299999999998</v>
      </c>
      <c r="M38" s="153">
        <f>SUM('Historical Financials'!S98:S102)/1000</f>
        <v>-64.218000000000004</v>
      </c>
      <c r="N38" s="153">
        <f>SUM('Historical Financials'!T98:T102)/1000</f>
        <v>-35.189</v>
      </c>
      <c r="O38" s="153">
        <f>SUM('Historical Financials'!U98:U102)/1000</f>
        <v>-75.745000000000005</v>
      </c>
      <c r="P38" s="153">
        <f>SUM('Historical Financials'!V98:V102)/1000</f>
        <v>59.003999999999998</v>
      </c>
      <c r="Q38" s="153">
        <f>SUM('Historical Financials'!W98:W102)/1000</f>
        <v>105.03400000000001</v>
      </c>
      <c r="R38" s="153">
        <f>SUM('Historical Financials'!X98:X102)/1000</f>
        <v>-247.227</v>
      </c>
      <c r="S38" s="153">
        <f>SUM('Historical Financials'!Y98:Y102)/1000</f>
        <v>179.57900000000001</v>
      </c>
      <c r="T38" s="153">
        <f>SUM('Historical Financials'!Z98:Z102)/1000</f>
        <v>-70.460999999999999</v>
      </c>
      <c r="U38" s="153">
        <f>SUM('Historical Financials'!AA98:AA102)/1000</f>
        <v>-94.747</v>
      </c>
      <c r="V38" s="153">
        <f>SUM('Historical Financials'!AB98:AB102)/1000</f>
        <v>-684.86099999999999</v>
      </c>
      <c r="W38" s="153">
        <f>SUM('Historical Financials'!AC98:AC102)/1000</f>
        <v>575.75</v>
      </c>
      <c r="Y38" s="10">
        <f t="shared" si="121"/>
        <v>-4.1439999999999912</v>
      </c>
      <c r="Z38" s="10">
        <f t="shared" si="121"/>
        <v>-758.08699999999999</v>
      </c>
      <c r="AA38" s="10">
        <f t="shared" si="121"/>
        <v>-847.59299999999996</v>
      </c>
      <c r="AB38" s="10">
        <f t="shared" si="121"/>
        <v>-760.07799999999986</v>
      </c>
      <c r="AC38" s="10">
        <f t="shared" si="121"/>
        <v>-929.09499999999991</v>
      </c>
      <c r="AD38" s="10">
        <f t="shared" si="121"/>
        <v>-116.14800000000002</v>
      </c>
      <c r="AE38" s="10">
        <f t="shared" si="121"/>
        <v>53.104000000000006</v>
      </c>
      <c r="AF38" s="10">
        <f t="shared" si="121"/>
        <v>-158.934</v>
      </c>
      <c r="AG38" s="154">
        <f t="shared" si="121"/>
        <v>96.390000000000015</v>
      </c>
      <c r="AH38" s="154">
        <f t="shared" si="121"/>
        <v>-33.074999999999974</v>
      </c>
      <c r="AI38" s="154">
        <f t="shared" si="121"/>
        <v>-232.85599999999999</v>
      </c>
      <c r="AJ38" s="154">
        <f t="shared" si="121"/>
        <v>-670.49</v>
      </c>
      <c r="AK38" s="154">
        <f t="shared" si="121"/>
        <v>-274.31899999999996</v>
      </c>
      <c r="AM38" s="132">
        <f>SUM(AK38/AG38)-1</f>
        <v>-3.8459280008299608</v>
      </c>
    </row>
    <row r="39" spans="2:39" ht="12.75" customHeight="1">
      <c r="B39" s="13" t="s">
        <v>47</v>
      </c>
      <c r="C39" s="14">
        <f>SUM(C32+SUM(C35:C38))</f>
        <v>14338.809000000001</v>
      </c>
      <c r="D39" s="14">
        <f>SUM(D32+SUM(D35:D38))</f>
        <v>16997.249000000003</v>
      </c>
      <c r="E39" s="14">
        <f>SUM(E32+SUM(E35:E38))</f>
        <v>17891.868000000006</v>
      </c>
      <c r="F39" s="14">
        <f>SUM(F32+SUM(F35:F38))</f>
        <v>19543.578000000001</v>
      </c>
      <c r="G39" s="14">
        <f>SUM(G32+SUM(G35:G38))</f>
        <v>23531.988000000001</v>
      </c>
      <c r="I39" s="14">
        <f t="shared" ref="I39:V39" si="122">SUM(I32+SUM(I35:I38))</f>
        <v>4666.1080000000002</v>
      </c>
      <c r="J39" s="14">
        <f t="shared" si="122"/>
        <v>4503.2480000000005</v>
      </c>
      <c r="K39" s="14">
        <f t="shared" si="122"/>
        <v>5035.9920000000002</v>
      </c>
      <c r="L39" s="14">
        <f t="shared" si="122"/>
        <v>3721.7160000000013</v>
      </c>
      <c r="M39" s="14">
        <f t="shared" si="122"/>
        <v>4899.505000000001</v>
      </c>
      <c r="N39" s="14">
        <f t="shared" si="122"/>
        <v>4901.9240000000009</v>
      </c>
      <c r="O39" s="14">
        <f t="shared" si="122"/>
        <v>5073.262999999999</v>
      </c>
      <c r="P39" s="14">
        <f t="shared" si="122"/>
        <v>5011.1219999999985</v>
      </c>
      <c r="Q39" s="14">
        <f t="shared" si="122"/>
        <v>6040.5539999999983</v>
      </c>
      <c r="R39" s="14">
        <f t="shared" si="122"/>
        <v>5662.47</v>
      </c>
      <c r="S39" s="14">
        <f t="shared" si="122"/>
        <v>6284.0029999999997</v>
      </c>
      <c r="T39" s="14">
        <f t="shared" si="122"/>
        <v>5888.2339999999986</v>
      </c>
      <c r="U39" s="14">
        <f t="shared" si="122"/>
        <v>6591.5839999999998</v>
      </c>
      <c r="V39" s="14">
        <f t="shared" si="122"/>
        <v>6237.9820000000009</v>
      </c>
      <c r="W39" s="14">
        <f>SUM(W32+SUM(W35:W38))</f>
        <v>7092.5460000000012</v>
      </c>
      <c r="Y39" s="14">
        <f t="shared" ref="Y39:AI39" si="123">SUM(Y32+SUM(Y35:Y38))</f>
        <v>4614.523000000002</v>
      </c>
      <c r="Z39" s="14">
        <f t="shared" si="123"/>
        <v>5538.3100000000013</v>
      </c>
      <c r="AA39" s="14">
        <f t="shared" si="123"/>
        <v>5961.4930000000022</v>
      </c>
      <c r="AB39" s="14">
        <f t="shared" si="123"/>
        <v>6038.6360000000004</v>
      </c>
      <c r="AC39" s="14">
        <f t="shared" si="123"/>
        <v>5815.7580000000016</v>
      </c>
      <c r="AD39" s="14">
        <f t="shared" si="123"/>
        <v>6554.2309999999998</v>
      </c>
      <c r="AE39" s="14">
        <f t="shared" si="123"/>
        <v>7064.6399999999985</v>
      </c>
      <c r="AF39" s="14">
        <f t="shared" si="123"/>
        <v>7290.2929999999997</v>
      </c>
      <c r="AG39" s="14">
        <f t="shared" si="123"/>
        <v>22998.148999999994</v>
      </c>
      <c r="AH39" s="14">
        <f t="shared" si="123"/>
        <v>23875.261000000002</v>
      </c>
      <c r="AI39" s="14">
        <f t="shared" si="123"/>
        <v>24426.290999999997</v>
      </c>
      <c r="AJ39" s="14">
        <f>SUM(AJ32+SUM(AJ35:AJ38))</f>
        <v>25001.802999999996</v>
      </c>
      <c r="AK39" s="14">
        <f>SUM(AK32+SUM(AK35:AK38))</f>
        <v>25810.345999999994</v>
      </c>
      <c r="AM39" s="133">
        <f>SUM(AK39/AG39)-1</f>
        <v>0.12227927560605001</v>
      </c>
    </row>
    <row r="40" spans="2:39" ht="5.0999999999999996" customHeight="1"/>
    <row r="41" spans="2:39" ht="12.75" customHeight="1">
      <c r="B41" s="32" t="s">
        <v>177</v>
      </c>
      <c r="C41" s="153">
        <f>SUM('Historical Financials'!E109:E110)/1000</f>
        <v>0</v>
      </c>
      <c r="D41" s="153">
        <f>SUM('Historical Financials'!F109:F110)/1000</f>
        <v>0</v>
      </c>
      <c r="E41" s="153">
        <f>SUM('Historical Financials'!G109:G110)/1000</f>
        <v>-911.27599999999995</v>
      </c>
      <c r="F41" s="153">
        <f>SUM('Historical Financials'!H109:H110)/1000</f>
        <v>890.303</v>
      </c>
      <c r="G41" s="153">
        <f>SUM('Historical Financials'!I109:I110)/1000</f>
        <v>-1742.2460000000001</v>
      </c>
      <c r="H41" s="33"/>
      <c r="I41" s="153">
        <f>SUM('Historical Financials'!O109:O110)/1000</f>
        <v>0</v>
      </c>
      <c r="J41" s="153">
        <f>SUM('Historical Financials'!P109:P110)/1000</f>
        <v>0</v>
      </c>
      <c r="K41" s="153">
        <f>SUM('Historical Financials'!Q109:Q110)/1000</f>
        <v>0</v>
      </c>
      <c r="L41" s="153">
        <f>SUM('Historical Financials'!R109:R110)/1000</f>
        <v>-911.27599999999995</v>
      </c>
      <c r="M41" s="153">
        <f>SUM('Historical Financials'!S109:S110)/1000</f>
        <v>-201.63399999999999</v>
      </c>
      <c r="N41" s="153">
        <f>SUM('Historical Financials'!T109:T110)/1000</f>
        <v>198.709</v>
      </c>
      <c r="O41" s="153">
        <f>SUM('Historical Financials'!U109:U110)/1000</f>
        <v>400</v>
      </c>
      <c r="P41" s="153">
        <f>SUM('Historical Financials'!V109:V110)/1000</f>
        <v>493.22800000000001</v>
      </c>
      <c r="Q41" s="153">
        <f>SUM('Historical Financials'!W109:W110)/1000</f>
        <v>0</v>
      </c>
      <c r="R41" s="153">
        <f>SUM('Historical Financials'!X109:X110)/1000</f>
        <v>0</v>
      </c>
      <c r="S41" s="153">
        <f>SUM('Historical Financials'!Y109:Y110)/1000</f>
        <v>-1742.2460000000001</v>
      </c>
      <c r="T41" s="153">
        <f>SUM('Historical Financials'!Z109:Z110)/1000</f>
        <v>0</v>
      </c>
      <c r="U41" s="153">
        <f>SUM('Historical Financials'!AA109:AA110)/1000</f>
        <v>613.93899999999996</v>
      </c>
      <c r="V41" s="153">
        <f>SUM('Historical Financials'!AB109:AB110)/1000</f>
        <v>960.76300000000003</v>
      </c>
      <c r="W41" s="153">
        <f>SUM('Historical Financials'!AC109:AC110)/1000</f>
        <v>172.4</v>
      </c>
      <c r="Y41" s="10">
        <f t="shared" ref="Y41:AK42" si="124">SUM(H41:K41)</f>
        <v>0</v>
      </c>
      <c r="Z41" s="10">
        <f t="shared" si="124"/>
        <v>-911.27599999999995</v>
      </c>
      <c r="AA41" s="10">
        <f t="shared" si="124"/>
        <v>-1112.9099999999999</v>
      </c>
      <c r="AB41" s="10">
        <f t="shared" si="124"/>
        <v>-914.20099999999979</v>
      </c>
      <c r="AC41" s="10">
        <f t="shared" si="124"/>
        <v>-514.20099999999979</v>
      </c>
      <c r="AD41" s="10">
        <f t="shared" si="124"/>
        <v>890.30300000000011</v>
      </c>
      <c r="AE41" s="10">
        <f t="shared" si="124"/>
        <v>1091.9370000000001</v>
      </c>
      <c r="AF41" s="10">
        <f t="shared" si="124"/>
        <v>893.22800000000007</v>
      </c>
      <c r="AG41" s="154">
        <f t="shared" si="124"/>
        <v>-1249.018</v>
      </c>
      <c r="AH41" s="154">
        <f t="shared" si="124"/>
        <v>-1742.2460000000001</v>
      </c>
      <c r="AI41" s="154">
        <f t="shared" si="124"/>
        <v>-1128.3070000000002</v>
      </c>
      <c r="AJ41" s="154">
        <f t="shared" si="124"/>
        <v>-167.54400000000021</v>
      </c>
      <c r="AK41" s="154">
        <f t="shared" si="124"/>
        <v>1747.1020000000001</v>
      </c>
    </row>
    <row r="42" spans="2:39" ht="12.75" customHeight="1">
      <c r="B42" s="32" t="s">
        <v>120</v>
      </c>
      <c r="C42" s="153">
        <f>('Historical Financials'!E108)/1000</f>
        <v>0</v>
      </c>
      <c r="D42" s="153">
        <f>('Historical Financials'!F108)/1000</f>
        <v>-788.34900000000005</v>
      </c>
      <c r="E42" s="153">
        <f>('Historical Financials'!G108)/1000</f>
        <v>-757.38699999999994</v>
      </c>
      <c r="F42" s="153">
        <f>('Historical Financials'!H108)/1000</f>
        <v>0</v>
      </c>
      <c r="G42" s="153">
        <f>('Historical Financials'!I108)/1000</f>
        <v>0</v>
      </c>
      <c r="H42" s="33"/>
      <c r="I42" s="153">
        <f>('Historical Financials'!O108)/1000</f>
        <v>-124.521</v>
      </c>
      <c r="J42" s="153">
        <f>('Historical Financials'!P108)/1000</f>
        <v>-68.876000000000005</v>
      </c>
      <c r="K42" s="153">
        <f>('Historical Financials'!Q108)/1000</f>
        <v>0</v>
      </c>
      <c r="L42" s="153">
        <f>('Historical Financials'!R108)/1000</f>
        <v>-563.99</v>
      </c>
      <c r="M42" s="153">
        <f>('Historical Financials'!S108)/1000</f>
        <v>0</v>
      </c>
      <c r="N42" s="153">
        <f>('Historical Financials'!T108)/1000</f>
        <v>0</v>
      </c>
      <c r="O42" s="153">
        <f>('Historical Financials'!U108)/1000</f>
        <v>0</v>
      </c>
      <c r="P42" s="153">
        <f>('Historical Financials'!V108)/1000</f>
        <v>0</v>
      </c>
      <c r="Q42" s="153">
        <f>('Historical Financials'!W108)/1000</f>
        <v>0</v>
      </c>
      <c r="R42" s="153">
        <f>('Historical Financials'!X108)/1000</f>
        <v>0</v>
      </c>
      <c r="S42" s="153">
        <f>('Historical Financials'!Y108)/1000</f>
        <v>0</v>
      </c>
      <c r="T42" s="153">
        <f>('Historical Financials'!Z108)/1000</f>
        <v>0</v>
      </c>
      <c r="U42" s="153">
        <f>('Historical Financials'!AA108)/1000</f>
        <v>0</v>
      </c>
      <c r="V42" s="153">
        <f>('Historical Financials'!AB108)/1000</f>
        <v>-36.19</v>
      </c>
      <c r="W42" s="153">
        <f>('Historical Financials'!AC108)/1000</f>
        <v>36.19</v>
      </c>
      <c r="Y42" s="10">
        <f t="shared" si="124"/>
        <v>-193.39699999999999</v>
      </c>
      <c r="Z42" s="10">
        <f t="shared" si="124"/>
        <v>-757.38699999999994</v>
      </c>
      <c r="AA42" s="10">
        <f t="shared" si="124"/>
        <v>-632.86599999999999</v>
      </c>
      <c r="AB42" s="10">
        <f t="shared" si="124"/>
        <v>-563.99</v>
      </c>
      <c r="AC42" s="10">
        <f t="shared" si="124"/>
        <v>-563.99</v>
      </c>
      <c r="AD42" s="10">
        <f t="shared" si="124"/>
        <v>0</v>
      </c>
      <c r="AE42" s="10">
        <f t="shared" si="124"/>
        <v>0</v>
      </c>
      <c r="AF42" s="10">
        <f t="shared" si="124"/>
        <v>0</v>
      </c>
      <c r="AG42" s="154">
        <f t="shared" si="124"/>
        <v>0</v>
      </c>
      <c r="AH42" s="154">
        <f t="shared" si="124"/>
        <v>0</v>
      </c>
      <c r="AI42" s="154">
        <f t="shared" si="124"/>
        <v>0</v>
      </c>
      <c r="AJ42" s="154">
        <f t="shared" si="124"/>
        <v>-36.19</v>
      </c>
      <c r="AK42" s="154">
        <f t="shared" si="124"/>
        <v>0</v>
      </c>
    </row>
    <row r="43" spans="2:39" ht="12.75" customHeight="1">
      <c r="B43" s="32" t="s">
        <v>178</v>
      </c>
      <c r="C43" s="153">
        <f>SUM('Historical Financials'!E117:E118)/1000</f>
        <v>235.40600000000001</v>
      </c>
      <c r="D43" s="153">
        <f>SUM('Historical Financials'!F117:F118)/1000</f>
        <v>-425.608</v>
      </c>
      <c r="E43" s="153">
        <f>SUM('Historical Financials'!G117:G118)/1000</f>
        <v>35.746000000000002</v>
      </c>
      <c r="F43" s="153">
        <f>SUM('Historical Financials'!H117:H118)/1000</f>
        <v>-5875.357</v>
      </c>
      <c r="G43" s="153">
        <f>SUM('Historical Financials'!I117:I118)/1000</f>
        <v>-5430.8590000000004</v>
      </c>
      <c r="H43" s="33"/>
      <c r="I43" s="153">
        <f>SUM('Historical Financials'!O117:O118)/1000</f>
        <v>13.678000000000001</v>
      </c>
      <c r="J43" s="153">
        <f>SUM('Historical Financials'!P117:P118)/1000</f>
        <v>11.25</v>
      </c>
      <c r="K43" s="153">
        <f>SUM('Historical Financials'!Q117:Q118)/1000</f>
        <v>4.1130000000000004</v>
      </c>
      <c r="L43" s="153">
        <f>SUM('Historical Financials'!R117:R118)/1000</f>
        <v>6.7050000000000001</v>
      </c>
      <c r="M43" s="153">
        <f>SUM('Historical Financials'!S117:S118)/1000</f>
        <v>-374.07299999999998</v>
      </c>
      <c r="N43" s="153">
        <f>SUM('Historical Financials'!T117:T118)/1000</f>
        <v>-610.42899999999997</v>
      </c>
      <c r="O43" s="153">
        <f>SUM('Historical Financials'!U117:U118)/1000</f>
        <v>-2442.2820000000002</v>
      </c>
      <c r="P43" s="153">
        <f>SUM('Historical Financials'!V117:V118)/1000</f>
        <v>-2448.5729999999999</v>
      </c>
      <c r="Q43" s="153">
        <f>SUM('Historical Financials'!W117:W118)/1000</f>
        <v>-1731.1189999999999</v>
      </c>
      <c r="R43" s="153">
        <f>SUM('Historical Financials'!X117:X118)/1000</f>
        <v>-1481.248</v>
      </c>
      <c r="S43" s="153">
        <f>SUM('Historical Financials'!Y117:Y118)/1000</f>
        <v>-1556.7560000000001</v>
      </c>
      <c r="T43" s="153">
        <f>SUM('Historical Financials'!Z117:Z118)/1000</f>
        <v>-661.73599999999999</v>
      </c>
      <c r="U43" s="153">
        <f>SUM('Historical Financials'!AA117:AA118)/1000</f>
        <v>-3184.7939999999999</v>
      </c>
      <c r="V43" s="153">
        <f>SUM('Historical Financials'!AB117:AB118)/1000</f>
        <v>-1485.261</v>
      </c>
      <c r="W43" s="153">
        <f>SUM('Historical Financials'!AC117:AC118)/1000</f>
        <v>-1786.67</v>
      </c>
      <c r="Y43" s="10"/>
      <c r="Z43" s="10"/>
      <c r="AA43" s="10"/>
      <c r="AB43" s="10"/>
      <c r="AC43" s="10"/>
      <c r="AD43" s="10"/>
      <c r="AE43" s="10"/>
      <c r="AF43" s="10"/>
      <c r="AG43" s="154">
        <f t="shared" ref="AG43:AK44" si="125">SUM(P43:S43)</f>
        <v>-7217.6960000000008</v>
      </c>
      <c r="AH43" s="154">
        <f t="shared" si="125"/>
        <v>-5430.8590000000004</v>
      </c>
      <c r="AI43" s="154">
        <f t="shared" si="125"/>
        <v>-6884.5339999999997</v>
      </c>
      <c r="AJ43" s="154">
        <f t="shared" si="125"/>
        <v>-6888.5470000000005</v>
      </c>
      <c r="AK43" s="154">
        <f t="shared" si="125"/>
        <v>-7118.4609999999993</v>
      </c>
    </row>
    <row r="44" spans="2:39" ht="12.75" customHeight="1">
      <c r="B44" s="32" t="s">
        <v>179</v>
      </c>
      <c r="C44" s="153">
        <f>SUM('Historical Financials'!E114:E116)/1000</f>
        <v>1001.905</v>
      </c>
      <c r="D44" s="153">
        <f>SUM('Historical Financials'!F114:F116)/1000</f>
        <v>-500</v>
      </c>
      <c r="E44" s="153">
        <f>SUM('Historical Financials'!G114:G116)/1000</f>
        <v>-700</v>
      </c>
      <c r="F44" s="153">
        <f>SUM('Historical Financials'!H114:H116)/1000</f>
        <v>0</v>
      </c>
      <c r="G44" s="153">
        <f>SUM('Historical Financials'!I114:I116)/1000</f>
        <v>1394.46</v>
      </c>
      <c r="H44" s="33"/>
      <c r="I44" s="153">
        <f>SUM('Historical Financials'!O114:O116)/1000</f>
        <v>-700</v>
      </c>
      <c r="J44" s="153">
        <f>SUM('Historical Financials'!P114:P116)/1000</f>
        <v>0</v>
      </c>
      <c r="K44" s="153">
        <f>SUM('Historical Financials'!Q114:Q116)/1000</f>
        <v>0</v>
      </c>
      <c r="L44" s="153">
        <f>SUM('Historical Financials'!R114:R116)/1000</f>
        <v>0</v>
      </c>
      <c r="M44" s="153">
        <f>SUM('Historical Financials'!S114:S116)/1000</f>
        <v>0</v>
      </c>
      <c r="N44" s="153">
        <f>SUM('Historical Financials'!T114:T116)/1000</f>
        <v>0</v>
      </c>
      <c r="O44" s="153">
        <f>SUM('Historical Financials'!U114:U116)/1000</f>
        <v>0</v>
      </c>
      <c r="P44" s="153">
        <f>SUM('Historical Financials'!V114:V116)/1000</f>
        <v>0</v>
      </c>
      <c r="Q44" s="153">
        <f>SUM('Historical Financials'!W114:W116)/1000</f>
        <v>-400</v>
      </c>
      <c r="R44" s="153">
        <f>SUM('Historical Financials'!X114:X116)/1000</f>
        <v>0</v>
      </c>
      <c r="S44" s="153">
        <f>SUM('Historical Financials'!Y114:Y116)/1000</f>
        <v>1794.46</v>
      </c>
      <c r="T44" s="153">
        <f>SUM('Historical Financials'!Z114:Z116)/1000</f>
        <v>0</v>
      </c>
      <c r="U44" s="153">
        <f>SUM('Historical Financials'!AA114:AA116)/1000</f>
        <v>-800</v>
      </c>
      <c r="V44" s="153">
        <f>SUM('Historical Financials'!AB114:AB116)/1000</f>
        <v>-1033.45</v>
      </c>
      <c r="W44" s="153">
        <f>SUM('Historical Financials'!AC114:AC116)/1000</f>
        <v>0</v>
      </c>
      <c r="Y44" s="10"/>
      <c r="Z44" s="10"/>
      <c r="AA44" s="10"/>
      <c r="AB44" s="10"/>
      <c r="AC44" s="10"/>
      <c r="AD44" s="10"/>
      <c r="AE44" s="10"/>
      <c r="AF44" s="10"/>
      <c r="AG44" s="154">
        <f t="shared" si="125"/>
        <v>1394.46</v>
      </c>
      <c r="AH44" s="154">
        <f t="shared" si="125"/>
        <v>1394.46</v>
      </c>
      <c r="AI44" s="154">
        <f t="shared" si="125"/>
        <v>994.46</v>
      </c>
      <c r="AJ44" s="154">
        <f t="shared" si="125"/>
        <v>-38.990000000000009</v>
      </c>
      <c r="AK44" s="154">
        <f t="shared" si="125"/>
        <v>-1833.45</v>
      </c>
    </row>
    <row r="45" spans="2:39" ht="12.75" customHeight="1">
      <c r="B45" s="32" t="s">
        <v>180</v>
      </c>
      <c r="C45" s="153">
        <f>SUM('Historical Financials'!E89:E90)/1000</f>
        <v>-12536.717000000001</v>
      </c>
      <c r="D45" s="153">
        <f>SUM('Historical Financials'!F89:F90)/1000</f>
        <v>-17469.304</v>
      </c>
      <c r="E45" s="153">
        <f>SUM('Historical Financials'!G89:G90)/1000</f>
        <v>-16659.727999999999</v>
      </c>
      <c r="F45" s="153">
        <f>SUM('Historical Financials'!H89:H90)/1000</f>
        <v>-13140.305</v>
      </c>
      <c r="G45" s="153">
        <f>SUM('Historical Financials'!I89:I90)/1000</f>
        <v>-17002.752</v>
      </c>
      <c r="H45" s="33"/>
      <c r="I45" s="153">
        <f>SUM('Historical Financials'!O89:O90)/1000</f>
        <v>-3931.3130000000001</v>
      </c>
      <c r="J45" s="153">
        <f>SUM('Historical Financials'!P89:P90)/1000</f>
        <v>-4495.7830000000004</v>
      </c>
      <c r="K45" s="153">
        <f>SUM('Historical Financials'!Q89:Q90)/1000</f>
        <v>-4521.8040000000001</v>
      </c>
      <c r="L45" s="153">
        <f>SUM('Historical Financials'!R89:R90)/1000</f>
        <v>-3710.828</v>
      </c>
      <c r="M45" s="153">
        <f>SUM('Historical Financials'!S89:S90)/1000</f>
        <v>-2813.4569999999999</v>
      </c>
      <c r="N45" s="153">
        <f>SUM('Historical Financials'!T89:T90)/1000</f>
        <v>-3636.8879999999999</v>
      </c>
      <c r="O45" s="153">
        <f>SUM('Historical Financials'!U89:U90)/1000</f>
        <v>-3209.828</v>
      </c>
      <c r="P45" s="153">
        <f>SUM('Historical Financials'!V89:V90)/1000</f>
        <v>-3480.1320000000001</v>
      </c>
      <c r="Q45" s="153">
        <f>SUM('Historical Financials'!W89:W90)/1000</f>
        <v>-3918.4079999999999</v>
      </c>
      <c r="R45" s="153">
        <f>SUM('Historical Financials'!X89:X90)/1000</f>
        <v>-4415.424</v>
      </c>
      <c r="S45" s="153">
        <f>SUM('Historical Financials'!Y89:Y90)/1000</f>
        <v>-4099.9809999999998</v>
      </c>
      <c r="T45" s="153">
        <f>SUM('Historical Financials'!Z89:Z90)/1000</f>
        <v>-4568.9390000000003</v>
      </c>
      <c r="U45" s="153">
        <f>SUM('Historical Financials'!AA89:AA90)/1000</f>
        <v>-3960.91</v>
      </c>
      <c r="V45" s="153">
        <f>SUM('Historical Financials'!AB89:AB90)/1000</f>
        <v>-4049.8649999999998</v>
      </c>
      <c r="W45" s="153">
        <f>SUM('Historical Financials'!AC89:AC90)/1000</f>
        <v>-4629.6729999999998</v>
      </c>
      <c r="Y45" s="10"/>
      <c r="Z45" s="10"/>
      <c r="AA45" s="10"/>
      <c r="AB45" s="10"/>
      <c r="AC45" s="10"/>
      <c r="AD45" s="10"/>
      <c r="AE45" s="10"/>
      <c r="AF45" s="10">
        <f t="shared" ref="AF45:AK47" si="126">SUM(O45:R45)</f>
        <v>-15023.792000000001</v>
      </c>
      <c r="AG45" s="154">
        <f t="shared" si="126"/>
        <v>-15913.945</v>
      </c>
      <c r="AH45" s="154">
        <f t="shared" si="126"/>
        <v>-17002.752</v>
      </c>
      <c r="AI45" s="154">
        <f t="shared" si="126"/>
        <v>-17045.254000000001</v>
      </c>
      <c r="AJ45" s="154">
        <f t="shared" si="126"/>
        <v>-16679.695</v>
      </c>
      <c r="AK45" s="154">
        <f t="shared" si="126"/>
        <v>-17209.386999999999</v>
      </c>
    </row>
    <row r="46" spans="2:39" ht="12.75" customHeight="1">
      <c r="B46" s="32" t="s">
        <v>181</v>
      </c>
      <c r="C46" s="153">
        <f>SUM('Historical Financials'!E119:E120)/1000</f>
        <v>0</v>
      </c>
      <c r="D46" s="153">
        <f>SUM('Historical Financials'!F119:F120)/1000</f>
        <v>-224.16800000000001</v>
      </c>
      <c r="E46" s="153">
        <f>SUM('Historical Financials'!G119:G120)/1000</f>
        <v>0</v>
      </c>
      <c r="F46" s="153">
        <f>SUM('Historical Financials'!H119:H120)/1000</f>
        <v>-75.445999999999998</v>
      </c>
      <c r="G46" s="153">
        <f>SUM('Historical Financials'!I119:I120)/1000</f>
        <v>-38.027999999999999</v>
      </c>
      <c r="H46" s="33"/>
      <c r="I46" s="153">
        <f>SUM('Historical Financials'!O119:O120)/1000</f>
        <v>0</v>
      </c>
      <c r="J46" s="153">
        <f>SUM('Historical Financials'!P119:P120)/1000</f>
        <v>0</v>
      </c>
      <c r="K46" s="153">
        <f>SUM('Historical Financials'!Q119:Q120)/1000</f>
        <v>0</v>
      </c>
      <c r="L46" s="153">
        <f>SUM('Historical Financials'!R119:R120)/1000</f>
        <v>0</v>
      </c>
      <c r="M46" s="153">
        <f>SUM('Historical Financials'!S119:S120)/1000</f>
        <v>0</v>
      </c>
      <c r="N46" s="153">
        <f>SUM('Historical Financials'!T119:T120)/1000</f>
        <v>-38.92</v>
      </c>
      <c r="O46" s="153">
        <f>SUM('Historical Financials'!U119:U120)/1000</f>
        <v>-32.826000000000001</v>
      </c>
      <c r="P46" s="153">
        <f>SUM('Historical Financials'!V119:V120)/1000</f>
        <v>-3.7</v>
      </c>
      <c r="Q46" s="153">
        <f>SUM('Historical Financials'!W119:W120)/1000</f>
        <v>-1.825</v>
      </c>
      <c r="R46" s="153">
        <f>SUM('Historical Financials'!X119:X120)/1000</f>
        <v>-8.1329999999999991</v>
      </c>
      <c r="S46" s="153">
        <f>SUM('Historical Financials'!Y119:Y120)/1000</f>
        <v>-11.108000000000001</v>
      </c>
      <c r="T46" s="153">
        <f>SUM('Historical Financials'!Z119:Z120)/1000</f>
        <v>-16.962</v>
      </c>
      <c r="U46" s="153">
        <f>SUM('Historical Financials'!AA119:AA120)/1000</f>
        <v>-43.521999999999998</v>
      </c>
      <c r="V46" s="153">
        <f>SUM('Historical Financials'!AB119:AB120)/1000</f>
        <v>15.843</v>
      </c>
      <c r="W46" s="153">
        <f>SUM('Historical Financials'!AC119:AC120)/1000</f>
        <v>49.640999999999998</v>
      </c>
      <c r="Y46" s="10"/>
      <c r="Z46" s="10"/>
      <c r="AA46" s="10"/>
      <c r="AB46" s="10"/>
      <c r="AC46" s="10"/>
      <c r="AD46" s="10"/>
      <c r="AE46" s="10"/>
      <c r="AF46" s="10"/>
      <c r="AG46" s="154">
        <f>SUM(P46:S46)</f>
        <v>-24.765999999999998</v>
      </c>
      <c r="AH46" s="154">
        <f>SUM(Q46:T46)</f>
        <v>-38.027999999999999</v>
      </c>
      <c r="AI46" s="154">
        <f>SUM(R46:U46)</f>
        <v>-79.724999999999994</v>
      </c>
      <c r="AJ46" s="154">
        <f>SUM(S46:V46)</f>
        <v>-55.748999999999995</v>
      </c>
      <c r="AK46" s="154">
        <f>SUM(T46:W46)</f>
        <v>5.0000000000000071</v>
      </c>
    </row>
    <row r="47" spans="2:39" ht="12.75" customHeight="1">
      <c r="B47" s="32" t="s">
        <v>79</v>
      </c>
      <c r="C47" s="101"/>
      <c r="D47" s="101">
        <f>SUM(D52-C52)-SUM(D39:D45)</f>
        <v>8.2659999999978027</v>
      </c>
      <c r="E47" s="101">
        <f>SUM(E52-D52)-SUM(E39:E45)</f>
        <v>220.1489999999967</v>
      </c>
      <c r="F47" s="101">
        <f>SUM(F52-E52)-SUM(F39:F45)</f>
        <v>551.51799999999821</v>
      </c>
      <c r="G47" s="101">
        <f>SUM(G52-F52)-SUM(G39:G46)</f>
        <v>-24.742999999999711</v>
      </c>
      <c r="H47" s="33"/>
      <c r="I47" s="101">
        <f>SUM(I52-D52)-SUM(I39:I46)</f>
        <v>57.1899999999996</v>
      </c>
      <c r="J47" s="101">
        <f t="shared" ref="J47:W47" si="127">SUM(J52-I52)-SUM(J39:J46)</f>
        <v>-139.33600000000024</v>
      </c>
      <c r="K47" s="101">
        <f t="shared" si="127"/>
        <v>-224.01699999999983</v>
      </c>
      <c r="L47" s="101">
        <f t="shared" si="127"/>
        <v>491.11599999999862</v>
      </c>
      <c r="M47" s="101">
        <f t="shared" si="127"/>
        <v>57.076999999998861</v>
      </c>
      <c r="N47" s="101">
        <f t="shared" si="127"/>
        <v>133.79799999999875</v>
      </c>
      <c r="O47" s="101">
        <f t="shared" si="127"/>
        <v>-97.869999999998555</v>
      </c>
      <c r="P47" s="101">
        <f t="shared" si="127"/>
        <v>191.72300000000104</v>
      </c>
      <c r="Q47" s="101">
        <f t="shared" si="127"/>
        <v>-81.348999999998611</v>
      </c>
      <c r="R47" s="101">
        <f t="shared" si="127"/>
        <v>-157.49199999999908</v>
      </c>
      <c r="S47" s="101">
        <f t="shared" si="127"/>
        <v>163.71399999999971</v>
      </c>
      <c r="T47" s="101">
        <f t="shared" si="127"/>
        <v>-292.88899999999785</v>
      </c>
      <c r="U47" s="101">
        <f t="shared" si="127"/>
        <v>178.81799999999942</v>
      </c>
      <c r="V47" s="101">
        <f t="shared" si="127"/>
        <v>367.73499999999774</v>
      </c>
      <c r="W47" s="101">
        <f t="shared" si="127"/>
        <v>175.44799999999998</v>
      </c>
      <c r="Y47" s="10">
        <f t="shared" ref="Y47:AE47" si="128">SUM(H47:K47)</f>
        <v>-306.16300000000047</v>
      </c>
      <c r="Z47" s="10">
        <f t="shared" si="128"/>
        <v>184.95299999999816</v>
      </c>
      <c r="AA47" s="10">
        <f t="shared" si="128"/>
        <v>184.83999999999742</v>
      </c>
      <c r="AB47" s="10">
        <f t="shared" si="128"/>
        <v>457.97399999999641</v>
      </c>
      <c r="AC47" s="10">
        <f t="shared" si="128"/>
        <v>584.12099999999771</v>
      </c>
      <c r="AD47" s="10">
        <f t="shared" si="128"/>
        <v>284.72800000000007</v>
      </c>
      <c r="AE47" s="10">
        <f t="shared" si="128"/>
        <v>146.30200000000264</v>
      </c>
      <c r="AF47" s="10">
        <f t="shared" si="126"/>
        <v>-144.98799999999522</v>
      </c>
      <c r="AG47" s="154">
        <f t="shared" si="126"/>
        <v>116.59600000000306</v>
      </c>
      <c r="AH47" s="154">
        <f t="shared" si="126"/>
        <v>-368.01599999999581</v>
      </c>
      <c r="AI47" s="154">
        <f t="shared" si="126"/>
        <v>-107.84899999999777</v>
      </c>
      <c r="AJ47" s="154">
        <f t="shared" si="126"/>
        <v>417.37799999999902</v>
      </c>
      <c r="AK47" s="154">
        <f t="shared" si="126"/>
        <v>429.11199999999928</v>
      </c>
    </row>
    <row r="48" spans="2:39" ht="12.75" customHeight="1">
      <c r="B48" s="13" t="s">
        <v>48</v>
      </c>
      <c r="C48" s="14">
        <f>SUM(C39+SUM(C41:C47))</f>
        <v>3039.4030000000002</v>
      </c>
      <c r="D48" s="14">
        <f>SUM(D39+SUM(D41:D47))</f>
        <v>-2401.913999999997</v>
      </c>
      <c r="E48" s="14">
        <f>SUM(E39+SUM(E41:E47))</f>
        <v>-880.62799999999697</v>
      </c>
      <c r="F48" s="14">
        <f>SUM(F39+SUM(F41:F47))</f>
        <v>1894.2909999999974</v>
      </c>
      <c r="G48" s="14">
        <f>SUM(G39+SUM(G41:G47))</f>
        <v>687.82000000000335</v>
      </c>
      <c r="I48" s="14">
        <f t="shared" ref="I48:W48" si="129">SUM(I39+SUM(I41:I47))</f>
        <v>-18.858000000000175</v>
      </c>
      <c r="J48" s="14">
        <f t="shared" si="129"/>
        <v>-189.4970000000003</v>
      </c>
      <c r="K48" s="14">
        <f t="shared" si="129"/>
        <v>294.28400000000056</v>
      </c>
      <c r="L48" s="14">
        <f t="shared" si="129"/>
        <v>-966.55699999999979</v>
      </c>
      <c r="M48" s="14">
        <f t="shared" si="129"/>
        <v>1567.4180000000001</v>
      </c>
      <c r="N48" s="14">
        <f t="shared" si="129"/>
        <v>948.19399999999996</v>
      </c>
      <c r="O48" s="14">
        <f t="shared" si="129"/>
        <v>-309.54300000000057</v>
      </c>
      <c r="P48" s="14">
        <f t="shared" si="129"/>
        <v>-236.33200000000033</v>
      </c>
      <c r="Q48" s="14">
        <f t="shared" si="129"/>
        <v>-92.146999999999935</v>
      </c>
      <c r="R48" s="14">
        <f t="shared" si="129"/>
        <v>-399.82699999999932</v>
      </c>
      <c r="S48" s="14">
        <f t="shared" si="129"/>
        <v>832.08599999999933</v>
      </c>
      <c r="T48" s="14">
        <f t="shared" si="129"/>
        <v>347.70800000000054</v>
      </c>
      <c r="U48" s="14">
        <f t="shared" si="129"/>
        <v>-604.88500000000022</v>
      </c>
      <c r="V48" s="14">
        <f t="shared" si="129"/>
        <v>977.55699999999888</v>
      </c>
      <c r="W48" s="14">
        <f t="shared" si="129"/>
        <v>1109.8820000000014</v>
      </c>
      <c r="Y48" s="14">
        <f t="shared" ref="Y48:AK48" si="130">SUM(Y39+SUM(Y41:Y47))</f>
        <v>4114.9630000000016</v>
      </c>
      <c r="Z48" s="14">
        <f t="shared" si="130"/>
        <v>4054.5999999999995</v>
      </c>
      <c r="AA48" s="14">
        <f t="shared" si="130"/>
        <v>4400.5569999999998</v>
      </c>
      <c r="AB48" s="14">
        <f t="shared" si="130"/>
        <v>5018.4189999999971</v>
      </c>
      <c r="AC48" s="14">
        <f t="shared" si="130"/>
        <v>5321.6879999999992</v>
      </c>
      <c r="AD48" s="14">
        <f t="shared" si="130"/>
        <v>7729.2619999999997</v>
      </c>
      <c r="AE48" s="14">
        <f t="shared" si="130"/>
        <v>8302.8790000000008</v>
      </c>
      <c r="AF48" s="14">
        <f t="shared" si="130"/>
        <v>-6985.2589999999982</v>
      </c>
      <c r="AG48" s="14">
        <f t="shared" si="130"/>
        <v>103.7799999999952</v>
      </c>
      <c r="AH48" s="14">
        <f t="shared" si="130"/>
        <v>687.82000000000698</v>
      </c>
      <c r="AI48" s="14">
        <f t="shared" si="130"/>
        <v>175.08199999999852</v>
      </c>
      <c r="AJ48" s="14">
        <f t="shared" si="130"/>
        <v>1552.4659999999967</v>
      </c>
      <c r="AK48" s="14">
        <f t="shared" si="130"/>
        <v>1830.2619999999988</v>
      </c>
    </row>
    <row r="49" spans="1:37" ht="5.0999999999999996" customHeight="1"/>
    <row r="50" spans="1:37" ht="12.75" customHeight="1">
      <c r="A50" s="5"/>
      <c r="B50" s="34" t="s">
        <v>49</v>
      </c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 spans="1:37" ht="5.0999999999999996" customHeight="1"/>
    <row r="52" spans="1:37" ht="12.75" customHeight="1">
      <c r="B52" s="8" t="s">
        <v>50</v>
      </c>
      <c r="C52" s="99">
        <f>('Historical Financials'!E46)/1000</f>
        <v>8205.5499999999993</v>
      </c>
      <c r="D52" s="99">
        <f>('Historical Financials'!F46)/1000</f>
        <v>6027.8040000000001</v>
      </c>
      <c r="E52" s="99">
        <f>('Historical Financials'!G46)/1000</f>
        <v>5147.1760000000004</v>
      </c>
      <c r="F52" s="99">
        <f>('Historical Financials'!H46)/1000</f>
        <v>7116.9129999999996</v>
      </c>
      <c r="G52" s="99">
        <f>('Historical Financials'!I46)/1000</f>
        <v>7804.7330000000002</v>
      </c>
      <c r="H52" s="33"/>
      <c r="I52" s="99">
        <f>('Historical Financials'!O46)/1000</f>
        <v>6008.9459999999999</v>
      </c>
      <c r="J52" s="99">
        <f>('Historical Financials'!P46)/1000</f>
        <v>5819.4489999999996</v>
      </c>
      <c r="K52" s="99">
        <f>('Historical Financials'!Q46)/1000</f>
        <v>6113.7330000000002</v>
      </c>
      <c r="L52" s="99">
        <f>('Historical Financials'!R46)/1000</f>
        <v>5147.1760000000004</v>
      </c>
      <c r="M52" s="99">
        <f>('Historical Financials'!S46)/1000</f>
        <v>6714.5940000000001</v>
      </c>
      <c r="N52" s="99">
        <f>('Historical Financials'!T46)/1000</f>
        <v>7662.7879999999996</v>
      </c>
      <c r="O52" s="99">
        <f>('Historical Financials'!U46)/1000</f>
        <v>7353.2449999999999</v>
      </c>
      <c r="P52" s="99">
        <f>('Historical Financials'!V46)/1000</f>
        <v>7116.9129999999996</v>
      </c>
      <c r="Q52" s="99">
        <f>('Historical Financials'!W46)/1000</f>
        <v>7024.7659999999996</v>
      </c>
      <c r="R52" s="99">
        <f>('Historical Financials'!X46)/1000</f>
        <v>6624.9390000000003</v>
      </c>
      <c r="S52" s="99">
        <f>('Historical Financials'!Y46)/1000</f>
        <v>7457.0249999999996</v>
      </c>
      <c r="T52" s="99">
        <f>('Historical Financials'!Z46)/1000</f>
        <v>7804.7330000000002</v>
      </c>
      <c r="U52" s="99">
        <f>('Historical Financials'!AA46)/1000</f>
        <v>7199.848</v>
      </c>
      <c r="V52" s="99">
        <f>('Historical Financials'!AB46)/1000</f>
        <v>8177.4049999999997</v>
      </c>
      <c r="W52" s="99">
        <f>('Historical Financials'!AC46)/1000</f>
        <v>9287.2870000000003</v>
      </c>
      <c r="Y52" s="10">
        <f t="shared" ref="Y52:AK52" si="131">K52</f>
        <v>6113.7330000000002</v>
      </c>
      <c r="Z52" s="10">
        <f t="shared" si="131"/>
        <v>5147.1760000000004</v>
      </c>
      <c r="AA52" s="10">
        <f t="shared" si="131"/>
        <v>6714.5940000000001</v>
      </c>
      <c r="AB52" s="10">
        <f t="shared" si="131"/>
        <v>7662.7879999999996</v>
      </c>
      <c r="AC52" s="10">
        <f t="shared" si="131"/>
        <v>7353.2449999999999</v>
      </c>
      <c r="AD52" s="10">
        <f t="shared" si="131"/>
        <v>7116.9129999999996</v>
      </c>
      <c r="AE52" s="10">
        <f t="shared" si="131"/>
        <v>7024.7659999999996</v>
      </c>
      <c r="AF52" s="10">
        <f t="shared" si="131"/>
        <v>6624.9390000000003</v>
      </c>
      <c r="AG52" s="10">
        <f t="shared" si="131"/>
        <v>7457.0249999999996</v>
      </c>
      <c r="AH52" s="10">
        <f t="shared" si="131"/>
        <v>7804.7330000000002</v>
      </c>
      <c r="AI52" s="10">
        <f t="shared" si="131"/>
        <v>7199.848</v>
      </c>
      <c r="AJ52" s="10">
        <f t="shared" si="131"/>
        <v>8177.4049999999997</v>
      </c>
      <c r="AK52" s="10">
        <f t="shared" si="131"/>
        <v>9287.2870000000003</v>
      </c>
    </row>
    <row r="53" spans="1:37" ht="12.75" customHeight="1">
      <c r="B53" s="8" t="s">
        <v>119</v>
      </c>
      <c r="C53" s="99">
        <f>('Historical Financials'!E48)/1000</f>
        <v>0</v>
      </c>
      <c r="D53" s="99">
        <f>('Historical Financials'!F48)/1000</f>
        <v>0</v>
      </c>
      <c r="E53" s="99">
        <f>('Historical Financials'!G48)/1000</f>
        <v>911.27599999999995</v>
      </c>
      <c r="F53" s="99">
        <f>('Historical Financials'!H48)/1000</f>
        <v>20.972999999999999</v>
      </c>
      <c r="G53" s="99">
        <f>('Historical Financials'!I48)/1000</f>
        <v>1779.0060000000001</v>
      </c>
      <c r="H53" s="33"/>
      <c r="I53" s="99">
        <f>('Historical Financials'!O48)/1000</f>
        <v>0</v>
      </c>
      <c r="J53" s="99">
        <f>('Historical Financials'!P48)/1000</f>
        <v>0</v>
      </c>
      <c r="K53" s="99">
        <f>('Historical Financials'!Q48)/1000</f>
        <v>0</v>
      </c>
      <c r="L53" s="99">
        <f>('Historical Financials'!R48)/1000</f>
        <v>911.27599999999995</v>
      </c>
      <c r="M53" s="99">
        <f>('Historical Financials'!S48)/1000</f>
        <v>1112.9100000000001</v>
      </c>
      <c r="N53" s="99">
        <f>('Historical Financials'!T48)/1000</f>
        <v>914.20100000000002</v>
      </c>
      <c r="O53" s="99">
        <f>('Historical Financials'!U48)/1000</f>
        <v>514.20100000000002</v>
      </c>
      <c r="P53" s="99">
        <f>('Historical Financials'!V48)/1000</f>
        <v>20.972999999999999</v>
      </c>
      <c r="Q53" s="99">
        <f>('Historical Financials'!W48)/1000</f>
        <v>20.972999999999999</v>
      </c>
      <c r="R53" s="99">
        <f>('Historical Financials'!X48)/1000</f>
        <v>30.972999999999999</v>
      </c>
      <c r="S53" s="99">
        <f>('Historical Financials'!Y48)/1000</f>
        <v>1766.902</v>
      </c>
      <c r="T53" s="99">
        <f>('Historical Financials'!Z48)/1000</f>
        <v>1779.0060000000001</v>
      </c>
      <c r="U53" s="99">
        <f>('Historical Financials'!AA48)/1000</f>
        <v>1171.1420000000001</v>
      </c>
      <c r="V53" s="99">
        <f>('Historical Financials'!AB48)/1000</f>
        <v>213.11500000000001</v>
      </c>
      <c r="W53" s="99">
        <f>('Historical Financials'!AC48)/1000</f>
        <v>37.104999999999997</v>
      </c>
      <c r="Y53" s="10"/>
      <c r="Z53" s="10"/>
      <c r="AA53" s="10"/>
      <c r="AB53" s="10"/>
      <c r="AC53" s="10"/>
      <c r="AD53" s="10"/>
      <c r="AE53" s="10"/>
      <c r="AF53" s="10"/>
      <c r="AG53" s="10">
        <f t="shared" ref="AG53:AK54" si="132">S53</f>
        <v>1766.902</v>
      </c>
      <c r="AH53" s="10">
        <f t="shared" si="132"/>
        <v>1779.0060000000001</v>
      </c>
      <c r="AI53" s="10">
        <f t="shared" si="132"/>
        <v>1171.1420000000001</v>
      </c>
      <c r="AJ53" s="10">
        <f t="shared" si="132"/>
        <v>213.11500000000001</v>
      </c>
      <c r="AK53" s="10">
        <f t="shared" si="132"/>
        <v>37.104999999999997</v>
      </c>
    </row>
    <row r="54" spans="1:37" ht="12.75" customHeight="1">
      <c r="B54" s="32" t="s">
        <v>210</v>
      </c>
      <c r="C54" s="85">
        <v>750</v>
      </c>
      <c r="D54" s="85">
        <v>1000</v>
      </c>
      <c r="E54" s="85">
        <v>1000</v>
      </c>
      <c r="F54" s="85">
        <v>1000</v>
      </c>
      <c r="G54" s="85">
        <v>3000</v>
      </c>
      <c r="H54" s="99"/>
      <c r="I54" s="85">
        <v>1000</v>
      </c>
      <c r="J54" s="85">
        <v>1000</v>
      </c>
      <c r="K54" s="85">
        <v>1000</v>
      </c>
      <c r="L54" s="10">
        <f>E54</f>
        <v>1000</v>
      </c>
      <c r="M54" s="85">
        <v>1000</v>
      </c>
      <c r="N54" s="85">
        <v>1000</v>
      </c>
      <c r="O54" s="85">
        <v>1000</v>
      </c>
      <c r="P54" s="10">
        <f>F54</f>
        <v>1000</v>
      </c>
      <c r="Q54" s="85">
        <v>3000</v>
      </c>
      <c r="R54" s="85">
        <v>3000</v>
      </c>
      <c r="S54" s="85">
        <v>3000</v>
      </c>
      <c r="T54" s="10">
        <f>G54</f>
        <v>3000</v>
      </c>
      <c r="U54" s="85">
        <v>3000</v>
      </c>
      <c r="V54" s="85">
        <v>3000</v>
      </c>
      <c r="W54" s="85">
        <v>3000</v>
      </c>
      <c r="Y54" s="10"/>
      <c r="Z54" s="10"/>
      <c r="AA54" s="10"/>
      <c r="AB54" s="10"/>
      <c r="AC54" s="10"/>
      <c r="AD54" s="10"/>
      <c r="AE54" s="10"/>
      <c r="AF54" s="10"/>
      <c r="AG54" s="10">
        <f t="shared" si="132"/>
        <v>3000</v>
      </c>
      <c r="AH54" s="10">
        <f t="shared" si="132"/>
        <v>3000</v>
      </c>
      <c r="AI54" s="10">
        <f t="shared" si="132"/>
        <v>3000</v>
      </c>
      <c r="AJ54" s="10">
        <f t="shared" si="132"/>
        <v>3000</v>
      </c>
      <c r="AK54" s="10">
        <f t="shared" si="132"/>
        <v>3000</v>
      </c>
    </row>
    <row r="55" spans="1:37" ht="12.75" customHeight="1">
      <c r="B55" s="13" t="s">
        <v>51</v>
      </c>
      <c r="C55" s="14">
        <f>SUM(C52:C54)</f>
        <v>8955.5499999999993</v>
      </c>
      <c r="D55" s="14">
        <f>SUM(D52:D54)</f>
        <v>7027.8040000000001</v>
      </c>
      <c r="E55" s="14">
        <f>SUM(E52:E54)</f>
        <v>7058.4520000000002</v>
      </c>
      <c r="F55" s="14">
        <f>SUM(F52:F54)</f>
        <v>8137.8859999999995</v>
      </c>
      <c r="G55" s="14">
        <f>SUM(G52:G54)</f>
        <v>12583.739</v>
      </c>
      <c r="H55" s="33"/>
      <c r="I55" s="14">
        <f t="shared" ref="I55:W55" si="133">SUM(I52:I54)</f>
        <v>7008.9459999999999</v>
      </c>
      <c r="J55" s="14">
        <f t="shared" si="133"/>
        <v>6819.4489999999996</v>
      </c>
      <c r="K55" s="14">
        <f t="shared" si="133"/>
        <v>7113.7330000000002</v>
      </c>
      <c r="L55" s="14">
        <f t="shared" si="133"/>
        <v>7058.4520000000002</v>
      </c>
      <c r="M55" s="14">
        <f t="shared" si="133"/>
        <v>8827.5040000000008</v>
      </c>
      <c r="N55" s="14">
        <f t="shared" si="133"/>
        <v>9576.9889999999996</v>
      </c>
      <c r="O55" s="14">
        <f t="shared" si="133"/>
        <v>8867.4459999999999</v>
      </c>
      <c r="P55" s="14">
        <f t="shared" si="133"/>
        <v>8137.8859999999995</v>
      </c>
      <c r="Q55" s="14">
        <f t="shared" si="133"/>
        <v>10045.739</v>
      </c>
      <c r="R55" s="14">
        <f t="shared" si="133"/>
        <v>9655.9120000000003</v>
      </c>
      <c r="S55" s="14">
        <f t="shared" si="133"/>
        <v>12223.927</v>
      </c>
      <c r="T55" s="14">
        <f t="shared" si="133"/>
        <v>12583.739</v>
      </c>
      <c r="U55" s="14">
        <f t="shared" si="133"/>
        <v>11370.99</v>
      </c>
      <c r="V55" s="14">
        <f t="shared" si="133"/>
        <v>11390.52</v>
      </c>
      <c r="W55" s="14">
        <f t="shared" si="133"/>
        <v>12324.392</v>
      </c>
      <c r="Y55" s="14">
        <f t="shared" ref="Y55:AF55" si="134">SUM(Y52:Y52)</f>
        <v>6113.7330000000002</v>
      </c>
      <c r="Z55" s="14">
        <f t="shared" si="134"/>
        <v>5147.1760000000004</v>
      </c>
      <c r="AA55" s="14">
        <f t="shared" si="134"/>
        <v>6714.5940000000001</v>
      </c>
      <c r="AB55" s="14">
        <f t="shared" si="134"/>
        <v>7662.7879999999996</v>
      </c>
      <c r="AC55" s="14">
        <f t="shared" si="134"/>
        <v>7353.2449999999999</v>
      </c>
      <c r="AD55" s="14">
        <f t="shared" si="134"/>
        <v>7116.9129999999996</v>
      </c>
      <c r="AE55" s="14">
        <f t="shared" si="134"/>
        <v>7024.7659999999996</v>
      </c>
      <c r="AF55" s="14">
        <f t="shared" si="134"/>
        <v>6624.9390000000003</v>
      </c>
      <c r="AG55" s="14">
        <f>SUM(AG52:AG54)</f>
        <v>12223.927</v>
      </c>
      <c r="AH55" s="14">
        <f>SUM(AH52:AH54)</f>
        <v>12583.739</v>
      </c>
      <c r="AI55" s="14">
        <f>SUM(AI52:AI54)</f>
        <v>11370.99</v>
      </c>
      <c r="AJ55" s="14">
        <f>SUM(AJ52:AJ54)</f>
        <v>11390.52</v>
      </c>
      <c r="AK55" s="14">
        <f>SUM(AK52:AK54)</f>
        <v>12324.392</v>
      </c>
    </row>
    <row r="56" spans="1:37" ht="5.0999999999999996" customHeight="1"/>
    <row r="57" spans="1:37" ht="12.75" customHeight="1">
      <c r="B57" s="36" t="s">
        <v>52</v>
      </c>
    </row>
    <row r="58" spans="1:37" ht="12.75" customHeight="1">
      <c r="B58" s="8" t="s">
        <v>212</v>
      </c>
      <c r="C58" s="99">
        <f>('Historical Financials'!E53)/1000</f>
        <v>960.18299999999999</v>
      </c>
      <c r="D58" s="99">
        <f>('Historical Financials'!F53)/1000</f>
        <v>1323.453</v>
      </c>
      <c r="E58" s="99">
        <f>('Historical Financials'!G53)/1000</f>
        <v>1398.2570000000001</v>
      </c>
      <c r="F58" s="99">
        <f>('Historical Financials'!H53)/1000</f>
        <v>1491.444</v>
      </c>
      <c r="G58" s="99">
        <f>('Historical Financials'!I53)/1000</f>
        <v>1593.7560000000001</v>
      </c>
      <c r="I58" s="99">
        <f>('Historical Financials'!O53)/1000</f>
        <v>1383.7629999999999</v>
      </c>
      <c r="J58" s="99">
        <f>('Historical Financials'!P53)/1000</f>
        <v>1361.92</v>
      </c>
      <c r="K58" s="99">
        <f>('Historical Financials'!Q53)/1000</f>
        <v>1372.7539999999999</v>
      </c>
      <c r="L58" s="99">
        <f>('Historical Financials'!R53)/1000</f>
        <v>1398.2570000000001</v>
      </c>
      <c r="M58" s="99">
        <f>('Historical Financials'!S53)/1000</f>
        <v>1413.0940000000001</v>
      </c>
      <c r="N58" s="99">
        <f>('Historical Financials'!T53)/1000</f>
        <v>1471.9680000000001</v>
      </c>
      <c r="O58" s="99">
        <f>('Historical Financials'!U53)/1000</f>
        <v>1498.3910000000001</v>
      </c>
      <c r="P58" s="99">
        <f>('Historical Financials'!V53)/1000</f>
        <v>1491.444</v>
      </c>
      <c r="Q58" s="99">
        <f>('Historical Financials'!W53)/1000</f>
        <v>1501.1679999999999</v>
      </c>
      <c r="R58" s="99">
        <f>('Historical Financials'!X53)/1000</f>
        <v>1510.9580000000001</v>
      </c>
      <c r="S58" s="99">
        <f>('Historical Financials'!Y53)/1000</f>
        <v>1568.212</v>
      </c>
      <c r="T58" s="99">
        <f>('Historical Financials'!Z53)/1000</f>
        <v>1593.7560000000001</v>
      </c>
      <c r="U58" s="99">
        <f>('Historical Financials'!AA53)/1000</f>
        <v>1644.346</v>
      </c>
      <c r="V58" s="99">
        <f>('Historical Financials'!AB53)/1000</f>
        <v>1743.566</v>
      </c>
      <c r="W58" s="99">
        <f>('Historical Financials'!AC53)/1000</f>
        <v>1837.8889999999999</v>
      </c>
      <c r="X58" s="10"/>
      <c r="Y58" s="10">
        <f t="shared" ref="Y58:AI63" si="135">K58</f>
        <v>1372.7539999999999</v>
      </c>
      <c r="Z58" s="10">
        <f t="shared" si="135"/>
        <v>1398.2570000000001</v>
      </c>
      <c r="AA58" s="10">
        <f t="shared" si="135"/>
        <v>1413.0940000000001</v>
      </c>
      <c r="AB58" s="10">
        <f t="shared" si="135"/>
        <v>1471.9680000000001</v>
      </c>
      <c r="AC58" s="10">
        <f t="shared" si="135"/>
        <v>1498.3910000000001</v>
      </c>
      <c r="AD58" s="10">
        <f t="shared" si="135"/>
        <v>1491.444</v>
      </c>
      <c r="AE58" s="10">
        <f t="shared" si="135"/>
        <v>1501.1679999999999</v>
      </c>
      <c r="AF58" s="10">
        <f t="shared" si="135"/>
        <v>1510.9580000000001</v>
      </c>
      <c r="AG58" s="10">
        <f t="shared" si="135"/>
        <v>1568.212</v>
      </c>
      <c r="AH58" s="10">
        <f t="shared" si="135"/>
        <v>1593.7560000000001</v>
      </c>
      <c r="AI58" s="10">
        <f t="shared" si="135"/>
        <v>1644.346</v>
      </c>
      <c r="AJ58" s="10">
        <f t="shared" ref="AJ58:AK63" si="136">V58</f>
        <v>1743.566</v>
      </c>
      <c r="AK58" s="10">
        <f t="shared" si="136"/>
        <v>1837.8889999999999</v>
      </c>
    </row>
    <row r="59" spans="1:37" ht="12.75" customHeight="1">
      <c r="B59" s="8" t="s">
        <v>182</v>
      </c>
      <c r="C59" s="99">
        <f>('Historical Financials'!E58)/1000</f>
        <v>4429.5360000000001</v>
      </c>
      <c r="D59" s="99">
        <f>('Historical Financials'!F58)/1000</f>
        <v>4292.9669999999996</v>
      </c>
      <c r="E59" s="99">
        <f>('Historical Financials'!G58)/1000</f>
        <v>4480.1499999999996</v>
      </c>
      <c r="F59" s="99">
        <f>('Historical Financials'!H58)/1000</f>
        <v>4466.47</v>
      </c>
      <c r="G59" s="99">
        <f>('Historical Financials'!I58)/1000</f>
        <v>4393.6809999999996</v>
      </c>
      <c r="H59" s="99"/>
      <c r="I59" s="99">
        <f>('Historical Financials'!O58)/1000</f>
        <v>4066.2890000000002</v>
      </c>
      <c r="J59" s="99">
        <f>('Historical Financials'!P58)/1000</f>
        <v>4174.9660000000003</v>
      </c>
      <c r="K59" s="99">
        <f>('Historical Financials'!Q58)/1000</f>
        <v>4225.8900000000003</v>
      </c>
      <c r="L59" s="99">
        <f>('Historical Financials'!R58)/1000</f>
        <v>4480.1499999999996</v>
      </c>
      <c r="M59" s="99">
        <f>('Historical Financials'!S58)/1000</f>
        <v>4344.58</v>
      </c>
      <c r="N59" s="99">
        <f>('Historical Financials'!T58)/1000</f>
        <v>4440.4120000000003</v>
      </c>
      <c r="O59" s="99">
        <f>('Historical Financials'!U58)/1000</f>
        <v>4259.5820000000003</v>
      </c>
      <c r="P59" s="99">
        <f>('Historical Financials'!V58)/1000</f>
        <v>4466.47</v>
      </c>
      <c r="Q59" s="99">
        <f>('Historical Financials'!W58)/1000</f>
        <v>4436.0209999999997</v>
      </c>
      <c r="R59" s="99">
        <f>('Historical Financials'!X58)/1000</f>
        <v>4391.4369999999999</v>
      </c>
      <c r="S59" s="99">
        <f>('Historical Financials'!Y58)/1000</f>
        <v>4489.9709999999995</v>
      </c>
      <c r="T59" s="99">
        <f>('Historical Financials'!Z58)/1000</f>
        <v>4393.6809999999996</v>
      </c>
      <c r="U59" s="99">
        <f>('Historical Financials'!AA58)/1000</f>
        <v>4128.9049999999997</v>
      </c>
      <c r="V59" s="99">
        <f>('Historical Financials'!AB58)/1000</f>
        <v>4091.77</v>
      </c>
      <c r="W59" s="99">
        <f>('Historical Financials'!AC58)/1000</f>
        <v>4102.6400000000003</v>
      </c>
      <c r="Y59" s="10">
        <f t="shared" si="135"/>
        <v>4225.8900000000003</v>
      </c>
      <c r="Z59" s="10">
        <f t="shared" si="135"/>
        <v>4480.1499999999996</v>
      </c>
      <c r="AA59" s="10">
        <f t="shared" si="135"/>
        <v>4344.58</v>
      </c>
      <c r="AB59" s="10">
        <f t="shared" si="135"/>
        <v>4440.4120000000003</v>
      </c>
      <c r="AC59" s="10">
        <f t="shared" si="135"/>
        <v>4259.5820000000003</v>
      </c>
      <c r="AD59" s="10">
        <f t="shared" si="135"/>
        <v>4466.47</v>
      </c>
      <c r="AE59" s="10">
        <f t="shared" si="135"/>
        <v>4436.0209999999997</v>
      </c>
      <c r="AF59" s="10">
        <f t="shared" si="135"/>
        <v>4391.4369999999999</v>
      </c>
      <c r="AG59" s="10">
        <f t="shared" si="135"/>
        <v>4489.9709999999995</v>
      </c>
      <c r="AH59" s="10">
        <f t="shared" si="135"/>
        <v>4393.6809999999996</v>
      </c>
      <c r="AI59" s="10">
        <f t="shared" si="135"/>
        <v>4128.9049999999997</v>
      </c>
      <c r="AJ59" s="10">
        <f t="shared" si="136"/>
        <v>4091.77</v>
      </c>
      <c r="AK59" s="10">
        <f t="shared" si="136"/>
        <v>4102.6400000000003</v>
      </c>
    </row>
    <row r="60" spans="1:37" ht="12.75" customHeight="1">
      <c r="B60" s="8" t="s">
        <v>53</v>
      </c>
      <c r="C60" s="99">
        <f>('Historical Financials'!E59)/1000</f>
        <v>656.18299999999999</v>
      </c>
      <c r="D60" s="99">
        <f>('Historical Financials'!F59)/1000</f>
        <v>837.48299999999995</v>
      </c>
      <c r="E60" s="99">
        <f>('Historical Financials'!G59)/1000</f>
        <v>671.51300000000003</v>
      </c>
      <c r="F60" s="99">
        <f>('Historical Financials'!H59)/1000</f>
        <v>747.41200000000003</v>
      </c>
      <c r="G60" s="99">
        <f>('Historical Financials'!I59)/1000</f>
        <v>899.90899999999999</v>
      </c>
      <c r="H60" s="99"/>
      <c r="I60" s="99">
        <f>('Historical Financials'!O59)/1000</f>
        <v>617.202</v>
      </c>
      <c r="J60" s="99">
        <f>('Historical Financials'!P59)/1000</f>
        <v>504.27800000000002</v>
      </c>
      <c r="K60" s="99">
        <f>('Historical Financials'!Q59)/1000</f>
        <v>560.15599999999995</v>
      </c>
      <c r="L60" s="99">
        <f>('Historical Financials'!R59)/1000</f>
        <v>671.51300000000003</v>
      </c>
      <c r="M60" s="99">
        <f>('Historical Financials'!S59)/1000</f>
        <v>591.98699999999997</v>
      </c>
      <c r="N60" s="99">
        <f>('Historical Financials'!T59)/1000</f>
        <v>615.37400000000002</v>
      </c>
      <c r="O60" s="99">
        <f>('Historical Financials'!U59)/1000</f>
        <v>534.42899999999997</v>
      </c>
      <c r="P60" s="99">
        <f>('Historical Financials'!V59)/1000</f>
        <v>747.41200000000003</v>
      </c>
      <c r="Q60" s="99">
        <f>('Historical Financials'!W59)/1000</f>
        <v>607.34799999999996</v>
      </c>
      <c r="R60" s="99">
        <f>('Historical Financials'!X59)/1000</f>
        <v>598.55700000000002</v>
      </c>
      <c r="S60" s="99">
        <f>('Historical Financials'!Y59)/1000</f>
        <v>641.95299999999997</v>
      </c>
      <c r="T60" s="99">
        <f>('Historical Financials'!Z59)/1000</f>
        <v>899.90899999999999</v>
      </c>
      <c r="U60" s="99">
        <f>('Historical Financials'!AA59)/1000</f>
        <v>614.48900000000003</v>
      </c>
      <c r="V60" s="99">
        <f>('Historical Financials'!AB59)/1000</f>
        <v>632.71799999999996</v>
      </c>
      <c r="W60" s="99">
        <f>('Historical Financials'!AC59)/1000</f>
        <v>793.23299999999995</v>
      </c>
      <c r="Y60" s="10"/>
      <c r="Z60" s="10"/>
      <c r="AA60" s="10"/>
      <c r="AB60" s="10"/>
      <c r="AC60" s="10"/>
      <c r="AD60" s="10"/>
      <c r="AE60" s="10"/>
      <c r="AF60" s="10"/>
      <c r="AG60" s="10">
        <f t="shared" ref="AG60:AG61" si="137">S60</f>
        <v>641.95299999999997</v>
      </c>
      <c r="AH60" s="10">
        <f t="shared" ref="AH60:AH61" si="138">T60</f>
        <v>899.90899999999999</v>
      </c>
      <c r="AI60" s="10">
        <f t="shared" ref="AI60:AI61" si="139">U60</f>
        <v>614.48900000000003</v>
      </c>
      <c r="AJ60" s="10">
        <f t="shared" ref="AJ60:AJ61" si="140">V60</f>
        <v>632.71799999999996</v>
      </c>
      <c r="AK60" s="10">
        <f t="shared" ref="AK60:AK61" si="141">W60</f>
        <v>793.23299999999995</v>
      </c>
    </row>
    <row r="61" spans="1:37" ht="12.75" customHeight="1">
      <c r="B61" s="8" t="s">
        <v>183</v>
      </c>
      <c r="C61" s="99">
        <f>('Historical Financials'!E61)/1000</f>
        <v>1117.992</v>
      </c>
      <c r="D61" s="99">
        <f>('Historical Financials'!F61)/1000</f>
        <v>1209.3420000000001</v>
      </c>
      <c r="E61" s="99">
        <f>('Historical Financials'!G61)/1000</f>
        <v>1264.6610000000001</v>
      </c>
      <c r="F61" s="99">
        <f>('Historical Financials'!H61)/1000</f>
        <v>1442.9690000000001</v>
      </c>
      <c r="G61" s="99">
        <f>('Historical Financials'!I61)/1000</f>
        <v>1520.8130000000001</v>
      </c>
      <c r="H61" s="99"/>
      <c r="I61" s="99">
        <f>('Historical Financials'!O61)/1000</f>
        <v>1239.048</v>
      </c>
      <c r="J61" s="99">
        <f>('Historical Financials'!P61)/1000</f>
        <v>1224.7429999999999</v>
      </c>
      <c r="K61" s="99">
        <f>('Historical Financials'!Q61)/1000</f>
        <v>1176.3230000000001</v>
      </c>
      <c r="L61" s="99">
        <f>('Historical Financials'!R61)/1000</f>
        <v>1264.6610000000001</v>
      </c>
      <c r="M61" s="99">
        <f>('Historical Financials'!S61)/1000</f>
        <v>1262.271</v>
      </c>
      <c r="N61" s="99">
        <f>('Historical Financials'!T61)/1000</f>
        <v>1311.9179999999999</v>
      </c>
      <c r="O61" s="99">
        <f>('Historical Financials'!U61)/1000</f>
        <v>1306.1849999999999</v>
      </c>
      <c r="P61" s="99">
        <f>('Historical Financials'!V61)/1000</f>
        <v>1442.9690000000001</v>
      </c>
      <c r="Q61" s="99">
        <f>('Historical Financials'!W61)/1000</f>
        <v>1469.4839999999999</v>
      </c>
      <c r="R61" s="99">
        <f>('Historical Financials'!X61)/1000</f>
        <v>1473.72</v>
      </c>
      <c r="S61" s="99">
        <f>('Historical Financials'!Y61)/1000</f>
        <v>1513.048</v>
      </c>
      <c r="T61" s="99">
        <f>('Historical Financials'!Z61)/1000</f>
        <v>1520.8130000000001</v>
      </c>
      <c r="U61" s="99">
        <f>('Historical Financials'!AA61)/1000</f>
        <v>1609.7260000000001</v>
      </c>
      <c r="V61" s="99">
        <f>('Historical Financials'!AB61)/1000</f>
        <v>1728.3610000000001</v>
      </c>
      <c r="W61" s="99">
        <f>('Historical Financials'!AC61)/1000</f>
        <v>1724.675</v>
      </c>
      <c r="Y61" s="10"/>
      <c r="Z61" s="10"/>
      <c r="AA61" s="10"/>
      <c r="AB61" s="10"/>
      <c r="AC61" s="10"/>
      <c r="AD61" s="10"/>
      <c r="AE61" s="10"/>
      <c r="AF61" s="10"/>
      <c r="AG61" s="10">
        <f t="shared" si="137"/>
        <v>1513.048</v>
      </c>
      <c r="AH61" s="10">
        <f t="shared" si="138"/>
        <v>1520.8130000000001</v>
      </c>
      <c r="AI61" s="10">
        <f t="shared" si="139"/>
        <v>1609.7260000000001</v>
      </c>
      <c r="AJ61" s="10">
        <f t="shared" si="140"/>
        <v>1728.3610000000001</v>
      </c>
      <c r="AK61" s="10">
        <f t="shared" si="141"/>
        <v>1724.675</v>
      </c>
    </row>
    <row r="62" spans="1:37" ht="12.75" customHeight="1">
      <c r="B62" s="8" t="s">
        <v>54</v>
      </c>
      <c r="C62" s="99">
        <f>('Historical Financials'!E63)/1000</f>
        <v>7805.7849999999999</v>
      </c>
      <c r="D62" s="99">
        <f>('Historical Financials'!F63)/1000</f>
        <v>8488.9660000000003</v>
      </c>
      <c r="E62" s="99">
        <f>('Historical Financials'!G63)/1000</f>
        <v>7930.9740000000002</v>
      </c>
      <c r="F62" s="99">
        <f>('Historical Financials'!H63)/1000</f>
        <v>8860.6550000000007</v>
      </c>
      <c r="G62" s="99">
        <f>('Historical Financials'!I63)/1000</f>
        <v>10755.4</v>
      </c>
      <c r="H62" s="99"/>
      <c r="I62" s="99">
        <f>('Historical Financials'!O63)/1000</f>
        <v>7739.6559999999999</v>
      </c>
      <c r="J62" s="99">
        <f>('Historical Financials'!P63)/1000</f>
        <v>7500.0219999999999</v>
      </c>
      <c r="K62" s="99">
        <f>('Historical Financials'!Q63)/1000</f>
        <v>7765.924</v>
      </c>
      <c r="L62" s="99">
        <f>('Historical Financials'!R63)/1000</f>
        <v>7930.9740000000002</v>
      </c>
      <c r="M62" s="99">
        <f>('Historical Financials'!S63)/1000</f>
        <v>8316.07</v>
      </c>
      <c r="N62" s="99">
        <f>('Historical Financials'!T63)/1000</f>
        <v>8675.8050000000003</v>
      </c>
      <c r="O62" s="99">
        <f>('Historical Financials'!U63)/1000</f>
        <v>8338.7180000000008</v>
      </c>
      <c r="P62" s="99">
        <f>('Historical Financials'!V63)/1000</f>
        <v>8860.6550000000007</v>
      </c>
      <c r="Q62" s="99">
        <f>('Historical Financials'!W63)/1000</f>
        <v>9289.2170000000006</v>
      </c>
      <c r="R62" s="99">
        <f>('Historical Financials'!X63)/1000</f>
        <v>10139.999</v>
      </c>
      <c r="S62" s="99">
        <f>('Historical Financials'!Y63)/1000</f>
        <v>10707.126</v>
      </c>
      <c r="T62" s="99">
        <f>('Historical Financials'!Z63)/1000</f>
        <v>10755.4</v>
      </c>
      <c r="U62" s="99">
        <f>('Historical Financials'!AA63)/1000</f>
        <v>9718.5190000000002</v>
      </c>
      <c r="V62" s="99">
        <f>('Historical Financials'!AB63)/1000</f>
        <v>8942.3349999999991</v>
      </c>
      <c r="W62" s="99">
        <f>('Historical Financials'!AC63)/1000</f>
        <v>9731.8590000000004</v>
      </c>
      <c r="Y62" s="10">
        <f t="shared" si="135"/>
        <v>7765.924</v>
      </c>
      <c r="Z62" s="10">
        <f t="shared" si="135"/>
        <v>7930.9740000000002</v>
      </c>
      <c r="AA62" s="10">
        <f t="shared" si="135"/>
        <v>8316.07</v>
      </c>
      <c r="AB62" s="10">
        <f t="shared" si="135"/>
        <v>8675.8050000000003</v>
      </c>
      <c r="AC62" s="10">
        <f t="shared" si="135"/>
        <v>8338.7180000000008</v>
      </c>
      <c r="AD62" s="10">
        <f t="shared" si="135"/>
        <v>8860.6550000000007</v>
      </c>
      <c r="AE62" s="10">
        <f t="shared" si="135"/>
        <v>9289.2170000000006</v>
      </c>
      <c r="AF62" s="10">
        <f t="shared" si="135"/>
        <v>10139.999</v>
      </c>
      <c r="AG62" s="10">
        <f t="shared" si="135"/>
        <v>10707.126</v>
      </c>
      <c r="AH62" s="10">
        <f t="shared" si="135"/>
        <v>10755.4</v>
      </c>
      <c r="AI62" s="10">
        <f t="shared" si="135"/>
        <v>9718.5190000000002</v>
      </c>
      <c r="AJ62" s="10">
        <f t="shared" si="136"/>
        <v>8942.3349999999991</v>
      </c>
      <c r="AK62" s="10">
        <f t="shared" si="136"/>
        <v>9731.8590000000004</v>
      </c>
    </row>
    <row r="63" spans="1:37" ht="12.75" customHeight="1">
      <c r="B63" s="8" t="s">
        <v>18</v>
      </c>
      <c r="C63" s="99">
        <f>('Historical Financials'!E69)/1000</f>
        <v>28215.118999999999</v>
      </c>
      <c r="D63" s="99">
        <f>('Historical Financials'!F69)/1000</f>
        <v>28735.415000000001</v>
      </c>
      <c r="E63" s="99">
        <f>('Historical Financials'!G69)/1000</f>
        <v>27817.366999999998</v>
      </c>
      <c r="F63" s="99">
        <f>('Historical Financials'!H69)/1000</f>
        <v>28143.679</v>
      </c>
      <c r="G63" s="99">
        <f>('Historical Financials'!I69)/1000</f>
        <v>28886.807000000001</v>
      </c>
      <c r="H63" s="99"/>
      <c r="I63" s="99">
        <f>('Historical Financials'!O69)/1000</f>
        <v>27786.865000000002</v>
      </c>
      <c r="J63" s="99">
        <f>('Historical Financials'!P69)/1000</f>
        <v>27274.960999999999</v>
      </c>
      <c r="K63" s="99">
        <f>('Historical Financials'!Q69)/1000</f>
        <v>27034.045999999998</v>
      </c>
      <c r="L63" s="99">
        <f>('Historical Financials'!R69)/1000</f>
        <v>27817.366999999998</v>
      </c>
      <c r="M63" s="99">
        <f>('Historical Financials'!S69)/1000</f>
        <v>27662.149000000001</v>
      </c>
      <c r="N63" s="99">
        <f>('Historical Financials'!T69)/1000</f>
        <v>27985.258000000002</v>
      </c>
      <c r="O63" s="99">
        <f>('Historical Financials'!U69)/1000</f>
        <v>27394.159</v>
      </c>
      <c r="P63" s="99">
        <f>('Historical Financials'!V69)/1000</f>
        <v>28143.679</v>
      </c>
      <c r="Q63" s="99">
        <f>('Historical Financials'!W69)/1000</f>
        <v>27462.311000000002</v>
      </c>
      <c r="R63" s="99">
        <f>('Historical Financials'!X69)/1000</f>
        <v>26986.202000000001</v>
      </c>
      <c r="S63" s="99">
        <f>('Historical Financials'!Y69)/1000</f>
        <v>29561.108</v>
      </c>
      <c r="T63" s="99">
        <f>('Historical Financials'!Z69)/1000</f>
        <v>28886.807000000001</v>
      </c>
      <c r="U63" s="99">
        <f>('Historical Financials'!AA69)/1000</f>
        <v>28059.571</v>
      </c>
      <c r="V63" s="99">
        <f>('Historical Financials'!AB69)/1000</f>
        <v>28147.764999999999</v>
      </c>
      <c r="W63" s="99">
        <f>('Historical Financials'!AC69)/1000</f>
        <v>28980.799999999999</v>
      </c>
      <c r="Y63" s="10">
        <f t="shared" si="135"/>
        <v>27034.045999999998</v>
      </c>
      <c r="Z63" s="10">
        <f t="shared" si="135"/>
        <v>27817.366999999998</v>
      </c>
      <c r="AA63" s="10">
        <f t="shared" si="135"/>
        <v>27662.149000000001</v>
      </c>
      <c r="AB63" s="10">
        <f t="shared" si="135"/>
        <v>27985.258000000002</v>
      </c>
      <c r="AC63" s="10">
        <f t="shared" si="135"/>
        <v>27394.159</v>
      </c>
      <c r="AD63" s="10">
        <f t="shared" si="135"/>
        <v>28143.679</v>
      </c>
      <c r="AE63" s="10">
        <f t="shared" si="135"/>
        <v>27462.311000000002</v>
      </c>
      <c r="AF63" s="10">
        <f t="shared" si="135"/>
        <v>26986.202000000001</v>
      </c>
      <c r="AG63" s="10">
        <f t="shared" si="135"/>
        <v>29561.108</v>
      </c>
      <c r="AH63" s="10">
        <f t="shared" si="135"/>
        <v>28886.807000000001</v>
      </c>
      <c r="AI63" s="10">
        <f t="shared" si="135"/>
        <v>28059.571</v>
      </c>
      <c r="AJ63" s="10">
        <f t="shared" si="136"/>
        <v>28147.764999999999</v>
      </c>
      <c r="AK63" s="10">
        <f t="shared" si="136"/>
        <v>28980.799999999999</v>
      </c>
    </row>
    <row r="64" spans="1:37" ht="5.0999999999999996" customHeight="1">
      <c r="G64" s="10"/>
    </row>
    <row r="65" spans="1:37">
      <c r="B65" s="36" t="s">
        <v>195</v>
      </c>
      <c r="G65" s="10"/>
    </row>
    <row r="66" spans="1:37">
      <c r="B66" s="8" t="s">
        <v>196</v>
      </c>
      <c r="C66" s="99">
        <f>('Historical Financials'!E62)/1000</f>
        <v>499.87799999999999</v>
      </c>
      <c r="D66" s="99">
        <f>('Historical Financials'!F62)/1000</f>
        <v>699.82299999999998</v>
      </c>
      <c r="E66" s="99">
        <f>('Historical Financials'!G62)/1000</f>
        <v>0</v>
      </c>
      <c r="F66" s="99">
        <f>('Historical Financials'!H62)/1000</f>
        <v>399.84399999999999</v>
      </c>
      <c r="G66" s="99">
        <f>('Historical Financials'!I62)/1000</f>
        <v>1784.453</v>
      </c>
      <c r="I66" s="99">
        <f>('Historical Financials'!O62)/1000</f>
        <v>0</v>
      </c>
      <c r="J66" s="99">
        <f>('Historical Financials'!P62)/1000</f>
        <v>0</v>
      </c>
      <c r="K66" s="99">
        <f>('Historical Financials'!Q62)/1000</f>
        <v>0</v>
      </c>
      <c r="L66" s="99">
        <f>('Historical Financials'!R62)/1000</f>
        <v>0</v>
      </c>
      <c r="M66" s="99">
        <f>('Historical Financials'!S62)/1000</f>
        <v>399.16300000000001</v>
      </c>
      <c r="N66" s="99">
        <f>('Historical Financials'!T62)/1000</f>
        <v>399.387</v>
      </c>
      <c r="O66" s="99">
        <f>('Historical Financials'!U62)/1000</f>
        <v>399.61399999999998</v>
      </c>
      <c r="P66" s="99">
        <f>('Historical Financials'!V62)/1000</f>
        <v>399.84399999999999</v>
      </c>
      <c r="Q66" s="99">
        <f>('Historical Financials'!W62)/1000</f>
        <v>798.93600000000004</v>
      </c>
      <c r="R66" s="99">
        <f>('Historical Financials'!X62)/1000</f>
        <v>1800.0409999999999</v>
      </c>
      <c r="S66" s="99">
        <f>('Historical Financials'!Y62)/1000</f>
        <v>1820.396</v>
      </c>
      <c r="T66" s="99">
        <f>('Historical Financials'!Z62)/1000</f>
        <v>1784.453</v>
      </c>
      <c r="U66" s="99">
        <f>('Historical Financials'!AA62)/1000</f>
        <v>1005.881</v>
      </c>
      <c r="V66" s="99">
        <f>('Historical Financials'!AB62)/1000</f>
        <v>0</v>
      </c>
      <c r="W66" s="99">
        <f>('Historical Financials'!AC62)/1000</f>
        <v>0</v>
      </c>
      <c r="AG66" s="10">
        <f t="shared" ref="AG66:AG67" si="142">S66</f>
        <v>1820.396</v>
      </c>
      <c r="AH66" s="10">
        <f t="shared" ref="AH66:AH67" si="143">T66</f>
        <v>1784.453</v>
      </c>
      <c r="AI66" s="10">
        <f t="shared" ref="AI66:AI67" si="144">U66</f>
        <v>1005.881</v>
      </c>
      <c r="AJ66" s="10">
        <f t="shared" ref="AJ66:AJ67" si="145">V66</f>
        <v>0</v>
      </c>
      <c r="AK66" s="10">
        <f t="shared" ref="AK66:AK67" si="146">W66</f>
        <v>0</v>
      </c>
    </row>
    <row r="67" spans="1:37">
      <c r="B67" s="8" t="s">
        <v>197</v>
      </c>
      <c r="C67" s="99">
        <f>('Historical Financials'!E67)/1000</f>
        <v>15809.094999999999</v>
      </c>
      <c r="D67" s="99">
        <f>('Historical Financials'!F67)/1000</f>
        <v>14693.072</v>
      </c>
      <c r="E67" s="99">
        <f>('Historical Financials'!G67)/1000</f>
        <v>14353.075999999999</v>
      </c>
      <c r="F67" s="99">
        <f>('Historical Financials'!H67)/1000</f>
        <v>14143.416999999999</v>
      </c>
      <c r="G67" s="99">
        <f>('Historical Financials'!I67)/1000</f>
        <v>13798.351000000001</v>
      </c>
      <c r="I67" s="99">
        <f>('Historical Financials'!O67)/1000</f>
        <v>14534.561</v>
      </c>
      <c r="J67" s="99">
        <f>('Historical Financials'!P67)/1000</f>
        <v>14233.303</v>
      </c>
      <c r="K67" s="99">
        <f>('Historical Financials'!Q67)/1000</f>
        <v>13888.117</v>
      </c>
      <c r="L67" s="99">
        <f>('Historical Financials'!R67)/1000</f>
        <v>14353.075999999999</v>
      </c>
      <c r="M67" s="99">
        <f>('Historical Financials'!S67)/1000</f>
        <v>14037.965</v>
      </c>
      <c r="N67" s="99">
        <f>('Historical Financials'!T67)/1000</f>
        <v>14070.151</v>
      </c>
      <c r="O67" s="99">
        <f>('Historical Financials'!U67)/1000</f>
        <v>13900.754000000001</v>
      </c>
      <c r="P67" s="99">
        <f>('Historical Financials'!V67)/1000</f>
        <v>14143.416999999999</v>
      </c>
      <c r="Q67" s="99">
        <f>('Historical Financials'!W67)/1000</f>
        <v>13217.038</v>
      </c>
      <c r="R67" s="99">
        <f>('Historical Financials'!X67)/1000</f>
        <v>12180.023999999999</v>
      </c>
      <c r="S67" s="99">
        <f>('Historical Financials'!Y67)/1000</f>
        <v>14160.932000000001</v>
      </c>
      <c r="T67" s="99">
        <f>('Historical Financials'!Z67)/1000</f>
        <v>13798.351000000001</v>
      </c>
      <c r="U67" s="99">
        <f>('Historical Financials'!AA67)/1000</f>
        <v>14011.037</v>
      </c>
      <c r="V67" s="99">
        <f>('Historical Financials'!AB67)/1000</f>
        <v>14453.206</v>
      </c>
      <c r="W67" s="99">
        <f>('Historical Financials'!AC67)/1000</f>
        <v>14463.02</v>
      </c>
      <c r="AG67" s="10">
        <f t="shared" si="142"/>
        <v>14160.932000000001</v>
      </c>
      <c r="AH67" s="10">
        <f t="shared" si="143"/>
        <v>13798.351000000001</v>
      </c>
      <c r="AI67" s="10">
        <f t="shared" si="144"/>
        <v>14011.037</v>
      </c>
      <c r="AJ67" s="10">
        <f t="shared" si="145"/>
        <v>14453.206</v>
      </c>
      <c r="AK67" s="10">
        <f t="shared" si="146"/>
        <v>14463.02</v>
      </c>
    </row>
    <row r="68" spans="1:37">
      <c r="G68" s="10"/>
    </row>
    <row r="69" spans="1:37">
      <c r="B69" s="32" t="s">
        <v>211</v>
      </c>
      <c r="C69" s="85">
        <v>0</v>
      </c>
      <c r="D69" s="85">
        <v>0</v>
      </c>
      <c r="E69" s="85">
        <v>0</v>
      </c>
      <c r="F69" s="85">
        <v>0</v>
      </c>
      <c r="G69" s="85">
        <v>0</v>
      </c>
      <c r="I69" s="85">
        <v>0</v>
      </c>
      <c r="J69" s="85">
        <v>0</v>
      </c>
      <c r="K69" s="85">
        <v>0</v>
      </c>
      <c r="L69" s="10">
        <f>E69</f>
        <v>0</v>
      </c>
      <c r="M69" s="85">
        <v>0</v>
      </c>
      <c r="N69" s="85">
        <v>0</v>
      </c>
      <c r="O69" s="85">
        <v>0</v>
      </c>
      <c r="P69" s="10">
        <f>F69</f>
        <v>0</v>
      </c>
      <c r="Q69" s="85">
        <v>0</v>
      </c>
      <c r="R69" s="85">
        <v>0</v>
      </c>
      <c r="S69" s="85">
        <v>0</v>
      </c>
      <c r="T69" s="10">
        <f>G69</f>
        <v>0</v>
      </c>
      <c r="U69" s="85">
        <v>0</v>
      </c>
      <c r="V69" s="85">
        <v>0</v>
      </c>
      <c r="W69" s="85">
        <v>0</v>
      </c>
      <c r="Y69" s="10">
        <f t="shared" ref="Y69" si="147">K69</f>
        <v>0</v>
      </c>
      <c r="Z69" s="10">
        <f t="shared" ref="Z69" si="148">L69</f>
        <v>0</v>
      </c>
      <c r="AA69" s="10">
        <f t="shared" ref="AA69" si="149">M69</f>
        <v>0</v>
      </c>
      <c r="AB69" s="10">
        <f t="shared" ref="AB69" si="150">N69</f>
        <v>0</v>
      </c>
      <c r="AC69" s="10">
        <f t="shared" ref="AC69" si="151">O69</f>
        <v>0</v>
      </c>
      <c r="AD69" s="10">
        <f t="shared" ref="AD69" si="152">P69</f>
        <v>0</v>
      </c>
      <c r="AE69" s="10">
        <f t="shared" ref="AE69" si="153">Q69</f>
        <v>0</v>
      </c>
      <c r="AF69" s="10">
        <f t="shared" ref="AF69" si="154">R69</f>
        <v>0</v>
      </c>
      <c r="AG69" s="10">
        <f t="shared" ref="AG69" si="155">S69</f>
        <v>0</v>
      </c>
      <c r="AH69" s="10">
        <f t="shared" ref="AH69" si="156">T69</f>
        <v>0</v>
      </c>
      <c r="AI69" s="10">
        <f t="shared" ref="AI69" si="157">U69</f>
        <v>0</v>
      </c>
      <c r="AJ69" s="10">
        <f t="shared" ref="AJ69" si="158">V69</f>
        <v>0</v>
      </c>
      <c r="AK69" s="10">
        <f t="shared" ref="AK69" si="159">W69</f>
        <v>0</v>
      </c>
    </row>
    <row r="70" spans="1:37" ht="12.75" customHeight="1">
      <c r="B70" s="32" t="s">
        <v>200</v>
      </c>
      <c r="C70" s="99">
        <f>'Debt Schedule'!C25</f>
        <v>16416</v>
      </c>
      <c r="D70" s="99">
        <f>'Debt Schedule'!D25</f>
        <v>15485</v>
      </c>
      <c r="E70" s="99">
        <f>'Debt Schedule'!E25</f>
        <v>14432</v>
      </c>
      <c r="F70" s="99">
        <f>'Debt Schedule'!F25</f>
        <v>14608</v>
      </c>
      <c r="G70" s="99">
        <f>'Debt Schedule'!G25</f>
        <v>15653</v>
      </c>
      <c r="I70" s="99">
        <f>'Debt Schedule'!I25</f>
        <v>14623</v>
      </c>
      <c r="J70" s="99">
        <f>'Debt Schedule'!J25</f>
        <v>14318</v>
      </c>
      <c r="K70" s="99">
        <f>'Debt Schedule'!K25</f>
        <v>13970</v>
      </c>
      <c r="L70" s="99">
        <f>'Debt Schedule'!L25</f>
        <v>14432</v>
      </c>
      <c r="M70" s="99">
        <f>'Debt Schedule'!M25</f>
        <v>14513</v>
      </c>
      <c r="N70" s="99">
        <f>'Debt Schedule'!N25</f>
        <v>14542</v>
      </c>
      <c r="O70" s="99">
        <f>'Debt Schedule'!O25</f>
        <v>14368</v>
      </c>
      <c r="P70" s="99">
        <f>'Debt Schedule'!P25</f>
        <v>14608</v>
      </c>
      <c r="Q70" s="99">
        <f>'Debt Schedule'!Q25</f>
        <v>14077</v>
      </c>
      <c r="R70" s="99">
        <f>'Debt Schedule'!R25</f>
        <v>14038</v>
      </c>
      <c r="S70" s="99">
        <f>'Debt Schedule'!S25</f>
        <v>16055</v>
      </c>
      <c r="T70" s="99">
        <f>'Debt Schedule'!T25</f>
        <v>15653</v>
      </c>
      <c r="U70" s="99">
        <f>'Debt Schedule'!U25</f>
        <v>15084</v>
      </c>
      <c r="V70" s="99">
        <f>'Debt Schedule'!V25</f>
        <v>14515</v>
      </c>
      <c r="W70" s="99">
        <f>'Debt Schedule'!W25</f>
        <v>14523</v>
      </c>
      <c r="Y70" s="10">
        <f t="shared" ref="Y70:AK70" si="160">K70</f>
        <v>13970</v>
      </c>
      <c r="Z70" s="10">
        <f t="shared" si="160"/>
        <v>14432</v>
      </c>
      <c r="AA70" s="10">
        <f t="shared" si="160"/>
        <v>14513</v>
      </c>
      <c r="AB70" s="10">
        <f t="shared" si="160"/>
        <v>14542</v>
      </c>
      <c r="AC70" s="10">
        <f t="shared" si="160"/>
        <v>14368</v>
      </c>
      <c r="AD70" s="10">
        <f t="shared" si="160"/>
        <v>14608</v>
      </c>
      <c r="AE70" s="10">
        <f t="shared" si="160"/>
        <v>14077</v>
      </c>
      <c r="AF70" s="10">
        <f t="shared" si="160"/>
        <v>14038</v>
      </c>
      <c r="AG70" s="10">
        <f t="shared" si="160"/>
        <v>16055</v>
      </c>
      <c r="AH70" s="10">
        <f t="shared" si="160"/>
        <v>15653</v>
      </c>
      <c r="AI70" s="10">
        <f t="shared" si="160"/>
        <v>15084</v>
      </c>
      <c r="AJ70" s="10">
        <f t="shared" si="160"/>
        <v>14515</v>
      </c>
      <c r="AK70" s="10">
        <f t="shared" si="160"/>
        <v>14523</v>
      </c>
    </row>
    <row r="71" spans="1:37" ht="12.75" customHeight="1">
      <c r="B71" s="13" t="s">
        <v>25</v>
      </c>
      <c r="C71" s="14">
        <f>SUM(C70:C70)</f>
        <v>16416</v>
      </c>
      <c r="D71" s="14">
        <f>SUM(D70:D70)</f>
        <v>15485</v>
      </c>
      <c r="E71" s="14">
        <f>SUM(E70:E70)</f>
        <v>14432</v>
      </c>
      <c r="F71" s="14">
        <f>SUM(F70:F70)</f>
        <v>14608</v>
      </c>
      <c r="G71" s="14">
        <f>SUM(G70:G70)</f>
        <v>15653</v>
      </c>
      <c r="I71" s="14">
        <f t="shared" ref="I71:W71" si="161">SUM(I70:I70)</f>
        <v>14623</v>
      </c>
      <c r="J71" s="14">
        <f t="shared" si="161"/>
        <v>14318</v>
      </c>
      <c r="K71" s="14">
        <f t="shared" si="161"/>
        <v>13970</v>
      </c>
      <c r="L71" s="14">
        <f t="shared" si="161"/>
        <v>14432</v>
      </c>
      <c r="M71" s="14">
        <f t="shared" si="161"/>
        <v>14513</v>
      </c>
      <c r="N71" s="14">
        <f t="shared" si="161"/>
        <v>14542</v>
      </c>
      <c r="O71" s="14">
        <f t="shared" si="161"/>
        <v>14368</v>
      </c>
      <c r="P71" s="14">
        <f t="shared" si="161"/>
        <v>14608</v>
      </c>
      <c r="Q71" s="14">
        <f t="shared" si="161"/>
        <v>14077</v>
      </c>
      <c r="R71" s="14">
        <f t="shared" si="161"/>
        <v>14038</v>
      </c>
      <c r="S71" s="14">
        <f t="shared" si="161"/>
        <v>16055</v>
      </c>
      <c r="T71" s="14">
        <f t="shared" si="161"/>
        <v>15653</v>
      </c>
      <c r="U71" s="14">
        <f t="shared" si="161"/>
        <v>15084</v>
      </c>
      <c r="V71" s="14">
        <f t="shared" si="161"/>
        <v>14515</v>
      </c>
      <c r="W71" s="14">
        <f t="shared" si="161"/>
        <v>14523</v>
      </c>
      <c r="Y71" s="14">
        <f t="shared" ref="Y71:AK71" si="162">SUM(Y70:Y70)</f>
        <v>13970</v>
      </c>
      <c r="Z71" s="14">
        <f t="shared" si="162"/>
        <v>14432</v>
      </c>
      <c r="AA71" s="14">
        <f t="shared" si="162"/>
        <v>14513</v>
      </c>
      <c r="AB71" s="14">
        <f t="shared" si="162"/>
        <v>14542</v>
      </c>
      <c r="AC71" s="14">
        <f t="shared" si="162"/>
        <v>14368</v>
      </c>
      <c r="AD71" s="14">
        <f t="shared" si="162"/>
        <v>14608</v>
      </c>
      <c r="AE71" s="14">
        <f t="shared" si="162"/>
        <v>14077</v>
      </c>
      <c r="AF71" s="14">
        <f t="shared" si="162"/>
        <v>14038</v>
      </c>
      <c r="AG71" s="14">
        <f t="shared" si="162"/>
        <v>16055</v>
      </c>
      <c r="AH71" s="14">
        <f t="shared" si="162"/>
        <v>15653</v>
      </c>
      <c r="AI71" s="14">
        <f t="shared" si="162"/>
        <v>15084</v>
      </c>
      <c r="AJ71" s="14">
        <f t="shared" si="162"/>
        <v>14515</v>
      </c>
      <c r="AK71" s="14">
        <f t="shared" si="162"/>
        <v>14523</v>
      </c>
    </row>
    <row r="72" spans="1:37" ht="5.0999999999999996" customHeight="1"/>
    <row r="73" spans="1:37" ht="12.75" customHeight="1">
      <c r="B73" s="8" t="s">
        <v>55</v>
      </c>
      <c r="C73" s="153">
        <f>('Historical Financials'!E75)/1000</f>
        <v>11065.24</v>
      </c>
      <c r="D73" s="153">
        <f>('Historical Financials'!F75)/1000</f>
        <v>15849.248</v>
      </c>
      <c r="E73" s="153">
        <f>('Historical Financials'!G75)/1000</f>
        <v>20777.401000000002</v>
      </c>
      <c r="F73" s="153">
        <f>('Historical Financials'!H75)/1000</f>
        <v>20588.312999999998</v>
      </c>
      <c r="G73" s="153">
        <f>('Historical Financials'!I75)/1000</f>
        <v>24743.566999999999</v>
      </c>
      <c r="I73" s="153">
        <f>('Historical Financials'!O75)/1000</f>
        <v>17544.039000000001</v>
      </c>
      <c r="J73" s="153">
        <f>('Historical Financials'!P75)/1000</f>
        <v>19075.973999999998</v>
      </c>
      <c r="K73" s="153">
        <f>('Historical Financials'!Q75)/1000</f>
        <v>20528.141</v>
      </c>
      <c r="L73" s="153">
        <f>('Historical Financials'!R75)/1000</f>
        <v>20777.401000000002</v>
      </c>
      <c r="M73" s="153">
        <f>('Historical Financials'!S75)/1000</f>
        <v>21828.196</v>
      </c>
      <c r="N73" s="153">
        <f>('Historical Financials'!T75)/1000</f>
        <v>22832.215</v>
      </c>
      <c r="O73" s="153">
        <f>('Historical Financials'!U75)/1000</f>
        <v>22107.627</v>
      </c>
      <c r="P73" s="153">
        <f>('Historical Financials'!V75)/1000</f>
        <v>20588.312999999998</v>
      </c>
      <c r="Q73" s="153">
        <f>('Historical Financials'!W75)/1000</f>
        <v>21365.41</v>
      </c>
      <c r="R73" s="153">
        <f>('Historical Financials'!X75)/1000</f>
        <v>22112.692999999999</v>
      </c>
      <c r="S73" s="153">
        <f>('Historical Financials'!Y75)/1000</f>
        <v>22720.736000000001</v>
      </c>
      <c r="T73" s="153">
        <f>('Historical Financials'!Z75)/1000</f>
        <v>24743.566999999999</v>
      </c>
      <c r="U73" s="153">
        <f>('Historical Financials'!AA75)/1000</f>
        <v>24028.073</v>
      </c>
      <c r="V73" s="153">
        <f>('Historical Financials'!AB75)/1000</f>
        <v>24951.899000000001</v>
      </c>
      <c r="W73" s="153">
        <f>('Historical Financials'!AC75)/1000</f>
        <v>25954.035</v>
      </c>
      <c r="Y73" s="10">
        <f t="shared" ref="Y73:AK73" si="163">K73</f>
        <v>20528.141</v>
      </c>
      <c r="Z73" s="10">
        <f t="shared" si="163"/>
        <v>20777.401000000002</v>
      </c>
      <c r="AA73" s="10">
        <f t="shared" si="163"/>
        <v>21828.196</v>
      </c>
      <c r="AB73" s="10">
        <f t="shared" si="163"/>
        <v>22832.215</v>
      </c>
      <c r="AC73" s="10">
        <f t="shared" si="163"/>
        <v>22107.627</v>
      </c>
      <c r="AD73" s="10">
        <f t="shared" si="163"/>
        <v>20588.312999999998</v>
      </c>
      <c r="AE73" s="10">
        <f t="shared" si="163"/>
        <v>21365.41</v>
      </c>
      <c r="AF73" s="10">
        <f t="shared" si="163"/>
        <v>22112.692999999999</v>
      </c>
      <c r="AG73" s="154">
        <f t="shared" si="163"/>
        <v>22720.736000000001</v>
      </c>
      <c r="AH73" s="154">
        <f t="shared" si="163"/>
        <v>24743.566999999999</v>
      </c>
      <c r="AI73" s="154">
        <f t="shared" si="163"/>
        <v>24028.073</v>
      </c>
      <c r="AJ73" s="154">
        <f t="shared" si="163"/>
        <v>24951.899000000001</v>
      </c>
      <c r="AK73" s="154">
        <f t="shared" si="163"/>
        <v>25954.035</v>
      </c>
    </row>
    <row r="74" spans="1:37" ht="12.75" customHeight="1">
      <c r="B74" s="13" t="s">
        <v>56</v>
      </c>
      <c r="C74" s="14">
        <f>SUM(C71:C73)</f>
        <v>27481.239999999998</v>
      </c>
      <c r="D74" s="14">
        <f>SUM(D71:D73)</f>
        <v>31334.248</v>
      </c>
      <c r="E74" s="14">
        <f>SUM(E71:E73)</f>
        <v>35209.400999999998</v>
      </c>
      <c r="F74" s="14">
        <f>SUM(F71:F73)</f>
        <v>35196.312999999995</v>
      </c>
      <c r="G74" s="14">
        <f>SUM(G71:G73)</f>
        <v>40396.566999999995</v>
      </c>
      <c r="I74" s="14">
        <f t="shared" ref="I74:R74" si="164">SUM(I71:I73)</f>
        <v>32167.039000000001</v>
      </c>
      <c r="J74" s="14">
        <f t="shared" si="164"/>
        <v>33393.974000000002</v>
      </c>
      <c r="K74" s="14">
        <f t="shared" si="164"/>
        <v>34498.141000000003</v>
      </c>
      <c r="L74" s="14">
        <f t="shared" si="164"/>
        <v>35209.400999999998</v>
      </c>
      <c r="M74" s="14">
        <f t="shared" si="164"/>
        <v>36341.195999999996</v>
      </c>
      <c r="N74" s="14">
        <f t="shared" si="164"/>
        <v>37374.214999999997</v>
      </c>
      <c r="O74" s="14">
        <f t="shared" si="164"/>
        <v>36475.627</v>
      </c>
      <c r="P74" s="14">
        <f t="shared" si="164"/>
        <v>35196.312999999995</v>
      </c>
      <c r="Q74" s="14">
        <f t="shared" si="164"/>
        <v>35442.410000000003</v>
      </c>
      <c r="R74" s="14">
        <f t="shared" si="164"/>
        <v>36150.692999999999</v>
      </c>
      <c r="S74" s="14">
        <f>SUM(S71:S73)</f>
        <v>38775.736000000004</v>
      </c>
      <c r="T74" s="14">
        <f>SUM(T71:T73)</f>
        <v>40396.566999999995</v>
      </c>
      <c r="U74" s="14">
        <f>SUM(U71:U73)</f>
        <v>39112.073000000004</v>
      </c>
      <c r="V74" s="14">
        <f>SUM(V71:V73)</f>
        <v>39466.899000000005</v>
      </c>
      <c r="W74" s="14">
        <f>SUM(W71:W73)</f>
        <v>40477.035000000003</v>
      </c>
      <c r="Y74" s="14">
        <f t="shared" ref="Y74:AI74" si="165">SUM(Y71:Y73)</f>
        <v>34498.141000000003</v>
      </c>
      <c r="Z74" s="14">
        <f t="shared" si="165"/>
        <v>35209.400999999998</v>
      </c>
      <c r="AA74" s="14">
        <f t="shared" si="165"/>
        <v>36341.195999999996</v>
      </c>
      <c r="AB74" s="14">
        <f t="shared" si="165"/>
        <v>37374.214999999997</v>
      </c>
      <c r="AC74" s="14">
        <f t="shared" si="165"/>
        <v>36475.627</v>
      </c>
      <c r="AD74" s="14">
        <f t="shared" si="165"/>
        <v>35196.312999999995</v>
      </c>
      <c r="AE74" s="14">
        <f t="shared" si="165"/>
        <v>35442.410000000003</v>
      </c>
      <c r="AF74" s="14">
        <f t="shared" si="165"/>
        <v>36150.692999999999</v>
      </c>
      <c r="AG74" s="14">
        <f t="shared" si="165"/>
        <v>38775.736000000004</v>
      </c>
      <c r="AH74" s="14">
        <f t="shared" si="165"/>
        <v>40396.566999999995</v>
      </c>
      <c r="AI74" s="14">
        <f t="shared" si="165"/>
        <v>39112.073000000004</v>
      </c>
      <c r="AJ74" s="14">
        <f>SUM(AJ71:AJ73)</f>
        <v>39466.899000000005</v>
      </c>
      <c r="AK74" s="14">
        <f>SUM(AK71:AK73)</f>
        <v>40477.035000000003</v>
      </c>
    </row>
    <row r="75" spans="1:37" ht="5.0999999999999996" customHeight="1"/>
    <row r="76" spans="1:37" ht="12.75" customHeight="1">
      <c r="A76" s="5"/>
      <c r="B76" s="34" t="s">
        <v>80</v>
      </c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</row>
    <row r="77" spans="1:37" ht="5.0999999999999996" customHeight="1"/>
    <row r="78" spans="1:37" ht="12.75" customHeight="1">
      <c r="B78" s="32" t="s">
        <v>121</v>
      </c>
      <c r="C78" s="87">
        <f>C71/C32</f>
        <v>1.0309556103146054</v>
      </c>
      <c r="D78" s="87">
        <f>D71/D32</f>
        <v>0.81343700220649706</v>
      </c>
      <c r="E78" s="87">
        <f>E71/E32</f>
        <v>0.70156686344923636</v>
      </c>
      <c r="F78" s="87">
        <f>F71/F32</f>
        <v>0.66862705115468379</v>
      </c>
      <c r="G78" s="87">
        <f>G71/G32</f>
        <v>0.59470454225018066</v>
      </c>
      <c r="I78" s="38"/>
      <c r="J78" s="38"/>
      <c r="K78" s="38"/>
      <c r="L78" s="87">
        <f t="shared" ref="L78:W78" si="166">SUM(L71/SUM(I32:L32))</f>
        <v>0.70156686344923647</v>
      </c>
      <c r="M78" s="87">
        <f t="shared" si="166"/>
        <v>0.70441095314621194</v>
      </c>
      <c r="N78" s="87">
        <f t="shared" si="166"/>
        <v>0.6946553905941405</v>
      </c>
      <c r="O78" s="87">
        <f t="shared" si="166"/>
        <v>0.67868382950751771</v>
      </c>
      <c r="P78" s="87">
        <f t="shared" si="166"/>
        <v>0.6686270511546839</v>
      </c>
      <c r="Q78" s="87">
        <f t="shared" si="166"/>
        <v>0.61335183773316815</v>
      </c>
      <c r="R78" s="87">
        <f t="shared" si="166"/>
        <v>0.58324375346895641</v>
      </c>
      <c r="S78" s="87">
        <f t="shared" si="166"/>
        <v>0.63800767707425221</v>
      </c>
      <c r="T78" s="87">
        <f t="shared" si="166"/>
        <v>0.59470454225018077</v>
      </c>
      <c r="U78" s="87">
        <f t="shared" si="166"/>
        <v>0.55505122743080537</v>
      </c>
      <c r="V78" s="87">
        <f t="shared" si="166"/>
        <v>0.51071403451666875</v>
      </c>
      <c r="W78" s="87">
        <f t="shared" si="166"/>
        <v>0.49933411802906635</v>
      </c>
      <c r="X78" s="87"/>
      <c r="Y78" s="87">
        <f t="shared" ref="Y78:AK78" si="167">Y71/Y32</f>
        <v>2.239368808974787</v>
      </c>
      <c r="Z78" s="87">
        <f t="shared" si="167"/>
        <v>1.7637979732700031</v>
      </c>
      <c r="AA78" s="87">
        <f t="shared" si="167"/>
        <v>1.7269030142804749</v>
      </c>
      <c r="AB78" s="87">
        <f t="shared" si="167"/>
        <v>1.7283880184748062</v>
      </c>
      <c r="AC78" s="87">
        <f t="shared" si="167"/>
        <v>1.712568378178198</v>
      </c>
      <c r="AD78" s="87">
        <f t="shared" si="167"/>
        <v>1.715324678740636</v>
      </c>
      <c r="AE78" s="87">
        <f t="shared" si="167"/>
        <v>1.5660747948956</v>
      </c>
      <c r="AF78" s="87">
        <f t="shared" si="167"/>
        <v>1.4666116016938644</v>
      </c>
      <c r="AG78" s="87">
        <f t="shared" si="167"/>
        <v>0.63800767707425232</v>
      </c>
      <c r="AH78" s="87">
        <f t="shared" si="167"/>
        <v>0.59470454225018066</v>
      </c>
      <c r="AI78" s="87">
        <f t="shared" si="167"/>
        <v>0.55505122743080537</v>
      </c>
      <c r="AJ78" s="87">
        <f t="shared" si="167"/>
        <v>0.51071403451666886</v>
      </c>
      <c r="AK78" s="87">
        <f t="shared" si="167"/>
        <v>0.49933411802906652</v>
      </c>
    </row>
    <row r="79" spans="1:37" ht="12.75" customHeight="1">
      <c r="B79" s="32" t="s">
        <v>122</v>
      </c>
      <c r="C79" s="87">
        <f>SUM(C71-C52)/C32</f>
        <v>0.51563166975557706</v>
      </c>
      <c r="D79" s="87">
        <f>SUM(D71-D52)/D32</f>
        <v>0.49679258401803517</v>
      </c>
      <c r="E79" s="87">
        <f>SUM(E71-E52)/E32</f>
        <v>0.45135288604200341</v>
      </c>
      <c r="F79" s="87">
        <f>SUM(F71-F52)/F32</f>
        <v>0.34287673950939124</v>
      </c>
      <c r="G79" s="87">
        <f>SUM(G71-G52)/G32</f>
        <v>0.29817926491357555</v>
      </c>
      <c r="I79" s="38"/>
      <c r="J79" s="38"/>
      <c r="K79" s="38"/>
      <c r="L79" s="87">
        <f t="shared" ref="L79:W79" si="168">SUM(L71-L52)/SUM(I32:L32)</f>
        <v>0.45135288604200346</v>
      </c>
      <c r="M79" s="87">
        <f t="shared" si="168"/>
        <v>0.37850772434928254</v>
      </c>
      <c r="N79" s="87">
        <f t="shared" si="168"/>
        <v>0.32861241224315074</v>
      </c>
      <c r="O79" s="87">
        <f t="shared" si="168"/>
        <v>0.33134749348949105</v>
      </c>
      <c r="P79" s="87">
        <f t="shared" si="168"/>
        <v>0.34287673950939129</v>
      </c>
      <c r="Q79" s="87">
        <f t="shared" si="168"/>
        <v>0.30727432578136904</v>
      </c>
      <c r="R79" s="87">
        <f t="shared" si="168"/>
        <v>0.30799412468544912</v>
      </c>
      <c r="S79" s="87">
        <f t="shared" si="168"/>
        <v>0.34167387463671717</v>
      </c>
      <c r="T79" s="87">
        <f t="shared" si="168"/>
        <v>0.2981792649135756</v>
      </c>
      <c r="U79" s="87">
        <f t="shared" si="168"/>
        <v>0.29011590061330145</v>
      </c>
      <c r="V79" s="87">
        <f t="shared" si="168"/>
        <v>0.22298992156959471</v>
      </c>
      <c r="W79" s="87">
        <f t="shared" si="168"/>
        <v>0.18001584611363472</v>
      </c>
      <c r="X79" s="87"/>
      <c r="Y79" s="87">
        <f t="shared" ref="Y79:AK79" si="169">SUM(Y71-Y52)/Y32</f>
        <v>1.259347120599708</v>
      </c>
      <c r="Z79" s="87">
        <f t="shared" si="169"/>
        <v>1.1347390350172315</v>
      </c>
      <c r="AA79" s="87">
        <f t="shared" si="169"/>
        <v>0.92793294480692767</v>
      </c>
      <c r="AB79" s="87">
        <f t="shared" si="169"/>
        <v>0.81762808398762954</v>
      </c>
      <c r="AC79" s="87">
        <f t="shared" si="169"/>
        <v>0.83611133029422358</v>
      </c>
      <c r="AD79" s="87">
        <f t="shared" si="169"/>
        <v>0.87963077777198484</v>
      </c>
      <c r="AE79" s="87">
        <f t="shared" si="169"/>
        <v>0.78456531328449075</v>
      </c>
      <c r="AF79" s="87">
        <f t="shared" si="169"/>
        <v>0.77447508666934883</v>
      </c>
      <c r="AG79" s="87">
        <f t="shared" si="169"/>
        <v>0.34167387463671722</v>
      </c>
      <c r="AH79" s="87">
        <f t="shared" si="169"/>
        <v>0.29817926491357555</v>
      </c>
      <c r="AI79" s="87">
        <f t="shared" si="169"/>
        <v>0.29011590061330145</v>
      </c>
      <c r="AJ79" s="87">
        <f t="shared" si="169"/>
        <v>0.22298992156959474</v>
      </c>
      <c r="AK79" s="87">
        <f t="shared" si="169"/>
        <v>0.18001584611363478</v>
      </c>
    </row>
    <row r="80" spans="1:37" ht="12.75" customHeight="1">
      <c r="B80" s="32" t="s">
        <v>123</v>
      </c>
      <c r="C80" s="87">
        <f>C32/-C37</f>
        <v>20.871683724295586</v>
      </c>
      <c r="D80" s="87">
        <f>D32/-D37</f>
        <v>24.93543367320207</v>
      </c>
      <c r="E80" s="87">
        <f>E32/-E37</f>
        <v>29.31637767513714</v>
      </c>
      <c r="F80" s="87">
        <f>F32/-F37</f>
        <v>31.917644016689458</v>
      </c>
      <c r="G80" s="87">
        <f>G32/-G37</f>
        <v>39.022320171029889</v>
      </c>
      <c r="I80" s="38"/>
      <c r="J80" s="38"/>
      <c r="K80" s="38"/>
      <c r="L80" s="87" cm="1">
        <f t="array" ref="L80">SUM(I32:L32)/SUM(-I37:L37)</f>
        <v>29.128784274410521</v>
      </c>
      <c r="M80" s="87" cm="1">
        <f t="array" ref="M80">SUM(J32:M32)/SUM(-J37:M37)</f>
        <v>29.735694327379374</v>
      </c>
      <c r="N80" s="87" cm="1">
        <f t="array" ref="N80">SUM(K32:N32)/SUM(-K37:N37)</f>
        <v>30.241612241035845</v>
      </c>
      <c r="O80" s="87" cm="1">
        <f t="array" ref="O80">SUM(L32:O32)/SUM(-L37:O37)</f>
        <v>30.451482055243186</v>
      </c>
      <c r="P80" s="87" cm="1">
        <f t="array" ref="P80">SUM(M32:P32)/SUM(-M37:P37)</f>
        <v>31.218838682758282</v>
      </c>
      <c r="Q80" s="87" cm="1">
        <f t="array" ref="Q80">SUM(N32:Q32)/SUM(-N37:Q37)</f>
        <v>32.838610904834873</v>
      </c>
      <c r="R80" s="87" cm="1">
        <f t="array" ref="R80">SUM(O32:R32)/SUM(-O37:R37)</f>
        <v>34.777789979409746</v>
      </c>
      <c r="S80" s="87" cm="1">
        <f t="array" ref="S80">SUM(P32:S32)/SUM(-P37:S37)</f>
        <v>35.880175435094429</v>
      </c>
      <c r="T80" s="87" cm="1">
        <f t="array" ref="T80">SUM(Q32:T32)/SUM(-Q37:T37)</f>
        <v>36.620877293793384</v>
      </c>
      <c r="U80" s="87" cm="1">
        <f t="array" ref="U80">SUM(R32:U32)/SUM(-R37:U37)</f>
        <v>37.248088312492882</v>
      </c>
      <c r="V80" s="87" cm="1">
        <f t="array" ref="V80">SUM(S32:V32)/SUM(-S37:V37)</f>
        <v>38.18722237300706</v>
      </c>
      <c r="W80" s="87" cm="1">
        <f t="array" ref="W80">SUM(T32:W32)/SUM(-T37:W37)</f>
        <v>39.586254862409795</v>
      </c>
      <c r="X80" s="87"/>
      <c r="Y80" s="87">
        <f t="shared" ref="Y80:AK80" si="170">Y32/-Y37</f>
        <v>11.647237070325559</v>
      </c>
      <c r="Z80" s="87">
        <f t="shared" si="170"/>
        <v>11.586241808408809</v>
      </c>
      <c r="AA80" s="87">
        <f t="shared" si="170"/>
        <v>12.129313928113708</v>
      </c>
      <c r="AB80" s="87">
        <f t="shared" si="170"/>
        <v>12.154388215460491</v>
      </c>
      <c r="AC80" s="87">
        <f t="shared" si="170"/>
        <v>12.067797536596489</v>
      </c>
      <c r="AD80" s="87">
        <f t="shared" si="170"/>
        <v>12.168984861951399</v>
      </c>
      <c r="AE80" s="87">
        <f t="shared" si="170"/>
        <v>12.861213533819523</v>
      </c>
      <c r="AF80" s="87">
        <f t="shared" si="170"/>
        <v>13.830470685980567</v>
      </c>
      <c r="AG80" s="87">
        <f t="shared" si="170"/>
        <v>35.880175435094422</v>
      </c>
      <c r="AH80" s="87">
        <f t="shared" si="170"/>
        <v>36.620877293793392</v>
      </c>
      <c r="AI80" s="87">
        <f t="shared" si="170"/>
        <v>37.248088312492882</v>
      </c>
      <c r="AJ80" s="87">
        <f t="shared" si="170"/>
        <v>38.18722237300706</v>
      </c>
      <c r="AK80" s="87">
        <f t="shared" si="170"/>
        <v>39.586254862409788</v>
      </c>
    </row>
    <row r="81" spans="2:37" ht="12.75" customHeight="1">
      <c r="B81" s="32" t="s">
        <v>124</v>
      </c>
      <c r="C81" s="87" cm="1">
        <f t="array" ref="C81">SUM(C32+C35)/SUM(-C36:C37)</f>
        <v>14.62813920715875</v>
      </c>
      <c r="D81" s="87" cm="1">
        <f t="array" ref="D81">SUM(D32+D35)/SUM(-D36:D37)</f>
        <v>14.545428330545292</v>
      </c>
      <c r="E81" s="87" cm="1">
        <f t="array" ref="E81">SUM(E32+E35)/SUM(-E36:E37)</f>
        <v>13.323110082971407</v>
      </c>
      <c r="F81" s="87" cm="1">
        <f t="array" ref="F81">SUM(F32+F35)/SUM(-F36:F37)</f>
        <v>11.687671550119955</v>
      </c>
      <c r="G81" s="87" cm="1">
        <f t="array" ref="G81">SUM(G32+G35)/SUM(-G36:G37)</f>
        <v>11.174757084530784</v>
      </c>
      <c r="I81" s="38"/>
      <c r="J81" s="38"/>
      <c r="K81" s="38"/>
      <c r="L81" s="87" cm="1">
        <f t="array" ref="L81">SUM(I32:L32+I35:L35)/SUM(-I36:L37)</f>
        <v>13.640330208622956</v>
      </c>
      <c r="M81" s="87" cm="1">
        <f t="array" ref="M81">SUM(J32:M32+J35:M35)/SUM(-J36:M37)</f>
        <v>16.250535548377467</v>
      </c>
      <c r="N81" s="87" cm="1">
        <f t="array" ref="N81">SUM(K32:N32+K35:N35)/SUM(-K36:N37)</f>
        <v>16.389357810735074</v>
      </c>
      <c r="O81" s="87" cm="1">
        <f t="array" ref="O81">SUM(L32:O32+L35:O35)/SUM(-L36:O37)</f>
        <v>16.418457609612339</v>
      </c>
      <c r="P81" s="87" cm="1">
        <f t="array" ref="P81">SUM(M32:P32+M35:P35)/SUM(-M36:P37)</f>
        <v>14.359213379809932</v>
      </c>
      <c r="Q81" s="87" cm="1">
        <f t="array" ref="Q81">SUM(N32:Q32+N35:Q35)/SUM(-N36:Q37)</f>
        <v>13.987394515682393</v>
      </c>
      <c r="R81" s="87" cm="1">
        <f t="array" ref="R81">SUM(O32:R32+O35:R35)/SUM(-O36:R37)</f>
        <v>13.309116882621565</v>
      </c>
      <c r="S81" s="87" cm="1">
        <f t="array" ref="S81">SUM(P32:S32+P35:S35)/SUM(-P36:S37)</f>
        <v>13.053436834052713</v>
      </c>
      <c r="T81" s="87" cm="1">
        <f t="array" ref="T81">SUM(Q32:T32+Q35:T35)/SUM(-Q36:T37)</f>
        <v>13.119238082299965</v>
      </c>
      <c r="U81" s="87" cm="1">
        <f t="array" ref="U81">SUM(R32:U32+R35:U35)/SUM(-R36:U37)</f>
        <v>13.179630074157053</v>
      </c>
      <c r="V81" s="87" cm="1">
        <f t="array" ref="V81">SUM(S32:V32+S35:V35)/SUM(-S36:V37)</f>
        <v>12.781701856404576</v>
      </c>
      <c r="W81" s="87" cm="1">
        <f t="array" ref="W81">SUM(T32:W32+T35:W35)/SUM(-T36:W37)</f>
        <v>11.902635725660501</v>
      </c>
      <c r="X81" s="87"/>
      <c r="Y81" s="87" cm="1">
        <f t="array" ref="Y81">SUM(Y32+Y35)/SUM(-Y36:Y37)</f>
        <v>4.4895735900547171</v>
      </c>
      <c r="Z81" s="87" cm="1">
        <f t="array" ref="Z81">SUM(Z32+Z35)/SUM(-Z36:Z37)</f>
        <v>5.2594537879080008</v>
      </c>
      <c r="AA81" s="87" cm="1">
        <f t="array" ref="AA81">SUM(AA32+AA35)/SUM(-AA36:AA37)</f>
        <v>6.4630636095078104</v>
      </c>
      <c r="AB81" s="87" cm="1">
        <f t="array" ref="AB81">SUM(AB32+AB35)/SUM(-AB36:AB37)</f>
        <v>6.4157398423721608</v>
      </c>
      <c r="AC81" s="87" cm="1">
        <f t="array" ref="AC81">SUM(AC32+AC35)/SUM(-AC36:AC37)</f>
        <v>6.3261229717650123</v>
      </c>
      <c r="AD81" s="87" cm="1">
        <f t="array" ref="AD81">SUM(AD32+AD35)/SUM(-AD36:AD37)</f>
        <v>5.4551137725990682</v>
      </c>
      <c r="AE81" s="87" cm="1">
        <f t="array" ref="AE81">SUM(AE32+AE35)/SUM(-AE36:AE37)</f>
        <v>5.3416911671822707</v>
      </c>
      <c r="AF81" s="87" cm="1">
        <f t="array" ref="AF81">SUM(AF32+AF35)/SUM(-AF36:AF37)</f>
        <v>5.1780722113101225</v>
      </c>
      <c r="AG81" s="87" cm="1">
        <f t="array" ref="AG81">SUM(AG32+AG35)/SUM(-AG36:AG37)</f>
        <v>13.053436834052711</v>
      </c>
      <c r="AH81" s="87" cm="1">
        <f t="array" ref="AH81">SUM(AH32+AH35)/SUM(-AH36:AH37)</f>
        <v>13.119238082299967</v>
      </c>
      <c r="AI81" s="87" cm="1">
        <f t="array" ref="AI81">SUM(AI32+AI35)/SUM(-AI36:AI37)</f>
        <v>13.179630074157052</v>
      </c>
      <c r="AJ81" s="87" cm="1">
        <f t="array" ref="AJ81">SUM(AJ32+AJ35)/SUM(-AJ36:AJ37)</f>
        <v>12.781701856404574</v>
      </c>
      <c r="AK81" s="87" cm="1">
        <f t="array" ref="AK81">SUM(AK32+AK35)/SUM(-AK36:AK37)</f>
        <v>11.902635725660497</v>
      </c>
    </row>
    <row r="82" spans="2:37" ht="12.75" customHeight="1">
      <c r="B82" s="32" t="s">
        <v>125</v>
      </c>
      <c r="C82" s="87" cm="1">
        <f t="array" ref="C82">SUM(C32)/SUM(-C35:C37)</f>
        <v>10.257020540334409</v>
      </c>
      <c r="D82" s="87" cm="1">
        <f t="array" ref="D82">SUM(D32)/SUM(-D35:D37)</f>
        <v>10.591831443257098</v>
      </c>
      <c r="E82" s="87" cm="1">
        <f t="array" ref="E82">SUM(E32)/SUM(-E35:E37)</f>
        <v>10.707744143847776</v>
      </c>
      <c r="F82" s="87" cm="1">
        <f t="array" ref="F82">SUM(F32)/SUM(-F35:F37)</f>
        <v>9.9851304530241602</v>
      </c>
      <c r="G82" s="87" cm="1">
        <f t="array" ref="G82">SUM(G32)/SUM(-G35:G37)</f>
        <v>9.5517925510874342</v>
      </c>
      <c r="I82" s="38"/>
      <c r="J82" s="38"/>
      <c r="K82" s="38"/>
      <c r="L82" s="87" cm="1">
        <f t="array" ref="L82">SUM(I32:L32)/SUM(-I35:L37)</f>
        <v>10.90757476619161</v>
      </c>
      <c r="M82" s="87" cm="1">
        <f t="array" ref="M82">SUM(J32:M32)/SUM(-J35:M37)</f>
        <v>12.917454557309954</v>
      </c>
      <c r="N82" s="87" cm="1">
        <f t="array" ref="N82">SUM(K32:N32)/SUM(-K35:N37)</f>
        <v>12.963058530960938</v>
      </c>
      <c r="O82" s="87" cm="1">
        <f t="array" ref="O82">SUM(L32:O32)/SUM(-L35:O37)</f>
        <v>12.870436535076919</v>
      </c>
      <c r="P82" s="87" cm="1">
        <f t="array" ref="P82">SUM(M32:P32)/SUM(-M35:P37)</f>
        <v>11.836514170332208</v>
      </c>
      <c r="Q82" s="87" cm="1">
        <f t="array" ref="Q82">SUM(N32:Q32)/SUM(-N35:Q37)</f>
        <v>11.60792118467776</v>
      </c>
      <c r="R82" s="87" cm="1">
        <f t="array" ref="R82">SUM(O32:R32)/SUM(-O35:R37)</f>
        <v>11.33987484546496</v>
      </c>
      <c r="S82" s="87" cm="1">
        <f t="array" ref="S82">SUM(P32:S32)/SUM(-P35:S37)</f>
        <v>11.122257311001253</v>
      </c>
      <c r="T82" s="87" cm="1">
        <f t="array" ref="T82">SUM(Q32:T32)/SUM(-Q35:T37)</f>
        <v>10.911025052056193</v>
      </c>
      <c r="U82" s="87" cm="1">
        <f t="array" ref="U82">SUM(R32:U32)/SUM(-R35:U37)</f>
        <v>10.79811723419701</v>
      </c>
      <c r="V82" s="87" cm="1">
        <f t="array" ref="V82">SUM(S32:V32)/SUM(-S35:V37)</f>
        <v>10.339794448284644</v>
      </c>
      <c r="W82" s="87" cm="1">
        <f t="array" ref="W82">SUM(T32:W32)/SUM(-T35:W37)</f>
        <v>9.6946883555011567</v>
      </c>
      <c r="X82" s="87"/>
      <c r="Y82" s="87" cm="1">
        <f t="array" ref="Y82">SUM(Y32)/SUM(-Y35:Y37)</f>
        <v>3.8515605995685629</v>
      </c>
      <c r="Z82" s="87" cm="1">
        <f t="array" ref="Z82">SUM(Z32)/SUM(-Z35:Z37)</f>
        <v>4.338588167423671</v>
      </c>
      <c r="AA82" s="87" cm="1">
        <f t="array" ref="AA82">SUM(AA32)/SUM(-AA35:AA37)</f>
        <v>5.2690836727323802</v>
      </c>
      <c r="AB82" s="87" cm="1">
        <f t="array" ref="AB82">SUM(AB32)/SUM(-AB35:AB37)</f>
        <v>5.2099750697563829</v>
      </c>
      <c r="AC82" s="87" cm="1">
        <f t="array" ref="AC82">SUM(AC32)/SUM(-AC35:AC37)</f>
        <v>5.1005012508473246</v>
      </c>
      <c r="AD82" s="87" cm="1">
        <f t="array" ref="AD82">SUM(AD32)/SUM(-AD35:AD37)</f>
        <v>4.613828311191992</v>
      </c>
      <c r="AE82" s="87" cm="1">
        <f t="array" ref="AE82">SUM(AE32)/SUM(-AE35:AE37)</f>
        <v>4.5462322834705393</v>
      </c>
      <c r="AF82" s="87" cm="1">
        <f t="array" ref="AF82">SUM(AF32)/SUM(-AF35:AF37)</f>
        <v>4.5096541995838866</v>
      </c>
      <c r="AG82" s="87" cm="1">
        <f t="array" ref="AG82">SUM(AG32)/SUM(-AG35:AG37)</f>
        <v>11.122257311001251</v>
      </c>
      <c r="AH82" s="87" cm="1">
        <f t="array" ref="AH82">SUM(AH32)/SUM(-AH35:AH37)</f>
        <v>10.911025052056194</v>
      </c>
      <c r="AI82" s="87" cm="1">
        <f t="array" ref="AI82">SUM(AI32)/SUM(-AI35:AI37)</f>
        <v>10.79811723419701</v>
      </c>
      <c r="AJ82" s="87" cm="1">
        <f t="array" ref="AJ82">SUM(AJ32)/SUM(-AJ35:AJ37)</f>
        <v>10.339794448284643</v>
      </c>
      <c r="AK82" s="87" cm="1">
        <f t="array" ref="AK82">SUM(AK32)/SUM(-AK35:AK37)</f>
        <v>9.6946883555011567</v>
      </c>
    </row>
    <row r="83" spans="2:37" ht="12.75" customHeight="1">
      <c r="B83" s="8" t="s">
        <v>57</v>
      </c>
      <c r="C83" s="87">
        <f>C74/C71</f>
        <v>1.6740521442495127</v>
      </c>
      <c r="D83" s="87">
        <f>D74/D71</f>
        <v>2.0235226348078785</v>
      </c>
      <c r="E83" s="87">
        <f>E74/E71</f>
        <v>2.4396757899113082</v>
      </c>
      <c r="F83" s="87">
        <f>F74/F71</f>
        <v>2.4093861582694411</v>
      </c>
      <c r="G83" s="87">
        <f>G74/G71</f>
        <v>2.5807555740113712</v>
      </c>
      <c r="I83" s="38"/>
      <c r="J83" s="38"/>
      <c r="K83" s="38"/>
      <c r="L83" s="87">
        <f t="shared" ref="L83:V83" si="171">L74/L71</f>
        <v>2.4396757899113082</v>
      </c>
      <c r="M83" s="87">
        <f t="shared" si="171"/>
        <v>2.5040443740095086</v>
      </c>
      <c r="N83" s="87">
        <f t="shared" si="171"/>
        <v>2.5700876770733045</v>
      </c>
      <c r="O83" s="87">
        <f t="shared" si="171"/>
        <v>2.5386711442093541</v>
      </c>
      <c r="P83" s="87">
        <f t="shared" si="171"/>
        <v>2.4093861582694411</v>
      </c>
      <c r="Q83" s="87">
        <f t="shared" si="171"/>
        <v>2.5177530723875829</v>
      </c>
      <c r="R83" s="87">
        <f t="shared" si="171"/>
        <v>2.5752025217267418</v>
      </c>
      <c r="S83" s="87">
        <f t="shared" si="171"/>
        <v>2.4151813142323268</v>
      </c>
      <c r="T83" s="87">
        <f t="shared" si="171"/>
        <v>2.5807555740113712</v>
      </c>
      <c r="U83" s="87">
        <f t="shared" si="171"/>
        <v>2.5929510076902682</v>
      </c>
      <c r="V83" s="87">
        <f t="shared" si="171"/>
        <v>2.7190423010678613</v>
      </c>
      <c r="W83" s="87">
        <f>W74/W71</f>
        <v>2.7870987399297666</v>
      </c>
      <c r="X83" s="87"/>
      <c r="Y83" s="87">
        <f t="shared" ref="Y83:AI83" si="172">Y74/Y71</f>
        <v>2.4694445955619186</v>
      </c>
      <c r="Z83" s="87">
        <f t="shared" si="172"/>
        <v>2.4396757899113082</v>
      </c>
      <c r="AA83" s="87">
        <f t="shared" si="172"/>
        <v>2.5040443740095086</v>
      </c>
      <c r="AB83" s="87">
        <f t="shared" si="172"/>
        <v>2.5700876770733045</v>
      </c>
      <c r="AC83" s="87">
        <f t="shared" si="172"/>
        <v>2.5386711442093541</v>
      </c>
      <c r="AD83" s="87">
        <f t="shared" si="172"/>
        <v>2.4093861582694411</v>
      </c>
      <c r="AE83" s="87">
        <f t="shared" si="172"/>
        <v>2.5177530723875829</v>
      </c>
      <c r="AF83" s="87">
        <f t="shared" si="172"/>
        <v>2.5752025217267418</v>
      </c>
      <c r="AG83" s="87">
        <f t="shared" si="172"/>
        <v>2.4151813142323268</v>
      </c>
      <c r="AH83" s="87">
        <f t="shared" si="172"/>
        <v>2.5807555740113712</v>
      </c>
      <c r="AI83" s="87">
        <f t="shared" si="172"/>
        <v>2.5929510076902682</v>
      </c>
      <c r="AJ83" s="87">
        <f>AJ74/AJ71</f>
        <v>2.7190423010678613</v>
      </c>
      <c r="AK83" s="87">
        <f>AK74/AK71</f>
        <v>2.7870987399297666</v>
      </c>
    </row>
    <row r="84" spans="2:37" ht="5.0999999999999996" customHeight="1" thickBot="1"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</row>
  </sheetData>
  <mergeCells count="1">
    <mergeCell ref="AM2:AM4"/>
  </mergeCells>
  <dataValidations disablePrompts="1" count="1">
    <dataValidation type="list" allowBlank="1" showInputMessage="1" showErrorMessage="1" sqref="B4" xr:uid="{060857CB-86CD-4220-87C0-9A83C6E53284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C39:V40 AL40:AM40 H35:H37 H42 AL42:AM42 AL38 AL39 H38 AL41:AM41 H41 C45:G45 C44:G44 C41:G41 C42:G43 C46:G46 I41:W46" formulaRange="1"/>
    <ignoredError sqref="C78:AK83 D12:AK14 C24:AK25 H15 X15:AK15 C18:AK19 H20:H23 X20:AK22 C29:AK30 H26 X26:AK26 C32:AK33 H31 AM28:AM39 X31:AK31 AM10:AM15 H17 AM17:AM26 H28" evalError="1"/>
    <ignoredError sqref="AG45:AK4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A0B09-DABA-4E42-BC67-93960B9C5A6B}">
  <sheetPr>
    <tabColor theme="4" tint="-0.249977111117893"/>
  </sheetPr>
  <dimension ref="B2:AK27"/>
  <sheetViews>
    <sheetView showGridLines="0" zoomScale="115" zoomScaleNormal="115" workbookViewId="0">
      <selection activeCell="S31" sqref="S31"/>
    </sheetView>
  </sheetViews>
  <sheetFormatPr defaultRowHeight="12" outlineLevelCol="2"/>
  <cols>
    <col min="1" max="1" width="1.625" style="8" customWidth="1"/>
    <col min="2" max="2" width="28.625" style="8" bestFit="1" customWidth="1"/>
    <col min="3" max="4" width="8.625" style="8" customWidth="1" outlineLevel="1"/>
    <col min="5" max="7" width="8.625" style="8" bestFit="1" customWidth="1"/>
    <col min="8" max="8" width="1.625" style="8" customWidth="1"/>
    <col min="9" max="11" width="7.875" style="8" hidden="1" customWidth="1" outlineLevel="2"/>
    <col min="12" max="12" width="8.625" style="8" hidden="1" customWidth="1" outlineLevel="2"/>
    <col min="13" max="13" width="7.875" style="8" customWidth="1" outlineLevel="1" collapsed="1"/>
    <col min="14" max="15" width="7.875" style="8" customWidth="1" outlineLevel="1"/>
    <col min="16" max="16" width="8.625" style="8" customWidth="1" outlineLevel="1"/>
    <col min="17" max="18" width="7.875" style="8" customWidth="1" outlineLevel="1"/>
    <col min="19" max="19" width="7.875" style="8" bestFit="1" customWidth="1"/>
    <col min="20" max="20" width="8.625" style="8" bestFit="1" customWidth="1"/>
    <col min="21" max="23" width="7.875" style="8" bestFit="1" customWidth="1"/>
    <col min="24" max="24" width="1.625" style="8" customWidth="1"/>
    <col min="25" max="25" width="7.875" style="8" hidden="1" customWidth="1" outlineLevel="1"/>
    <col min="26" max="26" width="8.625" style="8" hidden="1" customWidth="1" outlineLevel="1"/>
    <col min="27" max="29" width="7.875" style="8" hidden="1" customWidth="1" outlineLevel="1"/>
    <col min="30" max="30" width="8.625" style="8" hidden="1" customWidth="1" outlineLevel="1"/>
    <col min="31" max="32" width="7.875" style="8" hidden="1" customWidth="1" outlineLevel="1"/>
    <col min="33" max="33" width="7.875" style="8" bestFit="1" customWidth="1" collapsed="1"/>
    <col min="34" max="34" width="8.625" style="8" hidden="1" customWidth="1" outlineLevel="1"/>
    <col min="35" max="36" width="7.875" style="8" hidden="1" customWidth="1" outlineLevel="1"/>
    <col min="37" max="37" width="7.875" style="8" bestFit="1" customWidth="1" collapsed="1"/>
    <col min="38" max="16384" width="9" style="8"/>
  </cols>
  <sheetData>
    <row r="2" spans="2:37">
      <c r="B2" s="157" t="str">
        <f>'Historical Financials'!B2</f>
        <v>Netflix, Inc. (NASDAQ: NFLX)</v>
      </c>
      <c r="C2" s="155" t="s">
        <v>0</v>
      </c>
      <c r="D2" s="155"/>
      <c r="E2" s="155" t="s">
        <v>0</v>
      </c>
      <c r="F2" s="155"/>
      <c r="G2" s="155"/>
      <c r="H2" s="156"/>
      <c r="I2" s="155" t="s">
        <v>1</v>
      </c>
      <c r="J2" s="155"/>
      <c r="K2" s="155"/>
      <c r="L2" s="155"/>
      <c r="M2" s="155" t="s">
        <v>1</v>
      </c>
      <c r="N2" s="155"/>
      <c r="O2" s="155"/>
      <c r="P2" s="155"/>
      <c r="Q2" s="155"/>
      <c r="R2" s="155"/>
      <c r="S2" s="155" t="s">
        <v>1</v>
      </c>
      <c r="T2" s="155"/>
      <c r="U2" s="155"/>
      <c r="V2" s="155"/>
      <c r="W2" s="155"/>
      <c r="X2" s="156"/>
      <c r="Y2" s="155" t="s">
        <v>10</v>
      </c>
      <c r="Z2" s="155"/>
      <c r="AA2" s="155"/>
      <c r="AB2" s="155"/>
      <c r="AC2" s="155"/>
      <c r="AD2" s="155"/>
      <c r="AE2" s="155"/>
      <c r="AF2" s="155" t="s">
        <v>10</v>
      </c>
      <c r="AG2" s="155" t="s">
        <v>10</v>
      </c>
      <c r="AH2" s="155"/>
      <c r="AI2" s="155"/>
      <c r="AJ2" s="155"/>
      <c r="AK2" s="155"/>
    </row>
    <row r="3" spans="2:37">
      <c r="B3" s="158" t="s">
        <v>201</v>
      </c>
      <c r="C3" s="163">
        <f>'Historical Financials'!E7</f>
        <v>2020</v>
      </c>
      <c r="D3" s="163">
        <f>'Historical Financials'!F7</f>
        <v>2021</v>
      </c>
      <c r="E3" s="163">
        <f>'Historical Financials'!G7</f>
        <v>2022</v>
      </c>
      <c r="F3" s="163">
        <f>'Historical Financials'!H7</f>
        <v>2023</v>
      </c>
      <c r="G3" s="163">
        <f>'Historical Financials'!I7</f>
        <v>2024</v>
      </c>
      <c r="H3" s="156"/>
      <c r="I3" s="163" t="str">
        <f>'Historical Financials'!O7</f>
        <v>1Q22</v>
      </c>
      <c r="J3" s="163" t="str">
        <f>'Historical Financials'!P7</f>
        <v>2Q22</v>
      </c>
      <c r="K3" s="163" t="str">
        <f>'Historical Financials'!Q7</f>
        <v>3Q22</v>
      </c>
      <c r="L3" s="163" t="str">
        <f>'Historical Financials'!R7</f>
        <v>4Q22</v>
      </c>
      <c r="M3" s="163" t="str">
        <f>'Historical Financials'!S7</f>
        <v>1Q23</v>
      </c>
      <c r="N3" s="163" t="str">
        <f>'Historical Financials'!T7</f>
        <v>2Q23</v>
      </c>
      <c r="O3" s="163" t="str">
        <f>'Historical Financials'!U7</f>
        <v>3Q23</v>
      </c>
      <c r="P3" s="163" t="str">
        <f>'Historical Financials'!V7</f>
        <v>4Q23</v>
      </c>
      <c r="Q3" s="163" t="str">
        <f>'Historical Financials'!W7</f>
        <v>1Q24</v>
      </c>
      <c r="R3" s="163" t="str">
        <f>'Historical Financials'!X7</f>
        <v>2Q24</v>
      </c>
      <c r="S3" s="163" t="str">
        <f>'Historical Financials'!Y7</f>
        <v>3Q24</v>
      </c>
      <c r="T3" s="163" t="str">
        <f>'Historical Financials'!Z7</f>
        <v>4Q24</v>
      </c>
      <c r="U3" s="163" t="str">
        <f>'Historical Financials'!AA7</f>
        <v>1Q25</v>
      </c>
      <c r="V3" s="163" t="str">
        <f>'Historical Financials'!AB7</f>
        <v>2Q25</v>
      </c>
      <c r="W3" s="163" t="str">
        <f>'Historical Financials'!AC7</f>
        <v>3Q25</v>
      </c>
      <c r="X3" s="156"/>
      <c r="Y3" s="164" t="str">
        <f t="shared" ref="Y3:AK4" si="0">K3</f>
        <v>3Q22</v>
      </c>
      <c r="Z3" s="164" t="str">
        <f t="shared" si="0"/>
        <v>4Q22</v>
      </c>
      <c r="AA3" s="164" t="str">
        <f t="shared" si="0"/>
        <v>1Q23</v>
      </c>
      <c r="AB3" s="164" t="str">
        <f t="shared" si="0"/>
        <v>2Q23</v>
      </c>
      <c r="AC3" s="164" t="str">
        <f t="shared" si="0"/>
        <v>3Q23</v>
      </c>
      <c r="AD3" s="164" t="str">
        <f t="shared" si="0"/>
        <v>4Q23</v>
      </c>
      <c r="AE3" s="164" t="str">
        <f t="shared" si="0"/>
        <v>1Q24</v>
      </c>
      <c r="AF3" s="164" t="str">
        <f t="shared" si="0"/>
        <v>2Q24</v>
      </c>
      <c r="AG3" s="164" t="str">
        <f t="shared" si="0"/>
        <v>3Q24</v>
      </c>
      <c r="AH3" s="164" t="str">
        <f t="shared" si="0"/>
        <v>4Q24</v>
      </c>
      <c r="AI3" s="164" t="str">
        <f t="shared" si="0"/>
        <v>1Q25</v>
      </c>
      <c r="AJ3" s="164" t="str">
        <f t="shared" si="0"/>
        <v>2Q25</v>
      </c>
      <c r="AK3" s="164" t="str">
        <f t="shared" si="0"/>
        <v>3Q25</v>
      </c>
    </row>
    <row r="4" spans="2:37">
      <c r="B4" s="158" t="s">
        <v>198</v>
      </c>
      <c r="C4" s="156">
        <f>'Historical Financials'!E8</f>
        <v>44196</v>
      </c>
      <c r="D4" s="156">
        <f>'Historical Financials'!F8</f>
        <v>44561</v>
      </c>
      <c r="E4" s="156">
        <f>'Historical Financials'!G8</f>
        <v>44926</v>
      </c>
      <c r="F4" s="156">
        <f>'Historical Financials'!H8</f>
        <v>45291</v>
      </c>
      <c r="G4" s="156">
        <f>'Historical Financials'!I8</f>
        <v>45657</v>
      </c>
      <c r="H4" s="156"/>
      <c r="I4" s="156">
        <f>'Historical Financials'!O8</f>
        <v>44651</v>
      </c>
      <c r="J4" s="156">
        <f>'Historical Financials'!P8</f>
        <v>44742</v>
      </c>
      <c r="K4" s="156">
        <f>'Historical Financials'!Q8</f>
        <v>44834</v>
      </c>
      <c r="L4" s="156">
        <f>'Historical Financials'!R8</f>
        <v>44926</v>
      </c>
      <c r="M4" s="156">
        <f>'Historical Financials'!S8</f>
        <v>45016</v>
      </c>
      <c r="N4" s="156">
        <f>'Historical Financials'!T8</f>
        <v>45107</v>
      </c>
      <c r="O4" s="156">
        <f>'Historical Financials'!U8</f>
        <v>45199</v>
      </c>
      <c r="P4" s="156">
        <f>'Historical Financials'!V8</f>
        <v>45291</v>
      </c>
      <c r="Q4" s="156">
        <f>'Historical Financials'!W8</f>
        <v>45382</v>
      </c>
      <c r="R4" s="156">
        <f>'Historical Financials'!X8</f>
        <v>45473</v>
      </c>
      <c r="S4" s="156">
        <f>'Historical Financials'!Y8</f>
        <v>45565</v>
      </c>
      <c r="T4" s="156">
        <f>'Historical Financials'!Z8</f>
        <v>45657</v>
      </c>
      <c r="U4" s="156">
        <f>'Historical Financials'!AA8</f>
        <v>45747</v>
      </c>
      <c r="V4" s="156">
        <f>'Historical Financials'!AB8</f>
        <v>45838</v>
      </c>
      <c r="W4" s="156">
        <f>'Historical Financials'!AC8</f>
        <v>45930</v>
      </c>
      <c r="X4" s="156"/>
      <c r="Y4" s="156">
        <f t="shared" si="0"/>
        <v>44834</v>
      </c>
      <c r="Z4" s="156">
        <f t="shared" si="0"/>
        <v>44926</v>
      </c>
      <c r="AA4" s="156">
        <f t="shared" si="0"/>
        <v>45016</v>
      </c>
      <c r="AB4" s="156">
        <f t="shared" si="0"/>
        <v>45107</v>
      </c>
      <c r="AC4" s="156">
        <f t="shared" si="0"/>
        <v>45199</v>
      </c>
      <c r="AD4" s="156">
        <f t="shared" si="0"/>
        <v>45291</v>
      </c>
      <c r="AE4" s="156">
        <f t="shared" si="0"/>
        <v>45382</v>
      </c>
      <c r="AF4" s="156">
        <f t="shared" si="0"/>
        <v>45473</v>
      </c>
      <c r="AG4" s="156">
        <f t="shared" si="0"/>
        <v>45565</v>
      </c>
      <c r="AH4" s="156">
        <f t="shared" si="0"/>
        <v>45657</v>
      </c>
      <c r="AI4" s="156">
        <f t="shared" si="0"/>
        <v>45747</v>
      </c>
      <c r="AJ4" s="156">
        <f t="shared" si="0"/>
        <v>45838</v>
      </c>
      <c r="AK4" s="156">
        <f t="shared" si="0"/>
        <v>45930</v>
      </c>
    </row>
    <row r="5" spans="2:37" ht="5.0999999999999996" customHeight="1"/>
    <row r="6" spans="2:37">
      <c r="B6" s="36" t="s">
        <v>199</v>
      </c>
    </row>
    <row r="7" spans="2:37">
      <c r="B7" s="166" t="s">
        <v>203</v>
      </c>
      <c r="C7" s="165">
        <v>500</v>
      </c>
      <c r="D7" s="165">
        <v>0</v>
      </c>
      <c r="E7" s="165">
        <v>0</v>
      </c>
      <c r="F7" s="165">
        <v>0</v>
      </c>
      <c r="G7" s="165">
        <v>0</v>
      </c>
      <c r="I7" s="165">
        <v>0</v>
      </c>
      <c r="J7" s="165">
        <v>0</v>
      </c>
      <c r="K7" s="165">
        <v>0</v>
      </c>
      <c r="L7" s="154">
        <f>E7</f>
        <v>0</v>
      </c>
      <c r="M7" s="165">
        <v>0</v>
      </c>
      <c r="N7" s="165">
        <v>0</v>
      </c>
      <c r="O7" s="165">
        <v>0</v>
      </c>
      <c r="P7" s="154">
        <f>F7</f>
        <v>0</v>
      </c>
      <c r="Q7" s="165">
        <v>0</v>
      </c>
      <c r="R7" s="165">
        <v>0</v>
      </c>
      <c r="S7" s="165">
        <v>0</v>
      </c>
      <c r="T7" s="154">
        <f>G7</f>
        <v>0</v>
      </c>
      <c r="U7" s="165">
        <v>0</v>
      </c>
      <c r="V7" s="165">
        <v>0</v>
      </c>
      <c r="W7" s="165">
        <v>0</v>
      </c>
      <c r="Y7" s="154">
        <f t="shared" ref="Y7" si="1">K7</f>
        <v>0</v>
      </c>
      <c r="Z7" s="154">
        <f t="shared" ref="Z7" si="2">L7</f>
        <v>0</v>
      </c>
      <c r="AA7" s="154">
        <f t="shared" ref="AA7" si="3">M7</f>
        <v>0</v>
      </c>
      <c r="AB7" s="154">
        <f t="shared" ref="AB7" si="4">N7</f>
        <v>0</v>
      </c>
      <c r="AC7" s="154">
        <f t="shared" ref="AC7" si="5">O7</f>
        <v>0</v>
      </c>
      <c r="AD7" s="154">
        <f t="shared" ref="AD7" si="6">P7</f>
        <v>0</v>
      </c>
      <c r="AE7" s="154">
        <f t="shared" ref="AE7" si="7">Q7</f>
        <v>0</v>
      </c>
      <c r="AF7" s="154">
        <f t="shared" ref="AF7" si="8">R7</f>
        <v>0</v>
      </c>
      <c r="AG7" s="154">
        <f t="shared" ref="AG7" si="9">S7</f>
        <v>0</v>
      </c>
      <c r="AH7" s="154">
        <f t="shared" ref="AH7" si="10">T7</f>
        <v>0</v>
      </c>
      <c r="AI7" s="154">
        <f t="shared" ref="AI7" si="11">U7</f>
        <v>0</v>
      </c>
      <c r="AJ7" s="154">
        <f t="shared" ref="AJ7" si="12">V7</f>
        <v>0</v>
      </c>
      <c r="AK7" s="154">
        <f t="shared" ref="AK7" si="13">W7</f>
        <v>0</v>
      </c>
    </row>
    <row r="8" spans="2:37">
      <c r="B8" s="166" t="s">
        <v>202</v>
      </c>
      <c r="C8" s="165">
        <v>700</v>
      </c>
      <c r="D8" s="165">
        <v>700</v>
      </c>
      <c r="E8" s="165">
        <v>0</v>
      </c>
      <c r="F8" s="165">
        <v>0</v>
      </c>
      <c r="G8" s="165">
        <v>0</v>
      </c>
      <c r="I8" s="165">
        <v>0</v>
      </c>
      <c r="J8" s="165">
        <v>0</v>
      </c>
      <c r="K8" s="165">
        <v>0</v>
      </c>
      <c r="L8" s="154">
        <f t="shared" ref="L8:L24" si="14">E8</f>
        <v>0</v>
      </c>
      <c r="M8" s="165">
        <v>0</v>
      </c>
      <c r="N8" s="165">
        <v>0</v>
      </c>
      <c r="O8" s="165">
        <v>0</v>
      </c>
      <c r="P8" s="154">
        <f>F8</f>
        <v>0</v>
      </c>
      <c r="Q8" s="165">
        <v>0</v>
      </c>
      <c r="R8" s="165">
        <v>0</v>
      </c>
      <c r="S8" s="165">
        <v>0</v>
      </c>
      <c r="T8" s="154">
        <f>G8</f>
        <v>0</v>
      </c>
      <c r="U8" s="165">
        <v>0</v>
      </c>
      <c r="V8" s="165">
        <v>0</v>
      </c>
      <c r="W8" s="165">
        <v>0</v>
      </c>
      <c r="Y8" s="154">
        <f t="shared" ref="Y8" si="15">K8</f>
        <v>0</v>
      </c>
      <c r="Z8" s="154">
        <f t="shared" ref="Z8" si="16">L8</f>
        <v>0</v>
      </c>
      <c r="AA8" s="154">
        <f t="shared" ref="AA8" si="17">M8</f>
        <v>0</v>
      </c>
      <c r="AB8" s="154">
        <f t="shared" ref="AB8" si="18">N8</f>
        <v>0</v>
      </c>
      <c r="AC8" s="154">
        <f t="shared" ref="AC8" si="19">O8</f>
        <v>0</v>
      </c>
      <c r="AD8" s="154">
        <f t="shared" ref="AD8" si="20">P8</f>
        <v>0</v>
      </c>
      <c r="AE8" s="154">
        <f t="shared" ref="AE8" si="21">Q8</f>
        <v>0</v>
      </c>
      <c r="AF8" s="154">
        <f t="shared" ref="AF8" si="22">R8</f>
        <v>0</v>
      </c>
      <c r="AG8" s="154">
        <f t="shared" ref="AG8" si="23">S8</f>
        <v>0</v>
      </c>
      <c r="AH8" s="154">
        <f t="shared" ref="AH8" si="24">T8</f>
        <v>0</v>
      </c>
      <c r="AI8" s="154">
        <f t="shared" ref="AI8" si="25">U8</f>
        <v>0</v>
      </c>
      <c r="AJ8" s="154">
        <f t="shared" ref="AJ8" si="26">V8</f>
        <v>0</v>
      </c>
      <c r="AK8" s="154">
        <f t="shared" ref="AK8" si="27">W8</f>
        <v>0</v>
      </c>
    </row>
    <row r="9" spans="2:37">
      <c r="B9" s="166" t="s">
        <v>184</v>
      </c>
      <c r="C9" s="165">
        <v>400</v>
      </c>
      <c r="D9" s="165">
        <v>400</v>
      </c>
      <c r="E9" s="165">
        <v>400</v>
      </c>
      <c r="F9" s="165">
        <v>400</v>
      </c>
      <c r="G9" s="165">
        <v>0</v>
      </c>
      <c r="I9" s="165">
        <v>400</v>
      </c>
      <c r="J9" s="165">
        <v>400</v>
      </c>
      <c r="K9" s="165">
        <v>400</v>
      </c>
      <c r="L9" s="154">
        <f t="shared" si="14"/>
        <v>400</v>
      </c>
      <c r="M9" s="165">
        <v>400</v>
      </c>
      <c r="N9" s="165">
        <v>400</v>
      </c>
      <c r="O9" s="165">
        <v>400</v>
      </c>
      <c r="P9" s="154">
        <f>F9</f>
        <v>400</v>
      </c>
      <c r="Q9" s="165">
        <v>0</v>
      </c>
      <c r="R9" s="165">
        <v>0</v>
      </c>
      <c r="S9" s="165">
        <v>0</v>
      </c>
      <c r="T9" s="154">
        <f>G9</f>
        <v>0</v>
      </c>
      <c r="U9" s="165">
        <v>0</v>
      </c>
      <c r="V9" s="165">
        <v>0</v>
      </c>
      <c r="W9" s="165">
        <v>0</v>
      </c>
      <c r="Y9" s="154">
        <f t="shared" ref="Y9:Y24" si="28">K9</f>
        <v>400</v>
      </c>
      <c r="Z9" s="154">
        <f t="shared" ref="Z9:Z24" si="29">L9</f>
        <v>400</v>
      </c>
      <c r="AA9" s="154">
        <f t="shared" ref="AA9:AA24" si="30">M9</f>
        <v>400</v>
      </c>
      <c r="AB9" s="154">
        <f t="shared" ref="AB9:AB24" si="31">N9</f>
        <v>400</v>
      </c>
      <c r="AC9" s="154">
        <f t="shared" ref="AC9:AC24" si="32">O9</f>
        <v>400</v>
      </c>
      <c r="AD9" s="154">
        <f t="shared" ref="AD9:AD24" si="33">P9</f>
        <v>400</v>
      </c>
      <c r="AE9" s="154">
        <f t="shared" ref="AE9:AE24" si="34">Q9</f>
        <v>0</v>
      </c>
      <c r="AF9" s="154">
        <f t="shared" ref="AF9:AF24" si="35">R9</f>
        <v>0</v>
      </c>
      <c r="AG9" s="154">
        <f t="shared" ref="AG9:AG24" si="36">S9</f>
        <v>0</v>
      </c>
      <c r="AH9" s="154">
        <f t="shared" ref="AH9:AH24" si="37">T9</f>
        <v>0</v>
      </c>
      <c r="AI9" s="154">
        <f t="shared" ref="AI9:AI24" si="38">U9</f>
        <v>0</v>
      </c>
      <c r="AJ9" s="154">
        <f t="shared" ref="AJ9:AJ24" si="39">V9</f>
        <v>0</v>
      </c>
      <c r="AK9" s="154">
        <f t="shared" ref="AK9:AK23" si="40">W9</f>
        <v>0</v>
      </c>
    </row>
    <row r="10" spans="2:37">
      <c r="B10" s="166" t="s">
        <v>185</v>
      </c>
      <c r="C10" s="165">
        <v>800</v>
      </c>
      <c r="D10" s="165">
        <v>800</v>
      </c>
      <c r="E10" s="165">
        <v>800</v>
      </c>
      <c r="F10" s="165">
        <v>800</v>
      </c>
      <c r="G10" s="165">
        <v>800</v>
      </c>
      <c r="I10" s="165">
        <v>800</v>
      </c>
      <c r="J10" s="165">
        <v>800</v>
      </c>
      <c r="K10" s="165">
        <v>800</v>
      </c>
      <c r="L10" s="154">
        <f t="shared" si="14"/>
        <v>800</v>
      </c>
      <c r="M10" s="165">
        <v>800</v>
      </c>
      <c r="N10" s="165">
        <v>800</v>
      </c>
      <c r="O10" s="165">
        <v>800</v>
      </c>
      <c r="P10" s="154">
        <f t="shared" ref="P10:P24" si="41">F10</f>
        <v>800</v>
      </c>
      <c r="Q10" s="165">
        <v>800</v>
      </c>
      <c r="R10" s="165">
        <v>800</v>
      </c>
      <c r="S10" s="165">
        <v>800</v>
      </c>
      <c r="T10" s="154">
        <f t="shared" ref="T10:T24" si="42">G10</f>
        <v>800</v>
      </c>
      <c r="U10" s="165">
        <v>0</v>
      </c>
      <c r="V10" s="165">
        <v>0</v>
      </c>
      <c r="W10" s="165">
        <v>0</v>
      </c>
      <c r="Y10" s="154">
        <f t="shared" si="28"/>
        <v>800</v>
      </c>
      <c r="Z10" s="154">
        <f t="shared" si="29"/>
        <v>800</v>
      </c>
      <c r="AA10" s="154">
        <f t="shared" si="30"/>
        <v>800</v>
      </c>
      <c r="AB10" s="154">
        <f t="shared" si="31"/>
        <v>800</v>
      </c>
      <c r="AC10" s="154">
        <f t="shared" si="32"/>
        <v>800</v>
      </c>
      <c r="AD10" s="154">
        <f t="shared" si="33"/>
        <v>800</v>
      </c>
      <c r="AE10" s="154">
        <f t="shared" si="34"/>
        <v>800</v>
      </c>
      <c r="AF10" s="154">
        <f t="shared" si="35"/>
        <v>800</v>
      </c>
      <c r="AG10" s="154">
        <f t="shared" si="36"/>
        <v>800</v>
      </c>
      <c r="AH10" s="154">
        <f t="shared" si="37"/>
        <v>800</v>
      </c>
      <c r="AI10" s="154">
        <f t="shared" si="38"/>
        <v>0</v>
      </c>
      <c r="AJ10" s="154">
        <f t="shared" si="39"/>
        <v>0</v>
      </c>
      <c r="AK10" s="154">
        <f t="shared" si="40"/>
        <v>0</v>
      </c>
    </row>
    <row r="11" spans="2:37" ht="14.25">
      <c r="B11" s="166" t="s">
        <v>204</v>
      </c>
      <c r="C11" s="165">
        <v>574</v>
      </c>
      <c r="D11" s="165">
        <v>535</v>
      </c>
      <c r="E11" s="165">
        <v>503</v>
      </c>
      <c r="F11" s="165">
        <v>519</v>
      </c>
      <c r="G11" s="165">
        <v>487</v>
      </c>
      <c r="I11" s="165">
        <v>520</v>
      </c>
      <c r="J11" s="165">
        <v>492</v>
      </c>
      <c r="K11" s="165">
        <v>460</v>
      </c>
      <c r="L11" s="154">
        <f t="shared" si="14"/>
        <v>503</v>
      </c>
      <c r="M11" s="165">
        <v>510</v>
      </c>
      <c r="N11" s="165">
        <v>513</v>
      </c>
      <c r="O11" s="165">
        <v>497</v>
      </c>
      <c r="P11" s="154">
        <f t="shared" si="41"/>
        <v>519</v>
      </c>
      <c r="Q11" s="165">
        <v>507</v>
      </c>
      <c r="R11" s="165">
        <v>503</v>
      </c>
      <c r="S11" s="165">
        <v>523</v>
      </c>
      <c r="T11" s="154">
        <f t="shared" si="42"/>
        <v>487</v>
      </c>
      <c r="U11" s="165">
        <v>508</v>
      </c>
      <c r="V11" s="165">
        <v>0</v>
      </c>
      <c r="W11" s="165">
        <v>0</v>
      </c>
      <c r="Y11" s="154">
        <f t="shared" si="28"/>
        <v>460</v>
      </c>
      <c r="Z11" s="154">
        <f t="shared" si="29"/>
        <v>503</v>
      </c>
      <c r="AA11" s="154">
        <f t="shared" si="30"/>
        <v>510</v>
      </c>
      <c r="AB11" s="154">
        <f t="shared" si="31"/>
        <v>513</v>
      </c>
      <c r="AC11" s="154">
        <f t="shared" si="32"/>
        <v>497</v>
      </c>
      <c r="AD11" s="154">
        <f t="shared" si="33"/>
        <v>519</v>
      </c>
      <c r="AE11" s="154">
        <f t="shared" si="34"/>
        <v>507</v>
      </c>
      <c r="AF11" s="154">
        <f t="shared" si="35"/>
        <v>503</v>
      </c>
      <c r="AG11" s="154">
        <f t="shared" si="36"/>
        <v>523</v>
      </c>
      <c r="AH11" s="154">
        <f t="shared" si="37"/>
        <v>487</v>
      </c>
      <c r="AI11" s="154">
        <f t="shared" si="38"/>
        <v>508</v>
      </c>
      <c r="AJ11" s="154">
        <f t="shared" si="39"/>
        <v>0</v>
      </c>
      <c r="AK11" s="154">
        <f t="shared" si="40"/>
        <v>0</v>
      </c>
    </row>
    <row r="12" spans="2:37">
      <c r="B12" s="166" t="s">
        <v>186</v>
      </c>
      <c r="C12" s="165">
        <v>500</v>
      </c>
      <c r="D12" s="165">
        <v>500</v>
      </c>
      <c r="E12" s="165">
        <v>500</v>
      </c>
      <c r="F12" s="165">
        <v>500</v>
      </c>
      <c r="G12" s="165">
        <v>500</v>
      </c>
      <c r="I12" s="165">
        <v>500</v>
      </c>
      <c r="J12" s="165">
        <v>500</v>
      </c>
      <c r="K12" s="165">
        <v>500</v>
      </c>
      <c r="L12" s="154">
        <f t="shared" si="14"/>
        <v>500</v>
      </c>
      <c r="M12" s="165">
        <v>500</v>
      </c>
      <c r="N12" s="165">
        <v>500</v>
      </c>
      <c r="O12" s="165">
        <v>500</v>
      </c>
      <c r="P12" s="154">
        <f t="shared" si="41"/>
        <v>500</v>
      </c>
      <c r="Q12" s="165">
        <v>500</v>
      </c>
      <c r="R12" s="165">
        <v>500</v>
      </c>
      <c r="S12" s="165">
        <v>500</v>
      </c>
      <c r="T12" s="154">
        <f t="shared" si="42"/>
        <v>500</v>
      </c>
      <c r="U12" s="165">
        <v>500</v>
      </c>
      <c r="V12" s="165">
        <v>0</v>
      </c>
      <c r="W12" s="165">
        <v>0</v>
      </c>
      <c r="Y12" s="154">
        <f t="shared" si="28"/>
        <v>500</v>
      </c>
      <c r="Z12" s="154">
        <f t="shared" si="29"/>
        <v>500</v>
      </c>
      <c r="AA12" s="154">
        <f t="shared" si="30"/>
        <v>500</v>
      </c>
      <c r="AB12" s="154">
        <f t="shared" si="31"/>
        <v>500</v>
      </c>
      <c r="AC12" s="154">
        <f t="shared" si="32"/>
        <v>500</v>
      </c>
      <c r="AD12" s="154">
        <f t="shared" si="33"/>
        <v>500</v>
      </c>
      <c r="AE12" s="154">
        <f t="shared" si="34"/>
        <v>500</v>
      </c>
      <c r="AF12" s="154">
        <f t="shared" si="35"/>
        <v>500</v>
      </c>
      <c r="AG12" s="154">
        <f t="shared" si="36"/>
        <v>500</v>
      </c>
      <c r="AH12" s="154">
        <f t="shared" si="37"/>
        <v>500</v>
      </c>
      <c r="AI12" s="154">
        <f t="shared" si="38"/>
        <v>500</v>
      </c>
      <c r="AJ12" s="154">
        <f t="shared" si="39"/>
        <v>0</v>
      </c>
      <c r="AK12" s="154">
        <f t="shared" si="40"/>
        <v>0</v>
      </c>
    </row>
    <row r="13" spans="2:37">
      <c r="B13" s="166" t="s">
        <v>187</v>
      </c>
      <c r="C13" s="165">
        <v>1000</v>
      </c>
      <c r="D13" s="165">
        <v>1000</v>
      </c>
      <c r="E13" s="165">
        <v>1000</v>
      </c>
      <c r="F13" s="165">
        <v>1000</v>
      </c>
      <c r="G13" s="165">
        <v>1000</v>
      </c>
      <c r="I13" s="165">
        <v>1000</v>
      </c>
      <c r="J13" s="165">
        <v>1000</v>
      </c>
      <c r="K13" s="165">
        <v>1000</v>
      </c>
      <c r="L13" s="154">
        <f t="shared" si="14"/>
        <v>1000</v>
      </c>
      <c r="M13" s="165">
        <v>1000</v>
      </c>
      <c r="N13" s="165">
        <v>1000</v>
      </c>
      <c r="O13" s="165">
        <v>1000</v>
      </c>
      <c r="P13" s="154">
        <f t="shared" si="41"/>
        <v>1000</v>
      </c>
      <c r="Q13" s="165">
        <v>1000</v>
      </c>
      <c r="R13" s="165">
        <v>1000</v>
      </c>
      <c r="S13" s="165">
        <v>1000</v>
      </c>
      <c r="T13" s="154">
        <f t="shared" si="42"/>
        <v>1000</v>
      </c>
      <c r="U13" s="165">
        <v>1000</v>
      </c>
      <c r="V13" s="165">
        <v>1000</v>
      </c>
      <c r="W13" s="165">
        <v>1000</v>
      </c>
      <c r="Y13" s="154">
        <f t="shared" si="28"/>
        <v>1000</v>
      </c>
      <c r="Z13" s="154">
        <f t="shared" si="29"/>
        <v>1000</v>
      </c>
      <c r="AA13" s="154">
        <f t="shared" si="30"/>
        <v>1000</v>
      </c>
      <c r="AB13" s="154">
        <f t="shared" si="31"/>
        <v>1000</v>
      </c>
      <c r="AC13" s="154">
        <f t="shared" si="32"/>
        <v>1000</v>
      </c>
      <c r="AD13" s="154">
        <f t="shared" si="33"/>
        <v>1000</v>
      </c>
      <c r="AE13" s="154">
        <f t="shared" si="34"/>
        <v>1000</v>
      </c>
      <c r="AF13" s="154">
        <f t="shared" si="35"/>
        <v>1000</v>
      </c>
      <c r="AG13" s="154">
        <f t="shared" si="36"/>
        <v>1000</v>
      </c>
      <c r="AH13" s="154">
        <f t="shared" si="37"/>
        <v>1000</v>
      </c>
      <c r="AI13" s="154">
        <f t="shared" si="38"/>
        <v>1000</v>
      </c>
      <c r="AJ13" s="154">
        <f t="shared" si="39"/>
        <v>1000</v>
      </c>
      <c r="AK13" s="154">
        <f t="shared" si="40"/>
        <v>1000</v>
      </c>
    </row>
    <row r="14" spans="2:37" ht="14.25">
      <c r="B14" s="166" t="s">
        <v>205</v>
      </c>
      <c r="C14" s="165">
        <v>1588</v>
      </c>
      <c r="D14" s="165">
        <v>1480</v>
      </c>
      <c r="E14" s="165">
        <v>1391</v>
      </c>
      <c r="F14" s="165">
        <v>1434</v>
      </c>
      <c r="G14" s="165">
        <v>1346</v>
      </c>
      <c r="I14" s="165">
        <v>1439</v>
      </c>
      <c r="J14" s="165">
        <v>1362</v>
      </c>
      <c r="K14" s="165">
        <v>1275</v>
      </c>
      <c r="L14" s="154">
        <f t="shared" si="14"/>
        <v>1391</v>
      </c>
      <c r="M14" s="165">
        <v>1412</v>
      </c>
      <c r="N14" s="165">
        <v>1419</v>
      </c>
      <c r="O14" s="165">
        <v>1375</v>
      </c>
      <c r="P14" s="154">
        <f t="shared" si="41"/>
        <v>1434</v>
      </c>
      <c r="Q14" s="165">
        <v>1401</v>
      </c>
      <c r="R14" s="165">
        <v>1394</v>
      </c>
      <c r="S14" s="165">
        <v>1446</v>
      </c>
      <c r="T14" s="154">
        <f t="shared" si="42"/>
        <v>1346</v>
      </c>
      <c r="U14" s="165">
        <v>1404</v>
      </c>
      <c r="V14" s="165">
        <v>1525</v>
      </c>
      <c r="W14" s="165">
        <v>1528</v>
      </c>
      <c r="Y14" s="154">
        <f t="shared" si="28"/>
        <v>1275</v>
      </c>
      <c r="Z14" s="154">
        <f t="shared" si="29"/>
        <v>1391</v>
      </c>
      <c r="AA14" s="154">
        <f t="shared" si="30"/>
        <v>1412</v>
      </c>
      <c r="AB14" s="154">
        <f t="shared" si="31"/>
        <v>1419</v>
      </c>
      <c r="AC14" s="154">
        <f t="shared" si="32"/>
        <v>1375</v>
      </c>
      <c r="AD14" s="154">
        <f t="shared" si="33"/>
        <v>1434</v>
      </c>
      <c r="AE14" s="154">
        <f t="shared" si="34"/>
        <v>1401</v>
      </c>
      <c r="AF14" s="154">
        <f t="shared" si="35"/>
        <v>1394</v>
      </c>
      <c r="AG14" s="154">
        <f t="shared" si="36"/>
        <v>1446</v>
      </c>
      <c r="AH14" s="154">
        <f t="shared" si="37"/>
        <v>1346</v>
      </c>
      <c r="AI14" s="154">
        <f t="shared" si="38"/>
        <v>1404</v>
      </c>
      <c r="AJ14" s="154">
        <f t="shared" si="39"/>
        <v>1525</v>
      </c>
      <c r="AK14" s="154">
        <f t="shared" si="40"/>
        <v>1528</v>
      </c>
    </row>
    <row r="15" spans="2:37">
      <c r="B15" s="166" t="s">
        <v>192</v>
      </c>
      <c r="C15" s="165">
        <v>1600</v>
      </c>
      <c r="D15" s="165">
        <v>1600</v>
      </c>
      <c r="E15" s="165">
        <v>1600</v>
      </c>
      <c r="F15" s="165">
        <v>1600</v>
      </c>
      <c r="G15" s="165">
        <v>1600</v>
      </c>
      <c r="I15" s="165">
        <v>1600</v>
      </c>
      <c r="J15" s="165">
        <v>1600</v>
      </c>
      <c r="K15" s="165">
        <v>1600</v>
      </c>
      <c r="L15" s="154">
        <f t="shared" si="14"/>
        <v>1600</v>
      </c>
      <c r="M15" s="165">
        <v>1600</v>
      </c>
      <c r="N15" s="165">
        <v>1600</v>
      </c>
      <c r="O15" s="165">
        <v>1600</v>
      </c>
      <c r="P15" s="154">
        <f t="shared" si="41"/>
        <v>1600</v>
      </c>
      <c r="Q15" s="165">
        <v>1600</v>
      </c>
      <c r="R15" s="165">
        <v>1600</v>
      </c>
      <c r="S15" s="165">
        <v>1600</v>
      </c>
      <c r="T15" s="154">
        <f t="shared" si="42"/>
        <v>1600</v>
      </c>
      <c r="U15" s="165">
        <v>1600</v>
      </c>
      <c r="V15" s="165">
        <v>1600</v>
      </c>
      <c r="W15" s="165">
        <v>1600</v>
      </c>
      <c r="Y15" s="154">
        <f t="shared" si="28"/>
        <v>1600</v>
      </c>
      <c r="Z15" s="154">
        <f t="shared" si="29"/>
        <v>1600</v>
      </c>
      <c r="AA15" s="154">
        <f t="shared" si="30"/>
        <v>1600</v>
      </c>
      <c r="AB15" s="154">
        <f t="shared" si="31"/>
        <v>1600</v>
      </c>
      <c r="AC15" s="154">
        <f t="shared" si="32"/>
        <v>1600</v>
      </c>
      <c r="AD15" s="154">
        <f t="shared" si="33"/>
        <v>1600</v>
      </c>
      <c r="AE15" s="154">
        <f t="shared" si="34"/>
        <v>1600</v>
      </c>
      <c r="AF15" s="154">
        <f t="shared" si="35"/>
        <v>1600</v>
      </c>
      <c r="AG15" s="154">
        <f t="shared" si="36"/>
        <v>1600</v>
      </c>
      <c r="AH15" s="154">
        <f t="shared" si="37"/>
        <v>1600</v>
      </c>
      <c r="AI15" s="154">
        <f t="shared" si="38"/>
        <v>1600</v>
      </c>
      <c r="AJ15" s="154">
        <f t="shared" si="39"/>
        <v>1600</v>
      </c>
      <c r="AK15" s="154">
        <f t="shared" si="40"/>
        <v>1600</v>
      </c>
    </row>
    <row r="16" spans="2:37">
      <c r="B16" s="166" t="s">
        <v>191</v>
      </c>
      <c r="C16" s="165">
        <v>1900</v>
      </c>
      <c r="D16" s="165">
        <v>1900</v>
      </c>
      <c r="E16" s="165">
        <v>1900</v>
      </c>
      <c r="F16" s="165">
        <v>1900</v>
      </c>
      <c r="G16" s="165">
        <v>1900</v>
      </c>
      <c r="I16" s="165">
        <v>1900</v>
      </c>
      <c r="J16" s="165">
        <v>1900</v>
      </c>
      <c r="K16" s="165">
        <v>1900</v>
      </c>
      <c r="L16" s="154">
        <f t="shared" si="14"/>
        <v>1900</v>
      </c>
      <c r="M16" s="165">
        <v>1900</v>
      </c>
      <c r="N16" s="165">
        <v>1900</v>
      </c>
      <c r="O16" s="165">
        <v>1900</v>
      </c>
      <c r="P16" s="154">
        <f t="shared" si="41"/>
        <v>1900</v>
      </c>
      <c r="Q16" s="165">
        <v>1900</v>
      </c>
      <c r="R16" s="165">
        <v>1900</v>
      </c>
      <c r="S16" s="165">
        <v>1900</v>
      </c>
      <c r="T16" s="154">
        <f t="shared" si="42"/>
        <v>1900</v>
      </c>
      <c r="U16" s="165">
        <v>1900</v>
      </c>
      <c r="V16" s="165">
        <v>1900</v>
      </c>
      <c r="W16" s="165">
        <v>1900</v>
      </c>
      <c r="Y16" s="154">
        <f t="shared" si="28"/>
        <v>1900</v>
      </c>
      <c r="Z16" s="154">
        <f t="shared" si="29"/>
        <v>1900</v>
      </c>
      <c r="AA16" s="154">
        <f t="shared" si="30"/>
        <v>1900</v>
      </c>
      <c r="AB16" s="154">
        <f t="shared" si="31"/>
        <v>1900</v>
      </c>
      <c r="AC16" s="154">
        <f t="shared" si="32"/>
        <v>1900</v>
      </c>
      <c r="AD16" s="154">
        <f t="shared" si="33"/>
        <v>1900</v>
      </c>
      <c r="AE16" s="154">
        <f t="shared" si="34"/>
        <v>1900</v>
      </c>
      <c r="AF16" s="154">
        <f t="shared" si="35"/>
        <v>1900</v>
      </c>
      <c r="AG16" s="154">
        <f t="shared" si="36"/>
        <v>1900</v>
      </c>
      <c r="AH16" s="154">
        <f t="shared" si="37"/>
        <v>1900</v>
      </c>
      <c r="AI16" s="154">
        <f t="shared" si="38"/>
        <v>1900</v>
      </c>
      <c r="AJ16" s="154">
        <f t="shared" si="39"/>
        <v>1900</v>
      </c>
      <c r="AK16" s="154">
        <f t="shared" si="40"/>
        <v>1900</v>
      </c>
    </row>
    <row r="17" spans="2:37" ht="14.25">
      <c r="B17" s="166" t="s">
        <v>206</v>
      </c>
      <c r="C17" s="165">
        <v>1344</v>
      </c>
      <c r="D17" s="165">
        <v>1252</v>
      </c>
      <c r="E17" s="165">
        <v>1177</v>
      </c>
      <c r="F17" s="165">
        <v>1215</v>
      </c>
      <c r="G17" s="165">
        <v>1139</v>
      </c>
      <c r="I17" s="165">
        <v>1218</v>
      </c>
      <c r="J17" s="165">
        <v>1153</v>
      </c>
      <c r="K17" s="165">
        <v>1079</v>
      </c>
      <c r="L17" s="154">
        <f t="shared" si="14"/>
        <v>1177</v>
      </c>
      <c r="M17" s="165">
        <v>1194</v>
      </c>
      <c r="N17" s="165">
        <v>1200</v>
      </c>
      <c r="O17" s="165">
        <v>1163</v>
      </c>
      <c r="P17" s="154">
        <f t="shared" si="41"/>
        <v>1215</v>
      </c>
      <c r="Q17" s="165">
        <v>1187</v>
      </c>
      <c r="R17" s="165">
        <v>1178</v>
      </c>
      <c r="S17" s="165">
        <v>1225</v>
      </c>
      <c r="T17" s="154">
        <f t="shared" si="42"/>
        <v>1139</v>
      </c>
      <c r="U17" s="165">
        <v>1188</v>
      </c>
      <c r="V17" s="165">
        <v>1291</v>
      </c>
      <c r="W17" s="165">
        <v>1293</v>
      </c>
      <c r="Y17" s="154">
        <f t="shared" si="28"/>
        <v>1079</v>
      </c>
      <c r="Z17" s="154">
        <f t="shared" si="29"/>
        <v>1177</v>
      </c>
      <c r="AA17" s="154">
        <f t="shared" si="30"/>
        <v>1194</v>
      </c>
      <c r="AB17" s="154">
        <f t="shared" si="31"/>
        <v>1200</v>
      </c>
      <c r="AC17" s="154">
        <f t="shared" si="32"/>
        <v>1163</v>
      </c>
      <c r="AD17" s="154">
        <f t="shared" si="33"/>
        <v>1215</v>
      </c>
      <c r="AE17" s="154">
        <f t="shared" si="34"/>
        <v>1187</v>
      </c>
      <c r="AF17" s="154">
        <f t="shared" si="35"/>
        <v>1178</v>
      </c>
      <c r="AG17" s="154">
        <f t="shared" si="36"/>
        <v>1225</v>
      </c>
      <c r="AH17" s="154">
        <f t="shared" si="37"/>
        <v>1139</v>
      </c>
      <c r="AI17" s="154">
        <f t="shared" si="38"/>
        <v>1188</v>
      </c>
      <c r="AJ17" s="154">
        <f t="shared" si="39"/>
        <v>1291</v>
      </c>
      <c r="AK17" s="154">
        <f t="shared" si="40"/>
        <v>1293</v>
      </c>
    </row>
    <row r="18" spans="2:37">
      <c r="B18" s="166" t="s">
        <v>190</v>
      </c>
      <c r="C18" s="165">
        <v>800</v>
      </c>
      <c r="D18" s="165">
        <v>800</v>
      </c>
      <c r="E18" s="165">
        <v>800</v>
      </c>
      <c r="F18" s="165">
        <v>800</v>
      </c>
      <c r="G18" s="165">
        <v>800</v>
      </c>
      <c r="I18" s="165">
        <v>800</v>
      </c>
      <c r="J18" s="165">
        <v>800</v>
      </c>
      <c r="K18" s="165">
        <v>800</v>
      </c>
      <c r="L18" s="154">
        <f t="shared" si="14"/>
        <v>800</v>
      </c>
      <c r="M18" s="165">
        <v>800</v>
      </c>
      <c r="N18" s="165">
        <v>800</v>
      </c>
      <c r="O18" s="165">
        <v>800</v>
      </c>
      <c r="P18" s="154">
        <f t="shared" si="41"/>
        <v>800</v>
      </c>
      <c r="Q18" s="165">
        <v>800</v>
      </c>
      <c r="R18" s="165">
        <v>800</v>
      </c>
      <c r="S18" s="165">
        <v>800</v>
      </c>
      <c r="T18" s="154">
        <f t="shared" si="42"/>
        <v>800</v>
      </c>
      <c r="U18" s="165">
        <v>800</v>
      </c>
      <c r="V18" s="165">
        <v>800</v>
      </c>
      <c r="W18" s="165">
        <v>800</v>
      </c>
      <c r="Y18" s="154">
        <f t="shared" si="28"/>
        <v>800</v>
      </c>
      <c r="Z18" s="154">
        <f t="shared" si="29"/>
        <v>800</v>
      </c>
      <c r="AA18" s="154">
        <f t="shared" si="30"/>
        <v>800</v>
      </c>
      <c r="AB18" s="154">
        <f t="shared" si="31"/>
        <v>800</v>
      </c>
      <c r="AC18" s="154">
        <f t="shared" si="32"/>
        <v>800</v>
      </c>
      <c r="AD18" s="154">
        <f t="shared" si="33"/>
        <v>800</v>
      </c>
      <c r="AE18" s="154">
        <f t="shared" si="34"/>
        <v>800</v>
      </c>
      <c r="AF18" s="154">
        <f t="shared" si="35"/>
        <v>800</v>
      </c>
      <c r="AG18" s="154">
        <f t="shared" si="36"/>
        <v>800</v>
      </c>
      <c r="AH18" s="154">
        <f t="shared" si="37"/>
        <v>800</v>
      </c>
      <c r="AI18" s="154">
        <f t="shared" si="38"/>
        <v>800</v>
      </c>
      <c r="AJ18" s="154">
        <f t="shared" si="39"/>
        <v>800</v>
      </c>
      <c r="AK18" s="154">
        <f t="shared" si="40"/>
        <v>800</v>
      </c>
    </row>
    <row r="19" spans="2:37" ht="14.25">
      <c r="B19" s="166" t="s">
        <v>207</v>
      </c>
      <c r="C19" s="165">
        <v>1466</v>
      </c>
      <c r="D19" s="165">
        <v>1366</v>
      </c>
      <c r="E19" s="165">
        <v>1284</v>
      </c>
      <c r="F19" s="165">
        <v>1325</v>
      </c>
      <c r="G19" s="165">
        <v>1242</v>
      </c>
      <c r="I19" s="165">
        <v>1328</v>
      </c>
      <c r="J19" s="165">
        <v>1258</v>
      </c>
      <c r="K19" s="165">
        <v>1177</v>
      </c>
      <c r="L19" s="154">
        <f t="shared" si="14"/>
        <v>1284</v>
      </c>
      <c r="M19" s="165">
        <v>1303</v>
      </c>
      <c r="N19" s="165">
        <v>1310</v>
      </c>
      <c r="O19" s="165">
        <v>1269</v>
      </c>
      <c r="P19" s="154">
        <f t="shared" si="41"/>
        <v>1325</v>
      </c>
      <c r="Q19" s="165">
        <v>1295</v>
      </c>
      <c r="R19" s="165">
        <v>1285</v>
      </c>
      <c r="S19" s="165">
        <v>1336</v>
      </c>
      <c r="T19" s="154">
        <f t="shared" si="42"/>
        <v>1242</v>
      </c>
      <c r="U19" s="165">
        <v>1296</v>
      </c>
      <c r="V19" s="165">
        <v>1408</v>
      </c>
      <c r="W19" s="165">
        <v>1410</v>
      </c>
      <c r="Y19" s="154">
        <f t="shared" si="28"/>
        <v>1177</v>
      </c>
      <c r="Z19" s="154">
        <f t="shared" si="29"/>
        <v>1284</v>
      </c>
      <c r="AA19" s="154">
        <f t="shared" si="30"/>
        <v>1303</v>
      </c>
      <c r="AB19" s="154">
        <f t="shared" si="31"/>
        <v>1310</v>
      </c>
      <c r="AC19" s="154">
        <f t="shared" si="32"/>
        <v>1269</v>
      </c>
      <c r="AD19" s="154">
        <f t="shared" si="33"/>
        <v>1325</v>
      </c>
      <c r="AE19" s="154">
        <f t="shared" si="34"/>
        <v>1295</v>
      </c>
      <c r="AF19" s="154">
        <f t="shared" si="35"/>
        <v>1285</v>
      </c>
      <c r="AG19" s="154">
        <f t="shared" si="36"/>
        <v>1336</v>
      </c>
      <c r="AH19" s="154">
        <f t="shared" si="37"/>
        <v>1242</v>
      </c>
      <c r="AI19" s="154">
        <f t="shared" si="38"/>
        <v>1296</v>
      </c>
      <c r="AJ19" s="154">
        <f t="shared" si="39"/>
        <v>1408</v>
      </c>
      <c r="AK19" s="154">
        <f t="shared" si="40"/>
        <v>1410</v>
      </c>
    </row>
    <row r="20" spans="2:37">
      <c r="B20" s="166" t="s">
        <v>194</v>
      </c>
      <c r="C20" s="165">
        <v>900</v>
      </c>
      <c r="D20" s="165">
        <v>900</v>
      </c>
      <c r="E20" s="165">
        <v>900</v>
      </c>
      <c r="F20" s="165">
        <v>900</v>
      </c>
      <c r="G20" s="165">
        <v>900</v>
      </c>
      <c r="I20" s="165">
        <v>900</v>
      </c>
      <c r="J20" s="165">
        <v>900</v>
      </c>
      <c r="K20" s="165">
        <v>900</v>
      </c>
      <c r="L20" s="154">
        <f t="shared" si="14"/>
        <v>900</v>
      </c>
      <c r="M20" s="165">
        <v>900</v>
      </c>
      <c r="N20" s="165">
        <v>900</v>
      </c>
      <c r="O20" s="165">
        <v>900</v>
      </c>
      <c r="P20" s="154">
        <f t="shared" si="41"/>
        <v>900</v>
      </c>
      <c r="Q20" s="165">
        <v>900</v>
      </c>
      <c r="R20" s="165">
        <v>900</v>
      </c>
      <c r="S20" s="165">
        <v>900</v>
      </c>
      <c r="T20" s="154">
        <f t="shared" si="42"/>
        <v>900</v>
      </c>
      <c r="U20" s="165">
        <v>900</v>
      </c>
      <c r="V20" s="165">
        <v>900</v>
      </c>
      <c r="W20" s="165">
        <v>900</v>
      </c>
      <c r="Y20" s="154">
        <f t="shared" si="28"/>
        <v>900</v>
      </c>
      <c r="Z20" s="154">
        <f t="shared" si="29"/>
        <v>900</v>
      </c>
      <c r="AA20" s="154">
        <f t="shared" si="30"/>
        <v>900</v>
      </c>
      <c r="AB20" s="154">
        <f t="shared" si="31"/>
        <v>900</v>
      </c>
      <c r="AC20" s="154">
        <f t="shared" si="32"/>
        <v>900</v>
      </c>
      <c r="AD20" s="154">
        <f t="shared" si="33"/>
        <v>900</v>
      </c>
      <c r="AE20" s="154">
        <f t="shared" si="34"/>
        <v>900</v>
      </c>
      <c r="AF20" s="154">
        <f t="shared" si="35"/>
        <v>900</v>
      </c>
      <c r="AG20" s="154">
        <f t="shared" si="36"/>
        <v>900</v>
      </c>
      <c r="AH20" s="154">
        <f t="shared" si="37"/>
        <v>900</v>
      </c>
      <c r="AI20" s="154">
        <f t="shared" si="38"/>
        <v>900</v>
      </c>
      <c r="AJ20" s="154">
        <f t="shared" si="39"/>
        <v>900</v>
      </c>
      <c r="AK20" s="154">
        <f t="shared" si="40"/>
        <v>900</v>
      </c>
    </row>
    <row r="21" spans="2:37" ht="14.25">
      <c r="B21" s="166" t="s">
        <v>208</v>
      </c>
      <c r="C21" s="165">
        <v>1344</v>
      </c>
      <c r="D21" s="165">
        <v>1252</v>
      </c>
      <c r="E21" s="165">
        <v>1177</v>
      </c>
      <c r="F21" s="165">
        <v>1215</v>
      </c>
      <c r="G21" s="165">
        <v>1139</v>
      </c>
      <c r="I21" s="165">
        <v>1218</v>
      </c>
      <c r="J21" s="165">
        <v>1153</v>
      </c>
      <c r="K21" s="165">
        <v>1079</v>
      </c>
      <c r="L21" s="154">
        <f t="shared" si="14"/>
        <v>1177</v>
      </c>
      <c r="M21" s="165">
        <v>1194</v>
      </c>
      <c r="N21" s="165">
        <v>1200</v>
      </c>
      <c r="O21" s="165">
        <v>1164</v>
      </c>
      <c r="P21" s="154">
        <f t="shared" si="41"/>
        <v>1215</v>
      </c>
      <c r="Q21" s="165">
        <v>1187</v>
      </c>
      <c r="R21" s="165">
        <v>1178</v>
      </c>
      <c r="S21" s="165">
        <v>1225</v>
      </c>
      <c r="T21" s="154">
        <f t="shared" si="42"/>
        <v>1139</v>
      </c>
      <c r="U21" s="165">
        <v>1188</v>
      </c>
      <c r="V21" s="165">
        <v>1291</v>
      </c>
      <c r="W21" s="165">
        <v>1292</v>
      </c>
      <c r="Y21" s="154">
        <f t="shared" si="28"/>
        <v>1079</v>
      </c>
      <c r="Z21" s="154">
        <f t="shared" si="29"/>
        <v>1177</v>
      </c>
      <c r="AA21" s="154">
        <f t="shared" si="30"/>
        <v>1194</v>
      </c>
      <c r="AB21" s="154">
        <f t="shared" si="31"/>
        <v>1200</v>
      </c>
      <c r="AC21" s="154">
        <f t="shared" si="32"/>
        <v>1164</v>
      </c>
      <c r="AD21" s="154">
        <f t="shared" si="33"/>
        <v>1215</v>
      </c>
      <c r="AE21" s="154">
        <f t="shared" si="34"/>
        <v>1187</v>
      </c>
      <c r="AF21" s="154">
        <f t="shared" si="35"/>
        <v>1178</v>
      </c>
      <c r="AG21" s="154">
        <f t="shared" si="36"/>
        <v>1225</v>
      </c>
      <c r="AH21" s="154">
        <f t="shared" si="37"/>
        <v>1139</v>
      </c>
      <c r="AI21" s="154">
        <f t="shared" si="38"/>
        <v>1188</v>
      </c>
      <c r="AJ21" s="154">
        <f t="shared" si="39"/>
        <v>1291</v>
      </c>
      <c r="AK21" s="154">
        <f t="shared" si="40"/>
        <v>1292</v>
      </c>
    </row>
    <row r="22" spans="2:37">
      <c r="B22" s="166" t="s">
        <v>193</v>
      </c>
      <c r="C22" s="165">
        <v>1000</v>
      </c>
      <c r="D22" s="165">
        <v>1000</v>
      </c>
      <c r="E22" s="165">
        <v>1000</v>
      </c>
      <c r="F22" s="165">
        <v>1000</v>
      </c>
      <c r="G22" s="165">
        <v>1000</v>
      </c>
      <c r="I22" s="165">
        <v>1000</v>
      </c>
      <c r="J22" s="165">
        <v>1000</v>
      </c>
      <c r="K22" s="165">
        <v>1000</v>
      </c>
      <c r="L22" s="154">
        <f t="shared" si="14"/>
        <v>1000</v>
      </c>
      <c r="M22" s="165">
        <v>1000</v>
      </c>
      <c r="N22" s="165">
        <v>1000</v>
      </c>
      <c r="O22" s="165">
        <v>1000</v>
      </c>
      <c r="P22" s="154">
        <f t="shared" si="41"/>
        <v>1000</v>
      </c>
      <c r="Q22" s="165">
        <v>1000</v>
      </c>
      <c r="R22" s="165">
        <v>1000</v>
      </c>
      <c r="S22" s="165">
        <v>1000</v>
      </c>
      <c r="T22" s="154">
        <f t="shared" si="42"/>
        <v>1000</v>
      </c>
      <c r="U22" s="165">
        <v>1000</v>
      </c>
      <c r="V22" s="165">
        <v>1000</v>
      </c>
      <c r="W22" s="165">
        <v>1000</v>
      </c>
      <c r="Y22" s="154">
        <f t="shared" si="28"/>
        <v>1000</v>
      </c>
      <c r="Z22" s="154">
        <f t="shared" si="29"/>
        <v>1000</v>
      </c>
      <c r="AA22" s="154">
        <f t="shared" si="30"/>
        <v>1000</v>
      </c>
      <c r="AB22" s="154">
        <f t="shared" si="31"/>
        <v>1000</v>
      </c>
      <c r="AC22" s="154">
        <f t="shared" si="32"/>
        <v>1000</v>
      </c>
      <c r="AD22" s="154">
        <f t="shared" si="33"/>
        <v>1000</v>
      </c>
      <c r="AE22" s="154">
        <f t="shared" si="34"/>
        <v>1000</v>
      </c>
      <c r="AF22" s="154">
        <f t="shared" si="35"/>
        <v>1000</v>
      </c>
      <c r="AG22" s="154">
        <f t="shared" si="36"/>
        <v>1000</v>
      </c>
      <c r="AH22" s="154">
        <f t="shared" si="37"/>
        <v>1000</v>
      </c>
      <c r="AI22" s="154">
        <f t="shared" si="38"/>
        <v>1000</v>
      </c>
      <c r="AJ22" s="154">
        <f t="shared" si="39"/>
        <v>1000</v>
      </c>
      <c r="AK22" s="154">
        <f t="shared" si="40"/>
        <v>1000</v>
      </c>
    </row>
    <row r="23" spans="2:37">
      <c r="B23" s="166" t="s">
        <v>189</v>
      </c>
      <c r="C23" s="165">
        <v>0</v>
      </c>
      <c r="D23" s="165">
        <v>0</v>
      </c>
      <c r="E23" s="165">
        <v>0</v>
      </c>
      <c r="F23" s="165">
        <v>0</v>
      </c>
      <c r="G23" s="165">
        <v>1000</v>
      </c>
      <c r="I23" s="165">
        <v>0</v>
      </c>
      <c r="J23" s="165">
        <v>0</v>
      </c>
      <c r="K23" s="165">
        <v>0</v>
      </c>
      <c r="L23" s="154">
        <f t="shared" si="14"/>
        <v>0</v>
      </c>
      <c r="M23" s="165">
        <v>0</v>
      </c>
      <c r="N23" s="165">
        <v>0</v>
      </c>
      <c r="O23" s="165">
        <v>0</v>
      </c>
      <c r="P23" s="154">
        <f t="shared" si="41"/>
        <v>0</v>
      </c>
      <c r="Q23" s="165">
        <v>0</v>
      </c>
      <c r="R23" s="165">
        <v>0</v>
      </c>
      <c r="S23" s="165">
        <v>1000</v>
      </c>
      <c r="T23" s="154">
        <f t="shared" si="42"/>
        <v>1000</v>
      </c>
      <c r="U23" s="165">
        <v>1000</v>
      </c>
      <c r="V23" s="165">
        <v>1000</v>
      </c>
      <c r="W23" s="165">
        <v>1000</v>
      </c>
      <c r="Y23" s="154">
        <f t="shared" si="28"/>
        <v>0</v>
      </c>
      <c r="Z23" s="154">
        <f t="shared" si="29"/>
        <v>0</v>
      </c>
      <c r="AA23" s="154">
        <f t="shared" si="30"/>
        <v>0</v>
      </c>
      <c r="AB23" s="154">
        <f t="shared" si="31"/>
        <v>0</v>
      </c>
      <c r="AC23" s="154">
        <f t="shared" si="32"/>
        <v>0</v>
      </c>
      <c r="AD23" s="154">
        <f t="shared" si="33"/>
        <v>0</v>
      </c>
      <c r="AE23" s="154">
        <f t="shared" si="34"/>
        <v>0</v>
      </c>
      <c r="AF23" s="154">
        <f t="shared" si="35"/>
        <v>0</v>
      </c>
      <c r="AG23" s="154">
        <f t="shared" si="36"/>
        <v>1000</v>
      </c>
      <c r="AH23" s="154">
        <f t="shared" si="37"/>
        <v>1000</v>
      </c>
      <c r="AI23" s="154">
        <f t="shared" si="38"/>
        <v>1000</v>
      </c>
      <c r="AJ23" s="154">
        <f t="shared" si="39"/>
        <v>1000</v>
      </c>
      <c r="AK23" s="154">
        <f t="shared" si="40"/>
        <v>1000</v>
      </c>
    </row>
    <row r="24" spans="2:37">
      <c r="B24" s="166" t="s">
        <v>188</v>
      </c>
      <c r="C24" s="165">
        <v>0</v>
      </c>
      <c r="D24" s="165">
        <v>0</v>
      </c>
      <c r="E24" s="165">
        <v>0</v>
      </c>
      <c r="F24" s="165">
        <v>0</v>
      </c>
      <c r="G24" s="165">
        <v>800</v>
      </c>
      <c r="I24" s="165">
        <v>0</v>
      </c>
      <c r="J24" s="165">
        <v>0</v>
      </c>
      <c r="K24" s="165">
        <v>0</v>
      </c>
      <c r="L24" s="154">
        <f t="shared" si="14"/>
        <v>0</v>
      </c>
      <c r="M24" s="165">
        <v>0</v>
      </c>
      <c r="N24" s="165">
        <v>0</v>
      </c>
      <c r="O24" s="165">
        <v>0</v>
      </c>
      <c r="P24" s="154">
        <f t="shared" si="41"/>
        <v>0</v>
      </c>
      <c r="Q24" s="165">
        <v>0</v>
      </c>
      <c r="R24" s="165">
        <v>0</v>
      </c>
      <c r="S24" s="165">
        <v>800</v>
      </c>
      <c r="T24" s="154">
        <f t="shared" si="42"/>
        <v>800</v>
      </c>
      <c r="U24" s="165">
        <v>800</v>
      </c>
      <c r="V24" s="165">
        <v>800</v>
      </c>
      <c r="W24" s="165">
        <v>800</v>
      </c>
      <c r="Y24" s="154">
        <f t="shared" si="28"/>
        <v>0</v>
      </c>
      <c r="Z24" s="154">
        <f t="shared" si="29"/>
        <v>0</v>
      </c>
      <c r="AA24" s="154">
        <f t="shared" si="30"/>
        <v>0</v>
      </c>
      <c r="AB24" s="154">
        <f t="shared" si="31"/>
        <v>0</v>
      </c>
      <c r="AC24" s="154">
        <f t="shared" si="32"/>
        <v>0</v>
      </c>
      <c r="AD24" s="154">
        <f t="shared" si="33"/>
        <v>0</v>
      </c>
      <c r="AE24" s="154">
        <f t="shared" si="34"/>
        <v>0</v>
      </c>
      <c r="AF24" s="154">
        <f t="shared" si="35"/>
        <v>0</v>
      </c>
      <c r="AG24" s="154">
        <f t="shared" si="36"/>
        <v>800</v>
      </c>
      <c r="AH24" s="154">
        <f t="shared" si="37"/>
        <v>800</v>
      </c>
      <c r="AI24" s="154">
        <f t="shared" si="38"/>
        <v>800</v>
      </c>
      <c r="AJ24" s="154">
        <f t="shared" si="39"/>
        <v>800</v>
      </c>
      <c r="AK24" s="154">
        <f>W24</f>
        <v>800</v>
      </c>
    </row>
    <row r="25" spans="2:37">
      <c r="B25" s="13" t="s">
        <v>25</v>
      </c>
      <c r="C25" s="14">
        <f>SUM(C7:C24)</f>
        <v>16416</v>
      </c>
      <c r="D25" s="14">
        <f t="shared" ref="D25:G25" si="43">SUM(D7:D24)</f>
        <v>15485</v>
      </c>
      <c r="E25" s="14">
        <f t="shared" si="43"/>
        <v>14432</v>
      </c>
      <c r="F25" s="14">
        <f t="shared" si="43"/>
        <v>14608</v>
      </c>
      <c r="G25" s="14">
        <f t="shared" si="43"/>
        <v>15653</v>
      </c>
      <c r="I25" s="14">
        <f t="shared" ref="I25" si="44">SUM(I7:I24)</f>
        <v>14623</v>
      </c>
      <c r="J25" s="14">
        <f t="shared" ref="J25" si="45">SUM(J7:J24)</f>
        <v>14318</v>
      </c>
      <c r="K25" s="14">
        <f t="shared" ref="K25" si="46">SUM(K7:K24)</f>
        <v>13970</v>
      </c>
      <c r="L25" s="14">
        <f t="shared" ref="L25" si="47">SUM(L7:L24)</f>
        <v>14432</v>
      </c>
      <c r="M25" s="14">
        <f t="shared" ref="M25" si="48">SUM(M7:M24)</f>
        <v>14513</v>
      </c>
      <c r="N25" s="14">
        <f t="shared" ref="N25" si="49">SUM(N7:N24)</f>
        <v>14542</v>
      </c>
      <c r="O25" s="14">
        <f t="shared" ref="O25" si="50">SUM(O7:O24)</f>
        <v>14368</v>
      </c>
      <c r="P25" s="14">
        <f t="shared" ref="P25" si="51">SUM(P7:P24)</f>
        <v>14608</v>
      </c>
      <c r="Q25" s="14">
        <f t="shared" ref="Q25" si="52">SUM(Q7:Q24)</f>
        <v>14077</v>
      </c>
      <c r="R25" s="14">
        <f t="shared" ref="R25" si="53">SUM(R7:R24)</f>
        <v>14038</v>
      </c>
      <c r="S25" s="14">
        <f t="shared" ref="S25" si="54">SUM(S7:S24)</f>
        <v>16055</v>
      </c>
      <c r="T25" s="14">
        <f t="shared" ref="T25" si="55">SUM(T7:T24)</f>
        <v>15653</v>
      </c>
      <c r="U25" s="14">
        <f t="shared" ref="U25" si="56">SUM(U7:U24)</f>
        <v>15084</v>
      </c>
      <c r="V25" s="14">
        <f t="shared" ref="V25" si="57">SUM(V7:V24)</f>
        <v>14515</v>
      </c>
      <c r="W25" s="14">
        <f t="shared" ref="W25" si="58">SUM(W7:W24)</f>
        <v>14523</v>
      </c>
      <c r="Y25" s="14">
        <f t="shared" ref="Y25" si="59">SUM(Y7:Y24)</f>
        <v>13970</v>
      </c>
      <c r="Z25" s="14">
        <f t="shared" ref="Z25" si="60">SUM(Z7:Z24)</f>
        <v>14432</v>
      </c>
      <c r="AA25" s="14">
        <f t="shared" ref="AA25" si="61">SUM(AA7:AA24)</f>
        <v>14513</v>
      </c>
      <c r="AB25" s="14">
        <f t="shared" ref="AB25" si="62">SUM(AB7:AB24)</f>
        <v>14542</v>
      </c>
      <c r="AC25" s="14">
        <f t="shared" ref="AC25" si="63">SUM(AC7:AC24)</f>
        <v>14368</v>
      </c>
      <c r="AD25" s="14">
        <f t="shared" ref="AD25" si="64">SUM(AD7:AD24)</f>
        <v>14608</v>
      </c>
      <c r="AE25" s="14">
        <f t="shared" ref="AE25" si="65">SUM(AE7:AE24)</f>
        <v>14077</v>
      </c>
      <c r="AF25" s="14">
        <f t="shared" ref="AF25" si="66">SUM(AF7:AF24)</f>
        <v>14038</v>
      </c>
      <c r="AG25" s="14">
        <f t="shared" ref="AG25" si="67">SUM(AG7:AG24)</f>
        <v>16055</v>
      </c>
      <c r="AH25" s="14">
        <f t="shared" ref="AH25" si="68">SUM(AH7:AH24)</f>
        <v>15653</v>
      </c>
      <c r="AI25" s="14">
        <f t="shared" ref="AI25" si="69">SUM(AI7:AI24)</f>
        <v>15084</v>
      </c>
      <c r="AJ25" s="14">
        <f t="shared" ref="AJ25" si="70">SUM(AJ7:AJ24)</f>
        <v>14515</v>
      </c>
      <c r="AK25" s="14">
        <f t="shared" ref="AK25" si="71">SUM(AK7:AK24)</f>
        <v>14523</v>
      </c>
    </row>
    <row r="26" spans="2:37" ht="5.0999999999999996" customHeight="1" thickBot="1"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</row>
    <row r="27" spans="2:37" ht="19.5" customHeight="1">
      <c r="B27" s="174" t="s">
        <v>209</v>
      </c>
      <c r="C27" s="174"/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  <c r="AA27" s="174"/>
      <c r="AB27" s="174"/>
      <c r="AC27" s="174"/>
      <c r="AD27" s="174"/>
      <c r="AE27" s="174"/>
      <c r="AF27" s="174"/>
      <c r="AG27" s="174"/>
      <c r="AH27" s="174"/>
      <c r="AI27" s="174"/>
      <c r="AJ27" s="174"/>
      <c r="AK27" s="174"/>
    </row>
  </sheetData>
  <mergeCells count="1">
    <mergeCell ref="B27:AK27"/>
  </mergeCells>
  <pageMargins left="0.7" right="0.7" top="0.75" bottom="0.75" header="0.3" footer="0.3"/>
  <ignoredErrors>
    <ignoredError sqref="E8:G24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b07cb572-0833-4348-88b4-a0fa7ea20e4a</TitusGUID>
  <TitusMetadata xmlns="">eyJucyI6Imh0dHA6XC9cL3d3dy50aXR1cy5jb21cL25zXC9CYW5rIG9mIEFtZXJpY2EiLCJwcm9wcyI6W3sibiI6IkNsYXNzaWZpY2F0aW9uIiwidmFscyI6W3sidmFsdWUiOiJVbmNsYXNzaWZpZWQifV19LHsibiI6IkF1ZGllbmNlIiwidmFscyI6W119LHsibiI6IkNvbmZpZGVudGlhbFR5cGUiLCJ2YWxzIjpbXX1dfQ==</TitusMetadata>
</titus>
</file>

<file path=customXml/itemProps1.xml><?xml version="1.0" encoding="utf-8"?>
<ds:datastoreItem xmlns:ds="http://schemas.openxmlformats.org/officeDocument/2006/customXml" ds:itemID="{AC203626-EEC5-451D-B6D3-0C3E06066648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Historical Financials</vt:lpstr>
      <vt:lpstr>Revenue Drivers</vt:lpstr>
      <vt:lpstr>FCF</vt:lpstr>
      <vt:lpstr>Debt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Garcia</dc:creator>
  <cp:lastModifiedBy>Felix Garcia</cp:lastModifiedBy>
  <dcterms:created xsi:type="dcterms:W3CDTF">2024-08-10T06:01:52Z</dcterms:created>
  <dcterms:modified xsi:type="dcterms:W3CDTF">2025-12-05T05:11:34Z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b07cb572-0833-4348-88b4-a0fa7ea20e4a</vt:lpwstr>
  </property>
  <property fmtid="{D5CDD505-2E9C-101B-9397-08002B2CF9AE}" pid="3" name="Classification">
    <vt:lpwstr>Unclassified</vt:lpwstr>
  </property>
  <property fmtid="{D5CDD505-2E9C-101B-9397-08002B2CF9AE}" pid="4" name="BAC">
    <vt:lpwstr>B!bac@C</vt:lpwstr>
  </property>
</Properties>
</file>