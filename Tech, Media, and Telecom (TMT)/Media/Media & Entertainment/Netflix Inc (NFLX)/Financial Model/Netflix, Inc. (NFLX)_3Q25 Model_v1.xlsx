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ankofamerica-my.sharepoint.com/personal/felix_garcia2_bofa_com/Documents/Downloads/"/>
    </mc:Choice>
  </mc:AlternateContent>
  <xr:revisionPtr revIDLastSave="0" documentId="14_{66EF146A-9725-4FBA-9647-2F46F71AA30A}" xr6:coauthVersionLast="47" xr6:coauthVersionMax="47" xr10:uidLastSave="{00000000-0000-0000-0000-000000000000}"/>
  <bookViews>
    <workbookView xWindow="-120" yWindow="-120" windowWidth="29040" windowHeight="15720" activeTab="4" xr2:uid="{BC9106CE-9107-4097-8948-317996376CB5}"/>
  </bookViews>
  <sheets>
    <sheet name="Historical Financials" sheetId="8" r:id="rId1"/>
    <sheet name="EPS" sheetId="18" r:id="rId2"/>
    <sheet name="Revenue Drivers" sheetId="10" r:id="rId3"/>
    <sheet name="FCF" sheetId="9" r:id="rId4"/>
    <sheet name="3-Statement Model" sheetId="14" r:id="rId5"/>
    <sheet name="Sheet1" sheetId="19" r:id="rId6"/>
    <sheet name="DCF" sheetId="12" r:id="rId7"/>
    <sheet name="WACC" sheetId="16" r:id="rId8"/>
    <sheet name="Shares" sheetId="17" r:id="rId9"/>
    <sheet name="Drivers" sheetId="20" r:id="rId10"/>
  </sheets>
  <externalReferences>
    <externalReference r:id="rId11"/>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63" i="9" l="1"/>
  <c r="V63" i="9"/>
  <c r="U63" i="9"/>
  <c r="T63" i="9"/>
  <c r="S63" i="9"/>
  <c r="R63" i="9"/>
  <c r="Q63" i="9"/>
  <c r="P63" i="9"/>
  <c r="O63" i="9"/>
  <c r="N63" i="9"/>
  <c r="M63" i="9"/>
  <c r="L63" i="9"/>
  <c r="K63" i="9"/>
  <c r="J63" i="9"/>
  <c r="I63" i="9"/>
  <c r="G63" i="9"/>
  <c r="F63" i="9"/>
  <c r="E63" i="9"/>
  <c r="D63" i="9"/>
  <c r="C63" i="9"/>
  <c r="W62" i="9"/>
  <c r="V62" i="9"/>
  <c r="U62" i="9"/>
  <c r="T62" i="9"/>
  <c r="S62" i="9"/>
  <c r="R62" i="9"/>
  <c r="Q62" i="9"/>
  <c r="P62" i="9"/>
  <c r="O62" i="9"/>
  <c r="N62" i="9"/>
  <c r="M62" i="9"/>
  <c r="L62" i="9"/>
  <c r="K62" i="9"/>
  <c r="J62" i="9"/>
  <c r="I62" i="9"/>
  <c r="G62" i="9"/>
  <c r="F62" i="9"/>
  <c r="E62" i="9"/>
  <c r="D62" i="9"/>
  <c r="C62" i="9"/>
  <c r="W61" i="9"/>
  <c r="V61" i="9"/>
  <c r="U61" i="9"/>
  <c r="AI61" i="9" s="1"/>
  <c r="T61" i="9"/>
  <c r="AH61" i="9" s="1"/>
  <c r="S61" i="9"/>
  <c r="AG61" i="9" s="1"/>
  <c r="R61" i="9"/>
  <c r="Q61" i="9"/>
  <c r="P61" i="9"/>
  <c r="O61" i="9"/>
  <c r="N61" i="9"/>
  <c r="M61" i="9"/>
  <c r="L61" i="9"/>
  <c r="K61" i="9"/>
  <c r="J61" i="9"/>
  <c r="I61" i="9"/>
  <c r="G61" i="9"/>
  <c r="F61" i="9"/>
  <c r="E61" i="9"/>
  <c r="D61" i="9"/>
  <c r="C61" i="9"/>
  <c r="W87" i="9"/>
  <c r="V87" i="9"/>
  <c r="U87" i="9"/>
  <c r="T87" i="9"/>
  <c r="S87" i="9"/>
  <c r="R87" i="9"/>
  <c r="Q87" i="9"/>
  <c r="P87" i="9"/>
  <c r="O87" i="9"/>
  <c r="N87" i="9"/>
  <c r="M87" i="9"/>
  <c r="L87" i="9"/>
  <c r="K87" i="9"/>
  <c r="J87" i="9"/>
  <c r="I87" i="9"/>
  <c r="G87" i="9"/>
  <c r="F87" i="9"/>
  <c r="E87" i="9"/>
  <c r="D87" i="9"/>
  <c r="C87" i="9"/>
  <c r="AK67" i="9"/>
  <c r="AJ67" i="9"/>
  <c r="AI67" i="9"/>
  <c r="AH67" i="9"/>
  <c r="AG67" i="9"/>
  <c r="AK66" i="9"/>
  <c r="AJ66" i="9"/>
  <c r="AI66" i="9"/>
  <c r="AH66" i="9"/>
  <c r="AG66" i="9"/>
  <c r="W67" i="9"/>
  <c r="V67" i="9"/>
  <c r="U67" i="9"/>
  <c r="T67" i="9"/>
  <c r="S67" i="9"/>
  <c r="R67" i="9"/>
  <c r="Q67" i="9"/>
  <c r="P67" i="9"/>
  <c r="O67" i="9"/>
  <c r="N67" i="9"/>
  <c r="M67" i="9"/>
  <c r="L67" i="9"/>
  <c r="K67" i="9"/>
  <c r="J67" i="9"/>
  <c r="W66" i="9"/>
  <c r="V66" i="9"/>
  <c r="U66" i="9"/>
  <c r="T66" i="9"/>
  <c r="S66" i="9"/>
  <c r="R66" i="9"/>
  <c r="Q66" i="9"/>
  <c r="P66" i="9"/>
  <c r="O66" i="9"/>
  <c r="N66" i="9"/>
  <c r="M66" i="9"/>
  <c r="L66" i="9"/>
  <c r="K66" i="9"/>
  <c r="J66" i="9"/>
  <c r="I67" i="9"/>
  <c r="I66" i="9"/>
  <c r="G67" i="9"/>
  <c r="F67" i="9"/>
  <c r="E67" i="9"/>
  <c r="D67" i="9"/>
  <c r="C67" i="9"/>
  <c r="G66" i="9"/>
  <c r="F66" i="9"/>
  <c r="E66" i="9"/>
  <c r="D66" i="9"/>
  <c r="C66" i="9"/>
  <c r="T84" i="9"/>
  <c r="T83" i="9"/>
  <c r="T82" i="9"/>
  <c r="T81" i="9"/>
  <c r="T80" i="9"/>
  <c r="T79" i="9"/>
  <c r="AH79" i="9" s="1"/>
  <c r="T78" i="9"/>
  <c r="AH78" i="9" s="1"/>
  <c r="T77" i="9"/>
  <c r="T76" i="9"/>
  <c r="AH76" i="9" s="1"/>
  <c r="T75" i="9"/>
  <c r="T74" i="9"/>
  <c r="T73" i="9"/>
  <c r="AH73" i="9" s="1"/>
  <c r="T72" i="9"/>
  <c r="AH72" i="9" s="1"/>
  <c r="T71" i="9"/>
  <c r="AH71" i="9" s="1"/>
  <c r="T70" i="9"/>
  <c r="T69" i="9"/>
  <c r="P84" i="9"/>
  <c r="P83" i="9"/>
  <c r="P82" i="9"/>
  <c r="P81" i="9"/>
  <c r="P80" i="9"/>
  <c r="P79" i="9"/>
  <c r="P78" i="9"/>
  <c r="P77" i="9"/>
  <c r="P76" i="9"/>
  <c r="P75" i="9"/>
  <c r="P74" i="9"/>
  <c r="P73" i="9"/>
  <c r="P72" i="9"/>
  <c r="P71" i="9"/>
  <c r="P70" i="9"/>
  <c r="P69" i="9"/>
  <c r="L84" i="9"/>
  <c r="L83" i="9"/>
  <c r="L82" i="9"/>
  <c r="L81" i="9"/>
  <c r="L80" i="9"/>
  <c r="L79" i="9"/>
  <c r="L78" i="9"/>
  <c r="L77" i="9"/>
  <c r="L76" i="9"/>
  <c r="L75" i="9"/>
  <c r="L74" i="9"/>
  <c r="L73" i="9"/>
  <c r="L72" i="9"/>
  <c r="L71" i="9"/>
  <c r="L70" i="9"/>
  <c r="L69" i="9"/>
  <c r="AK83" i="9"/>
  <c r="AJ83" i="9"/>
  <c r="AI83" i="9"/>
  <c r="AH83" i="9"/>
  <c r="AG83" i="9"/>
  <c r="AK82" i="9"/>
  <c r="AJ82" i="9"/>
  <c r="AI82" i="9"/>
  <c r="AH82" i="9"/>
  <c r="AG82" i="9"/>
  <c r="AK81" i="9"/>
  <c r="AJ81" i="9"/>
  <c r="AI81" i="9"/>
  <c r="AH81" i="9"/>
  <c r="AG81" i="9"/>
  <c r="AK80" i="9"/>
  <c r="AJ80" i="9"/>
  <c r="AI80" i="9"/>
  <c r="AH80" i="9"/>
  <c r="AG80" i="9"/>
  <c r="AK79" i="9"/>
  <c r="AJ79" i="9"/>
  <c r="AI79" i="9"/>
  <c r="AG79" i="9"/>
  <c r="AK78" i="9"/>
  <c r="AJ78" i="9"/>
  <c r="AI78" i="9"/>
  <c r="AG78" i="9"/>
  <c r="AK77" i="9"/>
  <c r="AJ77" i="9"/>
  <c r="AI77" i="9"/>
  <c r="AH77" i="9"/>
  <c r="AG77" i="9"/>
  <c r="AK76" i="9"/>
  <c r="AJ76" i="9"/>
  <c r="AI76" i="9"/>
  <c r="AG76" i="9"/>
  <c r="AK75" i="9"/>
  <c r="AJ75" i="9"/>
  <c r="AI75" i="9"/>
  <c r="AH75" i="9"/>
  <c r="AG75" i="9"/>
  <c r="AK74" i="9"/>
  <c r="AJ74" i="9"/>
  <c r="AI74" i="9"/>
  <c r="AH74" i="9"/>
  <c r="AG74" i="9"/>
  <c r="AK73" i="9"/>
  <c r="AJ73" i="9"/>
  <c r="AI73" i="9"/>
  <c r="AG73" i="9"/>
  <c r="AK72" i="9"/>
  <c r="AJ72" i="9"/>
  <c r="AI72" i="9"/>
  <c r="AG72" i="9"/>
  <c r="AK71" i="9"/>
  <c r="AJ71" i="9"/>
  <c r="AI71" i="9"/>
  <c r="AG71" i="9"/>
  <c r="AK70" i="9"/>
  <c r="AJ70" i="9"/>
  <c r="AI70" i="9"/>
  <c r="AH70" i="9"/>
  <c r="AG70" i="9"/>
  <c r="AK61" i="9"/>
  <c r="AJ61" i="9"/>
  <c r="AG60" i="9"/>
  <c r="W60" i="9"/>
  <c r="AK60" i="9" s="1"/>
  <c r="V60" i="9"/>
  <c r="AJ60" i="9" s="1"/>
  <c r="U60" i="9"/>
  <c r="AI60" i="9" s="1"/>
  <c r="T60" i="9"/>
  <c r="AH60" i="9" s="1"/>
  <c r="S60" i="9"/>
  <c r="R60" i="9"/>
  <c r="Q60" i="9"/>
  <c r="P60" i="9"/>
  <c r="O60" i="9"/>
  <c r="N60" i="9"/>
  <c r="M60" i="9"/>
  <c r="L60" i="9"/>
  <c r="K60" i="9"/>
  <c r="J60" i="9"/>
  <c r="I60" i="9"/>
  <c r="G60" i="9"/>
  <c r="F60" i="9"/>
  <c r="E60" i="9"/>
  <c r="D60" i="9"/>
  <c r="C60" i="9"/>
  <c r="W59" i="9"/>
  <c r="V59" i="9"/>
  <c r="U59" i="9"/>
  <c r="T59" i="9"/>
  <c r="S59" i="9"/>
  <c r="R59" i="9"/>
  <c r="Q59" i="9"/>
  <c r="P59" i="9"/>
  <c r="O59" i="9"/>
  <c r="N59" i="9"/>
  <c r="M59" i="9"/>
  <c r="L59" i="9"/>
  <c r="K59" i="9"/>
  <c r="J59" i="9"/>
  <c r="W58" i="9"/>
  <c r="V58" i="9"/>
  <c r="U58" i="9"/>
  <c r="T58" i="9"/>
  <c r="S58" i="9"/>
  <c r="R58" i="9"/>
  <c r="Q58" i="9"/>
  <c r="P58" i="9"/>
  <c r="O58" i="9"/>
  <c r="N58" i="9"/>
  <c r="M58" i="9"/>
  <c r="L58" i="9"/>
  <c r="K58" i="9"/>
  <c r="J58" i="9"/>
  <c r="I59" i="9"/>
  <c r="G59" i="9"/>
  <c r="F59" i="9"/>
  <c r="E59" i="9"/>
  <c r="D59" i="9"/>
  <c r="C59" i="9"/>
  <c r="W53" i="9"/>
  <c r="V53" i="9"/>
  <c r="U53" i="9"/>
  <c r="T53" i="9"/>
  <c r="S53" i="9"/>
  <c r="R53" i="9"/>
  <c r="Q53" i="9"/>
  <c r="P53" i="9"/>
  <c r="O53" i="9"/>
  <c r="N53" i="9"/>
  <c r="M53" i="9"/>
  <c r="L53" i="9"/>
  <c r="K53" i="9"/>
  <c r="J53" i="9"/>
  <c r="I53" i="9"/>
  <c r="W52" i="9"/>
  <c r="V52" i="9"/>
  <c r="U52" i="9"/>
  <c r="T52" i="9"/>
  <c r="S52" i="9"/>
  <c r="R52" i="9"/>
  <c r="Q52" i="9"/>
  <c r="P52" i="9"/>
  <c r="O52" i="9"/>
  <c r="N52" i="9"/>
  <c r="M52" i="9"/>
  <c r="L52" i="9"/>
  <c r="K52" i="9"/>
  <c r="J52" i="9"/>
  <c r="I52" i="9"/>
  <c r="I58" i="9"/>
  <c r="G58" i="9"/>
  <c r="F58" i="9"/>
  <c r="E58" i="9"/>
  <c r="D58" i="9"/>
  <c r="C58" i="9"/>
  <c r="C45" i="9"/>
  <c r="D45" i="9"/>
  <c r="E45" i="9"/>
  <c r="F45" i="9"/>
  <c r="G45" i="9"/>
  <c r="I45" i="9"/>
  <c r="J45" i="9"/>
  <c r="K45" i="9"/>
  <c r="L45" i="9"/>
  <c r="M45" i="9"/>
  <c r="N45" i="9"/>
  <c r="O45" i="9"/>
  <c r="P45" i="9"/>
  <c r="Q45" i="9"/>
  <c r="R45" i="9"/>
  <c r="S45" i="9"/>
  <c r="T45" i="9"/>
  <c r="U45" i="9"/>
  <c r="V45" i="9"/>
  <c r="W45" i="9"/>
  <c r="W37" i="9"/>
  <c r="V37" i="9"/>
  <c r="U37" i="9"/>
  <c r="T37" i="9"/>
  <c r="S37" i="9"/>
  <c r="R37" i="9"/>
  <c r="Q37" i="9"/>
  <c r="P37" i="9"/>
  <c r="O37" i="9"/>
  <c r="N37" i="9"/>
  <c r="M37" i="9"/>
  <c r="L37" i="9"/>
  <c r="K37" i="9"/>
  <c r="J37" i="9"/>
  <c r="I37" i="9"/>
  <c r="W36" i="9"/>
  <c r="V36" i="9"/>
  <c r="U36" i="9"/>
  <c r="T36" i="9"/>
  <c r="S36" i="9"/>
  <c r="R36" i="9"/>
  <c r="Q36" i="9"/>
  <c r="P36" i="9"/>
  <c r="O36" i="9"/>
  <c r="N36" i="9"/>
  <c r="M36" i="9"/>
  <c r="L36" i="9"/>
  <c r="K36" i="9"/>
  <c r="J36" i="9"/>
  <c r="I36" i="9"/>
  <c r="W46" i="9"/>
  <c r="V46" i="9"/>
  <c r="U46" i="9"/>
  <c r="T46" i="9"/>
  <c r="S46" i="9"/>
  <c r="R46" i="9"/>
  <c r="Q46" i="9"/>
  <c r="P46" i="9"/>
  <c r="O46" i="9"/>
  <c r="N46" i="9"/>
  <c r="M46" i="9"/>
  <c r="L46" i="9"/>
  <c r="K46" i="9"/>
  <c r="J46" i="9"/>
  <c r="I46" i="9"/>
  <c r="W44" i="9"/>
  <c r="V44" i="9"/>
  <c r="U44" i="9"/>
  <c r="T44" i="9"/>
  <c r="S44" i="9"/>
  <c r="R44" i="9"/>
  <c r="Q44" i="9"/>
  <c r="P44" i="9"/>
  <c r="O44" i="9"/>
  <c r="N44" i="9"/>
  <c r="M44" i="9"/>
  <c r="L44" i="9"/>
  <c r="K44" i="9"/>
  <c r="J44" i="9"/>
  <c r="I44" i="9"/>
  <c r="W43" i="9"/>
  <c r="V43" i="9"/>
  <c r="U43" i="9"/>
  <c r="T43" i="9"/>
  <c r="S43" i="9"/>
  <c r="R43" i="9"/>
  <c r="Q43" i="9"/>
  <c r="P43" i="9"/>
  <c r="O43" i="9"/>
  <c r="N43" i="9"/>
  <c r="M43" i="9"/>
  <c r="L43" i="9"/>
  <c r="K43" i="9"/>
  <c r="J43" i="9"/>
  <c r="I43" i="9"/>
  <c r="W42" i="9"/>
  <c r="V42" i="9"/>
  <c r="U42" i="9"/>
  <c r="T42" i="9"/>
  <c r="S42" i="9"/>
  <c r="R42" i="9"/>
  <c r="Q42" i="9"/>
  <c r="P42" i="9"/>
  <c r="O42" i="9"/>
  <c r="N42" i="9"/>
  <c r="M42" i="9"/>
  <c r="L42" i="9"/>
  <c r="K42" i="9"/>
  <c r="J42" i="9"/>
  <c r="I42" i="9"/>
  <c r="W41" i="9"/>
  <c r="V41" i="9"/>
  <c r="U41" i="9"/>
  <c r="T41" i="9"/>
  <c r="S41" i="9"/>
  <c r="R41" i="9"/>
  <c r="Q41" i="9"/>
  <c r="P41" i="9"/>
  <c r="O41" i="9"/>
  <c r="N41" i="9"/>
  <c r="M41" i="9"/>
  <c r="L41" i="9"/>
  <c r="K41" i="9"/>
  <c r="J41" i="9"/>
  <c r="I41" i="9"/>
  <c r="W38" i="9"/>
  <c r="V38" i="9"/>
  <c r="U38" i="9"/>
  <c r="T38" i="9"/>
  <c r="S38" i="9"/>
  <c r="R38" i="9"/>
  <c r="Q38" i="9"/>
  <c r="P38" i="9"/>
  <c r="O38" i="9"/>
  <c r="N38" i="9"/>
  <c r="M38" i="9"/>
  <c r="L38" i="9"/>
  <c r="K38" i="9"/>
  <c r="J38" i="9"/>
  <c r="W35" i="9"/>
  <c r="V35" i="9"/>
  <c r="U35" i="9"/>
  <c r="T35" i="9"/>
  <c r="S35" i="9"/>
  <c r="R35" i="9"/>
  <c r="Q35" i="9"/>
  <c r="P35" i="9"/>
  <c r="O35" i="9"/>
  <c r="N35" i="9"/>
  <c r="M35" i="9"/>
  <c r="L35" i="9"/>
  <c r="K35" i="9"/>
  <c r="J35" i="9"/>
  <c r="I38" i="9"/>
  <c r="I35" i="9"/>
  <c r="W31" i="9"/>
  <c r="V31" i="9"/>
  <c r="U31" i="9"/>
  <c r="T31" i="9"/>
  <c r="S31" i="9"/>
  <c r="R31" i="9"/>
  <c r="Q31" i="9"/>
  <c r="P31" i="9"/>
  <c r="O31" i="9"/>
  <c r="N31" i="9"/>
  <c r="M31" i="9"/>
  <c r="L31" i="9"/>
  <c r="K31" i="9"/>
  <c r="J31" i="9"/>
  <c r="I31" i="9"/>
  <c r="W26" i="9"/>
  <c r="V26" i="9"/>
  <c r="U26" i="9"/>
  <c r="T26" i="9"/>
  <c r="S26" i="9"/>
  <c r="R26" i="9"/>
  <c r="Q26" i="9"/>
  <c r="P26" i="9"/>
  <c r="O26" i="9"/>
  <c r="N26" i="9"/>
  <c r="M26" i="9"/>
  <c r="L26" i="9"/>
  <c r="K26" i="9"/>
  <c r="J26" i="9"/>
  <c r="I26" i="9"/>
  <c r="W22" i="9"/>
  <c r="V22" i="9"/>
  <c r="U22" i="9"/>
  <c r="T22" i="9"/>
  <c r="S22" i="9"/>
  <c r="R22" i="9"/>
  <c r="Q22" i="9"/>
  <c r="P22" i="9"/>
  <c r="O22" i="9"/>
  <c r="N22" i="9"/>
  <c r="M22" i="9"/>
  <c r="L22" i="9"/>
  <c r="K22" i="9"/>
  <c r="J22" i="9"/>
  <c r="I22" i="9"/>
  <c r="W21" i="9"/>
  <c r="V21" i="9"/>
  <c r="U21" i="9"/>
  <c r="T21" i="9"/>
  <c r="S21" i="9"/>
  <c r="R21" i="9"/>
  <c r="Q21" i="9"/>
  <c r="P21" i="9"/>
  <c r="O21" i="9"/>
  <c r="N21" i="9"/>
  <c r="M21" i="9"/>
  <c r="L21" i="9"/>
  <c r="K21" i="9"/>
  <c r="J21" i="9"/>
  <c r="I21" i="9"/>
  <c r="W20" i="9"/>
  <c r="V20" i="9"/>
  <c r="U20" i="9"/>
  <c r="T20" i="9"/>
  <c r="S20" i="9"/>
  <c r="R20" i="9"/>
  <c r="Q20" i="9"/>
  <c r="P20" i="9"/>
  <c r="O20" i="9"/>
  <c r="N20" i="9"/>
  <c r="M20" i="9"/>
  <c r="L20" i="9"/>
  <c r="K20" i="9"/>
  <c r="J20" i="9"/>
  <c r="I20" i="9"/>
  <c r="W16" i="9"/>
  <c r="V16" i="9"/>
  <c r="U16" i="9"/>
  <c r="T16" i="9"/>
  <c r="S16" i="9"/>
  <c r="R16" i="9"/>
  <c r="Q16" i="9"/>
  <c r="P16" i="9"/>
  <c r="O16" i="9"/>
  <c r="N16" i="9"/>
  <c r="M16" i="9"/>
  <c r="L16" i="9"/>
  <c r="K16" i="9"/>
  <c r="J16" i="9"/>
  <c r="I16" i="9"/>
  <c r="W15" i="9"/>
  <c r="W27" i="9" s="1"/>
  <c r="V15" i="9"/>
  <c r="U15" i="9"/>
  <c r="U27" i="9" s="1"/>
  <c r="T15" i="9"/>
  <c r="T27" i="9" s="1"/>
  <c r="S15" i="9"/>
  <c r="S27" i="9" s="1"/>
  <c r="R15" i="9"/>
  <c r="R27" i="9" s="1"/>
  <c r="Q15" i="9"/>
  <c r="Q27" i="9" s="1"/>
  <c r="P15" i="9"/>
  <c r="P27" i="9" s="1"/>
  <c r="O15" i="9"/>
  <c r="O27" i="9" s="1"/>
  <c r="N15" i="9"/>
  <c r="N27" i="9" s="1"/>
  <c r="M15" i="9"/>
  <c r="M27" i="9" s="1"/>
  <c r="L15" i="9"/>
  <c r="L27" i="9" s="1"/>
  <c r="K15" i="9"/>
  <c r="K27" i="9" s="1"/>
  <c r="J15" i="9"/>
  <c r="J27" i="9" s="1"/>
  <c r="I15" i="9"/>
  <c r="I27" i="9" s="1"/>
  <c r="I6" i="9"/>
  <c r="J6" i="9"/>
  <c r="K6" i="9"/>
  <c r="L6" i="9"/>
  <c r="M6" i="9"/>
  <c r="N6" i="9"/>
  <c r="O6" i="9"/>
  <c r="P6" i="9"/>
  <c r="Q6" i="9"/>
  <c r="R6" i="9"/>
  <c r="S6" i="9"/>
  <c r="T6" i="9"/>
  <c r="U6" i="9"/>
  <c r="V6" i="9"/>
  <c r="W6" i="9"/>
  <c r="I7" i="9"/>
  <c r="J7" i="9"/>
  <c r="K7" i="9"/>
  <c r="L7" i="9"/>
  <c r="M7" i="9"/>
  <c r="N7" i="9"/>
  <c r="O7" i="9"/>
  <c r="P7" i="9"/>
  <c r="Q7" i="9"/>
  <c r="R7" i="9"/>
  <c r="S7" i="9"/>
  <c r="T7" i="9"/>
  <c r="U7" i="9"/>
  <c r="V7" i="9"/>
  <c r="W7" i="9"/>
  <c r="I8" i="9"/>
  <c r="J8" i="9"/>
  <c r="K8" i="9"/>
  <c r="L8" i="9"/>
  <c r="M8" i="9"/>
  <c r="N8" i="9"/>
  <c r="O8" i="9"/>
  <c r="P8" i="9"/>
  <c r="Q8" i="9"/>
  <c r="R8" i="9"/>
  <c r="S8" i="9"/>
  <c r="T8" i="9"/>
  <c r="U8" i="9"/>
  <c r="V8" i="9"/>
  <c r="W8" i="9"/>
  <c r="I9" i="9"/>
  <c r="J9" i="9"/>
  <c r="K9" i="9"/>
  <c r="L9" i="9"/>
  <c r="M9" i="9"/>
  <c r="N9" i="9"/>
  <c r="O9" i="9"/>
  <c r="P9" i="9"/>
  <c r="Q9" i="9"/>
  <c r="R9" i="9"/>
  <c r="S9" i="9"/>
  <c r="T9" i="9"/>
  <c r="U9" i="9"/>
  <c r="V9" i="9"/>
  <c r="W9" i="9"/>
  <c r="G46" i="9"/>
  <c r="F46" i="9"/>
  <c r="E46" i="9"/>
  <c r="D46" i="9"/>
  <c r="C46" i="9"/>
  <c r="G44" i="9"/>
  <c r="F44" i="9"/>
  <c r="E44" i="9"/>
  <c r="D44" i="9"/>
  <c r="C44" i="9"/>
  <c r="G53" i="9"/>
  <c r="F53" i="9"/>
  <c r="E53" i="9"/>
  <c r="D53" i="9"/>
  <c r="C53" i="9"/>
  <c r="G52" i="9"/>
  <c r="F52" i="9"/>
  <c r="E52" i="9"/>
  <c r="D52" i="9"/>
  <c r="C52" i="9"/>
  <c r="G43" i="9"/>
  <c r="F43" i="9"/>
  <c r="E43" i="9"/>
  <c r="D43" i="9"/>
  <c r="C43" i="9"/>
  <c r="G42" i="9"/>
  <c r="F42" i="9"/>
  <c r="E42" i="9"/>
  <c r="D42" i="9"/>
  <c r="C42" i="9"/>
  <c r="G41" i="9"/>
  <c r="F41" i="9"/>
  <c r="E41" i="9"/>
  <c r="D41" i="9"/>
  <c r="C41" i="9"/>
  <c r="G38" i="9"/>
  <c r="F38" i="9"/>
  <c r="E38" i="9"/>
  <c r="D38" i="9"/>
  <c r="C38" i="9"/>
  <c r="G37" i="9"/>
  <c r="F37" i="9"/>
  <c r="E37" i="9"/>
  <c r="D37" i="9"/>
  <c r="C37" i="9"/>
  <c r="G36" i="9"/>
  <c r="F36" i="9"/>
  <c r="E36" i="9"/>
  <c r="D36" i="9"/>
  <c r="C36" i="9"/>
  <c r="G35" i="9"/>
  <c r="F35" i="9"/>
  <c r="E35" i="9"/>
  <c r="D35" i="9"/>
  <c r="C35" i="9"/>
  <c r="G31" i="9"/>
  <c r="F31" i="9"/>
  <c r="E31" i="9"/>
  <c r="D31" i="9"/>
  <c r="C31" i="9"/>
  <c r="G26" i="9"/>
  <c r="F26" i="9"/>
  <c r="E26" i="9"/>
  <c r="D26" i="9"/>
  <c r="C26" i="9"/>
  <c r="G22" i="9"/>
  <c r="F22" i="9"/>
  <c r="E22" i="9"/>
  <c r="D22" i="9"/>
  <c r="C22" i="9"/>
  <c r="G21" i="9"/>
  <c r="F21" i="9"/>
  <c r="E21" i="9"/>
  <c r="D21" i="9"/>
  <c r="C21" i="9"/>
  <c r="G20" i="9"/>
  <c r="F20" i="9"/>
  <c r="E20" i="9"/>
  <c r="D20" i="9"/>
  <c r="C20" i="9"/>
  <c r="V27" i="9"/>
  <c r="G16" i="9"/>
  <c r="F16" i="9"/>
  <c r="E16" i="9"/>
  <c r="D16" i="9"/>
  <c r="C16" i="9"/>
  <c r="G15" i="9"/>
  <c r="G27" i="9" s="1"/>
  <c r="F15" i="9"/>
  <c r="F27" i="9" s="1"/>
  <c r="E15" i="9"/>
  <c r="E27" i="9" s="1"/>
  <c r="D15" i="9"/>
  <c r="D27" i="9" s="1"/>
  <c r="C15" i="9"/>
  <c r="C27" i="9" s="1"/>
  <c r="W10" i="9"/>
  <c r="V10" i="9"/>
  <c r="U10" i="9"/>
  <c r="T10" i="9"/>
  <c r="S10" i="9"/>
  <c r="R10" i="9"/>
  <c r="Q10" i="9"/>
  <c r="P10" i="9"/>
  <c r="O10" i="9"/>
  <c r="N10" i="9"/>
  <c r="M10" i="9"/>
  <c r="L10" i="9"/>
  <c r="K10" i="9"/>
  <c r="J10" i="9"/>
  <c r="I10" i="9"/>
  <c r="G10" i="9"/>
  <c r="F10" i="9"/>
  <c r="E10" i="9"/>
  <c r="D10" i="9"/>
  <c r="C10" i="9"/>
  <c r="G9" i="9"/>
  <c r="F9" i="9"/>
  <c r="E9" i="9"/>
  <c r="D9" i="9"/>
  <c r="C9" i="9"/>
  <c r="G8" i="9"/>
  <c r="F8" i="9"/>
  <c r="E8" i="9"/>
  <c r="D8" i="9"/>
  <c r="C8" i="9"/>
  <c r="G7" i="9"/>
  <c r="F7" i="9"/>
  <c r="E7" i="9"/>
  <c r="D7" i="9"/>
  <c r="C7" i="9"/>
  <c r="G6" i="9"/>
  <c r="F6" i="9"/>
  <c r="E6" i="9"/>
  <c r="D6" i="9"/>
  <c r="C6" i="9"/>
  <c r="B10" i="9"/>
  <c r="B9" i="9"/>
  <c r="B8" i="9"/>
  <c r="B7" i="9"/>
  <c r="B6" i="9"/>
  <c r="AG12" i="10"/>
  <c r="V13" i="10"/>
  <c r="AJ13" i="10" s="1"/>
  <c r="V12" i="10"/>
  <c r="AK12" i="10" s="1"/>
  <c r="AM12" i="10" s="1"/>
  <c r="V11" i="10"/>
  <c r="AK11" i="10" s="1"/>
  <c r="V10" i="10"/>
  <c r="V9" i="10"/>
  <c r="R13" i="10"/>
  <c r="AG13" i="10" s="1"/>
  <c r="R12" i="10"/>
  <c r="R11" i="10"/>
  <c r="AG11" i="10" s="1"/>
  <c r="R10" i="10"/>
  <c r="R9" i="10"/>
  <c r="N13" i="10"/>
  <c r="N12" i="10"/>
  <c r="N11" i="10"/>
  <c r="N10" i="10"/>
  <c r="N9" i="10"/>
  <c r="AA134" i="8"/>
  <c r="AB134" i="8" s="1"/>
  <c r="AC134" i="8" s="1"/>
  <c r="AB133" i="8"/>
  <c r="AC133" i="8" s="1"/>
  <c r="AA133" i="8"/>
  <c r="Y134" i="8"/>
  <c r="X134" i="8"/>
  <c r="W134" i="8"/>
  <c r="Y133" i="8"/>
  <c r="X133" i="8"/>
  <c r="W133" i="8"/>
  <c r="U134" i="8"/>
  <c r="T134" i="8"/>
  <c r="V134" i="8" s="1"/>
  <c r="U133" i="8"/>
  <c r="T133" i="8"/>
  <c r="S134" i="8"/>
  <c r="S133" i="8"/>
  <c r="Q134" i="8"/>
  <c r="P134" i="8"/>
  <c r="Q133" i="8"/>
  <c r="P133" i="8"/>
  <c r="O134" i="8"/>
  <c r="O133" i="8"/>
  <c r="M134" i="8"/>
  <c r="L134" i="8"/>
  <c r="K134" i="8"/>
  <c r="M133" i="8"/>
  <c r="L133" i="8"/>
  <c r="K133" i="8"/>
  <c r="AP122" i="8"/>
  <c r="AN122" i="8"/>
  <c r="AM122" i="8"/>
  <c r="AK122" i="8"/>
  <c r="AP126" i="8"/>
  <c r="AN126" i="8"/>
  <c r="AM126" i="8"/>
  <c r="AH126" i="8"/>
  <c r="AG126" i="8"/>
  <c r="AF126" i="8"/>
  <c r="AN117" i="8"/>
  <c r="AI117" i="8"/>
  <c r="AH117" i="8"/>
  <c r="AR116" i="8"/>
  <c r="AP116" i="8"/>
  <c r="AO116" i="8"/>
  <c r="AJ116" i="8"/>
  <c r="AI116" i="8"/>
  <c r="AH116" i="8"/>
  <c r="AQ115" i="8"/>
  <c r="AP115" i="8"/>
  <c r="AK115" i="8"/>
  <c r="AJ115" i="8"/>
  <c r="AI115" i="8"/>
  <c r="AE115" i="8"/>
  <c r="AR114" i="8"/>
  <c r="AQ114" i="8"/>
  <c r="AO114" i="8"/>
  <c r="AL114" i="8"/>
  <c r="AS113" i="8"/>
  <c r="AR113" i="8"/>
  <c r="AP113" i="8"/>
  <c r="AK113" i="8"/>
  <c r="AS112" i="8"/>
  <c r="AQ112" i="8"/>
  <c r="AL112" i="8"/>
  <c r="AH112" i="8"/>
  <c r="AF112" i="8"/>
  <c r="AE112" i="8"/>
  <c r="AR111" i="8"/>
  <c r="AN111" i="8"/>
  <c r="AM111" i="8"/>
  <c r="AI111" i="8"/>
  <c r="AG111" i="8"/>
  <c r="AF111" i="8"/>
  <c r="AO107" i="8"/>
  <c r="AN107" i="8"/>
  <c r="AJ107" i="8"/>
  <c r="AH107" i="8"/>
  <c r="AG107" i="8"/>
  <c r="AO106" i="8"/>
  <c r="AK106" i="8"/>
  <c r="AI106" i="8"/>
  <c r="AH106" i="8"/>
  <c r="AR105" i="8"/>
  <c r="AQ105" i="8"/>
  <c r="AP105" i="8"/>
  <c r="AL105" i="8"/>
  <c r="AJ105" i="8"/>
  <c r="AI105" i="8"/>
  <c r="AQ104" i="8"/>
  <c r="AK104" i="8"/>
  <c r="AJ104" i="8"/>
  <c r="AE104" i="8"/>
  <c r="AS103" i="8"/>
  <c r="AR103" i="8"/>
  <c r="AN103" i="8"/>
  <c r="AL103" i="8"/>
  <c r="AK103" i="8"/>
  <c r="AI103" i="8"/>
  <c r="AO93" i="8"/>
  <c r="AM93" i="8"/>
  <c r="AL93" i="8"/>
  <c r="AJ93" i="8"/>
  <c r="AG93" i="8"/>
  <c r="AF93" i="8"/>
  <c r="AE93" i="8"/>
  <c r="AN92" i="8"/>
  <c r="AM92" i="8"/>
  <c r="AQ91" i="8"/>
  <c r="AO91" i="8"/>
  <c r="AN91" i="8"/>
  <c r="AI91" i="8"/>
  <c r="AH91" i="8"/>
  <c r="AG91" i="8"/>
  <c r="AR90" i="8"/>
  <c r="AP90" i="8"/>
  <c r="AO90" i="8"/>
  <c r="AS89" i="8"/>
  <c r="AQ89" i="8"/>
  <c r="AP89" i="8"/>
  <c r="AN89" i="8"/>
  <c r="AI89" i="8"/>
  <c r="AE89" i="8"/>
  <c r="AQ88" i="8"/>
  <c r="AK88" i="8"/>
  <c r="AJ88" i="8"/>
  <c r="AS87" i="8"/>
  <c r="AR87" i="8"/>
  <c r="AP87" i="8"/>
  <c r="AM87" i="8"/>
  <c r="AL87" i="8"/>
  <c r="AK87" i="8"/>
  <c r="AE87" i="8"/>
  <c r="AP15" i="8"/>
  <c r="AK15" i="8"/>
  <c r="AJ15" i="8"/>
  <c r="AI15" i="8"/>
  <c r="AH15" i="8"/>
  <c r="AG15" i="8"/>
  <c r="AS13" i="8"/>
  <c r="AR13" i="8"/>
  <c r="AL13" i="8"/>
  <c r="AK13" i="8"/>
  <c r="AI13" i="8"/>
  <c r="AF13" i="8"/>
  <c r="AE13" i="8"/>
  <c r="AS126" i="8"/>
  <c r="AC126" i="8"/>
  <c r="AB126" i="8"/>
  <c r="AC122" i="8" s="1"/>
  <c r="AA126" i="8"/>
  <c r="AQ126" i="8" s="1"/>
  <c r="AB122" i="8"/>
  <c r="Y27" i="8"/>
  <c r="X27" i="8"/>
  <c r="W27" i="8"/>
  <c r="AA27" i="8"/>
  <c r="Y126" i="8"/>
  <c r="AS122" i="8" s="1"/>
  <c r="X126" i="8"/>
  <c r="Y122" i="8" s="1"/>
  <c r="W126" i="8"/>
  <c r="X122" i="8" s="1"/>
  <c r="U126" i="8"/>
  <c r="V122" i="8" s="1"/>
  <c r="T126" i="8"/>
  <c r="U122" i="8" s="1"/>
  <c r="S126" i="8"/>
  <c r="AI126" i="8" s="1"/>
  <c r="Q126" i="8"/>
  <c r="P126" i="8"/>
  <c r="AJ122" i="8" s="1"/>
  <c r="O126" i="8"/>
  <c r="P122" i="8" s="1"/>
  <c r="M126" i="8"/>
  <c r="N122" i="8" s="1"/>
  <c r="L126" i="8"/>
  <c r="M122" i="8" s="1"/>
  <c r="R107" i="8"/>
  <c r="AK107" i="8" s="1"/>
  <c r="R106" i="8"/>
  <c r="AJ106" i="8" s="1"/>
  <c r="R105" i="8"/>
  <c r="AK105" i="8" s="1"/>
  <c r="R104" i="8"/>
  <c r="AI104" i="8" s="1"/>
  <c r="R103" i="8"/>
  <c r="AJ103" i="8" s="1"/>
  <c r="S118" i="8"/>
  <c r="T118" i="8"/>
  <c r="U118" i="8"/>
  <c r="R111" i="8"/>
  <c r="AK111" i="8" s="1"/>
  <c r="R112" i="8"/>
  <c r="AK112" i="8" s="1"/>
  <c r="R113" i="8"/>
  <c r="AJ113" i="8" s="1"/>
  <c r="R114" i="8"/>
  <c r="AI114" i="8" s="1"/>
  <c r="R115" i="8"/>
  <c r="AH115" i="8" s="1"/>
  <c r="R116" i="8"/>
  <c r="AK116" i="8" s="1"/>
  <c r="R117" i="8"/>
  <c r="AK117" i="8" s="1"/>
  <c r="T122" i="8"/>
  <c r="R122" i="8"/>
  <c r="Q122" i="8"/>
  <c r="K126" i="8"/>
  <c r="L122" i="8" s="1"/>
  <c r="I126" i="8"/>
  <c r="Z126" i="8" s="1"/>
  <c r="AA122" i="8" s="1"/>
  <c r="H126" i="8"/>
  <c r="V126" i="8" s="1"/>
  <c r="W122" i="8" s="1"/>
  <c r="G126" i="8"/>
  <c r="R126" i="8" s="1"/>
  <c r="S122" i="8" s="1"/>
  <c r="G27" i="8"/>
  <c r="H27" i="8"/>
  <c r="I27" i="8"/>
  <c r="Z133" i="8"/>
  <c r="V133" i="8"/>
  <c r="AO133" i="8" s="1"/>
  <c r="R133" i="8"/>
  <c r="AJ133" i="8" s="1"/>
  <c r="F126" i="8"/>
  <c r="N126" i="8" s="1"/>
  <c r="O122" i="8" s="1"/>
  <c r="E126" i="8"/>
  <c r="F122" i="8" s="1"/>
  <c r="D122" i="8"/>
  <c r="D126" i="8"/>
  <c r="E122" i="8" s="1"/>
  <c r="Z13" i="8"/>
  <c r="AQ13" i="8" s="1"/>
  <c r="V13" i="8"/>
  <c r="AN13" i="8" s="1"/>
  <c r="R13" i="8"/>
  <c r="AJ13" i="8" s="1"/>
  <c r="N13" i="8"/>
  <c r="AG13" i="8" s="1"/>
  <c r="AC14" i="8"/>
  <c r="AB14" i="8"/>
  <c r="AA14" i="8"/>
  <c r="Y14" i="8"/>
  <c r="X14" i="8"/>
  <c r="W14" i="8"/>
  <c r="U14" i="8"/>
  <c r="T14" i="8"/>
  <c r="S14" i="8"/>
  <c r="Q14" i="8"/>
  <c r="P14" i="8"/>
  <c r="O14" i="8"/>
  <c r="M14" i="8"/>
  <c r="L14" i="8"/>
  <c r="K14" i="8"/>
  <c r="Z15" i="8"/>
  <c r="AQ15" i="8" s="1"/>
  <c r="V15" i="8"/>
  <c r="AO15" i="8" s="1"/>
  <c r="R15" i="8"/>
  <c r="N15" i="8"/>
  <c r="AF15" i="8" s="1"/>
  <c r="I14" i="8"/>
  <c r="H14" i="8"/>
  <c r="G14" i="8"/>
  <c r="F14" i="8"/>
  <c r="E14" i="8"/>
  <c r="D14" i="8"/>
  <c r="C14" i="8"/>
  <c r="AB27" i="8"/>
  <c r="Z115" i="8"/>
  <c r="AS115" i="8" s="1"/>
  <c r="V115" i="8"/>
  <c r="AO115" i="8" s="1"/>
  <c r="N115" i="8"/>
  <c r="AG115" i="8" s="1"/>
  <c r="Z114" i="8"/>
  <c r="AS114" i="8" s="1"/>
  <c r="V114" i="8"/>
  <c r="AN114" i="8" s="1"/>
  <c r="N114" i="8"/>
  <c r="AF114" i="8" s="1"/>
  <c r="Z113" i="8"/>
  <c r="AQ113" i="8" s="1"/>
  <c r="V113" i="8"/>
  <c r="AO113" i="8" s="1"/>
  <c r="N113" i="8"/>
  <c r="AG113" i="8" s="1"/>
  <c r="Z112" i="8"/>
  <c r="AR112" i="8" s="1"/>
  <c r="V112" i="8"/>
  <c r="AN112" i="8" s="1"/>
  <c r="N112" i="8"/>
  <c r="AG112" i="8" s="1"/>
  <c r="Z111" i="8"/>
  <c r="AS111" i="8" s="1"/>
  <c r="V111" i="8"/>
  <c r="AL111" i="8" s="1"/>
  <c r="N111" i="8"/>
  <c r="AE111" i="8" s="1"/>
  <c r="Z93" i="8"/>
  <c r="AR93" i="8" s="1"/>
  <c r="V93" i="8"/>
  <c r="AN93" i="8" s="1"/>
  <c r="R93" i="8"/>
  <c r="AK93" i="8" s="1"/>
  <c r="N93" i="8"/>
  <c r="Z92" i="8"/>
  <c r="AS92" i="8" s="1"/>
  <c r="AU92" i="8" s="1"/>
  <c r="V92" i="8"/>
  <c r="AO92" i="8" s="1"/>
  <c r="R92" i="8"/>
  <c r="AK92" i="8" s="1"/>
  <c r="N92" i="8"/>
  <c r="AE92" i="8" s="1"/>
  <c r="Z91" i="8"/>
  <c r="AS91" i="8" s="1"/>
  <c r="V91" i="8"/>
  <c r="AM91" i="8" s="1"/>
  <c r="R91" i="8"/>
  <c r="AK91" i="8" s="1"/>
  <c r="N91" i="8"/>
  <c r="AF91" i="8" s="1"/>
  <c r="Z90" i="8"/>
  <c r="V90" i="8"/>
  <c r="AN90" i="8" s="1"/>
  <c r="R90" i="8"/>
  <c r="AH90" i="8" s="1"/>
  <c r="N90" i="8"/>
  <c r="AG90" i="8" s="1"/>
  <c r="Z89" i="8"/>
  <c r="AR89" i="8" s="1"/>
  <c r="V89" i="8"/>
  <c r="AO89" i="8" s="1"/>
  <c r="R89" i="8"/>
  <c r="AH89" i="8" s="1"/>
  <c r="N89" i="8"/>
  <c r="AG89" i="8" s="1"/>
  <c r="Z88" i="8"/>
  <c r="AR88" i="8" s="1"/>
  <c r="V88" i="8"/>
  <c r="AO88" i="8" s="1"/>
  <c r="R88" i="8"/>
  <c r="AI88" i="8" s="1"/>
  <c r="N88" i="8"/>
  <c r="AF88" i="8" s="1"/>
  <c r="Z87" i="8"/>
  <c r="AQ87" i="8" s="1"/>
  <c r="V87" i="8"/>
  <c r="AO87" i="8" s="1"/>
  <c r="R87" i="8"/>
  <c r="AJ87" i="8" s="1"/>
  <c r="N87" i="8"/>
  <c r="AG87" i="8" s="1"/>
  <c r="AC27" i="8"/>
  <c r="C118" i="8"/>
  <c r="N43" i="8"/>
  <c r="N44" i="8"/>
  <c r="Z134" i="8"/>
  <c r="R134" i="8"/>
  <c r="N134" i="8"/>
  <c r="Z125" i="8"/>
  <c r="V125" i="8"/>
  <c r="R125" i="8"/>
  <c r="N125" i="8"/>
  <c r="Z45" i="8"/>
  <c r="V45" i="8"/>
  <c r="R45" i="8"/>
  <c r="N45" i="8"/>
  <c r="Z44" i="8"/>
  <c r="V44" i="8"/>
  <c r="R44" i="8"/>
  <c r="Z43" i="8"/>
  <c r="V43" i="8"/>
  <c r="R43" i="8"/>
  <c r="Z51" i="8"/>
  <c r="V51" i="8"/>
  <c r="R51" i="8"/>
  <c r="N51" i="8"/>
  <c r="Z50" i="8"/>
  <c r="V50" i="8"/>
  <c r="R50" i="8"/>
  <c r="N50" i="8"/>
  <c r="Z49" i="8"/>
  <c r="V49" i="8"/>
  <c r="R49" i="8"/>
  <c r="N49" i="8"/>
  <c r="Z59" i="8"/>
  <c r="V59" i="8"/>
  <c r="R59" i="8"/>
  <c r="N59" i="8"/>
  <c r="Z58" i="8"/>
  <c r="V58" i="8"/>
  <c r="R58" i="8"/>
  <c r="N58" i="8"/>
  <c r="Z57" i="8"/>
  <c r="V57" i="8"/>
  <c r="R57" i="8"/>
  <c r="N57" i="8"/>
  <c r="Z56" i="8"/>
  <c r="V56" i="8"/>
  <c r="R56" i="8"/>
  <c r="N56" i="8"/>
  <c r="Z55" i="8"/>
  <c r="V55" i="8"/>
  <c r="R55" i="8"/>
  <c r="N55" i="8"/>
  <c r="Z65" i="8"/>
  <c r="V65" i="8"/>
  <c r="R65" i="8"/>
  <c r="N65" i="8"/>
  <c r="Z64" i="8"/>
  <c r="V64" i="8"/>
  <c r="R64" i="8"/>
  <c r="N64" i="8"/>
  <c r="Z63" i="8"/>
  <c r="V63" i="8"/>
  <c r="R63" i="8"/>
  <c r="N63" i="8"/>
  <c r="Z70" i="8"/>
  <c r="V70" i="8"/>
  <c r="R70" i="8"/>
  <c r="N70" i="8"/>
  <c r="Z69" i="8"/>
  <c r="V69" i="8"/>
  <c r="R69" i="8"/>
  <c r="N69" i="8"/>
  <c r="Z68" i="8"/>
  <c r="V68" i="8"/>
  <c r="R68" i="8"/>
  <c r="N68" i="8"/>
  <c r="Z86" i="8"/>
  <c r="V86" i="8"/>
  <c r="R86" i="8"/>
  <c r="N86" i="8"/>
  <c r="Z99" i="8"/>
  <c r="V99" i="8"/>
  <c r="R99" i="8"/>
  <c r="N99" i="8"/>
  <c r="Z98" i="8"/>
  <c r="V98" i="8"/>
  <c r="R98" i="8"/>
  <c r="N98" i="8"/>
  <c r="Z97" i="8"/>
  <c r="V97" i="8"/>
  <c r="R97" i="8"/>
  <c r="N97" i="8"/>
  <c r="Z96" i="8"/>
  <c r="V96" i="8"/>
  <c r="R96" i="8"/>
  <c r="N96" i="8"/>
  <c r="Z95" i="8"/>
  <c r="V95" i="8"/>
  <c r="R95" i="8"/>
  <c r="N95" i="8"/>
  <c r="Z107" i="8"/>
  <c r="AS107" i="8" s="1"/>
  <c r="V107" i="8"/>
  <c r="AM107" i="8" s="1"/>
  <c r="N107" i="8"/>
  <c r="AF107" i="8" s="1"/>
  <c r="Z106" i="8"/>
  <c r="AS106" i="8" s="1"/>
  <c r="V106" i="8"/>
  <c r="AN106" i="8" s="1"/>
  <c r="N106" i="8"/>
  <c r="AG106" i="8" s="1"/>
  <c r="Z105" i="8"/>
  <c r="AS105" i="8" s="1"/>
  <c r="V105" i="8"/>
  <c r="AO105" i="8" s="1"/>
  <c r="N105" i="8"/>
  <c r="AG105" i="8" s="1"/>
  <c r="Z104" i="8"/>
  <c r="AP104" i="8" s="1"/>
  <c r="V104" i="8"/>
  <c r="AM104" i="8" s="1"/>
  <c r="N104" i="8"/>
  <c r="AG104" i="8" s="1"/>
  <c r="Z103" i="8"/>
  <c r="AQ103" i="8" s="1"/>
  <c r="V103" i="8"/>
  <c r="AO103" i="8" s="1"/>
  <c r="N103" i="8"/>
  <c r="AG103" i="8" s="1"/>
  <c r="Z117" i="8"/>
  <c r="AQ117" i="8" s="1"/>
  <c r="V117" i="8"/>
  <c r="AO117" i="8" s="1"/>
  <c r="N117" i="8"/>
  <c r="AF117" i="8" s="1"/>
  <c r="Z116" i="8"/>
  <c r="AS116" i="8" s="1"/>
  <c r="V116" i="8"/>
  <c r="AN116" i="8" s="1"/>
  <c r="N116" i="8"/>
  <c r="AG116" i="8" s="1"/>
  <c r="AF45" i="9" l="1"/>
  <c r="AH45" i="9"/>
  <c r="AJ16" i="9"/>
  <c r="AG45" i="9"/>
  <c r="AI45" i="9"/>
  <c r="AG16" i="9"/>
  <c r="AH16" i="9"/>
  <c r="G11" i="9"/>
  <c r="AJ45" i="9"/>
  <c r="AK45" i="9"/>
  <c r="C11" i="9"/>
  <c r="AK16" i="9"/>
  <c r="D11" i="9"/>
  <c r="E11" i="9"/>
  <c r="F11" i="9"/>
  <c r="P11" i="9"/>
  <c r="N11" i="9"/>
  <c r="O11" i="9"/>
  <c r="I11" i="9"/>
  <c r="M11" i="9"/>
  <c r="V11" i="9"/>
  <c r="U11" i="9"/>
  <c r="W11" i="9"/>
  <c r="S11" i="9"/>
  <c r="R11" i="9"/>
  <c r="T11" i="9"/>
  <c r="L11" i="9"/>
  <c r="Q11" i="9"/>
  <c r="K11" i="9"/>
  <c r="J11" i="9"/>
  <c r="AG10" i="9"/>
  <c r="AH10" i="9"/>
  <c r="AI10" i="9"/>
  <c r="AJ10" i="9"/>
  <c r="AK10" i="9"/>
  <c r="AI16" i="9"/>
  <c r="AI12" i="10"/>
  <c r="AH13" i="10"/>
  <c r="AI13" i="10"/>
  <c r="AH12" i="10"/>
  <c r="AM11" i="10"/>
  <c r="AJ12" i="10"/>
  <c r="AK13" i="10"/>
  <c r="AM13" i="10" s="1"/>
  <c r="AH11" i="10"/>
  <c r="AI11" i="10"/>
  <c r="AJ11" i="10"/>
  <c r="AS133" i="8"/>
  <c r="AL133" i="8"/>
  <c r="AM133" i="8"/>
  <c r="AN133" i="8"/>
  <c r="AK133" i="8"/>
  <c r="AH133" i="8"/>
  <c r="N133" i="8"/>
  <c r="AE133" i="8" s="1"/>
  <c r="AJ14" i="8"/>
  <c r="AL14" i="8"/>
  <c r="AM14" i="8"/>
  <c r="AP14" i="8"/>
  <c r="AS93" i="8"/>
  <c r="AU93" i="8" s="1"/>
  <c r="AJ114" i="8"/>
  <c r="AI90" i="8"/>
  <c r="AG92" i="8"/>
  <c r="AE103" i="8"/>
  <c r="AR104" i="8"/>
  <c r="AP106" i="8"/>
  <c r="AL113" i="8"/>
  <c r="AG122" i="8"/>
  <c r="AU90" i="8"/>
  <c r="AR15" i="8"/>
  <c r="AL88" i="8"/>
  <c r="AJ90" i="8"/>
  <c r="AH92" i="8"/>
  <c r="AF103" i="8"/>
  <c r="AS104" i="8"/>
  <c r="AQ106" i="8"/>
  <c r="AO111" i="8"/>
  <c r="AM113" i="8"/>
  <c r="AE15" i="8"/>
  <c r="AS15" i="8"/>
  <c r="AN87" i="8"/>
  <c r="AM88" i="8"/>
  <c r="AL89" i="8"/>
  <c r="AK90" i="8"/>
  <c r="AJ91" i="8"/>
  <c r="AI92" i="8"/>
  <c r="AH93" i="8"/>
  <c r="AF104" i="8"/>
  <c r="AE105" i="8"/>
  <c r="AR106" i="8"/>
  <c r="AQ107" i="8"/>
  <c r="AP111" i="8"/>
  <c r="AO112" i="8"/>
  <c r="AN113" i="8"/>
  <c r="AM114" i="8"/>
  <c r="AL115" i="8"/>
  <c r="AJ117" i="8"/>
  <c r="AI122" i="8"/>
  <c r="AI133" i="8"/>
  <c r="AF92" i="8"/>
  <c r="AF122" i="8"/>
  <c r="AJ89" i="8"/>
  <c r="AM112" i="8"/>
  <c r="AK114" i="8"/>
  <c r="AK89" i="8"/>
  <c r="AP107" i="8"/>
  <c r="AH122" i="8"/>
  <c r="AH13" i="8"/>
  <c r="AN88" i="8"/>
  <c r="AM89" i="8"/>
  <c r="AL90" i="8"/>
  <c r="AJ92" i="8"/>
  <c r="AI93" i="8"/>
  <c r="AH103" i="8"/>
  <c r="AF105" i="8"/>
  <c r="AE106" i="8"/>
  <c r="AR107" i="8"/>
  <c r="AQ111" i="8"/>
  <c r="AP112" i="8"/>
  <c r="AM115" i="8"/>
  <c r="AL116" i="8"/>
  <c r="AJ126" i="8"/>
  <c r="AG117" i="8"/>
  <c r="AM90" i="8"/>
  <c r="AL91" i="8"/>
  <c r="AH104" i="8"/>
  <c r="AF106" i="8"/>
  <c r="AE107" i="8"/>
  <c r="AN115" i="8"/>
  <c r="AM116" i="8"/>
  <c r="AL117" i="8"/>
  <c r="AK126" i="8"/>
  <c r="AP88" i="8"/>
  <c r="AL92" i="8"/>
  <c r="AH105" i="8"/>
  <c r="AP114" i="8"/>
  <c r="AM117" i="8"/>
  <c r="AL126" i="8"/>
  <c r="AL122" i="8"/>
  <c r="AE113" i="8"/>
  <c r="AM13" i="8"/>
  <c r="AF87" i="8"/>
  <c r="AE88" i="8"/>
  <c r="AS88" i="8"/>
  <c r="AU88" i="8" s="1"/>
  <c r="AQ90" i="8"/>
  <c r="AP91" i="8"/>
  <c r="AM103" i="8"/>
  <c r="AL104" i="8"/>
  <c r="AI107" i="8"/>
  <c r="AH111" i="8"/>
  <c r="AF113" i="8"/>
  <c r="AE114" i="8"/>
  <c r="AR115" i="8"/>
  <c r="AQ116" i="8"/>
  <c r="AP117" i="8"/>
  <c r="AO126" i="8"/>
  <c r="AO122" i="8"/>
  <c r="AO13" i="8"/>
  <c r="AN14" i="8"/>
  <c r="AM15" i="8"/>
  <c r="AH87" i="8"/>
  <c r="AG88" i="8"/>
  <c r="AF89" i="8"/>
  <c r="AE90" i="8"/>
  <c r="AS90" i="8"/>
  <c r="AR91" i="8"/>
  <c r="AQ92" i="8"/>
  <c r="AP93" i="8"/>
  <c r="AN104" i="8"/>
  <c r="AM105" i="8"/>
  <c r="AL106" i="8"/>
  <c r="AJ111" i="8"/>
  <c r="AI112" i="8"/>
  <c r="AH113" i="8"/>
  <c r="AG114" i="8"/>
  <c r="AF115" i="8"/>
  <c r="AE116" i="8"/>
  <c r="AR117" i="8"/>
  <c r="AQ122" i="8"/>
  <c r="AQ133" i="8"/>
  <c r="AP13" i="8"/>
  <c r="AN15" i="8"/>
  <c r="AI87" i="8"/>
  <c r="AH88" i="8"/>
  <c r="AF90" i="8"/>
  <c r="AE91" i="8"/>
  <c r="AR92" i="8"/>
  <c r="AQ93" i="8"/>
  <c r="AP103" i="8"/>
  <c r="AO104" i="8"/>
  <c r="AN105" i="8"/>
  <c r="AM106" i="8"/>
  <c r="AL107" i="8"/>
  <c r="AJ112" i="8"/>
  <c r="AI113" i="8"/>
  <c r="AH114" i="8"/>
  <c r="AF116" i="8"/>
  <c r="AE117" i="8"/>
  <c r="AS117" i="8"/>
  <c r="AR126" i="8"/>
  <c r="AR122" i="8"/>
  <c r="AR133" i="8"/>
  <c r="AL15" i="8"/>
  <c r="AP92" i="8"/>
  <c r="AP133" i="8"/>
  <c r="AE126" i="8"/>
  <c r="AE122" i="8"/>
  <c r="AU89" i="8"/>
  <c r="G122" i="8"/>
  <c r="K122" i="8"/>
  <c r="H122" i="8"/>
  <c r="I122" i="8"/>
  <c r="Z122" i="8"/>
  <c r="Z14" i="8"/>
  <c r="N14" i="8"/>
  <c r="V14" i="8"/>
  <c r="AO14" i="8" s="1"/>
  <c r="R14" i="8"/>
  <c r="AK14" i="8" s="1"/>
  <c r="AU91" i="8"/>
  <c r="AU87" i="8"/>
  <c r="AM10" i="9" l="1"/>
  <c r="AF133" i="8"/>
  <c r="AG133" i="8"/>
  <c r="AI14" i="8"/>
  <c r="AG14" i="8"/>
  <c r="AE14" i="8"/>
  <c r="AH14" i="8"/>
  <c r="AQ14" i="8"/>
  <c r="AS14" i="8"/>
  <c r="AR14" i="8"/>
  <c r="AF14" i="8"/>
  <c r="N10" i="8" l="1"/>
  <c r="Z31" i="8"/>
  <c r="V31" i="8"/>
  <c r="R31" i="8"/>
  <c r="N31" i="8"/>
  <c r="Z27" i="8"/>
  <c r="V27" i="8"/>
  <c r="R27" i="8"/>
  <c r="N27" i="8"/>
  <c r="Z26" i="8"/>
  <c r="V26" i="8"/>
  <c r="R26" i="8"/>
  <c r="N26" i="8"/>
  <c r="Z25" i="8"/>
  <c r="V25" i="8"/>
  <c r="R25" i="8"/>
  <c r="N25" i="8"/>
  <c r="Z21" i="8"/>
  <c r="V21" i="8"/>
  <c r="R21" i="8"/>
  <c r="N21" i="8"/>
  <c r="Z20" i="8"/>
  <c r="V20" i="8"/>
  <c r="R20" i="8"/>
  <c r="N20" i="8"/>
  <c r="Z19" i="8"/>
  <c r="V19" i="8"/>
  <c r="R19" i="8"/>
  <c r="N19" i="8"/>
  <c r="B2" i="20"/>
  <c r="B2" i="17"/>
  <c r="B2" i="16"/>
  <c r="B2" i="12"/>
  <c r="B2" i="19"/>
  <c r="B2" i="14"/>
  <c r="B2" i="18"/>
  <c r="AF31" i="8" l="1"/>
  <c r="AG31" i="8"/>
  <c r="AE31" i="8"/>
  <c r="AG26" i="8"/>
  <c r="AF26" i="8"/>
  <c r="AE26" i="8"/>
  <c r="AJ26" i="8"/>
  <c r="AH26" i="8"/>
  <c r="AK26" i="8"/>
  <c r="AI26" i="8"/>
  <c r="AM26" i="8"/>
  <c r="AL26" i="8"/>
  <c r="AN26" i="8"/>
  <c r="AO26" i="8"/>
  <c r="AS26" i="8"/>
  <c r="AR26" i="8"/>
  <c r="AQ26" i="8"/>
  <c r="AP26" i="8"/>
  <c r="AI27" i="8"/>
  <c r="AK27" i="8"/>
  <c r="AJ27" i="8"/>
  <c r="AH27" i="8"/>
  <c r="AL27" i="8"/>
  <c r="AO27" i="8"/>
  <c r="AN27" i="8"/>
  <c r="AM27" i="8"/>
  <c r="AK31" i="8"/>
  <c r="AH31" i="8"/>
  <c r="AJ31" i="8"/>
  <c r="AI31" i="8"/>
  <c r="AG27" i="8"/>
  <c r="AE27" i="8"/>
  <c r="AF27" i="8"/>
  <c r="AG25" i="8"/>
  <c r="AF25" i="8"/>
  <c r="AE25" i="8"/>
  <c r="AL31" i="8"/>
  <c r="AO31" i="8"/>
  <c r="AN31" i="8"/>
  <c r="AM31" i="8"/>
  <c r="AS27" i="8"/>
  <c r="AQ27" i="8"/>
  <c r="AP27" i="8"/>
  <c r="AR27" i="8"/>
  <c r="AK25" i="8"/>
  <c r="AI25" i="8"/>
  <c r="AJ25" i="8"/>
  <c r="AH25" i="8"/>
  <c r="AS31" i="8"/>
  <c r="AR31" i="8"/>
  <c r="AQ31" i="8"/>
  <c r="AP31" i="8"/>
  <c r="AN25" i="8"/>
  <c r="AM25" i="8"/>
  <c r="AL25" i="8"/>
  <c r="AO25" i="8"/>
  <c r="AG10" i="8"/>
  <c r="AE10" i="8"/>
  <c r="AF10" i="8"/>
  <c r="AS25" i="8"/>
  <c r="AQ25" i="8"/>
  <c r="AR25" i="8"/>
  <c r="AP25" i="8"/>
  <c r="L166" i="19" l="1"/>
  <c r="H167" i="19"/>
  <c r="G167" i="19"/>
  <c r="F167" i="19"/>
  <c r="E167" i="19"/>
  <c r="D167" i="19"/>
  <c r="M192" i="19"/>
  <c r="H196" i="19"/>
  <c r="G196" i="19"/>
  <c r="F196" i="19"/>
  <c r="E196" i="19"/>
  <c r="D196" i="19"/>
  <c r="C196" i="19"/>
  <c r="L192" i="19"/>
  <c r="L196" i="19" s="1"/>
  <c r="N192" i="19" s="1"/>
  <c r="N196" i="19" s="1"/>
  <c r="P192" i="19" s="1"/>
  <c r="P196" i="19" s="1"/>
  <c r="Q189" i="19"/>
  <c r="P189" i="19"/>
  <c r="O189" i="19"/>
  <c r="N189" i="19"/>
  <c r="M189" i="19"/>
  <c r="L189" i="19"/>
  <c r="M196" i="19"/>
  <c r="O192" i="19" s="1"/>
  <c r="O196" i="19" s="1"/>
  <c r="Q192" i="19" s="1"/>
  <c r="Q196" i="19" s="1"/>
  <c r="Q209" i="19"/>
  <c r="P209" i="19"/>
  <c r="O209" i="19"/>
  <c r="N209" i="19"/>
  <c r="M209" i="19"/>
  <c r="L209" i="19"/>
  <c r="Q203" i="19"/>
  <c r="P203" i="19"/>
  <c r="O203" i="19"/>
  <c r="N203" i="19"/>
  <c r="M203" i="19"/>
  <c r="L203" i="19"/>
  <c r="L153" i="19"/>
  <c r="M154" i="19"/>
  <c r="N154" i="19" s="1"/>
  <c r="O154" i="19" l="1"/>
  <c r="P154" i="19" s="1"/>
  <c r="Q154" i="19" s="1"/>
  <c r="H154" i="19"/>
  <c r="H158" i="19" s="1"/>
  <c r="L158" i="19" s="1"/>
  <c r="G154" i="19"/>
  <c r="G158" i="19" s="1"/>
  <c r="F154" i="19"/>
  <c r="F158" i="19" s="1"/>
  <c r="E154" i="19"/>
  <c r="E158" i="19" s="1"/>
  <c r="D154" i="19"/>
  <c r="D158" i="19" s="1"/>
  <c r="C154" i="19"/>
  <c r="C158" i="19" s="1"/>
  <c r="C153" i="19"/>
  <c r="Q138" i="19"/>
  <c r="P138" i="19"/>
  <c r="O138" i="19"/>
  <c r="N138" i="19"/>
  <c r="M138" i="19"/>
  <c r="L138" i="19"/>
  <c r="B126" i="19"/>
  <c r="B125" i="19"/>
  <c r="L116" i="19"/>
  <c r="L118" i="19"/>
  <c r="M118" i="19" s="1"/>
  <c r="N118" i="19" s="1"/>
  <c r="O118" i="19" s="1"/>
  <c r="P118" i="19" s="1"/>
  <c r="Q118" i="19" s="1"/>
  <c r="L111" i="19"/>
  <c r="M111" i="19" s="1"/>
  <c r="N111" i="19" s="1"/>
  <c r="O111" i="19" s="1"/>
  <c r="P111" i="19" s="1"/>
  <c r="Q111" i="19" s="1"/>
  <c r="L110" i="19"/>
  <c r="L108" i="19"/>
  <c r="M108" i="19" s="1"/>
  <c r="N108" i="19" s="1"/>
  <c r="O108" i="19" s="1"/>
  <c r="P108" i="19" s="1"/>
  <c r="Q108" i="19" s="1"/>
  <c r="Q140" i="19" s="1"/>
  <c r="Q144" i="19" s="1"/>
  <c r="L102" i="19"/>
  <c r="M102" i="19" s="1"/>
  <c r="N102" i="19" s="1"/>
  <c r="O102" i="19" s="1"/>
  <c r="P102" i="19" s="1"/>
  <c r="Q102" i="19" s="1"/>
  <c r="L101" i="19"/>
  <c r="M101" i="19" s="1"/>
  <c r="N101" i="19" s="1"/>
  <c r="O101" i="19" s="1"/>
  <c r="P101" i="19" s="1"/>
  <c r="Q101" i="19" s="1"/>
  <c r="L95" i="19"/>
  <c r="M95" i="19" s="1"/>
  <c r="N95" i="19" s="1"/>
  <c r="O95" i="19" s="1"/>
  <c r="P95" i="19" s="1"/>
  <c r="Q95" i="19" s="1"/>
  <c r="L94" i="19"/>
  <c r="M94" i="19" s="1"/>
  <c r="N94" i="19" s="1"/>
  <c r="O94" i="19" s="1"/>
  <c r="P94" i="19" s="1"/>
  <c r="Q94" i="19" s="1"/>
  <c r="H156" i="19"/>
  <c r="G156" i="19"/>
  <c r="F156" i="19"/>
  <c r="E156" i="19"/>
  <c r="D156" i="19"/>
  <c r="C156" i="19"/>
  <c r="D153" i="19" s="1"/>
  <c r="L92" i="19"/>
  <c r="M92" i="19" s="1"/>
  <c r="N92" i="19" s="1"/>
  <c r="O92" i="19" s="1"/>
  <c r="P92" i="19" s="1"/>
  <c r="Q92" i="19" s="1"/>
  <c r="L91" i="19"/>
  <c r="M91" i="19" s="1"/>
  <c r="N91" i="19" s="1"/>
  <c r="O91" i="19" s="1"/>
  <c r="P91" i="19" s="1"/>
  <c r="Q91" i="19" s="1"/>
  <c r="L85" i="19"/>
  <c r="M85" i="19" s="1"/>
  <c r="N85" i="19" s="1"/>
  <c r="O85" i="19" s="1"/>
  <c r="P85" i="19" s="1"/>
  <c r="Q85" i="19" s="1"/>
  <c r="B81" i="19"/>
  <c r="L16" i="19"/>
  <c r="M16" i="19" s="1"/>
  <c r="N16" i="19" s="1"/>
  <c r="O16" i="19" s="1"/>
  <c r="P16" i="19" s="1"/>
  <c r="Q16" i="19" s="1"/>
  <c r="S16" i="19" s="1"/>
  <c r="L15" i="19"/>
  <c r="M15" i="19" s="1"/>
  <c r="N15" i="19" s="1"/>
  <c r="O15" i="19" s="1"/>
  <c r="P15" i="19" s="1"/>
  <c r="Q15" i="19" s="1"/>
  <c r="Q80" i="19" s="1"/>
  <c r="Q125" i="19" s="1"/>
  <c r="C81" i="19"/>
  <c r="C150" i="19" s="1"/>
  <c r="H81" i="19"/>
  <c r="H150" i="19" s="1"/>
  <c r="G81" i="19"/>
  <c r="G150" i="19" s="1"/>
  <c r="F81" i="19"/>
  <c r="F150" i="19" s="1"/>
  <c r="E81" i="19"/>
  <c r="E150" i="19" s="1"/>
  <c r="D81" i="19"/>
  <c r="D150" i="19" s="1"/>
  <c r="H80" i="19"/>
  <c r="H149" i="19" s="1"/>
  <c r="G80" i="19"/>
  <c r="G149" i="19" s="1"/>
  <c r="F80" i="19"/>
  <c r="F149" i="19" s="1"/>
  <c r="E80" i="19"/>
  <c r="E149" i="19" s="1"/>
  <c r="D80" i="19"/>
  <c r="D149" i="19" s="1"/>
  <c r="C80" i="19"/>
  <c r="C149" i="19" s="1"/>
  <c r="K81" i="19"/>
  <c r="K80" i="19"/>
  <c r="B80" i="19"/>
  <c r="M75" i="19"/>
  <c r="N75" i="19" s="1"/>
  <c r="O75" i="19" s="1"/>
  <c r="L75" i="19"/>
  <c r="Q74" i="19"/>
  <c r="P74" i="19"/>
  <c r="O74" i="19"/>
  <c r="N74" i="19"/>
  <c r="M74" i="19"/>
  <c r="L74" i="19"/>
  <c r="H118" i="20"/>
  <c r="G118" i="20"/>
  <c r="F118" i="20"/>
  <c r="E118" i="20"/>
  <c r="D118" i="20"/>
  <c r="C118" i="20"/>
  <c r="H126" i="20"/>
  <c r="G126" i="20"/>
  <c r="F126" i="20"/>
  <c r="E126" i="20"/>
  <c r="D126" i="20"/>
  <c r="C126" i="20"/>
  <c r="E156" i="20"/>
  <c r="D156" i="20"/>
  <c r="C156" i="20"/>
  <c r="E155" i="20"/>
  <c r="D155" i="20"/>
  <c r="C155" i="20"/>
  <c r="E136" i="20"/>
  <c r="N68" i="19" s="1"/>
  <c r="D136" i="20"/>
  <c r="M68" i="19" s="1"/>
  <c r="E135" i="20"/>
  <c r="D135" i="20"/>
  <c r="C136" i="20"/>
  <c r="C135" i="20"/>
  <c r="E100" i="20"/>
  <c r="D100" i="20"/>
  <c r="C100" i="20"/>
  <c r="E99" i="20"/>
  <c r="D99" i="20"/>
  <c r="C99" i="20"/>
  <c r="E87" i="20"/>
  <c r="D87" i="20"/>
  <c r="C87" i="20"/>
  <c r="E86" i="20"/>
  <c r="D86" i="20"/>
  <c r="C86" i="20"/>
  <c r="E74" i="20"/>
  <c r="D74" i="20"/>
  <c r="C74" i="20"/>
  <c r="E73" i="20"/>
  <c r="D73" i="20"/>
  <c r="C73" i="20"/>
  <c r="E61" i="20"/>
  <c r="D61" i="20"/>
  <c r="C61" i="20"/>
  <c r="E60" i="20"/>
  <c r="D60" i="20"/>
  <c r="C60" i="20"/>
  <c r="E48" i="20"/>
  <c r="D48" i="20"/>
  <c r="C48" i="20"/>
  <c r="E47" i="20"/>
  <c r="D47" i="20"/>
  <c r="C47" i="20"/>
  <c r="E35" i="20"/>
  <c r="D35" i="20"/>
  <c r="C35" i="20"/>
  <c r="E34" i="20"/>
  <c r="D34" i="20"/>
  <c r="C34" i="20"/>
  <c r="F20" i="14"/>
  <c r="E20" i="14"/>
  <c r="D20" i="14"/>
  <c r="F19" i="14"/>
  <c r="E19" i="14"/>
  <c r="D19" i="14"/>
  <c r="F18" i="14"/>
  <c r="E18" i="14"/>
  <c r="D18" i="14"/>
  <c r="C20" i="14"/>
  <c r="C19" i="14"/>
  <c r="C18" i="14"/>
  <c r="E18" i="20"/>
  <c r="F18" i="20" s="1"/>
  <c r="D19" i="20"/>
  <c r="C107" i="20"/>
  <c r="E110" i="20"/>
  <c r="D110" i="20"/>
  <c r="C110" i="20"/>
  <c r="E185" i="20"/>
  <c r="N66" i="19" s="1"/>
  <c r="D185" i="20"/>
  <c r="C185" i="20"/>
  <c r="E184" i="20"/>
  <c r="D184" i="20"/>
  <c r="F183" i="20"/>
  <c r="F184" i="20" s="1"/>
  <c r="E181" i="20"/>
  <c r="D181" i="20"/>
  <c r="F180" i="20"/>
  <c r="G180" i="20" s="1"/>
  <c r="E145" i="20"/>
  <c r="D145" i="20"/>
  <c r="C145" i="20"/>
  <c r="H141" i="20"/>
  <c r="G141" i="20"/>
  <c r="F141" i="20"/>
  <c r="E141" i="20"/>
  <c r="D141" i="20"/>
  <c r="C141" i="20"/>
  <c r="F12" i="20"/>
  <c r="F13" i="20" s="1"/>
  <c r="F15" i="20"/>
  <c r="G15" i="20" s="1"/>
  <c r="H15" i="20" s="1"/>
  <c r="E16" i="20"/>
  <c r="D16" i="20"/>
  <c r="E13" i="20"/>
  <c r="D13" i="20"/>
  <c r="H10" i="20"/>
  <c r="G10" i="20"/>
  <c r="F10" i="20"/>
  <c r="E10" i="20"/>
  <c r="D10" i="20"/>
  <c r="J9" i="20"/>
  <c r="J169" i="20"/>
  <c r="J139" i="20"/>
  <c r="F133" i="20"/>
  <c r="G133" i="20" s="1"/>
  <c r="H133" i="20" s="1"/>
  <c r="F153" i="20"/>
  <c r="G153" i="20" s="1"/>
  <c r="H153" i="20" s="1"/>
  <c r="E176" i="20"/>
  <c r="D176" i="20"/>
  <c r="F175" i="20"/>
  <c r="F176" i="20" s="1"/>
  <c r="E173" i="20"/>
  <c r="D173" i="20"/>
  <c r="F172" i="20"/>
  <c r="F173" i="20" s="1"/>
  <c r="H170" i="20"/>
  <c r="G170" i="20"/>
  <c r="F170" i="20"/>
  <c r="E170" i="20"/>
  <c r="D170" i="20"/>
  <c r="F131" i="20"/>
  <c r="F132" i="20"/>
  <c r="E166" i="20"/>
  <c r="D166" i="20"/>
  <c r="F165" i="20"/>
  <c r="F166" i="20" s="1"/>
  <c r="E163" i="20"/>
  <c r="D163" i="20"/>
  <c r="F162" i="20"/>
  <c r="F163" i="20" s="1"/>
  <c r="H160" i="20"/>
  <c r="G160" i="20"/>
  <c r="F160" i="20"/>
  <c r="E160" i="20"/>
  <c r="D160" i="20"/>
  <c r="F152" i="20"/>
  <c r="E148" i="20"/>
  <c r="D148" i="20"/>
  <c r="F147" i="20"/>
  <c r="F148" i="20" s="1"/>
  <c r="E144" i="20"/>
  <c r="D144" i="20"/>
  <c r="F143" i="20"/>
  <c r="F144" i="20" s="1"/>
  <c r="E81" i="20"/>
  <c r="D81" i="20"/>
  <c r="F80" i="20"/>
  <c r="F81" i="20" s="1"/>
  <c r="E68" i="20"/>
  <c r="D68" i="20"/>
  <c r="F67" i="20"/>
  <c r="F68" i="20" s="1"/>
  <c r="F54" i="20"/>
  <c r="G54" i="20" s="1"/>
  <c r="E55" i="20"/>
  <c r="D55" i="20"/>
  <c r="F41" i="20"/>
  <c r="G41" i="20" s="1"/>
  <c r="H41" i="20" s="1"/>
  <c r="E42" i="20"/>
  <c r="D42" i="20"/>
  <c r="E29" i="20"/>
  <c r="D29" i="20"/>
  <c r="F28" i="20"/>
  <c r="G28" i="20" s="1"/>
  <c r="H28" i="20" s="1"/>
  <c r="J28" i="20" s="1"/>
  <c r="H107" i="20"/>
  <c r="G107" i="20"/>
  <c r="P73" i="19" s="1"/>
  <c r="Q73" i="19" s="1"/>
  <c r="F107" i="20"/>
  <c r="O73" i="19" s="1"/>
  <c r="E107" i="20"/>
  <c r="N73" i="19" s="1"/>
  <c r="D107" i="20"/>
  <c r="M73" i="19" s="1"/>
  <c r="H115" i="20"/>
  <c r="G115" i="20"/>
  <c r="F115" i="20"/>
  <c r="E115" i="20"/>
  <c r="D115" i="20"/>
  <c r="F125" i="20"/>
  <c r="F117" i="20"/>
  <c r="F109" i="20"/>
  <c r="G109" i="20" s="1"/>
  <c r="E97" i="20"/>
  <c r="D97" i="20"/>
  <c r="F96" i="20"/>
  <c r="F97" i="20" s="1"/>
  <c r="E58" i="20"/>
  <c r="D58" i="20"/>
  <c r="F57" i="20"/>
  <c r="F58" i="20" s="1"/>
  <c r="F31" i="20"/>
  <c r="F32" i="20" s="1"/>
  <c r="F44" i="20"/>
  <c r="G44" i="20" s="1"/>
  <c r="H44" i="20" s="1"/>
  <c r="J44" i="20" s="1"/>
  <c r="E32" i="20"/>
  <c r="D32" i="20"/>
  <c r="E45" i="20"/>
  <c r="D45" i="20"/>
  <c r="E71" i="20"/>
  <c r="D71" i="20"/>
  <c r="F70" i="20"/>
  <c r="F71" i="20" s="1"/>
  <c r="F83" i="20"/>
  <c r="F84" i="20" s="1"/>
  <c r="E84" i="20"/>
  <c r="D84" i="20"/>
  <c r="J122" i="20"/>
  <c r="J114" i="20"/>
  <c r="J106" i="20"/>
  <c r="J77" i="20"/>
  <c r="J64" i="20"/>
  <c r="J51" i="20"/>
  <c r="J38" i="20"/>
  <c r="J25" i="20"/>
  <c r="J4" i="20"/>
  <c r="S40" i="19"/>
  <c r="S39" i="19"/>
  <c r="J93" i="20"/>
  <c r="J90" i="20"/>
  <c r="H94" i="20"/>
  <c r="G94" i="20"/>
  <c r="F94" i="20"/>
  <c r="E94" i="20"/>
  <c r="D94" i="20"/>
  <c r="H140" i="20"/>
  <c r="G140" i="20"/>
  <c r="F140" i="20"/>
  <c r="E140" i="20"/>
  <c r="D140" i="20"/>
  <c r="H91" i="20"/>
  <c r="G91" i="20"/>
  <c r="F91" i="20"/>
  <c r="E91" i="20"/>
  <c r="D91" i="20"/>
  <c r="H78" i="20"/>
  <c r="G78" i="20"/>
  <c r="F78" i="20"/>
  <c r="E78" i="20"/>
  <c r="D78" i="20"/>
  <c r="H65" i="20"/>
  <c r="G65" i="20"/>
  <c r="F65" i="20"/>
  <c r="E65" i="20"/>
  <c r="D65" i="20"/>
  <c r="H52" i="20"/>
  <c r="G52" i="20"/>
  <c r="F52" i="20"/>
  <c r="E52" i="20"/>
  <c r="D52" i="20"/>
  <c r="H39" i="20"/>
  <c r="G39" i="20"/>
  <c r="F39" i="20"/>
  <c r="E39" i="20"/>
  <c r="D39" i="20"/>
  <c r="H26" i="20"/>
  <c r="G26" i="20"/>
  <c r="F26" i="20"/>
  <c r="E26" i="20"/>
  <c r="D26" i="20"/>
  <c r="C30" i="18"/>
  <c r="H173" i="19"/>
  <c r="H171" i="19" s="1"/>
  <c r="G173" i="19"/>
  <c r="G171" i="19" s="1"/>
  <c r="F173" i="19"/>
  <c r="F171" i="19" s="1"/>
  <c r="D173" i="19"/>
  <c r="D171" i="19" s="1"/>
  <c r="S41" i="19"/>
  <c r="J16" i="19"/>
  <c r="F31" i="14"/>
  <c r="E31" i="14"/>
  <c r="D31" i="14"/>
  <c r="C31" i="14"/>
  <c r="C10" i="14"/>
  <c r="C11" i="14"/>
  <c r="AK84" i="9"/>
  <c r="AJ84" i="9"/>
  <c r="AH54" i="9"/>
  <c r="AI84" i="9"/>
  <c r="AG84" i="9"/>
  <c r="AH84" i="9"/>
  <c r="AK54" i="9"/>
  <c r="AJ54" i="9"/>
  <c r="AI54" i="9"/>
  <c r="AG54" i="9"/>
  <c r="AK53" i="9"/>
  <c r="AJ53" i="9"/>
  <c r="AI53" i="9"/>
  <c r="AG53" i="9"/>
  <c r="Z8" i="8"/>
  <c r="V8" i="8"/>
  <c r="R8" i="8"/>
  <c r="N8" i="8"/>
  <c r="O108" i="8"/>
  <c r="C173" i="19"/>
  <c r="C171" i="19" s="1"/>
  <c r="AT31" i="18"/>
  <c r="AS31" i="18"/>
  <c r="AR31" i="18"/>
  <c r="AP31" i="18"/>
  <c r="AO31" i="18"/>
  <c r="AN31" i="18"/>
  <c r="AL31" i="18"/>
  <c r="AK31" i="18"/>
  <c r="AJ31" i="18"/>
  <c r="AH31" i="18"/>
  <c r="AG31" i="18"/>
  <c r="AF31" i="18"/>
  <c r="AT37" i="18"/>
  <c r="AS37" i="18"/>
  <c r="AR37" i="18"/>
  <c r="AP37" i="18"/>
  <c r="AO37" i="18"/>
  <c r="AN37" i="18"/>
  <c r="AL37" i="18"/>
  <c r="AK37" i="18"/>
  <c r="AJ37" i="18"/>
  <c r="AH37" i="18"/>
  <c r="AG37" i="18"/>
  <c r="AF37" i="18"/>
  <c r="AT43" i="18"/>
  <c r="AS43" i="18"/>
  <c r="AR43" i="18"/>
  <c r="AP43" i="18"/>
  <c r="AO43" i="18"/>
  <c r="AN43" i="18"/>
  <c r="AL43" i="18"/>
  <c r="AK43" i="18"/>
  <c r="AJ43" i="18"/>
  <c r="AH43" i="18"/>
  <c r="AG43" i="18"/>
  <c r="AF43" i="18"/>
  <c r="AT54" i="18"/>
  <c r="AT53" i="18" s="1"/>
  <c r="AS54" i="18"/>
  <c r="AS53" i="18" s="1"/>
  <c r="AR54" i="18"/>
  <c r="AR53" i="18" s="1"/>
  <c r="AP54" i="18"/>
  <c r="AP53" i="18" s="1"/>
  <c r="AO54" i="18"/>
  <c r="AO53" i="18" s="1"/>
  <c r="AN54" i="18"/>
  <c r="AL54" i="18"/>
  <c r="AK54" i="18"/>
  <c r="AK53" i="18" s="1"/>
  <c r="AJ54" i="18"/>
  <c r="AJ53" i="18" s="1"/>
  <c r="AH54" i="18"/>
  <c r="AH53" i="18" s="1"/>
  <c r="AG54" i="18"/>
  <c r="AG53" i="18" s="1"/>
  <c r="AF54" i="18"/>
  <c r="AF53" i="18" s="1"/>
  <c r="AN53" i="18"/>
  <c r="AL53" i="18"/>
  <c r="AT68" i="18"/>
  <c r="AS68" i="18"/>
  <c r="AR68" i="18"/>
  <c r="AP68" i="18"/>
  <c r="AO68" i="18"/>
  <c r="AN68" i="18"/>
  <c r="AL68" i="18"/>
  <c r="AK68" i="18"/>
  <c r="AJ68" i="18"/>
  <c r="AH68" i="18"/>
  <c r="AG68" i="18"/>
  <c r="AF68" i="18"/>
  <c r="J55" i="9" l="1"/>
  <c r="E173" i="19"/>
  <c r="E171" i="19" s="1"/>
  <c r="S108" i="8"/>
  <c r="E153" i="19"/>
  <c r="F153" i="19" s="1"/>
  <c r="M158" i="19"/>
  <c r="N158" i="19" s="1"/>
  <c r="O158" i="19" s="1"/>
  <c r="P158" i="19" s="1"/>
  <c r="Q158" i="19" s="1"/>
  <c r="L155" i="19"/>
  <c r="L156" i="19" s="1"/>
  <c r="M153" i="19" s="1"/>
  <c r="G153" i="19"/>
  <c r="H153" i="19" s="1"/>
  <c r="Q149" i="19"/>
  <c r="N140" i="19"/>
  <c r="N144" i="19" s="1"/>
  <c r="O140" i="19"/>
  <c r="O144" i="19" s="1"/>
  <c r="P140" i="19"/>
  <c r="P144" i="19" s="1"/>
  <c r="L140" i="19"/>
  <c r="L144" i="19" s="1"/>
  <c r="M140" i="19"/>
  <c r="M144" i="19" s="1"/>
  <c r="M110" i="19"/>
  <c r="M116" i="19"/>
  <c r="F120" i="19"/>
  <c r="D120" i="19"/>
  <c r="G120" i="19"/>
  <c r="H120" i="19"/>
  <c r="C120" i="19"/>
  <c r="E120" i="19"/>
  <c r="E105" i="19"/>
  <c r="H105" i="19"/>
  <c r="H113" i="19" s="1"/>
  <c r="F105" i="19"/>
  <c r="G105" i="19"/>
  <c r="G113" i="19" s="1"/>
  <c r="G88" i="19"/>
  <c r="G97" i="19" s="1"/>
  <c r="H88" i="19"/>
  <c r="H97" i="19" s="1"/>
  <c r="L81" i="19"/>
  <c r="P80" i="19"/>
  <c r="M81" i="19"/>
  <c r="L80" i="19"/>
  <c r="N81" i="19"/>
  <c r="M80" i="19"/>
  <c r="O81" i="19"/>
  <c r="N80" i="19"/>
  <c r="P81" i="19"/>
  <c r="O80" i="19"/>
  <c r="Q81" i="19"/>
  <c r="D57" i="19"/>
  <c r="F58" i="19"/>
  <c r="H59" i="19"/>
  <c r="D61" i="19"/>
  <c r="F62" i="19"/>
  <c r="H63" i="19"/>
  <c r="D62" i="19"/>
  <c r="F60" i="19"/>
  <c r="N61" i="19"/>
  <c r="O61" i="19" s="1"/>
  <c r="P61" i="19" s="1"/>
  <c r="Q61" i="19" s="1"/>
  <c r="E59" i="19"/>
  <c r="G60" i="19"/>
  <c r="E63" i="19"/>
  <c r="P75" i="19"/>
  <c r="Q75" i="19" s="1"/>
  <c r="L58" i="19"/>
  <c r="S28" i="19"/>
  <c r="L57" i="19"/>
  <c r="M57" i="19"/>
  <c r="L62" i="19"/>
  <c r="L59" i="19"/>
  <c r="M59" i="19"/>
  <c r="N59" i="19"/>
  <c r="M58" i="19"/>
  <c r="F155" i="20"/>
  <c r="M62" i="19"/>
  <c r="N62" i="19"/>
  <c r="N58" i="19"/>
  <c r="L61" i="19"/>
  <c r="L117" i="19" s="1"/>
  <c r="M61" i="19"/>
  <c r="N57" i="19"/>
  <c r="F135" i="20"/>
  <c r="F156" i="20"/>
  <c r="F136" i="20"/>
  <c r="O68" i="19" s="1"/>
  <c r="E57" i="19"/>
  <c r="G63" i="19"/>
  <c r="F57" i="19"/>
  <c r="H58" i="19"/>
  <c r="D60" i="19"/>
  <c r="F61" i="19"/>
  <c r="H62" i="19"/>
  <c r="D58" i="19"/>
  <c r="F59" i="19"/>
  <c r="H60" i="19"/>
  <c r="F63" i="19"/>
  <c r="E58" i="19"/>
  <c r="G59" i="19"/>
  <c r="E62" i="19"/>
  <c r="L21" i="19"/>
  <c r="G58" i="19"/>
  <c r="E61" i="19"/>
  <c r="G62" i="19"/>
  <c r="G57" i="19"/>
  <c r="E60" i="19"/>
  <c r="G61" i="19"/>
  <c r="H57" i="19"/>
  <c r="D59" i="19"/>
  <c r="H61" i="19"/>
  <c r="D63" i="19"/>
  <c r="M21" i="19"/>
  <c r="N21" i="19"/>
  <c r="J31" i="19"/>
  <c r="J39" i="19"/>
  <c r="J35" i="19"/>
  <c r="J44" i="19"/>
  <c r="J36" i="19"/>
  <c r="J50" i="19"/>
  <c r="F100" i="20"/>
  <c r="F99" i="20"/>
  <c r="F87" i="20"/>
  <c r="F86" i="20"/>
  <c r="F74" i="20"/>
  <c r="O62" i="19" s="1"/>
  <c r="F73" i="20"/>
  <c r="F61" i="20"/>
  <c r="F60" i="20"/>
  <c r="H47" i="20"/>
  <c r="F48" i="20"/>
  <c r="G48" i="20"/>
  <c r="F47" i="20"/>
  <c r="H48" i="20"/>
  <c r="G47" i="20"/>
  <c r="F34" i="20"/>
  <c r="F35" i="20"/>
  <c r="E21" i="14"/>
  <c r="D21" i="14"/>
  <c r="F21" i="14"/>
  <c r="C21" i="14"/>
  <c r="G18" i="14"/>
  <c r="G21" i="14" s="1"/>
  <c r="E19" i="20"/>
  <c r="F19" i="20"/>
  <c r="G18" i="20"/>
  <c r="G19" i="20" s="1"/>
  <c r="G110" i="20"/>
  <c r="F185" i="20"/>
  <c r="O66" i="19" s="1"/>
  <c r="F110" i="20"/>
  <c r="G183" i="20"/>
  <c r="G181" i="20"/>
  <c r="H180" i="20"/>
  <c r="F181" i="20"/>
  <c r="F145" i="20"/>
  <c r="G12" i="20"/>
  <c r="F16" i="20"/>
  <c r="G172" i="20"/>
  <c r="G175" i="20"/>
  <c r="G131" i="20"/>
  <c r="G162" i="20"/>
  <c r="G165" i="20"/>
  <c r="G152" i="20"/>
  <c r="G155" i="20" s="1"/>
  <c r="G147" i="20"/>
  <c r="G143" i="20"/>
  <c r="G132" i="20"/>
  <c r="G80" i="20"/>
  <c r="G67" i="20"/>
  <c r="F55" i="20"/>
  <c r="F29" i="20"/>
  <c r="G29" i="20"/>
  <c r="H29" i="20"/>
  <c r="H54" i="20"/>
  <c r="G55" i="20"/>
  <c r="G42" i="20"/>
  <c r="F42" i="20"/>
  <c r="F45" i="20"/>
  <c r="G83" i="20"/>
  <c r="G125" i="20"/>
  <c r="G117" i="20"/>
  <c r="H109" i="20"/>
  <c r="H110" i="20" s="1"/>
  <c r="G96" i="20"/>
  <c r="G57" i="20"/>
  <c r="G31" i="20"/>
  <c r="G34" i="20" s="1"/>
  <c r="G70" i="20"/>
  <c r="J20" i="19"/>
  <c r="J40" i="19"/>
  <c r="J41" i="19"/>
  <c r="J23" i="19"/>
  <c r="J27" i="19"/>
  <c r="E21" i="19"/>
  <c r="E24" i="19" s="1"/>
  <c r="E29" i="19" s="1"/>
  <c r="C21" i="19"/>
  <c r="C24" i="19" s="1"/>
  <c r="C29" i="19" s="1"/>
  <c r="C73" i="19" s="1"/>
  <c r="F21" i="19"/>
  <c r="F24" i="19" s="1"/>
  <c r="F29" i="19" s="1"/>
  <c r="F172" i="19" s="1"/>
  <c r="J19" i="19"/>
  <c r="G21" i="19"/>
  <c r="G24" i="19" s="1"/>
  <c r="G29" i="19" s="1"/>
  <c r="G172" i="19" s="1"/>
  <c r="H21" i="19"/>
  <c r="D21" i="19"/>
  <c r="J26" i="19"/>
  <c r="J18" i="19"/>
  <c r="J34" i="19"/>
  <c r="J28" i="19"/>
  <c r="C55" i="9"/>
  <c r="F55" i="9"/>
  <c r="K55" i="9"/>
  <c r="V55" i="9"/>
  <c r="E55" i="9"/>
  <c r="O55" i="9"/>
  <c r="G55" i="9"/>
  <c r="I55" i="9"/>
  <c r="S55" i="9"/>
  <c r="D55" i="9"/>
  <c r="N55" i="9"/>
  <c r="M55" i="9"/>
  <c r="Q55" i="9"/>
  <c r="R55" i="9"/>
  <c r="U55" i="9"/>
  <c r="W55" i="9"/>
  <c r="W108" i="8"/>
  <c r="AA108" i="8"/>
  <c r="K108" i="8"/>
  <c r="X108" i="8"/>
  <c r="T108" i="8"/>
  <c r="U108" i="8"/>
  <c r="P108" i="8"/>
  <c r="M108" i="8"/>
  <c r="L108" i="8"/>
  <c r="E172" i="19" l="1"/>
  <c r="J47" i="19"/>
  <c r="AK44" i="9"/>
  <c r="M155" i="19"/>
  <c r="M156" i="19" s="1"/>
  <c r="N153" i="19" s="1"/>
  <c r="C172" i="19"/>
  <c r="N155" i="19"/>
  <c r="N126" i="19"/>
  <c r="N150" i="19"/>
  <c r="L125" i="19"/>
  <c r="L149" i="19"/>
  <c r="Q126" i="19"/>
  <c r="Q150" i="19"/>
  <c r="M126" i="19"/>
  <c r="M150" i="19"/>
  <c r="M125" i="19"/>
  <c r="M149" i="19"/>
  <c r="O125" i="19"/>
  <c r="O149" i="19"/>
  <c r="P125" i="19"/>
  <c r="P149" i="19"/>
  <c r="P126" i="19"/>
  <c r="P150" i="19"/>
  <c r="L126" i="19"/>
  <c r="L150" i="19"/>
  <c r="N125" i="19"/>
  <c r="N149" i="19"/>
  <c r="O126" i="19"/>
  <c r="O150" i="19"/>
  <c r="N110" i="19"/>
  <c r="M117" i="19"/>
  <c r="N117" i="19" s="1"/>
  <c r="O117" i="19" s="1"/>
  <c r="P117" i="19" s="1"/>
  <c r="Q117" i="19" s="1"/>
  <c r="L120" i="19"/>
  <c r="F73" i="19"/>
  <c r="F56" i="19"/>
  <c r="E74" i="19"/>
  <c r="G75" i="19"/>
  <c r="G56" i="19"/>
  <c r="H122" i="19"/>
  <c r="G122" i="19"/>
  <c r="N116" i="19"/>
  <c r="G76" i="19"/>
  <c r="F77" i="19"/>
  <c r="F76" i="19"/>
  <c r="G77" i="19"/>
  <c r="C77" i="19"/>
  <c r="E76" i="19"/>
  <c r="E77" i="19"/>
  <c r="C76" i="19"/>
  <c r="O59" i="19"/>
  <c r="M24" i="19"/>
  <c r="M29" i="19" s="1"/>
  <c r="M60" i="19"/>
  <c r="L24" i="19"/>
  <c r="L29" i="19" s="1"/>
  <c r="L60" i="19"/>
  <c r="N24" i="19"/>
  <c r="N29" i="19" s="1"/>
  <c r="N60" i="19"/>
  <c r="G156" i="20"/>
  <c r="G136" i="20"/>
  <c r="P68" i="19" s="1"/>
  <c r="H131" i="20"/>
  <c r="G135" i="20"/>
  <c r="F75" i="19"/>
  <c r="G74" i="19"/>
  <c r="E73" i="19"/>
  <c r="E75" i="19"/>
  <c r="F74" i="19"/>
  <c r="G73" i="19"/>
  <c r="C75" i="19"/>
  <c r="C74" i="19"/>
  <c r="G100" i="20"/>
  <c r="G99" i="20"/>
  <c r="G86" i="20"/>
  <c r="H83" i="20"/>
  <c r="H84" i="20" s="1"/>
  <c r="G87" i="20"/>
  <c r="G73" i="20"/>
  <c r="G74" i="20"/>
  <c r="P62" i="19" s="1"/>
  <c r="G58" i="20"/>
  <c r="G61" i="20"/>
  <c r="G60" i="20"/>
  <c r="S19" i="19"/>
  <c r="H31" i="20"/>
  <c r="G35" i="20"/>
  <c r="H18" i="20"/>
  <c r="H19" i="20" s="1"/>
  <c r="G184" i="20"/>
  <c r="G185" i="20"/>
  <c r="P66" i="19" s="1"/>
  <c r="H183" i="20"/>
  <c r="H185" i="20" s="1"/>
  <c r="Q66" i="19" s="1"/>
  <c r="H181" i="20"/>
  <c r="J180" i="20"/>
  <c r="H12" i="20"/>
  <c r="G145" i="20"/>
  <c r="G13" i="20"/>
  <c r="G16" i="20"/>
  <c r="G176" i="20"/>
  <c r="H175" i="20"/>
  <c r="G173" i="20"/>
  <c r="H172" i="20"/>
  <c r="G166" i="20"/>
  <c r="H165" i="20"/>
  <c r="G163" i="20"/>
  <c r="H162" i="20"/>
  <c r="H152" i="20"/>
  <c r="G148" i="20"/>
  <c r="H147" i="20"/>
  <c r="G144" i="20"/>
  <c r="H143" i="20"/>
  <c r="H132" i="20"/>
  <c r="G81" i="20"/>
  <c r="H80" i="20"/>
  <c r="G68" i="20"/>
  <c r="H67" i="20"/>
  <c r="H55" i="20"/>
  <c r="J54" i="20"/>
  <c r="H42" i="20"/>
  <c r="J41" i="20"/>
  <c r="G84" i="20"/>
  <c r="H57" i="20"/>
  <c r="J109" i="20"/>
  <c r="H125" i="20"/>
  <c r="H117" i="20"/>
  <c r="G97" i="20"/>
  <c r="H96" i="20"/>
  <c r="G32" i="20"/>
  <c r="G45" i="20"/>
  <c r="H45" i="20"/>
  <c r="G71" i="20"/>
  <c r="H70" i="20"/>
  <c r="J21" i="19"/>
  <c r="H24" i="19"/>
  <c r="D24" i="19"/>
  <c r="D29" i="19" s="1"/>
  <c r="G32" i="19"/>
  <c r="F32" i="19"/>
  <c r="AB108" i="8"/>
  <c r="Y108" i="8"/>
  <c r="Q108" i="8"/>
  <c r="AU117" i="8" l="1"/>
  <c r="AU104" i="8"/>
  <c r="AU105" i="8"/>
  <c r="AC108" i="8"/>
  <c r="AI44" i="9"/>
  <c r="AH44" i="9"/>
  <c r="AG44" i="9"/>
  <c r="AJ44" i="9"/>
  <c r="D56" i="19"/>
  <c r="D172" i="19"/>
  <c r="N156" i="19"/>
  <c r="O153" i="19" s="1"/>
  <c r="O155" i="19"/>
  <c r="O110" i="19"/>
  <c r="M120" i="19"/>
  <c r="E56" i="19"/>
  <c r="N56" i="19"/>
  <c r="M56" i="19"/>
  <c r="N120" i="19"/>
  <c r="O116" i="19"/>
  <c r="O21" i="19"/>
  <c r="O60" i="19" s="1"/>
  <c r="D77" i="19"/>
  <c r="D76" i="19"/>
  <c r="P59" i="19"/>
  <c r="Q59" i="19" s="1"/>
  <c r="N32" i="19"/>
  <c r="H155" i="20"/>
  <c r="H156" i="20"/>
  <c r="H136" i="20"/>
  <c r="Q68" i="19" s="1"/>
  <c r="H135" i="20"/>
  <c r="J83" i="20"/>
  <c r="H86" i="20"/>
  <c r="F37" i="19"/>
  <c r="F48" i="19" s="1"/>
  <c r="F66" i="19"/>
  <c r="D73" i="19"/>
  <c r="D75" i="19"/>
  <c r="D74" i="19"/>
  <c r="G37" i="19"/>
  <c r="G67" i="19" s="1"/>
  <c r="G66" i="19"/>
  <c r="H100" i="20"/>
  <c r="S27" i="19" s="1"/>
  <c r="H99" i="20"/>
  <c r="H87" i="20"/>
  <c r="S26" i="19" s="1"/>
  <c r="H73" i="20"/>
  <c r="H74" i="20"/>
  <c r="S23" i="19" s="1"/>
  <c r="H58" i="20"/>
  <c r="H61" i="20"/>
  <c r="H60" i="20"/>
  <c r="J31" i="20"/>
  <c r="H35" i="20"/>
  <c r="H34" i="20"/>
  <c r="H32" i="20"/>
  <c r="J18" i="20"/>
  <c r="H145" i="20"/>
  <c r="J183" i="20"/>
  <c r="H184" i="20"/>
  <c r="H16" i="20"/>
  <c r="J15" i="20"/>
  <c r="H13" i="20"/>
  <c r="J12" i="20"/>
  <c r="H163" i="20"/>
  <c r="J162" i="20"/>
  <c r="H144" i="20"/>
  <c r="J143" i="20"/>
  <c r="H148" i="20"/>
  <c r="J147" i="20"/>
  <c r="H173" i="20"/>
  <c r="J172" i="20"/>
  <c r="H166" i="20"/>
  <c r="J165" i="20"/>
  <c r="H176" i="20"/>
  <c r="J175" i="20"/>
  <c r="H68" i="20"/>
  <c r="J67" i="20"/>
  <c r="H81" i="20"/>
  <c r="J80" i="20"/>
  <c r="J57" i="20"/>
  <c r="J117" i="20"/>
  <c r="H71" i="20"/>
  <c r="J70" i="20"/>
  <c r="J125" i="20"/>
  <c r="H97" i="20"/>
  <c r="J96" i="20"/>
  <c r="H29" i="19"/>
  <c r="C32" i="19"/>
  <c r="E32" i="19"/>
  <c r="D32" i="19"/>
  <c r="J24" i="19"/>
  <c r="H56" i="19" l="1"/>
  <c r="H172" i="19"/>
  <c r="O156" i="19"/>
  <c r="P153" i="19" s="1"/>
  <c r="Q155" i="19"/>
  <c r="P155" i="19"/>
  <c r="P110" i="19"/>
  <c r="L56" i="19"/>
  <c r="L103" i="19" s="1"/>
  <c r="P116" i="19"/>
  <c r="O120" i="19"/>
  <c r="O24" i="19"/>
  <c r="O29" i="19" s="1"/>
  <c r="F51" i="19"/>
  <c r="F70" i="19" s="1"/>
  <c r="F69" i="19"/>
  <c r="H32" i="19"/>
  <c r="H37" i="19" s="1"/>
  <c r="H76" i="19"/>
  <c r="H77" i="19"/>
  <c r="G48" i="19"/>
  <c r="F67" i="19"/>
  <c r="G42" i="19"/>
  <c r="D37" i="19"/>
  <c r="D66" i="19"/>
  <c r="E37" i="19"/>
  <c r="E67" i="19" s="1"/>
  <c r="E66" i="19"/>
  <c r="C37" i="19"/>
  <c r="C67" i="19" s="1"/>
  <c r="C66" i="19"/>
  <c r="F42" i="19"/>
  <c r="J29" i="19"/>
  <c r="H74" i="19"/>
  <c r="H75" i="19"/>
  <c r="H73" i="19"/>
  <c r="L73" i="19" s="1"/>
  <c r="S18" i="19"/>
  <c r="P156" i="19" l="1"/>
  <c r="Q153" i="19" s="1"/>
  <c r="Q156" i="19" s="1"/>
  <c r="M103" i="19"/>
  <c r="N103" i="19" s="1"/>
  <c r="Q110" i="19"/>
  <c r="O32" i="19"/>
  <c r="O56" i="19"/>
  <c r="L87" i="19"/>
  <c r="M87" i="19" s="1"/>
  <c r="N87" i="19" s="1"/>
  <c r="L130" i="19"/>
  <c r="L86" i="19"/>
  <c r="L104" i="19"/>
  <c r="L112" i="19"/>
  <c r="L96" i="19"/>
  <c r="M96" i="19" s="1"/>
  <c r="N96" i="19" s="1"/>
  <c r="Q116" i="19"/>
  <c r="Q120" i="19" s="1"/>
  <c r="P120" i="19"/>
  <c r="Q21" i="19"/>
  <c r="P21" i="19"/>
  <c r="H42" i="19"/>
  <c r="H68" i="19" s="1"/>
  <c r="L68" i="19" s="1"/>
  <c r="H48" i="19"/>
  <c r="H69" i="19" s="1"/>
  <c r="J32" i="19"/>
  <c r="H66" i="19"/>
  <c r="L66" i="19" s="1"/>
  <c r="G51" i="19"/>
  <c r="G70" i="19" s="1"/>
  <c r="G69" i="19"/>
  <c r="G45" i="19"/>
  <c r="G68" i="19"/>
  <c r="F45" i="19"/>
  <c r="F68" i="19"/>
  <c r="E42" i="19"/>
  <c r="C42" i="19"/>
  <c r="D67" i="19"/>
  <c r="H67" i="19"/>
  <c r="E48" i="19"/>
  <c r="J37" i="19"/>
  <c r="D48" i="19"/>
  <c r="D42" i="19"/>
  <c r="C48" i="19"/>
  <c r="M112" i="19" l="1"/>
  <c r="L134" i="19"/>
  <c r="L131" i="19"/>
  <c r="O103" i="19"/>
  <c r="O87" i="19"/>
  <c r="M104" i="19"/>
  <c r="M86" i="19"/>
  <c r="M131" i="19" s="1"/>
  <c r="M130" i="19"/>
  <c r="L77" i="19"/>
  <c r="O96" i="19"/>
  <c r="Q24" i="19"/>
  <c r="Q29" i="19" s="1"/>
  <c r="P24" i="19"/>
  <c r="P29" i="19" s="1"/>
  <c r="S20" i="19"/>
  <c r="S21" i="19"/>
  <c r="Q60" i="19"/>
  <c r="P60" i="19"/>
  <c r="H45" i="19"/>
  <c r="H51" i="19"/>
  <c r="H70" i="19" s="1"/>
  <c r="C51" i="19"/>
  <c r="C70" i="19" s="1"/>
  <c r="C69" i="19"/>
  <c r="D51" i="19"/>
  <c r="D70" i="19" s="1"/>
  <c r="D69" i="19"/>
  <c r="M66" i="19"/>
  <c r="M32" i="19" s="1"/>
  <c r="L32" i="19"/>
  <c r="E51" i="19"/>
  <c r="E70" i="19" s="1"/>
  <c r="E69" i="19"/>
  <c r="C45" i="19"/>
  <c r="C68" i="19"/>
  <c r="E45" i="19"/>
  <c r="E68" i="19"/>
  <c r="D45" i="19"/>
  <c r="D68" i="19"/>
  <c r="J48" i="19"/>
  <c r="J42" i="19"/>
  <c r="N112" i="19" l="1"/>
  <c r="M134" i="19"/>
  <c r="P56" i="19"/>
  <c r="P96" i="19" s="1"/>
  <c r="N130" i="19"/>
  <c r="M77" i="19"/>
  <c r="Q56" i="19"/>
  <c r="N86" i="19"/>
  <c r="N104" i="19"/>
  <c r="P32" i="19"/>
  <c r="Q32" i="19"/>
  <c r="S24" i="19"/>
  <c r="M37" i="19"/>
  <c r="M42" i="19" s="1"/>
  <c r="J51" i="19"/>
  <c r="L100" i="19"/>
  <c r="L132" i="19" s="1"/>
  <c r="L37" i="19"/>
  <c r="J45" i="19"/>
  <c r="N37" i="19"/>
  <c r="Q96" i="19" l="1"/>
  <c r="O112" i="19"/>
  <c r="O134" i="19" s="1"/>
  <c r="N134" i="19"/>
  <c r="N131" i="19"/>
  <c r="S34" i="19"/>
  <c r="P103" i="19"/>
  <c r="Q103" i="19" s="1"/>
  <c r="M100" i="19"/>
  <c r="M132" i="19" s="1"/>
  <c r="L105" i="19"/>
  <c r="L113" i="19" s="1"/>
  <c r="O86" i="19"/>
  <c r="O130" i="19"/>
  <c r="N77" i="19"/>
  <c r="O104" i="19"/>
  <c r="P87" i="19"/>
  <c r="Q87" i="19" s="1"/>
  <c r="M45" i="19"/>
  <c r="M128" i="19" s="1"/>
  <c r="S36" i="19"/>
  <c r="S35" i="19"/>
  <c r="S31" i="19"/>
  <c r="M67" i="19"/>
  <c r="L67" i="19"/>
  <c r="L42" i="19"/>
  <c r="N42" i="19"/>
  <c r="N67" i="19"/>
  <c r="O37" i="19"/>
  <c r="S29" i="19"/>
  <c r="M135" i="19" l="1"/>
  <c r="M146" i="19" s="1"/>
  <c r="M84" i="19" s="1"/>
  <c r="M88" i="19" s="1"/>
  <c r="M97" i="19" s="1"/>
  <c r="P112" i="19"/>
  <c r="Q112" i="19" s="1"/>
  <c r="Q134" i="19" s="1"/>
  <c r="O131" i="19"/>
  <c r="N100" i="19"/>
  <c r="N132" i="19" s="1"/>
  <c r="M105" i="19"/>
  <c r="M113" i="19" s="1"/>
  <c r="P104" i="19"/>
  <c r="P130" i="19"/>
  <c r="O77" i="19"/>
  <c r="P86" i="19"/>
  <c r="P131" i="19" s="1"/>
  <c r="N45" i="19"/>
  <c r="N128" i="19" s="1"/>
  <c r="O42" i="19"/>
  <c r="O67" i="19"/>
  <c r="P37" i="19"/>
  <c r="P67" i="19" s="1"/>
  <c r="S32" i="19"/>
  <c r="M122" i="19" l="1"/>
  <c r="P134" i="19"/>
  <c r="N135" i="19"/>
  <c r="N146" i="19" s="1"/>
  <c r="N84" i="19" s="1"/>
  <c r="N88" i="19" s="1"/>
  <c r="N97" i="19" s="1"/>
  <c r="O100" i="19"/>
  <c r="O132" i="19" s="1"/>
  <c r="N105" i="19"/>
  <c r="N113" i="19" s="1"/>
  <c r="Q86" i="19"/>
  <c r="Q130" i="19"/>
  <c r="P77" i="19"/>
  <c r="Q104" i="19"/>
  <c r="O45" i="19"/>
  <c r="O128" i="19" s="1"/>
  <c r="L45" i="19"/>
  <c r="L128" i="19" s="1"/>
  <c r="L135" i="19" s="1"/>
  <c r="L146" i="19" s="1"/>
  <c r="L84" i="19" s="1"/>
  <c r="L88" i="19" s="1"/>
  <c r="L97" i="19" s="1"/>
  <c r="L122" i="19" s="1"/>
  <c r="Q37" i="19"/>
  <c r="P42" i="19"/>
  <c r="N122" i="19" l="1"/>
  <c r="O135" i="19"/>
  <c r="O146" i="19" s="1"/>
  <c r="O84" i="19" s="1"/>
  <c r="O88" i="19" s="1"/>
  <c r="O97" i="19" s="1"/>
  <c r="Q131" i="19"/>
  <c r="P100" i="19"/>
  <c r="P132" i="19" s="1"/>
  <c r="O105" i="19"/>
  <c r="O113" i="19" s="1"/>
  <c r="S50" i="19"/>
  <c r="Q77" i="19"/>
  <c r="P45" i="19"/>
  <c r="P128" i="19" s="1"/>
  <c r="S37" i="19"/>
  <c r="Q67" i="19"/>
  <c r="Q42" i="19"/>
  <c r="O122" i="19" l="1"/>
  <c r="P135" i="19"/>
  <c r="P146" i="19" s="1"/>
  <c r="P84" i="19" s="1"/>
  <c r="P88" i="19" s="1"/>
  <c r="P97" i="19" s="1"/>
  <c r="Q100" i="19"/>
  <c r="P105" i="19"/>
  <c r="P113" i="19" s="1"/>
  <c r="S42" i="19"/>
  <c r="S44" i="19"/>
  <c r="P122" i="19" l="1"/>
  <c r="Q105" i="19"/>
  <c r="Q113" i="19" s="1"/>
  <c r="Q132" i="19"/>
  <c r="Q45" i="19"/>
  <c r="S45" i="19" l="1"/>
  <c r="Q128" i="19"/>
  <c r="Q135" i="19" s="1"/>
  <c r="Q146" i="19" s="1"/>
  <c r="Q84" i="19" s="1"/>
  <c r="Q88" i="19" s="1"/>
  <c r="Q97" i="19" s="1"/>
  <c r="Q122" i="19" s="1"/>
  <c r="Z64" i="18" l="1"/>
  <c r="Z68" i="18"/>
  <c r="AQ68" i="18" s="1"/>
  <c r="Z58" i="18"/>
  <c r="Z54" i="18"/>
  <c r="AQ54" i="18" s="1"/>
  <c r="AQ53" i="18" s="1"/>
  <c r="Z49" i="18"/>
  <c r="Z43" i="18"/>
  <c r="Z41" i="18"/>
  <c r="Z37" i="18"/>
  <c r="AQ37" i="18" s="1"/>
  <c r="Z35" i="18"/>
  <c r="Z31" i="18"/>
  <c r="AQ31" i="18" s="1"/>
  <c r="Z29" i="18"/>
  <c r="V68" i="18"/>
  <c r="V64" i="18"/>
  <c r="V58" i="18"/>
  <c r="V54" i="18"/>
  <c r="AM54" i="18" s="1"/>
  <c r="AM53" i="18" s="1"/>
  <c r="V49" i="18"/>
  <c r="V43" i="18"/>
  <c r="V41" i="18"/>
  <c r="V35" i="18"/>
  <c r="V37" i="18"/>
  <c r="AM37" i="18" s="1"/>
  <c r="V31" i="18"/>
  <c r="V29" i="18"/>
  <c r="AC53" i="18"/>
  <c r="AB53" i="18"/>
  <c r="AA53" i="18"/>
  <c r="Y53" i="18"/>
  <c r="X53" i="18"/>
  <c r="W53" i="18"/>
  <c r="U53" i="18"/>
  <c r="T53" i="18"/>
  <c r="S53" i="18"/>
  <c r="Q53" i="18"/>
  <c r="R54" i="18"/>
  <c r="R68" i="18"/>
  <c r="R64" i="18"/>
  <c r="R58" i="18"/>
  <c r="R49" i="18"/>
  <c r="R43" i="18"/>
  <c r="R41" i="18"/>
  <c r="R35" i="18"/>
  <c r="R37" i="18"/>
  <c r="R31" i="18"/>
  <c r="AI31" i="18" s="1"/>
  <c r="R29" i="18"/>
  <c r="AC67" i="18"/>
  <c r="AT67" i="18" s="1"/>
  <c r="AB67" i="18"/>
  <c r="AS67" i="18" s="1"/>
  <c r="AA67" i="18"/>
  <c r="AR67" i="18" s="1"/>
  <c r="Y67" i="18"/>
  <c r="AP67" i="18" s="1"/>
  <c r="X67" i="18"/>
  <c r="AO67" i="18" s="1"/>
  <c r="W67" i="18"/>
  <c r="AN67" i="18" s="1"/>
  <c r="U67" i="18"/>
  <c r="AL67" i="18" s="1"/>
  <c r="T67" i="18"/>
  <c r="AK67" i="18" s="1"/>
  <c r="S67" i="18"/>
  <c r="AJ67" i="18" s="1"/>
  <c r="Q67" i="18"/>
  <c r="AH67" i="18" s="1"/>
  <c r="P67" i="18"/>
  <c r="AG67" i="18" s="1"/>
  <c r="AC42" i="18"/>
  <c r="AB42" i="18"/>
  <c r="AA42" i="18"/>
  <c r="Y42" i="18"/>
  <c r="X42" i="18"/>
  <c r="W42" i="18"/>
  <c r="U42" i="18"/>
  <c r="T42" i="18"/>
  <c r="S42" i="18"/>
  <c r="S66" i="18" s="1"/>
  <c r="AJ66" i="18" s="1"/>
  <c r="Q42" i="18"/>
  <c r="Q66" i="18" s="1"/>
  <c r="AH66" i="18" s="1"/>
  <c r="P42" i="18"/>
  <c r="AC36" i="18"/>
  <c r="AC38" i="18" s="1"/>
  <c r="AB36" i="18"/>
  <c r="AB52" i="18" s="1"/>
  <c r="AA36" i="18"/>
  <c r="AR36" i="18" s="1"/>
  <c r="AR52" i="18" s="1"/>
  <c r="Y36" i="18"/>
  <c r="Y52" i="18" s="1"/>
  <c r="X36" i="18"/>
  <c r="W36" i="18"/>
  <c r="V36" i="18"/>
  <c r="U36" i="18"/>
  <c r="U52" i="18" s="1"/>
  <c r="T36" i="18"/>
  <c r="S36" i="18"/>
  <c r="Q36" i="18"/>
  <c r="P36" i="18"/>
  <c r="P60" i="18" s="1"/>
  <c r="AC30" i="18"/>
  <c r="AB30" i="18"/>
  <c r="AA30" i="18"/>
  <c r="AR30" i="18" s="1"/>
  <c r="Y30" i="18"/>
  <c r="Y51" i="18" s="1"/>
  <c r="X30" i="18"/>
  <c r="W30" i="18"/>
  <c r="U30" i="18"/>
  <c r="AL30" i="18" s="1"/>
  <c r="T30" i="18"/>
  <c r="T51" i="18" s="1"/>
  <c r="S30" i="18"/>
  <c r="Q30" i="18"/>
  <c r="P30" i="18"/>
  <c r="I67" i="18"/>
  <c r="H67" i="18"/>
  <c r="G67" i="18"/>
  <c r="P53" i="18"/>
  <c r="O53" i="18"/>
  <c r="O67" i="18"/>
  <c r="AF67" i="18" s="1"/>
  <c r="O42" i="18"/>
  <c r="O36" i="18"/>
  <c r="O30" i="18"/>
  <c r="N58" i="18"/>
  <c r="N54" i="18"/>
  <c r="N68" i="18"/>
  <c r="N64" i="18"/>
  <c r="N49" i="18"/>
  <c r="N43" i="18"/>
  <c r="N41" i="18"/>
  <c r="N37" i="18"/>
  <c r="N35" i="18"/>
  <c r="N31" i="18"/>
  <c r="N29" i="18"/>
  <c r="M67" i="18"/>
  <c r="M53" i="18"/>
  <c r="M30" i="18"/>
  <c r="M32" i="18" s="1"/>
  <c r="M36" i="18"/>
  <c r="M60" i="18" s="1"/>
  <c r="M59" i="18" s="1"/>
  <c r="M61" i="18" s="1"/>
  <c r="M42" i="18"/>
  <c r="M44" i="18" s="1"/>
  <c r="L67" i="18"/>
  <c r="L53" i="18"/>
  <c r="L42" i="18"/>
  <c r="L44" i="18" s="1"/>
  <c r="L36" i="18"/>
  <c r="L38" i="18" s="1"/>
  <c r="L30" i="18"/>
  <c r="L32" i="18" s="1"/>
  <c r="Y66" i="18"/>
  <c r="AP66" i="18" s="1"/>
  <c r="AP65" i="18" s="1"/>
  <c r="X66" i="18"/>
  <c r="AO66" i="18" s="1"/>
  <c r="K67" i="18"/>
  <c r="K53" i="18"/>
  <c r="I53" i="18"/>
  <c r="H53" i="18"/>
  <c r="G53" i="18"/>
  <c r="F53" i="18"/>
  <c r="E53" i="18"/>
  <c r="D53" i="18"/>
  <c r="C53" i="18"/>
  <c r="F67" i="18"/>
  <c r="E67" i="18"/>
  <c r="D67" i="18"/>
  <c r="C67" i="18"/>
  <c r="K42" i="18"/>
  <c r="K44" i="18" s="1"/>
  <c r="I42" i="18"/>
  <c r="I66" i="18" s="1"/>
  <c r="H42" i="18"/>
  <c r="H44" i="18" s="1"/>
  <c r="G42" i="18"/>
  <c r="G44" i="18" s="1"/>
  <c r="F42" i="18"/>
  <c r="F66" i="18" s="1"/>
  <c r="E42" i="18"/>
  <c r="E44" i="18" s="1"/>
  <c r="D42" i="18"/>
  <c r="D44" i="18" s="1"/>
  <c r="C42" i="18"/>
  <c r="C44" i="18" s="1"/>
  <c r="K36" i="18"/>
  <c r="K38" i="18" s="1"/>
  <c r="I36" i="18"/>
  <c r="I38" i="18" s="1"/>
  <c r="H36" i="18"/>
  <c r="H38" i="18" s="1"/>
  <c r="G36" i="18"/>
  <c r="G38" i="18" s="1"/>
  <c r="F36" i="18"/>
  <c r="F52" i="18" s="1"/>
  <c r="E36" i="18"/>
  <c r="E38" i="18" s="1"/>
  <c r="D36" i="18"/>
  <c r="D52" i="18" s="1"/>
  <c r="C36" i="18"/>
  <c r="C38" i="18" s="1"/>
  <c r="K30" i="18"/>
  <c r="K32" i="18" s="1"/>
  <c r="F30" i="18"/>
  <c r="F32" i="18" s="1"/>
  <c r="E30" i="18"/>
  <c r="E17" i="18" s="1"/>
  <c r="D30" i="18"/>
  <c r="D17" i="18" s="1"/>
  <c r="I30" i="18"/>
  <c r="H30" i="18"/>
  <c r="G30" i="18"/>
  <c r="G51" i="18" s="1"/>
  <c r="C17" i="18"/>
  <c r="AC22" i="18"/>
  <c r="AB22" i="18"/>
  <c r="AA22" i="18"/>
  <c r="Y22" i="18"/>
  <c r="X22" i="18"/>
  <c r="W22" i="18"/>
  <c r="U22" i="18"/>
  <c r="T22" i="18"/>
  <c r="S22" i="18"/>
  <c r="Q22" i="18"/>
  <c r="P22" i="18"/>
  <c r="O22" i="18"/>
  <c r="M22" i="18"/>
  <c r="L22" i="18"/>
  <c r="K22" i="18"/>
  <c r="I22" i="18"/>
  <c r="H22" i="18"/>
  <c r="G22" i="18"/>
  <c r="F22" i="18"/>
  <c r="E22" i="18"/>
  <c r="D22" i="18"/>
  <c r="C22" i="18"/>
  <c r="AC16" i="18"/>
  <c r="AB16" i="18"/>
  <c r="AA16" i="18"/>
  <c r="Y16" i="18"/>
  <c r="X16" i="18"/>
  <c r="W16" i="18"/>
  <c r="U16" i="18"/>
  <c r="T16" i="18"/>
  <c r="S16" i="18"/>
  <c r="Q16" i="18"/>
  <c r="P16" i="18"/>
  <c r="O16" i="18"/>
  <c r="M16" i="18"/>
  <c r="L16" i="18"/>
  <c r="K16" i="18"/>
  <c r="I16" i="18"/>
  <c r="H16" i="18"/>
  <c r="G16" i="18"/>
  <c r="F16" i="18"/>
  <c r="E16" i="18"/>
  <c r="D16" i="18"/>
  <c r="C16" i="18"/>
  <c r="AT12" i="18"/>
  <c r="AS12" i="18"/>
  <c r="AR12" i="18"/>
  <c r="AQ12" i="18"/>
  <c r="AP12" i="18"/>
  <c r="AO12" i="18"/>
  <c r="AN12" i="18"/>
  <c r="AM12" i="18"/>
  <c r="AL12" i="18"/>
  <c r="AK12" i="18"/>
  <c r="AJ12" i="18"/>
  <c r="AI12" i="18"/>
  <c r="AH12" i="18"/>
  <c r="AG12" i="18"/>
  <c r="AF12" i="18"/>
  <c r="AE12" i="18"/>
  <c r="AT11" i="18"/>
  <c r="AS11" i="18"/>
  <c r="AR11" i="18"/>
  <c r="AQ11" i="18"/>
  <c r="AP11" i="18"/>
  <c r="AO11" i="18"/>
  <c r="AN11" i="18"/>
  <c r="AM11" i="18"/>
  <c r="AL11" i="18"/>
  <c r="AK11" i="18"/>
  <c r="AJ11" i="18"/>
  <c r="AI11" i="18"/>
  <c r="AH11" i="18"/>
  <c r="AG11" i="18"/>
  <c r="AF11" i="18"/>
  <c r="AE11" i="18"/>
  <c r="AO64" i="8"/>
  <c r="AN64" i="8"/>
  <c r="AM64" i="8"/>
  <c r="AJ64" i="8"/>
  <c r="AK64" i="8"/>
  <c r="AG64" i="8"/>
  <c r="AF64" i="8"/>
  <c r="AE64" i="8"/>
  <c r="Q60" i="8"/>
  <c r="P60" i="8"/>
  <c r="O60" i="8"/>
  <c r="M60" i="8"/>
  <c r="U46" i="8"/>
  <c r="P46" i="8"/>
  <c r="O46" i="8"/>
  <c r="K60" i="8"/>
  <c r="B2" i="9"/>
  <c r="AG9" i="9"/>
  <c r="AG7" i="9"/>
  <c r="C60" i="8"/>
  <c r="C88" i="19"/>
  <c r="C97" i="19" s="1"/>
  <c r="C108" i="8"/>
  <c r="F108" i="8"/>
  <c r="E108" i="8"/>
  <c r="D108" i="8"/>
  <c r="AC60" i="8"/>
  <c r="AB60" i="8"/>
  <c r="AA60" i="8"/>
  <c r="Y60" i="8"/>
  <c r="X60" i="8"/>
  <c r="W60" i="8"/>
  <c r="U60" i="8"/>
  <c r="T60" i="8"/>
  <c r="S60" i="8"/>
  <c r="I60" i="8"/>
  <c r="H60" i="8"/>
  <c r="G60" i="8"/>
  <c r="F60" i="8"/>
  <c r="D88" i="19"/>
  <c r="D97" i="19" s="1"/>
  <c r="AH10" i="10"/>
  <c r="I108" i="8"/>
  <c r="H108" i="8"/>
  <c r="G108" i="8"/>
  <c r="AM97" i="8"/>
  <c r="AP96" i="8"/>
  <c r="AI96" i="8"/>
  <c r="R71" i="8"/>
  <c r="AH71" i="8" s="1"/>
  <c r="AH70" i="8"/>
  <c r="AH69" i="8"/>
  <c r="AH68" i="8"/>
  <c r="G54" i="14"/>
  <c r="H54" i="14" s="1"/>
  <c r="I54" i="14" s="1"/>
  <c r="J54" i="14" s="1"/>
  <c r="K54" i="14" s="1"/>
  <c r="AK69" i="9"/>
  <c r="W85" i="9"/>
  <c r="AK59" i="9"/>
  <c r="AK58" i="9"/>
  <c r="AK52" i="9"/>
  <c r="AK55" i="9" s="1"/>
  <c r="W4" i="9"/>
  <c r="AK4" i="9" s="1"/>
  <c r="W3" i="9"/>
  <c r="AK3" i="9" s="1"/>
  <c r="AG71" i="8"/>
  <c r="AF71" i="8"/>
  <c r="AE71" i="8"/>
  <c r="AG70" i="8"/>
  <c r="AF70" i="8"/>
  <c r="AE70" i="8"/>
  <c r="AG69" i="8"/>
  <c r="AF69" i="8"/>
  <c r="AE69" i="8"/>
  <c r="AG68" i="8"/>
  <c r="AF68" i="8"/>
  <c r="AE68" i="8"/>
  <c r="AG65" i="8"/>
  <c r="AF65" i="8"/>
  <c r="AE65" i="8"/>
  <c r="AG63" i="8"/>
  <c r="AF63" i="8"/>
  <c r="AE63" i="8"/>
  <c r="AG59" i="8"/>
  <c r="AF59" i="8"/>
  <c r="AE59" i="8"/>
  <c r="AG58" i="8"/>
  <c r="AF58" i="8"/>
  <c r="AE58" i="8"/>
  <c r="AG57" i="8"/>
  <c r="AG55" i="8"/>
  <c r="AF55" i="8"/>
  <c r="AE55" i="8"/>
  <c r="AG51" i="8"/>
  <c r="AF51" i="8"/>
  <c r="AE51" i="8"/>
  <c r="AG50" i="8"/>
  <c r="AF50" i="8"/>
  <c r="AE50" i="8"/>
  <c r="AG49" i="8"/>
  <c r="AF49" i="8"/>
  <c r="AE49" i="8"/>
  <c r="AG45" i="8"/>
  <c r="AF45" i="8"/>
  <c r="AE45" i="8"/>
  <c r="AG44" i="8"/>
  <c r="AF44" i="8"/>
  <c r="AE44" i="8"/>
  <c r="AG43" i="8"/>
  <c r="AF43" i="8"/>
  <c r="AE43" i="8"/>
  <c r="AG8" i="8"/>
  <c r="AG80" i="8" s="1"/>
  <c r="AF8" i="8"/>
  <c r="AF80" i="8" s="1"/>
  <c r="AE8" i="8"/>
  <c r="AE80" i="8" s="1"/>
  <c r="AG7" i="8"/>
  <c r="AG79" i="8" s="1"/>
  <c r="AF7" i="8"/>
  <c r="AF79" i="8" s="1"/>
  <c r="AE7" i="8"/>
  <c r="AE79" i="8" s="1"/>
  <c r="AS64" i="8"/>
  <c r="AU64" i="8" s="1"/>
  <c r="AR64" i="8"/>
  <c r="AQ64" i="8"/>
  <c r="AI64" i="8"/>
  <c r="AS63" i="8"/>
  <c r="AQ63" i="8"/>
  <c r="AO63" i="8"/>
  <c r="AN63" i="8"/>
  <c r="AM63" i="8"/>
  <c r="AK63" i="8"/>
  <c r="AJ63" i="8"/>
  <c r="AI63" i="8"/>
  <c r="AR63" i="8"/>
  <c r="AP64" i="8"/>
  <c r="AL64" i="8"/>
  <c r="AF21" i="8"/>
  <c r="AS71" i="8"/>
  <c r="AS70" i="8"/>
  <c r="AS69" i="8"/>
  <c r="AS68" i="8"/>
  <c r="AS65" i="8"/>
  <c r="AS59" i="8"/>
  <c r="AS58" i="8"/>
  <c r="AS57" i="8"/>
  <c r="AS56" i="8"/>
  <c r="AS55" i="8"/>
  <c r="AS51" i="8"/>
  <c r="AS50" i="8"/>
  <c r="AS49" i="8"/>
  <c r="AS45" i="8"/>
  <c r="AS44" i="8"/>
  <c r="AS43" i="8"/>
  <c r="AS8" i="8"/>
  <c r="AS80" i="8" s="1"/>
  <c r="AS7" i="8"/>
  <c r="AS79" i="8" s="1"/>
  <c r="X4" i="10"/>
  <c r="AJ4" i="10" s="1"/>
  <c r="W4" i="10"/>
  <c r="AI4" i="10" s="1"/>
  <c r="V4" i="10"/>
  <c r="AH4" i="10" s="1"/>
  <c r="U4" i="10"/>
  <c r="AG4" i="10" s="1"/>
  <c r="T4" i="10"/>
  <c r="AF4" i="10" s="1"/>
  <c r="S4" i="10"/>
  <c r="AE4" i="10" s="1"/>
  <c r="R4" i="10"/>
  <c r="AD4" i="10" s="1"/>
  <c r="Q4" i="10"/>
  <c r="AC4" i="10" s="1"/>
  <c r="P4" i="10"/>
  <c r="AB4" i="10" s="1"/>
  <c r="O4" i="10"/>
  <c r="AA4" i="10" s="1"/>
  <c r="N4" i="10"/>
  <c r="M4" i="10"/>
  <c r="L4" i="10"/>
  <c r="K4" i="10"/>
  <c r="X3" i="10"/>
  <c r="AJ3" i="10" s="1"/>
  <c r="W3" i="10"/>
  <c r="AI3" i="10" s="1"/>
  <c r="V3" i="10"/>
  <c r="AH3" i="10" s="1"/>
  <c r="U3" i="10"/>
  <c r="AG3" i="10" s="1"/>
  <c r="T3" i="10"/>
  <c r="AF3" i="10" s="1"/>
  <c r="S3" i="10"/>
  <c r="AE3" i="10" s="1"/>
  <c r="R3" i="10"/>
  <c r="AD3" i="10" s="1"/>
  <c r="Q3" i="10"/>
  <c r="AC3" i="10" s="1"/>
  <c r="P3" i="10"/>
  <c r="AB3" i="10" s="1"/>
  <c r="O3" i="10"/>
  <c r="AA3" i="10" s="1"/>
  <c r="N3" i="10"/>
  <c r="M3" i="10"/>
  <c r="L3" i="10"/>
  <c r="K3" i="10"/>
  <c r="Y4" i="10"/>
  <c r="AK4" i="10" s="1"/>
  <c r="Y3" i="10"/>
  <c r="AK3" i="10" s="1"/>
  <c r="AC80" i="8"/>
  <c r="AC79" i="8"/>
  <c r="AC72" i="8"/>
  <c r="AC40" i="8"/>
  <c r="AC39" i="8"/>
  <c r="AC11" i="8"/>
  <c r="AR65" i="8"/>
  <c r="S85" i="9"/>
  <c r="K85" i="9"/>
  <c r="J85" i="9"/>
  <c r="I85" i="9"/>
  <c r="G85" i="9"/>
  <c r="F85" i="9"/>
  <c r="E85" i="9"/>
  <c r="D85" i="9"/>
  <c r="C85" i="9"/>
  <c r="AR56" i="8"/>
  <c r="AQ56" i="8"/>
  <c r="AO56" i="8"/>
  <c r="AN56" i="8"/>
  <c r="AM56" i="8"/>
  <c r="AR58" i="8"/>
  <c r="AQ58" i="8"/>
  <c r="AO58" i="8"/>
  <c r="AN58" i="8"/>
  <c r="AM58" i="8"/>
  <c r="AK58" i="8"/>
  <c r="AJ58" i="8"/>
  <c r="AI58" i="8"/>
  <c r="AK56" i="8"/>
  <c r="AJ56" i="8"/>
  <c r="AI56" i="8"/>
  <c r="AP56" i="8"/>
  <c r="AL56" i="8"/>
  <c r="AH56" i="8"/>
  <c r="AD69" i="9"/>
  <c r="Z69" i="9"/>
  <c r="AA118" i="8"/>
  <c r="I118" i="8"/>
  <c r="H118" i="8"/>
  <c r="G118" i="8"/>
  <c r="D118" i="8"/>
  <c r="AR49" i="8"/>
  <c r="AQ49" i="8"/>
  <c r="AO49" i="8"/>
  <c r="AN49" i="8"/>
  <c r="AM49" i="8"/>
  <c r="AK49" i="8"/>
  <c r="AJ49" i="8"/>
  <c r="AI49" i="8"/>
  <c r="AP49" i="8"/>
  <c r="AL49" i="8"/>
  <c r="AH49" i="8"/>
  <c r="AR59" i="8"/>
  <c r="AQ59" i="8"/>
  <c r="AO59" i="8"/>
  <c r="AN59" i="8"/>
  <c r="AM59" i="8"/>
  <c r="AK59" i="8"/>
  <c r="AJ59" i="8"/>
  <c r="AI59" i="8"/>
  <c r="AR57" i="8"/>
  <c r="AQ57" i="8"/>
  <c r="AO57" i="8"/>
  <c r="AN57" i="8"/>
  <c r="AM57" i="8"/>
  <c r="AK57" i="8"/>
  <c r="AJ57" i="8"/>
  <c r="AI57" i="8"/>
  <c r="AP57" i="8"/>
  <c r="AL57" i="8"/>
  <c r="AH57" i="8"/>
  <c r="AF56" i="8"/>
  <c r="AP59" i="8"/>
  <c r="AL59" i="8"/>
  <c r="AH59" i="8"/>
  <c r="AJ59" i="9"/>
  <c r="AI59" i="9"/>
  <c r="AG59" i="9"/>
  <c r="AF59" i="9"/>
  <c r="AE59" i="9"/>
  <c r="AC59" i="9"/>
  <c r="AB59" i="9"/>
  <c r="AA59" i="9"/>
  <c r="Y59" i="9"/>
  <c r="AJ58" i="9"/>
  <c r="AI58" i="9"/>
  <c r="AG58" i="9"/>
  <c r="AF58" i="9"/>
  <c r="AE58" i="9"/>
  <c r="AC58" i="9"/>
  <c r="AB58" i="9"/>
  <c r="AA58" i="9"/>
  <c r="Y58" i="9"/>
  <c r="AJ52" i="9"/>
  <c r="AJ55" i="9" s="1"/>
  <c r="AI52" i="9"/>
  <c r="AI55" i="9" s="1"/>
  <c r="AG52" i="9"/>
  <c r="AG55" i="9" s="1"/>
  <c r="AF52" i="9"/>
  <c r="AE52" i="9"/>
  <c r="AC52" i="9"/>
  <c r="AB52" i="9"/>
  <c r="AA52" i="9"/>
  <c r="Y52" i="9"/>
  <c r="AI69" i="9"/>
  <c r="AG69" i="9"/>
  <c r="AF69" i="9"/>
  <c r="AE69" i="9"/>
  <c r="AC69" i="9"/>
  <c r="AB69" i="9"/>
  <c r="AA69" i="9"/>
  <c r="Y69" i="9"/>
  <c r="AJ69" i="9"/>
  <c r="V4" i="9"/>
  <c r="AJ4" i="9" s="1"/>
  <c r="U4" i="9"/>
  <c r="AI4" i="9" s="1"/>
  <c r="T4" i="9"/>
  <c r="AH4" i="9" s="1"/>
  <c r="S4" i="9"/>
  <c r="AG4" i="9" s="1"/>
  <c r="R4" i="9"/>
  <c r="AF4" i="9" s="1"/>
  <c r="Q4" i="9"/>
  <c r="AE4" i="9" s="1"/>
  <c r="P4" i="9"/>
  <c r="AD4" i="9" s="1"/>
  <c r="O4" i="9"/>
  <c r="AC4" i="9" s="1"/>
  <c r="N4" i="9"/>
  <c r="AB4" i="9" s="1"/>
  <c r="M4" i="9"/>
  <c r="AA4" i="9" s="1"/>
  <c r="L4" i="9"/>
  <c r="Z4" i="9" s="1"/>
  <c r="K4" i="9"/>
  <c r="Y4" i="9" s="1"/>
  <c r="J4" i="9"/>
  <c r="V3" i="9"/>
  <c r="AJ3" i="9" s="1"/>
  <c r="U3" i="9"/>
  <c r="AI3" i="9" s="1"/>
  <c r="T3" i="9"/>
  <c r="AH3" i="9" s="1"/>
  <c r="S3" i="9"/>
  <c r="AG3" i="9" s="1"/>
  <c r="R3" i="9"/>
  <c r="AF3" i="9" s="1"/>
  <c r="Q3" i="9"/>
  <c r="AE3" i="9" s="1"/>
  <c r="P3" i="9"/>
  <c r="AD3" i="9" s="1"/>
  <c r="O3" i="9"/>
  <c r="AC3" i="9" s="1"/>
  <c r="N3" i="9"/>
  <c r="AB3" i="9" s="1"/>
  <c r="M3" i="9"/>
  <c r="AA3" i="9" s="1"/>
  <c r="L3" i="9"/>
  <c r="Z3" i="9" s="1"/>
  <c r="K3" i="9"/>
  <c r="Y3" i="9" s="1"/>
  <c r="J3" i="9"/>
  <c r="I4" i="9"/>
  <c r="I3" i="9"/>
  <c r="G4" i="9"/>
  <c r="F4" i="9"/>
  <c r="E4" i="9"/>
  <c r="D4" i="9"/>
  <c r="G3" i="9"/>
  <c r="F3" i="9"/>
  <c r="E3" i="9"/>
  <c r="D3" i="9"/>
  <c r="C4" i="9"/>
  <c r="C3" i="9"/>
  <c r="Z10" i="8"/>
  <c r="V10" i="8"/>
  <c r="R10" i="8"/>
  <c r="AG20" i="8"/>
  <c r="AG19" i="8"/>
  <c r="N11" i="8"/>
  <c r="N16" i="8" s="1"/>
  <c r="AP50" i="8"/>
  <c r="AP65" i="8"/>
  <c r="AP70" i="8"/>
  <c r="AP69" i="8"/>
  <c r="AP68" i="8"/>
  <c r="Z71" i="8"/>
  <c r="AP71" i="8" s="1"/>
  <c r="V71" i="8"/>
  <c r="AL71" i="8" s="1"/>
  <c r="AL70" i="8"/>
  <c r="AL69" i="8"/>
  <c r="AL68" i="8"/>
  <c r="AL65" i="8"/>
  <c r="AL50" i="8"/>
  <c r="AH65" i="8"/>
  <c r="AH50" i="8"/>
  <c r="AR71" i="8"/>
  <c r="AQ71" i="8"/>
  <c r="AO71" i="8"/>
  <c r="AN71" i="8"/>
  <c r="AM71" i="8"/>
  <c r="AK71" i="8"/>
  <c r="AJ71" i="8"/>
  <c r="AI71" i="8"/>
  <c r="AR70" i="8"/>
  <c r="AQ70" i="8"/>
  <c r="AO70" i="8"/>
  <c r="AN70" i="8"/>
  <c r="AM70" i="8"/>
  <c r="AK70" i="8"/>
  <c r="AJ70" i="8"/>
  <c r="AI70" i="8"/>
  <c r="AR69" i="8"/>
  <c r="AQ69" i="8"/>
  <c r="AO69" i="8"/>
  <c r="AN69" i="8"/>
  <c r="AM69" i="8"/>
  <c r="AK69" i="8"/>
  <c r="AJ69" i="8"/>
  <c r="AI69" i="8"/>
  <c r="AR68" i="8"/>
  <c r="AQ68" i="8"/>
  <c r="AO68" i="8"/>
  <c r="AN68" i="8"/>
  <c r="AM68" i="8"/>
  <c r="AK68" i="8"/>
  <c r="AJ68" i="8"/>
  <c r="AI68" i="8"/>
  <c r="AQ65" i="8"/>
  <c r="AO65" i="8"/>
  <c r="AN65" i="8"/>
  <c r="AM65" i="8"/>
  <c r="AK65" i="8"/>
  <c r="AJ65" i="8"/>
  <c r="AI65" i="8"/>
  <c r="AR55" i="8"/>
  <c r="AQ55" i="8"/>
  <c r="AO55" i="8"/>
  <c r="AN55" i="8"/>
  <c r="AM55" i="8"/>
  <c r="AK55" i="8"/>
  <c r="AJ55" i="8"/>
  <c r="AI55" i="8"/>
  <c r="AR51" i="8"/>
  <c r="AQ51" i="8"/>
  <c r="AO51" i="8"/>
  <c r="AN51" i="8"/>
  <c r="AM51" i="8"/>
  <c r="AK51" i="8"/>
  <c r="AJ51" i="8"/>
  <c r="AI51" i="8"/>
  <c r="AR50" i="8"/>
  <c r="AQ50" i="8"/>
  <c r="AO50" i="8"/>
  <c r="AN50" i="8"/>
  <c r="AM50" i="8"/>
  <c r="AK50" i="8"/>
  <c r="AJ50" i="8"/>
  <c r="AI50" i="8"/>
  <c r="AR45" i="8"/>
  <c r="AQ45" i="8"/>
  <c r="AO45" i="8"/>
  <c r="AN45" i="8"/>
  <c r="AM45" i="8"/>
  <c r="AK45" i="8"/>
  <c r="AJ45" i="8"/>
  <c r="AI45" i="8"/>
  <c r="AR44" i="8"/>
  <c r="AQ44" i="8"/>
  <c r="AO44" i="8"/>
  <c r="AN44" i="8"/>
  <c r="AM44" i="8"/>
  <c r="AK44" i="8"/>
  <c r="AJ44" i="8"/>
  <c r="AI44" i="8"/>
  <c r="AQ43" i="8"/>
  <c r="AO43" i="8"/>
  <c r="AN43" i="8"/>
  <c r="AM43" i="8"/>
  <c r="AK43" i="8"/>
  <c r="AJ43" i="8"/>
  <c r="AI43" i="8"/>
  <c r="N71" i="8"/>
  <c r="U72" i="8"/>
  <c r="M72" i="8"/>
  <c r="AB80" i="8"/>
  <c r="AA80" i="8"/>
  <c r="Z80" i="8"/>
  <c r="Y80" i="8"/>
  <c r="X80" i="8"/>
  <c r="W80" i="8"/>
  <c r="V80" i="8"/>
  <c r="U80" i="8"/>
  <c r="T80" i="8"/>
  <c r="S80" i="8"/>
  <c r="R80" i="8"/>
  <c r="Q80" i="8"/>
  <c r="P80" i="8"/>
  <c r="O80" i="8"/>
  <c r="N80" i="8"/>
  <c r="M80" i="8"/>
  <c r="L80" i="8"/>
  <c r="K80" i="8"/>
  <c r="AB79" i="8"/>
  <c r="AA79" i="8"/>
  <c r="Z79" i="8"/>
  <c r="Y79" i="8"/>
  <c r="X79" i="8"/>
  <c r="W79" i="8"/>
  <c r="V79" i="8"/>
  <c r="U79" i="8"/>
  <c r="T79" i="8"/>
  <c r="S79" i="8"/>
  <c r="R79" i="8"/>
  <c r="Q79" i="8"/>
  <c r="P79" i="8"/>
  <c r="O79" i="8"/>
  <c r="N79" i="8"/>
  <c r="M79" i="8"/>
  <c r="L79" i="8"/>
  <c r="K79" i="8"/>
  <c r="Y72" i="8"/>
  <c r="X72" i="8"/>
  <c r="W72" i="8"/>
  <c r="T72" i="8"/>
  <c r="S72" i="8"/>
  <c r="Q72" i="8"/>
  <c r="P72" i="8"/>
  <c r="O72" i="8"/>
  <c r="L72" i="8"/>
  <c r="K72" i="8"/>
  <c r="M46" i="8"/>
  <c r="M52" i="8" s="1"/>
  <c r="AB40" i="8"/>
  <c r="AA40" i="8"/>
  <c r="Z40" i="8"/>
  <c r="Y40" i="8"/>
  <c r="X40" i="8"/>
  <c r="W40" i="8"/>
  <c r="V40" i="8"/>
  <c r="U40" i="8"/>
  <c r="T40" i="8"/>
  <c r="S40" i="8"/>
  <c r="R40" i="8"/>
  <c r="Q40" i="8"/>
  <c r="P40" i="8"/>
  <c r="O40" i="8"/>
  <c r="N40" i="8"/>
  <c r="M40" i="8"/>
  <c r="L40" i="8"/>
  <c r="K40" i="8"/>
  <c r="AB39" i="8"/>
  <c r="AA39" i="8"/>
  <c r="Z39" i="8"/>
  <c r="Y39" i="8"/>
  <c r="X39" i="8"/>
  <c r="W39" i="8"/>
  <c r="V39" i="8"/>
  <c r="U39" i="8"/>
  <c r="T39" i="8"/>
  <c r="S39" i="8"/>
  <c r="R39" i="8"/>
  <c r="Q39" i="8"/>
  <c r="P39" i="8"/>
  <c r="O39" i="8"/>
  <c r="N39" i="8"/>
  <c r="M39" i="8"/>
  <c r="L39" i="8"/>
  <c r="K39" i="8"/>
  <c r="I40" i="8"/>
  <c r="H40" i="8"/>
  <c r="G40" i="8"/>
  <c r="F40" i="8"/>
  <c r="E40" i="8"/>
  <c r="D40" i="8"/>
  <c r="C40" i="8"/>
  <c r="I39" i="8"/>
  <c r="H39" i="8"/>
  <c r="G39" i="8"/>
  <c r="F39" i="8"/>
  <c r="E39" i="8"/>
  <c r="D39" i="8"/>
  <c r="C39" i="8"/>
  <c r="AR43" i="8"/>
  <c r="X11" i="8"/>
  <c r="W11" i="8"/>
  <c r="U11" i="8"/>
  <c r="T11" i="8"/>
  <c r="S11" i="8"/>
  <c r="Q11" i="8"/>
  <c r="P11" i="8"/>
  <c r="O11" i="8"/>
  <c r="M11" i="8"/>
  <c r="L11" i="8"/>
  <c r="K11" i="8"/>
  <c r="AB11" i="8"/>
  <c r="AB16" i="8" s="1"/>
  <c r="AM8" i="8"/>
  <c r="AL8" i="8"/>
  <c r="AK8" i="8"/>
  <c r="AJ8" i="8"/>
  <c r="AI8" i="8"/>
  <c r="AH8" i="8"/>
  <c r="AM7" i="8"/>
  <c r="AL7" i="8"/>
  <c r="AK7" i="8"/>
  <c r="AJ7" i="8"/>
  <c r="AI7" i="8"/>
  <c r="AH7" i="8"/>
  <c r="AQ8" i="8"/>
  <c r="AP8" i="8"/>
  <c r="AO8" i="8"/>
  <c r="AN8" i="8"/>
  <c r="AQ7" i="8"/>
  <c r="AP7" i="8"/>
  <c r="AO7" i="8"/>
  <c r="AN7" i="8"/>
  <c r="AR8" i="8"/>
  <c r="AR7" i="8"/>
  <c r="G27" i="14"/>
  <c r="H4" i="10"/>
  <c r="G4" i="10"/>
  <c r="F4" i="10"/>
  <c r="E4" i="10"/>
  <c r="D4" i="10"/>
  <c r="C4" i="10"/>
  <c r="H3" i="10"/>
  <c r="G3" i="10"/>
  <c r="F3" i="10"/>
  <c r="E3" i="10"/>
  <c r="D3" i="10"/>
  <c r="C3" i="10"/>
  <c r="I4" i="10"/>
  <c r="I3" i="10"/>
  <c r="AG10" i="10" l="1"/>
  <c r="AG8" i="9"/>
  <c r="C14" i="10"/>
  <c r="AI10" i="10"/>
  <c r="AI10" i="8"/>
  <c r="AK10" i="8"/>
  <c r="AJ10" i="8"/>
  <c r="AH10" i="8"/>
  <c r="AL10" i="8"/>
  <c r="AN10" i="8"/>
  <c r="AO10" i="8"/>
  <c r="AM10" i="8"/>
  <c r="AR10" i="8"/>
  <c r="AQ10" i="8"/>
  <c r="AP10" i="8"/>
  <c r="M16" i="8"/>
  <c r="M17" i="8" s="1"/>
  <c r="O16" i="8"/>
  <c r="O22" i="8" s="1"/>
  <c r="O28" i="8" s="1"/>
  <c r="O32" i="8" s="1"/>
  <c r="O83" i="8" s="1"/>
  <c r="Q16" i="8"/>
  <c r="Q22" i="8" s="1"/>
  <c r="Q28" i="8" s="1"/>
  <c r="Q32" i="8" s="1"/>
  <c r="Q83" i="8" s="1"/>
  <c r="U16" i="8"/>
  <c r="U17" i="8" s="1"/>
  <c r="W16" i="8"/>
  <c r="W22" i="8" s="1"/>
  <c r="W28" i="8" s="1"/>
  <c r="W32" i="8" s="1"/>
  <c r="W83" i="8" s="1"/>
  <c r="T16" i="8"/>
  <c r="T17" i="8" s="1"/>
  <c r="S16" i="8"/>
  <c r="S17" i="8" s="1"/>
  <c r="X16" i="8"/>
  <c r="X22" i="8" s="1"/>
  <c r="K16" i="8"/>
  <c r="K22" i="8" s="1"/>
  <c r="P16" i="8"/>
  <c r="P22" i="8" s="1"/>
  <c r="P28" i="8" s="1"/>
  <c r="P32" i="8" s="1"/>
  <c r="P83" i="8" s="1"/>
  <c r="L16" i="8"/>
  <c r="L17" i="8" s="1"/>
  <c r="AC16" i="8"/>
  <c r="AC22" i="8" s="1"/>
  <c r="AU110" i="8"/>
  <c r="Z53" i="18"/>
  <c r="V22" i="18"/>
  <c r="R16" i="18"/>
  <c r="R30" i="18"/>
  <c r="R32" i="18" s="1"/>
  <c r="AU43" i="8"/>
  <c r="AU44" i="8"/>
  <c r="AU58" i="8"/>
  <c r="AU65" i="8"/>
  <c r="E113" i="19"/>
  <c r="AU59" i="8"/>
  <c r="AU45" i="8"/>
  <c r="E60" i="8"/>
  <c r="D105" i="19"/>
  <c r="D113" i="19" s="1"/>
  <c r="D122" i="19" s="1"/>
  <c r="AU68" i="8"/>
  <c r="AH64" i="8"/>
  <c r="AU49" i="8"/>
  <c r="AU69" i="8"/>
  <c r="AG46" i="9"/>
  <c r="AU50" i="8"/>
  <c r="AU70" i="8"/>
  <c r="D60" i="8"/>
  <c r="C105" i="19"/>
  <c r="C113" i="19" s="1"/>
  <c r="C122" i="19" s="1"/>
  <c r="AU51" i="8"/>
  <c r="AU71" i="8"/>
  <c r="AU55" i="8"/>
  <c r="AU56" i="8"/>
  <c r="E88" i="19"/>
  <c r="R46" i="8"/>
  <c r="R52" i="8" s="1"/>
  <c r="F88" i="19"/>
  <c r="F97" i="19" s="1"/>
  <c r="AG43" i="9"/>
  <c r="AU57" i="8"/>
  <c r="AU63" i="8"/>
  <c r="AH63" i="8"/>
  <c r="AL63" i="8"/>
  <c r="AP63" i="8"/>
  <c r="AK20" i="8"/>
  <c r="AA21" i="9"/>
  <c r="AH45" i="8"/>
  <c r="Z58" i="9"/>
  <c r="AL45" i="8"/>
  <c r="AD58" i="9"/>
  <c r="AC15" i="9"/>
  <c r="AC27" i="9" s="1"/>
  <c r="AP44" i="8"/>
  <c r="AH53" i="9"/>
  <c r="AI95" i="8"/>
  <c r="Y87" i="9"/>
  <c r="AA87" i="9"/>
  <c r="AH51" i="8"/>
  <c r="AP45" i="8"/>
  <c r="AH58" i="9"/>
  <c r="AR19" i="8"/>
  <c r="AK21" i="8"/>
  <c r="AA22" i="9"/>
  <c r="AC66" i="8"/>
  <c r="AC73" i="8" s="1"/>
  <c r="AO21" i="8"/>
  <c r="AE87" i="9"/>
  <c r="AH55" i="8"/>
  <c r="Z59" i="9"/>
  <c r="AM19" i="8"/>
  <c r="AF20" i="9"/>
  <c r="AR21" i="8"/>
  <c r="AH22" i="9"/>
  <c r="AP51" i="8"/>
  <c r="AO20" i="8"/>
  <c r="AG21" i="9"/>
  <c r="AK87" i="9"/>
  <c r="AQ134" i="8"/>
  <c r="AH44" i="8"/>
  <c r="AB87" i="9"/>
  <c r="AC87" i="9"/>
  <c r="AL51" i="8"/>
  <c r="AP55" i="8"/>
  <c r="AH59" i="9"/>
  <c r="AG15" i="9"/>
  <c r="AG27" i="9" s="1"/>
  <c r="AR20" i="8"/>
  <c r="AK21" i="9"/>
  <c r="AF87" i="9"/>
  <c r="AG87" i="9"/>
  <c r="AH43" i="8"/>
  <c r="AL43" i="8"/>
  <c r="P55" i="9"/>
  <c r="AL55" i="8"/>
  <c r="AD59" i="9"/>
  <c r="AK19" i="8"/>
  <c r="Z20" i="9"/>
  <c r="AF46" i="8"/>
  <c r="AF52" i="8" s="1"/>
  <c r="Z108" i="8"/>
  <c r="R108" i="8"/>
  <c r="V108" i="8"/>
  <c r="N108" i="8"/>
  <c r="Q46" i="8"/>
  <c r="Q52" i="8" s="1"/>
  <c r="U52" i="8"/>
  <c r="Z30" i="18"/>
  <c r="AO65" i="18"/>
  <c r="Z36" i="18"/>
  <c r="Z60" i="18" s="1"/>
  <c r="Z59" i="18" s="1"/>
  <c r="Z61" i="18" s="1"/>
  <c r="AH65" i="18"/>
  <c r="AJ65" i="18"/>
  <c r="Z67" i="18"/>
  <c r="AQ67" i="18" s="1"/>
  <c r="AS64" i="18"/>
  <c r="AQ64" i="18"/>
  <c r="AT64" i="18"/>
  <c r="AR64" i="18"/>
  <c r="AG29" i="18"/>
  <c r="AE29" i="18"/>
  <c r="AH29" i="18"/>
  <c r="AF29" i="18"/>
  <c r="N67" i="18"/>
  <c r="AE67" i="18" s="1"/>
  <c r="AE68" i="18"/>
  <c r="Q32" i="18"/>
  <c r="AH30" i="18"/>
  <c r="AR51" i="18"/>
  <c r="AR50" i="18" s="1"/>
  <c r="V52" i="18"/>
  <c r="AM36" i="18"/>
  <c r="AM52" i="18" s="1"/>
  <c r="Q44" i="18"/>
  <c r="AH42" i="18"/>
  <c r="AB66" i="18"/>
  <c r="AS66" i="18" s="1"/>
  <c r="AS65" i="18" s="1"/>
  <c r="AS42" i="18"/>
  <c r="AL58" i="18"/>
  <c r="AK58" i="18"/>
  <c r="AJ58" i="18"/>
  <c r="AI58" i="18"/>
  <c r="V53" i="18"/>
  <c r="AO29" i="18"/>
  <c r="AM29" i="18"/>
  <c r="AP29" i="18"/>
  <c r="AN29" i="18"/>
  <c r="AO58" i="18"/>
  <c r="AM58" i="18"/>
  <c r="AP58" i="18"/>
  <c r="AN58" i="18"/>
  <c r="P32" i="18"/>
  <c r="AG30" i="18"/>
  <c r="AA44" i="18"/>
  <c r="AR42" i="18"/>
  <c r="AR17" i="18" s="1"/>
  <c r="N30" i="18"/>
  <c r="AE30" i="18" s="1"/>
  <c r="AE31" i="18"/>
  <c r="N53" i="18"/>
  <c r="AE54" i="18"/>
  <c r="R51" i="18"/>
  <c r="AI30" i="18"/>
  <c r="AB51" i="18"/>
  <c r="AS30" i="18"/>
  <c r="W52" i="18"/>
  <c r="AN36" i="18"/>
  <c r="AN52" i="18" s="1"/>
  <c r="S44" i="18"/>
  <c r="AJ42" i="18"/>
  <c r="AC44" i="18"/>
  <c r="AT42" i="18"/>
  <c r="AL29" i="18"/>
  <c r="AJ29" i="18"/>
  <c r="AK29" i="18"/>
  <c r="AI29" i="18"/>
  <c r="R22" i="18"/>
  <c r="AK64" i="18"/>
  <c r="AJ64" i="18"/>
  <c r="AI64" i="18"/>
  <c r="AL64" i="18"/>
  <c r="V30" i="18"/>
  <c r="AM31" i="18"/>
  <c r="AP64" i="18"/>
  <c r="AN64" i="18"/>
  <c r="AO64" i="18"/>
  <c r="AO69" i="18" s="1"/>
  <c r="AM64" i="18"/>
  <c r="AT41" i="18"/>
  <c r="AT44" i="18" s="1"/>
  <c r="AS41" i="18"/>
  <c r="AR41" i="18"/>
  <c r="AQ41" i="18"/>
  <c r="AP69" i="18"/>
  <c r="AH35" i="18"/>
  <c r="AF35" i="18"/>
  <c r="AG35" i="18"/>
  <c r="AE35" i="18"/>
  <c r="AG58" i="18"/>
  <c r="AE58" i="18"/>
  <c r="AF58" i="18"/>
  <c r="AH58" i="18"/>
  <c r="S32" i="18"/>
  <c r="AJ30" i="18"/>
  <c r="AC51" i="18"/>
  <c r="AT30" i="18"/>
  <c r="X60" i="18"/>
  <c r="AO36" i="18"/>
  <c r="AO52" i="18" s="1"/>
  <c r="T44" i="18"/>
  <c r="AK42" i="18"/>
  <c r="R67" i="18"/>
  <c r="AI67" i="18" s="1"/>
  <c r="AI68" i="18"/>
  <c r="V67" i="18"/>
  <c r="AM67" i="18" s="1"/>
  <c r="AM68" i="18"/>
  <c r="Z42" i="18"/>
  <c r="AQ43" i="18"/>
  <c r="Y32" i="18"/>
  <c r="AP30" i="18"/>
  <c r="AK49" i="18"/>
  <c r="AL49" i="18"/>
  <c r="AJ49" i="18"/>
  <c r="AI49" i="18"/>
  <c r="N36" i="18"/>
  <c r="AE36" i="18" s="1"/>
  <c r="AE52" i="18" s="1"/>
  <c r="AE37" i="18"/>
  <c r="T32" i="18"/>
  <c r="AK30" i="18"/>
  <c r="P52" i="18"/>
  <c r="AG36" i="18"/>
  <c r="AG52" i="18" s="1"/>
  <c r="Y60" i="18"/>
  <c r="AP60" i="18" s="1"/>
  <c r="AP59" i="18" s="1"/>
  <c r="AP36" i="18"/>
  <c r="AP52" i="18" s="1"/>
  <c r="U66" i="18"/>
  <c r="AL66" i="18" s="1"/>
  <c r="AL65" i="18" s="1"/>
  <c r="AL42" i="18"/>
  <c r="R36" i="18"/>
  <c r="AI36" i="18" s="1"/>
  <c r="AI52" i="18" s="1"/>
  <c r="AI37" i="18"/>
  <c r="R53" i="18"/>
  <c r="AI54" i="18"/>
  <c r="AI53" i="18" s="1"/>
  <c r="AP35" i="18"/>
  <c r="AN35" i="18"/>
  <c r="AO35" i="18"/>
  <c r="AO38" i="18" s="1"/>
  <c r="AM35" i="18"/>
  <c r="AM38" i="18" s="1"/>
  <c r="Z51" i="18"/>
  <c r="AQ30" i="18"/>
  <c r="AS49" i="18"/>
  <c r="AT49" i="18"/>
  <c r="AR49" i="18"/>
  <c r="AQ49" i="18"/>
  <c r="P44" i="18"/>
  <c r="AG42" i="18"/>
  <c r="AG41" i="18"/>
  <c r="AG44" i="18" s="1"/>
  <c r="AF41" i="18"/>
  <c r="AE41" i="18"/>
  <c r="AH41" i="18"/>
  <c r="AH44" i="18" s="1"/>
  <c r="AL51" i="18"/>
  <c r="Q52" i="18"/>
  <c r="AH36" i="18"/>
  <c r="AH52" i="18" s="1"/>
  <c r="W66" i="18"/>
  <c r="AN66" i="18" s="1"/>
  <c r="AN65" i="18" s="1"/>
  <c r="AN42" i="18"/>
  <c r="AK35" i="18"/>
  <c r="AI35" i="18"/>
  <c r="AI38" i="18" s="1"/>
  <c r="AL35" i="18"/>
  <c r="AJ35" i="18"/>
  <c r="AO41" i="18"/>
  <c r="AM41" i="18"/>
  <c r="AP41" i="18"/>
  <c r="AN41" i="18"/>
  <c r="AN44" i="18" s="1"/>
  <c r="AT29" i="18"/>
  <c r="AR29" i="18"/>
  <c r="AS29" i="18"/>
  <c r="AQ29" i="18"/>
  <c r="AH64" i="18"/>
  <c r="AH69" i="18" s="1"/>
  <c r="AF64" i="18"/>
  <c r="AG64" i="18"/>
  <c r="AE64" i="18"/>
  <c r="U38" i="18"/>
  <c r="AL36" i="18"/>
  <c r="AL52" i="18" s="1"/>
  <c r="N42" i="18"/>
  <c r="N44" i="18" s="1"/>
  <c r="AE43" i="18"/>
  <c r="W32" i="18"/>
  <c r="AN30" i="18"/>
  <c r="S38" i="18"/>
  <c r="AJ36" i="18"/>
  <c r="AJ52" i="18" s="1"/>
  <c r="AB38" i="18"/>
  <c r="AS36" i="18"/>
  <c r="AS52" i="18" s="1"/>
  <c r="X44" i="18"/>
  <c r="AO42" i="18"/>
  <c r="AL41" i="18"/>
  <c r="AL44" i="18" s="1"/>
  <c r="AJ41" i="18"/>
  <c r="AK41" i="18"/>
  <c r="AI41" i="18"/>
  <c r="V42" i="18"/>
  <c r="V17" i="18" s="1"/>
  <c r="AM43" i="18"/>
  <c r="AT58" i="18"/>
  <c r="AR58" i="18"/>
  <c r="AS58" i="18"/>
  <c r="AQ58" i="18"/>
  <c r="P66" i="18"/>
  <c r="AG66" i="18" s="1"/>
  <c r="AG65" i="18" s="1"/>
  <c r="AH49" i="18"/>
  <c r="AF49" i="18"/>
  <c r="AE49" i="18"/>
  <c r="AG49" i="18"/>
  <c r="X51" i="18"/>
  <c r="AO30" i="18"/>
  <c r="T38" i="18"/>
  <c r="AK36" i="18"/>
  <c r="AK52" i="18" s="1"/>
  <c r="AC52" i="18"/>
  <c r="AT36" i="18"/>
  <c r="AT52" i="18" s="1"/>
  <c r="Y44" i="18"/>
  <c r="AP42" i="18"/>
  <c r="AA38" i="18"/>
  <c r="R42" i="18"/>
  <c r="R17" i="18" s="1"/>
  <c r="R18" i="18" s="1"/>
  <c r="AI43" i="18"/>
  <c r="AP49" i="18"/>
  <c r="AN49" i="18"/>
  <c r="AM49" i="18"/>
  <c r="AO49" i="18"/>
  <c r="AS35" i="18"/>
  <c r="AQ35" i="18"/>
  <c r="AT35" i="18"/>
  <c r="AR35" i="18"/>
  <c r="AR38" i="18" s="1"/>
  <c r="AE32" i="18"/>
  <c r="AE51" i="18"/>
  <c r="O52" i="18"/>
  <c r="AF36" i="18"/>
  <c r="O66" i="18"/>
  <c r="AF66" i="18" s="1"/>
  <c r="AF65" i="18" s="1"/>
  <c r="AF42" i="18"/>
  <c r="X59" i="18"/>
  <c r="X61" i="18" s="1"/>
  <c r="AO60" i="18"/>
  <c r="AO59" i="18" s="1"/>
  <c r="P59" i="18"/>
  <c r="P61" i="18" s="1"/>
  <c r="AG60" i="18"/>
  <c r="AG59" i="18" s="1"/>
  <c r="O51" i="18"/>
  <c r="O50" i="18" s="1"/>
  <c r="O55" i="18" s="1"/>
  <c r="AF30" i="18"/>
  <c r="Y59" i="18"/>
  <c r="Y61" i="18" s="1"/>
  <c r="R52" i="18"/>
  <c r="Q51" i="18"/>
  <c r="Q50" i="18" s="1"/>
  <c r="Q55" i="18" s="1"/>
  <c r="I17" i="18"/>
  <c r="I18" i="18" s="1"/>
  <c r="Z44" i="18"/>
  <c r="P51" i="18"/>
  <c r="P50" i="18" s="1"/>
  <c r="P55" i="18" s="1"/>
  <c r="P17" i="18"/>
  <c r="P18" i="18" s="1"/>
  <c r="P65" i="18"/>
  <c r="P69" i="18" s="1"/>
  <c r="Q60" i="18"/>
  <c r="T60" i="18"/>
  <c r="P38" i="18"/>
  <c r="Q38" i="18"/>
  <c r="Z52" i="18"/>
  <c r="T66" i="18"/>
  <c r="AK66" i="18" s="1"/>
  <c r="AK65" i="18" s="1"/>
  <c r="W38" i="18"/>
  <c r="AC66" i="18"/>
  <c r="AC17" i="18"/>
  <c r="AC18" i="18" s="1"/>
  <c r="AC32" i="18"/>
  <c r="AB44" i="18"/>
  <c r="AB17" i="18"/>
  <c r="AB18" i="18" s="1"/>
  <c r="AB32" i="18"/>
  <c r="AA66" i="18"/>
  <c r="AR66" i="18" s="1"/>
  <c r="AR65" i="18" s="1"/>
  <c r="AR69" i="18" s="1"/>
  <c r="AA17" i="18"/>
  <c r="AA32" i="18"/>
  <c r="AA51" i="18"/>
  <c r="O38" i="18"/>
  <c r="O44" i="18"/>
  <c r="O32" i="18"/>
  <c r="Y38" i="18"/>
  <c r="X52" i="18"/>
  <c r="X38" i="18"/>
  <c r="X32" i="18"/>
  <c r="Z22" i="18"/>
  <c r="W44" i="18"/>
  <c r="Z16" i="18"/>
  <c r="Z17" i="18"/>
  <c r="Z32" i="18"/>
  <c r="V16" i="18"/>
  <c r="V38" i="18"/>
  <c r="U44" i="18"/>
  <c r="U17" i="18"/>
  <c r="U18" i="18" s="1"/>
  <c r="U51" i="18"/>
  <c r="U50" i="18" s="1"/>
  <c r="U55" i="18" s="1"/>
  <c r="U32" i="18"/>
  <c r="T17" i="18"/>
  <c r="T18" i="18" s="1"/>
  <c r="S17" i="18"/>
  <c r="S18" i="18" s="1"/>
  <c r="S51" i="18"/>
  <c r="R44" i="18"/>
  <c r="R38" i="18"/>
  <c r="W17" i="18"/>
  <c r="W18" i="18" s="1"/>
  <c r="S60" i="18"/>
  <c r="AA52" i="18"/>
  <c r="T52" i="18"/>
  <c r="T50" i="18" s="1"/>
  <c r="T55" i="18" s="1"/>
  <c r="V51" i="18"/>
  <c r="X17" i="18"/>
  <c r="X18" i="18" s="1"/>
  <c r="U60" i="18"/>
  <c r="AC60" i="18"/>
  <c r="W51" i="18"/>
  <c r="W50" i="18" s="1"/>
  <c r="W55" i="18" s="1"/>
  <c r="Q17" i="18"/>
  <c r="Q18" i="18" s="1"/>
  <c r="Y17" i="18"/>
  <c r="Y18" i="18" s="1"/>
  <c r="AA60" i="18"/>
  <c r="AB60" i="18"/>
  <c r="L60" i="18"/>
  <c r="L59" i="18" s="1"/>
  <c r="L61" i="18" s="1"/>
  <c r="V60" i="18"/>
  <c r="L52" i="18"/>
  <c r="S52" i="18"/>
  <c r="O60" i="18"/>
  <c r="W60" i="18"/>
  <c r="X65" i="18"/>
  <c r="X69" i="18" s="1"/>
  <c r="Q65" i="18"/>
  <c r="Q69" i="18" s="1"/>
  <c r="Y65" i="18"/>
  <c r="Y69" i="18" s="1"/>
  <c r="W65" i="18"/>
  <c r="W69" i="18" s="1"/>
  <c r="S65" i="18"/>
  <c r="S69" i="18" s="1"/>
  <c r="O65" i="18"/>
  <c r="O69" i="18" s="1"/>
  <c r="O17" i="18"/>
  <c r="O18" i="18" s="1"/>
  <c r="M17" i="18"/>
  <c r="M18" i="18" s="1"/>
  <c r="L17" i="18"/>
  <c r="L18" i="18" s="1"/>
  <c r="M38" i="18"/>
  <c r="M66" i="18"/>
  <c r="M65" i="18" s="1"/>
  <c r="M69" i="18" s="1"/>
  <c r="L66" i="18"/>
  <c r="L65" i="18" s="1"/>
  <c r="L69" i="18" s="1"/>
  <c r="Z50" i="18"/>
  <c r="Z55" i="18" s="1"/>
  <c r="AB50" i="18"/>
  <c r="AB55" i="18" s="1"/>
  <c r="Y50" i="18"/>
  <c r="N22" i="18"/>
  <c r="N16" i="18"/>
  <c r="N51" i="18"/>
  <c r="M52" i="18"/>
  <c r="M51" i="18"/>
  <c r="U65" i="18"/>
  <c r="U69" i="18" s="1"/>
  <c r="L51" i="18"/>
  <c r="I44" i="18"/>
  <c r="H52" i="18"/>
  <c r="K52" i="18"/>
  <c r="I65" i="18"/>
  <c r="I69" i="18" s="1"/>
  <c r="H17" i="18"/>
  <c r="H18" i="18" s="1"/>
  <c r="F65" i="18"/>
  <c r="F69" i="18" s="1"/>
  <c r="I52" i="18"/>
  <c r="K60" i="18"/>
  <c r="K59" i="18" s="1"/>
  <c r="K61" i="18" s="1"/>
  <c r="H51" i="18"/>
  <c r="K17" i="18"/>
  <c r="K18" i="18" s="1"/>
  <c r="I51" i="18"/>
  <c r="G52" i="18"/>
  <c r="G50" i="18" s="1"/>
  <c r="G55" i="18" s="1"/>
  <c r="K51" i="18"/>
  <c r="K66" i="18"/>
  <c r="E51" i="18"/>
  <c r="G66" i="18"/>
  <c r="H66" i="18"/>
  <c r="G60" i="18"/>
  <c r="H60" i="18"/>
  <c r="H59" i="18" s="1"/>
  <c r="H61" i="18" s="1"/>
  <c r="I60" i="18"/>
  <c r="I59" i="18" s="1"/>
  <c r="I61" i="18" s="1"/>
  <c r="E32" i="18"/>
  <c r="F51" i="18"/>
  <c r="C66" i="18"/>
  <c r="D66" i="18"/>
  <c r="C32" i="18"/>
  <c r="F44" i="18"/>
  <c r="E66" i="18"/>
  <c r="F17" i="18"/>
  <c r="F18" i="18" s="1"/>
  <c r="H32" i="18"/>
  <c r="G17" i="18"/>
  <c r="G18" i="18" s="1"/>
  <c r="E52" i="18"/>
  <c r="E60" i="18"/>
  <c r="E59" i="18" s="1"/>
  <c r="E61" i="18" s="1"/>
  <c r="D38" i="18"/>
  <c r="C60" i="18"/>
  <c r="C59" i="18" s="1"/>
  <c r="C61" i="18" s="1"/>
  <c r="G32" i="18"/>
  <c r="D51" i="18"/>
  <c r="D60" i="18"/>
  <c r="D59" i="18" s="1"/>
  <c r="D61" i="18" s="1"/>
  <c r="F38" i="18"/>
  <c r="I32" i="18"/>
  <c r="F60" i="18"/>
  <c r="F59" i="18" s="1"/>
  <c r="F61" i="18" s="1"/>
  <c r="C52" i="18"/>
  <c r="C51" i="18"/>
  <c r="D32" i="18"/>
  <c r="E18" i="18"/>
  <c r="O52" i="8"/>
  <c r="P52" i="8"/>
  <c r="AE46" i="8"/>
  <c r="AE52" i="8" s="1"/>
  <c r="L46" i="8"/>
  <c r="L52" i="8" s="1"/>
  <c r="K46" i="8"/>
  <c r="K52" i="8" s="1"/>
  <c r="M66" i="8"/>
  <c r="M73" i="8" s="1"/>
  <c r="M75" i="8" s="1"/>
  <c r="AF57" i="8"/>
  <c r="AF60" i="8" s="1"/>
  <c r="AF66" i="8" s="1"/>
  <c r="D18" i="18"/>
  <c r="C18" i="18"/>
  <c r="AA18" i="18"/>
  <c r="AQ60" i="8"/>
  <c r="AE57" i="8"/>
  <c r="L60" i="8"/>
  <c r="L66" i="8" s="1"/>
  <c r="L73" i="8" s="1"/>
  <c r="Q66" i="8"/>
  <c r="O66" i="8"/>
  <c r="AJ10" i="10"/>
  <c r="AK10" i="10"/>
  <c r="AM10" i="10" s="1"/>
  <c r="AR60" i="8"/>
  <c r="AS60" i="8"/>
  <c r="AO60" i="8"/>
  <c r="N60" i="8"/>
  <c r="N66" i="8" s="1"/>
  <c r="V60" i="8"/>
  <c r="R60" i="8"/>
  <c r="Z60" i="8"/>
  <c r="M22" i="8"/>
  <c r="M28" i="8" s="1"/>
  <c r="M32" i="8" s="1"/>
  <c r="M83" i="8" s="1"/>
  <c r="U22" i="8"/>
  <c r="U28" i="8" s="1"/>
  <c r="U32" i="8" s="1"/>
  <c r="U83" i="8" s="1"/>
  <c r="D14" i="10"/>
  <c r="R72" i="8"/>
  <c r="AG86" i="8"/>
  <c r="AG95" i="8"/>
  <c r="AG134" i="8"/>
  <c r="AE125" i="8"/>
  <c r="AF72" i="8"/>
  <c r="AG21" i="8"/>
  <c r="AK85" i="9"/>
  <c r="AG96" i="8"/>
  <c r="AE72" i="8"/>
  <c r="AG46" i="8"/>
  <c r="AG52" i="8" s="1"/>
  <c r="AG72" i="8"/>
  <c r="AE21" i="8"/>
  <c r="Y22" i="9"/>
  <c r="AE11" i="8"/>
  <c r="AE16" i="8" s="1"/>
  <c r="AF11" i="8"/>
  <c r="AF16" i="8" s="1"/>
  <c r="AE19" i="8"/>
  <c r="AE20" i="8"/>
  <c r="AE56" i="8"/>
  <c r="AE86" i="8"/>
  <c r="AE95" i="8"/>
  <c r="AE96" i="8"/>
  <c r="AE134" i="8"/>
  <c r="AG11" i="8"/>
  <c r="AG16" i="8" s="1"/>
  <c r="AF19" i="8"/>
  <c r="AF20" i="8"/>
  <c r="AF86" i="8"/>
  <c r="AF95" i="8"/>
  <c r="AF96" i="8"/>
  <c r="AF125" i="8"/>
  <c r="AF134" i="8"/>
  <c r="AG56" i="8"/>
  <c r="AG60" i="8" s="1"/>
  <c r="AG66" i="8" s="1"/>
  <c r="AE39" i="8"/>
  <c r="AE40" i="8"/>
  <c r="AF39" i="8"/>
  <c r="AF40" i="8"/>
  <c r="AG39" i="8"/>
  <c r="AG40" i="8"/>
  <c r="AG125" i="8"/>
  <c r="AO99" i="8"/>
  <c r="AL99" i="8"/>
  <c r="AM99" i="8"/>
  <c r="AQ99" i="8"/>
  <c r="AN99" i="8"/>
  <c r="AF99" i="8"/>
  <c r="AH98" i="8"/>
  <c r="AK98" i="8"/>
  <c r="AJ98" i="8"/>
  <c r="AI98" i="8"/>
  <c r="AM98" i="8"/>
  <c r="AF98" i="8"/>
  <c r="AS98" i="8"/>
  <c r="AL98" i="8"/>
  <c r="AN98" i="8"/>
  <c r="U66" i="8"/>
  <c r="AS95" i="8"/>
  <c r="AS97" i="8"/>
  <c r="AH21" i="8"/>
  <c r="AS21" i="8"/>
  <c r="AQ21" i="8"/>
  <c r="AI21" i="8"/>
  <c r="AJ21" i="8"/>
  <c r="AP21" i="8"/>
  <c r="AL21" i="8"/>
  <c r="AM21" i="8"/>
  <c r="AN21" i="8"/>
  <c r="AC46" i="8"/>
  <c r="AS72" i="8"/>
  <c r="AS46" i="8"/>
  <c r="AS10" i="8"/>
  <c r="T66" i="8"/>
  <c r="AS19" i="8"/>
  <c r="AS20" i="8"/>
  <c r="AS96" i="8"/>
  <c r="AS39" i="8"/>
  <c r="AS40" i="8"/>
  <c r="AL58" i="8"/>
  <c r="AD85" i="9"/>
  <c r="AH58" i="8"/>
  <c r="AP58" i="8"/>
  <c r="Z85" i="9"/>
  <c r="S66" i="8"/>
  <c r="N85" i="9"/>
  <c r="M85" i="9"/>
  <c r="U85" i="9"/>
  <c r="O85" i="9"/>
  <c r="Q85" i="9"/>
  <c r="R85" i="9"/>
  <c r="AF85" i="9"/>
  <c r="Y85" i="9"/>
  <c r="AG85" i="9"/>
  <c r="AC85" i="9"/>
  <c r="AI85" i="9"/>
  <c r="AE85" i="9"/>
  <c r="AB85" i="9"/>
  <c r="AA85" i="9"/>
  <c r="AH69" i="9"/>
  <c r="T46" i="8"/>
  <c r="T52" i="8" s="1"/>
  <c r="E118" i="8"/>
  <c r="F118" i="8"/>
  <c r="AB118" i="8"/>
  <c r="O118" i="8"/>
  <c r="W118" i="8"/>
  <c r="P118" i="8"/>
  <c r="X118" i="8"/>
  <c r="K118" i="8"/>
  <c r="L118" i="8"/>
  <c r="AB46" i="8"/>
  <c r="AB52" i="8" s="1"/>
  <c r="Y46" i="8"/>
  <c r="Y52" i="8" s="1"/>
  <c r="S46" i="8"/>
  <c r="S52" i="8" s="1"/>
  <c r="X46" i="8"/>
  <c r="X52" i="8" s="1"/>
  <c r="W46" i="8"/>
  <c r="W52" i="8" s="1"/>
  <c r="I66" i="8"/>
  <c r="AO134" i="8"/>
  <c r="Y15" i="9"/>
  <c r="Y27" i="9" s="1"/>
  <c r="Y21" i="9"/>
  <c r="AF55" i="9"/>
  <c r="AB26" i="9"/>
  <c r="Y55" i="9"/>
  <c r="AC62" i="9"/>
  <c r="AR97" i="8"/>
  <c r="AE55" i="9"/>
  <c r="Y36" i="9"/>
  <c r="Y62" i="9"/>
  <c r="AB55" i="9"/>
  <c r="AA55" i="9"/>
  <c r="AC55" i="9"/>
  <c r="Y20" i="9"/>
  <c r="AR95" i="8"/>
  <c r="AO95" i="8"/>
  <c r="AK86" i="8"/>
  <c r="AP134" i="8"/>
  <c r="AO96" i="8"/>
  <c r="AM134" i="8"/>
  <c r="AN134" i="8"/>
  <c r="AK97" i="8"/>
  <c r="AL134" i="8"/>
  <c r="AI86" i="8"/>
  <c r="AH86" i="8"/>
  <c r="AH96" i="8"/>
  <c r="AJ97" i="8"/>
  <c r="AJ86" i="8"/>
  <c r="AK95" i="8"/>
  <c r="AQ96" i="8"/>
  <c r="AL95" i="8"/>
  <c r="AN97" i="8"/>
  <c r="AM95" i="8"/>
  <c r="AJ96" i="8"/>
  <c r="AR96" i="8"/>
  <c r="AO97" i="8"/>
  <c r="AN95" i="8"/>
  <c r="AK96" i="8"/>
  <c r="AH97" i="8"/>
  <c r="AP97" i="8"/>
  <c r="AI97" i="8"/>
  <c r="AQ97" i="8"/>
  <c r="AH95" i="8"/>
  <c r="AP95" i="8"/>
  <c r="AQ95" i="8"/>
  <c r="AJ95" i="8"/>
  <c r="AL97" i="8"/>
  <c r="R11" i="8"/>
  <c r="AH19" i="8"/>
  <c r="V11" i="8"/>
  <c r="V16" i="8" s="1"/>
  <c r="AJ20" i="8"/>
  <c r="N22" i="8"/>
  <c r="AH20" i="8"/>
  <c r="AI20" i="8"/>
  <c r="AP20" i="8"/>
  <c r="AQ20" i="8"/>
  <c r="AN19" i="8"/>
  <c r="AO19" i="8"/>
  <c r="AL19" i="8"/>
  <c r="AP19" i="8"/>
  <c r="AQ19" i="8"/>
  <c r="AL20" i="8"/>
  <c r="AM20" i="8"/>
  <c r="AN20" i="8"/>
  <c r="AI19" i="8"/>
  <c r="AJ19" i="8"/>
  <c r="V72" i="8"/>
  <c r="V46" i="8"/>
  <c r="V52" i="8" s="1"/>
  <c r="Z46" i="8"/>
  <c r="Z52" i="8" s="1"/>
  <c r="N72" i="8"/>
  <c r="N46" i="8"/>
  <c r="N52" i="8" s="1"/>
  <c r="AL44" i="8"/>
  <c r="AP43" i="8"/>
  <c r="Q17" i="8"/>
  <c r="O17" i="8"/>
  <c r="K17" i="8"/>
  <c r="F66" i="14"/>
  <c r="E66" i="14"/>
  <c r="D66" i="14"/>
  <c r="Y6" i="9" l="1"/>
  <c r="D28" i="14"/>
  <c r="AI9" i="9"/>
  <c r="AJ9" i="9"/>
  <c r="AH9" i="9"/>
  <c r="AK9" i="9"/>
  <c r="AM9" i="9" s="1"/>
  <c r="E28" i="14"/>
  <c r="E60" i="14" s="1"/>
  <c r="AI8" i="9"/>
  <c r="AJ8" i="9"/>
  <c r="AK8" i="9"/>
  <c r="AM8" i="9" s="1"/>
  <c r="AH8" i="9"/>
  <c r="AH7" i="9"/>
  <c r="AI7" i="9"/>
  <c r="AJ7" i="9"/>
  <c r="AK7" i="9"/>
  <c r="AM7" i="9" s="1"/>
  <c r="Y14" i="10"/>
  <c r="Y15" i="10" s="1"/>
  <c r="AC17" i="8"/>
  <c r="T22" i="8"/>
  <c r="X17" i="8"/>
  <c r="W17" i="8"/>
  <c r="F113" i="19"/>
  <c r="F122" i="19" s="1"/>
  <c r="AC23" i="8"/>
  <c r="AC28" i="8"/>
  <c r="AC32" i="8" s="1"/>
  <c r="AC83" i="8" s="1"/>
  <c r="L22" i="8"/>
  <c r="L23" i="8" s="1"/>
  <c r="P17" i="8"/>
  <c r="K28" i="8"/>
  <c r="K32" i="8" s="1"/>
  <c r="K33" i="8" s="1"/>
  <c r="K23" i="8"/>
  <c r="S22" i="8"/>
  <c r="R16" i="8"/>
  <c r="R22" i="8" s="1"/>
  <c r="AP60" i="8"/>
  <c r="AU103" i="8"/>
  <c r="E97" i="19"/>
  <c r="E122" i="19" s="1"/>
  <c r="AK69" i="18"/>
  <c r="AF22" i="18"/>
  <c r="AN69" i="18"/>
  <c r="AF69" i="18"/>
  <c r="AG69" i="18"/>
  <c r="AS69" i="18"/>
  <c r="AE22" i="18"/>
  <c r="N38" i="18"/>
  <c r="AQ36" i="18"/>
  <c r="AQ52" i="18" s="1"/>
  <c r="Z38" i="18"/>
  <c r="N52" i="18"/>
  <c r="AE38" i="18"/>
  <c r="N60" i="18"/>
  <c r="V18" i="18"/>
  <c r="N32" i="18"/>
  <c r="AU107" i="8"/>
  <c r="AU96" i="8"/>
  <c r="AU19" i="8"/>
  <c r="AU111" i="8"/>
  <c r="AJ46" i="9"/>
  <c r="AK46" i="9"/>
  <c r="AH46" i="9"/>
  <c r="AI46" i="9"/>
  <c r="AH43" i="9"/>
  <c r="AJ43" i="9"/>
  <c r="AI43" i="9"/>
  <c r="AK43" i="9"/>
  <c r="AS52" i="8"/>
  <c r="AU116" i="8"/>
  <c r="AU97" i="8"/>
  <c r="AS66" i="8"/>
  <c r="AS73" i="8" s="1"/>
  <c r="AU60" i="8"/>
  <c r="AU106" i="8"/>
  <c r="AU95" i="8"/>
  <c r="AU31" i="8"/>
  <c r="AU27" i="8"/>
  <c r="AU25" i="8"/>
  <c r="AU21" i="8"/>
  <c r="AU20" i="8"/>
  <c r="AS11" i="8"/>
  <c r="AS16" i="8" s="1"/>
  <c r="AU10" i="8"/>
  <c r="T55" i="9"/>
  <c r="L55" i="9"/>
  <c r="AH52" i="9"/>
  <c r="AH55" i="9" s="1"/>
  <c r="AF88" i="9"/>
  <c r="AF97" i="9" s="1"/>
  <c r="AE88" i="9"/>
  <c r="AE97" i="9" s="1"/>
  <c r="W88" i="9"/>
  <c r="W97" i="9" s="1"/>
  <c r="AK37" i="9"/>
  <c r="AG37" i="9"/>
  <c r="Z87" i="9"/>
  <c r="Z88" i="9" s="1"/>
  <c r="Z97" i="9" s="1"/>
  <c r="AC88" i="9"/>
  <c r="AC97" i="9" s="1"/>
  <c r="AA63" i="9"/>
  <c r="AC63" i="9"/>
  <c r="O73" i="8"/>
  <c r="O75" i="8" s="1"/>
  <c r="AK63" i="9"/>
  <c r="AG88" i="9"/>
  <c r="AG97" i="9" s="1"/>
  <c r="T73" i="8"/>
  <c r="T75" i="8" s="1"/>
  <c r="AB63" i="9"/>
  <c r="Q73" i="8"/>
  <c r="Q75" i="8" s="1"/>
  <c r="Y63" i="9"/>
  <c r="Y88" i="9"/>
  <c r="Y97" i="9" s="1"/>
  <c r="AK88" i="9"/>
  <c r="AK97" i="9" s="1"/>
  <c r="AD87" i="9"/>
  <c r="AD88" i="9" s="1"/>
  <c r="AD97" i="9" s="1"/>
  <c r="R66" i="8"/>
  <c r="Z63" i="9" s="1"/>
  <c r="Z62" i="9"/>
  <c r="AB88" i="9"/>
  <c r="AB97" i="9" s="1"/>
  <c r="AA88" i="9"/>
  <c r="AA97" i="9" s="1"/>
  <c r="AK44" i="18"/>
  <c r="AF44" i="18"/>
  <c r="AJ38" i="18"/>
  <c r="AL17" i="18"/>
  <c r="AN38" i="18"/>
  <c r="AS38" i="18"/>
  <c r="AC50" i="18"/>
  <c r="AC55" i="18" s="1"/>
  <c r="AJ69" i="18"/>
  <c r="AE42" i="18"/>
  <c r="AE44" i="18" s="1"/>
  <c r="AH38" i="18"/>
  <c r="AB65" i="18"/>
  <c r="AB69" i="18" s="1"/>
  <c r="X50" i="18"/>
  <c r="X55" i="18" s="1"/>
  <c r="R50" i="18"/>
  <c r="R55" i="18" s="1"/>
  <c r="AJ44" i="18"/>
  <c r="AS44" i="18"/>
  <c r="AH16" i="18"/>
  <c r="AH32" i="18"/>
  <c r="N66" i="18"/>
  <c r="AO22" i="18"/>
  <c r="AR16" i="18"/>
  <c r="AR18" i="18" s="1"/>
  <c r="AR32" i="18"/>
  <c r="AL38" i="18"/>
  <c r="AL50" i="18"/>
  <c r="AL55" i="18" s="1"/>
  <c r="AR22" i="18"/>
  <c r="AR55" i="18"/>
  <c r="AP38" i="18"/>
  <c r="AJ22" i="18"/>
  <c r="AG38" i="18"/>
  <c r="AE16" i="18"/>
  <c r="AG22" i="18"/>
  <c r="AS32" i="18"/>
  <c r="AS16" i="18"/>
  <c r="AI22" i="18"/>
  <c r="AT51" i="18"/>
  <c r="AT50" i="18" s="1"/>
  <c r="AT55" i="18" s="1"/>
  <c r="AT17" i="18"/>
  <c r="AI51" i="18"/>
  <c r="AI50" i="18" s="1"/>
  <c r="AI55" i="18" s="1"/>
  <c r="AM22" i="18"/>
  <c r="V66" i="18"/>
  <c r="AM42" i="18"/>
  <c r="AM44" i="18" s="1"/>
  <c r="AT32" i="18"/>
  <c r="AT16" i="18"/>
  <c r="AT22" i="18"/>
  <c r="AL22" i="18"/>
  <c r="AJ17" i="18"/>
  <c r="AJ51" i="18"/>
  <c r="AJ50" i="18" s="1"/>
  <c r="AJ55" i="18" s="1"/>
  <c r="AN32" i="18"/>
  <c r="AN16" i="18"/>
  <c r="AG16" i="18"/>
  <c r="AG32" i="18"/>
  <c r="AN22" i="18"/>
  <c r="AH22" i="18"/>
  <c r="AK38" i="18"/>
  <c r="AS22" i="18"/>
  <c r="AK22" i="18"/>
  <c r="AG51" i="18"/>
  <c r="AG50" i="18" s="1"/>
  <c r="AG55" i="18" s="1"/>
  <c r="AG17" i="18"/>
  <c r="AP16" i="18"/>
  <c r="AP32" i="18"/>
  <c r="AH51" i="18"/>
  <c r="AH50" i="18" s="1"/>
  <c r="AH55" i="18" s="1"/>
  <c r="AH17" i="18"/>
  <c r="AQ22" i="18"/>
  <c r="V50" i="18"/>
  <c r="V55" i="18" s="1"/>
  <c r="AQ60" i="18"/>
  <c r="AQ59" i="18" s="1"/>
  <c r="AP22" i="18"/>
  <c r="AP44" i="18"/>
  <c r="AQ51" i="18"/>
  <c r="AQ50" i="18" s="1"/>
  <c r="AQ55" i="18" s="1"/>
  <c r="AK51" i="18"/>
  <c r="AK50" i="18" s="1"/>
  <c r="AK55" i="18" s="1"/>
  <c r="AK17" i="18"/>
  <c r="AP17" i="18"/>
  <c r="AP51" i="18"/>
  <c r="AP50" i="18" s="1"/>
  <c r="AP55" i="18" s="1"/>
  <c r="AI16" i="18"/>
  <c r="AI32" i="18"/>
  <c r="AM16" i="18"/>
  <c r="AN51" i="18"/>
  <c r="AN50" i="18" s="1"/>
  <c r="AN55" i="18" s="1"/>
  <c r="AN17" i="18"/>
  <c r="AK32" i="18"/>
  <c r="AK16" i="18"/>
  <c r="AO16" i="18"/>
  <c r="AO32" i="18"/>
  <c r="N17" i="18"/>
  <c r="N18" i="18" s="1"/>
  <c r="AT38" i="18"/>
  <c r="R66" i="18"/>
  <c r="AI42" i="18"/>
  <c r="AI17" i="18" s="1"/>
  <c r="AO51" i="18"/>
  <c r="AO50" i="18" s="1"/>
  <c r="AO23" i="18" s="1"/>
  <c r="AO17" i="18"/>
  <c r="AO44" i="18"/>
  <c r="AR44" i="18"/>
  <c r="V32" i="18"/>
  <c r="AM30" i="18"/>
  <c r="AJ16" i="18"/>
  <c r="AJ32" i="18"/>
  <c r="AS51" i="18"/>
  <c r="AS50" i="18" s="1"/>
  <c r="AS55" i="18" s="1"/>
  <c r="AS17" i="18"/>
  <c r="AQ16" i="18"/>
  <c r="AQ32" i="18"/>
  <c r="V44" i="18"/>
  <c r="Z66" i="18"/>
  <c r="AQ42" i="18"/>
  <c r="AQ17" i="18" s="1"/>
  <c r="AL69" i="18"/>
  <c r="AL32" i="18"/>
  <c r="AL16" i="18"/>
  <c r="AL18" i="18" s="1"/>
  <c r="AF16" i="18"/>
  <c r="AA50" i="18"/>
  <c r="AA55" i="18" s="1"/>
  <c r="AF52" i="18"/>
  <c r="AF38" i="18"/>
  <c r="AF51" i="18"/>
  <c r="AF50" i="18" s="1"/>
  <c r="AF55" i="18" s="1"/>
  <c r="AF17" i="18"/>
  <c r="AF32" i="18"/>
  <c r="AE17" i="18"/>
  <c r="N59" i="18"/>
  <c r="N61" i="18" s="1"/>
  <c r="AE60" i="18"/>
  <c r="AE59" i="18" s="1"/>
  <c r="AE61" i="18" s="1"/>
  <c r="AB59" i="18"/>
  <c r="AB61" i="18" s="1"/>
  <c r="AS60" i="18"/>
  <c r="AS59" i="18" s="1"/>
  <c r="AP61" i="18"/>
  <c r="T65" i="18"/>
  <c r="T69" i="18" s="1"/>
  <c r="W59" i="18"/>
  <c r="W61" i="18" s="1"/>
  <c r="AN60" i="18"/>
  <c r="AN59" i="18" s="1"/>
  <c r="AA59" i="18"/>
  <c r="AA61" i="18" s="1"/>
  <c r="AR60" i="18"/>
  <c r="AR59" i="18" s="1"/>
  <c r="AA65" i="18"/>
  <c r="AA69" i="18" s="1"/>
  <c r="O59" i="18"/>
  <c r="O61" i="18" s="1"/>
  <c r="AF60" i="18"/>
  <c r="AF59" i="18" s="1"/>
  <c r="AF61" i="18" s="1"/>
  <c r="AG61" i="18"/>
  <c r="U59" i="18"/>
  <c r="U61" i="18" s="1"/>
  <c r="AL60" i="18"/>
  <c r="AL59" i="18" s="1"/>
  <c r="T59" i="18"/>
  <c r="T61" i="18" s="1"/>
  <c r="AK60" i="18"/>
  <c r="AK59" i="18" s="1"/>
  <c r="S59" i="18"/>
  <c r="S61" i="18" s="1"/>
  <c r="AJ60" i="18"/>
  <c r="AJ59" i="18" s="1"/>
  <c r="AC65" i="18"/>
  <c r="AC69" i="18" s="1"/>
  <c r="AT66" i="18"/>
  <c r="AT65" i="18" s="1"/>
  <c r="AT69" i="18" s="1"/>
  <c r="AO61" i="18"/>
  <c r="V59" i="18"/>
  <c r="V61" i="18" s="1"/>
  <c r="AM60" i="18"/>
  <c r="AM59" i="18" s="1"/>
  <c r="AC59" i="18"/>
  <c r="AC61" i="18" s="1"/>
  <c r="AT60" i="18"/>
  <c r="AT59" i="18" s="1"/>
  <c r="Q59" i="18"/>
  <c r="Q61" i="18" s="1"/>
  <c r="AH60" i="18"/>
  <c r="AH59" i="18" s="1"/>
  <c r="S50" i="18"/>
  <c r="S55" i="18" s="1"/>
  <c r="Z18" i="18"/>
  <c r="G59" i="18"/>
  <c r="G61" i="18" s="1"/>
  <c r="R60" i="18"/>
  <c r="Y23" i="18"/>
  <c r="Y24" i="18" s="1"/>
  <c r="M50" i="18"/>
  <c r="M23" i="18" s="1"/>
  <c r="M24" i="18" s="1"/>
  <c r="N50" i="18"/>
  <c r="N55" i="18" s="1"/>
  <c r="L50" i="18"/>
  <c r="L55" i="18" s="1"/>
  <c r="I50" i="18"/>
  <c r="I55" i="18" s="1"/>
  <c r="H50" i="18"/>
  <c r="H55" i="18" s="1"/>
  <c r="C50" i="18"/>
  <c r="C55" i="18" s="1"/>
  <c r="K50" i="18"/>
  <c r="K55" i="18" s="1"/>
  <c r="D65" i="18"/>
  <c r="D69" i="18" s="1"/>
  <c r="H65" i="18"/>
  <c r="H69" i="18" s="1"/>
  <c r="C65" i="18"/>
  <c r="C69" i="18" s="1"/>
  <c r="G65" i="18"/>
  <c r="F50" i="18"/>
  <c r="F55" i="18" s="1"/>
  <c r="E50" i="18"/>
  <c r="E55" i="18" s="1"/>
  <c r="E65" i="18"/>
  <c r="E69" i="18" s="1"/>
  <c r="D50" i="18"/>
  <c r="D55" i="18" s="1"/>
  <c r="K65" i="18"/>
  <c r="K69" i="18" s="1"/>
  <c r="X23" i="18"/>
  <c r="X24" i="18" s="1"/>
  <c r="Y55" i="18"/>
  <c r="AB23" i="18"/>
  <c r="AB24" i="18" s="1"/>
  <c r="P23" i="18"/>
  <c r="P24" i="18" s="1"/>
  <c r="L75" i="8"/>
  <c r="AE60" i="8"/>
  <c r="AE66" i="8" s="1"/>
  <c r="AE73" i="8" s="1"/>
  <c r="AE75" i="8" s="1"/>
  <c r="V22" i="8"/>
  <c r="C28" i="14"/>
  <c r="F28" i="14"/>
  <c r="E61" i="14"/>
  <c r="Z22" i="9"/>
  <c r="AM21" i="9"/>
  <c r="AG22" i="9"/>
  <c r="AE17" i="8"/>
  <c r="AG22" i="8"/>
  <c r="AG28" i="8" s="1"/>
  <c r="AE22" i="9"/>
  <c r="AF22" i="9"/>
  <c r="AD22" i="9"/>
  <c r="AF73" i="8"/>
  <c r="AF75" i="8" s="1"/>
  <c r="AG73" i="8"/>
  <c r="AG75" i="8" s="1"/>
  <c r="AG17" i="8"/>
  <c r="AC22" i="9"/>
  <c r="AB22" i="9"/>
  <c r="AJ15" i="9"/>
  <c r="AJ27" i="9" s="1"/>
  <c r="AK15" i="9"/>
  <c r="AK27" i="9" s="1"/>
  <c r="AJ20" i="9"/>
  <c r="AK20" i="9"/>
  <c r="AC52" i="8"/>
  <c r="AC75" i="8" s="1"/>
  <c r="AK62" i="9"/>
  <c r="AK35" i="9"/>
  <c r="AK22" i="9"/>
  <c r="AI22" i="9"/>
  <c r="AJ22" i="9"/>
  <c r="AE108" i="8"/>
  <c r="AG97" i="8"/>
  <c r="AG98" i="8"/>
  <c r="AE98" i="8"/>
  <c r="AG99" i="8"/>
  <c r="AE99" i="8"/>
  <c r="AP125" i="8"/>
  <c r="AR125" i="8"/>
  <c r="AS125" i="8"/>
  <c r="AJ125" i="8"/>
  <c r="AQ125" i="8"/>
  <c r="U73" i="8"/>
  <c r="U75" i="8" s="1"/>
  <c r="AO98" i="8"/>
  <c r="AU98" i="8" s="1"/>
  <c r="AC118" i="8"/>
  <c r="AP99" i="8"/>
  <c r="AK99" i="8"/>
  <c r="AJ99" i="8"/>
  <c r="AI99" i="8"/>
  <c r="AS99" i="8"/>
  <c r="AU99" i="8" s="1"/>
  <c r="AR99" i="8"/>
  <c r="AH99" i="8"/>
  <c r="AQ98" i="8"/>
  <c r="AP98" i="8"/>
  <c r="AR98" i="8"/>
  <c r="N17" i="8"/>
  <c r="L85" i="9"/>
  <c r="S73" i="8"/>
  <c r="S75" i="8" s="1"/>
  <c r="P85" i="9"/>
  <c r="AH85" i="9"/>
  <c r="T85" i="9"/>
  <c r="AJ85" i="9"/>
  <c r="V85" i="9"/>
  <c r="AF31" i="9"/>
  <c r="Z41" i="9"/>
  <c r="Y118" i="8"/>
  <c r="Y41" i="9"/>
  <c r="AK41" i="9"/>
  <c r="Z52" i="9"/>
  <c r="Z55" i="9" s="1"/>
  <c r="AD52" i="9"/>
  <c r="AD55" i="9" s="1"/>
  <c r="Q118" i="8"/>
  <c r="AB62" i="9"/>
  <c r="M118" i="8"/>
  <c r="AJ62" i="9"/>
  <c r="AG62" i="9"/>
  <c r="AF62" i="9"/>
  <c r="AA62" i="9"/>
  <c r="AE62" i="9"/>
  <c r="X66" i="8"/>
  <c r="P66" i="8"/>
  <c r="K66" i="8"/>
  <c r="K73" i="8" s="1"/>
  <c r="K75" i="8" s="1"/>
  <c r="W66" i="8"/>
  <c r="V66" i="8"/>
  <c r="Y66" i="8"/>
  <c r="AI20" i="9"/>
  <c r="AD21" i="9"/>
  <c r="Y31" i="9"/>
  <c r="AH20" i="9"/>
  <c r="Y26" i="9"/>
  <c r="AE21" i="9"/>
  <c r="AF15" i="9"/>
  <c r="AF27" i="9" s="1"/>
  <c r="AA26" i="9"/>
  <c r="AF21" i="9"/>
  <c r="AE36" i="9"/>
  <c r="AC38" i="9"/>
  <c r="AE15" i="9"/>
  <c r="AE27" i="9" s="1"/>
  <c r="AG20" i="9"/>
  <c r="AH36" i="9"/>
  <c r="AI35" i="9"/>
  <c r="AK38" i="9"/>
  <c r="AC21" i="9"/>
  <c r="AB21" i="9"/>
  <c r="Z21" i="9"/>
  <c r="AI15" i="9"/>
  <c r="AI27" i="9" s="1"/>
  <c r="AD62" i="9"/>
  <c r="Y38" i="9"/>
  <c r="AF36" i="9"/>
  <c r="AC37" i="9"/>
  <c r="AK134" i="8"/>
  <c r="AI21" i="9"/>
  <c r="AH21" i="9"/>
  <c r="AJ21" i="9"/>
  <c r="AB15" i="9"/>
  <c r="AB27" i="9" s="1"/>
  <c r="AA15" i="9"/>
  <c r="AA27" i="9" s="1"/>
  <c r="Z26" i="9"/>
  <c r="AJ35" i="9"/>
  <c r="AH15" i="9"/>
  <c r="AH27" i="9" s="1"/>
  <c r="AD15" i="9"/>
  <c r="AD27" i="9" s="1"/>
  <c r="AH62" i="9"/>
  <c r="AC20" i="9"/>
  <c r="AB20" i="9"/>
  <c r="AE20" i="9"/>
  <c r="AD20" i="9"/>
  <c r="AG36" i="9"/>
  <c r="Z15" i="9"/>
  <c r="Z27" i="9" s="1"/>
  <c r="AH35" i="9"/>
  <c r="AA20" i="9"/>
  <c r="AS86" i="8"/>
  <c r="AD36" i="9"/>
  <c r="AJ134" i="8"/>
  <c r="AL96" i="8"/>
  <c r="AN96" i="8"/>
  <c r="AM96" i="8"/>
  <c r="AH134" i="8"/>
  <c r="AI134" i="8"/>
  <c r="AC35" i="9"/>
  <c r="X23" i="8"/>
  <c r="X28" i="8"/>
  <c r="T23" i="8"/>
  <c r="T28" i="8"/>
  <c r="N73" i="8"/>
  <c r="N75" i="8" s="1"/>
  <c r="P23" i="8"/>
  <c r="O23" i="8"/>
  <c r="W23" i="8"/>
  <c r="Q23" i="8"/>
  <c r="U23" i="8"/>
  <c r="M23" i="8"/>
  <c r="Y11" i="9" l="1"/>
  <c r="Y17" i="9" s="1"/>
  <c r="Y23" i="9" s="1"/>
  <c r="Y28" i="9" s="1"/>
  <c r="W17" i="9"/>
  <c r="W23" i="9" s="1"/>
  <c r="W28" i="9" s="1"/>
  <c r="D60" i="14"/>
  <c r="E29" i="14"/>
  <c r="F60" i="14"/>
  <c r="K83" i="8"/>
  <c r="K100" i="8" s="1"/>
  <c r="K127" i="8" s="1"/>
  <c r="K29" i="8"/>
  <c r="L28" i="8"/>
  <c r="AC29" i="8"/>
  <c r="R17" i="8"/>
  <c r="S28" i="8"/>
  <c r="S23" i="8"/>
  <c r="AO24" i="18"/>
  <c r="AQ38" i="18"/>
  <c r="AU26" i="8"/>
  <c r="AS75" i="8"/>
  <c r="AS22" i="8"/>
  <c r="AS23" i="8" s="1"/>
  <c r="AI37" i="9"/>
  <c r="AJ37" i="9"/>
  <c r="AH37" i="9"/>
  <c r="AM37" i="9"/>
  <c r="AE37" i="9"/>
  <c r="AF37" i="9"/>
  <c r="AD37" i="9"/>
  <c r="R73" i="8"/>
  <c r="R75" i="8" s="1"/>
  <c r="AJ36" i="9"/>
  <c r="AR134" i="8"/>
  <c r="AD63" i="9"/>
  <c r="W73" i="8"/>
  <c r="W75" i="8" s="1"/>
  <c r="AE63" i="9"/>
  <c r="AI36" i="9"/>
  <c r="P73" i="8"/>
  <c r="P75" i="8" s="1"/>
  <c r="AG63" i="9"/>
  <c r="X73" i="8"/>
  <c r="X75" i="8" s="1"/>
  <c r="AF63" i="9"/>
  <c r="U23" i="18"/>
  <c r="U24" i="18" s="1"/>
  <c r="AP23" i="18"/>
  <c r="AP24" i="18" s="1"/>
  <c r="AJ18" i="18"/>
  <c r="AT18" i="18"/>
  <c r="AF18" i="18"/>
  <c r="AN18" i="18"/>
  <c r="AQ44" i="18"/>
  <c r="AP18" i="18"/>
  <c r="AI44" i="18"/>
  <c r="AI18" i="18"/>
  <c r="AI66" i="18"/>
  <c r="AI65" i="18" s="1"/>
  <c r="AI69" i="18" s="1"/>
  <c r="R65" i="18"/>
  <c r="R69" i="18" s="1"/>
  <c r="AQ66" i="18"/>
  <c r="AQ65" i="18" s="1"/>
  <c r="AQ69" i="18" s="1"/>
  <c r="Z65" i="18"/>
  <c r="AM17" i="18"/>
  <c r="AM18" i="18" s="1"/>
  <c r="AM51" i="18"/>
  <c r="AM50" i="18" s="1"/>
  <c r="AM55" i="18" s="1"/>
  <c r="AM66" i="18"/>
  <c r="AM65" i="18" s="1"/>
  <c r="AM69" i="18" s="1"/>
  <c r="V65" i="18"/>
  <c r="V69" i="18" s="1"/>
  <c r="AO55" i="18"/>
  <c r="AS18" i="18"/>
  <c r="AE66" i="18"/>
  <c r="AE65" i="18" s="1"/>
  <c r="AE69" i="18" s="1"/>
  <c r="N65" i="18"/>
  <c r="N69" i="18" s="1"/>
  <c r="AG23" i="18"/>
  <c r="AG24" i="18" s="1"/>
  <c r="AQ61" i="18"/>
  <c r="AQ18" i="18"/>
  <c r="AO18" i="18"/>
  <c r="AM32" i="18"/>
  <c r="AE18" i="18"/>
  <c r="AK18" i="18"/>
  <c r="AG18" i="18"/>
  <c r="AH18" i="18"/>
  <c r="AC23" i="18"/>
  <c r="AC24" i="18" s="1"/>
  <c r="Q23" i="18"/>
  <c r="Q24" i="18" s="1"/>
  <c r="W23" i="18"/>
  <c r="W24" i="18" s="1"/>
  <c r="AF23" i="18"/>
  <c r="AF24" i="18" s="1"/>
  <c r="O23" i="18"/>
  <c r="O24" i="18" s="1"/>
  <c r="R59" i="18"/>
  <c r="R61" i="18" s="1"/>
  <c r="AI60" i="18"/>
  <c r="AI59" i="18" s="1"/>
  <c r="AL23" i="18"/>
  <c r="AL24" i="18" s="1"/>
  <c r="AL61" i="18"/>
  <c r="AM61" i="18"/>
  <c r="AR23" i="18"/>
  <c r="AR24" i="18" s="1"/>
  <c r="AR61" i="18"/>
  <c r="AN23" i="18"/>
  <c r="AN24" i="18" s="1"/>
  <c r="AN61" i="18"/>
  <c r="AA23" i="18"/>
  <c r="AA24" i="18" s="1"/>
  <c r="AH23" i="18"/>
  <c r="AH24" i="18" s="1"/>
  <c r="AH61" i="18"/>
  <c r="AS23" i="18"/>
  <c r="AS24" i="18" s="1"/>
  <c r="AS61" i="18"/>
  <c r="AK23" i="18"/>
  <c r="AK24" i="18" s="1"/>
  <c r="AK61" i="18"/>
  <c r="T23" i="18"/>
  <c r="T24" i="18" s="1"/>
  <c r="S23" i="18"/>
  <c r="S24" i="18" s="1"/>
  <c r="AT23" i="18"/>
  <c r="AT24" i="18" s="1"/>
  <c r="AT61" i="18"/>
  <c r="AJ23" i="18"/>
  <c r="AJ24" i="18" s="1"/>
  <c r="AJ61" i="18"/>
  <c r="G23" i="18"/>
  <c r="G24" i="18" s="1"/>
  <c r="M55" i="18"/>
  <c r="L23" i="18"/>
  <c r="L24" i="18" s="1"/>
  <c r="N23" i="18"/>
  <c r="N24" i="18" s="1"/>
  <c r="I23" i="18"/>
  <c r="I24" i="18" s="1"/>
  <c r="D23" i="18"/>
  <c r="D24" i="18" s="1"/>
  <c r="F23" i="18"/>
  <c r="F24" i="18" s="1"/>
  <c r="G69" i="18"/>
  <c r="E23" i="18"/>
  <c r="E24" i="18" s="1"/>
  <c r="H23" i="18"/>
  <c r="H24" i="18" s="1"/>
  <c r="K23" i="18"/>
  <c r="K24" i="18" s="1"/>
  <c r="C23" i="18"/>
  <c r="C24" i="18" s="1"/>
  <c r="Z6" i="9"/>
  <c r="Z11" i="9" s="1"/>
  <c r="AF6" i="9"/>
  <c r="V17" i="8"/>
  <c r="AP108" i="8"/>
  <c r="AR108" i="8"/>
  <c r="D29" i="14"/>
  <c r="D61" i="14"/>
  <c r="F29" i="14"/>
  <c r="F61" i="14"/>
  <c r="AQ108" i="8"/>
  <c r="AS108" i="8"/>
  <c r="AM22" i="9"/>
  <c r="AG23" i="8"/>
  <c r="AE22" i="8"/>
  <c r="AE28" i="8" s="1"/>
  <c r="AE32" i="8" s="1"/>
  <c r="AF97" i="8"/>
  <c r="N118" i="8"/>
  <c r="AM20" i="9"/>
  <c r="AF108" i="8"/>
  <c r="AE97" i="8"/>
  <c r="AM15" i="9"/>
  <c r="AG118" i="8"/>
  <c r="AF17" i="8"/>
  <c r="AF22" i="8"/>
  <c r="AG108" i="8"/>
  <c r="AG32" i="8"/>
  <c r="AG29" i="8"/>
  <c r="AI125" i="8"/>
  <c r="AJ118" i="8"/>
  <c r="AN125" i="8"/>
  <c r="AK125" i="8"/>
  <c r="AH125" i="8"/>
  <c r="AJ38" i="9"/>
  <c r="X29" i="8"/>
  <c r="X32" i="8"/>
  <c r="X83" i="8" s="1"/>
  <c r="L32" i="8"/>
  <c r="L83" i="8" s="1"/>
  <c r="T32" i="8"/>
  <c r="AS17" i="8"/>
  <c r="AR118" i="8"/>
  <c r="AS118" i="8"/>
  <c r="AC33" i="8"/>
  <c r="AD31" i="9"/>
  <c r="AN108" i="8"/>
  <c r="AE31" i="9"/>
  <c r="AG31" i="9"/>
  <c r="AP118" i="8"/>
  <c r="R118" i="8"/>
  <c r="AF42" i="9"/>
  <c r="AE42" i="9"/>
  <c r="AG42" i="9"/>
  <c r="AD42" i="9"/>
  <c r="Y42" i="9"/>
  <c r="AC42" i="9"/>
  <c r="AH118" i="8"/>
  <c r="AI41" i="9"/>
  <c r="AJ41" i="9"/>
  <c r="AC41" i="9"/>
  <c r="AN118" i="8"/>
  <c r="AI118" i="8"/>
  <c r="AH41" i="9"/>
  <c r="AA41" i="9"/>
  <c r="AB41" i="9"/>
  <c r="AQ118" i="8"/>
  <c r="Z118" i="8"/>
  <c r="Y73" i="8"/>
  <c r="Y75" i="8" s="1"/>
  <c r="V73" i="8"/>
  <c r="V75" i="8" s="1"/>
  <c r="AN86" i="8"/>
  <c r="AI38" i="9"/>
  <c r="AL86" i="8"/>
  <c r="AO86" i="8"/>
  <c r="AU86" i="8" s="1"/>
  <c r="AM86" i="8"/>
  <c r="AH38" i="9"/>
  <c r="AO108" i="8"/>
  <c r="AM108" i="8"/>
  <c r="AL108" i="8"/>
  <c r="AB35" i="9"/>
  <c r="AA35" i="9"/>
  <c r="Y35" i="9"/>
  <c r="Z35" i="9"/>
  <c r="AB37" i="9"/>
  <c r="AA37" i="9"/>
  <c r="Y37" i="9"/>
  <c r="Z37" i="9"/>
  <c r="AB38" i="9"/>
  <c r="Z38" i="9"/>
  <c r="AA38" i="9"/>
  <c r="AC36" i="9"/>
  <c r="AA36" i="9"/>
  <c r="AB36" i="9"/>
  <c r="Z36" i="9"/>
  <c r="AF35" i="9"/>
  <c r="AE35" i="9"/>
  <c r="AG35" i="9"/>
  <c r="AM35" i="9" s="1"/>
  <c r="AD35" i="9"/>
  <c r="AR86" i="8"/>
  <c r="AQ86" i="8"/>
  <c r="AP86" i="8"/>
  <c r="AG38" i="9"/>
  <c r="AM38" i="9" s="1"/>
  <c r="AD38" i="9"/>
  <c r="AE38" i="9"/>
  <c r="AF26" i="9"/>
  <c r="AD26" i="9"/>
  <c r="AE26" i="9"/>
  <c r="AC26" i="9"/>
  <c r="AG26" i="9"/>
  <c r="AF38" i="9"/>
  <c r="AK108" i="8"/>
  <c r="AI108" i="8"/>
  <c r="AJ108" i="8"/>
  <c r="AH108" i="8"/>
  <c r="V23" i="8"/>
  <c r="V28" i="8"/>
  <c r="N23" i="8"/>
  <c r="N28" i="8"/>
  <c r="N32" i="8" s="1"/>
  <c r="N83" i="8" s="1"/>
  <c r="R28" i="8"/>
  <c r="R23" i="8"/>
  <c r="L29" i="8"/>
  <c r="T29" i="8"/>
  <c r="O100" i="8"/>
  <c r="O127" i="8" s="1"/>
  <c r="O29" i="8"/>
  <c r="P29" i="8"/>
  <c r="P100" i="8"/>
  <c r="P127" i="8" s="1"/>
  <c r="M29" i="8"/>
  <c r="Q100" i="8"/>
  <c r="Q127" i="8" s="1"/>
  <c r="Q29" i="8"/>
  <c r="U100" i="8"/>
  <c r="U29" i="8"/>
  <c r="W100" i="8"/>
  <c r="W127" i="8" s="1"/>
  <c r="W29" i="8"/>
  <c r="H27" i="14"/>
  <c r="AF11" i="9" l="1"/>
  <c r="AF17" i="9" s="1"/>
  <c r="W18" i="9"/>
  <c r="W24" i="9"/>
  <c r="Z17" i="9"/>
  <c r="Z23" i="9" s="1"/>
  <c r="Z28" i="9" s="1"/>
  <c r="AC6" i="9"/>
  <c r="AG6" i="9"/>
  <c r="AE6" i="9"/>
  <c r="AD6" i="9"/>
  <c r="AD11" i="9" s="1"/>
  <c r="AB6" i="9"/>
  <c r="AJ9" i="10"/>
  <c r="AA6" i="9"/>
  <c r="S32" i="8"/>
  <c r="S29" i="8"/>
  <c r="AS28" i="8"/>
  <c r="AS32" i="8" s="1"/>
  <c r="AS33" i="8" s="1"/>
  <c r="AU35" i="8"/>
  <c r="AU108" i="8"/>
  <c r="AU36" i="8"/>
  <c r="AK36" i="9"/>
  <c r="AM36" i="9" s="1"/>
  <c r="AS134" i="8"/>
  <c r="T83" i="8"/>
  <c r="T100" i="8" s="1"/>
  <c r="T127" i="8" s="1"/>
  <c r="AM23" i="18"/>
  <c r="AM24" i="18" s="1"/>
  <c r="R23" i="18"/>
  <c r="R24" i="18" s="1"/>
  <c r="V23" i="18"/>
  <c r="V24" i="18" s="1"/>
  <c r="Z69" i="18"/>
  <c r="Z23" i="18"/>
  <c r="Z24" i="18" s="1"/>
  <c r="AQ23" i="18"/>
  <c r="AQ24" i="18" s="1"/>
  <c r="AI23" i="18"/>
  <c r="AI24" i="18" s="1"/>
  <c r="AI61" i="18"/>
  <c r="AK9" i="10"/>
  <c r="AH9" i="10"/>
  <c r="AI9" i="10"/>
  <c r="AG9" i="10"/>
  <c r="AF9" i="10"/>
  <c r="AE9" i="10"/>
  <c r="AD9" i="10"/>
  <c r="AC9" i="10"/>
  <c r="AB9" i="10"/>
  <c r="AA9" i="10"/>
  <c r="AE118" i="8"/>
  <c r="AE29" i="8"/>
  <c r="AE23" i="8"/>
  <c r="AF118" i="8"/>
  <c r="AJ31" i="9"/>
  <c r="AK31" i="9"/>
  <c r="AM31" i="9" s="1"/>
  <c r="AJ26" i="9"/>
  <c r="AK26" i="9"/>
  <c r="AJ42" i="9"/>
  <c r="AK42" i="9"/>
  <c r="I27" i="14"/>
  <c r="W32" i="9"/>
  <c r="W29" i="9"/>
  <c r="M100" i="8"/>
  <c r="M127" i="8" s="1"/>
  <c r="AF23" i="8"/>
  <c r="AF28" i="8"/>
  <c r="L100" i="8"/>
  <c r="L127" i="8" s="1"/>
  <c r="AE33" i="8"/>
  <c r="AG33" i="8"/>
  <c r="AL125" i="8"/>
  <c r="AK118" i="8"/>
  <c r="AO125" i="8"/>
  <c r="AM125" i="8"/>
  <c r="L33" i="8"/>
  <c r="AI31" i="9"/>
  <c r="T33" i="8"/>
  <c r="R29" i="8"/>
  <c r="R32" i="8"/>
  <c r="R83" i="8" s="1"/>
  <c r="V29" i="8"/>
  <c r="V32" i="8"/>
  <c r="V83" i="8" s="1"/>
  <c r="AH31" i="9"/>
  <c r="AS29" i="8"/>
  <c r="AC31" i="9"/>
  <c r="AB31" i="9"/>
  <c r="AA31" i="9"/>
  <c r="Z31" i="9"/>
  <c r="AC100" i="8"/>
  <c r="AC127" i="8" s="1"/>
  <c r="AL118" i="8"/>
  <c r="U127" i="8"/>
  <c r="AH42" i="9"/>
  <c r="AI42" i="9"/>
  <c r="Z42" i="9"/>
  <c r="AA42" i="9"/>
  <c r="V118" i="8"/>
  <c r="AO118" i="8"/>
  <c r="AU118" i="8" s="1"/>
  <c r="AG41" i="9"/>
  <c r="AM118" i="8"/>
  <c r="AB42" i="9"/>
  <c r="Y18" i="9"/>
  <c r="AI26" i="9"/>
  <c r="AH26" i="9"/>
  <c r="N29" i="8"/>
  <c r="X100" i="8"/>
  <c r="X127" i="8" s="1"/>
  <c r="X33" i="8"/>
  <c r="O33" i="8"/>
  <c r="U33" i="8"/>
  <c r="W33" i="8"/>
  <c r="Q33" i="8"/>
  <c r="N33" i="8"/>
  <c r="M33" i="8"/>
  <c r="P33" i="8"/>
  <c r="AA11" i="9" l="1"/>
  <c r="AA17" i="9" s="1"/>
  <c r="AB11" i="9"/>
  <c r="AF12" i="9" s="1"/>
  <c r="AG11" i="9"/>
  <c r="AG17" i="9" s="1"/>
  <c r="AC11" i="9"/>
  <c r="AC17" i="9" s="1"/>
  <c r="AE11" i="9"/>
  <c r="AE17" i="9" s="1"/>
  <c r="Z18" i="9"/>
  <c r="AM26" i="9"/>
  <c r="AD17" i="9"/>
  <c r="AD23" i="9" s="1"/>
  <c r="AD28" i="9" s="1"/>
  <c r="AB17" i="9"/>
  <c r="AB18" i="9" s="1"/>
  <c r="AD12" i="9"/>
  <c r="AH6" i="9"/>
  <c r="AJ6" i="9"/>
  <c r="AJ11" i="9" s="1"/>
  <c r="AK6" i="9"/>
  <c r="AK11" i="9" s="1"/>
  <c r="AI6" i="9"/>
  <c r="AI11" i="9" s="1"/>
  <c r="S83" i="8"/>
  <c r="S100" i="8" s="1"/>
  <c r="S127" i="8" s="1"/>
  <c r="S33" i="8"/>
  <c r="AF18" i="9"/>
  <c r="AF23" i="9"/>
  <c r="AC12" i="9"/>
  <c r="AG12" i="9"/>
  <c r="AE12" i="9"/>
  <c r="J27" i="14"/>
  <c r="W33" i="9"/>
  <c r="W39" i="9"/>
  <c r="W47" i="9" s="1"/>
  <c r="AF29" i="8"/>
  <c r="AF32" i="8"/>
  <c r="Z32" i="9"/>
  <c r="Z94" i="9" s="1"/>
  <c r="Z24" i="9"/>
  <c r="Z29" i="9"/>
  <c r="AD41" i="9"/>
  <c r="AE41" i="9"/>
  <c r="AF41" i="9"/>
  <c r="Y32" i="9"/>
  <c r="Y94" i="9" s="1"/>
  <c r="Y24" i="9"/>
  <c r="R33" i="8"/>
  <c r="V33" i="8"/>
  <c r="AE23" i="9" l="1"/>
  <c r="AE18" i="9"/>
  <c r="AG23" i="9"/>
  <c r="AG18" i="9"/>
  <c r="AC23" i="9"/>
  <c r="AC24" i="9" s="1"/>
  <c r="AC18" i="9"/>
  <c r="AA18" i="9"/>
  <c r="AA23" i="9"/>
  <c r="AA28" i="9" s="1"/>
  <c r="AA32" i="9" s="1"/>
  <c r="AH11" i="9"/>
  <c r="AH17" i="9" s="1"/>
  <c r="AD18" i="9"/>
  <c r="AG24" i="9"/>
  <c r="AG28" i="9"/>
  <c r="AG32" i="9" s="1"/>
  <c r="AG94" i="9" s="1"/>
  <c r="AE24" i="9"/>
  <c r="AE28" i="9"/>
  <c r="AE32" i="9" s="1"/>
  <c r="AE95" i="9" s="1" a="1"/>
  <c r="AE95" i="9" s="1"/>
  <c r="AF24" i="9"/>
  <c r="AF28" i="9"/>
  <c r="AF32" i="9" s="1"/>
  <c r="AF94" i="9" s="1"/>
  <c r="AD24" i="9"/>
  <c r="AI12" i="9"/>
  <c r="AI17" i="9"/>
  <c r="AI23" i="9" s="1"/>
  <c r="AI28" i="9" s="1"/>
  <c r="AB23" i="9"/>
  <c r="AB28" i="9" s="1"/>
  <c r="AM6" i="9"/>
  <c r="AK17" i="9"/>
  <c r="K27" i="14"/>
  <c r="W48" i="9"/>
  <c r="AF33" i="8"/>
  <c r="Z33" i="9"/>
  <c r="Z95" i="9" a="1"/>
  <c r="Z95" i="9" s="1"/>
  <c r="Z96" i="9" a="1"/>
  <c r="Z96" i="9" s="1"/>
  <c r="Z92" i="9"/>
  <c r="Z93" i="9"/>
  <c r="Z39" i="9"/>
  <c r="AD29" i="9"/>
  <c r="AD32" i="9"/>
  <c r="Y29" i="9"/>
  <c r="AL83" i="8"/>
  <c r="V100" i="8"/>
  <c r="V127" i="8" s="1"/>
  <c r="AM83" i="8"/>
  <c r="AN83" i="8"/>
  <c r="AH12" i="9" l="1"/>
  <c r="AA24" i="9"/>
  <c r="AC28" i="9"/>
  <c r="AA29" i="9"/>
  <c r="AA94" i="9"/>
  <c r="AA39" i="9"/>
  <c r="AA93" i="9"/>
  <c r="AA96" i="9" a="1"/>
  <c r="AA96" i="9" s="1"/>
  <c r="AA92" i="9"/>
  <c r="AA33" i="9"/>
  <c r="AA95" i="9" a="1"/>
  <c r="AA95" i="9" s="1"/>
  <c r="AI18" i="9"/>
  <c r="AB24" i="9"/>
  <c r="AH23" i="9"/>
  <c r="AH28" i="9" s="1"/>
  <c r="AH18" i="9"/>
  <c r="AM11" i="9"/>
  <c r="AK12" i="9"/>
  <c r="AM12" i="9" s="1"/>
  <c r="AG29" i="9"/>
  <c r="AG93" i="9"/>
  <c r="AG92" i="9"/>
  <c r="AG33" i="9"/>
  <c r="AE29" i="9"/>
  <c r="AE92" i="9"/>
  <c r="AE96" i="9" a="1"/>
  <c r="AE96" i="9" s="1"/>
  <c r="AE93" i="9"/>
  <c r="AG96" i="9" a="1"/>
  <c r="AG96" i="9" s="1"/>
  <c r="AE33" i="9"/>
  <c r="AG95" i="9" a="1"/>
  <c r="AG95" i="9" s="1"/>
  <c r="AE94" i="9"/>
  <c r="AG39" i="9"/>
  <c r="AE39" i="9"/>
  <c r="AF96" i="9" a="1"/>
  <c r="AF96" i="9" s="1"/>
  <c r="AF29" i="9"/>
  <c r="AC32" i="9"/>
  <c r="AC29" i="9"/>
  <c r="AI24" i="9"/>
  <c r="AM127" i="8"/>
  <c r="AN127" i="8"/>
  <c r="AL127" i="8"/>
  <c r="AD96" i="9" a="1"/>
  <c r="AD96" i="9" s="1"/>
  <c r="AD94" i="9"/>
  <c r="AD95" i="9" a="1"/>
  <c r="AD95" i="9" s="1"/>
  <c r="AD93" i="9"/>
  <c r="AF93" i="9"/>
  <c r="AF92" i="9"/>
  <c r="AF95" i="9" a="1"/>
  <c r="AF95" i="9" s="1"/>
  <c r="AD33" i="9"/>
  <c r="AF39" i="9"/>
  <c r="AD39" i="9"/>
  <c r="AF33" i="9"/>
  <c r="AD92" i="9"/>
  <c r="Y33" i="9"/>
  <c r="Y92" i="9"/>
  <c r="Y93" i="9"/>
  <c r="Y96" i="9" a="1"/>
  <c r="Y96" i="9" s="1"/>
  <c r="Y39" i="9"/>
  <c r="Y95" i="9" a="1"/>
  <c r="Y95" i="9" s="1"/>
  <c r="H10" i="12"/>
  <c r="C6" i="12"/>
  <c r="D14" i="12" s="1"/>
  <c r="E14" i="12" s="1"/>
  <c r="F14" i="12" s="1"/>
  <c r="B80" i="8"/>
  <c r="B79" i="8"/>
  <c r="I80" i="8"/>
  <c r="H80" i="8"/>
  <c r="G80" i="8"/>
  <c r="F80" i="8"/>
  <c r="E80" i="8"/>
  <c r="D80" i="8"/>
  <c r="C80" i="8"/>
  <c r="I79" i="8"/>
  <c r="H79" i="8"/>
  <c r="G79" i="8"/>
  <c r="F79" i="8"/>
  <c r="E79" i="8"/>
  <c r="D79" i="8"/>
  <c r="C79" i="8"/>
  <c r="B40" i="8"/>
  <c r="B39" i="8"/>
  <c r="AR40" i="8"/>
  <c r="AQ40" i="8"/>
  <c r="AP40" i="8"/>
  <c r="AN40" i="8"/>
  <c r="AM40" i="8"/>
  <c r="AL40" i="8"/>
  <c r="AJ40" i="8"/>
  <c r="AI40" i="8"/>
  <c r="AH40" i="8"/>
  <c r="AO40" i="8"/>
  <c r="AK40" i="8"/>
  <c r="AR39" i="8"/>
  <c r="AQ39" i="8"/>
  <c r="AP39" i="8"/>
  <c r="AO39" i="8"/>
  <c r="AN39" i="8"/>
  <c r="AM39" i="8"/>
  <c r="AL39" i="8"/>
  <c r="AK39" i="8"/>
  <c r="AJ39" i="8"/>
  <c r="AI39" i="8"/>
  <c r="AH39" i="8"/>
  <c r="E6" i="17"/>
  <c r="E12" i="17" s="1"/>
  <c r="Q134" i="12"/>
  <c r="O134" i="12"/>
  <c r="D134" i="12"/>
  <c r="Q133" i="12"/>
  <c r="O133" i="12"/>
  <c r="G133" i="12"/>
  <c r="E133" i="12"/>
  <c r="C133" i="12"/>
  <c r="Q132" i="12"/>
  <c r="O132" i="12"/>
  <c r="E132" i="12"/>
  <c r="C132" i="12"/>
  <c r="D132" i="12" s="1"/>
  <c r="L107" i="12"/>
  <c r="L108" i="12" s="1"/>
  <c r="D107" i="12"/>
  <c r="D108" i="12" s="1"/>
  <c r="L105" i="12"/>
  <c r="L104" i="12" s="1"/>
  <c r="D105" i="12"/>
  <c r="D104" i="12" s="1"/>
  <c r="P103" i="12"/>
  <c r="Q103" i="12" s="1"/>
  <c r="N103" i="12"/>
  <c r="M103" i="12" s="1"/>
  <c r="H103" i="12"/>
  <c r="I103" i="12" s="1"/>
  <c r="F103" i="12"/>
  <c r="E103" i="12" s="1"/>
  <c r="B132" i="12" s="1"/>
  <c r="L98" i="12"/>
  <c r="L99" i="12" s="1"/>
  <c r="D98" i="12"/>
  <c r="D99" i="12" s="1"/>
  <c r="L96" i="12"/>
  <c r="L95" i="12" s="1"/>
  <c r="D96" i="12"/>
  <c r="D95" i="12" s="1"/>
  <c r="P94" i="12"/>
  <c r="Q94" i="12" s="1"/>
  <c r="N94" i="12"/>
  <c r="M94" i="12"/>
  <c r="H94" i="12"/>
  <c r="I94" i="12" s="1"/>
  <c r="F94" i="12"/>
  <c r="E94" i="12" s="1"/>
  <c r="D40" i="12"/>
  <c r="B37" i="12"/>
  <c r="C14" i="12"/>
  <c r="E40" i="17"/>
  <c r="E41" i="17" s="1"/>
  <c r="E31" i="17"/>
  <c r="E30" i="17" s="1"/>
  <c r="C19" i="17"/>
  <c r="B48" i="16"/>
  <c r="C45" i="16"/>
  <c r="F44" i="16"/>
  <c r="F43" i="16"/>
  <c r="F42" i="16"/>
  <c r="C31" i="16"/>
  <c r="C32" i="16" s="1"/>
  <c r="C29" i="16"/>
  <c r="C28" i="16" s="1"/>
  <c r="F27" i="16"/>
  <c r="D27" i="16"/>
  <c r="D21" i="16"/>
  <c r="F45" i="16"/>
  <c r="C13" i="16"/>
  <c r="C15" i="16" s="1"/>
  <c r="C10" i="16"/>
  <c r="AB32" i="9" l="1"/>
  <c r="AB29" i="9"/>
  <c r="AK23" i="9"/>
  <c r="AK28" i="9" s="1"/>
  <c r="AK18" i="9"/>
  <c r="AM18" i="9" s="1"/>
  <c r="AM17" i="9"/>
  <c r="AH24" i="9"/>
  <c r="AC94" i="9"/>
  <c r="AC39" i="9"/>
  <c r="AC92" i="9"/>
  <c r="AC95" i="9" a="1"/>
  <c r="AC95" i="9" s="1"/>
  <c r="AC96" i="9" a="1"/>
  <c r="AC96" i="9" s="1"/>
  <c r="AC33" i="9"/>
  <c r="AC93" i="9"/>
  <c r="AI32" i="9"/>
  <c r="AI29" i="9"/>
  <c r="AH79" i="8"/>
  <c r="AK79" i="8"/>
  <c r="AL79" i="8"/>
  <c r="AL80" i="8"/>
  <c r="AO79" i="8"/>
  <c r="AP79" i="8"/>
  <c r="AK80" i="8"/>
  <c r="AP80" i="8"/>
  <c r="AQ80" i="8"/>
  <c r="AN79" i="8"/>
  <c r="AI79" i="8"/>
  <c r="AQ79" i="8"/>
  <c r="AN80" i="8"/>
  <c r="AM80" i="8"/>
  <c r="AJ79" i="8"/>
  <c r="AR79" i="8"/>
  <c r="AO80" i="8"/>
  <c r="AH80" i="8"/>
  <c r="AI80" i="8"/>
  <c r="AM79" i="8"/>
  <c r="AJ80" i="8"/>
  <c r="AR80" i="8"/>
  <c r="E33" i="17"/>
  <c r="E34" i="17" s="1"/>
  <c r="E43" i="17"/>
  <c r="E44" i="17" s="1"/>
  <c r="D133" i="12"/>
  <c r="C7" i="12"/>
  <c r="C10" i="12" s="1"/>
  <c r="C41" i="12" s="1"/>
  <c r="P134" i="12"/>
  <c r="P132" i="12"/>
  <c r="B133" i="12"/>
  <c r="G132" i="12"/>
  <c r="G134" i="12"/>
  <c r="P133" i="12"/>
  <c r="I42" i="16"/>
  <c r="I43" i="16"/>
  <c r="I44" i="16"/>
  <c r="G14" i="12"/>
  <c r="F40" i="12"/>
  <c r="E40" i="12"/>
  <c r="E16" i="17"/>
  <c r="E17" i="17"/>
  <c r="E13" i="17"/>
  <c r="E14" i="17"/>
  <c r="E15" i="17"/>
  <c r="E18" i="17"/>
  <c r="H45" i="16"/>
  <c r="AB94" i="9" l="1"/>
  <c r="AB92" i="9"/>
  <c r="AB93" i="9"/>
  <c r="AB33" i="9"/>
  <c r="AB96" i="9" a="1"/>
  <c r="AB96" i="9" s="1"/>
  <c r="AB95" i="9" a="1"/>
  <c r="AB95" i="9" s="1"/>
  <c r="AB39" i="9"/>
  <c r="AH32" i="9"/>
  <c r="AH29" i="9"/>
  <c r="AK24" i="9"/>
  <c r="AM24" i="9" s="1"/>
  <c r="AM23" i="9"/>
  <c r="AI94" i="9"/>
  <c r="AI33" i="9"/>
  <c r="AI96" i="9" a="1"/>
  <c r="AI96" i="9" s="1"/>
  <c r="AI39" i="9"/>
  <c r="AI95" i="9" a="1"/>
  <c r="AI95" i="9" s="1"/>
  <c r="AI92" i="9"/>
  <c r="AI93" i="9"/>
  <c r="E21" i="17"/>
  <c r="E22" i="17" s="1"/>
  <c r="E19" i="17"/>
  <c r="I65" i="12" s="1"/>
  <c r="C76" i="12" s="1"/>
  <c r="D76" i="12" s="1"/>
  <c r="G40" i="12"/>
  <c r="H14" i="12"/>
  <c r="AM28" i="9" l="1"/>
  <c r="AK29" i="9"/>
  <c r="AM29" i="9" s="1"/>
  <c r="AK32" i="9"/>
  <c r="AH94" i="9"/>
  <c r="AH93" i="9"/>
  <c r="AH39" i="9"/>
  <c r="AH95" i="9" a="1"/>
  <c r="AH95" i="9" s="1"/>
  <c r="AH33" i="9"/>
  <c r="AH96" i="9" a="1"/>
  <c r="AH96" i="9" s="1"/>
  <c r="AH92" i="9"/>
  <c r="E23" i="17"/>
  <c r="H40" i="12"/>
  <c r="I14" i="12"/>
  <c r="AK94" i="9" l="1"/>
  <c r="AM32" i="9"/>
  <c r="AK95" i="9" a="1"/>
  <c r="AK95" i="9" s="1"/>
  <c r="AK33" i="9"/>
  <c r="AM33" i="9" s="1"/>
  <c r="AK93" i="9"/>
  <c r="AK92" i="9"/>
  <c r="AK96" i="9" a="1"/>
  <c r="AK96" i="9" s="1"/>
  <c r="AK39" i="9"/>
  <c r="AM39" i="9" s="1"/>
  <c r="B48" i="12"/>
  <c r="B47" i="12"/>
  <c r="E48" i="12"/>
  <c r="I40" i="12"/>
  <c r="C190" i="14" l="1"/>
  <c r="G98" i="14"/>
  <c r="H98" i="14" s="1"/>
  <c r="I98" i="14" s="1"/>
  <c r="J98" i="14" s="1"/>
  <c r="K98" i="14" s="1"/>
  <c r="F159" i="14"/>
  <c r="E186" i="14"/>
  <c r="F186" i="14"/>
  <c r="C140" i="14"/>
  <c r="C66" i="8"/>
  <c r="C123" i="8"/>
  <c r="D72" i="8"/>
  <c r="C72" i="8"/>
  <c r="D66" i="8"/>
  <c r="D46" i="8"/>
  <c r="D52" i="8" s="1"/>
  <c r="C46" i="8"/>
  <c r="C52" i="8" s="1"/>
  <c r="D11" i="8"/>
  <c r="D16" i="8" s="1"/>
  <c r="C11" i="8"/>
  <c r="C16" i="8" s="1"/>
  <c r="G195" i="14"/>
  <c r="H195" i="14" s="1"/>
  <c r="F206" i="14"/>
  <c r="E206" i="14"/>
  <c r="D206" i="14"/>
  <c r="C206" i="14"/>
  <c r="G211" i="14"/>
  <c r="F203" i="14"/>
  <c r="E203" i="14"/>
  <c r="D203" i="14"/>
  <c r="C203" i="14"/>
  <c r="F152" i="14"/>
  <c r="G149" i="14" s="1"/>
  <c r="E152" i="14"/>
  <c r="D152" i="14"/>
  <c r="F138" i="14"/>
  <c r="G135" i="14" s="1"/>
  <c r="E138" i="14"/>
  <c r="F135" i="14" s="1"/>
  <c r="D138" i="14"/>
  <c r="E135" i="14" s="1"/>
  <c r="C138" i="14"/>
  <c r="D135" i="14" s="1"/>
  <c r="C146" i="14"/>
  <c r="C144" i="14" s="1"/>
  <c r="F32" i="14"/>
  <c r="F38" i="14" s="1"/>
  <c r="E32" i="14"/>
  <c r="E38" i="14" s="1"/>
  <c r="D32" i="14"/>
  <c r="D38" i="14" s="1"/>
  <c r="C32" i="14"/>
  <c r="C38" i="14" s="1"/>
  <c r="F16" i="14"/>
  <c r="E16" i="14" s="1"/>
  <c r="E200" i="14" s="1"/>
  <c r="K243" i="14"/>
  <c r="J243" i="14"/>
  <c r="I243" i="14"/>
  <c r="H243" i="14"/>
  <c r="G243" i="14"/>
  <c r="K241" i="14"/>
  <c r="K226" i="14" s="1"/>
  <c r="J241" i="14"/>
  <c r="J226" i="14" s="1"/>
  <c r="I241" i="14"/>
  <c r="I226" i="14" s="1"/>
  <c r="H241" i="14"/>
  <c r="H226" i="14" s="1"/>
  <c r="G241" i="14"/>
  <c r="K239" i="14"/>
  <c r="J239" i="14"/>
  <c r="I239" i="14"/>
  <c r="H239" i="14"/>
  <c r="G239" i="14"/>
  <c r="K237" i="14"/>
  <c r="K225" i="14" s="1"/>
  <c r="J237" i="14"/>
  <c r="J225" i="14" s="1"/>
  <c r="I237" i="14"/>
  <c r="H237" i="14"/>
  <c r="H225" i="14" s="1"/>
  <c r="G237" i="14"/>
  <c r="G225" i="14" s="1"/>
  <c r="K235" i="14"/>
  <c r="J235" i="14"/>
  <c r="I235" i="14"/>
  <c r="H235" i="14"/>
  <c r="G235" i="14"/>
  <c r="K233" i="14"/>
  <c r="J233" i="14"/>
  <c r="J224" i="14" s="1"/>
  <c r="I233" i="14"/>
  <c r="I224" i="14" s="1"/>
  <c r="H233" i="14"/>
  <c r="H224" i="14" s="1"/>
  <c r="G233" i="14"/>
  <c r="G224" i="14" s="1"/>
  <c r="H231" i="14"/>
  <c r="G231" i="14"/>
  <c r="I230" i="14"/>
  <c r="I231" i="14" s="1"/>
  <c r="H229" i="14"/>
  <c r="G229" i="14"/>
  <c r="G223" i="14" s="1"/>
  <c r="G226" i="14"/>
  <c r="F226" i="14"/>
  <c r="I225" i="14"/>
  <c r="F225" i="14"/>
  <c r="K224" i="14"/>
  <c r="F224" i="14"/>
  <c r="H223" i="14"/>
  <c r="F223" i="14"/>
  <c r="C221" i="14"/>
  <c r="G214" i="14"/>
  <c r="F196" i="14"/>
  <c r="E196" i="14"/>
  <c r="D196" i="14"/>
  <c r="C196" i="14"/>
  <c r="G185" i="14"/>
  <c r="H185" i="14" s="1"/>
  <c r="I185" i="14" s="1"/>
  <c r="J185" i="14" s="1"/>
  <c r="K185" i="14" s="1"/>
  <c r="F182" i="14"/>
  <c r="E182" i="14"/>
  <c r="D182" i="14"/>
  <c r="C182" i="14"/>
  <c r="B180" i="14"/>
  <c r="B179" i="14"/>
  <c r="B163" i="14"/>
  <c r="B162" i="14"/>
  <c r="B133" i="14"/>
  <c r="B132" i="14"/>
  <c r="B104" i="14"/>
  <c r="B103" i="14"/>
  <c r="B78" i="14"/>
  <c r="B77" i="14"/>
  <c r="H14" i="10"/>
  <c r="G14" i="10"/>
  <c r="F14" i="10"/>
  <c r="E14" i="10"/>
  <c r="X14" i="10"/>
  <c r="X15" i="10" s="1"/>
  <c r="W14" i="10"/>
  <c r="V14" i="10"/>
  <c r="U14" i="10"/>
  <c r="T14" i="10"/>
  <c r="T15" i="10" s="1"/>
  <c r="S14" i="10"/>
  <c r="S15" i="10" s="1"/>
  <c r="R14" i="10"/>
  <c r="R15" i="10" s="1"/>
  <c r="Q14" i="10"/>
  <c r="Q15" i="10" s="1"/>
  <c r="P14" i="10"/>
  <c r="P15" i="10" s="1"/>
  <c r="O14" i="10"/>
  <c r="O15" i="10" s="1"/>
  <c r="N14" i="10"/>
  <c r="N15" i="10" s="1"/>
  <c r="M14" i="10"/>
  <c r="M15" i="10" s="1"/>
  <c r="L14" i="10"/>
  <c r="L15" i="10" s="1"/>
  <c r="K14" i="10"/>
  <c r="K15" i="10" s="1"/>
  <c r="I14" i="10"/>
  <c r="Z72" i="8"/>
  <c r="AB72" i="8"/>
  <c r="AJ87" i="9" l="1"/>
  <c r="AH87" i="9"/>
  <c r="AH88" i="9" s="1"/>
  <c r="AH97" i="9" s="1"/>
  <c r="C15" i="10"/>
  <c r="D15" i="10"/>
  <c r="AA46" i="8"/>
  <c r="AA52" i="8" s="1"/>
  <c r="C22" i="8"/>
  <c r="D22" i="8"/>
  <c r="F73" i="14"/>
  <c r="E68" i="14"/>
  <c r="E33" i="14"/>
  <c r="F68" i="14"/>
  <c r="F33" i="14"/>
  <c r="C68" i="14"/>
  <c r="C33" i="14"/>
  <c r="D68" i="14"/>
  <c r="D33" i="14"/>
  <c r="E73" i="14"/>
  <c r="D74" i="14"/>
  <c r="E74" i="14"/>
  <c r="F74" i="14"/>
  <c r="D73" i="14"/>
  <c r="F140" i="14"/>
  <c r="F175" i="14"/>
  <c r="G172" i="14" s="1"/>
  <c r="E175" i="14"/>
  <c r="J230" i="14"/>
  <c r="K230" i="14" s="1"/>
  <c r="D146" i="14"/>
  <c r="D144" i="14" s="1"/>
  <c r="D145" i="14" s="1"/>
  <c r="D186" i="14"/>
  <c r="D187" i="14" s="1"/>
  <c r="D192" i="14" s="1"/>
  <c r="G158" i="14"/>
  <c r="H158" i="14" s="1"/>
  <c r="H122" i="14" s="1"/>
  <c r="E140" i="14"/>
  <c r="G115" i="14"/>
  <c r="D27" i="12"/>
  <c r="F17" i="9"/>
  <c r="Q17" i="9"/>
  <c r="O17" i="9"/>
  <c r="J17" i="9"/>
  <c r="R17" i="9"/>
  <c r="K17" i="9"/>
  <c r="C17" i="9"/>
  <c r="L17" i="9"/>
  <c r="D17" i="9"/>
  <c r="I17" i="9"/>
  <c r="M17" i="9"/>
  <c r="U17" i="9"/>
  <c r="G17" i="9"/>
  <c r="E17" i="9"/>
  <c r="F146" i="14"/>
  <c r="F144" i="14" s="1"/>
  <c r="D69" i="14"/>
  <c r="C99" i="14"/>
  <c r="E146" i="14"/>
  <c r="E144" i="14" s="1"/>
  <c r="D73" i="8"/>
  <c r="D75" i="8" s="1"/>
  <c r="C73" i="8"/>
  <c r="C75" i="8" s="1"/>
  <c r="C69" i="14"/>
  <c r="E69" i="14"/>
  <c r="D70" i="14"/>
  <c r="G89" i="14"/>
  <c r="H89" i="14" s="1"/>
  <c r="F70" i="14"/>
  <c r="C94" i="14"/>
  <c r="E180" i="14"/>
  <c r="D16" i="14"/>
  <c r="C16" i="14" s="1"/>
  <c r="C200" i="14" s="1"/>
  <c r="E78" i="14"/>
  <c r="E133" i="14"/>
  <c r="E163" i="14"/>
  <c r="D175" i="14"/>
  <c r="F69" i="14"/>
  <c r="D140" i="14"/>
  <c r="I195" i="14"/>
  <c r="J195" i="14" s="1"/>
  <c r="K195" i="14" s="1"/>
  <c r="E99" i="14"/>
  <c r="F99" i="14"/>
  <c r="D86" i="14"/>
  <c r="C86" i="14"/>
  <c r="F187" i="14"/>
  <c r="F192" i="14" s="1"/>
  <c r="C145" i="14"/>
  <c r="E70" i="14"/>
  <c r="C70" i="14"/>
  <c r="F180" i="14"/>
  <c r="F78" i="14"/>
  <c r="F15" i="14"/>
  <c r="F132" i="14" s="1"/>
  <c r="G93" i="14"/>
  <c r="G112" i="14" s="1"/>
  <c r="G83" i="14"/>
  <c r="H83" i="14" s="1"/>
  <c r="F163" i="14"/>
  <c r="G155" i="14"/>
  <c r="D99" i="14"/>
  <c r="E86" i="14"/>
  <c r="G16" i="14"/>
  <c r="F200" i="14"/>
  <c r="F133" i="14"/>
  <c r="G166" i="14"/>
  <c r="F86" i="14"/>
  <c r="G81" i="14"/>
  <c r="G90" i="14"/>
  <c r="H90" i="14" s="1"/>
  <c r="G85" i="14"/>
  <c r="I229" i="14"/>
  <c r="I223" i="14" s="1"/>
  <c r="T17" i="9"/>
  <c r="D190" i="14"/>
  <c r="P17" i="9"/>
  <c r="N17" i="9"/>
  <c r="E94" i="14"/>
  <c r="G92" i="14"/>
  <c r="G190" i="14" s="1"/>
  <c r="AA72" i="8"/>
  <c r="W12" i="9" l="1"/>
  <c r="S17" i="9"/>
  <c r="W13" i="9"/>
  <c r="V17" i="9"/>
  <c r="AI87" i="9"/>
  <c r="AI88" i="9" s="1"/>
  <c r="AI97" i="9" s="1"/>
  <c r="D28" i="8"/>
  <c r="D32" i="8" s="1"/>
  <c r="C23" i="8"/>
  <c r="AI62" i="9"/>
  <c r="D17" i="8"/>
  <c r="C17" i="8"/>
  <c r="G210" i="14"/>
  <c r="G96" i="14"/>
  <c r="C39" i="14"/>
  <c r="C44" i="14" s="1"/>
  <c r="C47" i="14" s="1"/>
  <c r="G140" i="14"/>
  <c r="H140" i="14" s="1"/>
  <c r="I140" i="14" s="1"/>
  <c r="J140" i="14" s="1"/>
  <c r="K140" i="14" s="1"/>
  <c r="I158" i="14"/>
  <c r="J158" i="14" s="1"/>
  <c r="J120" i="14" s="1"/>
  <c r="J209" i="14" s="1"/>
  <c r="J229" i="14"/>
  <c r="J223" i="14" s="1"/>
  <c r="J231" i="14"/>
  <c r="G120" i="14"/>
  <c r="E187" i="14"/>
  <c r="E192" i="14" s="1"/>
  <c r="AJ88" i="9"/>
  <c r="AJ97" i="9" s="1"/>
  <c r="G122" i="14"/>
  <c r="H120" i="14"/>
  <c r="H209" i="14" s="1"/>
  <c r="G116" i="14"/>
  <c r="AJ17" i="9"/>
  <c r="F145" i="14"/>
  <c r="G145" i="14" s="1"/>
  <c r="H145" i="14" s="1"/>
  <c r="I145" i="14" s="1"/>
  <c r="C51" i="14"/>
  <c r="C52" i="14" s="1"/>
  <c r="C100" i="14"/>
  <c r="E145" i="14"/>
  <c r="D200" i="14"/>
  <c r="D94" i="14"/>
  <c r="D100" i="14" s="1"/>
  <c r="F199" i="14"/>
  <c r="F179" i="14"/>
  <c r="D191" i="14"/>
  <c r="D180" i="14"/>
  <c r="G118" i="14"/>
  <c r="H92" i="14"/>
  <c r="H190" i="14" s="1"/>
  <c r="F190" i="14"/>
  <c r="E190" i="14"/>
  <c r="F94" i="14"/>
  <c r="F100" i="14" s="1"/>
  <c r="G15" i="14"/>
  <c r="G103" i="14" s="1"/>
  <c r="D133" i="14"/>
  <c r="C78" i="14"/>
  <c r="D78" i="14"/>
  <c r="F162" i="14"/>
  <c r="D163" i="14"/>
  <c r="F77" i="14"/>
  <c r="E15" i="14"/>
  <c r="H93" i="14"/>
  <c r="H112" i="14" s="1"/>
  <c r="G108" i="14"/>
  <c r="H108" i="14"/>
  <c r="I89" i="14"/>
  <c r="G104" i="14"/>
  <c r="G200" i="14"/>
  <c r="G133" i="14"/>
  <c r="G222" i="14"/>
  <c r="H16" i="14"/>
  <c r="G180" i="14"/>
  <c r="G163" i="14"/>
  <c r="G78" i="14"/>
  <c r="K231" i="14"/>
  <c r="K229" i="14"/>
  <c r="K223" i="14" s="1"/>
  <c r="E100" i="14"/>
  <c r="H85" i="14"/>
  <c r="G152" i="14"/>
  <c r="I90" i="14"/>
  <c r="H81" i="14"/>
  <c r="I83" i="14"/>
  <c r="D23" i="8" l="1"/>
  <c r="C28" i="8"/>
  <c r="C32" i="8" s="1"/>
  <c r="D29" i="8"/>
  <c r="C55" i="14"/>
  <c r="C56" i="14" s="1"/>
  <c r="C71" i="14"/>
  <c r="D39" i="14"/>
  <c r="D44" i="14" s="1"/>
  <c r="D47" i="14" s="1"/>
  <c r="E51" i="14"/>
  <c r="E52" i="14" s="1"/>
  <c r="E39" i="14"/>
  <c r="E44" i="14" s="1"/>
  <c r="F51" i="14"/>
  <c r="F52" i="14" s="1"/>
  <c r="F39" i="14"/>
  <c r="G209" i="14"/>
  <c r="G203" i="14" s="1"/>
  <c r="G206" i="14" s="1"/>
  <c r="C68" i="12"/>
  <c r="C74" i="12" s="1"/>
  <c r="D74" i="12" s="1"/>
  <c r="C21" i="16"/>
  <c r="G137" i="14"/>
  <c r="G138" i="14" s="1"/>
  <c r="H135" i="14" s="1"/>
  <c r="I122" i="14"/>
  <c r="I120" i="14"/>
  <c r="I209" i="14" s="1"/>
  <c r="J89" i="14"/>
  <c r="K89" i="14" s="1"/>
  <c r="J90" i="14"/>
  <c r="K90" i="14" s="1"/>
  <c r="J83" i="14"/>
  <c r="K83" i="14" s="1"/>
  <c r="E191" i="14"/>
  <c r="H115" i="14"/>
  <c r="H116" i="14" s="1"/>
  <c r="H137" i="14"/>
  <c r="G77" i="14"/>
  <c r="G132" i="14"/>
  <c r="G199" i="14"/>
  <c r="D51" i="14"/>
  <c r="D52" i="14" s="1"/>
  <c r="I92" i="14"/>
  <c r="I190" i="14" s="1"/>
  <c r="F191" i="14"/>
  <c r="D33" i="8"/>
  <c r="D83" i="8"/>
  <c r="G221" i="14"/>
  <c r="G179" i="14"/>
  <c r="H15" i="14"/>
  <c r="H132" i="14" s="1"/>
  <c r="H118" i="14"/>
  <c r="G162" i="14"/>
  <c r="K158" i="14"/>
  <c r="J122" i="14"/>
  <c r="I137" i="14"/>
  <c r="D15" i="14"/>
  <c r="E162" i="14"/>
  <c r="E132" i="14"/>
  <c r="E199" i="14"/>
  <c r="E77" i="14"/>
  <c r="E179" i="14"/>
  <c r="I93" i="14"/>
  <c r="H96" i="14"/>
  <c r="I210" i="14"/>
  <c r="H210" i="14"/>
  <c r="I115" i="14"/>
  <c r="H149" i="14"/>
  <c r="I81" i="14"/>
  <c r="J145" i="14"/>
  <c r="H133" i="14"/>
  <c r="H222" i="14"/>
  <c r="H104" i="14"/>
  <c r="H200" i="14"/>
  <c r="I16" i="14"/>
  <c r="H180" i="14"/>
  <c r="H163" i="14"/>
  <c r="H78" i="14"/>
  <c r="H152" i="14"/>
  <c r="I85" i="14"/>
  <c r="C33" i="8" l="1"/>
  <c r="C83" i="8"/>
  <c r="C100" i="8" s="1"/>
  <c r="E71" i="14"/>
  <c r="E47" i="14"/>
  <c r="C29" i="8"/>
  <c r="D100" i="8"/>
  <c r="D127" i="8" s="1"/>
  <c r="G191" i="14"/>
  <c r="G192" i="14" s="1"/>
  <c r="D55" i="14"/>
  <c r="D56" i="14" s="1"/>
  <c r="F55" i="14"/>
  <c r="F56" i="14" s="1"/>
  <c r="E55" i="14"/>
  <c r="E56" i="14" s="1"/>
  <c r="G215" i="14"/>
  <c r="G216" i="14" s="1"/>
  <c r="H214" i="14" s="1"/>
  <c r="C202" i="14"/>
  <c r="C48" i="14"/>
  <c r="D71" i="14"/>
  <c r="D48" i="14"/>
  <c r="G45" i="16"/>
  <c r="I45" i="16" s="1"/>
  <c r="C47" i="16" s="1"/>
  <c r="C48" i="16" s="1"/>
  <c r="C37" i="16" s="1"/>
  <c r="E20" i="16"/>
  <c r="E21" i="16" s="1"/>
  <c r="E23" i="16" s="1"/>
  <c r="H138" i="14"/>
  <c r="I135" i="14" s="1"/>
  <c r="I138" i="14" s="1"/>
  <c r="I116" i="14"/>
  <c r="H103" i="14"/>
  <c r="I118" i="14"/>
  <c r="J92" i="14"/>
  <c r="K92" i="14" s="1"/>
  <c r="I15" i="14"/>
  <c r="I77" i="14" s="1"/>
  <c r="H162" i="14"/>
  <c r="H199" i="14"/>
  <c r="H221" i="14"/>
  <c r="H77" i="14"/>
  <c r="H179" i="14"/>
  <c r="K120" i="14"/>
  <c r="K209" i="14" s="1"/>
  <c r="K122" i="14"/>
  <c r="D77" i="14"/>
  <c r="D179" i="14"/>
  <c r="D199" i="14"/>
  <c r="D162" i="14"/>
  <c r="D132" i="14"/>
  <c r="C15" i="14"/>
  <c r="I108" i="14"/>
  <c r="I96" i="14"/>
  <c r="I112" i="14"/>
  <c r="J93" i="14"/>
  <c r="I149" i="14"/>
  <c r="J81" i="14"/>
  <c r="J115" i="14"/>
  <c r="K115" i="14"/>
  <c r="J137" i="14"/>
  <c r="J85" i="14"/>
  <c r="I152" i="14"/>
  <c r="I78" i="14"/>
  <c r="I222" i="14"/>
  <c r="I104" i="14"/>
  <c r="I180" i="14"/>
  <c r="I163" i="14"/>
  <c r="I133" i="14"/>
  <c r="I200" i="14"/>
  <c r="J16" i="14"/>
  <c r="K145" i="14"/>
  <c r="C127" i="8" l="1"/>
  <c r="C128" i="8" s="1"/>
  <c r="H191" i="14"/>
  <c r="H192" i="14" s="1"/>
  <c r="G217" i="14"/>
  <c r="C27" i="16"/>
  <c r="E48" i="14"/>
  <c r="C207" i="14"/>
  <c r="C204" i="14"/>
  <c r="D202" i="14"/>
  <c r="D204" i="14" s="1"/>
  <c r="E202" i="14"/>
  <c r="E204" i="14" s="1"/>
  <c r="J116" i="14"/>
  <c r="K116" i="14"/>
  <c r="J118" i="14"/>
  <c r="J15" i="14"/>
  <c r="K15" i="14" s="1"/>
  <c r="I179" i="14"/>
  <c r="I132" i="14"/>
  <c r="I199" i="14"/>
  <c r="I221" i="14"/>
  <c r="I103" i="14"/>
  <c r="I162" i="14"/>
  <c r="J190" i="14"/>
  <c r="C199" i="14"/>
  <c r="C77" i="14"/>
  <c r="J210" i="14"/>
  <c r="J108" i="14"/>
  <c r="J96" i="14"/>
  <c r="K96" i="14" s="1"/>
  <c r="K93" i="14"/>
  <c r="K112" i="14" s="1"/>
  <c r="J112" i="14"/>
  <c r="K137" i="14"/>
  <c r="K118" i="14"/>
  <c r="K190" i="14"/>
  <c r="J180" i="14"/>
  <c r="J163" i="14"/>
  <c r="J104" i="14"/>
  <c r="J78" i="14"/>
  <c r="J222" i="14"/>
  <c r="J133" i="14"/>
  <c r="J200" i="14"/>
  <c r="K16" i="14"/>
  <c r="J135" i="14"/>
  <c r="J138" i="14" s="1"/>
  <c r="K108" i="14"/>
  <c r="K210" i="14"/>
  <c r="J149" i="14"/>
  <c r="K85" i="14"/>
  <c r="K152" i="14" s="1"/>
  <c r="J152" i="14"/>
  <c r="K81" i="14"/>
  <c r="C130" i="8" l="1"/>
  <c r="D121" i="8"/>
  <c r="D123" i="8" s="1"/>
  <c r="D128" i="8" s="1"/>
  <c r="D130" i="8" s="1"/>
  <c r="I191" i="14"/>
  <c r="J191" i="14" s="1"/>
  <c r="K191" i="14" s="1"/>
  <c r="K192" i="14" s="1"/>
  <c r="D207" i="14"/>
  <c r="E207" i="14"/>
  <c r="J77" i="14"/>
  <c r="J199" i="14"/>
  <c r="J221" i="14"/>
  <c r="J103" i="14"/>
  <c r="J132" i="14"/>
  <c r="J162" i="14"/>
  <c r="J179" i="14"/>
  <c r="K149" i="14"/>
  <c r="K135" i="14"/>
  <c r="K138" i="14" s="1"/>
  <c r="K78" i="14"/>
  <c r="K180" i="14"/>
  <c r="K163" i="14"/>
  <c r="K222" i="14"/>
  <c r="K133" i="14"/>
  <c r="K200" i="14"/>
  <c r="K104" i="14"/>
  <c r="K221" i="14"/>
  <c r="K179" i="14"/>
  <c r="K162" i="14"/>
  <c r="K77" i="14"/>
  <c r="K132" i="14"/>
  <c r="K103" i="14"/>
  <c r="K199" i="14"/>
  <c r="E121" i="8" l="1"/>
  <c r="E123" i="8" s="1"/>
  <c r="I192" i="14"/>
  <c r="J192" i="14"/>
  <c r="AM11" i="8"/>
  <c r="H46" i="8"/>
  <c r="H52" i="8" s="1"/>
  <c r="G46" i="8"/>
  <c r="G52" i="8" s="1"/>
  <c r="F46" i="8"/>
  <c r="F52" i="8" s="1"/>
  <c r="E46" i="8"/>
  <c r="E52" i="8" s="1"/>
  <c r="I46" i="8"/>
  <c r="I52" i="8" s="1"/>
  <c r="AM16" i="8" l="1"/>
  <c r="AH60" i="8"/>
  <c r="AH66" i="8" s="1"/>
  <c r="AH46" i="8"/>
  <c r="AH52" i="8" s="1"/>
  <c r="AH72" i="8"/>
  <c r="AJ72" i="8"/>
  <c r="AN11" i="8"/>
  <c r="AN46" i="8"/>
  <c r="AN52" i="8" s="1"/>
  <c r="AN72" i="8"/>
  <c r="AK72" i="8"/>
  <c r="AL46" i="8"/>
  <c r="AL52" i="8" s="1"/>
  <c r="AN60" i="8"/>
  <c r="AN66" i="8" s="1"/>
  <c r="AM60" i="8"/>
  <c r="AM66" i="8" s="1"/>
  <c r="AI60" i="8"/>
  <c r="AI66" i="8" s="1"/>
  <c r="AK11" i="8"/>
  <c r="AI46" i="8"/>
  <c r="AI52" i="8" s="1"/>
  <c r="AM46" i="8"/>
  <c r="AM52" i="8" s="1"/>
  <c r="AL72" i="8"/>
  <c r="AL11" i="8"/>
  <c r="AJ46" i="8"/>
  <c r="AJ52" i="8" s="1"/>
  <c r="AJ60" i="8"/>
  <c r="AJ66" i="8" s="1"/>
  <c r="AL60" i="8"/>
  <c r="AL66" i="8" s="1"/>
  <c r="AM72" i="8"/>
  <c r="AI72" i="8"/>
  <c r="AP72" i="8"/>
  <c r="AP46" i="8"/>
  <c r="AP52" i="8" s="1"/>
  <c r="AQ72" i="8"/>
  <c r="AP11" i="8"/>
  <c r="AP16" i="8" s="1"/>
  <c r="AP66" i="8"/>
  <c r="AQ66" i="8"/>
  <c r="AO11" i="8"/>
  <c r="AO16" i="8" s="1"/>
  <c r="AQ11" i="8"/>
  <c r="AQ16" i="8" s="1"/>
  <c r="AQ46" i="8"/>
  <c r="AQ52" i="8" s="1"/>
  <c r="AL16" i="8" l="1"/>
  <c r="AK16" i="8"/>
  <c r="AN16" i="8"/>
  <c r="AU11" i="8"/>
  <c r="AM22" i="8"/>
  <c r="AM28" i="8" s="1"/>
  <c r="AM32" i="8" s="1"/>
  <c r="AJ23" i="9"/>
  <c r="AJ28" i="9" s="1"/>
  <c r="AG14" i="10"/>
  <c r="AG15" i="10" s="1"/>
  <c r="AH14" i="10"/>
  <c r="AH15" i="10" s="1"/>
  <c r="AH73" i="8"/>
  <c r="AH75" i="8" s="1"/>
  <c r="C23" i="9"/>
  <c r="C28" i="9" s="1"/>
  <c r="AN73" i="8"/>
  <c r="AN75" i="8" s="1"/>
  <c r="AL73" i="8"/>
  <c r="AL75" i="8" s="1"/>
  <c r="AJ73" i="8"/>
  <c r="AJ75" i="8" s="1"/>
  <c r="AM73" i="8"/>
  <c r="AM75" i="8" s="1"/>
  <c r="AI73" i="8"/>
  <c r="AI75" i="8" s="1"/>
  <c r="AM17" i="8"/>
  <c r="AP73" i="8"/>
  <c r="AP75" i="8" s="1"/>
  <c r="AU16" i="8"/>
  <c r="AQ73" i="8"/>
  <c r="AQ75" i="8" s="1"/>
  <c r="AO22" i="8" l="1"/>
  <c r="AK22" i="8"/>
  <c r="AK28" i="8" s="1"/>
  <c r="AK32" i="8" s="1"/>
  <c r="AP22" i="8"/>
  <c r="AP28" i="8" s="1"/>
  <c r="AP32" i="8" s="1"/>
  <c r="AL22" i="8"/>
  <c r="AL23" i="8" s="1"/>
  <c r="AN22" i="8"/>
  <c r="AN28" i="8" s="1"/>
  <c r="AN32" i="8" s="1"/>
  <c r="AM23" i="8"/>
  <c r="AQ22" i="8"/>
  <c r="AQ23" i="8" s="1"/>
  <c r="AP17" i="8"/>
  <c r="AO17" i="8"/>
  <c r="AU17" i="8" s="1"/>
  <c r="AL17" i="8"/>
  <c r="AQ17" i="8"/>
  <c r="AN17" i="8"/>
  <c r="AJ18" i="9"/>
  <c r="AE14" i="10"/>
  <c r="AE15" i="10" s="1"/>
  <c r="AF14" i="10"/>
  <c r="AF15" i="10" s="1"/>
  <c r="AI14" i="10"/>
  <c r="AI15" i="10" s="1"/>
  <c r="AK14" i="10"/>
  <c r="AK15" i="10" s="1"/>
  <c r="AD14" i="10"/>
  <c r="AD15" i="10" s="1"/>
  <c r="C18" i="9"/>
  <c r="AM29" i="8"/>
  <c r="AK17" i="8"/>
  <c r="AO28" i="8" l="1"/>
  <c r="AO29" i="8" s="1"/>
  <c r="AU29" i="8" s="1"/>
  <c r="AU22" i="8"/>
  <c r="C24" i="9"/>
  <c r="C32" i="9"/>
  <c r="C94" i="9" s="1"/>
  <c r="C29" i="9"/>
  <c r="AK23" i="8"/>
  <c r="AP23" i="8"/>
  <c r="AO23" i="8"/>
  <c r="AU23" i="8" s="1"/>
  <c r="AN23" i="8"/>
  <c r="AL28" i="8"/>
  <c r="AL32" i="8" s="1"/>
  <c r="AL33" i="8" s="1"/>
  <c r="AQ28" i="8"/>
  <c r="AQ32" i="8" s="1"/>
  <c r="AC14" i="10"/>
  <c r="AC15" i="10" s="1"/>
  <c r="AB14" i="10"/>
  <c r="AK29" i="8"/>
  <c r="AP29" i="8"/>
  <c r="AJ32" i="9"/>
  <c r="AJ94" i="9" s="1"/>
  <c r="AJ24" i="9"/>
  <c r="AA14" i="10"/>
  <c r="AJ14" i="10"/>
  <c r="AM14" i="10"/>
  <c r="AM9" i="10"/>
  <c r="AM33" i="8"/>
  <c r="AK33" i="8"/>
  <c r="AN29" i="8"/>
  <c r="AO32" i="8" l="1"/>
  <c r="AU32" i="8" s="1"/>
  <c r="AU28" i="8"/>
  <c r="C39" i="9"/>
  <c r="C48" i="9" s="1"/>
  <c r="C93" i="9"/>
  <c r="C92" i="9"/>
  <c r="C95" i="9" a="1"/>
  <c r="C95" i="9" s="1"/>
  <c r="C33" i="9"/>
  <c r="C96" i="9" a="1"/>
  <c r="C96" i="9" s="1"/>
  <c r="AL29" i="8"/>
  <c r="AQ29" i="8"/>
  <c r="AJ29" i="9"/>
  <c r="AN33" i="8"/>
  <c r="AP33" i="8"/>
  <c r="AQ33" i="8"/>
  <c r="AO33" i="8" l="1"/>
  <c r="AU33" i="8" s="1"/>
  <c r="AJ96" i="9" a="1"/>
  <c r="AJ96" i="9" s="1"/>
  <c r="AJ33" i="9"/>
  <c r="AJ95" i="9" a="1"/>
  <c r="AJ95" i="9" s="1"/>
  <c r="AJ92" i="9"/>
  <c r="AJ93" i="9"/>
  <c r="AJ39" i="9"/>
  <c r="AK60" i="8" l="1"/>
  <c r="AO66" i="8"/>
  <c r="AU66" i="8" s="1"/>
  <c r="AK66" i="8" l="1"/>
  <c r="AK73" i="8" s="1"/>
  <c r="E72" i="8" l="1"/>
  <c r="E11" i="8"/>
  <c r="E16" i="8" s="1"/>
  <c r="Y11" i="8"/>
  <c r="I11" i="8"/>
  <c r="I16" i="8" s="1"/>
  <c r="H11" i="8"/>
  <c r="H16" i="8" s="1"/>
  <c r="G11" i="8"/>
  <c r="G16" i="8" s="1"/>
  <c r="F11" i="8"/>
  <c r="F16" i="8" s="1"/>
  <c r="I72" i="8"/>
  <c r="H72" i="8"/>
  <c r="G72" i="8"/>
  <c r="F72" i="8"/>
  <c r="AB66" i="8"/>
  <c r="Z66" i="8"/>
  <c r="AR11" i="8"/>
  <c r="AR16" i="8" s="1"/>
  <c r="U88" i="9"/>
  <c r="U97" i="9" s="1"/>
  <c r="M88" i="9"/>
  <c r="M97" i="9" s="1"/>
  <c r="D12" i="9"/>
  <c r="Y16" i="8" l="1"/>
  <c r="AJ15" i="10"/>
  <c r="G15" i="10"/>
  <c r="U15" i="10"/>
  <c r="I15" i="10"/>
  <c r="H15" i="10"/>
  <c r="F15" i="10"/>
  <c r="E15" i="10"/>
  <c r="F66" i="8"/>
  <c r="H66" i="8"/>
  <c r="E66" i="8"/>
  <c r="G66" i="8"/>
  <c r="C88" i="9"/>
  <c r="C97" i="9" s="1"/>
  <c r="N88" i="9"/>
  <c r="N97" i="9" s="1"/>
  <c r="V88" i="9"/>
  <c r="V97" i="9" s="1"/>
  <c r="E88" i="9"/>
  <c r="E97" i="9" s="1"/>
  <c r="O88" i="9"/>
  <c r="O97" i="9" s="1"/>
  <c r="AH63" i="9"/>
  <c r="AJ63" i="9"/>
  <c r="E22" i="8"/>
  <c r="K88" i="9"/>
  <c r="G88" i="9"/>
  <c r="G97" i="9" s="1"/>
  <c r="J88" i="9"/>
  <c r="O23" i="9"/>
  <c r="O28" i="9" s="1"/>
  <c r="M12" i="9"/>
  <c r="U12" i="9"/>
  <c r="F88" i="9"/>
  <c r="F97" i="9" s="1"/>
  <c r="I88" i="9"/>
  <c r="U13" i="9"/>
  <c r="AO72" i="8"/>
  <c r="H22" i="8"/>
  <c r="G22" i="8"/>
  <c r="Y22" i="8"/>
  <c r="I22" i="8"/>
  <c r="AB22" i="8"/>
  <c r="F22" i="8"/>
  <c r="AA66" i="8"/>
  <c r="AR66" i="8"/>
  <c r="AR72" i="8"/>
  <c r="G23" i="9"/>
  <c r="G28" i="9" s="1"/>
  <c r="G12" i="9"/>
  <c r="E23" i="9"/>
  <c r="E28" i="9" s="1"/>
  <c r="E12" i="9"/>
  <c r="F23" i="9"/>
  <c r="F28" i="9" s="1"/>
  <c r="F12" i="9"/>
  <c r="M13" i="9"/>
  <c r="Q88" i="9"/>
  <c r="Q97" i="9" s="1"/>
  <c r="D23" i="9"/>
  <c r="D28" i="9" s="1"/>
  <c r="R88" i="9"/>
  <c r="R97" i="9" s="1"/>
  <c r="S88" i="9"/>
  <c r="S97" i="9" s="1"/>
  <c r="D88" i="9"/>
  <c r="D97" i="9" s="1"/>
  <c r="AO73" i="8" l="1"/>
  <c r="AU73" i="8" s="1"/>
  <c r="AU72" i="8"/>
  <c r="G73" i="8"/>
  <c r="G75" i="8" s="1"/>
  <c r="AB28" i="8"/>
  <c r="AB32" i="8" s="1"/>
  <c r="AB83" i="8" s="1"/>
  <c r="I28" i="8"/>
  <c r="I32" i="8" s="1"/>
  <c r="I83" i="8" s="1"/>
  <c r="Y23" i="8"/>
  <c r="E28" i="8"/>
  <c r="E32" i="8" s="1"/>
  <c r="F28" i="8"/>
  <c r="F32" i="8" s="1"/>
  <c r="G28" i="8"/>
  <c r="G32" i="8" s="1"/>
  <c r="H23" i="8"/>
  <c r="F73" i="8"/>
  <c r="F75" i="8" s="1"/>
  <c r="Y17" i="8"/>
  <c r="F17" i="8"/>
  <c r="E17" i="8"/>
  <c r="T88" i="9"/>
  <c r="T97" i="9" s="1"/>
  <c r="Z73" i="8"/>
  <c r="Z75" i="8" s="1"/>
  <c r="AO46" i="8"/>
  <c r="AU46" i="8" s="1"/>
  <c r="AK46" i="8"/>
  <c r="AB73" i="8"/>
  <c r="AB75" i="8" s="1"/>
  <c r="H73" i="8"/>
  <c r="H75" i="8" s="1"/>
  <c r="I73" i="8"/>
  <c r="I75" i="8" s="1"/>
  <c r="E73" i="8"/>
  <c r="E75" i="8" s="1"/>
  <c r="AI63" i="9"/>
  <c r="P88" i="9"/>
  <c r="P97" i="9" s="1"/>
  <c r="L88" i="9"/>
  <c r="L97" i="9" s="1"/>
  <c r="P13" i="9"/>
  <c r="T12" i="9"/>
  <c r="Q12" i="9"/>
  <c r="R13" i="9"/>
  <c r="T23" i="9"/>
  <c r="T28" i="9" s="1"/>
  <c r="O13" i="9"/>
  <c r="Q13" i="9"/>
  <c r="N13" i="9"/>
  <c r="R23" i="9"/>
  <c r="R28" i="9" s="1"/>
  <c r="P23" i="9"/>
  <c r="P28" i="9" s="1"/>
  <c r="J13" i="9"/>
  <c r="R12" i="9"/>
  <c r="N12" i="9"/>
  <c r="J23" i="9"/>
  <c r="J28" i="9" s="1"/>
  <c r="P12" i="9"/>
  <c r="AR46" i="8"/>
  <c r="AR52" i="8" s="1"/>
  <c r="H17" i="8"/>
  <c r="I17" i="8"/>
  <c r="G17" i="8"/>
  <c r="AR22" i="8"/>
  <c r="AB17" i="8"/>
  <c r="O18" i="9"/>
  <c r="F18" i="9"/>
  <c r="S12" i="9"/>
  <c r="S23" i="9"/>
  <c r="S28" i="9" s="1"/>
  <c r="S13" i="9"/>
  <c r="K23" i="9"/>
  <c r="K28" i="9" s="1"/>
  <c r="K13" i="9"/>
  <c r="U23" i="9"/>
  <c r="U28" i="9" s="1"/>
  <c r="AJ12" i="9"/>
  <c r="N23" i="9"/>
  <c r="N28" i="9" s="1"/>
  <c r="T13" i="9"/>
  <c r="D18" i="9"/>
  <c r="V12" i="9"/>
  <c r="V23" i="9"/>
  <c r="V28" i="9" s="1"/>
  <c r="V13" i="9"/>
  <c r="L23" i="9"/>
  <c r="L28" i="9" s="1"/>
  <c r="L13" i="9"/>
  <c r="O12" i="9"/>
  <c r="M23" i="9"/>
  <c r="M28" i="9" s="1"/>
  <c r="G18" i="9"/>
  <c r="Q23" i="9"/>
  <c r="Q28" i="9" s="1"/>
  <c r="E18" i="9"/>
  <c r="I23" i="9"/>
  <c r="I28" i="9" s="1"/>
  <c r="J18" i="9" l="1"/>
  <c r="R18" i="9"/>
  <c r="R24" i="9"/>
  <c r="AB23" i="8"/>
  <c r="I23" i="8"/>
  <c r="F23" i="8"/>
  <c r="E23" i="8"/>
  <c r="H28" i="8"/>
  <c r="H32" i="8" s="1"/>
  <c r="H83" i="8" s="1"/>
  <c r="H100" i="8" s="1"/>
  <c r="H127" i="8" s="1"/>
  <c r="Y28" i="8"/>
  <c r="Y32" i="8" s="1"/>
  <c r="G23" i="8"/>
  <c r="AK52" i="8"/>
  <c r="AK75" i="8" s="1"/>
  <c r="AO52" i="8"/>
  <c r="AR28" i="8"/>
  <c r="AR32" i="8" s="1"/>
  <c r="E83" i="8"/>
  <c r="G29" i="8"/>
  <c r="AB29" i="8"/>
  <c r="AR23" i="8"/>
  <c r="I29" i="8"/>
  <c r="D21" i="12"/>
  <c r="D24" i="12"/>
  <c r="D25" i="12"/>
  <c r="E29" i="8"/>
  <c r="AR73" i="8"/>
  <c r="AA73" i="8"/>
  <c r="AA75" i="8" s="1"/>
  <c r="T18" i="9"/>
  <c r="P18" i="9"/>
  <c r="J24" i="9"/>
  <c r="I33" i="8"/>
  <c r="I100" i="8"/>
  <c r="I127" i="8" s="1"/>
  <c r="F29" i="8"/>
  <c r="AR17" i="8"/>
  <c r="I18" i="9"/>
  <c r="E32" i="9"/>
  <c r="E94" i="9" s="1"/>
  <c r="E24" i="9"/>
  <c r="D32" i="9"/>
  <c r="D94" i="9" s="1"/>
  <c r="D24" i="9"/>
  <c r="K18" i="9"/>
  <c r="Q18" i="9"/>
  <c r="L18" i="9"/>
  <c r="F32" i="9"/>
  <c r="F94" i="9" s="1"/>
  <c r="F24" i="9"/>
  <c r="O32" i="9"/>
  <c r="O24" i="9"/>
  <c r="V18" i="9"/>
  <c r="S18" i="9"/>
  <c r="T32" i="9"/>
  <c r="T24" i="9"/>
  <c r="P24" i="9"/>
  <c r="P32" i="9"/>
  <c r="G24" i="9"/>
  <c r="G32" i="9"/>
  <c r="G94" i="9" s="1"/>
  <c r="U18" i="9"/>
  <c r="M18" i="9"/>
  <c r="N18" i="9"/>
  <c r="AO75" i="8" l="1"/>
  <c r="AU52" i="8"/>
  <c r="Y83" i="8"/>
  <c r="Y100" i="8" s="1"/>
  <c r="Y127" i="8" s="1"/>
  <c r="H29" i="8"/>
  <c r="H33" i="8"/>
  <c r="Y29" i="8"/>
  <c r="D19" i="12"/>
  <c r="E100" i="8"/>
  <c r="E127" i="8" s="1"/>
  <c r="G33" i="8"/>
  <c r="G83" i="8"/>
  <c r="E33" i="8"/>
  <c r="AB100" i="8"/>
  <c r="AB127" i="8" s="1"/>
  <c r="AB33" i="8"/>
  <c r="F83" i="8"/>
  <c r="F33" i="8"/>
  <c r="AR75" i="8"/>
  <c r="R32" i="9"/>
  <c r="J32" i="9"/>
  <c r="AR29" i="8"/>
  <c r="Y33" i="8"/>
  <c r="G29" i="9"/>
  <c r="N32" i="9"/>
  <c r="N24" i="9"/>
  <c r="T29" i="9"/>
  <c r="F29" i="9"/>
  <c r="D29" i="9"/>
  <c r="O29" i="9"/>
  <c r="S24" i="9"/>
  <c r="S32" i="9"/>
  <c r="E29" i="9"/>
  <c r="U32" i="9"/>
  <c r="U24" i="9"/>
  <c r="Q24" i="9"/>
  <c r="Q32" i="9"/>
  <c r="M32" i="9"/>
  <c r="M24" i="9"/>
  <c r="P29" i="9"/>
  <c r="L32" i="9"/>
  <c r="L24" i="9"/>
  <c r="K24" i="9"/>
  <c r="K32" i="9"/>
  <c r="V32" i="9"/>
  <c r="V24" i="9"/>
  <c r="I24" i="9"/>
  <c r="I32" i="9"/>
  <c r="AO83" i="8" l="1"/>
  <c r="W96" i="9" a="1"/>
  <c r="W96" i="9" s="1"/>
  <c r="W92" i="9"/>
  <c r="W93" i="9"/>
  <c r="W94" i="9" a="1"/>
  <c r="W94" i="9" s="1"/>
  <c r="W95" i="9" a="1"/>
  <c r="W95" i="9" s="1"/>
  <c r="AO127" i="8"/>
  <c r="Q94" i="9" a="1"/>
  <c r="Q94" i="9" s="1"/>
  <c r="P94" i="9" a="1"/>
  <c r="P94" i="9" s="1"/>
  <c r="V94" i="9" a="1"/>
  <c r="V94" i="9" s="1"/>
  <c r="L94" i="9" a="1"/>
  <c r="L94" i="9" s="1"/>
  <c r="N94" i="9" a="1"/>
  <c r="N94" i="9" s="1"/>
  <c r="U94" i="9" a="1"/>
  <c r="U94" i="9" s="1"/>
  <c r="T94" i="9" a="1"/>
  <c r="T94" i="9" s="1"/>
  <c r="M94" i="9" a="1"/>
  <c r="M94" i="9" s="1"/>
  <c r="R94" i="9" a="1"/>
  <c r="R94" i="9" s="1"/>
  <c r="O94" i="9" a="1"/>
  <c r="O94" i="9" s="1"/>
  <c r="S94" i="9" a="1"/>
  <c r="S94" i="9" s="1"/>
  <c r="G100" i="8"/>
  <c r="G127" i="8" s="1"/>
  <c r="F100" i="8"/>
  <c r="F127" i="8" s="1"/>
  <c r="AN100" i="8"/>
  <c r="R29" i="9"/>
  <c r="J29" i="9"/>
  <c r="AO100" i="8"/>
  <c r="M29" i="9"/>
  <c r="Q29" i="9"/>
  <c r="R96" i="9" a="1"/>
  <c r="R96" i="9" s="1"/>
  <c r="J39" i="9"/>
  <c r="J47" i="9" s="1"/>
  <c r="J33" i="9"/>
  <c r="N29" i="9"/>
  <c r="D95" i="9" a="1"/>
  <c r="D95" i="9" s="1"/>
  <c r="D96" i="9" a="1"/>
  <c r="D96" i="9" s="1"/>
  <c r="D39" i="9"/>
  <c r="D47" i="9" s="1"/>
  <c r="D33" i="9"/>
  <c r="D93" i="9"/>
  <c r="D92" i="9"/>
  <c r="F96" i="9" a="1"/>
  <c r="F96" i="9" s="1"/>
  <c r="F95" i="9" a="1"/>
  <c r="F95" i="9" s="1"/>
  <c r="F33" i="9"/>
  <c r="F39" i="9"/>
  <c r="F47" i="9" s="1"/>
  <c r="F92" i="9"/>
  <c r="F93" i="9"/>
  <c r="G95" i="9" a="1"/>
  <c r="G95" i="9" s="1"/>
  <c r="G96" i="9" a="1"/>
  <c r="G96" i="9" s="1"/>
  <c r="G33" i="9"/>
  <c r="G93" i="9"/>
  <c r="G39" i="9"/>
  <c r="G47" i="9" s="1"/>
  <c r="G92" i="9"/>
  <c r="R33" i="9"/>
  <c r="R39" i="9"/>
  <c r="R47" i="9" s="1"/>
  <c r="V29" i="9"/>
  <c r="L29" i="9"/>
  <c r="U29" i="9"/>
  <c r="P39" i="9"/>
  <c r="P47" i="9" s="1"/>
  <c r="P33" i="9"/>
  <c r="O39" i="9"/>
  <c r="O47" i="9" s="1"/>
  <c r="O33" i="9"/>
  <c r="S29" i="9"/>
  <c r="I29" i="9"/>
  <c r="K29" i="9"/>
  <c r="E96" i="9" a="1"/>
  <c r="E96" i="9" s="1"/>
  <c r="E39" i="9"/>
  <c r="E47" i="9" s="1"/>
  <c r="E33" i="9"/>
  <c r="E95" i="9" a="1"/>
  <c r="E95" i="9" s="1"/>
  <c r="E93" i="9"/>
  <c r="E92" i="9"/>
  <c r="T33" i="9"/>
  <c r="T39" i="9"/>
  <c r="T47" i="9" s="1"/>
  <c r="N100" i="8" l="1"/>
  <c r="N127" i="8" s="1"/>
  <c r="AG83" i="8"/>
  <c r="AG100" i="8" s="1"/>
  <c r="AF83" i="8"/>
  <c r="AF100" i="8" s="1"/>
  <c r="AE83" i="8"/>
  <c r="AE100" i="8" s="1"/>
  <c r="R100" i="8"/>
  <c r="R127" i="8" s="1"/>
  <c r="AI83" i="8"/>
  <c r="AJ83" i="8"/>
  <c r="AK83" i="8"/>
  <c r="AK100" i="8" s="1"/>
  <c r="AH83" i="8"/>
  <c r="AL100" i="8"/>
  <c r="AM100" i="8"/>
  <c r="AR33" i="8"/>
  <c r="R95" i="9" a="1"/>
  <c r="R95" i="9" s="1"/>
  <c r="D48" i="9"/>
  <c r="U95" i="9" a="1"/>
  <c r="U95" i="9" s="1"/>
  <c r="S95" i="9" a="1"/>
  <c r="S95" i="9" s="1"/>
  <c r="U93" i="9"/>
  <c r="N96" i="9" a="1"/>
  <c r="N96" i="9" s="1"/>
  <c r="N95" i="9" a="1"/>
  <c r="N95" i="9" s="1"/>
  <c r="N92" i="9"/>
  <c r="K39" i="9"/>
  <c r="K47" i="9" s="1"/>
  <c r="K33" i="9"/>
  <c r="N93" i="9"/>
  <c r="M95" i="9" a="1"/>
  <c r="M95" i="9" s="1"/>
  <c r="Q39" i="9"/>
  <c r="Q47" i="9" s="1"/>
  <c r="T95" i="9" a="1"/>
  <c r="T95" i="9" s="1"/>
  <c r="T96" i="9" a="1"/>
  <c r="T96" i="9" s="1"/>
  <c r="Q33" i="9"/>
  <c r="T92" i="9"/>
  <c r="T93" i="9"/>
  <c r="I39" i="9"/>
  <c r="I47" i="9" s="1"/>
  <c r="L95" i="9" a="1"/>
  <c r="L95" i="9" s="1"/>
  <c r="L96" i="9" a="1"/>
  <c r="L96" i="9" s="1"/>
  <c r="I33" i="9"/>
  <c r="L92" i="9"/>
  <c r="L93" i="9"/>
  <c r="R93" i="9"/>
  <c r="S92" i="9"/>
  <c r="G48" i="9"/>
  <c r="J48" i="9"/>
  <c r="R92" i="9"/>
  <c r="O95" i="9" a="1"/>
  <c r="O95" i="9" s="1"/>
  <c r="L39" i="9"/>
  <c r="L47" i="9" s="1"/>
  <c r="L33" i="9"/>
  <c r="O96" i="9" a="1"/>
  <c r="O96" i="9" s="1"/>
  <c r="O92" i="9"/>
  <c r="O93" i="9"/>
  <c r="F48" i="9"/>
  <c r="M92" i="9"/>
  <c r="U39" i="9"/>
  <c r="U47" i="9" s="1"/>
  <c r="U33" i="9"/>
  <c r="Q96" i="9" a="1"/>
  <c r="Q96" i="9" s="1"/>
  <c r="N39" i="9"/>
  <c r="N47" i="9" s="1"/>
  <c r="N33" i="9"/>
  <c r="Q95" i="9" a="1"/>
  <c r="Q95" i="9" s="1"/>
  <c r="Q92" i="9"/>
  <c r="Q93" i="9"/>
  <c r="S96" i="9" a="1"/>
  <c r="S96" i="9" s="1"/>
  <c r="U92" i="9"/>
  <c r="M96" i="9" a="1"/>
  <c r="M96" i="9" s="1"/>
  <c r="E48" i="9"/>
  <c r="V96" i="9" a="1"/>
  <c r="V96" i="9" s="1"/>
  <c r="V95" i="9" a="1"/>
  <c r="V95" i="9" s="1"/>
  <c r="V92" i="9"/>
  <c r="S33" i="9"/>
  <c r="S39" i="9"/>
  <c r="S47" i="9" s="1"/>
  <c r="V93" i="9"/>
  <c r="T48" i="9"/>
  <c r="U96" i="9" a="1"/>
  <c r="U96" i="9" s="1"/>
  <c r="P95" i="9" a="1"/>
  <c r="P95" i="9" s="1"/>
  <c r="P96" i="9" a="1"/>
  <c r="P96" i="9" s="1"/>
  <c r="M39" i="9"/>
  <c r="M47" i="9" s="1"/>
  <c r="M33" i="9"/>
  <c r="P92" i="9"/>
  <c r="P93" i="9"/>
  <c r="S93" i="9"/>
  <c r="V33" i="9"/>
  <c r="V39" i="9"/>
  <c r="V47" i="9" s="1"/>
  <c r="M93" i="9"/>
  <c r="AK47" i="9" l="1"/>
  <c r="AK48" i="9" s="1"/>
  <c r="AG127" i="8"/>
  <c r="AE127" i="8"/>
  <c r="AF127" i="8"/>
  <c r="AK127" i="8"/>
  <c r="AI127" i="8"/>
  <c r="AJ127" i="8"/>
  <c r="AH127" i="8"/>
  <c r="AE47" i="9"/>
  <c r="AE48" i="9" s="1"/>
  <c r="AA47" i="9"/>
  <c r="AA48" i="9" s="1"/>
  <c r="AH47" i="9"/>
  <c r="AH48" i="9" s="1"/>
  <c r="AG47" i="9"/>
  <c r="AG48" i="9" s="1"/>
  <c r="AD47" i="9"/>
  <c r="AD48" i="9" s="1"/>
  <c r="AJ47" i="9"/>
  <c r="AJ48" i="9" s="1"/>
  <c r="AC47" i="9"/>
  <c r="AC48" i="9" s="1"/>
  <c r="AF47" i="9"/>
  <c r="AF48" i="9" s="1"/>
  <c r="AB47" i="9"/>
  <c r="AB48" i="9" s="1"/>
  <c r="AI47" i="9"/>
  <c r="AI48" i="9" s="1"/>
  <c r="U48" i="9"/>
  <c r="V48" i="9"/>
  <c r="S48" i="9"/>
  <c r="K48" i="9"/>
  <c r="R48" i="9"/>
  <c r="M48" i="9"/>
  <c r="O48" i="9"/>
  <c r="P48" i="9"/>
  <c r="I48" i="9" l="1"/>
  <c r="Z47" i="9"/>
  <c r="Z48" i="9" s="1"/>
  <c r="Y47" i="9"/>
  <c r="Y48" i="9" s="1"/>
  <c r="N48" i="9"/>
  <c r="Q48" i="9"/>
  <c r="L48" i="9"/>
  <c r="E128" i="8" l="1"/>
  <c r="E130" i="8" l="1"/>
  <c r="K121" i="8"/>
  <c r="F121" i="8"/>
  <c r="F123" i="8" s="1"/>
  <c r="F128" i="8" s="1"/>
  <c r="F130" i="8" s="1"/>
  <c r="G121" i="8" l="1"/>
  <c r="G123" i="8" s="1"/>
  <c r="G128" i="8" s="1"/>
  <c r="G130" i="8" s="1"/>
  <c r="H121" i="8" l="1"/>
  <c r="H123" i="8" s="1"/>
  <c r="H128" i="8" s="1"/>
  <c r="H130" i="8" s="1"/>
  <c r="I121" i="8" l="1"/>
  <c r="I123" i="8" s="1"/>
  <c r="I128" i="8" s="1"/>
  <c r="I130" i="8" s="1"/>
  <c r="G43" i="14" l="1"/>
  <c r="H43" i="14" s="1"/>
  <c r="I43" i="14" s="1"/>
  <c r="J43" i="14" s="1"/>
  <c r="K43" i="14" s="1"/>
  <c r="F44" i="14"/>
  <c r="F47" i="14" l="1"/>
  <c r="F48" i="14" s="1"/>
  <c r="F71" i="14"/>
  <c r="G71" i="14" s="1"/>
  <c r="F202" i="14" l="1"/>
  <c r="F207" i="14" s="1"/>
  <c r="F156" i="14"/>
  <c r="H71" i="14"/>
  <c r="G37" i="14"/>
  <c r="F204" i="14" l="1"/>
  <c r="I71" i="14"/>
  <c r="H37" i="14"/>
  <c r="J71" i="14" l="1"/>
  <c r="I37" i="14"/>
  <c r="K71" i="14" l="1"/>
  <c r="K37" i="14" s="1"/>
  <c r="J37" i="14"/>
  <c r="K123" i="8" l="1"/>
  <c r="K128" i="8" s="1"/>
  <c r="K130" i="8" s="1"/>
  <c r="AE121" i="8" l="1"/>
  <c r="AE123" i="8" s="1"/>
  <c r="AE128" i="8" s="1"/>
  <c r="AE130" i="8" s="1"/>
  <c r="L121" i="8"/>
  <c r="L123" i="8" s="1"/>
  <c r="L128" i="8" s="1"/>
  <c r="L130" i="8" s="1"/>
  <c r="G35" i="14"/>
  <c r="AF121" i="8" l="1"/>
  <c r="AF123" i="8" s="1"/>
  <c r="AF128" i="8" s="1"/>
  <c r="AF130" i="8" s="1"/>
  <c r="E17" i="12"/>
  <c r="G36" i="14"/>
  <c r="H18" i="14"/>
  <c r="H21" i="14" s="1"/>
  <c r="G144" i="14"/>
  <c r="G150" i="14" s="1"/>
  <c r="G151" i="14" s="1"/>
  <c r="G111" i="14" s="1"/>
  <c r="G28" i="14"/>
  <c r="G29" i="14" s="1"/>
  <c r="M121" i="8"/>
  <c r="M123" i="8" s="1"/>
  <c r="M128" i="8" s="1"/>
  <c r="M130" i="8" s="1"/>
  <c r="E30" i="12"/>
  <c r="AG121" i="8" l="1"/>
  <c r="AG123" i="8" s="1"/>
  <c r="AG128" i="8" s="1"/>
  <c r="AG130" i="8" s="1"/>
  <c r="G32" i="14"/>
  <c r="H35" i="14"/>
  <c r="H28" i="14"/>
  <c r="H32" i="14" s="1"/>
  <c r="H36" i="14"/>
  <c r="I18" i="14"/>
  <c r="H144" i="14"/>
  <c r="H150" i="14" s="1"/>
  <c r="H151" i="14" s="1"/>
  <c r="H111" i="14" s="1"/>
  <c r="G146" i="14"/>
  <c r="G107" i="14" s="1"/>
  <c r="N121" i="8"/>
  <c r="N123" i="8" s="1"/>
  <c r="N128" i="8" s="1"/>
  <c r="N130" i="8" s="1"/>
  <c r="F30" i="12"/>
  <c r="F17" i="12"/>
  <c r="I35" i="14" l="1"/>
  <c r="I21" i="14"/>
  <c r="H33" i="14"/>
  <c r="H38" i="14"/>
  <c r="H39" i="14" s="1"/>
  <c r="G33" i="14"/>
  <c r="G38" i="14"/>
  <c r="G39" i="14" s="1"/>
  <c r="AH121" i="8"/>
  <c r="G31" i="14"/>
  <c r="G82" i="14" s="1"/>
  <c r="G109" i="14" s="1"/>
  <c r="G30" i="12"/>
  <c r="I36" i="14"/>
  <c r="J18" i="14"/>
  <c r="K18" i="14" s="1"/>
  <c r="H29" i="14"/>
  <c r="I28" i="14"/>
  <c r="I32" i="14" s="1"/>
  <c r="I144" i="14"/>
  <c r="I146" i="14" s="1"/>
  <c r="H146" i="14"/>
  <c r="H107" i="14" s="1"/>
  <c r="H31" i="14"/>
  <c r="O121" i="8"/>
  <c r="O123" i="8" s="1"/>
  <c r="O128" i="8" s="1"/>
  <c r="O130" i="8" s="1"/>
  <c r="J21" i="14" l="1"/>
  <c r="J28" i="14" s="1"/>
  <c r="I33" i="14"/>
  <c r="I38" i="14"/>
  <c r="I39" i="14" s="1"/>
  <c r="AI121" i="8"/>
  <c r="G17" i="12"/>
  <c r="J35" i="14"/>
  <c r="H30" i="12"/>
  <c r="J144" i="14"/>
  <c r="J150" i="14" s="1"/>
  <c r="J151" i="14" s="1"/>
  <c r="J111" i="14" s="1"/>
  <c r="I29" i="14"/>
  <c r="G88" i="14"/>
  <c r="G110" i="14" s="1"/>
  <c r="E23" i="12"/>
  <c r="G51" i="14"/>
  <c r="G52" i="14" s="1"/>
  <c r="I150" i="14"/>
  <c r="I151" i="14" s="1"/>
  <c r="I111" i="14" s="1"/>
  <c r="F21" i="12"/>
  <c r="H51" i="14"/>
  <c r="H52" i="14" s="1"/>
  <c r="H82" i="14"/>
  <c r="H109" i="14" s="1"/>
  <c r="I31" i="14"/>
  <c r="P121" i="8"/>
  <c r="P123" i="8" s="1"/>
  <c r="P128" i="8" s="1"/>
  <c r="P130" i="8" s="1"/>
  <c r="H17" i="12"/>
  <c r="I107" i="14"/>
  <c r="J32" i="14" l="1"/>
  <c r="J29" i="14"/>
  <c r="K144" i="14"/>
  <c r="K146" i="14" s="1"/>
  <c r="K21" i="14"/>
  <c r="J33" i="14"/>
  <c r="K35" i="14"/>
  <c r="AJ121" i="8"/>
  <c r="K28" i="14"/>
  <c r="K32" i="14" s="1"/>
  <c r="J146" i="14"/>
  <c r="E19" i="12"/>
  <c r="G55" i="14"/>
  <c r="G56" i="14" s="1"/>
  <c r="H88" i="14"/>
  <c r="H110" i="14" s="1"/>
  <c r="F35" i="12" s="1"/>
  <c r="E21" i="12"/>
  <c r="E25" i="12"/>
  <c r="I51" i="14"/>
  <c r="I52" i="14" s="1"/>
  <c r="F23" i="12"/>
  <c r="F25" i="12"/>
  <c r="H55" i="14"/>
  <c r="H56" i="14" s="1"/>
  <c r="G25" i="12"/>
  <c r="F19" i="12"/>
  <c r="I82" i="14"/>
  <c r="I109" i="14" s="1"/>
  <c r="J31" i="14"/>
  <c r="Q121" i="8"/>
  <c r="Q123" i="8" s="1"/>
  <c r="Q128" i="8" s="1"/>
  <c r="Q130" i="8" s="1"/>
  <c r="K150" i="14"/>
  <c r="K151" i="14" s="1"/>
  <c r="K111" i="14" s="1"/>
  <c r="E35" i="12"/>
  <c r="E28" i="12"/>
  <c r="I17" i="12"/>
  <c r="I30" i="12"/>
  <c r="J107" i="14"/>
  <c r="K29" i="14" l="1"/>
  <c r="K33" i="14"/>
  <c r="AK121" i="8"/>
  <c r="G19" i="12"/>
  <c r="I88" i="14"/>
  <c r="J88" i="14" s="1"/>
  <c r="I55" i="14"/>
  <c r="I56" i="14" s="1"/>
  <c r="E32" i="12"/>
  <c r="E41" i="12" s="1"/>
  <c r="E42" i="12" s="1"/>
  <c r="G21" i="12"/>
  <c r="G23" i="12"/>
  <c r="J82" i="14"/>
  <c r="J109" i="14" s="1"/>
  <c r="F28" i="12"/>
  <c r="F32" i="12" s="1"/>
  <c r="F41" i="12" s="1"/>
  <c r="F42" i="12" s="1"/>
  <c r="K31" i="14"/>
  <c r="R121" i="8"/>
  <c r="R123" i="8" s="1"/>
  <c r="R128" i="8" s="1"/>
  <c r="R130" i="8" s="1"/>
  <c r="K107" i="14"/>
  <c r="J110" i="14" l="1"/>
  <c r="K88" i="14"/>
  <c r="K110" i="14" s="1"/>
  <c r="I110" i="14"/>
  <c r="G28" i="12" s="1"/>
  <c r="G32" i="12" s="1"/>
  <c r="G41" i="12" s="1"/>
  <c r="G42" i="12" s="1"/>
  <c r="AL121" i="8"/>
  <c r="G35" i="12"/>
  <c r="AH123" i="8"/>
  <c r="K82" i="14"/>
  <c r="K109" i="14" s="1"/>
  <c r="S121" i="8"/>
  <c r="S123" i="8" s="1"/>
  <c r="S128" i="8" s="1"/>
  <c r="S130" i="8" s="1"/>
  <c r="AM121" i="8" l="1"/>
  <c r="I35" i="12"/>
  <c r="T121" i="8"/>
  <c r="T123" i="8" s="1"/>
  <c r="T128" i="8" s="1"/>
  <c r="T130" i="8" s="1"/>
  <c r="H35" i="12"/>
  <c r="H28" i="12"/>
  <c r="AN121" i="8" l="1"/>
  <c r="I28" i="12"/>
  <c r="U121" i="8"/>
  <c r="U123" i="8" s="1"/>
  <c r="U128" i="8" s="1"/>
  <c r="U130" i="8" s="1"/>
  <c r="AO121" i="8" l="1"/>
  <c r="V121" i="8"/>
  <c r="V123" i="8" s="1"/>
  <c r="V128" i="8" s="1"/>
  <c r="V130" i="8" s="1"/>
  <c r="K36" i="14"/>
  <c r="K38" i="14" s="1"/>
  <c r="J36" i="14"/>
  <c r="J38" i="14" s="1"/>
  <c r="AP121" i="8" l="1"/>
  <c r="W121" i="8"/>
  <c r="W123" i="8" s="1"/>
  <c r="W128" i="8" s="1"/>
  <c r="W130" i="8" s="1"/>
  <c r="J51" i="14"/>
  <c r="J52" i="14" s="1"/>
  <c r="J55" i="14" s="1"/>
  <c r="J56" i="14" s="1"/>
  <c r="J39" i="14"/>
  <c r="K51" i="14"/>
  <c r="K52" i="14" s="1"/>
  <c r="K39" i="14"/>
  <c r="H25" i="12"/>
  <c r="H32" i="12" s="1"/>
  <c r="H41" i="12" s="1"/>
  <c r="H42" i="12" s="1"/>
  <c r="I21" i="12"/>
  <c r="AQ121" i="8" l="1"/>
  <c r="AM123" i="8"/>
  <c r="AM128" i="8" s="1"/>
  <c r="AM130" i="8" s="1"/>
  <c r="X121" i="8"/>
  <c r="X123" i="8" s="1"/>
  <c r="X128" i="8" s="1"/>
  <c r="X130" i="8" s="1"/>
  <c r="K55" i="14"/>
  <c r="K56" i="14" s="1"/>
  <c r="H19" i="12"/>
  <c r="I46" i="12"/>
  <c r="I48" i="12" s="1"/>
  <c r="I49" i="12" s="1"/>
  <c r="H21" i="12"/>
  <c r="I23" i="12"/>
  <c r="H23" i="12"/>
  <c r="I25" i="12"/>
  <c r="I32" i="12" s="1"/>
  <c r="I41" i="12" s="1"/>
  <c r="I42" i="12" s="1"/>
  <c r="C50" i="12" s="1"/>
  <c r="AR121" i="8" l="1"/>
  <c r="AN123" i="8"/>
  <c r="AN128" i="8" s="1"/>
  <c r="AN130" i="8" s="1"/>
  <c r="Y121" i="8"/>
  <c r="Y123" i="8" s="1"/>
  <c r="Y128" i="8" s="1"/>
  <c r="Y130" i="8" s="1"/>
  <c r="I19" i="12"/>
  <c r="C47" i="12"/>
  <c r="C48" i="12" s="1"/>
  <c r="C55" i="12" s="1"/>
  <c r="I50" i="12"/>
  <c r="I51" i="12" s="1"/>
  <c r="D73" i="12" s="1"/>
  <c r="I55" i="12"/>
  <c r="AS121" i="8" l="1"/>
  <c r="AO123" i="8"/>
  <c r="AO128" i="8" s="1"/>
  <c r="AO130" i="8" s="1"/>
  <c r="AI123" i="8"/>
  <c r="Z121" i="8"/>
  <c r="Z123" i="8" s="1"/>
  <c r="C49" i="12"/>
  <c r="C51" i="12" s="1"/>
  <c r="C73" i="12" s="1"/>
  <c r="I53" i="12"/>
  <c r="I54" i="12" s="1"/>
  <c r="D88" i="12"/>
  <c r="D75" i="12"/>
  <c r="D77" i="12" s="1"/>
  <c r="D103" i="12" s="1"/>
  <c r="D83" i="12"/>
  <c r="D86" i="12"/>
  <c r="D81" i="12"/>
  <c r="D87" i="12"/>
  <c r="D82" i="12"/>
  <c r="L103" i="12" s="1"/>
  <c r="C75" i="12" l="1"/>
  <c r="C77" i="12" s="1"/>
  <c r="D94" i="12" s="1"/>
  <c r="C83" i="12"/>
  <c r="C86" i="12"/>
  <c r="C81" i="12"/>
  <c r="C87" i="12"/>
  <c r="C82" i="12"/>
  <c r="L94" i="12" s="1"/>
  <c r="C88" i="12"/>
  <c r="C53" i="12"/>
  <c r="C54" i="12" s="1"/>
  <c r="AA11" i="8" l="1"/>
  <c r="AA16" i="8" l="1"/>
  <c r="AA22" i="8" s="1"/>
  <c r="W15" i="10"/>
  <c r="AA28" i="8" l="1"/>
  <c r="AA32" i="8" s="1"/>
  <c r="AA83" i="8" s="1"/>
  <c r="AA17" i="8"/>
  <c r="AA23" i="8" l="1"/>
  <c r="AA29" i="8"/>
  <c r="AA33" i="8" l="1"/>
  <c r="AA100" i="8" l="1"/>
  <c r="AA127" i="8" s="1"/>
  <c r="AJ100" i="8"/>
  <c r="AH11" i="8"/>
  <c r="AH16" i="8" s="1"/>
  <c r="AJ11" i="8"/>
  <c r="AJ16" i="8" s="1"/>
  <c r="Z11" i="8"/>
  <c r="AI11" i="8"/>
  <c r="AI16" i="8" l="1"/>
  <c r="Z16" i="8"/>
  <c r="Z22" i="8" s="1"/>
  <c r="AB15" i="10"/>
  <c r="AA15" i="10"/>
  <c r="V15" i="10"/>
  <c r="AJ22" i="8"/>
  <c r="AH22" i="8"/>
  <c r="Z17" i="8" l="1"/>
  <c r="Z28" i="8"/>
  <c r="Z32" i="8" s="1"/>
  <c r="Z83" i="8" s="1"/>
  <c r="AI22" i="8"/>
  <c r="AI23" i="8" s="1"/>
  <c r="AI17" i="8"/>
  <c r="AJ28" i="8"/>
  <c r="AJ32" i="8" s="1"/>
  <c r="AJ17" i="8"/>
  <c r="AH17" i="8"/>
  <c r="AH28" i="8"/>
  <c r="AH32" i="8" s="1"/>
  <c r="AI28" i="8" l="1"/>
  <c r="AI32" i="8" s="1"/>
  <c r="Z23" i="8"/>
  <c r="Z29" i="8"/>
  <c r="AH23" i="8"/>
  <c r="AJ23" i="8"/>
  <c r="AI29" i="8" l="1"/>
  <c r="Z33" i="8"/>
  <c r="AS83" i="8"/>
  <c r="AJ29" i="8"/>
  <c r="AH29" i="8"/>
  <c r="AI33" i="8"/>
  <c r="AS100" i="8" l="1"/>
  <c r="AU100" i="8" s="1"/>
  <c r="AU83" i="8"/>
  <c r="AR83" i="8"/>
  <c r="AP83" i="8"/>
  <c r="AP100" i="8" s="1"/>
  <c r="AQ83" i="8"/>
  <c r="AQ100" i="8" s="1"/>
  <c r="AI100" i="8"/>
  <c r="AI128" i="8" s="1"/>
  <c r="AI130" i="8" s="1"/>
  <c r="Z100" i="8"/>
  <c r="Z127" i="8" s="1"/>
  <c r="AH100" i="8"/>
  <c r="AH33" i="8"/>
  <c r="AJ33" i="8"/>
  <c r="Z128" i="8" l="1"/>
  <c r="Z130" i="8" s="1"/>
  <c r="AS127" i="8"/>
  <c r="AR127" i="8"/>
  <c r="AQ127" i="8"/>
  <c r="AP127" i="8"/>
  <c r="AH128" i="8"/>
  <c r="AH130" i="8" s="1"/>
  <c r="AP123" i="8"/>
  <c r="AR100" i="8"/>
  <c r="AJ123" i="8"/>
  <c r="AJ128" i="8" s="1"/>
  <c r="AJ130" i="8" s="1"/>
  <c r="AA121" i="8" l="1"/>
  <c r="AA123" i="8" s="1"/>
  <c r="AA128" i="8" s="1"/>
  <c r="AA130" i="8" s="1"/>
  <c r="AP128" i="8"/>
  <c r="AP130" i="8" s="1"/>
  <c r="AQ123" i="8"/>
  <c r="AQ128" i="8" s="1"/>
  <c r="AQ130" i="8" s="1"/>
  <c r="AK123" i="8"/>
  <c r="AK128" i="8" s="1"/>
  <c r="AK130" i="8" s="1"/>
  <c r="AB121" i="8" l="1"/>
  <c r="AB123" i="8" s="1"/>
  <c r="AB128" i="8" s="1"/>
  <c r="AB130" i="8" s="1"/>
  <c r="AR123" i="8"/>
  <c r="AR128" i="8" s="1"/>
  <c r="AR130" i="8" s="1"/>
  <c r="AL123" i="8"/>
  <c r="AL128" i="8" s="1"/>
  <c r="AL130" i="8" s="1"/>
  <c r="AC121" i="8" l="1"/>
  <c r="AC123" i="8" s="1"/>
  <c r="AC128" i="8" s="1"/>
  <c r="AC130" i="8" s="1"/>
  <c r="AS123" i="8"/>
  <c r="AS128" i="8" s="1"/>
  <c r="AS130" i="8" s="1"/>
  <c r="G99" i="14" l="1"/>
  <c r="H99" i="14" l="1"/>
  <c r="I99" i="14" l="1"/>
  <c r="J99" i="14" l="1"/>
  <c r="K44" i="14"/>
  <c r="K47" i="14" s="1"/>
  <c r="H44" i="14"/>
  <c r="H47" i="14" s="1"/>
  <c r="G44" i="14"/>
  <c r="G47" i="14" s="1"/>
  <c r="I44" i="14"/>
  <c r="J44" i="14"/>
  <c r="J47" i="14" s="1"/>
  <c r="K99" i="14"/>
  <c r="I47" i="14" l="1"/>
  <c r="I106" i="14" s="1"/>
  <c r="I113" i="14" s="1"/>
  <c r="H202" i="14"/>
  <c r="H48" i="14"/>
  <c r="J202" i="14"/>
  <c r="J106" i="14"/>
  <c r="J113" i="14" s="1"/>
  <c r="J156" i="14"/>
  <c r="J48" i="14"/>
  <c r="H106" i="14"/>
  <c r="H113" i="14" s="1"/>
  <c r="H156" i="14"/>
  <c r="G48" i="14"/>
  <c r="G202" i="14"/>
  <c r="G106" i="14"/>
  <c r="G113" i="14" s="1"/>
  <c r="K156" i="14"/>
  <c r="K202" i="14"/>
  <c r="K106" i="14"/>
  <c r="K113" i="14" s="1"/>
  <c r="K48" i="14"/>
  <c r="G156" i="14"/>
  <c r="H212" i="14" l="1"/>
  <c r="H211" i="14" s="1"/>
  <c r="H215" i="14" s="1"/>
  <c r="H216" i="14" s="1"/>
  <c r="I48" i="14"/>
  <c r="I156" i="14"/>
  <c r="I202" i="14"/>
  <c r="I212" i="14" s="1"/>
  <c r="G207" i="14"/>
  <c r="G204" i="14"/>
  <c r="K212" i="14"/>
  <c r="G157" i="14"/>
  <c r="G159" i="14" s="1"/>
  <c r="H155" i="14" s="1"/>
  <c r="H203" i="14" l="1"/>
  <c r="H206" i="14" s="1"/>
  <c r="H207" i="14" s="1"/>
  <c r="I211" i="14"/>
  <c r="J212" i="14"/>
  <c r="G121" i="14"/>
  <c r="H157" i="14"/>
  <c r="H159" i="14" s="1"/>
  <c r="I155" i="14" s="1"/>
  <c r="I214" i="14"/>
  <c r="H217" i="14"/>
  <c r="I215" i="14"/>
  <c r="H204" i="14" l="1"/>
  <c r="I203" i="14"/>
  <c r="G168" i="14"/>
  <c r="G169" i="14" s="1"/>
  <c r="G173" i="14" s="1"/>
  <c r="G175" i="14" s="1"/>
  <c r="J211" i="14"/>
  <c r="J215" i="14" s="1"/>
  <c r="I216" i="14"/>
  <c r="I217" i="14" s="1"/>
  <c r="H121" i="14"/>
  <c r="H168" i="14" s="1"/>
  <c r="I157" i="14"/>
  <c r="I159" i="14" s="1"/>
  <c r="J155" i="14" s="1"/>
  <c r="J203" i="14" l="1"/>
  <c r="I206" i="14"/>
  <c r="I207" i="14" s="1"/>
  <c r="I204" i="14"/>
  <c r="K211" i="14"/>
  <c r="K215" i="14" s="1"/>
  <c r="H172" i="14"/>
  <c r="G91" i="14"/>
  <c r="G94" i="14" s="1"/>
  <c r="G176" i="14"/>
  <c r="G186" i="14"/>
  <c r="G187" i="14" s="1"/>
  <c r="G182" i="14" s="1"/>
  <c r="G119" i="14"/>
  <c r="G123" i="14" s="1"/>
  <c r="G125" i="14" s="1"/>
  <c r="G80" i="14" s="1"/>
  <c r="J214" i="14"/>
  <c r="J216" i="14" s="1"/>
  <c r="J217" i="14" s="1"/>
  <c r="K203" i="14"/>
  <c r="J204" i="14"/>
  <c r="J206" i="14"/>
  <c r="J207" i="14" s="1"/>
  <c r="J157" i="14"/>
  <c r="J159" i="14" s="1"/>
  <c r="K155" i="14" s="1"/>
  <c r="I121" i="14"/>
  <c r="I168" i="14" s="1"/>
  <c r="G196" i="14" l="1"/>
  <c r="H166" i="14"/>
  <c r="H169" i="14" s="1"/>
  <c r="H173" i="14" s="1"/>
  <c r="H175" i="14" s="1"/>
  <c r="H91" i="14" s="1"/>
  <c r="G86" i="14"/>
  <c r="G100" i="14" s="1"/>
  <c r="K214" i="14"/>
  <c r="K216" i="14" s="1"/>
  <c r="K217" i="14" s="1"/>
  <c r="J121" i="14"/>
  <c r="J168" i="14" s="1"/>
  <c r="K157" i="14"/>
  <c r="K121" i="14" s="1"/>
  <c r="K168" i="14" s="1"/>
  <c r="K206" i="14"/>
  <c r="K207" i="14" s="1"/>
  <c r="K204" i="14"/>
  <c r="I172" i="14" l="1"/>
  <c r="H176" i="14"/>
  <c r="H94" i="14"/>
  <c r="H186" i="14"/>
  <c r="H119" i="14"/>
  <c r="H123" i="14" s="1"/>
  <c r="H125" i="14" s="1"/>
  <c r="H80" i="14" s="1"/>
  <c r="K159" i="14"/>
  <c r="H187" i="14" l="1"/>
  <c r="H182" i="14" s="1"/>
  <c r="H196" i="14"/>
  <c r="I166" i="14"/>
  <c r="I169" i="14" s="1"/>
  <c r="I173" i="14" s="1"/>
  <c r="I175" i="14" s="1"/>
  <c r="H86" i="14"/>
  <c r="H100" i="14" s="1"/>
  <c r="J172" i="14" l="1"/>
  <c r="I176" i="14"/>
  <c r="I91" i="14"/>
  <c r="I94" i="14" l="1"/>
  <c r="I186" i="14"/>
  <c r="I119" i="14"/>
  <c r="I123" i="14" s="1"/>
  <c r="I125" i="14" s="1"/>
  <c r="I80" i="14" s="1"/>
  <c r="I196" i="14" l="1"/>
  <c r="I86" i="14"/>
  <c r="I100" i="14" s="1"/>
  <c r="J166" i="14"/>
  <c r="J169" i="14" s="1"/>
  <c r="J173" i="14" s="1"/>
  <c r="J175" i="14" s="1"/>
  <c r="I187" i="14"/>
  <c r="I182" i="14" s="1"/>
  <c r="J176" i="14" l="1"/>
  <c r="J91" i="14"/>
  <c r="K172" i="14"/>
  <c r="J94" i="14" l="1"/>
  <c r="J186" i="14"/>
  <c r="J119" i="14"/>
  <c r="J123" i="14" s="1"/>
  <c r="J125" i="14" s="1"/>
  <c r="J80" i="14" s="1"/>
  <c r="J86" i="14" l="1"/>
  <c r="J100" i="14" s="1"/>
  <c r="K166" i="14"/>
  <c r="K169" i="14" s="1"/>
  <c r="K173" i="14" s="1"/>
  <c r="K175" i="14" s="1"/>
  <c r="J196" i="14"/>
  <c r="J187" i="14"/>
  <c r="J182" i="14" s="1"/>
  <c r="K91" i="14" l="1"/>
  <c r="K176" i="14"/>
  <c r="K119" i="14" l="1"/>
  <c r="K123" i="14" s="1"/>
  <c r="K125" i="14" s="1"/>
  <c r="K80" i="14" s="1"/>
  <c r="K186" i="14"/>
  <c r="K187" i="14" s="1"/>
  <c r="K182" i="14" s="1"/>
  <c r="K94" i="14"/>
  <c r="K86" i="14" l="1"/>
  <c r="K100" i="14" s="1"/>
  <c r="K196" i="14"/>
  <c r="AE53" i="18" l="1"/>
  <c r="AE50" i="18" s="1"/>
  <c r="AE55" i="18" l="1"/>
  <c r="AE23" i="18"/>
  <c r="AE24" i="18" s="1"/>
  <c r="S47" i="19" l="1"/>
  <c r="L48" i="19"/>
  <c r="M48" i="19"/>
  <c r="N48" i="19"/>
  <c r="O48" i="19"/>
  <c r="P48" i="19"/>
  <c r="Q48" i="19"/>
  <c r="S48" i="19"/>
  <c r="L51" i="19"/>
  <c r="L70" i="19" s="1"/>
  <c r="M51" i="19"/>
  <c r="M70" i="19" s="1"/>
  <c r="N51" i="19"/>
  <c r="N70" i="19" s="1"/>
  <c r="O51" i="19"/>
  <c r="O70" i="19" s="1"/>
  <c r="P51" i="19"/>
  <c r="P70" i="19" s="1"/>
  <c r="Q51" i="19"/>
  <c r="Q70" i="19" s="1"/>
  <c r="L76" i="19"/>
  <c r="M76" i="19"/>
  <c r="N76" i="19"/>
  <c r="O76" i="19"/>
  <c r="P76" i="19"/>
  <c r="Q76" i="19"/>
  <c r="S51" i="19" l="1"/>
  <c r="L171" i="19"/>
  <c r="M171" i="19"/>
  <c r="N171" i="19"/>
  <c r="O171" i="19"/>
  <c r="P171" i="19"/>
  <c r="Q171" i="19"/>
  <c r="L172" i="19"/>
  <c r="M172" i="19"/>
  <c r="N172" i="19"/>
  <c r="O172" i="19"/>
  <c r="P172" i="19"/>
  <c r="Q172" i="19"/>
  <c r="L173" i="19"/>
  <c r="M173" i="19"/>
  <c r="N173" i="19"/>
  <c r="O173" i="19"/>
  <c r="P173" i="19"/>
  <c r="Q17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7A2FC6D1-536F-436C-91AF-4AA7C24B849D}">
      <text>
        <r>
          <rPr>
            <sz val="9"/>
            <color indexed="81"/>
            <rFont val="Tahoma"/>
            <family val="2"/>
          </rPr>
          <t>Front cover of Apple 2019 10K
As of October 18, 2019</t>
        </r>
      </text>
    </comment>
    <comment ref="B83" authorId="0" shapeId="0" xr:uid="{6439A3EF-3E3E-42F8-8BFB-2C48CCCD7462}">
      <text>
        <r>
          <rPr>
            <sz val="9"/>
            <color indexed="81"/>
            <rFont val="Tahoma"/>
            <family val="2"/>
          </rPr>
          <t>Includes vendor non-trade receivables</t>
        </r>
      </text>
    </comment>
    <comment ref="B85" authorId="0" shapeId="0" xr:uid="{CA581457-FE45-4C85-B2B1-4F81AFEE32C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C141" authorId="0" shapeId="0" xr:uid="{2219FFFC-2383-4581-B375-CA03D19C612B}">
      <text>
        <r>
          <rPr>
            <sz val="9"/>
            <color indexed="81"/>
            <rFont val="Tahoma"/>
            <family val="2"/>
          </rPr>
          <t>WSP estimate</t>
        </r>
      </text>
    </comment>
    <comment ref="B157" authorId="0" shapeId="0" xr:uid="{7085AA9A-84A7-492A-B8CA-274A5CE6CD98}">
      <text>
        <r>
          <rPr>
            <sz val="9"/>
            <color indexed="81"/>
            <rFont val="Tahoma"/>
            <family val="2"/>
          </rPr>
          <t>Statement of shareholders equity schedule, p.41 Apple 2018 10K</t>
        </r>
      </text>
    </comment>
    <comment ref="B158" authorId="0" shapeId="0" xr:uid="{BBB1E183-5B22-4E4E-B78A-A975E679C8A1}">
      <text>
        <r>
          <rPr>
            <sz val="9"/>
            <color indexed="81"/>
            <rFont val="Tahoma"/>
            <family val="2"/>
          </rPr>
          <t>Statement of shareholders equity schedule, p.41 Apple 2018 10K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12" authorId="0" shapeId="0" xr:uid="{D5905C91-143E-40BF-A763-1413596C8F82}">
      <text>
        <r>
          <rPr>
            <sz val="9"/>
            <color indexed="81"/>
            <rFont val="Tahoma"/>
            <family val="2"/>
          </rPr>
          <t>Front cover of Apple 2019 10K
As of October 18, 2019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C9" authorId="0" shapeId="0" xr:uid="{CCFAC4AF-C471-4ECA-8F78-B7CC16862175}">
      <text>
        <r>
          <rPr>
            <b/>
            <sz val="9"/>
            <color indexed="81"/>
            <rFont val="Tahoma"/>
            <family val="2"/>
          </rPr>
          <t>Matan Feldman:</t>
        </r>
        <r>
          <rPr>
            <sz val="9"/>
            <color indexed="81"/>
            <rFont val="Tahoma"/>
            <family val="2"/>
          </rPr>
          <t xml:space="preserve">
In practice can use the NOW() function to keep current date active</t>
        </r>
      </text>
    </comment>
    <comment ref="H9" authorId="0" shapeId="0" xr:uid="{EC1B885B-7DD0-4515-9252-EACD042D0F99}">
      <text>
        <r>
          <rPr>
            <b/>
            <sz val="9"/>
            <color indexed="81"/>
            <rFont val="Tahoma"/>
            <family val="2"/>
          </rPr>
          <t>Matan Feldman:</t>
        </r>
        <r>
          <rPr>
            <sz val="9"/>
            <color indexed="81"/>
            <rFont val="Tahoma"/>
            <family val="2"/>
          </rPr>
          <t xml:space="preserve">
Midyear convention? (1=Yes,0=No)</t>
        </r>
      </text>
    </comment>
    <comment ref="B66" authorId="0" shapeId="0" xr:uid="{C17DAE9B-4274-49A4-B943-DEF68F2CA1A3}">
      <text>
        <r>
          <rPr>
            <b/>
            <sz val="9"/>
            <color indexed="81"/>
            <rFont val="Tahoma"/>
            <family val="2"/>
          </rPr>
          <t>Matan Feldman:</t>
        </r>
        <r>
          <rPr>
            <sz val="9"/>
            <color indexed="81"/>
            <rFont val="Tahoma"/>
            <family val="2"/>
          </rPr>
          <t xml:space="preserve">
Include cash &amp; equivalents, short term and long term marketable securites and investments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<sst xmlns="http://schemas.openxmlformats.org/spreadsheetml/2006/main" count="1209" uniqueCount="680">
  <si>
    <t>FYE</t>
  </si>
  <si>
    <t>Quarterly</t>
  </si>
  <si>
    <t>1Q24</t>
  </si>
  <si>
    <t>2Q24</t>
  </si>
  <si>
    <t>3Q24</t>
  </si>
  <si>
    <t>4Q24</t>
  </si>
  <si>
    <t>1Q23</t>
  </si>
  <si>
    <t>2Q23</t>
  </si>
  <si>
    <t>3Q23</t>
  </si>
  <si>
    <t>4Q23</t>
  </si>
  <si>
    <t>LTM</t>
  </si>
  <si>
    <t>EBITDA</t>
  </si>
  <si>
    <t>Adjusted EBITDA</t>
  </si>
  <si>
    <t>Total Revenue</t>
  </si>
  <si>
    <t>Accounts receivable</t>
  </si>
  <si>
    <t>Inventories</t>
  </si>
  <si>
    <t>Accounts payable</t>
  </si>
  <si>
    <t>Net income</t>
  </si>
  <si>
    <t>Changes in assets and liabilities:</t>
  </si>
  <si>
    <t>Cash-Flows Statement</t>
  </si>
  <si>
    <t>Other current assets</t>
  </si>
  <si>
    <t>Debt</t>
  </si>
  <si>
    <t>Total stockholders' equity</t>
  </si>
  <si>
    <t>Total Liabilities</t>
  </si>
  <si>
    <t>X</t>
  </si>
  <si>
    <t>Total Current Liabilities</t>
  </si>
  <si>
    <t>Common stock</t>
  </si>
  <si>
    <t xml:space="preserve">Beta </t>
  </si>
  <si>
    <t>Total Current Assets</t>
  </si>
  <si>
    <t>Total Assets</t>
  </si>
  <si>
    <t>Gross Profit</t>
  </si>
  <si>
    <t>Revenue</t>
  </si>
  <si>
    <t>EBIT</t>
  </si>
  <si>
    <t>Beta</t>
  </si>
  <si>
    <t>Total Debt</t>
  </si>
  <si>
    <t>Perpetuity</t>
  </si>
  <si>
    <t>Net Debt</t>
  </si>
  <si>
    <t>Variance</t>
  </si>
  <si>
    <t>FCF Analysis</t>
  </si>
  <si>
    <t>1Q22</t>
  </si>
  <si>
    <t>2Q22</t>
  </si>
  <si>
    <t>3Q22</t>
  </si>
  <si>
    <t>4Q22</t>
  </si>
  <si>
    <t>1Q25</t>
  </si>
  <si>
    <t>2Q25</t>
  </si>
  <si>
    <t>Y/Y Growth (%)</t>
  </si>
  <si>
    <t>Q/Q Growth (%)</t>
  </si>
  <si>
    <t>N/A</t>
  </si>
  <si>
    <t>Gross Margin (%)</t>
  </si>
  <si>
    <t>Earning before Interest &amp; Taxes (EBIT)</t>
  </si>
  <si>
    <t>Operating Margin (%)</t>
  </si>
  <si>
    <t>EBITDA Margin (%)</t>
  </si>
  <si>
    <t xml:space="preserve">(+) Share-based Compensation </t>
  </si>
  <si>
    <t>Adj. EBITDA</t>
  </si>
  <si>
    <t>Adj. EBITDA Margin (%)</t>
  </si>
  <si>
    <t>(-) Capital Expenditures</t>
  </si>
  <si>
    <t>(-) Cash Taxes</t>
  </si>
  <si>
    <t>(+/-) Changes in NWC</t>
  </si>
  <si>
    <t>Discretionary Cash-Flows</t>
  </si>
  <si>
    <t>Free-Cash Flows</t>
  </si>
  <si>
    <t>Capitalization</t>
  </si>
  <si>
    <t>Cash &amp; Cash Equivelants</t>
  </si>
  <si>
    <t>Total Liquidity</t>
  </si>
  <si>
    <t>Balance Sheet Metrics:</t>
  </si>
  <si>
    <t>Accounts Payable</t>
  </si>
  <si>
    <t>Current Liabilities</t>
  </si>
  <si>
    <t>Total Shareholder Equity</t>
  </si>
  <si>
    <t>Total Book Capitalization</t>
  </si>
  <si>
    <t>Debt-to-Book Capitalization</t>
  </si>
  <si>
    <t>Net loss</t>
  </si>
  <si>
    <t>Total liabilities and stockholders' equity</t>
  </si>
  <si>
    <t>Cash-Flows From Operating Activities</t>
  </si>
  <si>
    <t>Net income (loss)</t>
  </si>
  <si>
    <t>Depreciation and amortization</t>
  </si>
  <si>
    <t>Net cash used in operating activities</t>
  </si>
  <si>
    <t>Cash flows from investing activities:</t>
  </si>
  <si>
    <t>Net cash used in investing activities</t>
  </si>
  <si>
    <t>Cash flows from financing activities:</t>
  </si>
  <si>
    <t>Net cash provided by financing activities</t>
  </si>
  <si>
    <t>Consolidated Revenue</t>
  </si>
  <si>
    <t>Adjustments to reconcile net income:</t>
  </si>
  <si>
    <t>Balance Check</t>
  </si>
  <si>
    <t>Net Change in Cash</t>
  </si>
  <si>
    <t>Cash paid during the period for:</t>
  </si>
  <si>
    <t xml:space="preserve">Provision for taxes </t>
  </si>
  <si>
    <t>3Q25</t>
  </si>
  <si>
    <t>Net Margin (%)</t>
  </si>
  <si>
    <t>Basic shares</t>
  </si>
  <si>
    <t>Basic EPS</t>
  </si>
  <si>
    <t>Fully Diluted Shares</t>
  </si>
  <si>
    <t>Diluted EPS</t>
  </si>
  <si>
    <t>Segment Anaysis</t>
  </si>
  <si>
    <t>Total Net Revenue</t>
  </si>
  <si>
    <t xml:space="preserve">(+/-) Other </t>
  </si>
  <si>
    <t>Credit Metrics</t>
  </si>
  <si>
    <t>Company name</t>
  </si>
  <si>
    <t>Select an operating scenario:</t>
  </si>
  <si>
    <t>Base case</t>
  </si>
  <si>
    <t>Ticker</t>
  </si>
  <si>
    <t>Circ break 1=off, 0=on</t>
  </si>
  <si>
    <t>Latest closing share price</t>
  </si>
  <si>
    <t>Latest closing share price date</t>
  </si>
  <si>
    <t>Latest fiscal year end date</t>
  </si>
  <si>
    <t>Shares outstanding (millions)</t>
  </si>
  <si>
    <t xml:space="preserve">Fiscal year  </t>
  </si>
  <si>
    <t>Fiscal year end date</t>
  </si>
  <si>
    <t>Plug = Revenue - Gross Profit</t>
  </si>
  <si>
    <t>Revenue x Gross Profit Margin forecast</t>
  </si>
  <si>
    <t>Revenue x R&amp;D % of sales forecast</t>
  </si>
  <si>
    <t>Revenue x SG&amp;A % of sales forecast</t>
  </si>
  <si>
    <t>Operating profit (EBIT)</t>
  </si>
  <si>
    <t>Interest income</t>
  </si>
  <si>
    <t>Reference from interest expense schedule</t>
  </si>
  <si>
    <t>Straight-line</t>
  </si>
  <si>
    <t>Pretax profit</t>
  </si>
  <si>
    <t>EBIT + interest income less interest expense less other expense</t>
  </si>
  <si>
    <t>Pre-tax Profit x Tax Rate forecast</t>
  </si>
  <si>
    <t>Pre-tax Profit less taxes</t>
  </si>
  <si>
    <t>Depreciation &amp; amortization</t>
  </si>
  <si>
    <t>Reference from D&amp;A schedule</t>
  </si>
  <si>
    <t>EBIT + D&amp;A</t>
  </si>
  <si>
    <t>Stock based compensation</t>
  </si>
  <si>
    <t>EBITDA + Stock-based compensation</t>
  </si>
  <si>
    <t>Growth rates &amp; margins</t>
  </si>
  <si>
    <t>Revenue growth</t>
  </si>
  <si>
    <t>Gross profit margin</t>
  </si>
  <si>
    <t>R&amp;D % of sales</t>
  </si>
  <si>
    <t>SG&amp;A % of sales</t>
  </si>
  <si>
    <t>Tax rate</t>
  </si>
  <si>
    <t>Cash &amp; equivalents, ST and LT marketable securities</t>
  </si>
  <si>
    <t>Reference from 'net change in cash' line on the cash flow statement</t>
  </si>
  <si>
    <t>Grow in-line with revenue growth</t>
  </si>
  <si>
    <t>Grow in-line with cost of sales growth</t>
  </si>
  <si>
    <t>Property, plant &amp; equipment</t>
  </si>
  <si>
    <t>Reference from PP&amp;E schedule</t>
  </si>
  <si>
    <t>Other non current assets</t>
  </si>
  <si>
    <t>Other current liabilities</t>
  </si>
  <si>
    <t>Deferred revenue (current)</t>
  </si>
  <si>
    <t>Commercial paper / revolver</t>
  </si>
  <si>
    <t>Reference EOP balance from CP/revolver schedule</t>
  </si>
  <si>
    <t>Long term debt (includes current portion)</t>
  </si>
  <si>
    <t>Other non current liabilities</t>
  </si>
  <si>
    <t>Total liabilities</t>
  </si>
  <si>
    <t>Increase by stock-based compensation forecasted in the I/S section</t>
  </si>
  <si>
    <t xml:space="preserve">Retained earnings </t>
  </si>
  <si>
    <t>Reference from Retained Earnings schedule</t>
  </si>
  <si>
    <t>Other comprehensive income</t>
  </si>
  <si>
    <t>Total equity</t>
  </si>
  <si>
    <t>Balance check</t>
  </si>
  <si>
    <t>Reference from the I/S</t>
  </si>
  <si>
    <t>Decreases / (Increases) in working capital assets</t>
  </si>
  <si>
    <t>Increases / (Decreases) in working capital liabilities</t>
  </si>
  <si>
    <t>Reference from schedule NOT the B/S: Only include 'Additions' (as outflow)</t>
  </si>
  <si>
    <t>Capital expenditures</t>
  </si>
  <si>
    <t>Long term debt</t>
  </si>
  <si>
    <t>Commercial paper/ Revolver</t>
  </si>
  <si>
    <t>Reference from B/S</t>
  </si>
  <si>
    <t>Share repurchases</t>
  </si>
  <si>
    <t>Common dividends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</si>
  <si>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</si>
  <si>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</si>
  <si>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</si>
  <si>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</si>
  <si>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</si>
  <si>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</si>
  <si>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</si>
  <si>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</si>
  <si>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</si>
  <si>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</si>
  <si>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</si>
  <si>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D&amp;A related to PP&amp;E as a % of capex</t>
  </si>
  <si>
    <t>Revenue x 'as % of revenue' assumption</t>
  </si>
  <si>
    <t>as % of revenue</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</si>
  <si>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</si>
  <si>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</si>
  <si>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</si>
  <si>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</si>
  <si>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</si>
  <si>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</si>
  <si>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Referenced from balance sheet</t>
  </si>
  <si>
    <t>RETAINED EARNINGS</t>
  </si>
  <si>
    <t>Plus: Net income</t>
  </si>
  <si>
    <t>Reference from income statement</t>
  </si>
  <si>
    <t>Less: Dividends</t>
  </si>
  <si>
    <t>Less: Repurchases</t>
  </si>
  <si>
    <t>BOP + net income - dividends - repurchases</t>
  </si>
  <si>
    <t>REVOLVER (MODEL PLUG)</t>
  </si>
  <si>
    <t>Revolver needs analysis</t>
  </si>
  <si>
    <t>Cash at beginning of period (BOP)</t>
  </si>
  <si>
    <t>Reference prior period EOP from B/S</t>
  </si>
  <si>
    <t>Less: Minimum cash balance</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</si>
  <si>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</si>
  <si>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</si>
  <si>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</si>
  <si>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</si>
  <si>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</si>
  <si>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</si>
  <si>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</si>
  <si>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</si>
  <si>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</si>
  <si>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</si>
  <si>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</si>
  <si>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</si>
  <si>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</si>
  <si>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</si>
  <si>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</si>
  <si>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</si>
  <si>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</si>
  <si>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</si>
  <si>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</si>
  <si>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</si>
  <si>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</si>
  <si>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</si>
  <si>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</si>
  <si>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</si>
  <si>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</si>
  <si>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</si>
  <si>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</si>
  <si>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</si>
  <si>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</si>
  <si>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</si>
  <si>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</si>
  <si>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</si>
  <si>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</si>
  <si>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</si>
  <si>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</si>
  <si>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</si>
  <si>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</si>
  <si>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</si>
  <si>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</si>
  <si>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</si>
  <si>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</si>
  <si>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</si>
  <si>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</si>
  <si>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</si>
  <si>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</si>
  <si>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</si>
  <si>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</si>
  <si>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</si>
  <si>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</si>
  <si>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</si>
  <si>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</si>
  <si>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</si>
  <si>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</si>
  <si>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</si>
  <si>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</si>
  <si>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High</t>
  </si>
  <si>
    <t>Capital Expenditures</t>
  </si>
  <si>
    <t>Adjusted Cash Position BOP</t>
  </si>
  <si>
    <t>Adjusted Cash Position EOP</t>
  </si>
  <si>
    <t xml:space="preserve">(-) Cash Interest </t>
  </si>
  <si>
    <t>WACC Buildup</t>
  </si>
  <si>
    <t>Cost of capital assumptions</t>
  </si>
  <si>
    <t>Source</t>
  </si>
  <si>
    <t>Cost of debt</t>
  </si>
  <si>
    <t>From terminal year of UFCF forecast</t>
  </si>
  <si>
    <t>Cost of debt (after tax)</t>
  </si>
  <si>
    <t>Cost of debt x (1 - tax rate)</t>
  </si>
  <si>
    <t xml:space="preserve">Risk free rate </t>
  </si>
  <si>
    <t>WSJ: 10 Year US Treasury Yield</t>
  </si>
  <si>
    <t>Bloomberg 2 year weekly adjusted beta</t>
  </si>
  <si>
    <t>Market risk premium</t>
  </si>
  <si>
    <t>Cost of equity</t>
  </si>
  <si>
    <t>RfR + Beta x MRP</t>
  </si>
  <si>
    <t>Capital weights (capital structure)</t>
  </si>
  <si>
    <t xml:space="preserve">Target </t>
  </si>
  <si>
    <t xml:space="preserve">Current </t>
  </si>
  <si>
    <t>(override)</t>
  </si>
  <si>
    <t>% of total</t>
  </si>
  <si>
    <t>Equity</t>
  </si>
  <si>
    <t>Cost of capital (WACC)</t>
  </si>
  <si>
    <t>WACC sensitivity to MRP and Beta</t>
  </si>
  <si>
    <t>Market</t>
  </si>
  <si>
    <t>Risk</t>
  </si>
  <si>
    <t>Premium</t>
  </si>
  <si>
    <t>Select Beta for model</t>
  </si>
  <si>
    <t>Observed</t>
  </si>
  <si>
    <t>Industry beta</t>
  </si>
  <si>
    <t>From schedule below</t>
  </si>
  <si>
    <t>Share price</t>
  </si>
  <si>
    <t>Dil. shares</t>
  </si>
  <si>
    <t>Market cap</t>
  </si>
  <si>
    <t>Industry average delevered beta</t>
  </si>
  <si>
    <t>Observed b</t>
  </si>
  <si>
    <t>Delev. b</t>
  </si>
  <si>
    <t>Shares - Options and Convertibles</t>
  </si>
  <si>
    <t>Current share price</t>
  </si>
  <si>
    <t xml:space="preserve">Stock options - Treasury stock method </t>
  </si>
  <si>
    <t>Outstanding</t>
  </si>
  <si>
    <t xml:space="preserve">Exercise </t>
  </si>
  <si>
    <t>In-the-$</t>
  </si>
  <si>
    <t>options</t>
  </si>
  <si>
    <t>price</t>
  </si>
  <si>
    <t>Tranche 1</t>
  </si>
  <si>
    <t>Tranche 2</t>
  </si>
  <si>
    <t>Tranche 3</t>
  </si>
  <si>
    <t>Tranche 4</t>
  </si>
  <si>
    <t>Tranche 5</t>
  </si>
  <si>
    <t>Tranche 6</t>
  </si>
  <si>
    <t>Tranche 7</t>
  </si>
  <si>
    <t>Total</t>
  </si>
  <si>
    <t>Total proceeds ($mm)</t>
  </si>
  <si>
    <t>Total shares repurchased (mm)</t>
  </si>
  <si>
    <t>Net dilutive impact of stock options</t>
  </si>
  <si>
    <t>Convertible securities "if-converted" test</t>
  </si>
  <si>
    <t>Convertible Debt</t>
  </si>
  <si>
    <t xml:space="preserve">Principal Outstanding </t>
  </si>
  <si>
    <t>Each $1,000 in principal convertible into (Conversion ratio)</t>
  </si>
  <si>
    <t>Conversion price</t>
  </si>
  <si>
    <t>Common shares convertible into</t>
  </si>
  <si>
    <t>Dilutive impact of convertible securities</t>
  </si>
  <si>
    <t>Elimination of liability from net debt</t>
  </si>
  <si>
    <t>Convertible Preferred Stock</t>
  </si>
  <si>
    <t>Convertible Preferred Par Value</t>
  </si>
  <si>
    <t>Preferred shares outstanding</t>
  </si>
  <si>
    <t>Conversion ratio</t>
  </si>
  <si>
    <t>Discounted Cash Flow Valuation</t>
  </si>
  <si>
    <t>Most recent fiscal year end</t>
  </si>
  <si>
    <t>Discount rate (WACC)</t>
  </si>
  <si>
    <t>Link from WACC</t>
  </si>
  <si>
    <t>End of first fiscal year</t>
  </si>
  <si>
    <t>Share price (Public Co)</t>
  </si>
  <si>
    <t>Source: CIQ</t>
  </si>
  <si>
    <t>Most recent quarter end date</t>
  </si>
  <si>
    <t>Share price date</t>
  </si>
  <si>
    <t xml:space="preserve">Valuation date </t>
  </si>
  <si>
    <t>Midyear adjustment?</t>
  </si>
  <si>
    <t>Portion of First Year Cash Flows</t>
  </si>
  <si>
    <t>Case active:</t>
  </si>
  <si>
    <t>Unlevered Free Cash Flows</t>
  </si>
  <si>
    <t>Actual</t>
  </si>
  <si>
    <t>Forecasts</t>
  </si>
  <si>
    <t>Fiscal year ended</t>
  </si>
  <si>
    <t>% growth</t>
  </si>
  <si>
    <t>% margin</t>
  </si>
  <si>
    <t>Tax on EBIT</t>
  </si>
  <si>
    <t>NOPAT (aka EBIAT)</t>
  </si>
  <si>
    <t>Changes in net working capital</t>
  </si>
  <si>
    <t>Unlevered free cash flows (UFCF)</t>
  </si>
  <si>
    <t>Net working capital (WC Assets - WC liabilities)</t>
  </si>
  <si>
    <t>Val date</t>
  </si>
  <si>
    <t xml:space="preserve">Yr 1 - Stub </t>
  </si>
  <si>
    <t>Year 2</t>
  </si>
  <si>
    <t>Year 3</t>
  </si>
  <si>
    <t>Year 4</t>
  </si>
  <si>
    <t>Year 5</t>
  </si>
  <si>
    <t>Date for discounting cash flows</t>
  </si>
  <si>
    <t>Unlevered free cash flows (UFCF) stub adjusted</t>
  </si>
  <si>
    <t>&lt;-Stub year counts first year cash flows starting at the valuation date</t>
  </si>
  <si>
    <t>Present value of of unlevered free cash flows</t>
  </si>
  <si>
    <t>Terminal value - growth in perpetuity approach</t>
  </si>
  <si>
    <t>Terminal value - EBITDA multiple approach</t>
  </si>
  <si>
    <t>Long term growth rate</t>
  </si>
  <si>
    <t>Terminal year EBITDA</t>
  </si>
  <si>
    <t>EBITDA multiple</t>
  </si>
  <si>
    <t>Present value of terminal value</t>
  </si>
  <si>
    <t>Present value of stage 1 cash flows</t>
  </si>
  <si>
    <t>Total enterprise value (TEV)</t>
  </si>
  <si>
    <t>Enterprise value (stage 1 + 2)</t>
  </si>
  <si>
    <t>Terminal value as % of TEV</t>
  </si>
  <si>
    <t>Stage 1 cash flows as % of TEV</t>
  </si>
  <si>
    <t>Cash flows as % of TEV</t>
  </si>
  <si>
    <t>Implied TV exit EBITDA multiple</t>
  </si>
  <si>
    <t>Implied terminal growth rate</t>
  </si>
  <si>
    <t>Net debt</t>
  </si>
  <si>
    <t>Shares outstanding</t>
  </si>
  <si>
    <t>Source doc</t>
  </si>
  <si>
    <t>Source date</t>
  </si>
  <si>
    <t>Date</t>
  </si>
  <si>
    <t>Shares</t>
  </si>
  <si>
    <t>Gross debt and equivalents</t>
  </si>
  <si>
    <t>Restricted stock / RSUs</t>
  </si>
  <si>
    <t>Convertible debt</t>
  </si>
  <si>
    <t>Options / warrants</t>
  </si>
  <si>
    <t>Preferred stock</t>
  </si>
  <si>
    <t>Noncontrolling (minority) interests</t>
  </si>
  <si>
    <t>Convertible preferred stock</t>
  </si>
  <si>
    <t>Nonoperating assets</t>
  </si>
  <si>
    <t>Net diluted shares outstanding</t>
  </si>
  <si>
    <t xml:space="preserve">Cash </t>
  </si>
  <si>
    <t xml:space="preserve">Equity investments </t>
  </si>
  <si>
    <t>Valuation</t>
  </si>
  <si>
    <t>Enterprise value</t>
  </si>
  <si>
    <t xml:space="preserve">Equity value </t>
  </si>
  <si>
    <t>Equity value per share</t>
  </si>
  <si>
    <t>Last twelve months (LTM)</t>
  </si>
  <si>
    <t>EV / Revenue</t>
  </si>
  <si>
    <t xml:space="preserve">EV / EBITDA </t>
  </si>
  <si>
    <t>EV / EBIT</t>
  </si>
  <si>
    <t>Year 1</t>
  </si>
  <si>
    <t>Outputs</t>
  </si>
  <si>
    <t>LTM EBITDA multiple</t>
  </si>
  <si>
    <t>Long term growth rate (g):</t>
  </si>
  <si>
    <t>WACC:</t>
  </si>
  <si>
    <t xml:space="preserve">Data </t>
  </si>
  <si>
    <t>Tables</t>
  </si>
  <si>
    <t>Exit EBITDA Multiple</t>
  </si>
  <si>
    <t>Equity value range</t>
  </si>
  <si>
    <t>Football field</t>
  </si>
  <si>
    <t>Low</t>
  </si>
  <si>
    <t>Diff.</t>
  </si>
  <si>
    <t>52 Week Market High/Low</t>
  </si>
  <si>
    <t>$ mm except per share</t>
  </si>
  <si>
    <t>Actuals</t>
  </si>
  <si>
    <t>Commentary</t>
  </si>
  <si>
    <t>Income Statement</t>
  </si>
  <si>
    <t xml:space="preserve">Balance Sheet </t>
  </si>
  <si>
    <t>Cash from Operating Activities</t>
  </si>
  <si>
    <t>Cash from Investing Activities</t>
  </si>
  <si>
    <t>Cash from Financing Activities</t>
  </si>
  <si>
    <t>Supporting Schedules</t>
  </si>
  <si>
    <t>3-Statement Model</t>
  </si>
  <si>
    <t>Historical Financials</t>
  </si>
  <si>
    <t>Fiscal Period</t>
  </si>
  <si>
    <t>Fiscal Period End Date</t>
  </si>
  <si>
    <t>TOTAL DEPRECIATION &amp; AMORTIZATION</t>
  </si>
  <si>
    <t xml:space="preserve">$ and shares in millions, except per share data </t>
  </si>
  <si>
    <t>Margin (%)</t>
  </si>
  <si>
    <t xml:space="preserve">Other expense, net </t>
  </si>
  <si>
    <t xml:space="preserve">Cost of Sales </t>
  </si>
  <si>
    <t xml:space="preserve">Taxes </t>
  </si>
  <si>
    <t>Consensus</t>
  </si>
  <si>
    <t>Interest Income</t>
  </si>
  <si>
    <t>D&amp;A</t>
  </si>
  <si>
    <t>SBC</t>
  </si>
  <si>
    <t>As of 3Q25 (period ended x/xx/xx)</t>
  </si>
  <si>
    <t>Selling, General &amp; Administrative (SG&amp;A)</t>
  </si>
  <si>
    <t>Research &amp; Development (R&amp;D)</t>
  </si>
  <si>
    <t>D&amp;A related to PP&amp;E as a % of capex Step-Up</t>
  </si>
  <si>
    <t>Interest Expense</t>
  </si>
  <si>
    <t>Operating Profit</t>
  </si>
  <si>
    <t>Earning Before Taxes</t>
  </si>
  <si>
    <t>EBT Margin (%)</t>
  </si>
  <si>
    <t>1Q21</t>
  </si>
  <si>
    <t>2Q21</t>
  </si>
  <si>
    <t>3Q21</t>
  </si>
  <si>
    <t>4Q21</t>
  </si>
  <si>
    <t>Cash and Cash Equivalents</t>
  </si>
  <si>
    <t>Accounts Receivables</t>
  </si>
  <si>
    <t>Current Assets</t>
  </si>
  <si>
    <t>Non-Current Assets</t>
  </si>
  <si>
    <t>Accrued Expenses and Other Current Liabilities</t>
  </si>
  <si>
    <t>Non-Current Liabilities</t>
  </si>
  <si>
    <t>Beyond Meat, Inc.</t>
  </si>
  <si>
    <t>Foodservice</t>
  </si>
  <si>
    <t>straight-line</t>
  </si>
  <si>
    <t xml:space="preserve">Consensus estimates </t>
  </si>
  <si>
    <t>grow SBC in-line with revenue growth</t>
  </si>
  <si>
    <t>Reference from interest on cash schedule</t>
  </si>
  <si>
    <t xml:space="preserve">Straight line last historical % of revenue </t>
  </si>
  <si>
    <t>plug: EOP - D&amp;A not from PP&amp;E - BOP</t>
  </si>
  <si>
    <t>Hold last historical year's dividend payout ratio constant</t>
  </si>
  <si>
    <t>Straight-line last historical year repurchases</t>
  </si>
  <si>
    <t>assumption</t>
  </si>
  <si>
    <t>grow with net income growth rate (calculated below)</t>
  </si>
  <si>
    <t>TBD</t>
  </si>
  <si>
    <t>Market risk premium from D&amp;P - TBD</t>
  </si>
  <si>
    <t>Restructuring Charges &amp; Other Impairments</t>
  </si>
  <si>
    <t>Unrestricted Cash BOP</t>
  </si>
  <si>
    <t>EOP FX Adjustment</t>
  </si>
  <si>
    <t>Depreciation &amp; Amortization (D&amp;A)</t>
  </si>
  <si>
    <t>Stock-Based Compensation (SBC)</t>
  </si>
  <si>
    <t>straight line</t>
  </si>
  <si>
    <t>Sales and Marketing (S&amp;M)</t>
  </si>
  <si>
    <t>General and Administrative (G&amp;A)</t>
  </si>
  <si>
    <t xml:space="preserve">Interest Income </t>
  </si>
  <si>
    <t>Other Current Assets</t>
  </si>
  <si>
    <t>Goodwill</t>
  </si>
  <si>
    <t>Other non-current assets</t>
  </si>
  <si>
    <t>Operating lease assets</t>
  </si>
  <si>
    <t>Property and equipment, net</t>
  </si>
  <si>
    <t>Deferred income taxes</t>
  </si>
  <si>
    <t>Non-marketable securities</t>
  </si>
  <si>
    <t>Other long-term liabilities</t>
  </si>
  <si>
    <t>Income taxes payable, non-current</t>
  </si>
  <si>
    <t>Preferred Stock</t>
  </si>
  <si>
    <t>Retained earnings</t>
  </si>
  <si>
    <t>Accumulated other comprehensive income (loss)</t>
  </si>
  <si>
    <t>Deferred revenue</t>
  </si>
  <si>
    <t>Purchases of property and equipment</t>
  </si>
  <si>
    <t>Disaggregated Revenues</t>
  </si>
  <si>
    <t xml:space="preserve">Google Network	</t>
  </si>
  <si>
    <t>Google subscriptions, platforms, and devices</t>
  </si>
  <si>
    <t xml:space="preserve">Google Cloud	</t>
  </si>
  <si>
    <t>Other Bets</t>
  </si>
  <si>
    <t xml:space="preserve">Hedging gains (losses)	</t>
  </si>
  <si>
    <t>Total Google Services Revenue</t>
  </si>
  <si>
    <t>Offerings Drivers</t>
  </si>
  <si>
    <t>Common Stock &amp; Additional Paid in Capital</t>
  </si>
  <si>
    <t>1) xxx</t>
  </si>
  <si>
    <t>Accrued Revenue Share</t>
  </si>
  <si>
    <t>Accrued Compensation and Benefits</t>
  </si>
  <si>
    <t>Long-Term Debt</t>
  </si>
  <si>
    <t>Variance Check</t>
  </si>
  <si>
    <t>Deferred Revenue, Current</t>
  </si>
  <si>
    <t>EPS Build-Up</t>
  </si>
  <si>
    <t>Class A</t>
  </si>
  <si>
    <t>Class B</t>
  </si>
  <si>
    <t>Class C</t>
  </si>
  <si>
    <t>Allocation of undistributed earnings</t>
  </si>
  <si>
    <t>($ in Bns, Including Shares)</t>
  </si>
  <si>
    <t>Net Income Per Share</t>
  </si>
  <si>
    <t>Fully Diluted EPS</t>
  </si>
  <si>
    <t>Number of shares used in basic computation</t>
  </si>
  <si>
    <t xml:space="preserve">Conversion of Class B to Class A common shares outstanding	</t>
  </si>
  <si>
    <t>Basic EPS Per Share Class</t>
  </si>
  <si>
    <t>Fully Diluted EPS Per Share Class</t>
  </si>
  <si>
    <t xml:space="preserve">Consolidated Basic EPS </t>
  </si>
  <si>
    <t>Consolidated Basic Shares</t>
  </si>
  <si>
    <t>Consolidated Allocation of undistributed earnings</t>
  </si>
  <si>
    <t>Class A Basic EPS</t>
  </si>
  <si>
    <t>Class B Basic EPS</t>
  </si>
  <si>
    <t>Class C Basic EPS</t>
  </si>
  <si>
    <t>Consolidated Basic EPS</t>
  </si>
  <si>
    <t xml:space="preserve">Consolidated Fully Diluted EPS </t>
  </si>
  <si>
    <t>Consolidated Fully Diluted Shares</t>
  </si>
  <si>
    <t>Basic Shares</t>
  </si>
  <si>
    <t>RSUs and other contingently issuable shares</t>
  </si>
  <si>
    <t>Stock Split Converter</t>
  </si>
  <si>
    <t>Adjusted RSUs and other contingently issuable shares</t>
  </si>
  <si>
    <t>Unadjusted Basic Shares</t>
  </si>
  <si>
    <t>Stock Split Adjusted Basic Shares</t>
  </si>
  <si>
    <t>Stock Split Amount</t>
  </si>
  <si>
    <t>Stock Split End Period</t>
  </si>
  <si>
    <t>YouTube ads</t>
  </si>
  <si>
    <t>Other Income/Gains (Expenses/Losses)</t>
  </si>
  <si>
    <t>Cash Position Variance Check</t>
  </si>
  <si>
    <t>(-) General and Administrative (G&amp;A)</t>
  </si>
  <si>
    <t>Marketable Securities</t>
  </si>
  <si>
    <t>Operating Lease Liabilities</t>
  </si>
  <si>
    <t>(+/-) Divestiture / Acquisitions</t>
  </si>
  <si>
    <t>$10Bn RCF due April 2025, April 2028 (CP Backstop)</t>
  </si>
  <si>
    <t>LTM Total Leverage</t>
  </si>
  <si>
    <t>LTM Net Leverage</t>
  </si>
  <si>
    <t xml:space="preserve">LTM Interest Coverage </t>
  </si>
  <si>
    <t>LTM Debt Service Coverage</t>
  </si>
  <si>
    <t>LTM Fixed Charge Coverage</t>
  </si>
  <si>
    <t>GOOG</t>
  </si>
  <si>
    <t>CAGR</t>
  </si>
  <si>
    <t>Street Outlook</t>
  </si>
  <si>
    <t>5-Year(A)</t>
  </si>
  <si>
    <t>5-Year(F)</t>
  </si>
  <si>
    <t xml:space="preserve">Cost of sales </t>
  </si>
  <si>
    <t>Depreciation &amp; Amortization</t>
  </si>
  <si>
    <t>Stock Based Compensation</t>
  </si>
  <si>
    <t>BofA</t>
  </si>
  <si>
    <t>Tax Rate</t>
  </si>
  <si>
    <t>Total Advertising Revenue</t>
  </si>
  <si>
    <t>BNP Paribas</t>
  </si>
  <si>
    <t>Google Search &amp; Other</t>
  </si>
  <si>
    <t xml:space="preserve">Y/Y Growth </t>
  </si>
  <si>
    <t>Google Network</t>
  </si>
  <si>
    <t>Itabba</t>
  </si>
  <si>
    <t>Subscriptions, platf, and devices</t>
  </si>
  <si>
    <t>Cloud</t>
  </si>
  <si>
    <t>Operating Expenses</t>
  </si>
  <si>
    <t>TD Cowen</t>
  </si>
  <si>
    <t>Other Drivers</t>
  </si>
  <si>
    <t>Capex</t>
  </si>
  <si>
    <t>EBIT Margin</t>
  </si>
  <si>
    <t>Revenue Segment Drivers</t>
  </si>
  <si>
    <t>Revenue Consensus</t>
  </si>
  <si>
    <t>% of Revenue</t>
  </si>
  <si>
    <t>Gross profit</t>
  </si>
  <si>
    <t>% Margin</t>
  </si>
  <si>
    <t>BofA Estimate</t>
  </si>
  <si>
    <t>Median</t>
  </si>
  <si>
    <t>Average</t>
  </si>
  <si>
    <t>Margins</t>
  </si>
  <si>
    <t>Gross Margin</t>
  </si>
  <si>
    <t>R&amp;D as a % of Sales</t>
  </si>
  <si>
    <t>S&amp;M as a % of Sales</t>
  </si>
  <si>
    <t>G&amp;A as a % of Sales</t>
  </si>
  <si>
    <t xml:space="preserve">% of Sales </t>
  </si>
  <si>
    <t>EBITDA Margin</t>
  </si>
  <si>
    <t>Adj. EBITDA Margin</t>
  </si>
  <si>
    <t>D&amp;A as a % of Sales</t>
  </si>
  <si>
    <t>SBC as a % of Sales</t>
  </si>
  <si>
    <t>Consensus Estimate</t>
  </si>
  <si>
    <t>Alphabet Inc</t>
  </si>
  <si>
    <t>Stockholders' Equity</t>
  </si>
  <si>
    <t>Total Stockholders' Equity</t>
  </si>
  <si>
    <t>straight-Line</t>
  </si>
  <si>
    <t>Growth Assumption: Grow in-line with revenue</t>
  </si>
  <si>
    <t>Consolidated Revenue growth</t>
  </si>
  <si>
    <t>Net Change in Cash Position</t>
  </si>
  <si>
    <t>Beginning of period (BOP)</t>
  </si>
  <si>
    <t>End of period (EOP)</t>
  </si>
  <si>
    <t>Capex x 'D&amp;A related to PP&amp;E as a % of capex</t>
  </si>
  <si>
    <t>Straight line last historical % of revenue - WSP assumption</t>
  </si>
  <si>
    <t>Straight-Line</t>
  </si>
  <si>
    <t>Depreciation Waterfall</t>
  </si>
  <si>
    <t>Existing PP&amp;E</t>
  </si>
  <si>
    <t>Gross PP&amp;E</t>
  </si>
  <si>
    <t>Non-depreciable PP&amp;E (i.e. land)</t>
  </si>
  <si>
    <t>Accumulated Depreciation</t>
  </si>
  <si>
    <t>Net PP&amp;E (Excl. Land)</t>
  </si>
  <si>
    <t>Average Useful Life</t>
  </si>
  <si>
    <t>Override - If necessary for smoothing</t>
  </si>
  <si>
    <t>Remaining Performance Obligations (RPOs)</t>
  </si>
  <si>
    <t>Remaining Performance Obligations (BOP)</t>
  </si>
  <si>
    <t>Remaining Performance Obligations (EOP)</t>
  </si>
  <si>
    <t xml:space="preserve">3Q25 </t>
  </si>
  <si>
    <t>Netflix, Inc. (NASDAQ: NFLX)</t>
  </si>
  <si>
    <t>Marketing</t>
  </si>
  <si>
    <t>Technology and Development (T&amp;D)</t>
  </si>
  <si>
    <t>Cash and cash equivalents</t>
  </si>
  <si>
    <t>Short-term investments</t>
  </si>
  <si>
    <t>Content assets, net</t>
  </si>
  <si>
    <t>Current content liabilities</t>
  </si>
  <si>
    <t>Accrued expenses and other liabilities</t>
  </si>
  <si>
    <t>Short-term debt</t>
  </si>
  <si>
    <t>Non-current content liabilities</t>
  </si>
  <si>
    <t>Long-term debt</t>
  </si>
  <si>
    <t>Other non-current liabilities</t>
  </si>
  <si>
    <t>Treasury stock at cost</t>
  </si>
  <si>
    <t>Other non-current assets and liabilities</t>
  </si>
  <si>
    <t>Change in other assets</t>
  </si>
  <si>
    <t>Acquisitions</t>
  </si>
  <si>
    <t>Purchases of short-term investments</t>
  </si>
  <si>
    <t>Proceeds from maturities of short-term investments</t>
  </si>
  <si>
    <t>Additions to content assets</t>
  </si>
  <si>
    <t>Change in content liabilities</t>
  </si>
  <si>
    <t>Amortization of content assets</t>
  </si>
  <si>
    <t>Depreciation and amortization of property, equipment and intangibles</t>
  </si>
  <si>
    <t>Stock-based compensation expense</t>
  </si>
  <si>
    <t>Foreign currency remeasurement loss (gain) on debt</t>
  </si>
  <si>
    <t>Other non-cash items</t>
  </si>
  <si>
    <t>Proceeds from issuance of debt</t>
  </si>
  <si>
    <t>Debt issuance costs</t>
  </si>
  <si>
    <t>Repayments of debt</t>
  </si>
  <si>
    <t>Proceeds from issuance of common stock</t>
  </si>
  <si>
    <t>Repurchases of common stock</t>
  </si>
  <si>
    <t>Taxes paid related to net share settlement of equity awards</t>
  </si>
  <si>
    <t>Other financing activities</t>
  </si>
  <si>
    <t>EOP Restricted Cash Adjustment</t>
  </si>
  <si>
    <t>Other Income &amp; Expenses</t>
  </si>
  <si>
    <t>Other Cost of Revenues</t>
  </si>
  <si>
    <t>Total Cost of Revenue</t>
  </si>
  <si>
    <t>Income taxes paid</t>
  </si>
  <si>
    <t>Interest paid</t>
  </si>
  <si>
    <t>BOP Restricted Cash Adjustment</t>
  </si>
  <si>
    <t>UCAN Revenue</t>
  </si>
  <si>
    <t>EMEA Revenue</t>
  </si>
  <si>
    <t>LATAM Revenue</t>
  </si>
  <si>
    <t>APAC Revenue</t>
  </si>
  <si>
    <t>Domestic DVD Revenue</t>
  </si>
  <si>
    <t>$ in thousands except per share</t>
  </si>
  <si>
    <t>(-) Amortization of content assets</t>
  </si>
  <si>
    <t>(-) Other Cost of Revenues</t>
  </si>
  <si>
    <t>(-) Marketing</t>
  </si>
  <si>
    <t>(-) Technology and Development (T&amp;D)</t>
  </si>
  <si>
    <t>(+) Depreciation and amortization of PP&amp;E and intangibles</t>
  </si>
  <si>
    <t>(+) Amortization of content assets</t>
  </si>
  <si>
    <t>(+/-) Proceeds / (Purchases) of ST Investments</t>
  </si>
  <si>
    <t>(-) Proceeds From Equity Issuances / (Share Repurchases)</t>
  </si>
  <si>
    <t>(-) 'Proceeds from issuance of Debt / (Repayment), net</t>
  </si>
  <si>
    <t>(+/-) Changes in Additions to content assets</t>
  </si>
  <si>
    <t>(+/-) Changes in Other Financing Activities</t>
  </si>
  <si>
    <t>Content Liabilities</t>
  </si>
  <si>
    <t>Deferred Revenue</t>
  </si>
  <si>
    <t>5.750% Senior Notes due March 2024</t>
  </si>
  <si>
    <t>5.875% Senior Notes due February 2025</t>
  </si>
  <si>
    <t>3.000% Senior Notes due June 2025</t>
  </si>
  <si>
    <t>3.625% Senior Notes due June 2025</t>
  </si>
  <si>
    <t>4.375% Senior Notes due November 2026</t>
  </si>
  <si>
    <t>5.400% Senior Notes due August 2054</t>
  </si>
  <si>
    <t>4.900% Senior Notes due August 2034</t>
  </si>
  <si>
    <t>6.375% Senior Notes due May 2029</t>
  </si>
  <si>
    <t>4.625% Senior Notes due May 2029</t>
  </si>
  <si>
    <t>5.875% Senior Notes due November 2028</t>
  </si>
  <si>
    <t>4.875% Senior Notes due April 2028</t>
  </si>
  <si>
    <t>3.625% Senior Notes due May 2027</t>
  </si>
  <si>
    <t>3.625% Senior Notes due June 2030</t>
  </si>
  <si>
    <t>4.875% Senior Notes due June 2030</t>
  </si>
  <si>
    <t>5.375% Senior Notes due November 2029</t>
  </si>
  <si>
    <t>3.875% Senior Notes due November 2029</t>
  </si>
  <si>
    <t>Summary Debt:</t>
  </si>
  <si>
    <t>CPLTD</t>
  </si>
  <si>
    <t>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</si>
</sst>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5" formatCode="&quot;$&quot;#,##0_);\(&quot;$&quot;#,##0\)"/>
    <numFmt numFmtId="7" formatCode="&quot;$&quot;#,##0.00_);\(&quot;$&quot;#,##0.00\)"/>
    <numFmt numFmtId="8" formatCode="&quot;$&quot;#,##0.00_);[Red]\(&quot;$&quot;#,##0.00\)"/>
    <numFmt numFmtId="41" formatCode="_(* #,##0_);_(* \(#,##0\);_(* &quot;-&quot;_);_(@_)"/>
    <numFmt numFmtId="43" formatCode="_(* #,##0.00_);_(* \(#,##0.00\);_(* &quot;-&quot;??_);_(@_)"/>
    <numFmt numFmtId="164" formatCode="_(* #,##0_);_(* \(#,##0\);_(* &quot;-&quot;??_);_(@_)"/>
    <numFmt numFmtId="165" formatCode="_(&quot;$ &quot;#,##0_);_(&quot;$ &quot;\(#,##0\)"/>
    <numFmt numFmtId="166" formatCode="0.0%"/>
    <numFmt numFmtId="167" formatCode="#,##0.0%;\(#,##0.0%\)"/>
    <numFmt numFmtId="168" formatCode="#,##0.0&quot;bps&quot;_);\(#,##0.0&quot;bps&quot;\)"/>
    <numFmt numFmtId="169" formatCode="#,##0.00&quot;bps&quot;_);\(#,##0.00&quot;bps&quot;\)"/>
    <numFmt numFmtId="170" formatCode="_(* #,##0.00&quot;x&quot;_);_(* \(#,##0.00&quot;x&quot;\);_(* &quot;-&quot;_);_(@_)"/>
    <numFmt numFmtId="171" formatCode="_(#,##0_)_%;\(#,##0\)_%;_(&quot;–&quot;_)_%;_(@_)_%"/>
    <numFmt numFmtId="172" formatCode="m/d/yy;@"/>
    <numFmt numFmtId="173" formatCode="#,##0.000_);\(#,##0.000\)"/>
    <numFmt numFmtId="174" formatCode="0\A;[Red]0\A"/>
    <numFmt numFmtId="175" formatCode="0\P_);\(0\P\)"/>
    <numFmt numFmtId="176" formatCode="0.0%_);\(0.0%\);@_)"/>
    <numFmt numFmtId="177" formatCode="_(#,##0.0%_);\(#,##0.0%\);_(&quot;–&quot;_)_%;_(@_)_%"/>
    <numFmt numFmtId="178" formatCode="0.00%_);\(0.00%\);@_)"/>
    <numFmt numFmtId="179" formatCode="_(#,##0.00%_);\(#,##0.00%\);_(&quot;–&quot;_)_%;_(@_)_%"/>
    <numFmt numFmtId="180" formatCode="0%_);\(0%\);@_)"/>
    <numFmt numFmtId="181" formatCode="#,##0.0_);\(#,##0.0\);@_)"/>
    <numFmt numFmtId="182" formatCode="0.000"/>
    <numFmt numFmtId="183" formatCode="_([$$]#,##0.00_)_%;\([$$]#,##0.00\)_%;_(&quot;–&quot;_)_%;_(@_)_%"/>
    <numFmt numFmtId="184" formatCode="_([$$]#,##0_)_%;\([$$]#,##0\)_%;_(&quot;–&quot;_)_%;_(@_)_%"/>
    <numFmt numFmtId="185" formatCode="[$$-380A]\ #,##0.00;\-[$$-380A]\ #,##0.00"/>
    <numFmt numFmtId="186" formatCode="0000\A"/>
    <numFmt numFmtId="187" formatCode="0000\P"/>
    <numFmt numFmtId="188" formatCode="#,##0_);\(#,##0\);@_)"/>
    <numFmt numFmtId="189" formatCode="0.0\x_);\(0.0\x\);@_)"/>
    <numFmt numFmtId="190" formatCode="0.000%_);\(0.000%\);@_)"/>
    <numFmt numFmtId="191" formatCode="#,##0.000_);\(#,##0.000\);@_)"/>
    <numFmt numFmtId="192" formatCode="#,##0.000"/>
    <numFmt numFmtId="193" formatCode="&quot;$&quot;#,##0.00_);\(&quot;$&quot;#,##0.00\);@_)"/>
    <numFmt numFmtId="194" formatCode="_(0.0\x_)_';_(\(0.0\x\)_';_(&quot;–&quot;_)_%;_(@_)_%"/>
    <numFmt numFmtId="195" formatCode="_(0.0_)_'_x;_(\(0.0\)_';_(&quot;–&quot;_)_%;_(@_)_%"/>
    <numFmt numFmtId="196" formatCode="#,##0.00_);\(#,##0.00\);\-_);@_)"/>
    <numFmt numFmtId="197" formatCode="#,##0.0_);\(#,##0.0\);\-_);@_)"/>
    <numFmt numFmtId="198" formatCode="General&quot;F&quot;"/>
    <numFmt numFmtId="199" formatCode="General&quot;A&quot;"/>
    <numFmt numFmtId="201" formatCode="_(* #,##0_);_(* \(#,##0\);_(* &quot;-&quot;?_);_(@_)"/>
  </numFmts>
  <fonts count="58">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sz val="9"/>
      <color rgb="FF0000E1"/>
      <name val="Calibri"/>
      <family val="2"/>
    </font>
    <font>
      <sz val="10"/>
      <name val="Arial"/>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10"/>
      <name val="Arial Narrow MT"/>
      <family val="2"/>
    </font>
    <font>
      <u val="singleAccounting"/>
      <sz val="9"/>
      <color rgb="FF000000"/>
      <name val="Calibri"/>
      <family val="2"/>
    </font>
    <font>
      <u val="singleAccounting"/>
      <sz val="9"/>
      <color theme="1"/>
      <name val="Calibri"/>
      <family val="2"/>
    </font>
    <font>
      <u val="singleAccounting"/>
      <sz val="9"/>
      <color rgb="FF0000FF"/>
      <name val="Calibri"/>
      <family val="2"/>
    </font>
    <font>
      <sz val="10"/>
      <name val="Times New Roman"/>
      <family val="1"/>
    </font>
    <font>
      <u/>
      <sz val="11"/>
      <color theme="10"/>
      <name val="Tw Cen MT"/>
      <family val="2"/>
      <scheme val="minor"/>
    </font>
    <font>
      <u/>
      <sz val="9"/>
      <color theme="10"/>
      <name val="Calibri"/>
      <family val="2"/>
    </font>
    <font>
      <b/>
      <u/>
      <sz val="9"/>
      <color rgb="FF0070C0"/>
      <name val="Calibri"/>
      <family val="2"/>
    </font>
    <font>
      <b/>
      <u val="singleAccounting"/>
      <sz val="9"/>
      <color theme="1"/>
      <name val="Calibri"/>
      <family val="2"/>
    </font>
    <font>
      <sz val="9"/>
      <color theme="0"/>
      <name val="Calibri"/>
      <family val="2"/>
    </font>
    <font>
      <i/>
      <sz val="8"/>
      <color rgb="FFFF0000"/>
      <name val="Calibri"/>
      <family val="2"/>
    </font>
    <font>
      <sz val="9"/>
      <color rgb="FF00B03C"/>
      <name val="Calibri"/>
      <family val="2"/>
    </font>
    <font>
      <b/>
      <sz val="9"/>
      <color rgb="FF008000"/>
      <name val="Calibri"/>
      <family val="2"/>
    </font>
    <font>
      <b/>
      <u val="singleAccounting"/>
      <sz val="9"/>
      <color rgb="FF000000"/>
      <name val="Calibri"/>
      <family val="2"/>
    </font>
    <font>
      <i/>
      <sz val="8"/>
      <color rgb="FF0000FF"/>
      <name val="Calibri"/>
      <family val="2"/>
    </font>
    <font>
      <b/>
      <i/>
      <sz val="8"/>
      <name val="Calibri"/>
      <family val="2"/>
    </font>
    <font>
      <b/>
      <sz val="8"/>
      <color theme="0"/>
      <name val="Calibri"/>
      <family val="2"/>
    </font>
    <font>
      <i/>
      <sz val="7"/>
      <color rgb="FFFF0000"/>
      <name val="Calibri"/>
      <family val="2"/>
    </font>
    <font>
      <u/>
      <sz val="9"/>
      <name val="Calibri"/>
      <family val="2"/>
    </font>
    <font>
      <i/>
      <sz val="8"/>
      <color rgb="FF00B03C"/>
      <name val="Calibri"/>
      <family val="2"/>
    </font>
    <font>
      <i/>
      <sz val="8"/>
      <color rgb="FF0000CC"/>
      <name val="Calibri"/>
      <family val="2"/>
    </font>
    <font>
      <i/>
      <sz val="9"/>
      <color rgb="FF0000CC"/>
      <name val="Calibri"/>
      <family val="2"/>
    </font>
  </fonts>
  <fills count="21">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C9DAF8"/>
        <bgColor indexed="64"/>
      </patternFill>
    </fill>
    <fill>
      <patternFill patternType="solid">
        <fgColor rgb="FFC9DAF8"/>
        <bgColor rgb="FF000000"/>
      </patternFill>
    </fill>
    <fill>
      <patternFill patternType="solid">
        <fgColor rgb="FFD2F2FF"/>
        <bgColor rgb="FF000000"/>
      </patternFill>
    </fill>
    <fill>
      <patternFill patternType="solid">
        <fgColor rgb="FFCCFFFF"/>
        <bgColor indexed="64"/>
      </patternFill>
    </fill>
    <fill>
      <patternFill patternType="solid">
        <fgColor rgb="FFC0C0C0"/>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499984740745262"/>
        <bgColor indexed="64"/>
      </patternFill>
    </fill>
    <fill>
      <patternFill patternType="solid">
        <fgColor rgb="FF0E5672"/>
        <bgColor indexed="64"/>
      </patternFill>
    </fill>
    <fill>
      <patternFill patternType="solid">
        <fgColor rgb="FF487B79"/>
        <bgColor indexed="64"/>
      </patternFill>
    </fill>
    <fill>
      <patternFill patternType="solid">
        <fgColor theme="0" tint="-0.14999847407452621"/>
        <bgColor indexed="64"/>
      </patternFill>
    </fill>
    <fill>
      <patternFill patternType="gray0625"/>
    </fill>
  </fills>
  <borders count="52">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hair">
        <color indexed="64"/>
      </bottom>
      <diagonal/>
    </border>
    <border>
      <left style="hair">
        <color indexed="64"/>
      </left>
      <right/>
      <top/>
      <bottom style="hair">
        <color indexed="64"/>
      </bottom>
      <diagonal/>
    </border>
    <border>
      <left style="hair">
        <color indexed="64"/>
      </left>
      <right/>
      <top/>
      <bottom/>
      <diagonal/>
    </border>
    <border>
      <left/>
      <right style="hair">
        <color indexed="64"/>
      </right>
      <top/>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hair">
        <color rgb="FF000000"/>
      </top>
      <bottom style="thin">
        <color rgb="FF000000"/>
      </bottom>
      <diagonal/>
    </border>
    <border>
      <left/>
      <right/>
      <top style="hair">
        <color rgb="FF000000"/>
      </top>
      <bottom style="thin">
        <color rgb="FF000000"/>
      </bottom>
      <diagonal/>
    </border>
    <border>
      <left style="hair">
        <color rgb="FF000000"/>
      </left>
      <right style="thin">
        <color rgb="FF000000"/>
      </right>
      <top/>
      <bottom/>
      <diagonal/>
    </border>
    <border>
      <left style="hair">
        <color rgb="FF000000"/>
      </left>
      <right/>
      <top/>
      <bottom/>
      <diagonal/>
    </border>
    <border>
      <left/>
      <right/>
      <top style="thin">
        <color rgb="FF000000"/>
      </top>
      <bottom style="medium">
        <color rgb="FF000000"/>
      </bottom>
      <diagonal/>
    </border>
    <border>
      <left/>
      <right style="hair">
        <color rgb="FF000000"/>
      </right>
      <top/>
      <bottom/>
      <diagonal/>
    </border>
    <border>
      <left style="hair">
        <color rgb="FF000000"/>
      </left>
      <right style="hair">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hair">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hair">
        <color rgb="FF000000"/>
      </left>
      <right/>
      <top/>
      <bottom style="thin">
        <color rgb="FF000000"/>
      </bottom>
      <diagonal/>
    </border>
    <border>
      <left style="hair">
        <color indexed="64"/>
      </left>
      <right style="hair">
        <color indexed="64"/>
      </right>
      <top style="hair">
        <color indexed="64"/>
      </top>
      <bottom style="hair">
        <color indexed="64"/>
      </bottom>
      <diagonal/>
    </border>
    <border>
      <left style="hair">
        <color rgb="FF000000"/>
      </left>
      <right style="hair">
        <color indexed="64"/>
      </right>
      <top style="hair">
        <color indexed="64"/>
      </top>
      <bottom style="hair">
        <color rgb="FF000000"/>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rgb="FF000000"/>
      </left>
      <right style="hair">
        <color rgb="FF000000"/>
      </right>
      <top style="hair">
        <color indexed="64"/>
      </top>
      <bottom style="hair">
        <color rgb="FF000000"/>
      </bottom>
      <diagonal/>
    </border>
  </borders>
  <cellStyleXfs count="7">
    <xf numFmtId="0" fontId="0" fillId="0" borderId="0"/>
    <xf numFmtId="9" fontId="1" fillId="0" borderId="0" applyFont="0" applyFill="0" applyBorder="0" applyAlignment="0" applyProtection="0"/>
    <xf numFmtId="43" fontId="1" fillId="0" borderId="0" applyFont="0" applyFill="0" applyBorder="0" applyAlignment="0" applyProtection="0"/>
    <xf numFmtId="0" fontId="19" fillId="0" borderId="0"/>
    <xf numFmtId="0" fontId="36" fillId="0" borderId="0" applyNumberFormat="0" applyFont="0" applyFill="0" applyBorder="0" applyAlignment="0" applyProtection="0"/>
    <xf numFmtId="37" fontId="40" fillId="0" borderId="0"/>
    <xf numFmtId="0" fontId="41" fillId="0" borderId="0" applyNumberFormat="0" applyFill="0" applyBorder="0" applyAlignment="0" applyProtection="0"/>
  </cellStyleXfs>
  <cellXfs count="593">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67"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67"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67" fontId="10" fillId="0" borderId="0" xfId="1" applyNumberFormat="1" applyFont="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15" fillId="0" borderId="0" xfId="0"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5" fontId="4" fillId="0" borderId="0" xfId="0" applyNumberFormat="1" applyFont="1" applyAlignment="1">
      <alignment wrapText="1"/>
    </xf>
    <xf numFmtId="37" fontId="8" fillId="0" borderId="0" xfId="0" applyNumberFormat="1" applyFont="1" applyAlignment="1">
      <alignment horizontal="right" vertical="top" wrapText="1"/>
    </xf>
    <xf numFmtId="165" fontId="15" fillId="0" borderId="0" xfId="0" applyNumberFormat="1" applyFont="1" applyAlignment="1">
      <alignment wrapText="1"/>
    </xf>
    <xf numFmtId="9" fontId="6" fillId="0" borderId="0" xfId="1" applyFont="1" applyFill="1" applyBorder="1" applyAlignment="1">
      <alignment horizontal="right" vertical="center" wrapText="1"/>
    </xf>
    <xf numFmtId="167" fontId="7" fillId="0" borderId="0" xfId="1" applyNumberFormat="1" applyFont="1" applyBorder="1" applyAlignment="1">
      <alignment horizontal="right" vertical="center" wrapText="1"/>
    </xf>
    <xf numFmtId="37" fontId="15" fillId="0" borderId="0" xfId="0" applyNumberFormat="1" applyFont="1"/>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3" fillId="0" borderId="0" xfId="0" applyFont="1" applyAlignment="1">
      <alignment wrapText="1"/>
    </xf>
    <xf numFmtId="0" fontId="17" fillId="0" borderId="0" xfId="0" applyFont="1" applyAlignment="1">
      <alignment wrapText="1"/>
    </xf>
    <xf numFmtId="164"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8" fillId="0" borderId="0" xfId="2" applyNumberFormat="1" applyFont="1" applyFill="1" applyBorder="1" applyAlignment="1">
      <alignment wrapText="1"/>
    </xf>
    <xf numFmtId="37" fontId="6" fillId="0" borderId="0" xfId="2" applyNumberFormat="1" applyFont="1" applyFill="1" applyBorder="1" applyAlignment="1">
      <alignment wrapText="1"/>
    </xf>
    <xf numFmtId="164" fontId="15" fillId="0" borderId="0" xfId="2" applyNumberFormat="1" applyFont="1" applyBorder="1" applyAlignment="1">
      <alignment wrapText="1"/>
    </xf>
    <xf numFmtId="0" fontId="20" fillId="0" borderId="0" xfId="0" applyFont="1" applyAlignment="1">
      <alignment vertical="top" wrapText="1"/>
    </xf>
    <xf numFmtId="43" fontId="20" fillId="0" borderId="0" xfId="0" applyNumberFormat="1" applyFont="1" applyAlignment="1">
      <alignment wrapText="1"/>
    </xf>
    <xf numFmtId="43" fontId="22" fillId="0" borderId="0" xfId="0" applyNumberFormat="1" applyFont="1" applyAlignment="1">
      <alignment wrapText="1"/>
    </xf>
    <xf numFmtId="0" fontId="23" fillId="0" borderId="0" xfId="0" applyFont="1" applyAlignment="1">
      <alignment wrapText="1"/>
    </xf>
    <xf numFmtId="41" fontId="8" fillId="0" borderId="0" xfId="0" applyNumberFormat="1" applyFont="1" applyAlignment="1">
      <alignment horizontal="right" vertical="top" wrapText="1"/>
    </xf>
    <xf numFmtId="0" fontId="17" fillId="0" borderId="6" xfId="0" applyFont="1" applyBorder="1"/>
    <xf numFmtId="0" fontId="4" fillId="0" borderId="1" xfId="0" applyFont="1" applyBorder="1" applyAlignment="1">
      <alignment wrapText="1"/>
    </xf>
    <xf numFmtId="164" fontId="4" fillId="0" borderId="1" xfId="2" applyNumberFormat="1" applyFont="1" applyBorder="1" applyAlignment="1">
      <alignment wrapText="1"/>
    </xf>
    <xf numFmtId="167" fontId="7" fillId="5" borderId="0" xfId="1" applyNumberFormat="1" applyFont="1" applyFill="1" applyBorder="1" applyAlignment="1">
      <alignment horizontal="right" vertical="center" wrapText="1"/>
    </xf>
    <xf numFmtId="167" fontId="9" fillId="5" borderId="0" xfId="1" applyNumberFormat="1" applyFont="1" applyFill="1" applyBorder="1" applyAlignment="1">
      <alignment horizontal="right" vertical="center" wrapText="1"/>
    </xf>
    <xf numFmtId="169" fontId="9" fillId="5" borderId="0" xfId="1" applyNumberFormat="1" applyFont="1" applyFill="1" applyBorder="1" applyAlignment="1">
      <alignment horizontal="right" vertical="center" wrapText="1"/>
    </xf>
    <xf numFmtId="0" fontId="8" fillId="0" borderId="6" xfId="0" applyFont="1" applyBorder="1" applyAlignment="1">
      <alignment vertical="top" wrapText="1"/>
    </xf>
    <xf numFmtId="41" fontId="26" fillId="0" borderId="0" xfId="0" applyNumberFormat="1" applyFont="1" applyAlignment="1">
      <alignment horizontal="right" vertical="center" wrapText="1"/>
    </xf>
    <xf numFmtId="0" fontId="15" fillId="0" borderId="0" xfId="0" applyFont="1" applyAlignment="1">
      <alignment horizontal="center"/>
    </xf>
    <xf numFmtId="41" fontId="11" fillId="0" borderId="0" xfId="0" applyNumberFormat="1" applyFont="1"/>
    <xf numFmtId="41" fontId="11" fillId="0" borderId="0" xfId="0" applyNumberFormat="1" applyFont="1" applyAlignment="1">
      <alignment horizontal="right" vertical="top" wrapText="1"/>
    </xf>
    <xf numFmtId="170" fontId="4" fillId="0" borderId="0" xfId="0" applyNumberFormat="1" applyFont="1"/>
    <xf numFmtId="0" fontId="29" fillId="0" borderId="11" xfId="0" applyFont="1" applyBorder="1" applyAlignment="1">
      <alignment horizontal="left" indent="2"/>
    </xf>
    <xf numFmtId="0" fontId="29" fillId="0" borderId="12" xfId="0" applyFont="1" applyBorder="1" applyAlignment="1">
      <alignment horizontal="left" indent="2"/>
    </xf>
    <xf numFmtId="0" fontId="29" fillId="0" borderId="0" xfId="0" applyFont="1" applyAlignment="1">
      <alignment horizontal="center"/>
    </xf>
    <xf numFmtId="0" fontId="15" fillId="0" borderId="16" xfId="0" applyFont="1" applyBorder="1" applyAlignment="1">
      <alignment horizontal="center"/>
    </xf>
    <xf numFmtId="0" fontId="15" fillId="0" borderId="17" xfId="0" applyFont="1" applyBorder="1" applyAlignment="1">
      <alignment horizontal="center"/>
    </xf>
    <xf numFmtId="0" fontId="31" fillId="0" borderId="0" xfId="0" applyFont="1"/>
    <xf numFmtId="0" fontId="15" fillId="0" borderId="8" xfId="0" applyFont="1" applyBorder="1"/>
    <xf numFmtId="0" fontId="4" fillId="0" borderId="8" xfId="0" applyFont="1" applyBorder="1"/>
    <xf numFmtId="0" fontId="16" fillId="0" borderId="0" xfId="0" applyFont="1"/>
    <xf numFmtId="172" fontId="32" fillId="0" borderId="0" xfId="0" applyNumberFormat="1" applyFont="1"/>
    <xf numFmtId="172" fontId="16" fillId="0" borderId="0" xfId="0" applyNumberFormat="1" applyFont="1"/>
    <xf numFmtId="9" fontId="16" fillId="0" borderId="0" xfId="0" applyNumberFormat="1" applyFont="1"/>
    <xf numFmtId="166" fontId="16" fillId="0" borderId="0" xfId="0" applyNumberFormat="1" applyFont="1"/>
    <xf numFmtId="37" fontId="12" fillId="0" borderId="0" xfId="0" applyNumberFormat="1" applyFont="1"/>
    <xf numFmtId="37" fontId="31" fillId="0" borderId="0" xfId="0" applyNumberFormat="1" applyFont="1"/>
    <xf numFmtId="37" fontId="33"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4" fillId="0" borderId="0" xfId="0" applyFont="1"/>
    <xf numFmtId="176" fontId="31" fillId="0" borderId="0" xfId="0" applyNumberFormat="1" applyFont="1"/>
    <xf numFmtId="176" fontId="12" fillId="0" borderId="0" xfId="0" applyNumberFormat="1" applyFont="1"/>
    <xf numFmtId="14" fontId="16" fillId="0" borderId="0" xfId="0" applyNumberFormat="1" applyFont="1"/>
    <xf numFmtId="174" fontId="33" fillId="0" borderId="0" xfId="0" applyNumberFormat="1" applyFont="1"/>
    <xf numFmtId="175" fontId="33" fillId="0" borderId="0" xfId="0" applyNumberFormat="1" applyFont="1"/>
    <xf numFmtId="172" fontId="30" fillId="0" borderId="8" xfId="0" applyNumberFormat="1" applyFont="1" applyBorder="1"/>
    <xf numFmtId="3" fontId="4" fillId="0" borderId="0" xfId="0" applyNumberFormat="1" applyFont="1"/>
    <xf numFmtId="0" fontId="15" fillId="0" borderId="9" xfId="0" applyFont="1" applyBorder="1" applyAlignment="1">
      <alignment horizontal="centerContinuous"/>
    </xf>
    <xf numFmtId="0" fontId="4" fillId="0" borderId="0" xfId="0" quotePrefix="1" applyFont="1" applyAlignment="1">
      <alignment horizontal="left" indent="1"/>
    </xf>
    <xf numFmtId="0" fontId="4" fillId="0" borderId="10" xfId="0" quotePrefix="1" applyFont="1" applyBorder="1" applyAlignment="1">
      <alignment horizontal="left" indent="1"/>
    </xf>
    <xf numFmtId="37" fontId="12" fillId="0" borderId="10" xfId="0" applyNumberFormat="1" applyFont="1" applyBorder="1"/>
    <xf numFmtId="37" fontId="4" fillId="0" borderId="10" xfId="0" applyNumberFormat="1" applyFont="1" applyBorder="1"/>
    <xf numFmtId="0" fontId="15" fillId="0" borderId="0" xfId="0" applyFont="1" applyAlignment="1">
      <alignment horizontal="left" indent="1"/>
    </xf>
    <xf numFmtId="176" fontId="4" fillId="0" borderId="0" xfId="0" applyNumberFormat="1" applyFont="1"/>
    <xf numFmtId="177" fontId="12" fillId="0" borderId="0" xfId="0" applyNumberFormat="1" applyFont="1"/>
    <xf numFmtId="171" fontId="4" fillId="0" borderId="0" xfId="0" applyNumberFormat="1" applyFont="1"/>
    <xf numFmtId="0" fontId="15" fillId="0" borderId="8" xfId="0" applyFont="1" applyBorder="1" applyAlignment="1">
      <alignment horizontal="left"/>
    </xf>
    <xf numFmtId="176" fontId="4" fillId="0" borderId="8" xfId="0" applyNumberFormat="1" applyFont="1" applyBorder="1"/>
    <xf numFmtId="176" fontId="31" fillId="0" borderId="8" xfId="0" applyNumberFormat="1" applyFont="1" applyBorder="1"/>
    <xf numFmtId="177" fontId="4" fillId="0" borderId="0" xfId="0" applyNumberFormat="1" applyFont="1"/>
    <xf numFmtId="37" fontId="15" fillId="0" borderId="8" xfId="0" applyNumberFormat="1" applyFont="1" applyBorder="1"/>
    <xf numFmtId="37" fontId="31" fillId="0" borderId="9" xfId="0" applyNumberFormat="1" applyFont="1" applyBorder="1"/>
    <xf numFmtId="0" fontId="4" fillId="0" borderId="10" xfId="0" applyFont="1" applyBorder="1" applyAlignment="1">
      <alignment horizontal="left" indent="1"/>
    </xf>
    <xf numFmtId="0" fontId="4" fillId="0" borderId="10" xfId="0" applyFont="1" applyBorder="1"/>
    <xf numFmtId="37" fontId="31" fillId="0" borderId="10" xfId="0" applyNumberFormat="1" applyFont="1" applyBorder="1"/>
    <xf numFmtId="37" fontId="15" fillId="0" borderId="8" xfId="0" applyNumberFormat="1" applyFont="1" applyBorder="1" applyAlignment="1">
      <alignment horizontal="left"/>
    </xf>
    <xf numFmtId="37" fontId="15" fillId="0" borderId="10" xfId="0" applyNumberFormat="1" applyFont="1" applyBorder="1"/>
    <xf numFmtId="37" fontId="4" fillId="0" borderId="12" xfId="0" applyNumberFormat="1" applyFont="1" applyBorder="1"/>
    <xf numFmtId="0" fontId="4" fillId="0" borderId="12" xfId="0" applyFont="1" applyBorder="1"/>
    <xf numFmtId="37" fontId="21" fillId="0" borderId="12" xfId="0" applyNumberFormat="1" applyFont="1" applyBorder="1" applyAlignment="1">
      <alignment horizontal="right"/>
    </xf>
    <xf numFmtId="37" fontId="21" fillId="0" borderId="0" xfId="0" applyNumberFormat="1" applyFont="1" applyAlignment="1">
      <alignment horizontal="right"/>
    </xf>
    <xf numFmtId="9" fontId="12" fillId="0" borderId="8" xfId="0" applyNumberFormat="1" applyFont="1" applyBorder="1"/>
    <xf numFmtId="3" fontId="31" fillId="0" borderId="0" xfId="0" applyNumberFormat="1" applyFont="1"/>
    <xf numFmtId="37" fontId="4" fillId="0" borderId="9" xfId="0" applyNumberFormat="1" applyFont="1" applyBorder="1"/>
    <xf numFmtId="0" fontId="34" fillId="0" borderId="0" xfId="0" applyFont="1" applyAlignment="1">
      <alignment horizontal="left" indent="1"/>
    </xf>
    <xf numFmtId="0" fontId="35" fillId="0" borderId="0" xfId="0" applyFont="1" applyAlignment="1">
      <alignment horizontal="left"/>
    </xf>
    <xf numFmtId="178" fontId="12" fillId="0" borderId="0" xfId="0" applyNumberFormat="1" applyFont="1"/>
    <xf numFmtId="0" fontId="33" fillId="0" borderId="13" xfId="0" applyFont="1" applyBorder="1" applyAlignment="1">
      <alignment horizontal="left" indent="1"/>
    </xf>
    <xf numFmtId="37" fontId="33" fillId="0" borderId="13" xfId="0" applyNumberFormat="1" applyFont="1" applyBorder="1"/>
    <xf numFmtId="0" fontId="4" fillId="0" borderId="0" xfId="0" applyFont="1" applyAlignment="1">
      <alignment horizontal="left" indent="2"/>
    </xf>
    <xf numFmtId="10" fontId="12" fillId="0" borderId="0" xfId="0" applyNumberFormat="1" applyFont="1"/>
    <xf numFmtId="179" fontId="31" fillId="0" borderId="0" xfId="0" applyNumberFormat="1" applyFont="1"/>
    <xf numFmtId="37" fontId="31" fillId="0" borderId="0" xfId="0" applyNumberFormat="1" applyFont="1" applyAlignment="1">
      <alignment horizontal="left" indent="1"/>
    </xf>
    <xf numFmtId="8" fontId="4" fillId="0" borderId="0" xfId="0" applyNumberFormat="1" applyFont="1"/>
    <xf numFmtId="9" fontId="31" fillId="0" borderId="0" xfId="0" applyNumberFormat="1" applyFont="1"/>
    <xf numFmtId="0" fontId="4" fillId="0" borderId="0" xfId="0" applyFont="1" applyAlignment="1">
      <alignment horizontal="right"/>
    </xf>
    <xf numFmtId="37" fontId="15" fillId="0" borderId="14" xfId="0" applyNumberFormat="1" applyFont="1" applyBorder="1"/>
    <xf numFmtId="171" fontId="15" fillId="0" borderId="15" xfId="0" applyNumberFormat="1" applyFont="1" applyBorder="1"/>
    <xf numFmtId="176" fontId="4" fillId="0" borderId="18" xfId="0" applyNumberFormat="1" applyFont="1" applyBorder="1" applyAlignment="1">
      <alignment horizontal="center"/>
    </xf>
    <xf numFmtId="0" fontId="4" fillId="0" borderId="18" xfId="0" applyFont="1" applyBorder="1"/>
    <xf numFmtId="177" fontId="12" fillId="0" borderId="18" xfId="0" applyNumberFormat="1" applyFont="1" applyBorder="1" applyAlignment="1">
      <alignment horizontal="center"/>
    </xf>
    <xf numFmtId="0" fontId="4" fillId="0" borderId="18" xfId="0" applyFont="1" applyBorder="1" applyAlignment="1">
      <alignment horizontal="center"/>
    </xf>
    <xf numFmtId="180" fontId="4" fillId="0" borderId="0" xfId="0" applyNumberFormat="1" applyFont="1"/>
    <xf numFmtId="177" fontId="12" fillId="0" borderId="19" xfId="0" applyNumberFormat="1" applyFont="1" applyBorder="1" applyAlignment="1">
      <alignment horizontal="center"/>
    </xf>
    <xf numFmtId="37" fontId="27" fillId="0" borderId="0" xfId="0" applyNumberFormat="1" applyFont="1"/>
    <xf numFmtId="14" fontId="3" fillId="2" borderId="0" xfId="0" quotePrefix="1" applyNumberFormat="1" applyFont="1" applyFill="1" applyAlignment="1">
      <alignment horizontal="center" vertical="center" wrapText="1"/>
    </xf>
    <xf numFmtId="41" fontId="8" fillId="6" borderId="2" xfId="0" applyNumberFormat="1" applyFont="1" applyFill="1" applyBorder="1" applyAlignment="1">
      <alignment horizontal="right" vertical="top" wrapText="1"/>
    </xf>
    <xf numFmtId="3" fontId="4" fillId="0" borderId="0" xfId="0" applyNumberFormat="1" applyFont="1" applyAlignment="1">
      <alignment wrapText="1"/>
    </xf>
    <xf numFmtId="43" fontId="22" fillId="0" borderId="20" xfId="0" applyNumberFormat="1" applyFont="1" applyBorder="1" applyAlignment="1">
      <alignment wrapText="1"/>
    </xf>
    <xf numFmtId="41" fontId="6" fillId="0" borderId="20" xfId="0" applyNumberFormat="1" applyFont="1" applyBorder="1" applyAlignment="1">
      <alignment horizontal="right" vertical="top" wrapText="1"/>
    </xf>
    <xf numFmtId="0" fontId="8" fillId="6" borderId="22" xfId="0" applyFont="1" applyFill="1" applyBorder="1" applyAlignment="1">
      <alignment horizontal="right" vertical="center" wrapText="1"/>
    </xf>
    <xf numFmtId="0" fontId="4" fillId="0" borderId="22" xfId="0" applyFont="1" applyBorder="1"/>
    <xf numFmtId="37" fontId="4" fillId="0" borderId="23" xfId="0" applyNumberFormat="1" applyFont="1" applyBorder="1" applyAlignment="1">
      <alignment wrapText="1"/>
    </xf>
    <xf numFmtId="41" fontId="8" fillId="0" borderId="25" xfId="0" applyNumberFormat="1" applyFont="1" applyBorder="1" applyAlignment="1">
      <alignment horizontal="right" vertical="top" wrapText="1"/>
    </xf>
    <xf numFmtId="41" fontId="6" fillId="0" borderId="26" xfId="0" applyNumberFormat="1" applyFont="1" applyBorder="1" applyAlignment="1">
      <alignment horizontal="right" vertical="top" wrapText="1"/>
    </xf>
    <xf numFmtId="41" fontId="27" fillId="0" borderId="0" xfId="0" applyNumberFormat="1" applyFont="1"/>
    <xf numFmtId="0" fontId="15" fillId="0" borderId="26" xfId="0" applyFont="1" applyBorder="1" applyAlignment="1">
      <alignment horizontal="left"/>
    </xf>
    <xf numFmtId="37" fontId="33" fillId="0" borderId="26" xfId="0" applyNumberFormat="1" applyFont="1" applyBorder="1"/>
    <xf numFmtId="0" fontId="15" fillId="0" borderId="26" xfId="0" applyFont="1" applyBorder="1"/>
    <xf numFmtId="0" fontId="4" fillId="0" borderId="26" xfId="0" applyFont="1" applyBorder="1"/>
    <xf numFmtId="0" fontId="4" fillId="7" borderId="26" xfId="0" applyFont="1" applyFill="1" applyBorder="1"/>
    <xf numFmtId="37" fontId="15" fillId="0" borderId="26" xfId="0" applyNumberFormat="1" applyFont="1" applyBorder="1"/>
    <xf numFmtId="37" fontId="4" fillId="6" borderId="0" xfId="0" applyNumberFormat="1" applyFont="1" applyFill="1"/>
    <xf numFmtId="8" fontId="27" fillId="0" borderId="0" xfId="0" applyNumberFormat="1" applyFont="1"/>
    <xf numFmtId="0" fontId="15" fillId="0" borderId="26" xfId="0" applyFont="1" applyBorder="1" applyAlignment="1">
      <alignment horizontal="left" indent="1"/>
    </xf>
    <xf numFmtId="37" fontId="31" fillId="6" borderId="9" xfId="0" applyNumberFormat="1" applyFont="1" applyFill="1" applyBorder="1"/>
    <xf numFmtId="37" fontId="31" fillId="6" borderId="10" xfId="0" applyNumberFormat="1" applyFont="1" applyFill="1" applyBorder="1"/>
    <xf numFmtId="37" fontId="31" fillId="6" borderId="0" xfId="0" applyNumberFormat="1" applyFont="1" applyFill="1"/>
    <xf numFmtId="176" fontId="31" fillId="6" borderId="0" xfId="0" applyNumberFormat="1" applyFont="1" applyFill="1"/>
    <xf numFmtId="37" fontId="33" fillId="6" borderId="0" xfId="0" applyNumberFormat="1" applyFont="1" applyFill="1"/>
    <xf numFmtId="37" fontId="12" fillId="6" borderId="0" xfId="0" applyNumberFormat="1" applyFont="1" applyFill="1"/>
    <xf numFmtId="37" fontId="4" fillId="6" borderId="10" xfId="0" applyNumberFormat="1" applyFont="1" applyFill="1" applyBorder="1"/>
    <xf numFmtId="37" fontId="12" fillId="6" borderId="10" xfId="0" applyNumberFormat="1" applyFont="1" applyFill="1" applyBorder="1"/>
    <xf numFmtId="179" fontId="6" fillId="6" borderId="0" xfId="0" applyNumberFormat="1" applyFont="1" applyFill="1"/>
    <xf numFmtId="177" fontId="6" fillId="6" borderId="0" xfId="0" applyNumberFormat="1" applyFont="1" applyFill="1"/>
    <xf numFmtId="179" fontId="31" fillId="6" borderId="0" xfId="0" applyNumberFormat="1" applyFont="1" applyFill="1"/>
    <xf numFmtId="0" fontId="33" fillId="0" borderId="10" xfId="0" applyFont="1" applyBorder="1"/>
    <xf numFmtId="0" fontId="31" fillId="0" borderId="10" xfId="0" applyFont="1" applyBorder="1"/>
    <xf numFmtId="0" fontId="34" fillId="0" borderId="0" xfId="0" applyFont="1" applyAlignment="1">
      <alignment horizontal="left"/>
    </xf>
    <xf numFmtId="166" fontId="31" fillId="0" borderId="0" xfId="0" applyNumberFormat="1" applyFont="1"/>
    <xf numFmtId="166" fontId="37" fillId="0" borderId="0" xfId="0" applyNumberFormat="1" applyFont="1" applyAlignment="1">
      <alignment horizontal="right"/>
    </xf>
    <xf numFmtId="0" fontId="15" fillId="0" borderId="28" xfId="0" applyFont="1" applyBorder="1"/>
    <xf numFmtId="0" fontId="15" fillId="0" borderId="29" xfId="0" applyFont="1" applyBorder="1"/>
    <xf numFmtId="0" fontId="4" fillId="0" borderId="29" xfId="0" applyFont="1" applyBorder="1"/>
    <xf numFmtId="173" fontId="12" fillId="0" borderId="0" xfId="0" applyNumberFormat="1" applyFont="1"/>
    <xf numFmtId="179" fontId="29" fillId="0" borderId="10" xfId="0" applyNumberFormat="1" applyFont="1" applyBorder="1"/>
    <xf numFmtId="173" fontId="31" fillId="0" borderId="0" xfId="0" applyNumberFormat="1" applyFont="1"/>
    <xf numFmtId="181" fontId="29" fillId="0" borderId="0" xfId="0" applyNumberFormat="1" applyFont="1"/>
    <xf numFmtId="9" fontId="12" fillId="8" borderId="0" xfId="0" applyNumberFormat="1" applyFont="1" applyFill="1"/>
    <xf numFmtId="176" fontId="15" fillId="0" borderId="30" xfId="0" applyNumberFormat="1" applyFont="1" applyBorder="1"/>
    <xf numFmtId="39" fontId="15" fillId="0" borderId="0" xfId="0" applyNumberFormat="1" applyFont="1"/>
    <xf numFmtId="0" fontId="4" fillId="0" borderId="0" xfId="0" applyFont="1" applyAlignment="1">
      <alignment horizontal="centerContinuous"/>
    </xf>
    <xf numFmtId="0" fontId="4" fillId="0" borderId="9" xfId="0" applyFont="1" applyBorder="1" applyAlignment="1">
      <alignment horizontal="centerContinuous"/>
    </xf>
    <xf numFmtId="176" fontId="4" fillId="8" borderId="0" xfId="0" applyNumberFormat="1" applyFont="1" applyFill="1"/>
    <xf numFmtId="182" fontId="31" fillId="0" borderId="31" xfId="0" applyNumberFormat="1" applyFont="1" applyBorder="1"/>
    <xf numFmtId="173" fontId="12" fillId="0" borderId="32" xfId="0" applyNumberFormat="1" applyFont="1" applyBorder="1"/>
    <xf numFmtId="182" fontId="31" fillId="0" borderId="32" xfId="0" applyNumberFormat="1" applyFont="1" applyBorder="1"/>
    <xf numFmtId="10" fontId="31" fillId="0" borderId="33" xfId="0" applyNumberFormat="1" applyFont="1" applyBorder="1"/>
    <xf numFmtId="177" fontId="4" fillId="0" borderId="9" xfId="0" applyNumberFormat="1" applyFont="1" applyBorder="1"/>
    <xf numFmtId="10" fontId="12" fillId="0" borderId="33" xfId="0" applyNumberFormat="1" applyFont="1" applyBorder="1"/>
    <xf numFmtId="10" fontId="31" fillId="0" borderId="34" xfId="0" applyNumberFormat="1" applyFont="1" applyBorder="1"/>
    <xf numFmtId="0" fontId="12" fillId="10" borderId="7" xfId="0" applyFont="1" applyFill="1" applyBorder="1" applyAlignment="1">
      <alignment horizontal="right"/>
    </xf>
    <xf numFmtId="173" fontId="4" fillId="0" borderId="0" xfId="0" applyNumberFormat="1" applyFont="1"/>
    <xf numFmtId="0" fontId="4" fillId="0" borderId="35" xfId="0" applyFont="1" applyBorder="1"/>
    <xf numFmtId="0" fontId="4" fillId="0" borderId="35" xfId="0" applyFont="1" applyBorder="1" applyAlignment="1">
      <alignment wrapText="1"/>
    </xf>
    <xf numFmtId="0" fontId="12" fillId="0" borderId="0" xfId="0" applyFont="1"/>
    <xf numFmtId="39" fontId="12" fillId="0" borderId="0" xfId="0" applyNumberFormat="1" applyFont="1"/>
    <xf numFmtId="39" fontId="29" fillId="0" borderId="0" xfId="0" applyNumberFormat="1" applyFont="1"/>
    <xf numFmtId="37" fontId="29" fillId="0" borderId="0" xfId="0" applyNumberFormat="1" applyFont="1"/>
    <xf numFmtId="176" fontId="31" fillId="0" borderId="36" xfId="0" applyNumberFormat="1" applyFont="1" applyBorder="1"/>
    <xf numFmtId="173" fontId="15" fillId="0" borderId="0" xfId="0" applyNumberFormat="1" applyFont="1"/>
    <xf numFmtId="39" fontId="4" fillId="0" borderId="0" xfId="0" applyNumberFormat="1" applyFont="1"/>
    <xf numFmtId="183" fontId="12" fillId="0" borderId="0" xfId="0" applyNumberFormat="1" applyFont="1"/>
    <xf numFmtId="173" fontId="39" fillId="0" borderId="0" xfId="0" applyNumberFormat="1" applyFont="1"/>
    <xf numFmtId="184" fontId="12" fillId="0" borderId="0" xfId="0" applyNumberFormat="1" applyFont="1"/>
    <xf numFmtId="173" fontId="37" fillId="0" borderId="0" xfId="0" applyNumberFormat="1" applyFont="1"/>
    <xf numFmtId="0" fontId="15" fillId="0" borderId="10" xfId="0" applyFont="1" applyBorder="1"/>
    <xf numFmtId="185" fontId="31" fillId="0" borderId="0" xfId="0" applyNumberFormat="1" applyFont="1"/>
    <xf numFmtId="39" fontId="31" fillId="0" borderId="0" xfId="0" applyNumberFormat="1" applyFont="1"/>
    <xf numFmtId="7" fontId="4" fillId="0" borderId="0" xfId="0" applyNumberFormat="1" applyFont="1"/>
    <xf numFmtId="37" fontId="30" fillId="0" borderId="0" xfId="0" applyNumberFormat="1" applyFont="1"/>
    <xf numFmtId="7" fontId="31" fillId="0" borderId="0" xfId="0" applyNumberFormat="1" applyFont="1"/>
    <xf numFmtId="14" fontId="12" fillId="0" borderId="0" xfId="0" applyNumberFormat="1" applyFont="1" applyAlignment="1">
      <alignment horizontal="right"/>
    </xf>
    <xf numFmtId="0" fontId="42" fillId="0" borderId="0" xfId="6" applyFont="1" applyBorder="1"/>
    <xf numFmtId="177" fontId="31" fillId="0" borderId="0" xfId="0" applyNumberFormat="1" applyFont="1"/>
    <xf numFmtId="7" fontId="29" fillId="0" borderId="0" xfId="0" applyNumberFormat="1" applyFont="1" applyAlignment="1">
      <alignment horizontal="right"/>
    </xf>
    <xf numFmtId="0" fontId="38" fillId="0" borderId="0" xfId="0" applyFont="1" applyAlignment="1">
      <alignment horizontal="centerContinuous"/>
    </xf>
    <xf numFmtId="14" fontId="4" fillId="0" borderId="0" xfId="0" applyNumberFormat="1" applyFont="1" applyAlignment="1">
      <alignment horizontal="center"/>
    </xf>
    <xf numFmtId="172" fontId="4" fillId="0" borderId="37" xfId="0" applyNumberFormat="1" applyFont="1" applyBorder="1" applyAlignment="1">
      <alignment horizontal="center"/>
    </xf>
    <xf numFmtId="172" fontId="4" fillId="0" borderId="34" xfId="0" applyNumberFormat="1" applyFont="1" applyBorder="1" applyAlignment="1">
      <alignment horizontal="center"/>
    </xf>
    <xf numFmtId="172" fontId="4" fillId="0" borderId="0" xfId="0" applyNumberFormat="1" applyFont="1" applyAlignment="1">
      <alignment horizontal="center"/>
    </xf>
    <xf numFmtId="186" fontId="15" fillId="0" borderId="37" xfId="0" applyNumberFormat="1" applyFont="1" applyBorder="1"/>
    <xf numFmtId="187" fontId="15" fillId="0" borderId="0" xfId="0" applyNumberFormat="1" applyFont="1"/>
    <xf numFmtId="188" fontId="29" fillId="0" borderId="0" xfId="0" applyNumberFormat="1" applyFont="1"/>
    <xf numFmtId="188" fontId="31" fillId="0" borderId="0" xfId="0" applyNumberFormat="1" applyFont="1"/>
    <xf numFmtId="188" fontId="4" fillId="0" borderId="0" xfId="0" applyNumberFormat="1" applyFont="1"/>
    <xf numFmtId="188" fontId="33" fillId="0" borderId="0" xfId="0" applyNumberFormat="1" applyFont="1"/>
    <xf numFmtId="14" fontId="4" fillId="0" borderId="0" xfId="0" applyNumberFormat="1" applyFont="1"/>
    <xf numFmtId="177" fontId="4" fillId="0" borderId="0" xfId="0" applyNumberFormat="1" applyFont="1" applyAlignment="1">
      <alignment horizontal="center"/>
    </xf>
    <xf numFmtId="187" fontId="4" fillId="0" borderId="0" xfId="0" applyNumberFormat="1" applyFont="1"/>
    <xf numFmtId="189" fontId="12" fillId="0" borderId="0" xfId="0" applyNumberFormat="1" applyFont="1"/>
    <xf numFmtId="188" fontId="15" fillId="0" borderId="0" xfId="0" applyNumberFormat="1" applyFont="1"/>
    <xf numFmtId="0" fontId="16" fillId="0" borderId="0" xfId="0" applyFont="1" applyAlignment="1">
      <alignment horizontal="left"/>
    </xf>
    <xf numFmtId="177" fontId="16" fillId="0" borderId="0" xfId="0" applyNumberFormat="1" applyFont="1"/>
    <xf numFmtId="190" fontId="16" fillId="0" borderId="0" xfId="0" applyNumberFormat="1" applyFont="1"/>
    <xf numFmtId="189" fontId="16" fillId="0" borderId="0" xfId="0" applyNumberFormat="1" applyFont="1"/>
    <xf numFmtId="176" fontId="4" fillId="0" borderId="0" xfId="0" quotePrefix="1" applyNumberFormat="1" applyFont="1"/>
    <xf numFmtId="0" fontId="34" fillId="0" borderId="0" xfId="0" applyFont="1" applyAlignment="1">
      <alignment horizontal="right"/>
    </xf>
    <xf numFmtId="0" fontId="34" fillId="0" borderId="0" xfId="0" applyFont="1" applyAlignment="1">
      <alignment horizontal="left" vertical="center"/>
    </xf>
    <xf numFmtId="14" fontId="31" fillId="0" borderId="0" xfId="0" applyNumberFormat="1" applyFont="1"/>
    <xf numFmtId="191" fontId="12" fillId="0" borderId="0" xfId="0" applyNumberFormat="1" applyFont="1"/>
    <xf numFmtId="0" fontId="31" fillId="0" borderId="0" xfId="0" applyFont="1" applyAlignment="1">
      <alignment horizontal="left" indent="1"/>
    </xf>
    <xf numFmtId="0" fontId="4" fillId="0" borderId="0" xfId="0" applyFont="1" applyAlignment="1">
      <alignment horizontal="left" vertical="center" indent="1"/>
    </xf>
    <xf numFmtId="188" fontId="4" fillId="0" borderId="0" xfId="0" applyNumberFormat="1" applyFont="1" applyAlignment="1">
      <alignment horizontal="right"/>
    </xf>
    <xf numFmtId="37" fontId="16" fillId="0" borderId="10" xfId="0" applyNumberFormat="1" applyFont="1" applyBorder="1" applyAlignment="1">
      <alignment horizontal="right"/>
    </xf>
    <xf numFmtId="37" fontId="4" fillId="0" borderId="0" xfId="0" applyNumberFormat="1" applyFont="1" applyAlignment="1">
      <alignment horizontal="right"/>
    </xf>
    <xf numFmtId="194" fontId="4" fillId="9" borderId="0" xfId="0" applyNumberFormat="1" applyFont="1" applyFill="1" applyAlignment="1">
      <alignment horizontal="right"/>
    </xf>
    <xf numFmtId="195" fontId="4" fillId="9" borderId="0" xfId="0" applyNumberFormat="1" applyFont="1" applyFill="1" applyAlignment="1">
      <alignment horizontal="right"/>
    </xf>
    <xf numFmtId="195" fontId="4" fillId="0" borderId="0" xfId="0" applyNumberFormat="1" applyFont="1" applyAlignment="1">
      <alignment horizontal="right"/>
    </xf>
    <xf numFmtId="194" fontId="4" fillId="0" borderId="0" xfId="0" applyNumberFormat="1" applyFont="1" applyAlignment="1">
      <alignment horizontal="right"/>
    </xf>
    <xf numFmtId="0" fontId="31" fillId="10" borderId="0" xfId="0" applyFont="1" applyFill="1"/>
    <xf numFmtId="0" fontId="44" fillId="0" borderId="0" xfId="0" applyFont="1" applyAlignment="1">
      <alignment horizontal="centerContinuous"/>
    </xf>
    <xf numFmtId="0" fontId="38" fillId="0" borderId="34" xfId="0" applyFont="1" applyBorder="1" applyAlignment="1">
      <alignment horizontal="centerContinuous"/>
    </xf>
    <xf numFmtId="0" fontId="4" fillId="0" borderId="34" xfId="0" applyFont="1" applyBorder="1" applyAlignment="1">
      <alignment horizontal="centerContinuous"/>
    </xf>
    <xf numFmtId="193" fontId="4" fillId="0" borderId="8" xfId="0" applyNumberFormat="1" applyFont="1" applyBorder="1" applyAlignment="1">
      <alignment horizontal="right"/>
    </xf>
    <xf numFmtId="166" fontId="31" fillId="11" borderId="28" xfId="0" applyNumberFormat="1" applyFont="1" applyFill="1" applyBorder="1"/>
    <xf numFmtId="166" fontId="31" fillId="11" borderId="29" xfId="0" applyNumberFormat="1" applyFont="1" applyFill="1" applyBorder="1"/>
    <xf numFmtId="166" fontId="12" fillId="11" borderId="29" xfId="0" applyNumberFormat="1" applyFont="1" applyFill="1" applyBorder="1"/>
    <xf numFmtId="166" fontId="31" fillId="11" borderId="34" xfId="0" applyNumberFormat="1" applyFont="1" applyFill="1" applyBorder="1"/>
    <xf numFmtId="189" fontId="4" fillId="0" borderId="38" xfId="0" applyNumberFormat="1" applyFont="1" applyBorder="1" applyAlignment="1">
      <alignment horizontal="right"/>
    </xf>
    <xf numFmtId="166" fontId="31" fillId="11" borderId="30" xfId="0" applyNumberFormat="1" applyFont="1" applyFill="1" applyBorder="1"/>
    <xf numFmtId="166" fontId="31" fillId="11" borderId="39" xfId="0" applyNumberFormat="1" applyFont="1" applyFill="1" applyBorder="1" applyAlignment="1">
      <alignment horizontal="right"/>
    </xf>
    <xf numFmtId="196" fontId="4" fillId="0" borderId="0" xfId="0" applyNumberFormat="1" applyFont="1"/>
    <xf numFmtId="196" fontId="4" fillId="0" borderId="34" xfId="0" applyNumberFormat="1" applyFont="1" applyBorder="1"/>
    <xf numFmtId="189" fontId="4" fillId="0" borderId="0" xfId="0" applyNumberFormat="1" applyFont="1" applyAlignment="1">
      <alignment horizontal="right"/>
    </xf>
    <xf numFmtId="166" fontId="12" fillId="11" borderId="39" xfId="0" applyNumberFormat="1" applyFont="1" applyFill="1" applyBorder="1" applyAlignment="1">
      <alignment horizontal="right"/>
    </xf>
    <xf numFmtId="0" fontId="33" fillId="10" borderId="0" xfId="0" applyFont="1" applyFill="1" applyAlignment="1">
      <alignment horizontal="center"/>
    </xf>
    <xf numFmtId="166" fontId="31" fillId="11" borderId="40" xfId="0" applyNumberFormat="1" applyFont="1" applyFill="1" applyBorder="1" applyAlignment="1">
      <alignment horizontal="right"/>
    </xf>
    <xf numFmtId="197" fontId="4" fillId="0" borderId="0" xfId="0" applyNumberFormat="1" applyFont="1"/>
    <xf numFmtId="197" fontId="4" fillId="0" borderId="34" xfId="0" applyNumberFormat="1" applyFont="1" applyBorder="1"/>
    <xf numFmtId="193" fontId="4" fillId="0" borderId="38" xfId="0" applyNumberFormat="1" applyFont="1" applyBorder="1"/>
    <xf numFmtId="189" fontId="31" fillId="11" borderId="29" xfId="0" applyNumberFormat="1" applyFont="1" applyFill="1" applyBorder="1"/>
    <xf numFmtId="189" fontId="12" fillId="11" borderId="29" xfId="0" applyNumberFormat="1" applyFont="1" applyFill="1" applyBorder="1"/>
    <xf numFmtId="189" fontId="31" fillId="11" borderId="34" xfId="0" applyNumberFormat="1" applyFont="1" applyFill="1" applyBorder="1"/>
    <xf numFmtId="189" fontId="31" fillId="11" borderId="30" xfId="0" applyNumberFormat="1" applyFont="1" applyFill="1" applyBorder="1"/>
    <xf numFmtId="0" fontId="4" fillId="0" borderId="34" xfId="0" applyFont="1" applyBorder="1"/>
    <xf numFmtId="0" fontId="15" fillId="12" borderId="0" xfId="0" applyFont="1" applyFill="1"/>
    <xf numFmtId="0" fontId="15" fillId="12" borderId="34" xfId="0" applyFont="1" applyFill="1" applyBorder="1"/>
    <xf numFmtId="179" fontId="4" fillId="0" borderId="0" xfId="0" applyNumberFormat="1" applyFont="1"/>
    <xf numFmtId="0" fontId="4" fillId="0" borderId="28" xfId="0" applyFont="1" applyBorder="1"/>
    <xf numFmtId="0" fontId="4" fillId="0" borderId="29" xfId="0" applyFont="1" applyBorder="1" applyAlignment="1">
      <alignment horizontal="right"/>
    </xf>
    <xf numFmtId="0" fontId="4" fillId="0" borderId="30" xfId="0" applyFont="1" applyBorder="1" applyAlignment="1">
      <alignment horizontal="right"/>
    </xf>
    <xf numFmtId="0" fontId="4" fillId="0" borderId="41" xfId="0" applyFont="1" applyBorder="1"/>
    <xf numFmtId="0" fontId="4" fillId="0" borderId="42" xfId="0" quotePrefix="1" applyFont="1" applyBorder="1"/>
    <xf numFmtId="39" fontId="4" fillId="0" borderId="43" xfId="0" applyNumberFormat="1" applyFont="1" applyBorder="1"/>
    <xf numFmtId="39" fontId="31" fillId="0" borderId="43" xfId="0" applyNumberFormat="1" applyFont="1" applyBorder="1"/>
    <xf numFmtId="0" fontId="4" fillId="0" borderId="42" xfId="0" applyFont="1" applyBorder="1"/>
    <xf numFmtId="0" fontId="4" fillId="0" borderId="44" xfId="0" applyFont="1" applyBorder="1"/>
    <xf numFmtId="39" fontId="4" fillId="0" borderId="8" xfId="0" applyNumberFormat="1" applyFont="1" applyBorder="1"/>
    <xf numFmtId="39" fontId="31" fillId="0" borderId="8" xfId="0" applyNumberFormat="1" applyFont="1" applyBorder="1"/>
    <xf numFmtId="39" fontId="4" fillId="0" borderId="38" xfId="0" applyNumberFormat="1" applyFont="1" applyBorder="1"/>
    <xf numFmtId="0" fontId="4" fillId="0" borderId="45" xfId="0" applyFont="1" applyBorder="1"/>
    <xf numFmtId="39" fontId="31" fillId="0" borderId="38" xfId="0" applyNumberFormat="1" applyFont="1" applyBorder="1"/>
    <xf numFmtId="192" fontId="15" fillId="0" borderId="26" xfId="0" applyNumberFormat="1" applyFont="1" applyBorder="1"/>
    <xf numFmtId="37" fontId="11" fillId="0" borderId="0" xfId="0" applyNumberFormat="1" applyFont="1" applyAlignment="1">
      <alignment horizontal="right" vertical="top" wrapText="1"/>
    </xf>
    <xf numFmtId="0" fontId="12" fillId="0" borderId="0" xfId="0" applyFont="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72" fontId="12" fillId="0" borderId="0" xfId="0" applyNumberFormat="1" applyFont="1" applyAlignment="1">
      <alignment horizontal="center"/>
    </xf>
    <xf numFmtId="0" fontId="4" fillId="0" borderId="20" xfId="0" applyFont="1" applyBorder="1"/>
    <xf numFmtId="173" fontId="12" fillId="0" borderId="20" xfId="0" applyNumberFormat="1" applyFont="1" applyBorder="1" applyAlignment="1">
      <alignment horizontal="center"/>
    </xf>
    <xf numFmtId="0" fontId="4" fillId="0" borderId="21" xfId="0" applyFont="1" applyBorder="1"/>
    <xf numFmtId="0" fontId="4" fillId="0" borderId="23" xfId="0" applyFont="1" applyBorder="1"/>
    <xf numFmtId="0" fontId="4" fillId="0" borderId="24" xfId="0" applyFont="1" applyBorder="1"/>
    <xf numFmtId="0" fontId="12" fillId="0" borderId="26" xfId="0" applyFont="1" applyBorder="1" applyAlignment="1">
      <alignment horizontal="center"/>
    </xf>
    <xf numFmtId="0" fontId="4" fillId="0" borderId="27" xfId="0" applyFont="1" applyBorder="1"/>
    <xf numFmtId="0" fontId="33" fillId="0" borderId="25" xfId="0" applyFont="1" applyBorder="1"/>
    <xf numFmtId="0" fontId="33" fillId="0" borderId="22" xfId="0" applyFont="1" applyBorder="1"/>
    <xf numFmtId="0" fontId="15" fillId="0" borderId="22" xfId="0" applyFont="1" applyBorder="1"/>
    <xf numFmtId="0" fontId="15" fillId="0" borderId="21" xfId="0" applyFont="1" applyBorder="1"/>
    <xf numFmtId="0" fontId="4" fillId="0" borderId="0" xfId="0" applyFont="1" applyAlignment="1">
      <alignment horizontal="center"/>
    </xf>
    <xf numFmtId="171" fontId="12" fillId="6" borderId="7" xfId="0" applyNumberFormat="1" applyFont="1" applyFill="1" applyBorder="1" applyAlignment="1">
      <alignment horizontal="center"/>
    </xf>
    <xf numFmtId="171" fontId="12" fillId="6" borderId="47" xfId="0" applyNumberFormat="1" applyFont="1" applyFill="1" applyBorder="1" applyAlignment="1">
      <alignment horizontal="center"/>
    </xf>
    <xf numFmtId="0" fontId="4" fillId="0" borderId="0" xfId="0" applyFont="1" applyAlignment="1">
      <alignment vertical="center"/>
    </xf>
    <xf numFmtId="0" fontId="4" fillId="0" borderId="0" xfId="0" applyFont="1" applyAlignment="1">
      <alignment horizontal="left" vertical="center"/>
    </xf>
    <xf numFmtId="199" fontId="5" fillId="2" borderId="0" xfId="0" applyNumberFormat="1" applyFont="1" applyFill="1" applyAlignment="1">
      <alignment horizontal="center" vertical="center" wrapText="1"/>
    </xf>
    <xf numFmtId="0" fontId="4" fillId="0" borderId="22" xfId="0" applyFont="1" applyBorder="1" applyAlignment="1">
      <alignment horizontal="left" indent="1"/>
    </xf>
    <xf numFmtId="176" fontId="31" fillId="0" borderId="23" xfId="0" applyNumberFormat="1" applyFont="1" applyBorder="1"/>
    <xf numFmtId="0" fontId="45" fillId="2" borderId="26" xfId="0" applyFont="1" applyFill="1" applyBorder="1"/>
    <xf numFmtId="0" fontId="45" fillId="2" borderId="27" xfId="0" applyFont="1" applyFill="1" applyBorder="1"/>
    <xf numFmtId="0" fontId="2" fillId="2" borderId="25" xfId="0" applyFont="1" applyFill="1" applyBorder="1"/>
    <xf numFmtId="0" fontId="45" fillId="0" borderId="0" xfId="0" applyFont="1"/>
    <xf numFmtId="0" fontId="45" fillId="0" borderId="23" xfId="0" applyFont="1" applyBorder="1"/>
    <xf numFmtId="0" fontId="2" fillId="0" borderId="22" xfId="0" applyFont="1" applyBorder="1"/>
    <xf numFmtId="0" fontId="3" fillId="0" borderId="0" xfId="0" applyFont="1" applyAlignment="1">
      <alignment vertical="center" wrapText="1"/>
    </xf>
    <xf numFmtId="14" fontId="3" fillId="0" borderId="0" xfId="0" applyNumberFormat="1" applyFont="1" applyAlignment="1">
      <alignment horizontal="center" vertical="center" wrapText="1"/>
    </xf>
    <xf numFmtId="0" fontId="15" fillId="13" borderId="26" xfId="0" applyFont="1" applyFill="1" applyBorder="1" applyAlignment="1">
      <alignment horizontal="left"/>
    </xf>
    <xf numFmtId="5" fontId="33" fillId="13" borderId="26" xfId="0" applyNumberFormat="1" applyFont="1" applyFill="1" applyBorder="1"/>
    <xf numFmtId="5" fontId="15" fillId="13" borderId="26" xfId="0" applyNumberFormat="1" applyFont="1" applyFill="1" applyBorder="1"/>
    <xf numFmtId="5" fontId="33" fillId="0" borderId="26" xfId="0" applyNumberFormat="1" applyFont="1" applyBorder="1"/>
    <xf numFmtId="41" fontId="6" fillId="0" borderId="0" xfId="0" applyNumberFormat="1" applyFont="1" applyAlignment="1">
      <alignment horizontal="right" vertical="center" wrapText="1"/>
    </xf>
    <xf numFmtId="41" fontId="6" fillId="0" borderId="0" xfId="0" applyNumberFormat="1" applyFont="1" applyAlignment="1">
      <alignment horizontal="right" wrapText="1"/>
    </xf>
    <xf numFmtId="41" fontId="27" fillId="0" borderId="0" xfId="0" applyNumberFormat="1" applyFont="1" applyAlignment="1">
      <alignment horizontal="right" wrapText="1"/>
    </xf>
    <xf numFmtId="0" fontId="2" fillId="14" borderId="0" xfId="0" applyFont="1" applyFill="1" applyAlignment="1">
      <alignment vertical="center" wrapText="1"/>
    </xf>
    <xf numFmtId="0" fontId="3" fillId="14" borderId="0" xfId="0" applyFont="1" applyFill="1" applyAlignment="1">
      <alignment vertical="center" wrapText="1"/>
    </xf>
    <xf numFmtId="0" fontId="2" fillId="15" borderId="0" xfId="0" applyFont="1" applyFill="1" applyAlignment="1">
      <alignment vertical="center" wrapText="1"/>
    </xf>
    <xf numFmtId="0" fontId="2" fillId="15" borderId="4" xfId="0" applyFont="1" applyFill="1" applyBorder="1" applyAlignment="1">
      <alignment horizontal="centerContinuous" vertical="center" wrapText="1"/>
    </xf>
    <xf numFmtId="0" fontId="3" fillId="15" borderId="0" xfId="0" applyFont="1" applyFill="1" applyAlignment="1">
      <alignment vertical="center" wrapText="1"/>
    </xf>
    <xf numFmtId="14" fontId="3" fillId="15" borderId="0" xfId="0" applyNumberFormat="1" applyFont="1" applyFill="1" applyAlignment="1">
      <alignment horizontal="center" vertical="center" wrapText="1"/>
    </xf>
    <xf numFmtId="167" fontId="7" fillId="0" borderId="0" xfId="1" applyNumberFormat="1" applyFont="1" applyFill="1" applyBorder="1" applyAlignment="1">
      <alignment horizontal="right" vertical="center" wrapText="1"/>
    </xf>
    <xf numFmtId="0" fontId="2" fillId="2" borderId="0" xfId="0" applyFont="1" applyFill="1" applyAlignment="1">
      <alignment horizontal="centerContinuous" vertical="center" wrapText="1"/>
    </xf>
    <xf numFmtId="0" fontId="2" fillId="14" borderId="4" xfId="0" applyFont="1" applyFill="1" applyBorder="1" applyAlignment="1">
      <alignment horizontal="centerContinuous" vertical="center" wrapText="1"/>
    </xf>
    <xf numFmtId="0" fontId="4" fillId="14" borderId="0" xfId="0" applyFont="1" applyFill="1" applyAlignment="1">
      <alignment wrapText="1"/>
    </xf>
    <xf numFmtId="0" fontId="5" fillId="14" borderId="0" xfId="0" applyFont="1" applyFill="1" applyAlignment="1">
      <alignment horizontal="center" vertical="center" wrapText="1"/>
    </xf>
    <xf numFmtId="14" fontId="3" fillId="14" borderId="0" xfId="0" applyNumberFormat="1" applyFont="1" applyFill="1" applyAlignment="1">
      <alignment horizontal="center" vertical="center" wrapText="1"/>
    </xf>
    <xf numFmtId="198" fontId="5" fillId="2" borderId="0" xfId="0" applyNumberFormat="1" applyFont="1" applyFill="1" applyAlignment="1">
      <alignment horizontal="center" vertical="center" wrapText="1"/>
    </xf>
    <xf numFmtId="0" fontId="2" fillId="16" borderId="0" xfId="0" applyFont="1" applyFill="1" applyAlignment="1">
      <alignment vertical="center" wrapText="1"/>
    </xf>
    <xf numFmtId="0" fontId="3" fillId="16" borderId="0" xfId="0" applyFont="1" applyFill="1" applyAlignment="1">
      <alignment vertical="center" wrapText="1"/>
    </xf>
    <xf numFmtId="199" fontId="5" fillId="16" borderId="0" xfId="0" applyNumberFormat="1" applyFont="1" applyFill="1" applyAlignment="1">
      <alignment horizontal="center" vertical="center" wrapText="1"/>
    </xf>
    <xf numFmtId="198" fontId="5" fillId="16" borderId="0" xfId="0" applyNumberFormat="1" applyFont="1" applyFill="1" applyAlignment="1">
      <alignment horizontal="center" vertical="center" wrapText="1"/>
    </xf>
    <xf numFmtId="14" fontId="3" fillId="16" borderId="0" xfId="0" applyNumberFormat="1" applyFont="1" applyFill="1" applyAlignment="1">
      <alignment horizontal="center" vertical="center" wrapText="1"/>
    </xf>
    <xf numFmtId="0" fontId="2" fillId="17" borderId="0" xfId="0" applyFont="1" applyFill="1" applyAlignment="1">
      <alignment vertical="center" wrapText="1"/>
    </xf>
    <xf numFmtId="0" fontId="2" fillId="17" borderId="4" xfId="0" applyFont="1" applyFill="1" applyBorder="1" applyAlignment="1">
      <alignment horizontal="centerContinuous" vertical="center" wrapText="1"/>
    </xf>
    <xf numFmtId="0" fontId="4" fillId="17" borderId="0" xfId="0" applyFont="1" applyFill="1" applyAlignment="1">
      <alignment wrapText="1"/>
    </xf>
    <xf numFmtId="0" fontId="5" fillId="17" borderId="0" xfId="0" applyFont="1" applyFill="1" applyAlignment="1">
      <alignment horizontal="center" vertical="center" wrapText="1"/>
    </xf>
    <xf numFmtId="0" fontId="3" fillId="17" borderId="0" xfId="0" applyFont="1" applyFill="1" applyAlignment="1">
      <alignment vertical="center" wrapText="1"/>
    </xf>
    <xf numFmtId="0" fontId="5" fillId="17" borderId="0" xfId="0" applyFont="1" applyFill="1" applyAlignment="1">
      <alignment vertical="center" wrapText="1"/>
    </xf>
    <xf numFmtId="14" fontId="3" fillId="17" borderId="0" xfId="0" applyNumberFormat="1" applyFont="1" applyFill="1" applyAlignment="1">
      <alignment horizontal="center" vertical="center" wrapText="1"/>
    </xf>
    <xf numFmtId="14" fontId="3" fillId="17" borderId="0" xfId="0" applyNumberFormat="1" applyFont="1" applyFill="1" applyAlignment="1">
      <alignment vertical="center" wrapText="1"/>
    </xf>
    <xf numFmtId="0" fontId="2" fillId="18" borderId="0" xfId="0" applyFont="1" applyFill="1" applyAlignment="1">
      <alignment vertical="center" wrapText="1"/>
    </xf>
    <xf numFmtId="0" fontId="2" fillId="18" borderId="4" xfId="0" applyFont="1" applyFill="1" applyBorder="1" applyAlignment="1">
      <alignment horizontal="centerContinuous" vertical="center" wrapText="1"/>
    </xf>
    <xf numFmtId="0" fontId="3" fillId="18" borderId="0" xfId="0" applyFont="1" applyFill="1" applyAlignment="1">
      <alignment vertical="center" wrapText="1"/>
    </xf>
    <xf numFmtId="198" fontId="5" fillId="18" borderId="0" xfId="0" applyNumberFormat="1" applyFont="1" applyFill="1" applyAlignment="1">
      <alignment horizontal="center" vertical="center" wrapText="1"/>
    </xf>
    <xf numFmtId="14" fontId="3" fillId="18" borderId="0" xfId="0" applyNumberFormat="1" applyFont="1" applyFill="1" applyAlignment="1">
      <alignment horizontal="center" vertical="center" wrapText="1"/>
    </xf>
    <xf numFmtId="199" fontId="5" fillId="15" borderId="0" xfId="0" applyNumberFormat="1" applyFont="1" applyFill="1" applyAlignment="1">
      <alignment horizontal="center" vertical="center" wrapText="1"/>
    </xf>
    <xf numFmtId="198" fontId="5" fillId="15" borderId="0" xfId="0" applyNumberFormat="1" applyFont="1" applyFill="1" applyAlignment="1">
      <alignment horizontal="center" vertical="center" wrapText="1"/>
    </xf>
    <xf numFmtId="14" fontId="12" fillId="0" borderId="0" xfId="5" applyNumberFormat="1" applyFont="1" applyAlignment="1">
      <alignment horizontal="right"/>
    </xf>
    <xf numFmtId="14" fontId="31" fillId="0" borderId="0" xfId="5" applyNumberFormat="1" applyFont="1" applyAlignment="1">
      <alignment horizontal="right"/>
    </xf>
    <xf numFmtId="7" fontId="12" fillId="0" borderId="0" xfId="0" applyNumberFormat="1" applyFont="1"/>
    <xf numFmtId="0" fontId="43" fillId="0" borderId="0" xfId="0" applyFont="1" applyAlignment="1">
      <alignment horizontal="center"/>
    </xf>
    <xf numFmtId="177" fontId="31" fillId="0" borderId="20" xfId="0" applyNumberFormat="1" applyFont="1" applyBorder="1"/>
    <xf numFmtId="7" fontId="29" fillId="0" borderId="20" xfId="0" applyNumberFormat="1" applyFont="1" applyBorder="1" applyAlignment="1">
      <alignment horizontal="right"/>
    </xf>
    <xf numFmtId="0" fontId="42" fillId="0" borderId="23" xfId="6" applyFont="1" applyBorder="1"/>
    <xf numFmtId="0" fontId="4" fillId="0" borderId="25" xfId="0" applyFont="1" applyBorder="1"/>
    <xf numFmtId="14" fontId="12" fillId="0" borderId="26" xfId="5" applyNumberFormat="1" applyFont="1" applyBorder="1" applyAlignment="1">
      <alignment horizontal="right"/>
    </xf>
    <xf numFmtId="176" fontId="29" fillId="0" borderId="26" xfId="0" applyNumberFormat="1" applyFont="1" applyBorder="1"/>
    <xf numFmtId="0" fontId="6" fillId="0" borderId="0" xfId="0" applyFont="1" applyAlignment="1">
      <alignment vertical="center" wrapText="1"/>
    </xf>
    <xf numFmtId="0" fontId="16" fillId="0" borderId="22" xfId="0" applyFont="1" applyBorder="1" applyAlignment="1">
      <alignment horizontal="left" indent="2"/>
    </xf>
    <xf numFmtId="176" fontId="27" fillId="0" borderId="0" xfId="0" applyNumberFormat="1" applyFont="1"/>
    <xf numFmtId="0" fontId="24" fillId="0" borderId="0" xfId="0" applyFont="1" applyAlignment="1">
      <alignment horizontal="left" vertical="center" indent="1"/>
    </xf>
    <xf numFmtId="167" fontId="10" fillId="0" borderId="0" xfId="1" applyNumberFormat="1" applyFont="1" applyFill="1" applyAlignment="1">
      <alignment horizontal="right" vertical="center"/>
    </xf>
    <xf numFmtId="0" fontId="16" fillId="0" borderId="0" xfId="0" applyFont="1" applyAlignment="1">
      <alignment horizontal="left" vertical="center" indent="1"/>
    </xf>
    <xf numFmtId="0" fontId="2" fillId="2" borderId="0" xfId="0" applyFont="1" applyFill="1" applyAlignment="1">
      <alignment horizontal="centerContinuous" vertical="center"/>
    </xf>
    <xf numFmtId="0" fontId="34" fillId="0" borderId="22" xfId="0" applyFont="1" applyBorder="1" applyAlignment="1">
      <alignment horizontal="left" indent="1"/>
    </xf>
    <xf numFmtId="37" fontId="47" fillId="6" borderId="0" xfId="0" applyNumberFormat="1" applyFont="1" applyFill="1"/>
    <xf numFmtId="0" fontId="15" fillId="6" borderId="26" xfId="0" applyFont="1" applyFill="1" applyBorder="1"/>
    <xf numFmtId="7" fontId="33" fillId="6" borderId="26" xfId="0" applyNumberFormat="1" applyFont="1" applyFill="1" applyBorder="1"/>
    <xf numFmtId="173" fontId="29" fillId="0" borderId="0" xfId="0" applyNumberFormat="1" applyFont="1" applyAlignment="1">
      <alignment horizontal="right" vertical="center"/>
    </xf>
    <xf numFmtId="0" fontId="15" fillId="0" borderId="48" xfId="0" applyFont="1" applyBorder="1"/>
    <xf numFmtId="0" fontId="15" fillId="0" borderId="49" xfId="0" applyFont="1" applyBorder="1"/>
    <xf numFmtId="7" fontId="48" fillId="0" borderId="50" xfId="0" applyNumberFormat="1" applyFont="1" applyBorder="1"/>
    <xf numFmtId="0" fontId="2" fillId="2" borderId="0" xfId="0" applyFont="1" applyFill="1" applyAlignment="1">
      <alignment horizontal="centerContinuous"/>
    </xf>
    <xf numFmtId="0" fontId="2" fillId="2" borderId="0" xfId="0" applyFont="1" applyFill="1" applyAlignment="1">
      <alignment horizontal="left" vertical="center" wrapText="1"/>
    </xf>
    <xf numFmtId="0" fontId="3" fillId="2" borderId="4" xfId="0" applyFont="1" applyFill="1" applyBorder="1" applyAlignment="1">
      <alignment horizontal="left" vertical="center" wrapText="1"/>
    </xf>
    <xf numFmtId="0" fontId="2" fillId="0" borderId="0" xfId="0" applyFont="1" applyAlignment="1">
      <alignment horizontal="centerContinuous" vertical="center"/>
    </xf>
    <xf numFmtId="0" fontId="44" fillId="0" borderId="0" xfId="0" applyFont="1" applyAlignment="1">
      <alignment horizontal="center"/>
    </xf>
    <xf numFmtId="173" fontId="33" fillId="6" borderId="26" xfId="0" applyNumberFormat="1" applyFont="1" applyFill="1" applyBorder="1"/>
    <xf numFmtId="0" fontId="4" fillId="6" borderId="26" xfId="0" applyFont="1" applyFill="1" applyBorder="1"/>
    <xf numFmtId="173" fontId="11" fillId="0" borderId="0" xfId="0" applyNumberFormat="1" applyFont="1" applyAlignment="1">
      <alignment horizontal="right" vertical="center"/>
    </xf>
    <xf numFmtId="0" fontId="2" fillId="2" borderId="0" xfId="0" applyFont="1" applyFill="1" applyAlignment="1">
      <alignment horizontal="left" vertical="center"/>
    </xf>
    <xf numFmtId="0" fontId="15" fillId="7" borderId="26" xfId="0" applyFont="1" applyFill="1" applyBorder="1"/>
    <xf numFmtId="188" fontId="15" fillId="7" borderId="26" xfId="0" applyNumberFormat="1" applyFont="1" applyFill="1" applyBorder="1"/>
    <xf numFmtId="188" fontId="31" fillId="0" borderId="0" xfId="0" applyNumberFormat="1" applyFont="1" applyAlignment="1">
      <alignment vertical="center"/>
    </xf>
    <xf numFmtId="0" fontId="15" fillId="7" borderId="26" xfId="0" applyFont="1" applyFill="1" applyBorder="1" applyAlignment="1">
      <alignment vertical="center"/>
    </xf>
    <xf numFmtId="0" fontId="33" fillId="7" borderId="26" xfId="0" applyFont="1" applyFill="1" applyBorder="1" applyAlignment="1">
      <alignment vertical="center"/>
    </xf>
    <xf numFmtId="188" fontId="33" fillId="7" borderId="26" xfId="0" applyNumberFormat="1" applyFont="1" applyFill="1" applyBorder="1" applyAlignment="1">
      <alignment vertical="center"/>
    </xf>
    <xf numFmtId="0" fontId="2" fillId="0" borderId="0" xfId="0" applyFont="1" applyAlignment="1">
      <alignment horizontal="left" vertical="center" wrapText="1"/>
    </xf>
    <xf numFmtId="0" fontId="2" fillId="0" borderId="0" xfId="0" applyFont="1" applyAlignment="1">
      <alignment horizontal="centerContinuous" vertical="center" wrapText="1"/>
    </xf>
    <xf numFmtId="188" fontId="49" fillId="0" borderId="10" xfId="0" applyNumberFormat="1" applyFont="1" applyBorder="1" applyAlignment="1">
      <alignment horizontal="center"/>
    </xf>
    <xf numFmtId="188" fontId="49" fillId="0" borderId="0" xfId="0" applyNumberFormat="1" applyFont="1" applyAlignment="1">
      <alignment horizontal="center"/>
    </xf>
    <xf numFmtId="14" fontId="47" fillId="0" borderId="0" xfId="0" applyNumberFormat="1" applyFont="1" applyAlignment="1">
      <alignment horizontal="center"/>
    </xf>
    <xf numFmtId="0" fontId="2" fillId="0" borderId="0" xfId="0" applyFont="1" applyAlignment="1">
      <alignment horizontal="left" vertical="center"/>
    </xf>
    <xf numFmtId="37" fontId="15" fillId="7" borderId="26" xfId="0" applyNumberFormat="1" applyFont="1" applyFill="1" applyBorder="1"/>
    <xf numFmtId="193" fontId="15" fillId="6" borderId="26" xfId="0" applyNumberFormat="1" applyFont="1" applyFill="1" applyBorder="1" applyAlignment="1">
      <alignment horizontal="right"/>
    </xf>
    <xf numFmtId="188" fontId="29" fillId="0" borderId="37" xfId="0" applyNumberFormat="1" applyFont="1" applyBorder="1"/>
    <xf numFmtId="0" fontId="4" fillId="0" borderId="37" xfId="0" applyFont="1" applyBorder="1"/>
    <xf numFmtId="177" fontId="31" fillId="0" borderId="37" xfId="0" applyNumberFormat="1" applyFont="1" applyBorder="1"/>
    <xf numFmtId="188" fontId="31" fillId="0" borderId="37" xfId="0" applyNumberFormat="1" applyFont="1" applyBorder="1"/>
    <xf numFmtId="176" fontId="29" fillId="0" borderId="34" xfId="0" applyNumberFormat="1" applyFont="1" applyBorder="1" applyAlignment="1">
      <alignment vertical="center"/>
    </xf>
    <xf numFmtId="176" fontId="29" fillId="0" borderId="0" xfId="0" applyNumberFormat="1" applyFont="1" applyAlignment="1">
      <alignment vertical="center"/>
    </xf>
    <xf numFmtId="0" fontId="37" fillId="0" borderId="10" xfId="0" applyFont="1" applyBorder="1" applyAlignment="1">
      <alignment horizontal="centerContinuous"/>
    </xf>
    <xf numFmtId="188" fontId="33" fillId="6" borderId="26" xfId="0" applyNumberFormat="1" applyFont="1" applyFill="1" applyBorder="1"/>
    <xf numFmtId="188" fontId="33" fillId="7" borderId="51" xfId="0" applyNumberFormat="1" applyFont="1" applyFill="1" applyBorder="1"/>
    <xf numFmtId="188" fontId="33" fillId="7" borderId="26" xfId="0" applyNumberFormat="1" applyFont="1" applyFill="1" applyBorder="1"/>
    <xf numFmtId="167" fontId="10" fillId="20" borderId="0" xfId="1" applyNumberFormat="1" applyFont="1" applyFill="1" applyAlignment="1">
      <alignment horizontal="right" vertical="center"/>
    </xf>
    <xf numFmtId="177" fontId="50" fillId="19" borderId="46" xfId="0" applyNumberFormat="1" applyFont="1" applyFill="1" applyBorder="1" applyAlignment="1">
      <alignment horizontal="center" vertical="center"/>
    </xf>
    <xf numFmtId="41" fontId="22" fillId="0" borderId="0" xfId="0" applyNumberFormat="1" applyFont="1" applyAlignment="1">
      <alignment horizontal="right" vertical="center" wrapText="1"/>
    </xf>
    <xf numFmtId="0" fontId="46" fillId="0" borderId="0" xfId="0" applyFont="1" applyAlignment="1">
      <alignment horizontal="left" vertical="center" indent="1"/>
    </xf>
    <xf numFmtId="167" fontId="10" fillId="20" borderId="0" xfId="1" applyNumberFormat="1" applyFont="1" applyFill="1" applyBorder="1" applyAlignment="1">
      <alignment horizontal="right" vertical="center" wrapText="1"/>
    </xf>
    <xf numFmtId="0" fontId="22" fillId="0" borderId="1" xfId="0" applyFont="1" applyBorder="1" applyAlignment="1">
      <alignment vertical="top" wrapText="1"/>
    </xf>
    <xf numFmtId="43" fontId="22" fillId="0" borderId="1" xfId="0" applyNumberFormat="1" applyFont="1" applyBorder="1" applyAlignment="1">
      <alignment wrapText="1"/>
    </xf>
    <xf numFmtId="0" fontId="23" fillId="0" borderId="1" xfId="0" applyFont="1" applyBorder="1" applyAlignment="1">
      <alignment wrapText="1"/>
    </xf>
    <xf numFmtId="0" fontId="14" fillId="0" borderId="1" xfId="0" applyFont="1" applyBorder="1" applyAlignment="1">
      <alignment wrapText="1"/>
    </xf>
    <xf numFmtId="0" fontId="6" fillId="0" borderId="0" xfId="0" applyFont="1" applyAlignment="1">
      <alignment wrapText="1"/>
    </xf>
    <xf numFmtId="41" fontId="11" fillId="0" borderId="0" xfId="0" applyNumberFormat="1" applyFont="1" applyAlignment="1">
      <alignment horizontal="right" wrapText="1"/>
    </xf>
    <xf numFmtId="0" fontId="4" fillId="0" borderId="0" xfId="0" applyFont="1" applyAlignment="1">
      <alignment vertical="center" wrapText="1"/>
    </xf>
    <xf numFmtId="41" fontId="11" fillId="0" borderId="0" xfId="0" applyNumberFormat="1" applyFont="1" applyAlignment="1">
      <alignment horizontal="right" vertical="center" wrapText="1"/>
    </xf>
    <xf numFmtId="37" fontId="4" fillId="0" borderId="0" xfId="0" applyNumberFormat="1" applyFont="1" applyAlignment="1">
      <alignment vertical="center" wrapText="1"/>
    </xf>
    <xf numFmtId="41" fontId="6" fillId="0" borderId="0" xfId="0" applyNumberFormat="1" applyFont="1"/>
    <xf numFmtId="0" fontId="14" fillId="3" borderId="0" xfId="0" applyFont="1" applyFill="1"/>
    <xf numFmtId="167" fontId="10" fillId="3" borderId="0" xfId="1" applyNumberFormat="1" applyFont="1" applyFill="1" applyBorder="1" applyAlignment="1">
      <alignment horizontal="right" vertical="center" wrapText="1"/>
    </xf>
    <xf numFmtId="167" fontId="51" fillId="3" borderId="0" xfId="1" applyNumberFormat="1" applyFont="1" applyFill="1" applyBorder="1" applyAlignment="1">
      <alignment horizontal="right" vertical="center" wrapText="1"/>
    </xf>
    <xf numFmtId="168" fontId="51" fillId="3" borderId="0" xfId="1" applyNumberFormat="1" applyFont="1" applyFill="1" applyBorder="1" applyAlignment="1">
      <alignment horizontal="right" vertical="center" wrapText="1"/>
    </xf>
    <xf numFmtId="0" fontId="14" fillId="0" borderId="0" xfId="0" applyFont="1"/>
    <xf numFmtId="176" fontId="6" fillId="0" borderId="34" xfId="0" applyNumberFormat="1" applyFont="1" applyBorder="1" applyAlignment="1">
      <alignment vertical="center"/>
    </xf>
    <xf numFmtId="0" fontId="24" fillId="0" borderId="0" xfId="0" applyFont="1" applyAlignment="1">
      <alignment horizontal="left" wrapText="1"/>
    </xf>
    <xf numFmtId="41" fontId="11" fillId="0" borderId="26" xfId="0" applyNumberFormat="1" applyFont="1" applyBorder="1" applyAlignment="1">
      <alignment horizontal="right" vertical="top" wrapText="1"/>
    </xf>
    <xf numFmtId="41" fontId="7" fillId="0" borderId="22" xfId="0" applyNumberFormat="1" applyFont="1" applyBorder="1" applyAlignment="1">
      <alignment horizontal="right" vertical="top" wrapText="1"/>
    </xf>
    <xf numFmtId="176" fontId="30" fillId="0" borderId="0" xfId="0" applyNumberFormat="1" applyFont="1"/>
    <xf numFmtId="41" fontId="31" fillId="0" borderId="0" xfId="0" applyNumberFormat="1" applyFont="1"/>
    <xf numFmtId="176" fontId="6" fillId="0" borderId="0" xfId="0" applyNumberFormat="1" applyFont="1"/>
    <xf numFmtId="3" fontId="0" fillId="0" borderId="0" xfId="0" applyNumberFormat="1"/>
    <xf numFmtId="0" fontId="53" fillId="0" borderId="0" xfId="0" applyFont="1" applyAlignment="1">
      <alignment horizontal="right" vertical="center" wrapText="1"/>
    </xf>
    <xf numFmtId="0" fontId="8" fillId="0" borderId="1" xfId="0" applyFont="1" applyBorder="1" applyAlignment="1">
      <alignment horizontal="left" vertical="center" wrapText="1"/>
    </xf>
    <xf numFmtId="0" fontId="54" fillId="0" borderId="0" xfId="0" applyFont="1" applyAlignment="1">
      <alignment horizontal="left" vertical="top" wrapText="1"/>
    </xf>
    <xf numFmtId="0" fontId="6" fillId="0" borderId="0" xfId="0" applyFont="1" applyAlignment="1">
      <alignment horizontal="left" vertical="top" indent="1"/>
    </xf>
    <xf numFmtId="0" fontId="6" fillId="0" borderId="0" xfId="0" applyFont="1" applyAlignment="1">
      <alignment horizontal="left" vertical="top" wrapText="1" indent="1"/>
    </xf>
    <xf numFmtId="7" fontId="8" fillId="7" borderId="2" xfId="0" applyNumberFormat="1" applyFont="1" applyFill="1" applyBorder="1" applyAlignment="1">
      <alignment horizontal="right" vertical="top" wrapText="1"/>
    </xf>
    <xf numFmtId="0" fontId="8" fillId="7" borderId="0" xfId="0" applyFont="1" applyFill="1" applyAlignment="1">
      <alignment vertical="top" wrapText="1"/>
    </xf>
    <xf numFmtId="14" fontId="3" fillId="2" borderId="0" xfId="0" applyNumberFormat="1" applyFont="1" applyFill="1" applyAlignment="1">
      <alignment horizontal="left" vertical="center" wrapText="1"/>
    </xf>
    <xf numFmtId="7" fontId="8" fillId="6" borderId="2" xfId="0" applyNumberFormat="1" applyFont="1" applyFill="1" applyBorder="1" applyAlignment="1">
      <alignment horizontal="right" vertical="top" wrapText="1"/>
    </xf>
    <xf numFmtId="7" fontId="8" fillId="0" borderId="0" xfId="0" applyNumberFormat="1" applyFont="1" applyAlignment="1">
      <alignment horizontal="right" vertical="top" wrapText="1"/>
    </xf>
    <xf numFmtId="0" fontId="6" fillId="0" borderId="0" xfId="0" applyFont="1" applyAlignment="1">
      <alignment horizontal="left" vertical="top" indent="2"/>
    </xf>
    <xf numFmtId="0" fontId="6" fillId="0" borderId="0" xfId="0" applyFont="1" applyAlignment="1">
      <alignment horizontal="left" vertical="center" wrapText="1" indent="1"/>
    </xf>
    <xf numFmtId="0" fontId="8" fillId="6" borderId="0" xfId="0" applyFont="1" applyFill="1" applyAlignment="1">
      <alignment vertical="top" wrapText="1"/>
    </xf>
    <xf numFmtId="7" fontId="27" fillId="0" borderId="0" xfId="0" applyNumberFormat="1" applyFont="1" applyAlignment="1">
      <alignment horizontal="right"/>
    </xf>
    <xf numFmtId="14" fontId="3" fillId="0" borderId="0" xfId="0" applyNumberFormat="1" applyFont="1" applyAlignment="1">
      <alignment horizontal="left" vertical="center" wrapText="1"/>
    </xf>
    <xf numFmtId="14" fontId="3" fillId="0" borderId="0" xfId="0" quotePrefix="1" applyNumberFormat="1" applyFont="1" applyAlignment="1">
      <alignment horizontal="center" vertical="center" wrapText="1"/>
    </xf>
    <xf numFmtId="0" fontId="0" fillId="0" borderId="0" xfId="0" applyAlignment="1">
      <alignment vertical="center"/>
    </xf>
    <xf numFmtId="5" fontId="6" fillId="0" borderId="0" xfId="0" applyNumberFormat="1" applyFont="1" applyAlignment="1">
      <alignment horizontal="right" vertical="top" wrapText="1"/>
    </xf>
    <xf numFmtId="171" fontId="12" fillId="6" borderId="0" xfId="0" applyNumberFormat="1" applyFont="1" applyFill="1" applyAlignment="1">
      <alignment horizontal="right"/>
    </xf>
    <xf numFmtId="170" fontId="11" fillId="6" borderId="0" xfId="0" applyNumberFormat="1" applyFont="1" applyFill="1" applyAlignment="1">
      <alignment horizontal="center"/>
    </xf>
    <xf numFmtId="170" fontId="11" fillId="6" borderId="0" xfId="0" applyNumberFormat="1" applyFont="1" applyFill="1" applyAlignment="1">
      <alignment horizontal="right"/>
    </xf>
    <xf numFmtId="41" fontId="8" fillId="6" borderId="0" xfId="0" applyNumberFormat="1" applyFont="1" applyFill="1" applyAlignment="1">
      <alignment horizontal="right" vertical="top" wrapText="1"/>
    </xf>
    <xf numFmtId="41" fontId="6" fillId="6" borderId="0" xfId="0" applyNumberFormat="1" applyFont="1" applyFill="1" applyAlignment="1">
      <alignment horizontal="right" vertical="top" wrapText="1"/>
    </xf>
    <xf numFmtId="41" fontId="6" fillId="0" borderId="23" xfId="0" applyNumberFormat="1" applyFont="1" applyBorder="1" applyAlignment="1">
      <alignment horizontal="right" vertical="top" wrapText="1"/>
    </xf>
    <xf numFmtId="41" fontId="8" fillId="6" borderId="23" xfId="0" applyNumberFormat="1" applyFont="1" applyFill="1" applyBorder="1" applyAlignment="1">
      <alignment horizontal="right" vertical="top" wrapText="1"/>
    </xf>
    <xf numFmtId="41" fontId="8" fillId="0" borderId="23" xfId="0" applyNumberFormat="1" applyFont="1" applyBorder="1" applyAlignment="1">
      <alignment horizontal="right" vertical="top" wrapText="1"/>
    </xf>
    <xf numFmtId="41" fontId="6" fillId="6" borderId="23" xfId="0" applyNumberFormat="1" applyFont="1" applyFill="1" applyBorder="1" applyAlignment="1">
      <alignment horizontal="right" vertical="top" wrapText="1"/>
    </xf>
    <xf numFmtId="43" fontId="22" fillId="0" borderId="24" xfId="0" applyNumberFormat="1" applyFont="1" applyBorder="1" applyAlignment="1">
      <alignment wrapText="1"/>
    </xf>
    <xf numFmtId="0" fontId="8" fillId="0" borderId="22" xfId="0" applyFont="1" applyBorder="1" applyAlignment="1">
      <alignment horizontal="right" vertical="center" wrapText="1"/>
    </xf>
    <xf numFmtId="0" fontId="46" fillId="0" borderId="21" xfId="0" applyFont="1" applyBorder="1" applyAlignment="1">
      <alignment horizontal="right" vertical="top" wrapText="1"/>
    </xf>
    <xf numFmtId="0" fontId="46" fillId="0" borderId="0" xfId="0" applyFont="1" applyAlignment="1">
      <alignment vertical="top" wrapText="1"/>
    </xf>
    <xf numFmtId="41" fontId="6" fillId="0" borderId="27" xfId="0" applyNumberFormat="1" applyFont="1" applyBorder="1" applyAlignment="1">
      <alignment horizontal="right" vertical="top" wrapText="1"/>
    </xf>
    <xf numFmtId="41" fontId="27" fillId="0" borderId="0" xfId="0" applyNumberFormat="1" applyFont="1" applyAlignment="1">
      <alignment vertical="center"/>
    </xf>
    <xf numFmtId="41" fontId="4" fillId="0" borderId="0" xfId="0" applyNumberFormat="1" applyFont="1" applyAlignment="1">
      <alignment vertical="center"/>
    </xf>
    <xf numFmtId="0" fontId="2" fillId="2" borderId="4" xfId="0" applyFont="1" applyFill="1" applyBorder="1" applyAlignment="1">
      <alignment horizontal="centerContinuous" vertical="center"/>
    </xf>
    <xf numFmtId="199" fontId="5" fillId="2" borderId="0" xfId="0" applyNumberFormat="1" applyFont="1" applyFill="1" applyAlignment="1">
      <alignment horizontal="center" vertical="center"/>
    </xf>
    <xf numFmtId="198" fontId="5" fillId="2" borderId="0" xfId="0" applyNumberFormat="1" applyFont="1" applyFill="1" applyAlignment="1">
      <alignment horizontal="center" vertical="center"/>
    </xf>
    <xf numFmtId="14" fontId="3" fillId="2" borderId="0" xfId="0" applyNumberFormat="1" applyFont="1" applyFill="1" applyAlignment="1">
      <alignment horizontal="center" vertical="center"/>
    </xf>
    <xf numFmtId="167" fontId="4" fillId="0" borderId="0" xfId="1" applyNumberFormat="1" applyFont="1" applyAlignment="1">
      <alignment horizontal="center"/>
    </xf>
    <xf numFmtId="37" fontId="6" fillId="0" borderId="0" xfId="0" applyNumberFormat="1" applyFont="1"/>
    <xf numFmtId="37" fontId="15" fillId="0" borderId="2" xfId="0" applyNumberFormat="1" applyFont="1" applyBorder="1"/>
    <xf numFmtId="167" fontId="15" fillId="0" borderId="0" xfId="1" applyNumberFormat="1" applyFont="1" applyAlignment="1">
      <alignment horizontal="center"/>
    </xf>
    <xf numFmtId="166" fontId="15" fillId="0" borderId="0" xfId="1" applyNumberFormat="1" applyFont="1" applyAlignment="1">
      <alignment horizontal="center"/>
    </xf>
    <xf numFmtId="166" fontId="4" fillId="0" borderId="0" xfId="1" applyNumberFormat="1" applyFont="1" applyAlignment="1">
      <alignment horizontal="center"/>
    </xf>
    <xf numFmtId="0" fontId="2" fillId="2" borderId="0" xfId="0" applyFont="1" applyFill="1" applyAlignment="1">
      <alignment vertical="center"/>
    </xf>
    <xf numFmtId="0" fontId="3" fillId="2" borderId="0" xfId="0" applyFont="1" applyFill="1" applyAlignment="1">
      <alignment vertical="center"/>
    </xf>
    <xf numFmtId="0" fontId="15" fillId="0" borderId="20" xfId="0" applyFont="1" applyBorder="1"/>
    <xf numFmtId="0" fontId="16" fillId="0" borderId="0" xfId="0" applyFont="1" applyAlignment="1">
      <alignment horizontal="left" indent="1"/>
    </xf>
    <xf numFmtId="0" fontId="4" fillId="6" borderId="0" xfId="0" applyFont="1" applyFill="1"/>
    <xf numFmtId="0" fontId="16" fillId="6" borderId="0" xfId="0" applyFont="1" applyFill="1" applyAlignment="1">
      <alignment horizontal="left" indent="1"/>
    </xf>
    <xf numFmtId="166" fontId="4" fillId="6" borderId="0" xfId="1" applyNumberFormat="1" applyFont="1" applyFill="1"/>
    <xf numFmtId="3" fontId="11" fillId="0" borderId="0" xfId="0" applyNumberFormat="1" applyFont="1"/>
    <xf numFmtId="177" fontId="11" fillId="6" borderId="0" xfId="0" applyNumberFormat="1" applyFont="1" applyFill="1"/>
    <xf numFmtId="177" fontId="4" fillId="6" borderId="0" xfId="1" applyNumberFormat="1" applyFont="1" applyFill="1"/>
    <xf numFmtId="3" fontId="6" fillId="0" borderId="0" xfId="0" applyNumberFormat="1" applyFont="1"/>
    <xf numFmtId="9" fontId="11" fillId="0" borderId="0" xfId="1" applyFont="1"/>
    <xf numFmtId="166" fontId="11" fillId="0" borderId="0" xfId="1" applyNumberFormat="1" applyFont="1"/>
    <xf numFmtId="9" fontId="6" fillId="0" borderId="0" xfId="1" applyFont="1"/>
    <xf numFmtId="166" fontId="6" fillId="0" borderId="0" xfId="1" applyNumberFormat="1" applyFont="1"/>
    <xf numFmtId="0" fontId="4" fillId="7" borderId="21" xfId="0" applyFont="1" applyFill="1" applyBorder="1"/>
    <xf numFmtId="3" fontId="4" fillId="7" borderId="20" xfId="0" applyNumberFormat="1" applyFont="1" applyFill="1" applyBorder="1"/>
    <xf numFmtId="3" fontId="4" fillId="7" borderId="24" xfId="0" applyNumberFormat="1" applyFont="1" applyFill="1" applyBorder="1"/>
    <xf numFmtId="0" fontId="4" fillId="7" borderId="25" xfId="0" applyFont="1" applyFill="1" applyBorder="1"/>
    <xf numFmtId="3" fontId="4" fillId="7" borderId="26" xfId="0" applyNumberFormat="1" applyFont="1" applyFill="1" applyBorder="1"/>
    <xf numFmtId="3" fontId="4" fillId="7" borderId="27" xfId="0" applyNumberFormat="1" applyFont="1" applyFill="1" applyBorder="1"/>
    <xf numFmtId="0" fontId="2" fillId="2" borderId="0" xfId="0" applyFont="1" applyFill="1"/>
    <xf numFmtId="9" fontId="4" fillId="7" borderId="26" xfId="1" applyFont="1" applyFill="1" applyBorder="1"/>
    <xf numFmtId="9" fontId="4" fillId="7" borderId="27" xfId="1" applyFont="1" applyFill="1" applyBorder="1"/>
    <xf numFmtId="9" fontId="4" fillId="7" borderId="20" xfId="1" applyFont="1" applyFill="1" applyBorder="1"/>
    <xf numFmtId="9" fontId="4" fillId="7" borderId="24" xfId="1" applyFont="1" applyFill="1" applyBorder="1"/>
    <xf numFmtId="9" fontId="4" fillId="0" borderId="0" xfId="1" applyFont="1" applyFill="1" applyBorder="1"/>
    <xf numFmtId="0" fontId="16" fillId="0" borderId="21" xfId="0" applyFont="1" applyBorder="1" applyAlignment="1">
      <alignment horizontal="left" indent="2"/>
    </xf>
    <xf numFmtId="167" fontId="10" fillId="0" borderId="0" xfId="1" applyNumberFormat="1" applyFont="1" applyFill="1" applyBorder="1" applyAlignment="1">
      <alignment horizontal="right" vertical="center"/>
    </xf>
    <xf numFmtId="167" fontId="56" fillId="0" borderId="0" xfId="1" applyNumberFormat="1" applyFont="1" applyFill="1" applyBorder="1" applyAlignment="1">
      <alignment horizontal="right" vertical="center"/>
    </xf>
    <xf numFmtId="167" fontId="55" fillId="0" borderId="0" xfId="1" applyNumberFormat="1" applyFont="1" applyFill="1" applyBorder="1" applyAlignment="1">
      <alignment horizontal="right" vertical="center"/>
    </xf>
    <xf numFmtId="167" fontId="56" fillId="0" borderId="23" xfId="1" applyNumberFormat="1" applyFont="1" applyFill="1" applyBorder="1" applyAlignment="1">
      <alignment horizontal="right" vertical="center"/>
    </xf>
    <xf numFmtId="167" fontId="10" fillId="0" borderId="23" xfId="1" applyNumberFormat="1" applyFont="1" applyFill="1" applyBorder="1" applyAlignment="1">
      <alignment horizontal="right" vertical="center"/>
    </xf>
    <xf numFmtId="167" fontId="55" fillId="0" borderId="23" xfId="1" applyNumberFormat="1" applyFont="1" applyFill="1" applyBorder="1" applyAlignment="1">
      <alignment horizontal="right" vertical="center"/>
    </xf>
    <xf numFmtId="167" fontId="10" fillId="0" borderId="20" xfId="1" applyNumberFormat="1" applyFont="1" applyFill="1" applyBorder="1" applyAlignment="1">
      <alignment horizontal="right" vertical="center"/>
    </xf>
    <xf numFmtId="167" fontId="10" fillId="0" borderId="24" xfId="1" applyNumberFormat="1" applyFont="1" applyFill="1" applyBorder="1" applyAlignment="1">
      <alignment horizontal="right" vertical="center"/>
    </xf>
    <xf numFmtId="0" fontId="2" fillId="17" borderId="4" xfId="0" applyFont="1" applyFill="1" applyBorder="1" applyAlignment="1">
      <alignment horizontal="centerContinuous" vertical="center"/>
    </xf>
    <xf numFmtId="37" fontId="6" fillId="6" borderId="0" xfId="0" applyNumberFormat="1" applyFont="1" applyFill="1"/>
    <xf numFmtId="0" fontId="16" fillId="0" borderId="22" xfId="0" applyFont="1" applyBorder="1" applyAlignment="1">
      <alignment horizontal="left" indent="1"/>
    </xf>
    <xf numFmtId="164" fontId="4" fillId="0" borderId="0" xfId="0" applyNumberFormat="1" applyFont="1"/>
    <xf numFmtId="41" fontId="27" fillId="6" borderId="0" xfId="0" applyNumberFormat="1" applyFont="1" applyFill="1"/>
    <xf numFmtId="41" fontId="4" fillId="6" borderId="0" xfId="0" applyNumberFormat="1" applyFont="1" applyFill="1"/>
    <xf numFmtId="41" fontId="4" fillId="0" borderId="26" xfId="0" applyNumberFormat="1" applyFont="1" applyBorder="1"/>
    <xf numFmtId="41" fontId="15" fillId="0" borderId="26" xfId="0" applyNumberFormat="1" applyFont="1" applyBorder="1"/>
    <xf numFmtId="41" fontId="15" fillId="0" borderId="0" xfId="0" applyNumberFormat="1" applyFont="1"/>
    <xf numFmtId="0" fontId="4" fillId="0" borderId="6" xfId="0" applyFont="1" applyBorder="1"/>
    <xf numFmtId="0" fontId="15" fillId="0" borderId="2" xfId="0" applyFont="1" applyBorder="1"/>
    <xf numFmtId="0" fontId="4" fillId="0" borderId="2" xfId="0" applyFont="1" applyBorder="1"/>
    <xf numFmtId="0" fontId="15" fillId="0" borderId="6" xfId="0" applyFont="1" applyBorder="1" applyAlignment="1">
      <alignment horizontal="left"/>
    </xf>
    <xf numFmtId="41" fontId="15" fillId="0" borderId="2" xfId="0" applyNumberFormat="1" applyFont="1" applyBorder="1"/>
    <xf numFmtId="0" fontId="15" fillId="0" borderId="2" xfId="0" applyFont="1" applyBorder="1" applyAlignment="1">
      <alignment horizontal="left"/>
    </xf>
    <xf numFmtId="0" fontId="24" fillId="0" borderId="3" xfId="0" applyFont="1" applyBorder="1" applyAlignment="1">
      <alignment horizontal="left" wrapText="1"/>
    </xf>
    <xf numFmtId="0" fontId="2" fillId="2" borderId="0" xfId="0" applyFont="1" applyFill="1" applyAlignment="1">
      <alignment horizontal="center" vertical="center" wrapText="1"/>
    </xf>
    <xf numFmtId="0" fontId="5" fillId="17" borderId="0" xfId="0" applyFont="1" applyFill="1" applyAlignment="1">
      <alignment horizontal="center" vertical="center" wrapText="1"/>
    </xf>
    <xf numFmtId="0" fontId="5" fillId="14" borderId="0" xfId="0" applyFont="1" applyFill="1" applyAlignment="1">
      <alignment horizontal="center" vertical="center" wrapText="1"/>
    </xf>
    <xf numFmtId="0" fontId="52" fillId="2" borderId="0" xfId="0" applyFont="1" applyFill="1" applyAlignment="1">
      <alignment horizontal="center" vertical="center" wrapText="1"/>
    </xf>
    <xf numFmtId="176" fontId="16" fillId="0" borderId="0" xfId="0" applyNumberFormat="1" applyFont="1"/>
    <xf numFmtId="0" fontId="15" fillId="0" borderId="6" xfId="0" applyFont="1" applyBorder="1" applyAlignment="1">
      <alignment horizontal="center"/>
    </xf>
    <xf numFmtId="176" fontId="57" fillId="0" borderId="0" xfId="0" applyNumberFormat="1" applyFont="1"/>
    <xf numFmtId="201" fontId="4" fillId="0" borderId="0" xfId="0" applyNumberFormat="1" applyFont="1"/>
    <xf numFmtId="41" fontId="57" fillId="0" borderId="0" xfId="0" applyNumberFormat="1" applyFont="1" applyAlignment="1">
      <alignment horizontal="right" vertical="top" wrapText="1"/>
    </xf>
    <xf numFmtId="41" fontId="7" fillId="0" borderId="0" xfId="0" applyNumberFormat="1" applyFont="1" applyAlignment="1">
      <alignment horizontal="right" vertical="top" wrapText="1"/>
    </xf>
    <xf numFmtId="0" fontId="7" fillId="0" borderId="0" xfId="0" applyFont="1" applyBorder="1" applyAlignment="1">
      <alignment horizontal="left" vertical="top" wrapText="1" indent="1"/>
    </xf>
    <xf numFmtId="41" fontId="57" fillId="0" borderId="0" xfId="0" applyNumberFormat="1" applyFont="1" applyBorder="1" applyAlignment="1">
      <alignment horizontal="right" vertical="top" wrapText="1"/>
    </xf>
    <xf numFmtId="37" fontId="4" fillId="0" borderId="0" xfId="0" applyNumberFormat="1" applyFont="1" applyBorder="1" applyAlignment="1">
      <alignment wrapText="1"/>
    </xf>
    <xf numFmtId="41" fontId="6" fillId="0" borderId="0" xfId="0" applyNumberFormat="1" applyFont="1" applyAlignment="1">
      <alignment vertical="center"/>
    </xf>
  </cellXfs>
  <cellStyles count="7">
    <cellStyle name="%" xfId="3" xr:uid="{B2D0E839-0EB6-4A26-A036-4291FCE77A81}"/>
    <cellStyle name="******************************************" xfId="4" xr:uid="{7C8B12D3-B631-462E-992D-9CE2477EE747}"/>
    <cellStyle name="Comma" xfId="2" builtinId="3"/>
    <cellStyle name="Hyperlink" xfId="6" builtinId="8"/>
    <cellStyle name="Normal" xfId="0" builtinId="0"/>
    <cellStyle name="Normal_DCF_Model" xfId="5" xr:uid="{82C2EF57-1428-4F27-93CB-A7C5310C2F37}"/>
    <cellStyle name="Percent" xfId="1" builtinId="5"/>
  </cellStyles>
  <dxfs count="5">
    <dxf>
      <font>
        <b/>
        <i val="0"/>
      </font>
      <fill>
        <patternFill patternType="solid">
          <bgColor theme="2"/>
        </patternFill>
      </fill>
      <border>
        <left/>
        <right/>
        <top/>
        <bottom/>
      </border>
    </dxf>
    <dxf>
      <font>
        <color rgb="FF9C0006"/>
      </font>
      <fill>
        <patternFill>
          <bgColor rgb="FFFFC7CE"/>
        </patternFill>
      </fill>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CC"/>
      <color rgb="FF00B03C"/>
      <color rgb="FF487B79"/>
      <color rgb="FF0E567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DCF Equity Valuation Range </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Empty'!$C$128:$C$130</c:f>
              <c:numCache>
                <c:formatCode>General</c:formatCode>
                <c:ptCount val="3"/>
                <c:pt idx="0">
                  <c:v>20.680633001583054</c:v>
                </c:pt>
                <c:pt idx="1">
                  <c:v>20.680633001583054</c:v>
                </c:pt>
                <c:pt idx="2">
                  <c:v>169.5</c:v>
                </c:pt>
              </c:numCache>
            </c:numRef>
          </c:val>
          <c:extLst>
            <c:ext xmlns:c16="http://schemas.microsoft.com/office/drawing/2014/chart" uri="{C3380CC4-5D6E-409C-BE32-E72D297353CC}">
              <c16:uniqueId val="{00000000-798B-4D7B-A8BB-5FCC91725BB4}"/>
            </c:ext>
          </c:extLst>
        </c:ser>
        <c:ser>
          <c:idx val="1"/>
          <c:order val="1"/>
          <c:invertIfNegative val="0"/>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Empty'!$D$128:$D$130</c:f>
              <c:numCache>
                <c:formatCode>General</c:formatCode>
                <c:ptCount val="3"/>
                <c:pt idx="0">
                  <c:v>0</c:v>
                </c:pt>
                <c:pt idx="1">
                  <c:v>0</c:v>
                </c:pt>
                <c:pt idx="2">
                  <c:v>158.35000000000002</c:v>
                </c:pt>
              </c:numCache>
            </c:numRef>
          </c:val>
          <c:extLst>
            <c:ext xmlns:c16="http://schemas.microsoft.com/office/drawing/2014/chart" uri="{C3380CC4-5D6E-409C-BE32-E72D297353CC}">
              <c16:uniqueId val="{00000001-798B-4D7B-A8BB-5FCC91725BB4}"/>
            </c:ext>
          </c:extLst>
        </c:ser>
        <c:ser>
          <c:idx val="2"/>
          <c:order val="2"/>
          <c:spPr>
            <a:noFill/>
          </c:spPr>
          <c:invertIfNegative val="0"/>
          <c:dLbls>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Empty'!$B$128:$B$130</c:f>
              <c:strCache>
                <c:ptCount val="3"/>
                <c:pt idx="0">
                  <c:v>DCF Value at 11.0x-15.0x Exit EBITDA Range at 9.0% WACC</c:v>
                </c:pt>
                <c:pt idx="1">
                  <c:v>DCF Value at 2.0%-4.0% Perpetuity Range at 9.0% WACC</c:v>
                </c:pt>
                <c:pt idx="2">
                  <c:v>52 Week Market High/Low</c:v>
                </c:pt>
              </c:strCache>
            </c:strRef>
          </c:cat>
          <c:val>
            <c:numRef>
              <c:f>'[1]Integrated DCF Empty'!$E$128:$E$130</c:f>
              <c:numCache>
                <c:formatCode>General</c:formatCode>
                <c:ptCount val="3"/>
                <c:pt idx="0">
                  <c:v>20.680633001583054</c:v>
                </c:pt>
                <c:pt idx="1">
                  <c:v>20.680633001583054</c:v>
                </c:pt>
                <c:pt idx="2">
                  <c:v>327.85</c:v>
                </c:pt>
              </c:numCache>
            </c:numRef>
          </c:val>
          <c:extLst>
            <c:ext xmlns:c16="http://schemas.microsoft.com/office/drawing/2014/chart" uri="{C3380CC4-5D6E-409C-BE32-E72D297353CC}">
              <c16:uniqueId val="{00000002-798B-4D7B-A8BB-5FCC91725BB4}"/>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400"/>
          <c:min val="100"/>
        </c:scaling>
        <c:delete val="0"/>
        <c:axPos val="l"/>
        <c:numFmt formatCode="General" sourceLinked="1"/>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a:pPr>
            <a:r>
              <a:rPr lang="en-US" sz="900"/>
              <a:t>LTM EBITDA Multiple Range</a:t>
            </a:r>
          </a:p>
        </c:rich>
      </c:tx>
      <c:layout>
        <c:manualLayout>
          <c:xMode val="edge"/>
          <c:yMode val="edge"/>
          <c:x val="0.31291626892699836"/>
          <c:y val="0"/>
        </c:manualLayout>
      </c:layout>
      <c:overlay val="0"/>
    </c:title>
    <c:autoTitleDeleted val="0"/>
    <c:plotArea>
      <c:layout/>
      <c:barChart>
        <c:barDir val="col"/>
        <c:grouping val="stacked"/>
        <c:varyColors val="0"/>
        <c:ser>
          <c:idx val="0"/>
          <c:order val="0"/>
          <c:spPr>
            <a:noFill/>
          </c:spPr>
          <c:invertIfNegative val="0"/>
          <c:dLbls>
            <c:numFmt formatCode="#,##0.0\x;\-#,##0.0\x"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Empty'!$O$128:$O$130</c:f>
              <c:numCache>
                <c:formatCode>General</c:formatCode>
                <c:ptCount val="3"/>
                <c:pt idx="0">
                  <c:v>0</c:v>
                </c:pt>
                <c:pt idx="1">
                  <c:v>0</c:v>
                </c:pt>
                <c:pt idx="2">
                  <c:v>0</c:v>
                </c:pt>
              </c:numCache>
            </c:numRef>
          </c:val>
          <c:extLst>
            <c:ext xmlns:c16="http://schemas.microsoft.com/office/drawing/2014/chart" uri="{C3380CC4-5D6E-409C-BE32-E72D297353CC}">
              <c16:uniqueId val="{00000000-54D9-436E-9E1B-1B378FFDFC98}"/>
            </c:ext>
          </c:extLst>
        </c:ser>
        <c:ser>
          <c:idx val="1"/>
          <c:order val="1"/>
          <c:spPr>
            <a:solidFill>
              <a:schemeClr val="tx2"/>
            </a:solidFill>
          </c:spPr>
          <c:invertIfNegative val="0"/>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Empty'!$P$128:$P$130</c:f>
              <c:numCache>
                <c:formatCode>General</c:formatCode>
                <c:ptCount val="3"/>
                <c:pt idx="0">
                  <c:v>0</c:v>
                </c:pt>
                <c:pt idx="1">
                  <c:v>0</c:v>
                </c:pt>
                <c:pt idx="2">
                  <c:v>0</c:v>
                </c:pt>
              </c:numCache>
            </c:numRef>
          </c:val>
          <c:extLst>
            <c:ext xmlns:c16="http://schemas.microsoft.com/office/drawing/2014/chart" uri="{C3380CC4-5D6E-409C-BE32-E72D297353CC}">
              <c16:uniqueId val="{00000001-54D9-436E-9E1B-1B378FFDFC98}"/>
            </c:ext>
          </c:extLst>
        </c:ser>
        <c:ser>
          <c:idx val="2"/>
          <c:order val="2"/>
          <c:spPr>
            <a:noFill/>
          </c:spPr>
          <c:invertIfNegative val="0"/>
          <c:dLbls>
            <c:numFmt formatCode="#,##0.0\x;\-#,##0.0\x" sourceLinked="0"/>
            <c:spPr>
              <a:noFill/>
              <a:ln>
                <a:noFill/>
              </a:ln>
              <a:effectLst/>
            </c:sp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'[1]Integrated DCF Empty'!$G$128:$G$130</c:f>
              <c:strCache>
                <c:ptCount val="3"/>
                <c:pt idx="0">
                  <c:v>LTM EBITDA Purchase Multiple at 2.0%-4.0% Perpetuity Growth at 9.0% WACC</c:v>
                </c:pt>
                <c:pt idx="1">
                  <c:v>#DIV/0!</c:v>
                </c:pt>
                <c:pt idx="2">
                  <c:v>LTM EBITDA Purchase Multiple at 7.0%-11.0% WACC at 13.0x Exit EBITDA</c:v>
                </c:pt>
              </c:strCache>
            </c:strRef>
          </c:cat>
          <c:val>
            <c:numRef>
              <c:f>'[1]Integrated DCF Empty'!$Q$128:$Q$130</c:f>
              <c:numCache>
                <c:formatCode>General</c:formatCode>
                <c:ptCount val="3"/>
                <c:pt idx="0">
                  <c:v>0</c:v>
                </c:pt>
                <c:pt idx="1">
                  <c:v>0</c:v>
                </c:pt>
                <c:pt idx="2">
                  <c:v>0</c:v>
                </c:pt>
              </c:numCache>
            </c:numRef>
          </c:val>
          <c:extLst>
            <c:ext xmlns:c16="http://schemas.microsoft.com/office/drawing/2014/chart" uri="{C3380CC4-5D6E-409C-BE32-E72D297353CC}">
              <c16:uniqueId val="{00000002-54D9-436E-9E1B-1B378FFDFC98}"/>
            </c:ext>
          </c:extLst>
        </c:ser>
        <c:dLbls>
          <c:showLegendKey val="0"/>
          <c:showVal val="0"/>
          <c:showCatName val="0"/>
          <c:showSerName val="0"/>
          <c:showPercent val="0"/>
          <c:showBubbleSize val="0"/>
        </c:dLbls>
        <c:gapWidth val="150"/>
        <c:overlap val="100"/>
        <c:axId val="99639680"/>
        <c:axId val="99641216"/>
      </c:barChart>
      <c:catAx>
        <c:axId val="99639680"/>
        <c:scaling>
          <c:orientation val="minMax"/>
        </c:scaling>
        <c:delete val="0"/>
        <c:axPos val="b"/>
        <c:numFmt formatCode="General" sourceLinked="0"/>
        <c:majorTickMark val="out"/>
        <c:minorTickMark val="none"/>
        <c:tickLblPos val="nextTo"/>
        <c:crossAx val="99641216"/>
        <c:crosses val="autoZero"/>
        <c:auto val="1"/>
        <c:lblAlgn val="ctr"/>
        <c:lblOffset val="100"/>
        <c:noMultiLvlLbl val="0"/>
      </c:catAx>
      <c:valAx>
        <c:axId val="99641216"/>
        <c:scaling>
          <c:orientation val="minMax"/>
          <c:max val="20"/>
          <c:min val="10"/>
        </c:scaling>
        <c:delete val="0"/>
        <c:axPos val="l"/>
        <c:numFmt formatCode="#,##0.0\x;\-#,##0.0\x" sourceLinked="0"/>
        <c:majorTickMark val="out"/>
        <c:minorTickMark val="none"/>
        <c:tickLblPos val="nextTo"/>
        <c:crossAx val="99639680"/>
        <c:crosses val="autoZero"/>
        <c:crossBetween val="between"/>
      </c:valAx>
    </c:plotArea>
    <c:plotVisOnly val="1"/>
    <c:dispBlanksAs val="gap"/>
    <c:showDLblsOverMax val="0"/>
  </c:chart>
  <c:spPr>
    <a:ln>
      <a:noFill/>
    </a:ln>
  </c:spPr>
  <c:txPr>
    <a:bodyPr/>
    <a:lstStyle/>
    <a:p>
      <a:pPr>
        <a:defRPr sz="900">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53578</xdr:colOff>
      <xdr:row>110</xdr:row>
      <xdr:rowOff>149424</xdr:rowOff>
    </xdr:from>
    <xdr:to>
      <xdr:col>4</xdr:col>
      <xdr:colOff>654844</xdr:colOff>
      <xdr:row>129</xdr:row>
      <xdr:rowOff>53578</xdr:rowOff>
    </xdr:to>
    <xdr:graphicFrame macro="">
      <xdr:nvGraphicFramePr>
        <xdr:cNvPr id="2" name="Chart 1">
          <a:extLst>
            <a:ext uri="{FF2B5EF4-FFF2-40B4-BE49-F238E27FC236}">
              <a16:creationId xmlns:a16="http://schemas.microsoft.com/office/drawing/2014/main" id="{5AB26EB3-2259-42F5-8869-FD56CD6E6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47228</xdr:colOff>
      <xdr:row>110</xdr:row>
      <xdr:rowOff>149424</xdr:rowOff>
    </xdr:from>
    <xdr:to>
      <xdr:col>15</xdr:col>
      <xdr:colOff>657225</xdr:colOff>
      <xdr:row>129</xdr:row>
      <xdr:rowOff>47228</xdr:rowOff>
    </xdr:to>
    <xdr:graphicFrame macro="">
      <xdr:nvGraphicFramePr>
        <xdr:cNvPr id="3" name="Chart 2">
          <a:extLst>
            <a:ext uri="{FF2B5EF4-FFF2-40B4-BE49-F238E27FC236}">
              <a16:creationId xmlns:a16="http://schemas.microsoft.com/office/drawing/2014/main" id="{5E518025-7C3E-418F-9001-E2CCB020E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Felix\AppData\Local\Temp\4819e2e9-aa78-4b81-b055-71c9923ae613_DCF-Modeling-Course-DL-Kit%20(7).zip.613\DCF%20Model.xlsx" TargetMode="External"/><Relationship Id="rId1" Type="http://schemas.openxmlformats.org/officeDocument/2006/relationships/externalLinkPath" Target="file:///C:\Users\Felix\AppData\Local\Temp\4819e2e9-aa78-4b81-b055-71c9923ae613_DCF-Modeling-Course-DL-Kit%20(7).zip.613\DCF%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als "/>
      <sheetName val="Simple DCF Empty"/>
      <sheetName val="Simple DCF Done"/>
      <sheetName val="WACC Empty"/>
      <sheetName val="WACC Done"/>
      <sheetName val="Shares Empty"/>
      <sheetName val="Shares"/>
      <sheetName val="DCF 1-Pager"/>
      <sheetName val="2019 FSM Update Complete"/>
      <sheetName val="Integrated DCF Empty"/>
      <sheetName val="Integrated DCF"/>
    </sheetNames>
    <sheetDataSet>
      <sheetData sheetId="0"/>
      <sheetData sheetId="1" refreshError="1"/>
      <sheetData sheetId="2">
        <row r="5">
          <cell r="H5">
            <v>273.52</v>
          </cell>
        </row>
      </sheetData>
      <sheetData sheetId="3" refreshError="1"/>
      <sheetData sheetId="4"/>
      <sheetData sheetId="5" refreshError="1"/>
      <sheetData sheetId="6">
        <row r="25">
          <cell r="E25">
            <v>14543</v>
          </cell>
        </row>
      </sheetData>
      <sheetData sheetId="7" refreshError="1"/>
      <sheetData sheetId="8"/>
      <sheetData sheetId="9">
        <row r="128">
          <cell r="B128" t="str">
            <v>DCF Value at 11.0x-15.0x Exit EBITDA Range at 9.0% WACC</v>
          </cell>
          <cell r="C128">
            <v>20.680633001583054</v>
          </cell>
          <cell r="D128">
            <v>0</v>
          </cell>
          <cell r="E128">
            <v>20.680633001583054</v>
          </cell>
          <cell r="G128" t="str">
            <v>LTM EBITDA Purchase Multiple at 2.0%-4.0% Perpetuity Growth at 9.0% WACC</v>
          </cell>
          <cell r="O128" t="e">
            <v>#DIV/0!</v>
          </cell>
          <cell r="P128" t="e">
            <v>#DIV/0!</v>
          </cell>
          <cell r="Q128" t="e">
            <v>#DIV/0!</v>
          </cell>
        </row>
        <row r="129">
          <cell r="B129" t="str">
            <v>DCF Value at 2.0%-4.0% Perpetuity Range at 9.0% WACC</v>
          </cell>
          <cell r="C129">
            <v>20.680633001583054</v>
          </cell>
          <cell r="D129">
            <v>0</v>
          </cell>
          <cell r="E129">
            <v>20.680633001583054</v>
          </cell>
          <cell r="G129" t="e">
            <v>#DIV/0!</v>
          </cell>
          <cell r="O129" t="e">
            <v>#DIV/0!</v>
          </cell>
          <cell r="P129" t="e">
            <v>#DIV/0!</v>
          </cell>
          <cell r="Q129" t="e">
            <v>#DIV/0!</v>
          </cell>
        </row>
        <row r="130">
          <cell r="B130" t="str">
            <v>52 Week Market High/Low</v>
          </cell>
          <cell r="C130">
            <v>169.5</v>
          </cell>
          <cell r="D130">
            <v>158.35000000000002</v>
          </cell>
          <cell r="E130">
            <v>327.85</v>
          </cell>
          <cell r="G130" t="str">
            <v>LTM EBITDA Purchase Multiple at 7.0%-11.0% WACC at 13.0x Exit EBITDA</v>
          </cell>
          <cell r="O130" t="e">
            <v>#DIV/0!</v>
          </cell>
          <cell r="P130" t="e">
            <v>#DIV/0!</v>
          </cell>
          <cell r="Q130" t="e">
            <v>#DIV/0!</v>
          </cell>
        </row>
      </sheetData>
      <sheetData sheetId="10" refreshError="1"/>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AW149"/>
  <sheetViews>
    <sheetView showGridLines="0" topLeftCell="A15" zoomScaleNormal="100" workbookViewId="0">
      <selection activeCell="B58" sqref="B58"/>
    </sheetView>
  </sheetViews>
  <sheetFormatPr defaultRowHeight="12" outlineLevelRow="1" outlineLevelCol="4"/>
  <cols>
    <col min="1" max="1" width="1.625" style="5" bestFit="1" customWidth="1"/>
    <col min="2" max="2" width="36.25" style="5" customWidth="1"/>
    <col min="3" max="4" width="9" style="5" hidden="1" customWidth="1" outlineLevel="2"/>
    <col min="5" max="5" width="9" style="5" bestFit="1" customWidth="1" outlineLevel="1" collapsed="1"/>
    <col min="6" max="6" width="9" style="5" bestFit="1" customWidth="1" outlineLevel="1"/>
    <col min="7" max="9" width="9" style="5" bestFit="1" customWidth="1"/>
    <col min="10" max="10" width="1.5" style="5" customWidth="1"/>
    <col min="11" max="14" width="8.875" style="5" hidden="1" customWidth="1" outlineLevel="4"/>
    <col min="15" max="15" width="8.875" style="5" bestFit="1" customWidth="1" outlineLevel="3" collapsed="1"/>
    <col min="16" max="18" width="8.875" style="5" bestFit="1" customWidth="1" outlineLevel="3"/>
    <col min="19" max="22" width="8.875" style="5" bestFit="1" customWidth="1" outlineLevel="2"/>
    <col min="23" max="24" width="8.875" style="5" bestFit="1" customWidth="1" outlineLevel="1"/>
    <col min="25" max="29" width="8.875" style="5" bestFit="1" customWidth="1"/>
    <col min="30" max="30" width="1.5" style="5" customWidth="1"/>
    <col min="31" max="40" width="8.75" style="5" bestFit="1" customWidth="1" outlineLevel="1"/>
    <col min="41" max="41" width="9" style="5" bestFit="1" customWidth="1"/>
    <col min="42" max="44" width="9" style="5" bestFit="1" customWidth="1" outlineLevel="1"/>
    <col min="45" max="45" width="9" style="5" bestFit="1" customWidth="1"/>
    <col min="46" max="46" width="1.25" style="5" customWidth="1"/>
    <col min="47" max="47" width="8" style="5" bestFit="1" customWidth="1"/>
    <col min="48" max="48" width="1.375" style="5" customWidth="1"/>
    <col min="49" max="16384" width="9" style="5"/>
  </cols>
  <sheetData>
    <row r="2" spans="1:47" ht="12.75" customHeight="1">
      <c r="B2" s="1" t="s">
        <v>603</v>
      </c>
      <c r="C2" s="371"/>
      <c r="D2" s="371"/>
      <c r="E2" s="371"/>
      <c r="F2" s="371"/>
      <c r="G2" s="371"/>
      <c r="H2" s="371"/>
      <c r="I2" s="371"/>
      <c r="J2" s="3"/>
      <c r="K2" s="371"/>
      <c r="L2" s="371"/>
      <c r="M2" s="371"/>
      <c r="N2" s="371"/>
      <c r="O2" s="371"/>
      <c r="P2" s="371"/>
      <c r="Q2" s="371"/>
      <c r="R2" s="371"/>
      <c r="S2" s="371"/>
      <c r="T2" s="371"/>
      <c r="U2" s="371"/>
      <c r="V2" s="371"/>
      <c r="W2" s="371"/>
      <c r="X2" s="371"/>
      <c r="Y2" s="371"/>
      <c r="Z2" s="371"/>
      <c r="AA2" s="371"/>
      <c r="AB2" s="371"/>
      <c r="AC2" s="371"/>
      <c r="AD2" s="3"/>
      <c r="AE2" s="371"/>
      <c r="AF2" s="371"/>
      <c r="AG2" s="371"/>
      <c r="AH2" s="371"/>
      <c r="AI2" s="371"/>
      <c r="AJ2" s="371"/>
      <c r="AK2" s="371"/>
      <c r="AL2" s="371"/>
      <c r="AM2" s="371"/>
      <c r="AN2" s="371"/>
      <c r="AO2" s="371"/>
      <c r="AP2" s="371"/>
      <c r="AQ2" s="371"/>
      <c r="AR2" s="371"/>
      <c r="AS2" s="371"/>
      <c r="AT2" s="3"/>
      <c r="AU2" s="1"/>
    </row>
    <row r="3" spans="1:47" ht="12.75" customHeight="1">
      <c r="B3" s="6" t="s">
        <v>412</v>
      </c>
      <c r="C3" s="7"/>
      <c r="D3" s="7"/>
      <c r="E3" s="7"/>
      <c r="F3" s="7"/>
      <c r="G3" s="7"/>
      <c r="H3" s="7"/>
      <c r="I3" s="7"/>
      <c r="J3" s="3"/>
      <c r="K3" s="4"/>
      <c r="L3" s="4"/>
      <c r="M3" s="4"/>
      <c r="N3" s="4"/>
      <c r="O3" s="4"/>
      <c r="P3" s="4"/>
      <c r="Q3" s="4"/>
      <c r="R3" s="4"/>
      <c r="S3" s="4"/>
      <c r="T3" s="4"/>
      <c r="U3" s="4"/>
      <c r="V3" s="4"/>
      <c r="W3" s="4"/>
      <c r="X3" s="4"/>
      <c r="Y3" s="4"/>
      <c r="Z3" s="4"/>
      <c r="AA3" s="4"/>
      <c r="AB3" s="4"/>
      <c r="AC3" s="4"/>
      <c r="AD3" s="3"/>
      <c r="AE3" s="4"/>
      <c r="AF3" s="4"/>
      <c r="AG3" s="4"/>
      <c r="AH3" s="4"/>
      <c r="AI3" s="4"/>
      <c r="AJ3" s="4"/>
      <c r="AK3" s="4"/>
      <c r="AL3" s="4"/>
      <c r="AM3" s="4"/>
      <c r="AN3" s="4"/>
      <c r="AO3" s="4"/>
      <c r="AP3" s="4"/>
      <c r="AQ3" s="4"/>
      <c r="AR3" s="4"/>
      <c r="AS3" s="4"/>
      <c r="AT3" s="3"/>
      <c r="AU3" s="1"/>
    </row>
    <row r="4" spans="1:47" ht="12.75" customHeight="1">
      <c r="B4" s="6" t="s">
        <v>647</v>
      </c>
      <c r="C4" s="3"/>
      <c r="D4" s="3"/>
      <c r="E4" s="3"/>
      <c r="F4" s="3"/>
      <c r="G4" s="3"/>
      <c r="H4" s="166"/>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1"/>
    </row>
    <row r="6" spans="1:47" ht="12.75" customHeight="1">
      <c r="A6" s="5" t="s">
        <v>24</v>
      </c>
      <c r="B6" s="1" t="s">
        <v>405</v>
      </c>
      <c r="C6" s="2"/>
      <c r="D6" s="2"/>
      <c r="E6" s="2"/>
      <c r="F6" s="2"/>
      <c r="G6" s="2" t="s">
        <v>0</v>
      </c>
      <c r="H6" s="2"/>
      <c r="I6" s="2"/>
      <c r="J6" s="3"/>
      <c r="K6" s="2"/>
      <c r="L6" s="2"/>
      <c r="M6" s="2"/>
      <c r="N6" s="2"/>
      <c r="O6" s="2" t="s">
        <v>1</v>
      </c>
      <c r="P6" s="2"/>
      <c r="Q6" s="2"/>
      <c r="R6" s="2"/>
      <c r="S6" s="2"/>
      <c r="T6" s="2"/>
      <c r="U6" s="2"/>
      <c r="V6" s="2"/>
      <c r="W6" s="2"/>
      <c r="X6" s="2"/>
      <c r="Y6" s="2" t="s">
        <v>1</v>
      </c>
      <c r="Z6" s="2"/>
      <c r="AA6" s="2"/>
      <c r="AB6" s="2"/>
      <c r="AC6" s="2"/>
      <c r="AD6" s="3"/>
      <c r="AE6" s="2"/>
      <c r="AF6" s="2"/>
      <c r="AG6" s="2"/>
      <c r="AH6" s="2"/>
      <c r="AI6" s="2"/>
      <c r="AJ6" s="2"/>
      <c r="AK6" s="2"/>
      <c r="AL6" s="2"/>
      <c r="AM6" s="2"/>
      <c r="AN6" s="2" t="s">
        <v>10</v>
      </c>
      <c r="AO6" s="2" t="s">
        <v>10</v>
      </c>
      <c r="AP6" s="2"/>
      <c r="AQ6" s="2"/>
      <c r="AR6" s="2"/>
      <c r="AS6" s="2"/>
      <c r="AT6" s="41"/>
      <c r="AU6" s="579" t="s">
        <v>37</v>
      </c>
    </row>
    <row r="7" spans="1:47" ht="12.75" customHeight="1">
      <c r="B7" s="6" t="s">
        <v>413</v>
      </c>
      <c r="C7" s="7">
        <v>2018</v>
      </c>
      <c r="D7" s="7">
        <v>2019</v>
      </c>
      <c r="E7" s="7">
        <v>2020</v>
      </c>
      <c r="F7" s="7">
        <v>2021</v>
      </c>
      <c r="G7" s="7">
        <v>2022</v>
      </c>
      <c r="H7" s="7">
        <v>2023</v>
      </c>
      <c r="I7" s="7">
        <v>2024</v>
      </c>
      <c r="J7" s="3"/>
      <c r="K7" s="4" t="s">
        <v>433</v>
      </c>
      <c r="L7" s="4" t="s">
        <v>434</v>
      </c>
      <c r="M7" s="4" t="s">
        <v>435</v>
      </c>
      <c r="N7" s="4" t="s">
        <v>436</v>
      </c>
      <c r="O7" s="4" t="s">
        <v>39</v>
      </c>
      <c r="P7" s="4" t="s">
        <v>40</v>
      </c>
      <c r="Q7" s="4" t="s">
        <v>41</v>
      </c>
      <c r="R7" s="4" t="s">
        <v>42</v>
      </c>
      <c r="S7" s="4" t="s">
        <v>6</v>
      </c>
      <c r="T7" s="4" t="s">
        <v>7</v>
      </c>
      <c r="U7" s="4" t="s">
        <v>8</v>
      </c>
      <c r="V7" s="4" t="s">
        <v>9</v>
      </c>
      <c r="W7" s="4" t="s">
        <v>2</v>
      </c>
      <c r="X7" s="4" t="s">
        <v>3</v>
      </c>
      <c r="Y7" s="4" t="s">
        <v>4</v>
      </c>
      <c r="Z7" s="4" t="s">
        <v>5</v>
      </c>
      <c r="AA7" s="4" t="s">
        <v>43</v>
      </c>
      <c r="AB7" s="4" t="s">
        <v>44</v>
      </c>
      <c r="AC7" s="4" t="s">
        <v>85</v>
      </c>
      <c r="AD7" s="3"/>
      <c r="AE7" s="4" t="str">
        <f>O7</f>
        <v>1Q22</v>
      </c>
      <c r="AF7" s="4" t="str">
        <f>P7</f>
        <v>2Q22</v>
      </c>
      <c r="AG7" s="4" t="str">
        <f>Q7</f>
        <v>3Q22</v>
      </c>
      <c r="AH7" s="4" t="str">
        <f>R7</f>
        <v>4Q22</v>
      </c>
      <c r="AI7" s="4" t="str">
        <f>S7</f>
        <v>1Q23</v>
      </c>
      <c r="AJ7" s="4" t="str">
        <f>T7</f>
        <v>2Q23</v>
      </c>
      <c r="AK7" s="4" t="str">
        <f>U7</f>
        <v>3Q23</v>
      </c>
      <c r="AL7" s="4" t="str">
        <f>V7</f>
        <v>4Q23</v>
      </c>
      <c r="AM7" s="4" t="str">
        <f>W7</f>
        <v>1Q24</v>
      </c>
      <c r="AN7" s="4" t="str">
        <f>X7</f>
        <v>2Q24</v>
      </c>
      <c r="AO7" s="4" t="str">
        <f>Y7</f>
        <v>3Q24</v>
      </c>
      <c r="AP7" s="4" t="str">
        <f>Z7</f>
        <v>4Q24</v>
      </c>
      <c r="AQ7" s="4" t="str">
        <f>AA7</f>
        <v>1Q25</v>
      </c>
      <c r="AR7" s="4" t="str">
        <f>AB7</f>
        <v>2Q25</v>
      </c>
      <c r="AS7" s="4" t="str">
        <f>AC7</f>
        <v>3Q25</v>
      </c>
      <c r="AT7" s="41"/>
      <c r="AU7" s="579"/>
    </row>
    <row r="8" spans="1:47" ht="12.75" customHeight="1">
      <c r="B8" s="6" t="s">
        <v>414</v>
      </c>
      <c r="C8" s="3">
        <v>43465</v>
      </c>
      <c r="D8" s="3">
        <v>43830</v>
      </c>
      <c r="E8" s="3">
        <v>44196</v>
      </c>
      <c r="F8" s="3">
        <v>44561</v>
      </c>
      <c r="G8" s="3">
        <v>44926</v>
      </c>
      <c r="H8" s="166">
        <v>45291</v>
      </c>
      <c r="I8" s="3">
        <v>45657</v>
      </c>
      <c r="J8" s="3"/>
      <c r="K8" s="3">
        <v>44286</v>
      </c>
      <c r="L8" s="3">
        <v>44377</v>
      </c>
      <c r="M8" s="3">
        <v>44469</v>
      </c>
      <c r="N8" s="3">
        <f>F8</f>
        <v>44561</v>
      </c>
      <c r="O8" s="3">
        <v>44651</v>
      </c>
      <c r="P8" s="3">
        <v>44742</v>
      </c>
      <c r="Q8" s="3">
        <v>44834</v>
      </c>
      <c r="R8" s="3">
        <f>G8</f>
        <v>44926</v>
      </c>
      <c r="S8" s="3">
        <v>45016</v>
      </c>
      <c r="T8" s="3">
        <v>45107</v>
      </c>
      <c r="U8" s="3">
        <v>45199</v>
      </c>
      <c r="V8" s="3">
        <f>H8</f>
        <v>45291</v>
      </c>
      <c r="W8" s="3">
        <v>45382</v>
      </c>
      <c r="X8" s="3">
        <v>45473</v>
      </c>
      <c r="Y8" s="3">
        <v>45565</v>
      </c>
      <c r="Z8" s="3">
        <f>I8</f>
        <v>45657</v>
      </c>
      <c r="AA8" s="3">
        <v>45747</v>
      </c>
      <c r="AB8" s="3">
        <v>45838</v>
      </c>
      <c r="AC8" s="3">
        <v>45930</v>
      </c>
      <c r="AD8" s="3"/>
      <c r="AE8" s="3">
        <f>O8</f>
        <v>44651</v>
      </c>
      <c r="AF8" s="3">
        <f>P8</f>
        <v>44742</v>
      </c>
      <c r="AG8" s="3">
        <f>Q8</f>
        <v>44834</v>
      </c>
      <c r="AH8" s="3">
        <f>R8</f>
        <v>44926</v>
      </c>
      <c r="AI8" s="3">
        <f>S8</f>
        <v>45016</v>
      </c>
      <c r="AJ8" s="3">
        <f>T8</f>
        <v>45107</v>
      </c>
      <c r="AK8" s="3">
        <f>U8</f>
        <v>45199</v>
      </c>
      <c r="AL8" s="3">
        <f>V8</f>
        <v>45291</v>
      </c>
      <c r="AM8" s="3">
        <f>W8</f>
        <v>45382</v>
      </c>
      <c r="AN8" s="3">
        <f>X8</f>
        <v>45473</v>
      </c>
      <c r="AO8" s="3">
        <f>Y8</f>
        <v>45565</v>
      </c>
      <c r="AP8" s="3">
        <f>Z8</f>
        <v>45657</v>
      </c>
      <c r="AQ8" s="3">
        <f>AA8</f>
        <v>45747</v>
      </c>
      <c r="AR8" s="3">
        <f>AB8</f>
        <v>45838</v>
      </c>
      <c r="AS8" s="3">
        <f>AC8</f>
        <v>45930</v>
      </c>
      <c r="AT8" s="41"/>
      <c r="AU8" s="579"/>
    </row>
    <row r="9" spans="1:47" ht="5.0999999999999996" customHeight="1">
      <c r="AU9" s="370"/>
    </row>
    <row r="10" spans="1:47" ht="12.75" customHeight="1">
      <c r="B10" s="10" t="s">
        <v>79</v>
      </c>
      <c r="C10" s="325">
        <v>15794341</v>
      </c>
      <c r="D10" s="325">
        <v>20156447</v>
      </c>
      <c r="E10" s="325">
        <v>24996056</v>
      </c>
      <c r="F10" s="325">
        <v>29697844</v>
      </c>
      <c r="G10" s="325">
        <v>31615550</v>
      </c>
      <c r="H10" s="325">
        <v>33723297</v>
      </c>
      <c r="I10" s="325">
        <v>39000966</v>
      </c>
      <c r="J10" s="12"/>
      <c r="K10" s="325">
        <v>7163282</v>
      </c>
      <c r="L10" s="325">
        <v>7341777</v>
      </c>
      <c r="M10" s="325">
        <v>7483467</v>
      </c>
      <c r="N10" s="34">
        <f>SUM(F10-SUM(K10:M10))</f>
        <v>7709318</v>
      </c>
      <c r="O10" s="325">
        <v>7867767</v>
      </c>
      <c r="P10" s="325">
        <v>7970141</v>
      </c>
      <c r="Q10" s="325">
        <v>7925589</v>
      </c>
      <c r="R10" s="34">
        <f>SUM(G10-SUM(O10:Q10))</f>
        <v>7852053</v>
      </c>
      <c r="S10" s="325">
        <v>8161503</v>
      </c>
      <c r="T10" s="325">
        <v>8187301</v>
      </c>
      <c r="U10" s="325">
        <v>8541668</v>
      </c>
      <c r="V10" s="34">
        <f>SUM(H10-SUM(S10:U10))</f>
        <v>8832825</v>
      </c>
      <c r="W10" s="325">
        <v>9370440</v>
      </c>
      <c r="X10" s="325">
        <v>9559310</v>
      </c>
      <c r="Y10" s="325">
        <v>9824703</v>
      </c>
      <c r="Z10" s="34">
        <f>SUM(I10-SUM(W10:Y10))</f>
        <v>10246513</v>
      </c>
      <c r="AA10" s="89">
        <v>10542801</v>
      </c>
      <c r="AB10" s="89">
        <v>11079166</v>
      </c>
      <c r="AC10" s="89">
        <v>11510307</v>
      </c>
      <c r="AE10" s="34">
        <f>SUM(L10:O10)</f>
        <v>30402329</v>
      </c>
      <c r="AF10" s="34">
        <f>SUM(M10:P10)</f>
        <v>31030693</v>
      </c>
      <c r="AG10" s="34">
        <f>SUM(N10:Q10)</f>
        <v>31472815</v>
      </c>
      <c r="AH10" s="34">
        <f>SUM(O10:R10)</f>
        <v>31615550</v>
      </c>
      <c r="AI10" s="34">
        <f>SUM(P10:S10)</f>
        <v>31909286</v>
      </c>
      <c r="AJ10" s="34">
        <f>SUM(Q10:T10)</f>
        <v>32126446</v>
      </c>
      <c r="AK10" s="34">
        <f>SUM(R10:U10)</f>
        <v>32742525</v>
      </c>
      <c r="AL10" s="34">
        <f>SUM(S10:V10)</f>
        <v>33723297</v>
      </c>
      <c r="AM10" s="34">
        <f>SUM(T10:W10)</f>
        <v>34932234</v>
      </c>
      <c r="AN10" s="34">
        <f>SUM(U10:X10)</f>
        <v>36304243</v>
      </c>
      <c r="AO10" s="34">
        <f>SUM(V10:Y10)</f>
        <v>37587278</v>
      </c>
      <c r="AP10" s="34">
        <f>SUM(W10:Z10)</f>
        <v>39000966</v>
      </c>
      <c r="AQ10" s="34">
        <f>SUM(X10:AA10)</f>
        <v>40173327</v>
      </c>
      <c r="AR10" s="34">
        <f>SUM(Y10:AB10)</f>
        <v>41693183</v>
      </c>
      <c r="AS10" s="34">
        <f>SUM(Z10:AC10)</f>
        <v>43378787</v>
      </c>
      <c r="AT10" s="43"/>
      <c r="AU10" s="13">
        <f>SUM(AS10/AO10)-1</f>
        <v>0.15408162836372452</v>
      </c>
    </row>
    <row r="11" spans="1:47" ht="12.75" customHeight="1">
      <c r="B11" s="14" t="s">
        <v>13</v>
      </c>
      <c r="C11" s="15">
        <f t="shared" ref="C11:I11" si="0">+SUM(C10:C10)</f>
        <v>15794341</v>
      </c>
      <c r="D11" s="15">
        <f t="shared" si="0"/>
        <v>20156447</v>
      </c>
      <c r="E11" s="15">
        <f t="shared" si="0"/>
        <v>24996056</v>
      </c>
      <c r="F11" s="15">
        <f t="shared" si="0"/>
        <v>29697844</v>
      </c>
      <c r="G11" s="15">
        <f t="shared" si="0"/>
        <v>31615550</v>
      </c>
      <c r="H11" s="15">
        <f t="shared" si="0"/>
        <v>33723297</v>
      </c>
      <c r="I11" s="15">
        <f t="shared" si="0"/>
        <v>39000966</v>
      </c>
      <c r="J11" s="12"/>
      <c r="K11" s="15">
        <f t="shared" ref="K11:AB11" si="1">+SUM(K10:K10)</f>
        <v>7163282</v>
      </c>
      <c r="L11" s="15">
        <f t="shared" si="1"/>
        <v>7341777</v>
      </c>
      <c r="M11" s="15">
        <f t="shared" si="1"/>
        <v>7483467</v>
      </c>
      <c r="N11" s="15">
        <f t="shared" si="1"/>
        <v>7709318</v>
      </c>
      <c r="O11" s="15">
        <f t="shared" si="1"/>
        <v>7867767</v>
      </c>
      <c r="P11" s="15">
        <f t="shared" si="1"/>
        <v>7970141</v>
      </c>
      <c r="Q11" s="15">
        <f t="shared" si="1"/>
        <v>7925589</v>
      </c>
      <c r="R11" s="15">
        <f t="shared" si="1"/>
        <v>7852053</v>
      </c>
      <c r="S11" s="15">
        <f t="shared" si="1"/>
        <v>8161503</v>
      </c>
      <c r="T11" s="15">
        <f t="shared" si="1"/>
        <v>8187301</v>
      </c>
      <c r="U11" s="15">
        <f t="shared" si="1"/>
        <v>8541668</v>
      </c>
      <c r="V11" s="15">
        <f t="shared" si="1"/>
        <v>8832825</v>
      </c>
      <c r="W11" s="15">
        <f t="shared" si="1"/>
        <v>9370440</v>
      </c>
      <c r="X11" s="15">
        <f t="shared" si="1"/>
        <v>9559310</v>
      </c>
      <c r="Y11" s="15">
        <f t="shared" si="1"/>
        <v>9824703</v>
      </c>
      <c r="Z11" s="15">
        <f t="shared" si="1"/>
        <v>10246513</v>
      </c>
      <c r="AA11" s="15">
        <f t="shared" si="1"/>
        <v>10542801</v>
      </c>
      <c r="AB11" s="15">
        <f t="shared" si="1"/>
        <v>11079166</v>
      </c>
      <c r="AC11" s="15">
        <f>+SUM(AC10:AC10)</f>
        <v>11510307</v>
      </c>
      <c r="AE11" s="15">
        <f t="shared" ref="AE11:AG11" si="2">+SUM(AE10:AE10)</f>
        <v>30402329</v>
      </c>
      <c r="AF11" s="15">
        <f t="shared" si="2"/>
        <v>31030693</v>
      </c>
      <c r="AG11" s="15">
        <f t="shared" si="2"/>
        <v>31472815</v>
      </c>
      <c r="AH11" s="15">
        <f t="shared" ref="AH11:AR11" si="3">+SUM(AH10:AH10)</f>
        <v>31615550</v>
      </c>
      <c r="AI11" s="15">
        <f t="shared" si="3"/>
        <v>31909286</v>
      </c>
      <c r="AJ11" s="15">
        <f t="shared" si="3"/>
        <v>32126446</v>
      </c>
      <c r="AK11" s="15">
        <f t="shared" si="3"/>
        <v>32742525</v>
      </c>
      <c r="AL11" s="15">
        <f t="shared" si="3"/>
        <v>33723297</v>
      </c>
      <c r="AM11" s="15">
        <f t="shared" si="3"/>
        <v>34932234</v>
      </c>
      <c r="AN11" s="15">
        <f t="shared" si="3"/>
        <v>36304243</v>
      </c>
      <c r="AO11" s="15">
        <f t="shared" si="3"/>
        <v>37587278</v>
      </c>
      <c r="AP11" s="15">
        <f t="shared" si="3"/>
        <v>39000966</v>
      </c>
      <c r="AQ11" s="15">
        <f t="shared" si="3"/>
        <v>40173327</v>
      </c>
      <c r="AR11" s="15">
        <f t="shared" si="3"/>
        <v>41693183</v>
      </c>
      <c r="AS11" s="15">
        <f>+SUM(AS10:AS10)</f>
        <v>43378787</v>
      </c>
      <c r="AT11" s="43"/>
      <c r="AU11" s="16">
        <f>SUM(AS11/AO11)-1</f>
        <v>0.15408162836372452</v>
      </c>
    </row>
    <row r="12" spans="1:47" s="22" customFormat="1" ht="5.0999999999999996" customHeight="1">
      <c r="B12" s="20"/>
      <c r="C12" s="21"/>
      <c r="D12" s="21"/>
      <c r="E12" s="21"/>
      <c r="F12" s="21"/>
      <c r="G12" s="21"/>
      <c r="H12" s="21"/>
      <c r="I12" s="21"/>
      <c r="K12" s="23"/>
      <c r="L12" s="23"/>
      <c r="M12" s="23"/>
      <c r="N12" s="23"/>
      <c r="O12" s="23"/>
      <c r="P12" s="23"/>
      <c r="Q12" s="23"/>
      <c r="R12" s="23"/>
      <c r="S12" s="23"/>
      <c r="T12" s="23"/>
      <c r="U12" s="23"/>
      <c r="V12" s="23"/>
      <c r="W12" s="23"/>
      <c r="X12" s="23"/>
      <c r="Y12" s="23"/>
      <c r="Z12" s="23"/>
      <c r="AA12" s="24"/>
      <c r="AB12" s="23"/>
      <c r="AC12" s="23"/>
      <c r="AU12" s="82"/>
    </row>
    <row r="13" spans="1:47" ht="12.75" customHeight="1">
      <c r="B13" s="10" t="s">
        <v>623</v>
      </c>
      <c r="C13" s="89">
        <v>-7532088</v>
      </c>
      <c r="D13" s="89">
        <v>-9216247</v>
      </c>
      <c r="E13" s="89">
        <v>-10806912</v>
      </c>
      <c r="F13" s="89">
        <v>-12230367</v>
      </c>
      <c r="G13" s="89">
        <v>-14026132</v>
      </c>
      <c r="H13" s="89">
        <v>-14197437</v>
      </c>
      <c r="I13" s="89">
        <v>-15301517</v>
      </c>
      <c r="J13" s="26"/>
      <c r="K13" s="89">
        <v>-2719196</v>
      </c>
      <c r="L13" s="89">
        <v>-2806803</v>
      </c>
      <c r="M13" s="89">
        <v>-2963051</v>
      </c>
      <c r="N13" s="34">
        <f>SUM(F13-SUM(K13:M13))</f>
        <v>-3741317</v>
      </c>
      <c r="O13" s="89">
        <v>-3166365</v>
      </c>
      <c r="P13" s="89">
        <v>-3261348</v>
      </c>
      <c r="Q13" s="89">
        <v>-3653592</v>
      </c>
      <c r="R13" s="34">
        <f>SUM(G13-SUM(O13:Q13))</f>
        <v>-3944827</v>
      </c>
      <c r="S13" s="89">
        <v>-3459984</v>
      </c>
      <c r="T13" s="89">
        <v>-3410021</v>
      </c>
      <c r="U13" s="89">
        <v>-3573353</v>
      </c>
      <c r="V13" s="34">
        <f>SUM(H13-SUM(S13:U13))</f>
        <v>-3754079</v>
      </c>
      <c r="W13" s="89">
        <v>-3670805</v>
      </c>
      <c r="X13" s="89">
        <v>-3769690</v>
      </c>
      <c r="Y13" s="89">
        <v>-3699521</v>
      </c>
      <c r="Z13" s="34">
        <f>SUM(I13-SUM(W13:Y13))</f>
        <v>-4161501</v>
      </c>
      <c r="AA13" s="89">
        <v>-3823112</v>
      </c>
      <c r="AB13" s="89">
        <v>-3832074</v>
      </c>
      <c r="AC13" s="89">
        <v>-4002744</v>
      </c>
      <c r="AE13" s="34">
        <f t="shared" ref="AE13:AE15" si="4">SUM(L13:O13)</f>
        <v>-12677536</v>
      </c>
      <c r="AF13" s="34">
        <f t="shared" ref="AF13:AF15" si="5">SUM(M13:P13)</f>
        <v>-13132081</v>
      </c>
      <c r="AG13" s="34">
        <f t="shared" ref="AG13:AG15" si="6">SUM(N13:Q13)</f>
        <v>-13822622</v>
      </c>
      <c r="AH13" s="34">
        <f t="shared" ref="AH13:AH15" si="7">SUM(O13:R13)</f>
        <v>-14026132</v>
      </c>
      <c r="AI13" s="34">
        <f t="shared" ref="AI13:AI15" si="8">SUM(P13:S13)</f>
        <v>-14319751</v>
      </c>
      <c r="AJ13" s="34">
        <f t="shared" ref="AJ13:AJ15" si="9">SUM(Q13:T13)</f>
        <v>-14468424</v>
      </c>
      <c r="AK13" s="34">
        <f t="shared" ref="AK13:AK15" si="10">SUM(R13:U13)</f>
        <v>-14388185</v>
      </c>
      <c r="AL13" s="34">
        <f t="shared" ref="AL13:AL15" si="11">SUM(S13:V13)</f>
        <v>-14197437</v>
      </c>
      <c r="AM13" s="34">
        <f t="shared" ref="AM13:AM15" si="12">SUM(T13:W13)</f>
        <v>-14408258</v>
      </c>
      <c r="AN13" s="34">
        <f t="shared" ref="AN13:AN15" si="13">SUM(U13:X13)</f>
        <v>-14767927</v>
      </c>
      <c r="AO13" s="34">
        <f t="shared" ref="AO13:AO15" si="14">SUM(V13:Y13)</f>
        <v>-14894095</v>
      </c>
      <c r="AP13" s="34">
        <f t="shared" ref="AP13:AP15" si="15">SUM(W13:Z13)</f>
        <v>-15301517</v>
      </c>
      <c r="AQ13" s="34">
        <f t="shared" ref="AQ13:AQ15" si="16">SUM(X13:AA13)</f>
        <v>-15453824</v>
      </c>
      <c r="AR13" s="34">
        <f t="shared" ref="AR13:AR15" si="17">SUM(Y13:AB13)</f>
        <v>-15516208</v>
      </c>
      <c r="AS13" s="34">
        <f>SUM(Z13:AC13)</f>
        <v>-15819431</v>
      </c>
      <c r="AT13" s="12"/>
      <c r="AU13" s="82"/>
    </row>
    <row r="14" spans="1:47" ht="12.75" customHeight="1">
      <c r="B14" s="10" t="s">
        <v>637</v>
      </c>
      <c r="C14" s="34">
        <f>+C15-C13</f>
        <v>-2435450</v>
      </c>
      <c r="D14" s="34">
        <f t="shared" ref="D14:K14" si="18">+D15-D13</f>
        <v>-3223966</v>
      </c>
      <c r="E14" s="34">
        <f t="shared" si="18"/>
        <v>-4469407</v>
      </c>
      <c r="F14" s="34">
        <f t="shared" si="18"/>
        <v>-5102316</v>
      </c>
      <c r="G14" s="34">
        <f t="shared" si="18"/>
        <v>-5142153</v>
      </c>
      <c r="H14" s="34">
        <f t="shared" si="18"/>
        <v>-5517931</v>
      </c>
      <c r="I14" s="34">
        <f t="shared" si="18"/>
        <v>-5736947</v>
      </c>
      <c r="J14" s="26"/>
      <c r="K14" s="34">
        <f t="shared" si="18"/>
        <v>-1149315</v>
      </c>
      <c r="L14" s="34">
        <f t="shared" ref="L14" si="19">+L15-L13</f>
        <v>-1211205</v>
      </c>
      <c r="M14" s="34">
        <f t="shared" ref="M14" si="20">+M15-M13</f>
        <v>-1243538</v>
      </c>
      <c r="N14" s="34">
        <f t="shared" ref="N14" si="21">+N15-N13</f>
        <v>-1498258</v>
      </c>
      <c r="O14" s="34">
        <f t="shared" ref="O14" si="22">+O15-O13</f>
        <v>-1118340</v>
      </c>
      <c r="P14" s="34">
        <f t="shared" ref="P14" si="23">+P15-P13</f>
        <v>-1429407</v>
      </c>
      <c r="Q14" s="34">
        <f t="shared" ref="Q14" si="24">+Q15-Q13</f>
        <v>-1135073</v>
      </c>
      <c r="R14" s="34">
        <f t="shared" ref="R14" si="25">+R15-R13</f>
        <v>-1459333</v>
      </c>
      <c r="S14" s="34">
        <f t="shared" ref="S14" si="26">+S15-S13</f>
        <v>-1343641</v>
      </c>
      <c r="T14" s="34">
        <f t="shared" ref="T14" si="27">+T15-T13</f>
        <v>-1263449</v>
      </c>
      <c r="U14" s="34">
        <f t="shared" ref="U14" si="28">+U15-U13</f>
        <v>-1357435</v>
      </c>
      <c r="V14" s="34">
        <f t="shared" ref="V14" si="29">+V15-V13</f>
        <v>-1553406</v>
      </c>
      <c r="W14" s="34">
        <f t="shared" ref="W14" si="30">+W15-W13</f>
        <v>-1306268</v>
      </c>
      <c r="X14" s="34">
        <f t="shared" ref="X14" si="31">+X15-X13</f>
        <v>-1404453</v>
      </c>
      <c r="Y14" s="34">
        <f t="shared" ref="Y14" si="32">+Y15-Y13</f>
        <v>-1420363</v>
      </c>
      <c r="Z14" s="34">
        <f t="shared" ref="Z14" si="33">+Z15-Z13</f>
        <v>-1605863</v>
      </c>
      <c r="AA14" s="34">
        <f t="shared" ref="AA14" si="34">+AA15-AA13</f>
        <v>-1440035</v>
      </c>
      <c r="AB14" s="34">
        <f t="shared" ref="AB14" si="35">+AB15-AB13</f>
        <v>-1493237</v>
      </c>
      <c r="AC14" s="34">
        <f t="shared" ref="AC14" si="36">+AC15-AC13</f>
        <v>-2161506</v>
      </c>
      <c r="AE14" s="34">
        <f t="shared" si="4"/>
        <v>-5071341</v>
      </c>
      <c r="AF14" s="34">
        <f t="shared" si="5"/>
        <v>-5289543</v>
      </c>
      <c r="AG14" s="34">
        <f t="shared" si="6"/>
        <v>-5181078</v>
      </c>
      <c r="AH14" s="34">
        <f t="shared" si="7"/>
        <v>-5142153</v>
      </c>
      <c r="AI14" s="34">
        <f t="shared" si="8"/>
        <v>-5367454</v>
      </c>
      <c r="AJ14" s="34">
        <f t="shared" si="9"/>
        <v>-5201496</v>
      </c>
      <c r="AK14" s="34">
        <f t="shared" si="10"/>
        <v>-5423858</v>
      </c>
      <c r="AL14" s="34">
        <f t="shared" si="11"/>
        <v>-5517931</v>
      </c>
      <c r="AM14" s="34">
        <f t="shared" si="12"/>
        <v>-5480558</v>
      </c>
      <c r="AN14" s="34">
        <f t="shared" si="13"/>
        <v>-5621562</v>
      </c>
      <c r="AO14" s="34">
        <f t="shared" si="14"/>
        <v>-5684490</v>
      </c>
      <c r="AP14" s="34">
        <f t="shared" si="15"/>
        <v>-5736947</v>
      </c>
      <c r="AQ14" s="34">
        <f t="shared" si="16"/>
        <v>-5870714</v>
      </c>
      <c r="AR14" s="34">
        <f t="shared" si="17"/>
        <v>-5959498</v>
      </c>
      <c r="AS14" s="34">
        <f>SUM(Z14:AC14)</f>
        <v>-6700641</v>
      </c>
      <c r="AT14" s="12"/>
      <c r="AU14" s="82"/>
    </row>
    <row r="15" spans="1:47" ht="12.75" customHeight="1" outlineLevel="1">
      <c r="B15" s="589" t="s">
        <v>638</v>
      </c>
      <c r="C15" s="590">
        <v>-9967538</v>
      </c>
      <c r="D15" s="590">
        <v>-12440213</v>
      </c>
      <c r="E15" s="590">
        <v>-15276319</v>
      </c>
      <c r="F15" s="590">
        <v>-17332683</v>
      </c>
      <c r="G15" s="590">
        <v>-19168285</v>
      </c>
      <c r="H15" s="590">
        <v>-19715368</v>
      </c>
      <c r="I15" s="590">
        <v>-21038464</v>
      </c>
      <c r="J15" s="26"/>
      <c r="K15" s="587">
        <v>-3868511</v>
      </c>
      <c r="L15" s="587">
        <v>-4018008</v>
      </c>
      <c r="M15" s="587">
        <v>-4206589</v>
      </c>
      <c r="N15" s="588">
        <f>SUM(F15-SUM(K15:M15))</f>
        <v>-5239575</v>
      </c>
      <c r="O15" s="587">
        <v>-4284705</v>
      </c>
      <c r="P15" s="587">
        <v>-4690755</v>
      </c>
      <c r="Q15" s="587">
        <v>-4788665</v>
      </c>
      <c r="R15" s="588">
        <f>SUM(G15-SUM(O15:Q15))</f>
        <v>-5404160</v>
      </c>
      <c r="S15" s="587">
        <v>-4803625</v>
      </c>
      <c r="T15" s="587">
        <v>-4673470</v>
      </c>
      <c r="U15" s="587">
        <v>-4930788</v>
      </c>
      <c r="V15" s="588">
        <f>SUM(H15-SUM(S15:U15))</f>
        <v>-5307485</v>
      </c>
      <c r="W15" s="587">
        <v>-4977073</v>
      </c>
      <c r="X15" s="587">
        <v>-5174143</v>
      </c>
      <c r="Y15" s="587">
        <v>-5119884</v>
      </c>
      <c r="Z15" s="588">
        <f>SUM(I15-SUM(W15:Y15))</f>
        <v>-5767364</v>
      </c>
      <c r="AA15" s="587">
        <v>-5263147</v>
      </c>
      <c r="AB15" s="587">
        <v>-5325311</v>
      </c>
      <c r="AC15" s="587">
        <v>-6164250</v>
      </c>
      <c r="AE15" s="34">
        <f t="shared" si="4"/>
        <v>-17748877</v>
      </c>
      <c r="AF15" s="34">
        <f t="shared" si="5"/>
        <v>-18421624</v>
      </c>
      <c r="AG15" s="34">
        <f t="shared" si="6"/>
        <v>-19003700</v>
      </c>
      <c r="AH15" s="34">
        <f t="shared" si="7"/>
        <v>-19168285</v>
      </c>
      <c r="AI15" s="34">
        <f t="shared" si="8"/>
        <v>-19687205</v>
      </c>
      <c r="AJ15" s="34">
        <f t="shared" si="9"/>
        <v>-19669920</v>
      </c>
      <c r="AK15" s="34">
        <f t="shared" si="10"/>
        <v>-19812043</v>
      </c>
      <c r="AL15" s="34">
        <f t="shared" si="11"/>
        <v>-19715368</v>
      </c>
      <c r="AM15" s="34">
        <f t="shared" si="12"/>
        <v>-19888816</v>
      </c>
      <c r="AN15" s="34">
        <f t="shared" si="13"/>
        <v>-20389489</v>
      </c>
      <c r="AO15" s="34">
        <f t="shared" si="14"/>
        <v>-20578585</v>
      </c>
      <c r="AP15" s="34">
        <f t="shared" si="15"/>
        <v>-21038464</v>
      </c>
      <c r="AQ15" s="34">
        <f t="shared" si="16"/>
        <v>-21324538</v>
      </c>
      <c r="AR15" s="34">
        <f t="shared" si="17"/>
        <v>-21475706</v>
      </c>
      <c r="AS15" s="34">
        <f>SUM(Z15:AC15)</f>
        <v>-22520072</v>
      </c>
      <c r="AT15" s="12"/>
      <c r="AU15" s="82"/>
    </row>
    <row r="16" spans="1:47" ht="12.75" customHeight="1">
      <c r="B16" s="27" t="s">
        <v>30</v>
      </c>
      <c r="C16" s="28">
        <f>+SUM(C11+SUM(C13:C14))</f>
        <v>5826803</v>
      </c>
      <c r="D16" s="28">
        <f t="shared" ref="D16:AS16" si="37">+SUM(D11+SUM(D13:D14))</f>
        <v>7716234</v>
      </c>
      <c r="E16" s="28">
        <f t="shared" si="37"/>
        <v>9719737</v>
      </c>
      <c r="F16" s="28">
        <f t="shared" si="37"/>
        <v>12365161</v>
      </c>
      <c r="G16" s="28">
        <f t="shared" si="37"/>
        <v>12447265</v>
      </c>
      <c r="H16" s="28">
        <f t="shared" si="37"/>
        <v>14007929</v>
      </c>
      <c r="I16" s="28">
        <f t="shared" si="37"/>
        <v>17962502</v>
      </c>
      <c r="K16" s="28">
        <f t="shared" si="37"/>
        <v>3294771</v>
      </c>
      <c r="L16" s="28">
        <f t="shared" si="37"/>
        <v>3323769</v>
      </c>
      <c r="M16" s="28">
        <f t="shared" si="37"/>
        <v>3276878</v>
      </c>
      <c r="N16" s="28">
        <f t="shared" si="37"/>
        <v>2469743</v>
      </c>
      <c r="O16" s="28">
        <f t="shared" si="37"/>
        <v>3583062</v>
      </c>
      <c r="P16" s="28">
        <f t="shared" si="37"/>
        <v>3279386</v>
      </c>
      <c r="Q16" s="28">
        <f t="shared" si="37"/>
        <v>3136924</v>
      </c>
      <c r="R16" s="28">
        <f t="shared" si="37"/>
        <v>2447893</v>
      </c>
      <c r="S16" s="28">
        <f t="shared" si="37"/>
        <v>3357878</v>
      </c>
      <c r="T16" s="28">
        <f t="shared" si="37"/>
        <v>3513831</v>
      </c>
      <c r="U16" s="28">
        <f t="shared" si="37"/>
        <v>3610880</v>
      </c>
      <c r="V16" s="28">
        <f t="shared" si="37"/>
        <v>3525340</v>
      </c>
      <c r="W16" s="28">
        <f t="shared" si="37"/>
        <v>4393367</v>
      </c>
      <c r="X16" s="28">
        <f t="shared" si="37"/>
        <v>4385167</v>
      </c>
      <c r="Y16" s="28">
        <f t="shared" si="37"/>
        <v>4704819</v>
      </c>
      <c r="Z16" s="28">
        <f t="shared" si="37"/>
        <v>4479149</v>
      </c>
      <c r="AA16" s="28">
        <f t="shared" si="37"/>
        <v>5279654</v>
      </c>
      <c r="AB16" s="28">
        <f t="shared" si="37"/>
        <v>5753855</v>
      </c>
      <c r="AC16" s="28">
        <f t="shared" si="37"/>
        <v>5346057</v>
      </c>
      <c r="AE16" s="28">
        <f t="shared" si="37"/>
        <v>12653452</v>
      </c>
      <c r="AF16" s="28">
        <f t="shared" si="37"/>
        <v>12609069</v>
      </c>
      <c r="AG16" s="28">
        <f t="shared" si="37"/>
        <v>12469115</v>
      </c>
      <c r="AH16" s="28">
        <f t="shared" si="37"/>
        <v>12447265</v>
      </c>
      <c r="AI16" s="28">
        <f t="shared" si="37"/>
        <v>12222081</v>
      </c>
      <c r="AJ16" s="28">
        <f t="shared" si="37"/>
        <v>12456526</v>
      </c>
      <c r="AK16" s="28">
        <f t="shared" si="37"/>
        <v>12930482</v>
      </c>
      <c r="AL16" s="28">
        <f t="shared" si="37"/>
        <v>14007929</v>
      </c>
      <c r="AM16" s="28">
        <f t="shared" si="37"/>
        <v>15043418</v>
      </c>
      <c r="AN16" s="28">
        <f t="shared" si="37"/>
        <v>15914754</v>
      </c>
      <c r="AO16" s="28">
        <f t="shared" si="37"/>
        <v>17008693</v>
      </c>
      <c r="AP16" s="28">
        <f t="shared" si="37"/>
        <v>17962502</v>
      </c>
      <c r="AQ16" s="28">
        <f t="shared" si="37"/>
        <v>18848789</v>
      </c>
      <c r="AR16" s="28">
        <f t="shared" si="37"/>
        <v>20217477</v>
      </c>
      <c r="AS16" s="28">
        <f t="shared" si="37"/>
        <v>20858715</v>
      </c>
      <c r="AT16" s="45"/>
      <c r="AU16" s="83">
        <f>SUM(AS16/AO16)-1</f>
        <v>0.22635613447782266</v>
      </c>
    </row>
    <row r="17" spans="2:47" ht="12.75" customHeight="1">
      <c r="B17" s="17" t="s">
        <v>48</v>
      </c>
      <c r="C17" s="19">
        <f>C16/C11</f>
        <v>0.36891713304151152</v>
      </c>
      <c r="D17" s="19">
        <f>D16/D11</f>
        <v>0.38281717010939476</v>
      </c>
      <c r="E17" s="19">
        <f>E16/E11</f>
        <v>0.38885082510616875</v>
      </c>
      <c r="F17" s="19">
        <f>F16/F11</f>
        <v>0.41636561226464791</v>
      </c>
      <c r="G17" s="19">
        <f>G16/G11</f>
        <v>0.39370705238403253</v>
      </c>
      <c r="H17" s="19">
        <f>H16/H11</f>
        <v>0.41537839553469519</v>
      </c>
      <c r="I17" s="19">
        <f>I16/I11</f>
        <v>0.46056556650417324</v>
      </c>
      <c r="J17" s="29"/>
      <c r="K17" s="19">
        <f>K16/K11</f>
        <v>0.4599527144121926</v>
      </c>
      <c r="L17" s="19">
        <f>L16/L11</f>
        <v>0.45271996139354276</v>
      </c>
      <c r="M17" s="19">
        <f>M16/M11</f>
        <v>0.43788233448480496</v>
      </c>
      <c r="N17" s="19">
        <f>N16/N11</f>
        <v>0.32035816916619603</v>
      </c>
      <c r="O17" s="19">
        <f>O16/O11</f>
        <v>0.45541028350229484</v>
      </c>
      <c r="P17" s="19">
        <f>P16/P11</f>
        <v>0.41145896917005609</v>
      </c>
      <c r="Q17" s="19">
        <f>Q16/Q11</f>
        <v>0.39579695591078468</v>
      </c>
      <c r="R17" s="19">
        <f>R16/R11</f>
        <v>0.3117519711087024</v>
      </c>
      <c r="S17" s="19">
        <f>S16/S11</f>
        <v>0.41142887529417072</v>
      </c>
      <c r="T17" s="19">
        <f>T16/T11</f>
        <v>0.42918062985591954</v>
      </c>
      <c r="U17" s="19">
        <f>U16/U11</f>
        <v>0.42273710474347631</v>
      </c>
      <c r="V17" s="19">
        <f>V16/V11</f>
        <v>0.39911806245453746</v>
      </c>
      <c r="W17" s="19">
        <f>W16/W11</f>
        <v>0.46885386385271127</v>
      </c>
      <c r="X17" s="19">
        <f>X16/X11</f>
        <v>0.45873258634775943</v>
      </c>
      <c r="Y17" s="19">
        <f>Y16/Y11</f>
        <v>0.47887646069301026</v>
      </c>
      <c r="Z17" s="19">
        <f>Z16/Z11</f>
        <v>0.43713885884885911</v>
      </c>
      <c r="AA17" s="19">
        <f>AA16/AA11</f>
        <v>0.50078285647239285</v>
      </c>
      <c r="AB17" s="19">
        <f>AB16/AB11</f>
        <v>0.51934008390162223</v>
      </c>
      <c r="AC17" s="19">
        <f>AC16/AC11</f>
        <v>0.46445824598770474</v>
      </c>
      <c r="AD17" s="30"/>
      <c r="AE17" s="19">
        <f>AE16/AE11</f>
        <v>0.41620008782879758</v>
      </c>
      <c r="AF17" s="19">
        <f>AF16/AF11</f>
        <v>0.40634184354181196</v>
      </c>
      <c r="AG17" s="19">
        <f>AG16/AG11</f>
        <v>0.39618683616320943</v>
      </c>
      <c r="AH17" s="19">
        <f>AH16/AH11</f>
        <v>0.39370705238403253</v>
      </c>
      <c r="AI17" s="19">
        <f>AI16/AI11</f>
        <v>0.38302583768248527</v>
      </c>
      <c r="AJ17" s="19">
        <f>AJ16/AJ11</f>
        <v>0.38773432953025677</v>
      </c>
      <c r="AK17" s="19">
        <f>AK16/AK11</f>
        <v>0.39491401472549842</v>
      </c>
      <c r="AL17" s="19">
        <f>AL16/AL11</f>
        <v>0.41537839553469519</v>
      </c>
      <c r="AM17" s="19">
        <f>AM16/AM11</f>
        <v>0.43064574684802581</v>
      </c>
      <c r="AN17" s="19">
        <f>AN16/AN11</f>
        <v>0.43837173522665107</v>
      </c>
      <c r="AO17" s="19">
        <f>AO16/AO11</f>
        <v>0.45251196428749108</v>
      </c>
      <c r="AP17" s="19">
        <f>AP16/AP11</f>
        <v>0.46056556650417324</v>
      </c>
      <c r="AQ17" s="19">
        <f>AQ16/AQ11</f>
        <v>0.46918665710709001</v>
      </c>
      <c r="AR17" s="19">
        <f>AR16/AR11</f>
        <v>0.48491085461141215</v>
      </c>
      <c r="AS17" s="19">
        <f>AS16/AS11</f>
        <v>0.48085058256700447</v>
      </c>
      <c r="AT17" s="45"/>
      <c r="AU17" s="84">
        <f>SUM(AS17-AO17)*1000</f>
        <v>28.338618279513394</v>
      </c>
    </row>
    <row r="18" spans="2:47" ht="5.0999999999999996" customHeight="1">
      <c r="B18" s="31"/>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E18" s="32"/>
      <c r="AF18" s="32"/>
      <c r="AG18" s="32"/>
      <c r="AH18" s="32"/>
      <c r="AI18" s="32"/>
      <c r="AJ18" s="32"/>
      <c r="AK18" s="32"/>
      <c r="AL18" s="32"/>
      <c r="AM18" s="32"/>
      <c r="AN18" s="32"/>
      <c r="AO18" s="32"/>
      <c r="AP18" s="32"/>
      <c r="AQ18" s="32"/>
      <c r="AR18" s="32"/>
      <c r="AS18" s="32"/>
      <c r="AT18" s="45"/>
      <c r="AU18" s="82"/>
    </row>
    <row r="19" spans="2:47" ht="12.75" customHeight="1">
      <c r="B19" s="10" t="s">
        <v>604</v>
      </c>
      <c r="C19" s="89">
        <v>-2369469</v>
      </c>
      <c r="D19" s="89">
        <v>-2652462</v>
      </c>
      <c r="E19" s="89">
        <v>-2228362</v>
      </c>
      <c r="F19" s="89">
        <v>-2545146</v>
      </c>
      <c r="G19" s="89">
        <v>-2530502</v>
      </c>
      <c r="H19" s="89">
        <v>-2657883</v>
      </c>
      <c r="I19" s="89">
        <v>-2917554</v>
      </c>
      <c r="J19" s="34"/>
      <c r="K19" s="89">
        <v>-512512</v>
      </c>
      <c r="L19" s="89">
        <v>-603973</v>
      </c>
      <c r="M19" s="89">
        <v>-635948</v>
      </c>
      <c r="N19" s="34">
        <f t="shared" ref="N19:N21" si="38">SUM(F19-SUM(K19:M19))</f>
        <v>-792713</v>
      </c>
      <c r="O19" s="89">
        <v>-555978</v>
      </c>
      <c r="P19" s="89">
        <v>-574960</v>
      </c>
      <c r="Q19" s="89">
        <v>-567954</v>
      </c>
      <c r="R19" s="34">
        <f t="shared" ref="R19:R21" si="39">SUM(G19-SUM(O19:Q19))</f>
        <v>-831610</v>
      </c>
      <c r="S19" s="89">
        <v>-555362</v>
      </c>
      <c r="T19" s="89">
        <v>-627168</v>
      </c>
      <c r="U19" s="89">
        <v>-558736</v>
      </c>
      <c r="V19" s="34">
        <f t="shared" ref="V19:V21" si="40">SUM(H19-SUM(S19:U19))</f>
        <v>-916617</v>
      </c>
      <c r="W19" s="89">
        <v>-654340</v>
      </c>
      <c r="X19" s="89">
        <v>-644084</v>
      </c>
      <c r="Y19" s="89">
        <v>-642926</v>
      </c>
      <c r="Z19" s="34">
        <f t="shared" ref="Z19:Z21" si="41">SUM(I19-SUM(W19:Y19))</f>
        <v>-976204</v>
      </c>
      <c r="AA19" s="89">
        <v>-688370</v>
      </c>
      <c r="AB19" s="89">
        <v>-713265</v>
      </c>
      <c r="AC19" s="89">
        <v>-786295</v>
      </c>
      <c r="AE19" s="34">
        <f>SUM(L19:O19)</f>
        <v>-2588612</v>
      </c>
      <c r="AF19" s="34">
        <f>SUM(M19:P19)</f>
        <v>-2559599</v>
      </c>
      <c r="AG19" s="34">
        <f>SUM(N19:Q19)</f>
        <v>-2491605</v>
      </c>
      <c r="AH19" s="34">
        <f>SUM(O19:R19)</f>
        <v>-2530502</v>
      </c>
      <c r="AI19" s="34">
        <f>SUM(P19:S19)</f>
        <v>-2529886</v>
      </c>
      <c r="AJ19" s="34">
        <f>SUM(Q19:T19)</f>
        <v>-2582094</v>
      </c>
      <c r="AK19" s="34">
        <f>SUM(R19:U19)</f>
        <v>-2572876</v>
      </c>
      <c r="AL19" s="34">
        <f>SUM(S19:V19)</f>
        <v>-2657883</v>
      </c>
      <c r="AM19" s="34">
        <f>SUM(T19:W19)</f>
        <v>-2756861</v>
      </c>
      <c r="AN19" s="34">
        <f>SUM(U19:X19)</f>
        <v>-2773777</v>
      </c>
      <c r="AO19" s="34">
        <f>SUM(V19:Y19)</f>
        <v>-2857967</v>
      </c>
      <c r="AP19" s="34">
        <f>SUM(W19:Z19)</f>
        <v>-2917554</v>
      </c>
      <c r="AQ19" s="34">
        <f>SUM(X19:AA19)</f>
        <v>-2951584</v>
      </c>
      <c r="AR19" s="34">
        <f>SUM(Y19:AB19)</f>
        <v>-3020765</v>
      </c>
      <c r="AS19" s="34">
        <f>SUM(Z19:AC19)</f>
        <v>-3164134</v>
      </c>
      <c r="AT19" s="12"/>
      <c r="AU19" s="82">
        <f>SUM(AS19/AO19)-1</f>
        <v>0.10712754905847399</v>
      </c>
    </row>
    <row r="20" spans="2:47" ht="12.75" customHeight="1">
      <c r="B20" s="10" t="s">
        <v>605</v>
      </c>
      <c r="C20" s="89">
        <v>-1221814</v>
      </c>
      <c r="D20" s="89">
        <v>-1545149</v>
      </c>
      <c r="E20" s="89">
        <v>-1829600</v>
      </c>
      <c r="F20" s="89">
        <v>-2273885</v>
      </c>
      <c r="G20" s="89">
        <v>-2711041</v>
      </c>
      <c r="H20" s="89">
        <v>-2675758</v>
      </c>
      <c r="I20" s="89">
        <v>-2925295</v>
      </c>
      <c r="J20" s="34"/>
      <c r="K20" s="89">
        <v>-525207</v>
      </c>
      <c r="L20" s="89">
        <v>-537321</v>
      </c>
      <c r="M20" s="89">
        <v>-563887</v>
      </c>
      <c r="N20" s="34">
        <f t="shared" si="38"/>
        <v>-647470</v>
      </c>
      <c r="O20" s="89">
        <v>-657530</v>
      </c>
      <c r="P20" s="89">
        <v>-716846</v>
      </c>
      <c r="Q20" s="89">
        <v>-662739</v>
      </c>
      <c r="R20" s="34">
        <f t="shared" si="39"/>
        <v>-673926</v>
      </c>
      <c r="S20" s="89">
        <v>-687275</v>
      </c>
      <c r="T20" s="89">
        <v>-657983</v>
      </c>
      <c r="U20" s="89">
        <v>-657159</v>
      </c>
      <c r="V20" s="34">
        <f t="shared" si="40"/>
        <v>-673341</v>
      </c>
      <c r="W20" s="89">
        <v>-702473</v>
      </c>
      <c r="X20" s="89">
        <v>-711254</v>
      </c>
      <c r="Y20" s="89">
        <v>-735063</v>
      </c>
      <c r="Z20" s="34">
        <f t="shared" si="41"/>
        <v>-776505</v>
      </c>
      <c r="AA20" s="89">
        <v>-822823</v>
      </c>
      <c r="AB20" s="89">
        <v>-824683</v>
      </c>
      <c r="AC20" s="89">
        <v>-853584</v>
      </c>
      <c r="AE20" s="34">
        <f>SUM(L20:O20)</f>
        <v>-2406208</v>
      </c>
      <c r="AF20" s="34">
        <f>SUM(M20:P20)</f>
        <v>-2585733</v>
      </c>
      <c r="AG20" s="34">
        <f>SUM(N20:Q20)</f>
        <v>-2684585</v>
      </c>
      <c r="AH20" s="34">
        <f>SUM(O20:R20)</f>
        <v>-2711041</v>
      </c>
      <c r="AI20" s="34">
        <f>SUM(P20:S20)</f>
        <v>-2740786</v>
      </c>
      <c r="AJ20" s="34">
        <f>SUM(Q20:T20)</f>
        <v>-2681923</v>
      </c>
      <c r="AK20" s="34">
        <f>SUM(R20:U20)</f>
        <v>-2676343</v>
      </c>
      <c r="AL20" s="34">
        <f>SUM(S20:V20)</f>
        <v>-2675758</v>
      </c>
      <c r="AM20" s="34">
        <f>SUM(T20:W20)</f>
        <v>-2690956</v>
      </c>
      <c r="AN20" s="34">
        <f>SUM(U20:X20)</f>
        <v>-2744227</v>
      </c>
      <c r="AO20" s="34">
        <f>SUM(V20:Y20)</f>
        <v>-2822131</v>
      </c>
      <c r="AP20" s="34">
        <f>SUM(W20:Z20)</f>
        <v>-2925295</v>
      </c>
      <c r="AQ20" s="34">
        <f>SUM(X20:AA20)</f>
        <v>-3045645</v>
      </c>
      <c r="AR20" s="34">
        <f>SUM(Y20:AB20)</f>
        <v>-3159074</v>
      </c>
      <c r="AS20" s="34">
        <f>SUM(Z20:AC20)</f>
        <v>-3277595</v>
      </c>
      <c r="AT20" s="12"/>
      <c r="AU20" s="82">
        <f>SUM(AS20/AO20)-1</f>
        <v>0.16139009847523034</v>
      </c>
    </row>
    <row r="21" spans="2:47" ht="12.75" customHeight="1">
      <c r="B21" s="10" t="s">
        <v>464</v>
      </c>
      <c r="C21" s="89">
        <v>-630294</v>
      </c>
      <c r="D21" s="89">
        <v>-914369</v>
      </c>
      <c r="E21" s="89">
        <v>-1076486</v>
      </c>
      <c r="F21" s="89">
        <v>-1351621</v>
      </c>
      <c r="G21" s="89">
        <v>-1572891</v>
      </c>
      <c r="H21" s="89">
        <v>-1720285</v>
      </c>
      <c r="I21" s="89">
        <v>-1702039</v>
      </c>
      <c r="J21" s="34"/>
      <c r="K21" s="89">
        <v>-297196</v>
      </c>
      <c r="L21" s="89">
        <v>-334845</v>
      </c>
      <c r="M21" s="89">
        <v>-321790</v>
      </c>
      <c r="N21" s="34">
        <f t="shared" si="38"/>
        <v>-397790</v>
      </c>
      <c r="O21" s="89">
        <v>-397928</v>
      </c>
      <c r="P21" s="89">
        <v>-409297</v>
      </c>
      <c r="Q21" s="89">
        <v>-373213</v>
      </c>
      <c r="R21" s="34">
        <f t="shared" si="39"/>
        <v>-392453</v>
      </c>
      <c r="S21" s="89">
        <v>-400924</v>
      </c>
      <c r="T21" s="89">
        <v>-401497</v>
      </c>
      <c r="U21" s="89">
        <v>-478591</v>
      </c>
      <c r="V21" s="34">
        <f t="shared" si="40"/>
        <v>-439273</v>
      </c>
      <c r="W21" s="89">
        <v>-404020</v>
      </c>
      <c r="X21" s="89">
        <v>-426992</v>
      </c>
      <c r="Y21" s="89">
        <v>-417353</v>
      </c>
      <c r="Z21" s="34">
        <f t="shared" si="41"/>
        <v>-453674</v>
      </c>
      <c r="AA21" s="89">
        <v>-421462</v>
      </c>
      <c r="AB21" s="89">
        <v>-441213</v>
      </c>
      <c r="AC21" s="89">
        <v>-457931</v>
      </c>
      <c r="AE21" s="34">
        <f>SUM(L21:O21)</f>
        <v>-1452353</v>
      </c>
      <c r="AF21" s="34">
        <f>SUM(M21:P21)</f>
        <v>-1526805</v>
      </c>
      <c r="AG21" s="34">
        <f>SUM(N21:Q21)</f>
        <v>-1578228</v>
      </c>
      <c r="AH21" s="34">
        <f>SUM(O21:R21)</f>
        <v>-1572891</v>
      </c>
      <c r="AI21" s="34">
        <f>SUM(P21:S21)</f>
        <v>-1575887</v>
      </c>
      <c r="AJ21" s="34">
        <f>SUM(Q21:T21)</f>
        <v>-1568087</v>
      </c>
      <c r="AK21" s="34">
        <f>SUM(R21:U21)</f>
        <v>-1673465</v>
      </c>
      <c r="AL21" s="34">
        <f>SUM(S21:V21)</f>
        <v>-1720285</v>
      </c>
      <c r="AM21" s="34">
        <f>SUM(T21:W21)</f>
        <v>-1723381</v>
      </c>
      <c r="AN21" s="34">
        <f>SUM(U21:X21)</f>
        <v>-1748876</v>
      </c>
      <c r="AO21" s="34">
        <f>SUM(V21:Y21)</f>
        <v>-1687638</v>
      </c>
      <c r="AP21" s="34">
        <f>SUM(W21:Z21)</f>
        <v>-1702039</v>
      </c>
      <c r="AQ21" s="34">
        <f>SUM(X21:AA21)</f>
        <v>-1719481</v>
      </c>
      <c r="AR21" s="34">
        <f>SUM(Y21:AB21)</f>
        <v>-1733702</v>
      </c>
      <c r="AS21" s="34">
        <f>SUM(Z21:AC21)</f>
        <v>-1774280</v>
      </c>
      <c r="AT21" s="12"/>
      <c r="AU21" s="82">
        <f>SUM(AS21/AO21)-1</f>
        <v>5.1339209000982544E-2</v>
      </c>
    </row>
    <row r="22" spans="2:47" ht="12.75" customHeight="1">
      <c r="B22" s="27" t="s">
        <v>430</v>
      </c>
      <c r="C22" s="28">
        <f>+SUM(C16+SUM(C19:C21))</f>
        <v>1605226</v>
      </c>
      <c r="D22" s="28">
        <f>+SUM(D16+SUM(D19:D21))</f>
        <v>2604254</v>
      </c>
      <c r="E22" s="28">
        <f>+SUM(E16+SUM(E19:E21))</f>
        <v>4585289</v>
      </c>
      <c r="F22" s="28">
        <f>+SUM(F16+SUM(F19:F21))</f>
        <v>6194509</v>
      </c>
      <c r="G22" s="28">
        <f>+SUM(G16+SUM(G19:G21))</f>
        <v>5632831</v>
      </c>
      <c r="H22" s="28">
        <f>+SUM(H16+SUM(H19:H21))</f>
        <v>6954003</v>
      </c>
      <c r="I22" s="28">
        <f>+SUM(I16+SUM(I19:I21))</f>
        <v>10417614</v>
      </c>
      <c r="J22" s="34"/>
      <c r="K22" s="28">
        <f>+SUM(K16+SUM(K19:K21))</f>
        <v>1959856</v>
      </c>
      <c r="L22" s="28">
        <f>+SUM(L16+SUM(L19:L21))</f>
        <v>1847630</v>
      </c>
      <c r="M22" s="28">
        <f>+SUM(M16+SUM(M19:M21))</f>
        <v>1755253</v>
      </c>
      <c r="N22" s="28">
        <f>+SUM(N16+SUM(N19:N21))</f>
        <v>631770</v>
      </c>
      <c r="O22" s="28">
        <f>+SUM(O16+SUM(O19:O21))</f>
        <v>1971626</v>
      </c>
      <c r="P22" s="28">
        <f>+SUM(P16+SUM(P19:P21))</f>
        <v>1578283</v>
      </c>
      <c r="Q22" s="28">
        <f>+SUM(Q16+SUM(Q19:Q21))</f>
        <v>1533018</v>
      </c>
      <c r="R22" s="28">
        <f>+SUM(R16+SUM(R19:R21))</f>
        <v>549904</v>
      </c>
      <c r="S22" s="28">
        <f>+SUM(S16+SUM(S19:S21))</f>
        <v>1714317</v>
      </c>
      <c r="T22" s="28">
        <f>+SUM(T16+SUM(T19:T21))</f>
        <v>1827183</v>
      </c>
      <c r="U22" s="28">
        <f>+SUM(U16+SUM(U19:U21))</f>
        <v>1916394</v>
      </c>
      <c r="V22" s="28">
        <f>+SUM(V16+SUM(V19:V21))</f>
        <v>1496109</v>
      </c>
      <c r="W22" s="28">
        <f>+SUM(W16+SUM(W19:W21))</f>
        <v>2632534</v>
      </c>
      <c r="X22" s="28">
        <f>+SUM(X16+SUM(X19:X21))</f>
        <v>2602837</v>
      </c>
      <c r="Y22" s="28">
        <f>+SUM(Y16+SUM(Y19:Y21))</f>
        <v>2909477</v>
      </c>
      <c r="Z22" s="28">
        <f>+SUM(Z16+SUM(Z19:Z21))</f>
        <v>2272766</v>
      </c>
      <c r="AA22" s="28">
        <f>+SUM(AA16+SUM(AA19:AA21))</f>
        <v>3346999</v>
      </c>
      <c r="AB22" s="28">
        <f>+SUM(AB16+SUM(AB19:AB21))</f>
        <v>3774694</v>
      </c>
      <c r="AC22" s="28">
        <f>+SUM(AC16+SUM(AC19:AC21))</f>
        <v>3248247</v>
      </c>
      <c r="AE22" s="28">
        <f>+SUM(AE16+SUM(AE19:AE21))</f>
        <v>6206279</v>
      </c>
      <c r="AF22" s="28">
        <f>+SUM(AF16+SUM(AF19:AF21))</f>
        <v>5936932</v>
      </c>
      <c r="AG22" s="28">
        <f>+SUM(AG16+SUM(AG19:AG21))</f>
        <v>5714697</v>
      </c>
      <c r="AH22" s="28">
        <f>+SUM(AH16+SUM(AH19:AH21))</f>
        <v>5632831</v>
      </c>
      <c r="AI22" s="28">
        <f>+SUM(AI16+SUM(AI19:AI21))</f>
        <v>5375522</v>
      </c>
      <c r="AJ22" s="28">
        <f>+SUM(AJ16+SUM(AJ19:AJ21))</f>
        <v>5624422</v>
      </c>
      <c r="AK22" s="28">
        <f>+SUM(AK16+SUM(AK19:AK21))</f>
        <v>6007798</v>
      </c>
      <c r="AL22" s="28">
        <f>+SUM(AL16+SUM(AL19:AL21))</f>
        <v>6954003</v>
      </c>
      <c r="AM22" s="28">
        <f>+SUM(AM16+SUM(AM19:AM21))</f>
        <v>7872220</v>
      </c>
      <c r="AN22" s="28">
        <f>+SUM(AN16+SUM(AN19:AN21))</f>
        <v>8647874</v>
      </c>
      <c r="AO22" s="28">
        <f>+SUM(AO16+SUM(AO19:AO21))</f>
        <v>9640957</v>
      </c>
      <c r="AP22" s="28">
        <f>+SUM(AP16+SUM(AP19:AP21))</f>
        <v>10417614</v>
      </c>
      <c r="AQ22" s="28">
        <f>+SUM(AQ16+SUM(AQ19:AQ21))</f>
        <v>11132079</v>
      </c>
      <c r="AR22" s="28">
        <f>+SUM(AR16+SUM(AR19:AR21))</f>
        <v>12303936</v>
      </c>
      <c r="AS22" s="28">
        <f>+SUM(AS16+SUM(AS19:AS21))</f>
        <v>12642706</v>
      </c>
      <c r="AT22" s="12"/>
      <c r="AU22" s="83">
        <f>SUM(AS22/AO22)-1</f>
        <v>0.31135384173998504</v>
      </c>
    </row>
    <row r="23" spans="2:47" ht="12.75" customHeight="1">
      <c r="B23" s="17" t="s">
        <v>50</v>
      </c>
      <c r="C23" s="19">
        <f>C22/C11</f>
        <v>0.10163298361102878</v>
      </c>
      <c r="D23" s="19">
        <f>D22/D11</f>
        <v>0.12920203645017397</v>
      </c>
      <c r="E23" s="19">
        <f>E22/E11</f>
        <v>0.18344049957321268</v>
      </c>
      <c r="F23" s="19">
        <f>F22/F11</f>
        <v>0.20858446828665408</v>
      </c>
      <c r="G23" s="19">
        <f>G22/G11</f>
        <v>0.17816647187855345</v>
      </c>
      <c r="H23" s="19">
        <f>H22/H11</f>
        <v>0.20620768485358951</v>
      </c>
      <c r="I23" s="19">
        <f>I22/I11</f>
        <v>0.26711169154117875</v>
      </c>
      <c r="J23" s="34"/>
      <c r="K23" s="19">
        <f>K22/K11</f>
        <v>0.27359749343945972</v>
      </c>
      <c r="L23" s="19">
        <f>L22/L11</f>
        <v>0.25165978209362666</v>
      </c>
      <c r="M23" s="19">
        <f>M22/M11</f>
        <v>0.23455077706629829</v>
      </c>
      <c r="N23" s="19">
        <f>N22/N11</f>
        <v>8.194888315672022E-2</v>
      </c>
      <c r="O23" s="19">
        <f>O22/O11</f>
        <v>0.25059537223204498</v>
      </c>
      <c r="P23" s="19">
        <f>P22/P11</f>
        <v>0.19802447660587183</v>
      </c>
      <c r="Q23" s="19">
        <f>Q22/Q11</f>
        <v>0.19342638130743342</v>
      </c>
      <c r="R23" s="19">
        <f>R22/R11</f>
        <v>7.0033149292293359E-2</v>
      </c>
      <c r="S23" s="19">
        <f>S22/S11</f>
        <v>0.21004917844176496</v>
      </c>
      <c r="T23" s="19">
        <f>T22/T11</f>
        <v>0.22317281360487418</v>
      </c>
      <c r="U23" s="19">
        <f>U22/U11</f>
        <v>0.22435828692943813</v>
      </c>
      <c r="V23" s="19">
        <f>V22/V11</f>
        <v>0.16938057756153893</v>
      </c>
      <c r="W23" s="19">
        <f>W22/W11</f>
        <v>0.28094027601692129</v>
      </c>
      <c r="X23" s="19">
        <f>X22/X11</f>
        <v>0.27228293673915793</v>
      </c>
      <c r="Y23" s="19">
        <f>Y22/Y11</f>
        <v>0.29613892654057838</v>
      </c>
      <c r="Z23" s="19">
        <f>Z22/Z11</f>
        <v>0.22180872653945785</v>
      </c>
      <c r="AA23" s="19">
        <f>AA22/AA11</f>
        <v>0.31746772039043514</v>
      </c>
      <c r="AB23" s="19">
        <f>AB22/AB11</f>
        <v>0.34070199868834894</v>
      </c>
      <c r="AC23" s="19">
        <f>AC22/AC11</f>
        <v>0.28220333306487827</v>
      </c>
      <c r="AE23" s="19">
        <f>AE22/AE11</f>
        <v>0.20413827506438734</v>
      </c>
      <c r="AF23" s="19">
        <f>AF22/AF11</f>
        <v>0.19132450570794535</v>
      </c>
      <c r="AG23" s="19">
        <f>AG22/AG11</f>
        <v>0.18157565505341675</v>
      </c>
      <c r="AH23" s="19">
        <f>AH22/AH11</f>
        <v>0.17816647187855345</v>
      </c>
      <c r="AI23" s="19">
        <f>AI22/AI11</f>
        <v>0.16846262244789809</v>
      </c>
      <c r="AJ23" s="19">
        <f>AJ22/AJ11</f>
        <v>0.175071403789887</v>
      </c>
      <c r="AK23" s="19">
        <f>AK22/AK11</f>
        <v>0.18348609339078156</v>
      </c>
      <c r="AL23" s="19">
        <f>AL22/AL11</f>
        <v>0.20620768485358951</v>
      </c>
      <c r="AM23" s="19">
        <f>AM22/AM11</f>
        <v>0.22535690102156078</v>
      </c>
      <c r="AN23" s="19">
        <f>AN22/AN11</f>
        <v>0.23820560037569163</v>
      </c>
      <c r="AO23" s="19">
        <f>AO22/AO11</f>
        <v>0.25649521628035954</v>
      </c>
      <c r="AP23" s="19">
        <f>AP22/AP11</f>
        <v>0.26711169154117875</v>
      </c>
      <c r="AQ23" s="19">
        <f>AQ22/AQ11</f>
        <v>0.2771012468048763</v>
      </c>
      <c r="AR23" s="19">
        <f>AR22/AR11</f>
        <v>0.29510666048212247</v>
      </c>
      <c r="AS23" s="19">
        <f>AS22/AS11</f>
        <v>0.29144904397626425</v>
      </c>
      <c r="AT23" s="12"/>
      <c r="AU23" s="84">
        <f>SUM(AS23-AO23)*1000</f>
        <v>34.953827695904714</v>
      </c>
    </row>
    <row r="24" spans="2:47" ht="5.0999999999999996" customHeight="1">
      <c r="B24" s="17"/>
      <c r="C24" s="19"/>
      <c r="D24" s="19"/>
      <c r="E24" s="19"/>
      <c r="F24" s="19"/>
      <c r="G24" s="19"/>
      <c r="H24" s="19"/>
      <c r="I24" s="19"/>
      <c r="J24" s="34"/>
      <c r="K24" s="89"/>
      <c r="L24" s="89"/>
      <c r="M24" s="89"/>
      <c r="N24" s="89"/>
      <c r="O24" s="89"/>
      <c r="P24" s="89"/>
      <c r="Q24" s="89"/>
      <c r="R24" s="89"/>
      <c r="S24" s="89"/>
      <c r="T24" s="89"/>
      <c r="U24" s="89"/>
      <c r="V24" s="89"/>
      <c r="W24" s="89"/>
      <c r="X24" s="89"/>
      <c r="Y24" s="89"/>
      <c r="Z24" s="89"/>
      <c r="AA24" s="34"/>
      <c r="AB24" s="89"/>
      <c r="AC24" s="89"/>
      <c r="AE24" s="34"/>
      <c r="AF24" s="34"/>
      <c r="AG24" s="34"/>
      <c r="AH24" s="34"/>
      <c r="AI24" s="34"/>
      <c r="AJ24" s="34"/>
      <c r="AK24" s="34"/>
      <c r="AL24" s="34"/>
      <c r="AM24" s="34"/>
      <c r="AN24" s="34"/>
      <c r="AO24" s="34"/>
      <c r="AP24" s="34"/>
      <c r="AQ24" s="34"/>
      <c r="AR24" s="34"/>
      <c r="AS24" s="34"/>
      <c r="AT24" s="12"/>
      <c r="AU24" s="82"/>
    </row>
    <row r="25" spans="2:47" ht="12.75" customHeight="1">
      <c r="B25" s="10" t="s">
        <v>465</v>
      </c>
      <c r="C25" s="89">
        <v>0</v>
      </c>
      <c r="D25" s="89">
        <v>0</v>
      </c>
      <c r="E25" s="89">
        <v>0</v>
      </c>
      <c r="F25" s="89">
        <v>0</v>
      </c>
      <c r="G25" s="89">
        <v>60000</v>
      </c>
      <c r="H25" s="89">
        <v>281000</v>
      </c>
      <c r="I25" s="89">
        <v>294000</v>
      </c>
      <c r="J25" s="34"/>
      <c r="K25" s="89">
        <v>0</v>
      </c>
      <c r="L25" s="89">
        <v>0</v>
      </c>
      <c r="M25" s="89">
        <v>0</v>
      </c>
      <c r="N25" s="34">
        <f t="shared" ref="N25:N27" si="42">SUM(F25-SUM(K25:M25))</f>
        <v>0</v>
      </c>
      <c r="O25" s="89">
        <v>0</v>
      </c>
      <c r="P25" s="89">
        <v>0</v>
      </c>
      <c r="Q25" s="89">
        <v>0</v>
      </c>
      <c r="R25" s="34">
        <f t="shared" ref="R25:R27" si="43">SUM(G25-SUM(O25:Q25))</f>
        <v>60000</v>
      </c>
      <c r="S25" s="89">
        <v>0</v>
      </c>
      <c r="T25" s="89">
        <v>0</v>
      </c>
      <c r="U25" s="89">
        <v>0</v>
      </c>
      <c r="V25" s="34">
        <f t="shared" ref="V25:V27" si="44">SUM(H25-SUM(S25:U25))</f>
        <v>281000</v>
      </c>
      <c r="W25" s="89">
        <v>67000</v>
      </c>
      <c r="X25" s="89">
        <v>63000</v>
      </c>
      <c r="Y25" s="89">
        <v>76000</v>
      </c>
      <c r="Z25" s="34">
        <f t="shared" ref="Z25:Z27" si="45">SUM(I25-SUM(W25:Y25))</f>
        <v>88000</v>
      </c>
      <c r="AA25" s="89">
        <v>82000</v>
      </c>
      <c r="AB25" s="89">
        <v>72000</v>
      </c>
      <c r="AC25" s="89">
        <v>67000</v>
      </c>
      <c r="AE25" s="34">
        <f t="shared" ref="AE25:AE27" si="46">SUM(L25:O25)</f>
        <v>0</v>
      </c>
      <c r="AF25" s="34">
        <f t="shared" ref="AF25:AF27" si="47">SUM(M25:P25)</f>
        <v>0</v>
      </c>
      <c r="AG25" s="34">
        <f t="shared" ref="AG25:AG27" si="48">SUM(N25:Q25)</f>
        <v>0</v>
      </c>
      <c r="AH25" s="34">
        <f t="shared" ref="AH25:AH27" si="49">SUM(O25:R25)</f>
        <v>60000</v>
      </c>
      <c r="AI25" s="34">
        <f t="shared" ref="AI25:AI27" si="50">SUM(P25:S25)</f>
        <v>60000</v>
      </c>
      <c r="AJ25" s="34">
        <f t="shared" ref="AJ25:AJ27" si="51">SUM(Q25:T25)</f>
        <v>60000</v>
      </c>
      <c r="AK25" s="34">
        <f t="shared" ref="AK25:AK27" si="52">SUM(R25:U25)</f>
        <v>60000</v>
      </c>
      <c r="AL25" s="34">
        <f t="shared" ref="AL25:AL27" si="53">SUM(S25:V25)</f>
        <v>281000</v>
      </c>
      <c r="AM25" s="34">
        <f t="shared" ref="AM25:AM27" si="54">SUM(T25:W25)</f>
        <v>348000</v>
      </c>
      <c r="AN25" s="34">
        <f t="shared" ref="AN25:AN27" si="55">SUM(U25:X25)</f>
        <v>411000</v>
      </c>
      <c r="AO25" s="34">
        <f t="shared" ref="AO25:AO27" si="56">SUM(V25:Y25)</f>
        <v>487000</v>
      </c>
      <c r="AP25" s="34">
        <f t="shared" ref="AP25:AP27" si="57">SUM(W25:Z25)</f>
        <v>294000</v>
      </c>
      <c r="AQ25" s="34">
        <f t="shared" ref="AQ25:AQ27" si="58">SUM(X25:AA25)</f>
        <v>309000</v>
      </c>
      <c r="AR25" s="34">
        <f t="shared" ref="AR25:AR27" si="59">SUM(Y25:AB25)</f>
        <v>318000</v>
      </c>
      <c r="AS25" s="34">
        <f t="shared" ref="AS25:AS27" si="60">SUM(Z25:AC25)</f>
        <v>309000</v>
      </c>
      <c r="AT25" s="12"/>
      <c r="AU25" s="82">
        <f>SUM(AS25/AO25)-1</f>
        <v>-0.3655030800821355</v>
      </c>
    </row>
    <row r="26" spans="2:47" ht="12.75" customHeight="1">
      <c r="B26" s="10" t="s">
        <v>429</v>
      </c>
      <c r="C26" s="89">
        <v>-420493</v>
      </c>
      <c r="D26" s="89">
        <v>-626023</v>
      </c>
      <c r="E26" s="89">
        <v>-767499</v>
      </c>
      <c r="F26" s="89">
        <v>-765620</v>
      </c>
      <c r="G26" s="89">
        <v>-706212</v>
      </c>
      <c r="H26" s="89">
        <v>-699826</v>
      </c>
      <c r="I26" s="89">
        <v>-718733</v>
      </c>
      <c r="J26" s="34"/>
      <c r="K26" s="89">
        <v>-194440</v>
      </c>
      <c r="L26" s="89">
        <v>-191322</v>
      </c>
      <c r="M26" s="89">
        <v>-190429</v>
      </c>
      <c r="N26" s="34">
        <f t="shared" si="42"/>
        <v>-189429</v>
      </c>
      <c r="O26" s="89">
        <v>-187579</v>
      </c>
      <c r="P26" s="89">
        <v>-175455</v>
      </c>
      <c r="Q26" s="89">
        <v>-172575</v>
      </c>
      <c r="R26" s="34">
        <f t="shared" si="43"/>
        <v>-170603</v>
      </c>
      <c r="S26" s="89">
        <v>-174239</v>
      </c>
      <c r="T26" s="89">
        <v>-174812</v>
      </c>
      <c r="U26" s="89">
        <v>-175563</v>
      </c>
      <c r="V26" s="34">
        <f t="shared" si="44"/>
        <v>-175212</v>
      </c>
      <c r="W26" s="89">
        <v>-173314</v>
      </c>
      <c r="X26" s="89">
        <v>-167986</v>
      </c>
      <c r="Y26" s="89">
        <v>-184830</v>
      </c>
      <c r="Z26" s="34">
        <f t="shared" si="45"/>
        <v>-192603</v>
      </c>
      <c r="AA26" s="89">
        <v>-184172</v>
      </c>
      <c r="AB26" s="89">
        <v>-182649</v>
      </c>
      <c r="AC26" s="89">
        <v>-175294</v>
      </c>
      <c r="AE26" s="34">
        <f t="shared" si="46"/>
        <v>-758759</v>
      </c>
      <c r="AF26" s="34">
        <f t="shared" si="47"/>
        <v>-742892</v>
      </c>
      <c r="AG26" s="34">
        <f t="shared" si="48"/>
        <v>-725038</v>
      </c>
      <c r="AH26" s="34">
        <f t="shared" si="49"/>
        <v>-706212</v>
      </c>
      <c r="AI26" s="34">
        <f t="shared" si="50"/>
        <v>-692872</v>
      </c>
      <c r="AJ26" s="34">
        <f t="shared" si="51"/>
        <v>-692229</v>
      </c>
      <c r="AK26" s="34">
        <f t="shared" si="52"/>
        <v>-695217</v>
      </c>
      <c r="AL26" s="34">
        <f t="shared" si="53"/>
        <v>-699826</v>
      </c>
      <c r="AM26" s="34">
        <f t="shared" si="54"/>
        <v>-698901</v>
      </c>
      <c r="AN26" s="34">
        <f t="shared" si="55"/>
        <v>-692075</v>
      </c>
      <c r="AO26" s="34">
        <f t="shared" si="56"/>
        <v>-701342</v>
      </c>
      <c r="AP26" s="34">
        <f t="shared" si="57"/>
        <v>-718733</v>
      </c>
      <c r="AQ26" s="34">
        <f t="shared" si="58"/>
        <v>-729591</v>
      </c>
      <c r="AR26" s="34">
        <f t="shared" si="59"/>
        <v>-744254</v>
      </c>
      <c r="AS26" s="34">
        <f t="shared" si="60"/>
        <v>-734718</v>
      </c>
      <c r="AT26" s="12"/>
      <c r="AU26" s="82">
        <f>SUM(AS26/AO26)-1</f>
        <v>4.7588765538068456E-2</v>
      </c>
    </row>
    <row r="27" spans="2:47" ht="12.75" customHeight="1">
      <c r="B27" s="10" t="s">
        <v>636</v>
      </c>
      <c r="C27" s="89">
        <v>41725</v>
      </c>
      <c r="D27" s="89">
        <v>84000</v>
      </c>
      <c r="E27" s="89">
        <v>-618441</v>
      </c>
      <c r="F27" s="89">
        <v>411214</v>
      </c>
      <c r="G27" s="34">
        <f>337310-G25</f>
        <v>277310</v>
      </c>
      <c r="H27" s="34">
        <f>-48772-H25</f>
        <v>-329772</v>
      </c>
      <c r="I27" s="34">
        <f>266776-I25</f>
        <v>-27224</v>
      </c>
      <c r="J27" s="34"/>
      <c r="K27" s="89">
        <v>269086</v>
      </c>
      <c r="L27" s="89">
        <v>-62519</v>
      </c>
      <c r="M27" s="89">
        <v>96135</v>
      </c>
      <c r="N27" s="34">
        <f t="shared" si="42"/>
        <v>108512</v>
      </c>
      <c r="O27" s="89">
        <v>195645</v>
      </c>
      <c r="P27" s="89">
        <v>220226</v>
      </c>
      <c r="Q27" s="89">
        <v>261404</v>
      </c>
      <c r="R27" s="34">
        <f t="shared" si="43"/>
        <v>-399965</v>
      </c>
      <c r="S27" s="89">
        <v>-71204</v>
      </c>
      <c r="T27" s="89">
        <v>26961</v>
      </c>
      <c r="U27" s="89">
        <v>168218</v>
      </c>
      <c r="V27" s="34">
        <f t="shared" si="44"/>
        <v>-453747</v>
      </c>
      <c r="W27" s="34">
        <f>155359-W25</f>
        <v>88359</v>
      </c>
      <c r="X27" s="34">
        <f>79005-X25</f>
        <v>16005</v>
      </c>
      <c r="Y27" s="34">
        <f>-21693-Y25</f>
        <v>-97693</v>
      </c>
      <c r="Z27" s="34">
        <f t="shared" si="45"/>
        <v>-33895</v>
      </c>
      <c r="AA27" s="34">
        <f>50899-AA25</f>
        <v>-31101</v>
      </c>
      <c r="AB27" s="34">
        <f>39630-AB25</f>
        <v>-32370</v>
      </c>
      <c r="AC27" s="34">
        <f>36457-AC25</f>
        <v>-30543</v>
      </c>
      <c r="AE27" s="34">
        <f t="shared" si="46"/>
        <v>337773</v>
      </c>
      <c r="AF27" s="34">
        <f t="shared" si="47"/>
        <v>620518</v>
      </c>
      <c r="AG27" s="34">
        <f t="shared" si="48"/>
        <v>785787</v>
      </c>
      <c r="AH27" s="34">
        <f t="shared" si="49"/>
        <v>277310</v>
      </c>
      <c r="AI27" s="34">
        <f t="shared" si="50"/>
        <v>10461</v>
      </c>
      <c r="AJ27" s="34">
        <f t="shared" si="51"/>
        <v>-182804</v>
      </c>
      <c r="AK27" s="34">
        <f t="shared" si="52"/>
        <v>-275990</v>
      </c>
      <c r="AL27" s="34">
        <f t="shared" si="53"/>
        <v>-329772</v>
      </c>
      <c r="AM27" s="34">
        <f t="shared" si="54"/>
        <v>-170209</v>
      </c>
      <c r="AN27" s="34">
        <f t="shared" si="55"/>
        <v>-181165</v>
      </c>
      <c r="AO27" s="34">
        <f t="shared" si="56"/>
        <v>-447076</v>
      </c>
      <c r="AP27" s="34">
        <f t="shared" si="57"/>
        <v>-27224</v>
      </c>
      <c r="AQ27" s="34">
        <f t="shared" si="58"/>
        <v>-146684</v>
      </c>
      <c r="AR27" s="34">
        <f t="shared" si="59"/>
        <v>-195059</v>
      </c>
      <c r="AS27" s="34">
        <f t="shared" si="60"/>
        <v>-127909</v>
      </c>
      <c r="AT27" s="12"/>
      <c r="AU27" s="82">
        <f>SUM(AS27/AO27)-1</f>
        <v>-0.71389875546886883</v>
      </c>
    </row>
    <row r="28" spans="2:47" ht="12.75" customHeight="1">
      <c r="B28" s="27" t="s">
        <v>431</v>
      </c>
      <c r="C28" s="28">
        <f t="shared" ref="C28:I28" si="61">SUM(C22+SUM(C25:C27))</f>
        <v>1226458</v>
      </c>
      <c r="D28" s="28">
        <f t="shared" si="61"/>
        <v>2062231</v>
      </c>
      <c r="E28" s="28">
        <f t="shared" si="61"/>
        <v>3199349</v>
      </c>
      <c r="F28" s="28">
        <f t="shared" si="61"/>
        <v>5840103</v>
      </c>
      <c r="G28" s="28">
        <f t="shared" si="61"/>
        <v>5263929</v>
      </c>
      <c r="H28" s="28">
        <f t="shared" si="61"/>
        <v>6205405</v>
      </c>
      <c r="I28" s="28">
        <f t="shared" si="61"/>
        <v>9965657</v>
      </c>
      <c r="K28" s="28">
        <f t="shared" ref="K28:AC28" si="62">SUM(K22+SUM(K25:K27))</f>
        <v>2034502</v>
      </c>
      <c r="L28" s="28">
        <f t="shared" si="62"/>
        <v>1593789</v>
      </c>
      <c r="M28" s="28">
        <f t="shared" si="62"/>
        <v>1660959</v>
      </c>
      <c r="N28" s="28">
        <f t="shared" si="62"/>
        <v>550853</v>
      </c>
      <c r="O28" s="28">
        <f t="shared" si="62"/>
        <v>1979692</v>
      </c>
      <c r="P28" s="28">
        <f t="shared" si="62"/>
        <v>1623054</v>
      </c>
      <c r="Q28" s="28">
        <f t="shared" si="62"/>
        <v>1621847</v>
      </c>
      <c r="R28" s="28">
        <f t="shared" si="62"/>
        <v>39336</v>
      </c>
      <c r="S28" s="28">
        <f t="shared" si="62"/>
        <v>1468874</v>
      </c>
      <c r="T28" s="28">
        <f t="shared" si="62"/>
        <v>1679332</v>
      </c>
      <c r="U28" s="28">
        <f t="shared" si="62"/>
        <v>1909049</v>
      </c>
      <c r="V28" s="28">
        <f t="shared" si="62"/>
        <v>1148150</v>
      </c>
      <c r="W28" s="28">
        <f t="shared" si="62"/>
        <v>2614579</v>
      </c>
      <c r="X28" s="28">
        <f t="shared" si="62"/>
        <v>2513856</v>
      </c>
      <c r="Y28" s="28">
        <f t="shared" si="62"/>
        <v>2702954</v>
      </c>
      <c r="Z28" s="28">
        <f t="shared" si="62"/>
        <v>2134268</v>
      </c>
      <c r="AA28" s="28">
        <f t="shared" si="62"/>
        <v>3213726</v>
      </c>
      <c r="AB28" s="28">
        <f t="shared" si="62"/>
        <v>3631675</v>
      </c>
      <c r="AC28" s="28">
        <f t="shared" si="62"/>
        <v>3109410</v>
      </c>
      <c r="AE28" s="28">
        <f t="shared" ref="AE28:AS28" si="63">SUM(AE22+SUM(AE25:AE27))</f>
        <v>5785293</v>
      </c>
      <c r="AF28" s="28">
        <f t="shared" si="63"/>
        <v>5814558</v>
      </c>
      <c r="AG28" s="28">
        <f t="shared" si="63"/>
        <v>5775446</v>
      </c>
      <c r="AH28" s="28">
        <f t="shared" si="63"/>
        <v>5263929</v>
      </c>
      <c r="AI28" s="28">
        <f t="shared" si="63"/>
        <v>4753111</v>
      </c>
      <c r="AJ28" s="28">
        <f t="shared" si="63"/>
        <v>4809389</v>
      </c>
      <c r="AK28" s="28">
        <f t="shared" si="63"/>
        <v>5096591</v>
      </c>
      <c r="AL28" s="28">
        <f t="shared" si="63"/>
        <v>6205405</v>
      </c>
      <c r="AM28" s="28">
        <f t="shared" si="63"/>
        <v>7351110</v>
      </c>
      <c r="AN28" s="28">
        <f t="shared" si="63"/>
        <v>8185634</v>
      </c>
      <c r="AO28" s="28">
        <f t="shared" si="63"/>
        <v>8979539</v>
      </c>
      <c r="AP28" s="28">
        <f t="shared" si="63"/>
        <v>9965657</v>
      </c>
      <c r="AQ28" s="28">
        <f t="shared" si="63"/>
        <v>10564804</v>
      </c>
      <c r="AR28" s="28">
        <f t="shared" si="63"/>
        <v>11682623</v>
      </c>
      <c r="AS28" s="28">
        <f t="shared" si="63"/>
        <v>12089079</v>
      </c>
      <c r="AT28" s="45"/>
      <c r="AU28" s="83">
        <f>SUM(AS28/AO28)-1</f>
        <v>0.34629171943014003</v>
      </c>
    </row>
    <row r="29" spans="2:47" ht="12.75" customHeight="1">
      <c r="B29" s="17" t="s">
        <v>432</v>
      </c>
      <c r="C29" s="19">
        <f>C28/C11</f>
        <v>7.7651736150308515E-2</v>
      </c>
      <c r="D29" s="19">
        <f>D28/D11</f>
        <v>0.10231123570538002</v>
      </c>
      <c r="E29" s="19">
        <f>E28/E11</f>
        <v>0.12799415235747591</v>
      </c>
      <c r="F29" s="19">
        <f>F28/F11</f>
        <v>0.19665074003351893</v>
      </c>
      <c r="G29" s="19">
        <f>G28/G11</f>
        <v>0.16649809982745833</v>
      </c>
      <c r="H29" s="19">
        <f>H28/H11</f>
        <v>0.1840094401208755</v>
      </c>
      <c r="I29" s="19">
        <f>I28/I11</f>
        <v>0.25552333755015194</v>
      </c>
      <c r="J29" s="29"/>
      <c r="K29" s="19">
        <f>K28/K11</f>
        <v>0.28401813582098262</v>
      </c>
      <c r="L29" s="19">
        <f>L28/L11</f>
        <v>0.21708491009737832</v>
      </c>
      <c r="M29" s="19">
        <f>M28/M11</f>
        <v>0.22195046761080126</v>
      </c>
      <c r="N29" s="19">
        <f>N28/N11</f>
        <v>7.1452883380864557E-2</v>
      </c>
      <c r="O29" s="19">
        <f>O28/O11</f>
        <v>0.25162056781803527</v>
      </c>
      <c r="P29" s="19">
        <f>P28/P11</f>
        <v>0.20364181762907332</v>
      </c>
      <c r="Q29" s="19">
        <f>Q28/Q11</f>
        <v>0.20463425494307111</v>
      </c>
      <c r="R29" s="19">
        <f>R28/R11</f>
        <v>5.0096452481917788E-3</v>
      </c>
      <c r="S29" s="19">
        <f>S28/S11</f>
        <v>0.17997591865125823</v>
      </c>
      <c r="T29" s="19">
        <f>T28/T11</f>
        <v>0.20511423728039313</v>
      </c>
      <c r="U29" s="19">
        <f>U28/U11</f>
        <v>0.22349838462464239</v>
      </c>
      <c r="V29" s="19">
        <f>V28/V11</f>
        <v>0.12998672565119312</v>
      </c>
      <c r="W29" s="19">
        <f>W28/W11</f>
        <v>0.27902414401031328</v>
      </c>
      <c r="X29" s="19">
        <f>X28/X11</f>
        <v>0.26297462892196194</v>
      </c>
      <c r="Y29" s="19">
        <f>Y28/Y11</f>
        <v>0.27511813843125843</v>
      </c>
      <c r="Z29" s="19">
        <f>Z28/Z11</f>
        <v>0.20829212825865737</v>
      </c>
      <c r="AA29" s="19">
        <f>AA28/AA11</f>
        <v>0.30482658261310253</v>
      </c>
      <c r="AB29" s="19">
        <f>AB28/AB11</f>
        <v>0.32779317504584732</v>
      </c>
      <c r="AC29" s="19">
        <f>AC28/AC11</f>
        <v>0.27014136112963799</v>
      </c>
      <c r="AD29" s="30"/>
      <c r="AE29" s="19">
        <f>AE28/AE11</f>
        <v>0.19029111223682896</v>
      </c>
      <c r="AF29" s="19">
        <f>AF28/AF11</f>
        <v>0.18738086190985165</v>
      </c>
      <c r="AG29" s="19">
        <f>AG28/AG11</f>
        <v>0.18350586053392429</v>
      </c>
      <c r="AH29" s="19">
        <f>AH28/AH11</f>
        <v>0.16649809982745833</v>
      </c>
      <c r="AI29" s="19">
        <f>AI28/AI11</f>
        <v>0.14895698386983652</v>
      </c>
      <c r="AJ29" s="19">
        <f>AJ28/AJ11</f>
        <v>0.14970186867230817</v>
      </c>
      <c r="AK29" s="19">
        <f>AK28/AK11</f>
        <v>0.15565662697058336</v>
      </c>
      <c r="AL29" s="19">
        <f>AL28/AL11</f>
        <v>0.1840094401208755</v>
      </c>
      <c r="AM29" s="19">
        <f>AM28/AM11</f>
        <v>0.21043916057587383</v>
      </c>
      <c r="AN29" s="19">
        <f>AN28/AN11</f>
        <v>0.22547320433041393</v>
      </c>
      <c r="AO29" s="19">
        <f>AO28/AO11</f>
        <v>0.23889835810935817</v>
      </c>
      <c r="AP29" s="19">
        <f>AP28/AP11</f>
        <v>0.25552333755015194</v>
      </c>
      <c r="AQ29" s="19">
        <f>AQ28/AQ11</f>
        <v>0.26298055921532215</v>
      </c>
      <c r="AR29" s="19">
        <f>AR28/AR11</f>
        <v>0.28020463201382345</v>
      </c>
      <c r="AS29" s="19">
        <f>AS28/AS11</f>
        <v>0.27868642338938615</v>
      </c>
      <c r="AT29" s="46"/>
      <c r="AU29" s="84">
        <f>SUM(AS29-AO29)*1000</f>
        <v>39.788065280027986</v>
      </c>
    </row>
    <row r="30" spans="2:47" ht="5.0999999999999996" customHeight="1">
      <c r="B30" s="31"/>
      <c r="C30" s="47"/>
      <c r="D30" s="47"/>
      <c r="E30" s="47"/>
      <c r="F30" s="47"/>
      <c r="G30" s="47"/>
      <c r="H30" s="47"/>
      <c r="I30" s="47"/>
      <c r="J30" s="32"/>
      <c r="K30" s="47"/>
      <c r="L30" s="47"/>
      <c r="M30" s="47"/>
      <c r="N30" s="47"/>
      <c r="O30" s="47"/>
      <c r="P30" s="47"/>
      <c r="Q30" s="47"/>
      <c r="R30" s="47"/>
      <c r="S30" s="47"/>
      <c r="T30" s="47"/>
      <c r="U30" s="47"/>
      <c r="V30" s="47"/>
      <c r="W30" s="47"/>
      <c r="X30" s="47"/>
      <c r="Y30" s="47"/>
      <c r="Z30" s="47"/>
      <c r="AA30" s="47"/>
      <c r="AB30" s="47"/>
      <c r="AC30" s="47"/>
      <c r="AE30" s="47"/>
      <c r="AF30" s="47"/>
      <c r="AG30" s="47"/>
      <c r="AH30" s="47"/>
      <c r="AI30" s="47"/>
      <c r="AJ30" s="47"/>
      <c r="AK30" s="47"/>
      <c r="AL30" s="47"/>
      <c r="AM30" s="47"/>
      <c r="AN30" s="47"/>
      <c r="AO30" s="47"/>
      <c r="AP30" s="47"/>
      <c r="AQ30" s="47"/>
      <c r="AR30" s="47"/>
      <c r="AS30" s="47"/>
      <c r="AT30" s="46"/>
      <c r="AU30" s="82"/>
    </row>
    <row r="31" spans="2:47" ht="12.75" customHeight="1">
      <c r="B31" s="49" t="s">
        <v>84</v>
      </c>
      <c r="C31" s="89">
        <v>-15216</v>
      </c>
      <c r="D31" s="89">
        <v>-195315</v>
      </c>
      <c r="E31" s="89">
        <v>-437954</v>
      </c>
      <c r="F31" s="89">
        <v>-723875</v>
      </c>
      <c r="G31" s="89">
        <v>-772005</v>
      </c>
      <c r="H31" s="89">
        <v>-797415</v>
      </c>
      <c r="I31" s="89">
        <v>-1254026</v>
      </c>
      <c r="J31" s="34"/>
      <c r="K31" s="89">
        <v>-327787</v>
      </c>
      <c r="L31" s="89">
        <v>-240776</v>
      </c>
      <c r="M31" s="89">
        <v>-211888</v>
      </c>
      <c r="N31" s="34">
        <f>SUM(F31-SUM(K31:M31))</f>
        <v>56576</v>
      </c>
      <c r="O31" s="89">
        <v>-382245</v>
      </c>
      <c r="P31" s="89">
        <v>-182103</v>
      </c>
      <c r="Q31" s="89">
        <v>-223605</v>
      </c>
      <c r="R31" s="34">
        <f>SUM(G31-SUM(O31:Q31))</f>
        <v>15948</v>
      </c>
      <c r="S31" s="89">
        <v>-163754</v>
      </c>
      <c r="T31" s="89">
        <v>-191722</v>
      </c>
      <c r="U31" s="89">
        <v>-231627</v>
      </c>
      <c r="V31" s="34">
        <f>SUM(H31-SUM(S31:U31))</f>
        <v>-210312</v>
      </c>
      <c r="W31" s="89">
        <v>-282370</v>
      </c>
      <c r="X31" s="89">
        <v>-366550</v>
      </c>
      <c r="Y31" s="89">
        <v>-339445</v>
      </c>
      <c r="Z31" s="34">
        <f>SUM(I31-SUM(W31:Y31))</f>
        <v>-265661</v>
      </c>
      <c r="AA31" s="89">
        <v>-323375</v>
      </c>
      <c r="AB31" s="89">
        <v>-506262</v>
      </c>
      <c r="AC31" s="89">
        <v>-562494</v>
      </c>
      <c r="AD31" s="34"/>
      <c r="AE31" s="34">
        <f t="shared" ref="AE31" si="64">SUM(L31:O31)</f>
        <v>-778333</v>
      </c>
      <c r="AF31" s="34">
        <f t="shared" ref="AF31" si="65">SUM(M31:P31)</f>
        <v>-719660</v>
      </c>
      <c r="AG31" s="34">
        <f t="shared" ref="AG31" si="66">SUM(N31:Q31)</f>
        <v>-731377</v>
      </c>
      <c r="AH31" s="34">
        <f t="shared" ref="AH31" si="67">SUM(O31:R31)</f>
        <v>-772005</v>
      </c>
      <c r="AI31" s="34">
        <f t="shared" ref="AI31" si="68">SUM(P31:S31)</f>
        <v>-553514</v>
      </c>
      <c r="AJ31" s="34">
        <f t="shared" ref="AJ31" si="69">SUM(Q31:T31)</f>
        <v>-563133</v>
      </c>
      <c r="AK31" s="34">
        <f t="shared" ref="AK31" si="70">SUM(R31:U31)</f>
        <v>-571155</v>
      </c>
      <c r="AL31" s="34">
        <f t="shared" ref="AL31" si="71">SUM(S31:V31)</f>
        <v>-797415</v>
      </c>
      <c r="AM31" s="34">
        <f t="shared" ref="AM31" si="72">SUM(T31:W31)</f>
        <v>-916031</v>
      </c>
      <c r="AN31" s="34">
        <f t="shared" ref="AN31" si="73">SUM(U31:X31)</f>
        <v>-1090859</v>
      </c>
      <c r="AO31" s="34">
        <f t="shared" ref="AO31" si="74">SUM(V31:Y31)</f>
        <v>-1198677</v>
      </c>
      <c r="AP31" s="34">
        <f t="shared" ref="AP31" si="75">SUM(W31:Z31)</f>
        <v>-1254026</v>
      </c>
      <c r="AQ31" s="34">
        <f t="shared" ref="AQ31" si="76">SUM(X31:AA31)</f>
        <v>-1295031</v>
      </c>
      <c r="AR31" s="34">
        <f t="shared" ref="AR31" si="77">SUM(Y31:AB31)</f>
        <v>-1434743</v>
      </c>
      <c r="AS31" s="34">
        <f>SUM(Z31:AC31)</f>
        <v>-1657792</v>
      </c>
      <c r="AT31" s="46"/>
      <c r="AU31" s="82">
        <f>SUM(AS31/AO31)-1</f>
        <v>0.38301811080049086</v>
      </c>
    </row>
    <row r="32" spans="2:47" ht="12.75" customHeight="1">
      <c r="B32" s="14" t="s">
        <v>69</v>
      </c>
      <c r="C32" s="15">
        <f t="shared" ref="C32:I32" si="78">SUM(C28+SUM(C31:C31))</f>
        <v>1211242</v>
      </c>
      <c r="D32" s="15">
        <f t="shared" si="78"/>
        <v>1866916</v>
      </c>
      <c r="E32" s="15">
        <f t="shared" si="78"/>
        <v>2761395</v>
      </c>
      <c r="F32" s="15">
        <f t="shared" si="78"/>
        <v>5116228</v>
      </c>
      <c r="G32" s="15">
        <f t="shared" si="78"/>
        <v>4491924</v>
      </c>
      <c r="H32" s="15">
        <f t="shared" si="78"/>
        <v>5407990</v>
      </c>
      <c r="I32" s="15">
        <f t="shared" si="78"/>
        <v>8711631</v>
      </c>
      <c r="J32" s="12"/>
      <c r="K32" s="15">
        <f t="shared" ref="K32:AC32" si="79">SUM(K28+SUM(K31:K31))</f>
        <v>1706715</v>
      </c>
      <c r="L32" s="15">
        <f t="shared" si="79"/>
        <v>1353013</v>
      </c>
      <c r="M32" s="15">
        <f t="shared" si="79"/>
        <v>1449071</v>
      </c>
      <c r="N32" s="15">
        <f t="shared" si="79"/>
        <v>607429</v>
      </c>
      <c r="O32" s="15">
        <f t="shared" si="79"/>
        <v>1597447</v>
      </c>
      <c r="P32" s="15">
        <f t="shared" si="79"/>
        <v>1440951</v>
      </c>
      <c r="Q32" s="15">
        <f t="shared" si="79"/>
        <v>1398242</v>
      </c>
      <c r="R32" s="15">
        <f t="shared" si="79"/>
        <v>55284</v>
      </c>
      <c r="S32" s="15">
        <f t="shared" si="79"/>
        <v>1305120</v>
      </c>
      <c r="T32" s="15">
        <f t="shared" si="79"/>
        <v>1487610</v>
      </c>
      <c r="U32" s="15">
        <f t="shared" si="79"/>
        <v>1677422</v>
      </c>
      <c r="V32" s="15">
        <f t="shared" si="79"/>
        <v>937838</v>
      </c>
      <c r="W32" s="15">
        <f t="shared" si="79"/>
        <v>2332209</v>
      </c>
      <c r="X32" s="15">
        <f t="shared" si="79"/>
        <v>2147306</v>
      </c>
      <c r="Y32" s="15">
        <f t="shared" si="79"/>
        <v>2363509</v>
      </c>
      <c r="Z32" s="15">
        <f t="shared" si="79"/>
        <v>1868607</v>
      </c>
      <c r="AA32" s="15">
        <f t="shared" si="79"/>
        <v>2890351</v>
      </c>
      <c r="AB32" s="15">
        <f t="shared" si="79"/>
        <v>3125413</v>
      </c>
      <c r="AC32" s="15">
        <f t="shared" si="79"/>
        <v>2546916</v>
      </c>
      <c r="AD32" s="34"/>
      <c r="AE32" s="15">
        <f t="shared" ref="AE32:AS32" si="80">SUM(AE28+SUM(AE31:AE31))</f>
        <v>5006960</v>
      </c>
      <c r="AF32" s="15">
        <f t="shared" si="80"/>
        <v>5094898</v>
      </c>
      <c r="AG32" s="15">
        <f t="shared" si="80"/>
        <v>5044069</v>
      </c>
      <c r="AH32" s="15">
        <f t="shared" si="80"/>
        <v>4491924</v>
      </c>
      <c r="AI32" s="15">
        <f t="shared" si="80"/>
        <v>4199597</v>
      </c>
      <c r="AJ32" s="15">
        <f t="shared" si="80"/>
        <v>4246256</v>
      </c>
      <c r="AK32" s="15">
        <f t="shared" si="80"/>
        <v>4525436</v>
      </c>
      <c r="AL32" s="15">
        <f t="shared" si="80"/>
        <v>5407990</v>
      </c>
      <c r="AM32" s="15">
        <f t="shared" si="80"/>
        <v>6435079</v>
      </c>
      <c r="AN32" s="15">
        <f t="shared" si="80"/>
        <v>7094775</v>
      </c>
      <c r="AO32" s="15">
        <f t="shared" si="80"/>
        <v>7780862</v>
      </c>
      <c r="AP32" s="15">
        <f t="shared" si="80"/>
        <v>8711631</v>
      </c>
      <c r="AQ32" s="15">
        <f t="shared" si="80"/>
        <v>9269773</v>
      </c>
      <c r="AR32" s="15">
        <f t="shared" si="80"/>
        <v>10247880</v>
      </c>
      <c r="AS32" s="15">
        <f t="shared" si="80"/>
        <v>10431287</v>
      </c>
      <c r="AT32" s="38"/>
      <c r="AU32" s="83">
        <f>SUM(AS32/AO32)-1</f>
        <v>0.34063385265025903</v>
      </c>
    </row>
    <row r="33" spans="1:47" ht="12.75" customHeight="1">
      <c r="B33" s="17" t="s">
        <v>86</v>
      </c>
      <c r="C33" s="19">
        <f>C32/C11</f>
        <v>7.6688353125970873E-2</v>
      </c>
      <c r="D33" s="19">
        <f>D32/D11</f>
        <v>9.2621283899885734E-2</v>
      </c>
      <c r="E33" s="19">
        <f>E32/E11</f>
        <v>0.11047322825648974</v>
      </c>
      <c r="F33" s="19">
        <f>F32/F11</f>
        <v>0.17227607499049427</v>
      </c>
      <c r="G33" s="19">
        <f>G32/G11</f>
        <v>0.14207957792921522</v>
      </c>
      <c r="H33" s="19">
        <f>H32/H11</f>
        <v>0.16036362043723068</v>
      </c>
      <c r="I33" s="19">
        <f>I32/I11</f>
        <v>0.22336962115246067</v>
      </c>
      <c r="J33" s="29"/>
      <c r="K33" s="19">
        <f>K32/K11</f>
        <v>0.23825880371595032</v>
      </c>
      <c r="L33" s="19">
        <f>L32/L11</f>
        <v>0.18428958002946699</v>
      </c>
      <c r="M33" s="19">
        <f>M32/M11</f>
        <v>0.19363631856731645</v>
      </c>
      <c r="N33" s="19">
        <f>N32/N11</f>
        <v>7.87915351267129E-2</v>
      </c>
      <c r="O33" s="19">
        <f>O32/O11</f>
        <v>0.20303689725432897</v>
      </c>
      <c r="P33" s="19">
        <f>P32/P11</f>
        <v>0.18079366475448802</v>
      </c>
      <c r="Q33" s="19">
        <f>Q32/Q11</f>
        <v>0.17642120983058798</v>
      </c>
      <c r="R33" s="19">
        <f>R32/R11</f>
        <v>7.0407064241670304E-3</v>
      </c>
      <c r="S33" s="19">
        <f>S32/S11</f>
        <v>0.15991172214235538</v>
      </c>
      <c r="T33" s="19">
        <f>T32/T11</f>
        <v>0.18169724064132978</v>
      </c>
      <c r="U33" s="19">
        <f>U32/U11</f>
        <v>0.19638108154051409</v>
      </c>
      <c r="V33" s="19">
        <f>V32/V11</f>
        <v>0.10617644977682678</v>
      </c>
      <c r="W33" s="19">
        <f>W32/W11</f>
        <v>0.24889002010577946</v>
      </c>
      <c r="X33" s="19">
        <f>X32/X11</f>
        <v>0.22462981114745731</v>
      </c>
      <c r="Y33" s="19">
        <f>Y32/Y11</f>
        <v>0.24056798459963624</v>
      </c>
      <c r="Z33" s="19">
        <f>Z32/Z11</f>
        <v>0.18236516168964018</v>
      </c>
      <c r="AA33" s="19">
        <f>AA32/AA11</f>
        <v>0.27415399380107808</v>
      </c>
      <c r="AB33" s="19">
        <f>AB32/AB11</f>
        <v>0.28209821930639906</v>
      </c>
      <c r="AC33" s="19">
        <f>AC32/AC11</f>
        <v>0.22127263851433329</v>
      </c>
      <c r="AD33" s="30"/>
      <c r="AE33" s="19">
        <f>AE32/AE11</f>
        <v>0.16469001437356987</v>
      </c>
      <c r="AF33" s="19">
        <f>AF32/AF11</f>
        <v>0.16418898540229185</v>
      </c>
      <c r="AG33" s="19">
        <f>AG32/AG11</f>
        <v>0.16026748798923771</v>
      </c>
      <c r="AH33" s="19">
        <f>AH32/AH11</f>
        <v>0.14207957792921522</v>
      </c>
      <c r="AI33" s="19">
        <f>AI32/AI11</f>
        <v>0.13161049733297073</v>
      </c>
      <c r="AJ33" s="19">
        <f>AJ32/AJ11</f>
        <v>0.13217322575923898</v>
      </c>
      <c r="AK33" s="19">
        <f>AK32/AK11</f>
        <v>0.13821279818828877</v>
      </c>
      <c r="AL33" s="19">
        <f>AL32/AL11</f>
        <v>0.16036362043723068</v>
      </c>
      <c r="AM33" s="19">
        <f>AM32/AM11</f>
        <v>0.18421607389896677</v>
      </c>
      <c r="AN33" s="19">
        <f>AN32/AN11</f>
        <v>0.19542550439627676</v>
      </c>
      <c r="AO33" s="19">
        <f>AO32/AO11</f>
        <v>0.20700786047875028</v>
      </c>
      <c r="AP33" s="19">
        <f>AP32/AP11</f>
        <v>0.22336962115246067</v>
      </c>
      <c r="AQ33" s="19">
        <f>AQ32/AQ11</f>
        <v>0.23074446883625049</v>
      </c>
      <c r="AR33" s="19">
        <f>AR32/AR11</f>
        <v>0.24579269949238464</v>
      </c>
      <c r="AS33" s="19">
        <f>AS32/AS11</f>
        <v>0.24046977154985916</v>
      </c>
      <c r="AT33" s="46"/>
      <c r="AU33" s="84">
        <f>SUM(AS33-AO33)*1000</f>
        <v>33.461911071108879</v>
      </c>
    </row>
    <row r="34" spans="1:47" ht="5.0999999999999996" customHeight="1">
      <c r="B34" s="17"/>
      <c r="C34" s="19"/>
      <c r="D34" s="19"/>
      <c r="E34" s="19"/>
      <c r="F34" s="19"/>
      <c r="G34" s="19"/>
      <c r="H34" s="19"/>
      <c r="I34" s="19"/>
      <c r="J34" s="29"/>
      <c r="K34" s="19"/>
      <c r="L34" s="19"/>
      <c r="M34" s="19"/>
      <c r="N34" s="19"/>
      <c r="O34" s="19"/>
      <c r="P34" s="19"/>
      <c r="Q34" s="19"/>
      <c r="R34" s="19"/>
      <c r="S34" s="19"/>
      <c r="T34" s="19"/>
      <c r="U34" s="19"/>
      <c r="V34" s="19"/>
      <c r="W34" s="19"/>
      <c r="X34" s="19"/>
      <c r="Y34" s="19"/>
      <c r="Z34" s="19"/>
      <c r="AA34" s="19"/>
      <c r="AB34" s="19"/>
      <c r="AC34" s="19"/>
      <c r="AD34" s="30"/>
      <c r="AE34" s="19"/>
      <c r="AF34" s="19"/>
      <c r="AG34" s="19"/>
      <c r="AH34" s="19"/>
      <c r="AI34" s="19"/>
      <c r="AJ34" s="19"/>
      <c r="AK34" s="19"/>
      <c r="AL34" s="19"/>
      <c r="AM34" s="19"/>
      <c r="AN34" s="19"/>
      <c r="AO34" s="19"/>
      <c r="AP34" s="19"/>
      <c r="AQ34" s="19"/>
      <c r="AR34" s="19"/>
      <c r="AS34" s="19"/>
      <c r="AT34" s="46"/>
      <c r="AU34" s="84"/>
    </row>
    <row r="35" spans="1:47" ht="12.75" customHeight="1">
      <c r="B35" s="49" t="s">
        <v>88</v>
      </c>
      <c r="C35" s="496"/>
      <c r="D35" s="496"/>
      <c r="E35" s="496"/>
      <c r="F35" s="496"/>
      <c r="G35" s="496"/>
      <c r="H35" s="496"/>
      <c r="I35" s="496"/>
      <c r="J35" s="29"/>
      <c r="K35" s="496"/>
      <c r="L35" s="496"/>
      <c r="M35" s="496"/>
      <c r="N35" s="496"/>
      <c r="O35" s="496"/>
      <c r="P35" s="496"/>
      <c r="Q35" s="496"/>
      <c r="R35" s="496"/>
      <c r="S35" s="496"/>
      <c r="T35" s="496"/>
      <c r="U35" s="496"/>
      <c r="V35" s="496"/>
      <c r="W35" s="496"/>
      <c r="X35" s="496"/>
      <c r="Y35" s="496"/>
      <c r="Z35" s="496"/>
      <c r="AA35" s="496"/>
      <c r="AB35" s="496"/>
      <c r="AC35" s="496"/>
      <c r="AD35" s="496"/>
      <c r="AE35" s="496"/>
      <c r="AF35" s="496"/>
      <c r="AG35" s="496"/>
      <c r="AH35" s="496"/>
      <c r="AI35" s="496"/>
      <c r="AJ35" s="496"/>
      <c r="AK35" s="496"/>
      <c r="AL35" s="496"/>
      <c r="AM35" s="496"/>
      <c r="AN35" s="496"/>
      <c r="AO35" s="496"/>
      <c r="AP35" s="496"/>
      <c r="AQ35" s="496"/>
      <c r="AR35" s="496"/>
      <c r="AS35" s="496"/>
      <c r="AT35" s="46"/>
      <c r="AU35" s="83" t="e">
        <f>SUM(AS35/AO35)-1</f>
        <v>#DIV/0!</v>
      </c>
    </row>
    <row r="36" spans="1:47" ht="12.75" customHeight="1">
      <c r="B36" s="49" t="s">
        <v>502</v>
      </c>
      <c r="C36" s="496"/>
      <c r="D36" s="496"/>
      <c r="E36" s="496"/>
      <c r="F36" s="496"/>
      <c r="G36" s="496"/>
      <c r="H36" s="496"/>
      <c r="I36" s="496"/>
      <c r="J36" s="29"/>
      <c r="K36" s="496"/>
      <c r="L36" s="496"/>
      <c r="M36" s="496"/>
      <c r="N36" s="496"/>
      <c r="O36" s="496"/>
      <c r="P36" s="496"/>
      <c r="Q36" s="496"/>
      <c r="R36" s="496"/>
      <c r="S36" s="496"/>
      <c r="T36" s="496"/>
      <c r="U36" s="496"/>
      <c r="V36" s="496"/>
      <c r="W36" s="496"/>
      <c r="X36" s="496"/>
      <c r="Y36" s="496"/>
      <c r="Z36" s="496"/>
      <c r="AA36" s="496"/>
      <c r="AB36" s="496"/>
      <c r="AC36" s="496"/>
      <c r="AD36" s="496"/>
      <c r="AE36" s="496"/>
      <c r="AF36" s="496"/>
      <c r="AG36" s="496"/>
      <c r="AH36" s="496"/>
      <c r="AI36" s="496"/>
      <c r="AJ36" s="496"/>
      <c r="AK36" s="496"/>
      <c r="AL36" s="496"/>
      <c r="AM36" s="496"/>
      <c r="AN36" s="496"/>
      <c r="AO36" s="496"/>
      <c r="AP36" s="496"/>
      <c r="AQ36" s="496"/>
      <c r="AR36" s="496"/>
      <c r="AS36" s="496"/>
      <c r="AT36" s="46"/>
      <c r="AU36" s="83" t="e">
        <f>SUM(AS36/AO36)-1</f>
        <v>#DIV/0!</v>
      </c>
    </row>
    <row r="37" spans="1:47">
      <c r="B37" s="17"/>
      <c r="C37" s="19"/>
      <c r="D37" s="19"/>
      <c r="E37" s="19"/>
      <c r="F37" s="19"/>
      <c r="G37" s="19"/>
      <c r="H37" s="19"/>
      <c r="I37" s="19"/>
      <c r="J37" s="29"/>
      <c r="K37" s="19"/>
      <c r="L37" s="19"/>
      <c r="M37" s="19"/>
      <c r="N37" s="19"/>
      <c r="O37" s="19"/>
      <c r="P37" s="19"/>
      <c r="Q37" s="19"/>
      <c r="R37" s="19"/>
      <c r="S37" s="19"/>
      <c r="T37" s="19"/>
      <c r="U37" s="19"/>
      <c r="V37" s="19"/>
      <c r="W37" s="19"/>
      <c r="X37" s="19"/>
      <c r="Y37" s="19"/>
      <c r="Z37" s="19"/>
      <c r="AA37" s="19"/>
      <c r="AB37" s="19"/>
      <c r="AC37" s="19"/>
      <c r="AD37" s="30"/>
      <c r="AE37" s="19"/>
      <c r="AF37" s="19"/>
      <c r="AG37" s="19"/>
      <c r="AH37" s="19"/>
      <c r="AI37" s="19"/>
      <c r="AJ37" s="19"/>
      <c r="AK37" s="19"/>
      <c r="AL37" s="19"/>
      <c r="AM37" s="19"/>
      <c r="AN37" s="19"/>
      <c r="AO37" s="19"/>
      <c r="AP37" s="19"/>
      <c r="AQ37" s="19"/>
      <c r="AR37" s="19"/>
      <c r="AS37" s="19"/>
      <c r="AT37" s="46"/>
    </row>
    <row r="38" spans="1:47" ht="12.75" customHeight="1">
      <c r="A38" s="5" t="s">
        <v>24</v>
      </c>
      <c r="B38" s="382" t="s">
        <v>406</v>
      </c>
      <c r="C38" s="383"/>
      <c r="D38" s="383"/>
      <c r="E38" s="383"/>
      <c r="F38" s="383"/>
      <c r="G38" s="383"/>
      <c r="H38" s="383"/>
      <c r="I38" s="383"/>
      <c r="J38" s="384"/>
      <c r="K38" s="383"/>
      <c r="L38" s="383"/>
      <c r="M38" s="383"/>
      <c r="N38" s="383"/>
      <c r="O38" s="383"/>
      <c r="P38" s="383"/>
      <c r="Q38" s="383"/>
      <c r="R38" s="383"/>
      <c r="S38" s="383"/>
      <c r="T38" s="383"/>
      <c r="U38" s="383"/>
      <c r="V38" s="383"/>
      <c r="W38" s="383"/>
      <c r="X38" s="383"/>
      <c r="Y38" s="383"/>
      <c r="Z38" s="383"/>
      <c r="AA38" s="383"/>
      <c r="AB38" s="383"/>
      <c r="AC38" s="383"/>
      <c r="AD38" s="382"/>
      <c r="AE38" s="383"/>
      <c r="AF38" s="383"/>
      <c r="AG38" s="383"/>
      <c r="AH38" s="383"/>
      <c r="AI38" s="383"/>
      <c r="AJ38" s="383"/>
      <c r="AK38" s="383"/>
      <c r="AL38" s="383"/>
      <c r="AM38" s="383"/>
      <c r="AN38" s="383" t="s">
        <v>10</v>
      </c>
      <c r="AO38" s="383"/>
      <c r="AP38" s="383"/>
      <c r="AQ38" s="383"/>
      <c r="AR38" s="383"/>
      <c r="AS38" s="383"/>
      <c r="AT38" s="384"/>
      <c r="AU38" s="580" t="s">
        <v>37</v>
      </c>
    </row>
    <row r="39" spans="1:47" ht="12.75" customHeight="1">
      <c r="B39" s="386" t="str">
        <f>B7</f>
        <v>Fiscal Period</v>
      </c>
      <c r="C39" s="385">
        <f>C7</f>
        <v>2018</v>
      </c>
      <c r="D39" s="385">
        <f>D7</f>
        <v>2019</v>
      </c>
      <c r="E39" s="385">
        <f>E7</f>
        <v>2020</v>
      </c>
      <c r="F39" s="385">
        <f>F7</f>
        <v>2021</v>
      </c>
      <c r="G39" s="385">
        <f>G7</f>
        <v>2022</v>
      </c>
      <c r="H39" s="385">
        <f>H7</f>
        <v>2023</v>
      </c>
      <c r="I39" s="385">
        <f>I7</f>
        <v>2024</v>
      </c>
      <c r="J39" s="384"/>
      <c r="K39" s="385" t="str">
        <f>K7</f>
        <v>1Q21</v>
      </c>
      <c r="L39" s="385" t="str">
        <f>L7</f>
        <v>2Q21</v>
      </c>
      <c r="M39" s="385" t="str">
        <f>M7</f>
        <v>3Q21</v>
      </c>
      <c r="N39" s="385" t="str">
        <f>N7</f>
        <v>4Q21</v>
      </c>
      <c r="O39" s="385" t="str">
        <f>O7</f>
        <v>1Q22</v>
      </c>
      <c r="P39" s="385" t="str">
        <f>P7</f>
        <v>2Q22</v>
      </c>
      <c r="Q39" s="385" t="str">
        <f>Q7</f>
        <v>3Q22</v>
      </c>
      <c r="R39" s="385" t="str">
        <f>R7</f>
        <v>4Q22</v>
      </c>
      <c r="S39" s="385" t="str">
        <f>S7</f>
        <v>1Q23</v>
      </c>
      <c r="T39" s="385" t="str">
        <f>T7</f>
        <v>2Q23</v>
      </c>
      <c r="U39" s="385" t="str">
        <f>U7</f>
        <v>3Q23</v>
      </c>
      <c r="V39" s="385" t="str">
        <f>V7</f>
        <v>4Q23</v>
      </c>
      <c r="W39" s="385" t="str">
        <f>W7</f>
        <v>1Q24</v>
      </c>
      <c r="X39" s="385" t="str">
        <f>X7</f>
        <v>2Q24</v>
      </c>
      <c r="Y39" s="385" t="str">
        <f>Y7</f>
        <v>3Q24</v>
      </c>
      <c r="Z39" s="385" t="str">
        <f>Z7</f>
        <v>4Q24</v>
      </c>
      <c r="AA39" s="385" t="str">
        <f>AA7</f>
        <v>1Q25</v>
      </c>
      <c r="AB39" s="385" t="str">
        <f>AB7</f>
        <v>2Q25</v>
      </c>
      <c r="AC39" s="385" t="str">
        <f>AC7</f>
        <v>3Q25</v>
      </c>
      <c r="AD39" s="387"/>
      <c r="AE39" s="385" t="str">
        <f>AE7</f>
        <v>1Q22</v>
      </c>
      <c r="AF39" s="385" t="str">
        <f>AF7</f>
        <v>2Q22</v>
      </c>
      <c r="AG39" s="385" t="str">
        <f>AG7</f>
        <v>3Q22</v>
      </c>
      <c r="AH39" s="385" t="str">
        <f>AH7</f>
        <v>4Q22</v>
      </c>
      <c r="AI39" s="385" t="str">
        <f>AI7</f>
        <v>1Q23</v>
      </c>
      <c r="AJ39" s="385" t="str">
        <f>AJ7</f>
        <v>2Q23</v>
      </c>
      <c r="AK39" s="385" t="str">
        <f>AK7</f>
        <v>3Q23</v>
      </c>
      <c r="AL39" s="385" t="str">
        <f>AL7</f>
        <v>4Q23</v>
      </c>
      <c r="AM39" s="385" t="str">
        <f>AM7</f>
        <v>1Q24</v>
      </c>
      <c r="AN39" s="385" t="str">
        <f>AN7</f>
        <v>2Q24</v>
      </c>
      <c r="AO39" s="385" t="str">
        <f>AO7</f>
        <v>3Q24</v>
      </c>
      <c r="AP39" s="385" t="str">
        <f>AP7</f>
        <v>4Q24</v>
      </c>
      <c r="AQ39" s="385" t="str">
        <f>AQ7</f>
        <v>1Q25</v>
      </c>
      <c r="AR39" s="385" t="str">
        <f>AR7</f>
        <v>2Q25</v>
      </c>
      <c r="AS39" s="385" t="str">
        <f>AS7</f>
        <v>3Q25</v>
      </c>
      <c r="AT39" s="384"/>
      <c r="AU39" s="580"/>
    </row>
    <row r="40" spans="1:47" ht="12.75" customHeight="1">
      <c r="B40" s="386" t="str">
        <f>B8</f>
        <v>Fiscal Period End Date</v>
      </c>
      <c r="C40" s="388">
        <f>C8</f>
        <v>43465</v>
      </c>
      <c r="D40" s="388">
        <f>D8</f>
        <v>43830</v>
      </c>
      <c r="E40" s="388">
        <f>E8</f>
        <v>44196</v>
      </c>
      <c r="F40" s="388">
        <f>F8</f>
        <v>44561</v>
      </c>
      <c r="G40" s="388">
        <f>G8</f>
        <v>44926</v>
      </c>
      <c r="H40" s="388">
        <f>H8</f>
        <v>45291</v>
      </c>
      <c r="I40" s="388">
        <f>I8</f>
        <v>45657</v>
      </c>
      <c r="J40" s="384"/>
      <c r="K40" s="388">
        <f>K8</f>
        <v>44286</v>
      </c>
      <c r="L40" s="388">
        <f>L8</f>
        <v>44377</v>
      </c>
      <c r="M40" s="388">
        <f>M8</f>
        <v>44469</v>
      </c>
      <c r="N40" s="388">
        <f>N8</f>
        <v>44561</v>
      </c>
      <c r="O40" s="388">
        <f>O8</f>
        <v>44651</v>
      </c>
      <c r="P40" s="388">
        <f>P8</f>
        <v>44742</v>
      </c>
      <c r="Q40" s="388">
        <f>Q8</f>
        <v>44834</v>
      </c>
      <c r="R40" s="388">
        <f>R8</f>
        <v>44926</v>
      </c>
      <c r="S40" s="388">
        <f>S8</f>
        <v>45016</v>
      </c>
      <c r="T40" s="388">
        <f>T8</f>
        <v>45107</v>
      </c>
      <c r="U40" s="388">
        <f>U8</f>
        <v>45199</v>
      </c>
      <c r="V40" s="388">
        <f>V8</f>
        <v>45291</v>
      </c>
      <c r="W40" s="388">
        <f>W8</f>
        <v>45382</v>
      </c>
      <c r="X40" s="388">
        <f>X8</f>
        <v>45473</v>
      </c>
      <c r="Y40" s="388">
        <f>Y8</f>
        <v>45565</v>
      </c>
      <c r="Z40" s="388">
        <f>Z8</f>
        <v>45657</v>
      </c>
      <c r="AA40" s="388">
        <f>AA8</f>
        <v>45747</v>
      </c>
      <c r="AB40" s="388">
        <f>AB8</f>
        <v>45838</v>
      </c>
      <c r="AC40" s="388">
        <f>AC8</f>
        <v>45930</v>
      </c>
      <c r="AD40" s="389"/>
      <c r="AE40" s="388">
        <f>AE8</f>
        <v>44651</v>
      </c>
      <c r="AF40" s="388">
        <f>AF8</f>
        <v>44742</v>
      </c>
      <c r="AG40" s="388">
        <f>AG8</f>
        <v>44834</v>
      </c>
      <c r="AH40" s="388">
        <f>AH8</f>
        <v>44926</v>
      </c>
      <c r="AI40" s="388">
        <f>AI8</f>
        <v>45016</v>
      </c>
      <c r="AJ40" s="388">
        <f>AJ8</f>
        <v>45107</v>
      </c>
      <c r="AK40" s="388">
        <f>AK8</f>
        <v>45199</v>
      </c>
      <c r="AL40" s="388">
        <f>AL8</f>
        <v>45291</v>
      </c>
      <c r="AM40" s="388">
        <f>AM8</f>
        <v>45382</v>
      </c>
      <c r="AN40" s="388">
        <f>AN8</f>
        <v>45473</v>
      </c>
      <c r="AO40" s="388">
        <f>AO8</f>
        <v>45565</v>
      </c>
      <c r="AP40" s="388">
        <f>AP8</f>
        <v>45657</v>
      </c>
      <c r="AQ40" s="388">
        <f>AQ8</f>
        <v>45747</v>
      </c>
      <c r="AR40" s="388">
        <f>AR8</f>
        <v>45838</v>
      </c>
      <c r="AS40" s="388">
        <f>AS8</f>
        <v>45930</v>
      </c>
      <c r="AT40" s="384"/>
      <c r="AU40" s="580"/>
    </row>
    <row r="41" spans="1:47" ht="5.0999999999999996" customHeight="1">
      <c r="B41" s="51"/>
      <c r="C41" s="52"/>
      <c r="D41" s="52"/>
      <c r="E41" s="52"/>
      <c r="F41" s="52"/>
      <c r="G41" s="52"/>
      <c r="H41" s="52"/>
      <c r="I41" s="52"/>
    </row>
    <row r="42" spans="1:47">
      <c r="B42" s="85" t="s">
        <v>439</v>
      </c>
      <c r="C42" s="52"/>
      <c r="D42" s="52"/>
      <c r="E42" s="52"/>
      <c r="F42" s="52"/>
      <c r="G42" s="52"/>
      <c r="H42" s="52"/>
      <c r="I42" s="52"/>
    </row>
    <row r="43" spans="1:47" s="466" customFormat="1" ht="12.75" customHeight="1">
      <c r="B43" s="407" t="s">
        <v>606</v>
      </c>
      <c r="C43" s="467">
        <v>3794483</v>
      </c>
      <c r="D43" s="467">
        <v>5018437</v>
      </c>
      <c r="E43" s="467">
        <v>8205550</v>
      </c>
      <c r="F43" s="467">
        <v>6027804</v>
      </c>
      <c r="G43" s="467">
        <v>5147176</v>
      </c>
      <c r="H43" s="467">
        <v>7116913</v>
      </c>
      <c r="I43" s="467">
        <v>7804733</v>
      </c>
      <c r="K43" s="89">
        <v>8403705</v>
      </c>
      <c r="L43" s="89">
        <v>7777530</v>
      </c>
      <c r="M43" s="89">
        <v>7526681</v>
      </c>
      <c r="N43" s="34">
        <f t="shared" ref="N43:N45" si="81">F43</f>
        <v>6027804</v>
      </c>
      <c r="O43" s="89">
        <v>6008946</v>
      </c>
      <c r="P43" s="89">
        <v>5819449</v>
      </c>
      <c r="Q43" s="89">
        <v>6113733</v>
      </c>
      <c r="R43" s="362">
        <f t="shared" ref="R43:R45" si="82">G43</f>
        <v>5147176</v>
      </c>
      <c r="S43" s="89">
        <v>6714594</v>
      </c>
      <c r="T43" s="89">
        <v>7662788</v>
      </c>
      <c r="U43" s="89">
        <v>7353245</v>
      </c>
      <c r="V43" s="34">
        <f t="shared" ref="V43:V45" si="83">H43</f>
        <v>7116913</v>
      </c>
      <c r="W43" s="89">
        <v>7024766</v>
      </c>
      <c r="X43" s="89">
        <v>6624939</v>
      </c>
      <c r="Y43" s="89">
        <v>7457025</v>
      </c>
      <c r="Z43" s="34">
        <f t="shared" ref="Z43:Z45" si="84">I43</f>
        <v>7804733</v>
      </c>
      <c r="AA43" s="89">
        <v>7199848</v>
      </c>
      <c r="AB43" s="89">
        <v>8177405</v>
      </c>
      <c r="AC43" s="89">
        <v>9287287</v>
      </c>
      <c r="AE43" s="361">
        <f>O43</f>
        <v>6008946</v>
      </c>
      <c r="AF43" s="361">
        <f>P43</f>
        <v>5819449</v>
      </c>
      <c r="AG43" s="361">
        <f>Q43</f>
        <v>6113733</v>
      </c>
      <c r="AH43" s="361">
        <f>R43</f>
        <v>5147176</v>
      </c>
      <c r="AI43" s="361">
        <f>S43</f>
        <v>6714594</v>
      </c>
      <c r="AJ43" s="361">
        <f>T43</f>
        <v>7662788</v>
      </c>
      <c r="AK43" s="361">
        <f>U43</f>
        <v>7353245</v>
      </c>
      <c r="AL43" s="361">
        <f>V43</f>
        <v>7116913</v>
      </c>
      <c r="AM43" s="361">
        <f>W43</f>
        <v>7024766</v>
      </c>
      <c r="AN43" s="361">
        <f>X43</f>
        <v>6624939</v>
      </c>
      <c r="AO43" s="361">
        <f>Y43</f>
        <v>7457025</v>
      </c>
      <c r="AP43" s="361">
        <f>Z43</f>
        <v>7804733</v>
      </c>
      <c r="AQ43" s="361">
        <f>AA43</f>
        <v>7199848</v>
      </c>
      <c r="AR43" s="361">
        <f>AB43</f>
        <v>8177405</v>
      </c>
      <c r="AS43" s="361">
        <f>AC43</f>
        <v>9287287</v>
      </c>
      <c r="AT43" s="468"/>
      <c r="AU43" s="82">
        <f>SUM(AS43/AO43)-1</f>
        <v>0.24544131205138786</v>
      </c>
    </row>
    <row r="44" spans="1:47" s="466" customFormat="1" ht="12.75" customHeight="1">
      <c r="B44" s="407" t="s">
        <v>20</v>
      </c>
      <c r="C44" s="467">
        <v>748466</v>
      </c>
      <c r="D44" s="467">
        <v>1160067</v>
      </c>
      <c r="E44" s="467">
        <v>1556030</v>
      </c>
      <c r="F44" s="467">
        <v>2042021</v>
      </c>
      <c r="G44" s="467">
        <v>3208021</v>
      </c>
      <c r="H44" s="467">
        <v>2780247</v>
      </c>
      <c r="I44" s="467">
        <v>3516640</v>
      </c>
      <c r="K44" s="89">
        <v>1703803</v>
      </c>
      <c r="L44" s="89">
        <v>1826746</v>
      </c>
      <c r="M44" s="89">
        <v>1889106</v>
      </c>
      <c r="N44" s="34">
        <f t="shared" si="81"/>
        <v>2042021</v>
      </c>
      <c r="O44" s="89">
        <v>2089069</v>
      </c>
      <c r="P44" s="89">
        <v>2021329</v>
      </c>
      <c r="Q44" s="89">
        <v>2703170</v>
      </c>
      <c r="R44" s="362">
        <f t="shared" si="82"/>
        <v>3208021</v>
      </c>
      <c r="S44" s="89">
        <v>2655119</v>
      </c>
      <c r="T44" s="89">
        <v>2929347</v>
      </c>
      <c r="U44" s="89">
        <v>2912028</v>
      </c>
      <c r="V44" s="34">
        <f t="shared" si="83"/>
        <v>2780247</v>
      </c>
      <c r="W44" s="89">
        <v>2875574</v>
      </c>
      <c r="X44" s="89">
        <v>2959641</v>
      </c>
      <c r="Y44" s="89">
        <v>2905172</v>
      </c>
      <c r="Z44" s="34">
        <f t="shared" si="84"/>
        <v>3516640</v>
      </c>
      <c r="AA44" s="89">
        <v>3326642</v>
      </c>
      <c r="AB44" s="89">
        <v>3602586</v>
      </c>
      <c r="AC44" s="89">
        <v>3638543</v>
      </c>
      <c r="AE44" s="361">
        <f>O44</f>
        <v>2089069</v>
      </c>
      <c r="AF44" s="361">
        <f>P44</f>
        <v>2021329</v>
      </c>
      <c r="AG44" s="361">
        <f>Q44</f>
        <v>2703170</v>
      </c>
      <c r="AH44" s="361">
        <f>R44</f>
        <v>3208021</v>
      </c>
      <c r="AI44" s="361">
        <f>S44</f>
        <v>2655119</v>
      </c>
      <c r="AJ44" s="361">
        <f>T44</f>
        <v>2929347</v>
      </c>
      <c r="AK44" s="361">
        <f>U44</f>
        <v>2912028</v>
      </c>
      <c r="AL44" s="361">
        <f>V44</f>
        <v>2780247</v>
      </c>
      <c r="AM44" s="361">
        <f>W44</f>
        <v>2875574</v>
      </c>
      <c r="AN44" s="361">
        <f>X44</f>
        <v>2959641</v>
      </c>
      <c r="AO44" s="361">
        <f>Y44</f>
        <v>2905172</v>
      </c>
      <c r="AP44" s="361">
        <f>Z44</f>
        <v>3516640</v>
      </c>
      <c r="AQ44" s="361">
        <f>AA44</f>
        <v>3326642</v>
      </c>
      <c r="AR44" s="361">
        <f>AB44</f>
        <v>3602586</v>
      </c>
      <c r="AS44" s="361">
        <f>AC44</f>
        <v>3638543</v>
      </c>
      <c r="AT44" s="468"/>
      <c r="AU44" s="82">
        <f>SUM(AS44/AO44)-1</f>
        <v>0.25243634456066633</v>
      </c>
    </row>
    <row r="45" spans="1:47" s="466" customFormat="1" ht="12.75" customHeight="1">
      <c r="B45" s="407" t="s">
        <v>607</v>
      </c>
      <c r="C45" s="467">
        <v>0</v>
      </c>
      <c r="D45" s="467">
        <v>0</v>
      </c>
      <c r="E45" s="467">
        <v>0</v>
      </c>
      <c r="F45" s="467">
        <v>0</v>
      </c>
      <c r="G45" s="467">
        <v>911276</v>
      </c>
      <c r="H45" s="467">
        <v>20973</v>
      </c>
      <c r="I45" s="467">
        <v>1779006</v>
      </c>
      <c r="K45" s="89">
        <v>0</v>
      </c>
      <c r="L45" s="89">
        <v>0</v>
      </c>
      <c r="M45" s="89">
        <v>0</v>
      </c>
      <c r="N45" s="34">
        <f t="shared" si="81"/>
        <v>0</v>
      </c>
      <c r="O45" s="89">
        <v>0</v>
      </c>
      <c r="P45" s="89">
        <v>0</v>
      </c>
      <c r="Q45" s="89">
        <v>0</v>
      </c>
      <c r="R45" s="362">
        <f t="shared" si="82"/>
        <v>911276</v>
      </c>
      <c r="S45" s="89">
        <v>1112910</v>
      </c>
      <c r="T45" s="89">
        <v>914201</v>
      </c>
      <c r="U45" s="89">
        <v>514201</v>
      </c>
      <c r="V45" s="34">
        <f t="shared" si="83"/>
        <v>20973</v>
      </c>
      <c r="W45" s="89">
        <v>20973</v>
      </c>
      <c r="X45" s="89">
        <v>30973</v>
      </c>
      <c r="Y45" s="89">
        <v>1766902</v>
      </c>
      <c r="Z45" s="34">
        <f t="shared" si="84"/>
        <v>1779006</v>
      </c>
      <c r="AA45" s="89">
        <v>1171142</v>
      </c>
      <c r="AB45" s="89">
        <v>213115</v>
      </c>
      <c r="AC45" s="89">
        <v>37105</v>
      </c>
      <c r="AE45" s="361">
        <f>O45</f>
        <v>0</v>
      </c>
      <c r="AF45" s="361">
        <f>P45</f>
        <v>0</v>
      </c>
      <c r="AG45" s="361">
        <f>Q45</f>
        <v>0</v>
      </c>
      <c r="AH45" s="361">
        <f>R45</f>
        <v>911276</v>
      </c>
      <c r="AI45" s="361">
        <f>S45</f>
        <v>1112910</v>
      </c>
      <c r="AJ45" s="361">
        <f>T45</f>
        <v>914201</v>
      </c>
      <c r="AK45" s="361">
        <f>U45</f>
        <v>514201</v>
      </c>
      <c r="AL45" s="361">
        <f>V45</f>
        <v>20973</v>
      </c>
      <c r="AM45" s="361">
        <f>W45</f>
        <v>20973</v>
      </c>
      <c r="AN45" s="361">
        <f>X45</f>
        <v>30973</v>
      </c>
      <c r="AO45" s="361">
        <f>Y45</f>
        <v>1766902</v>
      </c>
      <c r="AP45" s="361">
        <f>Z45</f>
        <v>1779006</v>
      </c>
      <c r="AQ45" s="361">
        <f>AA45</f>
        <v>1171142</v>
      </c>
      <c r="AR45" s="361">
        <f>AB45</f>
        <v>213115</v>
      </c>
      <c r="AS45" s="361">
        <f>AC45</f>
        <v>37105</v>
      </c>
      <c r="AT45" s="468"/>
      <c r="AU45" s="82">
        <f>SUM(AS45/AO45)-1</f>
        <v>-0.97899996717418392</v>
      </c>
    </row>
    <row r="46" spans="1:47" ht="12.75" customHeight="1">
      <c r="B46" s="27" t="s">
        <v>28</v>
      </c>
      <c r="C46" s="28">
        <f>SUM(C43:C45)</f>
        <v>4542949</v>
      </c>
      <c r="D46" s="28">
        <f>SUM(D43:D45)</f>
        <v>6178504</v>
      </c>
      <c r="E46" s="28">
        <f>SUM(E43:E45)</f>
        <v>9761580</v>
      </c>
      <c r="F46" s="28">
        <f>SUM(F43:F45)</f>
        <v>8069825</v>
      </c>
      <c r="G46" s="28">
        <f>SUM(G43:G45)</f>
        <v>9266473</v>
      </c>
      <c r="H46" s="28">
        <f>SUM(H43:H45)</f>
        <v>9918133</v>
      </c>
      <c r="I46" s="28">
        <f>SUM(I43:I45)</f>
        <v>13100379</v>
      </c>
      <c r="J46" s="53"/>
      <c r="K46" s="28">
        <f>SUM(K43:K45)</f>
        <v>10107508</v>
      </c>
      <c r="L46" s="28">
        <f>SUM(L43:L45)</f>
        <v>9604276</v>
      </c>
      <c r="M46" s="28">
        <f>SUM(M43:M45)</f>
        <v>9415787</v>
      </c>
      <c r="N46" s="28">
        <f>SUM(N43:N45)</f>
        <v>8069825</v>
      </c>
      <c r="O46" s="28">
        <f>SUM(O43:O45)</f>
        <v>8098015</v>
      </c>
      <c r="P46" s="28">
        <f>SUM(P43:P45)</f>
        <v>7840778</v>
      </c>
      <c r="Q46" s="28">
        <f>SUM(Q43:Q45)</f>
        <v>8816903</v>
      </c>
      <c r="R46" s="28">
        <f>SUM(R43:R45)</f>
        <v>9266473</v>
      </c>
      <c r="S46" s="28">
        <f>SUM(S43:S45)</f>
        <v>10482623</v>
      </c>
      <c r="T46" s="28">
        <f>SUM(T43:T45)</f>
        <v>11506336</v>
      </c>
      <c r="U46" s="28">
        <f>SUM(U43:U45)</f>
        <v>10779474</v>
      </c>
      <c r="V46" s="28">
        <f>SUM(V43:V45)</f>
        <v>9918133</v>
      </c>
      <c r="W46" s="28">
        <f>SUM(W43:W45)</f>
        <v>9921313</v>
      </c>
      <c r="X46" s="28">
        <f>SUM(X43:X45)</f>
        <v>9615553</v>
      </c>
      <c r="Y46" s="28">
        <f>SUM(Y43:Y45)</f>
        <v>12129099</v>
      </c>
      <c r="Z46" s="28">
        <f>SUM(Z43:Z45)</f>
        <v>13100379</v>
      </c>
      <c r="AA46" s="28">
        <f>SUM(AA43:AA45)</f>
        <v>11697632</v>
      </c>
      <c r="AB46" s="28">
        <f>SUM(AB43:AB45)</f>
        <v>11993106</v>
      </c>
      <c r="AC46" s="28">
        <f>SUM(AC43:AC45)</f>
        <v>12962935</v>
      </c>
      <c r="AD46" s="53"/>
      <c r="AE46" s="28">
        <f>SUM(AE43:AE45)</f>
        <v>8098015</v>
      </c>
      <c r="AF46" s="28">
        <f>SUM(AF43:AF45)</f>
        <v>7840778</v>
      </c>
      <c r="AG46" s="28">
        <f>SUM(AG43:AG45)</f>
        <v>8816903</v>
      </c>
      <c r="AH46" s="28">
        <f>SUM(AH43:AH45)</f>
        <v>9266473</v>
      </c>
      <c r="AI46" s="28">
        <f>SUM(AI43:AI45)</f>
        <v>10482623</v>
      </c>
      <c r="AJ46" s="28">
        <f>SUM(AJ43:AJ45)</f>
        <v>11506336</v>
      </c>
      <c r="AK46" s="28">
        <f>SUM(AK43:AK45)</f>
        <v>10779474</v>
      </c>
      <c r="AL46" s="28">
        <f>SUM(AL43:AL45)</f>
        <v>9918133</v>
      </c>
      <c r="AM46" s="28">
        <f>SUM(AM43:AM45)</f>
        <v>9921313</v>
      </c>
      <c r="AN46" s="28">
        <f>SUM(AN43:AN45)</f>
        <v>9615553</v>
      </c>
      <c r="AO46" s="28">
        <f>SUM(AO43:AO45)</f>
        <v>12129099</v>
      </c>
      <c r="AP46" s="28">
        <f>SUM(AP43:AP45)</f>
        <v>13100379</v>
      </c>
      <c r="AQ46" s="28">
        <f>SUM(AQ43:AQ45)</f>
        <v>11697632</v>
      </c>
      <c r="AR46" s="28">
        <f>SUM(AR43:AR45)</f>
        <v>11993106</v>
      </c>
      <c r="AS46" s="28">
        <f>SUM(AS43:AS45)</f>
        <v>12962935</v>
      </c>
      <c r="AT46" s="45"/>
      <c r="AU46" s="83">
        <f>SUM(AS46/AO46)-1</f>
        <v>6.8746738731376489E-2</v>
      </c>
    </row>
    <row r="47" spans="1:47" ht="5.0999999999999996" customHeight="1">
      <c r="B47" s="27"/>
      <c r="C47" s="54"/>
      <c r="D47" s="54"/>
      <c r="E47" s="54"/>
      <c r="F47" s="54"/>
      <c r="G47" s="54"/>
      <c r="H47" s="44"/>
      <c r="I47" s="44"/>
      <c r="K47" s="44"/>
      <c r="L47" s="44"/>
      <c r="M47" s="44"/>
      <c r="N47" s="44"/>
      <c r="O47" s="44"/>
      <c r="P47" s="44"/>
      <c r="Q47" s="44"/>
      <c r="R47" s="44"/>
      <c r="S47" s="44"/>
      <c r="T47" s="44"/>
      <c r="U47" s="44"/>
      <c r="V47" s="44"/>
      <c r="W47" s="44"/>
      <c r="X47" s="44"/>
      <c r="Y47" s="44"/>
      <c r="Z47" s="44"/>
      <c r="AA47" s="44"/>
      <c r="AB47" s="44"/>
      <c r="AC47" s="44"/>
      <c r="AE47" s="45"/>
      <c r="AF47" s="45"/>
      <c r="AG47" s="45"/>
      <c r="AH47" s="45"/>
      <c r="AI47" s="45"/>
      <c r="AJ47" s="45"/>
      <c r="AK47" s="45"/>
      <c r="AL47" s="45"/>
      <c r="AM47" s="45"/>
      <c r="AN47" s="45"/>
      <c r="AO47" s="45"/>
      <c r="AP47" s="45"/>
      <c r="AQ47" s="45"/>
      <c r="AR47" s="45"/>
      <c r="AS47" s="45"/>
      <c r="AT47" s="45"/>
      <c r="AU47" s="42"/>
    </row>
    <row r="48" spans="1:47" ht="12.75" customHeight="1">
      <c r="B48" s="85" t="s">
        <v>440</v>
      </c>
      <c r="C48" s="89"/>
      <c r="D48" s="89"/>
      <c r="E48" s="89"/>
      <c r="F48" s="89"/>
      <c r="G48" s="89"/>
      <c r="H48" s="89"/>
      <c r="I48" s="89"/>
      <c r="K48" s="89"/>
      <c r="L48" s="89"/>
      <c r="M48" s="89"/>
      <c r="N48" s="89"/>
      <c r="O48" s="89"/>
      <c r="P48" s="89"/>
      <c r="Q48" s="89"/>
      <c r="R48" s="89"/>
      <c r="S48" s="89"/>
      <c r="T48" s="89"/>
      <c r="U48" s="89"/>
      <c r="V48" s="89"/>
      <c r="W48" s="89"/>
      <c r="X48" s="89"/>
      <c r="Y48" s="89"/>
      <c r="Z48" s="89"/>
      <c r="AA48" s="34"/>
      <c r="AB48" s="89"/>
      <c r="AC48" s="89"/>
      <c r="AE48" s="34"/>
      <c r="AF48" s="34"/>
      <c r="AG48" s="34"/>
      <c r="AH48" s="34"/>
      <c r="AI48" s="34"/>
      <c r="AJ48" s="34"/>
      <c r="AK48" s="34"/>
      <c r="AL48" s="34"/>
      <c r="AM48" s="34"/>
      <c r="AN48" s="34"/>
      <c r="AO48" s="34"/>
      <c r="AP48" s="34"/>
      <c r="AQ48" s="34"/>
      <c r="AR48" s="34"/>
      <c r="AS48" s="34"/>
      <c r="AT48" s="12"/>
      <c r="AU48" s="82"/>
    </row>
    <row r="49" spans="2:47" ht="12.75" customHeight="1">
      <c r="B49" s="10" t="s">
        <v>608</v>
      </c>
      <c r="C49" s="89">
        <v>20102327</v>
      </c>
      <c r="D49" s="89">
        <v>24504567</v>
      </c>
      <c r="E49" s="89">
        <v>25383950</v>
      </c>
      <c r="F49" s="89">
        <v>30919539</v>
      </c>
      <c r="G49" s="89">
        <v>32736713</v>
      </c>
      <c r="H49" s="89">
        <v>31658056</v>
      </c>
      <c r="I49" s="89">
        <v>32452462</v>
      </c>
      <c r="K49" s="89">
        <v>26043991</v>
      </c>
      <c r="L49" s="89">
        <v>27291640</v>
      </c>
      <c r="M49" s="89">
        <v>28974045</v>
      </c>
      <c r="N49" s="34">
        <f t="shared" ref="N49:N51" si="85">F49</f>
        <v>30919539</v>
      </c>
      <c r="O49" s="89">
        <v>31191920</v>
      </c>
      <c r="P49" s="89">
        <v>32533199</v>
      </c>
      <c r="Q49" s="89">
        <v>32777340</v>
      </c>
      <c r="R49" s="362">
        <f t="shared" ref="R49:R51" si="86">G49</f>
        <v>32736713</v>
      </c>
      <c r="S49" s="89">
        <v>32349184</v>
      </c>
      <c r="T49" s="89">
        <v>32520774</v>
      </c>
      <c r="U49" s="89">
        <v>31749861</v>
      </c>
      <c r="V49" s="34">
        <f t="shared" ref="V49:V51" si="87">H49</f>
        <v>31658056</v>
      </c>
      <c r="W49" s="89">
        <v>31662100</v>
      </c>
      <c r="X49" s="89">
        <v>31927355</v>
      </c>
      <c r="Y49" s="89">
        <v>32175382</v>
      </c>
      <c r="Z49" s="34">
        <f t="shared" ref="Z49:Z51" si="88">I49</f>
        <v>32452462</v>
      </c>
      <c r="AA49" s="89">
        <v>32040839</v>
      </c>
      <c r="AB49" s="89">
        <v>32089394</v>
      </c>
      <c r="AC49" s="89">
        <v>32639879</v>
      </c>
      <c r="AE49" s="34">
        <f>O49</f>
        <v>31191920</v>
      </c>
      <c r="AF49" s="34">
        <f>P49</f>
        <v>32533199</v>
      </c>
      <c r="AG49" s="34">
        <f>Q49</f>
        <v>32777340</v>
      </c>
      <c r="AH49" s="34">
        <f>R49</f>
        <v>32736713</v>
      </c>
      <c r="AI49" s="34">
        <f>S49</f>
        <v>32349184</v>
      </c>
      <c r="AJ49" s="34">
        <f>T49</f>
        <v>32520774</v>
      </c>
      <c r="AK49" s="34">
        <f>U49</f>
        <v>31749861</v>
      </c>
      <c r="AL49" s="34">
        <f>V49</f>
        <v>31658056</v>
      </c>
      <c r="AM49" s="34">
        <f>W49</f>
        <v>31662100</v>
      </c>
      <c r="AN49" s="34">
        <f>X49</f>
        <v>31927355</v>
      </c>
      <c r="AO49" s="34">
        <f>Y49</f>
        <v>32175382</v>
      </c>
      <c r="AP49" s="34">
        <f>Z49</f>
        <v>32452462</v>
      </c>
      <c r="AQ49" s="34">
        <f>AA49</f>
        <v>32040839</v>
      </c>
      <c r="AR49" s="34">
        <f>AB49</f>
        <v>32089394</v>
      </c>
      <c r="AS49" s="34">
        <f>AC49</f>
        <v>32639879</v>
      </c>
      <c r="AT49" s="12"/>
      <c r="AU49" s="82">
        <f t="shared" ref="AU49:AU52" si="89">SUM(AS49/AO49)-1</f>
        <v>1.4436409799268191E-2</v>
      </c>
    </row>
    <row r="50" spans="2:47" ht="12.75" customHeight="1">
      <c r="B50" s="10" t="s">
        <v>470</v>
      </c>
      <c r="C50" s="89">
        <v>418281</v>
      </c>
      <c r="D50" s="89">
        <v>565221</v>
      </c>
      <c r="E50" s="89">
        <v>960183</v>
      </c>
      <c r="F50" s="89">
        <v>1323453</v>
      </c>
      <c r="G50" s="89">
        <v>1398257</v>
      </c>
      <c r="H50" s="89">
        <v>1491444</v>
      </c>
      <c r="I50" s="89">
        <v>1593756</v>
      </c>
      <c r="K50" s="89">
        <v>1015419</v>
      </c>
      <c r="L50" s="89">
        <v>1107437</v>
      </c>
      <c r="M50" s="89">
        <v>1220114</v>
      </c>
      <c r="N50" s="34">
        <f t="shared" si="85"/>
        <v>1323453</v>
      </c>
      <c r="O50" s="89">
        <v>1383763</v>
      </c>
      <c r="P50" s="89">
        <v>1361920</v>
      </c>
      <c r="Q50" s="89">
        <v>1372754</v>
      </c>
      <c r="R50" s="362">
        <f t="shared" si="86"/>
        <v>1398257</v>
      </c>
      <c r="S50" s="89">
        <v>1413094</v>
      </c>
      <c r="T50" s="89">
        <v>1471968</v>
      </c>
      <c r="U50" s="89">
        <v>1498391</v>
      </c>
      <c r="V50" s="34">
        <f t="shared" si="87"/>
        <v>1491444</v>
      </c>
      <c r="W50" s="89">
        <v>1501168</v>
      </c>
      <c r="X50" s="89">
        <v>1510958</v>
      </c>
      <c r="Y50" s="89">
        <v>1568212</v>
      </c>
      <c r="Z50" s="34">
        <f t="shared" si="88"/>
        <v>1593756</v>
      </c>
      <c r="AA50" s="89">
        <v>1644346</v>
      </c>
      <c r="AB50" s="89">
        <v>1743566</v>
      </c>
      <c r="AC50" s="89">
        <v>1837889</v>
      </c>
      <c r="AE50" s="34">
        <f>O50</f>
        <v>1383763</v>
      </c>
      <c r="AF50" s="34">
        <f>P50</f>
        <v>1361920</v>
      </c>
      <c r="AG50" s="34">
        <f>Q50</f>
        <v>1372754</v>
      </c>
      <c r="AH50" s="34">
        <f>R50</f>
        <v>1398257</v>
      </c>
      <c r="AI50" s="34">
        <f>S50</f>
        <v>1413094</v>
      </c>
      <c r="AJ50" s="34">
        <f>T50</f>
        <v>1471968</v>
      </c>
      <c r="AK50" s="34">
        <f>U50</f>
        <v>1498391</v>
      </c>
      <c r="AL50" s="34">
        <f>V50</f>
        <v>1491444</v>
      </c>
      <c r="AM50" s="34">
        <f>W50</f>
        <v>1501168</v>
      </c>
      <c r="AN50" s="34">
        <f>X50</f>
        <v>1510958</v>
      </c>
      <c r="AO50" s="34">
        <f>Y50</f>
        <v>1568212</v>
      </c>
      <c r="AP50" s="34">
        <f>Z50</f>
        <v>1593756</v>
      </c>
      <c r="AQ50" s="34">
        <f>AA50</f>
        <v>1644346</v>
      </c>
      <c r="AR50" s="34">
        <f>AB50</f>
        <v>1743566</v>
      </c>
      <c r="AS50" s="34">
        <f>AC50</f>
        <v>1837889</v>
      </c>
      <c r="AT50" s="12"/>
      <c r="AU50" s="82">
        <f t="shared" si="89"/>
        <v>0.1719646323328734</v>
      </c>
    </row>
    <row r="51" spans="2:47" ht="12.75" customHeight="1">
      <c r="B51" s="10" t="s">
        <v>468</v>
      </c>
      <c r="C51" s="89">
        <v>910843</v>
      </c>
      <c r="D51" s="89">
        <v>2727420</v>
      </c>
      <c r="E51" s="89">
        <v>3174646</v>
      </c>
      <c r="F51" s="89">
        <v>4271846</v>
      </c>
      <c r="G51" s="89">
        <v>5193325</v>
      </c>
      <c r="H51" s="89">
        <v>5664359</v>
      </c>
      <c r="I51" s="89">
        <v>6483777</v>
      </c>
      <c r="K51" s="89">
        <v>2956096</v>
      </c>
      <c r="L51" s="89">
        <v>2967616</v>
      </c>
      <c r="M51" s="89">
        <v>3129911</v>
      </c>
      <c r="N51" s="34">
        <f t="shared" si="85"/>
        <v>4271846</v>
      </c>
      <c r="O51" s="89">
        <v>4657206</v>
      </c>
      <c r="P51" s="89">
        <v>4615038</v>
      </c>
      <c r="Q51" s="89">
        <v>4595190</v>
      </c>
      <c r="R51" s="362">
        <f t="shared" si="86"/>
        <v>5193325</v>
      </c>
      <c r="S51" s="89">
        <v>5245444</v>
      </c>
      <c r="T51" s="89">
        <v>5318395</v>
      </c>
      <c r="U51" s="89">
        <v>5474060</v>
      </c>
      <c r="V51" s="34">
        <f t="shared" si="87"/>
        <v>5664359</v>
      </c>
      <c r="W51" s="89">
        <v>5743140</v>
      </c>
      <c r="X51" s="89">
        <v>6045029</v>
      </c>
      <c r="Y51" s="89">
        <v>6409151</v>
      </c>
      <c r="Z51" s="34">
        <f t="shared" si="88"/>
        <v>6483777</v>
      </c>
      <c r="AA51" s="89">
        <v>6704827</v>
      </c>
      <c r="AB51" s="89">
        <v>7273598</v>
      </c>
      <c r="AC51" s="89">
        <v>7494132</v>
      </c>
      <c r="AE51" s="34">
        <f>O51</f>
        <v>4657206</v>
      </c>
      <c r="AF51" s="34">
        <f>P51</f>
        <v>4615038</v>
      </c>
      <c r="AG51" s="34">
        <f>Q51</f>
        <v>4595190</v>
      </c>
      <c r="AH51" s="34">
        <f>R51</f>
        <v>5193325</v>
      </c>
      <c r="AI51" s="34">
        <f>S51</f>
        <v>5245444</v>
      </c>
      <c r="AJ51" s="34">
        <f>T51</f>
        <v>5318395</v>
      </c>
      <c r="AK51" s="34">
        <f>U51</f>
        <v>5474060</v>
      </c>
      <c r="AL51" s="34">
        <f>V51</f>
        <v>5664359</v>
      </c>
      <c r="AM51" s="34">
        <f>W51</f>
        <v>5743140</v>
      </c>
      <c r="AN51" s="34">
        <f>X51</f>
        <v>6045029</v>
      </c>
      <c r="AO51" s="34">
        <f>Y51</f>
        <v>6409151</v>
      </c>
      <c r="AP51" s="34">
        <f>Z51</f>
        <v>6483777</v>
      </c>
      <c r="AQ51" s="34">
        <f>AA51</f>
        <v>6704827</v>
      </c>
      <c r="AR51" s="34">
        <f>AB51</f>
        <v>7273598</v>
      </c>
      <c r="AS51" s="34">
        <f>AC51</f>
        <v>7494132</v>
      </c>
      <c r="AT51" s="12"/>
      <c r="AU51" s="82">
        <f t="shared" si="89"/>
        <v>0.16928622839436924</v>
      </c>
    </row>
    <row r="52" spans="2:47" ht="12.75" customHeight="1">
      <c r="B52" s="14" t="s">
        <v>29</v>
      </c>
      <c r="C52" s="15">
        <f>SUM(C49:C51)+C46</f>
        <v>25974400</v>
      </c>
      <c r="D52" s="15">
        <f>SUM(D49:D51)+D46</f>
        <v>33975712</v>
      </c>
      <c r="E52" s="15">
        <f>SUM(E49:E51)+E46</f>
        <v>39280359</v>
      </c>
      <c r="F52" s="15">
        <f>SUM(F49:F51)+F46</f>
        <v>44584663</v>
      </c>
      <c r="G52" s="15">
        <f>SUM(G49:G51)+G46</f>
        <v>48594768</v>
      </c>
      <c r="H52" s="15">
        <f>SUM(H49:H51)+H46</f>
        <v>48731992</v>
      </c>
      <c r="I52" s="15">
        <f>SUM(I49:I51)+I46</f>
        <v>53630374</v>
      </c>
      <c r="K52" s="15">
        <f>SUM(K49:K51)+K46</f>
        <v>40123014</v>
      </c>
      <c r="L52" s="15">
        <f>SUM(L49:L51)+L46</f>
        <v>40970969</v>
      </c>
      <c r="M52" s="15">
        <f>SUM(M49:M51)+M46</f>
        <v>42739857</v>
      </c>
      <c r="N52" s="15">
        <f>SUM(N49:N51)+N46</f>
        <v>44584663</v>
      </c>
      <c r="O52" s="15">
        <f>SUM(O49:O51)+O46</f>
        <v>45330904</v>
      </c>
      <c r="P52" s="15">
        <f>SUM(P49:P51)+P46</f>
        <v>46350935</v>
      </c>
      <c r="Q52" s="15">
        <f>SUM(Q49:Q51)+Q46</f>
        <v>47562187</v>
      </c>
      <c r="R52" s="15">
        <f>SUM(R49:R51)+R46</f>
        <v>48594768</v>
      </c>
      <c r="S52" s="15">
        <f>SUM(S49:S51)+S46</f>
        <v>49490345</v>
      </c>
      <c r="T52" s="15">
        <f>SUM(T49:T51)+T46</f>
        <v>50817473</v>
      </c>
      <c r="U52" s="15">
        <f>SUM(U49:U51)+U46</f>
        <v>49501786</v>
      </c>
      <c r="V52" s="15">
        <f>SUM(V49:V51)+V46</f>
        <v>48731992</v>
      </c>
      <c r="W52" s="15">
        <f>SUM(W49:W51)+W46</f>
        <v>48827721</v>
      </c>
      <c r="X52" s="15">
        <f>SUM(X49:X51)+X46</f>
        <v>49098895</v>
      </c>
      <c r="Y52" s="15">
        <f>SUM(Y49:Y51)+Y46</f>
        <v>52281844</v>
      </c>
      <c r="Z52" s="15">
        <f>SUM(Z49:Z51)+Z46</f>
        <v>53630374</v>
      </c>
      <c r="AA52" s="15">
        <f>SUM(AA49:AA51)+AA46</f>
        <v>52087644</v>
      </c>
      <c r="AB52" s="15">
        <f>SUM(AB49:AB51)+AB46</f>
        <v>53099664</v>
      </c>
      <c r="AC52" s="15">
        <f>SUM(AC49:AC51)+AC46</f>
        <v>54934835</v>
      </c>
      <c r="AE52" s="15">
        <f>SUM(AE49:AE51)+AE46</f>
        <v>45330904</v>
      </c>
      <c r="AF52" s="15">
        <f>SUM(AF49:AF51)+AF46</f>
        <v>46350935</v>
      </c>
      <c r="AG52" s="15">
        <f>SUM(AG49:AG51)+AG46</f>
        <v>47562187</v>
      </c>
      <c r="AH52" s="15">
        <f>SUM(AH49:AH51)+AH46</f>
        <v>48594768</v>
      </c>
      <c r="AI52" s="15">
        <f>SUM(AI49:AI51)+AI46</f>
        <v>49490345</v>
      </c>
      <c r="AJ52" s="15">
        <f>SUM(AJ49:AJ51)+AJ46</f>
        <v>50817473</v>
      </c>
      <c r="AK52" s="15">
        <f>SUM(AK49:AK51)+AK46</f>
        <v>49501786</v>
      </c>
      <c r="AL52" s="15">
        <f>SUM(AL49:AL51)+AL46</f>
        <v>48731992</v>
      </c>
      <c r="AM52" s="15">
        <f>SUM(AM49:AM51)+AM46</f>
        <v>48827721</v>
      </c>
      <c r="AN52" s="15">
        <f>SUM(AN49:AN51)+AN46</f>
        <v>49098895</v>
      </c>
      <c r="AO52" s="15">
        <f>SUM(AO49:AO51)+AO46</f>
        <v>52281844</v>
      </c>
      <c r="AP52" s="15">
        <f>SUM(AP49:AP51)+AP46</f>
        <v>53630374</v>
      </c>
      <c r="AQ52" s="15">
        <f>SUM(AQ49:AQ51)+AQ46</f>
        <v>52087644</v>
      </c>
      <c r="AR52" s="15">
        <f>SUM(AR49:AR51)+AR46</f>
        <v>53099664</v>
      </c>
      <c r="AS52" s="36">
        <f>SUM(AS49:AS51)+AS46</f>
        <v>54934835</v>
      </c>
      <c r="AT52" s="45"/>
      <c r="AU52" s="83">
        <f t="shared" si="89"/>
        <v>5.0744021194049749E-2</v>
      </c>
    </row>
    <row r="53" spans="2:47" ht="12.75" customHeight="1">
      <c r="B53" s="27"/>
      <c r="C53" s="55"/>
      <c r="D53" s="55"/>
      <c r="E53" s="55"/>
      <c r="F53" s="55"/>
      <c r="G53" s="55"/>
      <c r="H53" s="44"/>
      <c r="I53" s="44"/>
      <c r="K53" s="44"/>
      <c r="L53" s="44"/>
      <c r="M53" s="44"/>
      <c r="N53" s="44"/>
      <c r="O53" s="44"/>
      <c r="P53" s="44"/>
      <c r="Q53" s="44"/>
      <c r="R53" s="44"/>
      <c r="S53" s="44"/>
      <c r="T53" s="44"/>
      <c r="U53" s="44"/>
      <c r="V53" s="44"/>
      <c r="W53" s="44"/>
      <c r="X53" s="44"/>
      <c r="Y53" s="44"/>
      <c r="Z53" s="44"/>
      <c r="AA53" s="44"/>
      <c r="AB53" s="44"/>
      <c r="AC53" s="44"/>
      <c r="AE53" s="45"/>
      <c r="AF53" s="45"/>
      <c r="AG53" s="45"/>
      <c r="AH53" s="45"/>
      <c r="AI53" s="45"/>
      <c r="AJ53" s="45"/>
      <c r="AK53" s="45"/>
      <c r="AL53" s="45"/>
      <c r="AM53" s="45"/>
      <c r="AN53" s="45"/>
      <c r="AO53" s="45"/>
      <c r="AP53" s="45"/>
      <c r="AQ53" s="45"/>
      <c r="AR53" s="45"/>
      <c r="AS53" s="45"/>
      <c r="AT53" s="45"/>
      <c r="AU53" s="42"/>
    </row>
    <row r="54" spans="2:47" ht="12.75" customHeight="1">
      <c r="B54" s="85" t="s">
        <v>65</v>
      </c>
      <c r="C54" s="55"/>
      <c r="D54" s="55"/>
      <c r="E54" s="55"/>
      <c r="F54" s="55"/>
      <c r="G54" s="55"/>
      <c r="H54" s="44"/>
      <c r="I54" s="44"/>
      <c r="K54" s="44"/>
      <c r="L54" s="44"/>
      <c r="M54" s="44"/>
      <c r="N54" s="44"/>
      <c r="O54" s="44"/>
      <c r="P54" s="44"/>
      <c r="Q54" s="44"/>
      <c r="R54" s="44"/>
      <c r="S54" s="44"/>
      <c r="T54" s="44"/>
      <c r="U54" s="44"/>
      <c r="V54" s="44"/>
      <c r="W54" s="44"/>
      <c r="X54" s="44"/>
      <c r="Y54" s="44"/>
      <c r="Z54" s="44"/>
      <c r="AA54" s="44"/>
      <c r="AB54" s="44"/>
      <c r="AC54" s="44"/>
      <c r="AE54" s="45"/>
      <c r="AF54" s="45"/>
      <c r="AG54" s="45"/>
      <c r="AH54" s="45"/>
      <c r="AI54" s="45"/>
      <c r="AJ54" s="45"/>
      <c r="AK54" s="45"/>
      <c r="AL54" s="45"/>
      <c r="AM54" s="45"/>
      <c r="AN54" s="45"/>
      <c r="AO54" s="45"/>
      <c r="AP54" s="45"/>
      <c r="AQ54" s="45"/>
      <c r="AR54" s="45"/>
      <c r="AS54" s="45"/>
      <c r="AT54" s="45"/>
      <c r="AU54" s="42"/>
    </row>
    <row r="55" spans="2:47" ht="12.75" customHeight="1">
      <c r="B55" s="464" t="s">
        <v>609</v>
      </c>
      <c r="C55" s="465">
        <v>4681562</v>
      </c>
      <c r="D55" s="465">
        <v>4413561</v>
      </c>
      <c r="E55" s="465">
        <v>4429536</v>
      </c>
      <c r="F55" s="465">
        <v>4292967</v>
      </c>
      <c r="G55" s="465">
        <v>4480150</v>
      </c>
      <c r="H55" s="465">
        <v>4466470</v>
      </c>
      <c r="I55" s="465">
        <v>4393681</v>
      </c>
      <c r="K55" s="89">
        <v>4297957</v>
      </c>
      <c r="L55" s="89">
        <v>4197874</v>
      </c>
      <c r="M55" s="89">
        <v>4110962</v>
      </c>
      <c r="N55" s="34">
        <f t="shared" ref="N55:N59" si="90">F55</f>
        <v>4292967</v>
      </c>
      <c r="O55" s="89">
        <v>4066289</v>
      </c>
      <c r="P55" s="89">
        <v>4174966</v>
      </c>
      <c r="Q55" s="89">
        <v>4225890</v>
      </c>
      <c r="R55" s="362">
        <f t="shared" ref="R55:R59" si="91">G55</f>
        <v>4480150</v>
      </c>
      <c r="S55" s="89">
        <v>4344580</v>
      </c>
      <c r="T55" s="89">
        <v>4440412</v>
      </c>
      <c r="U55" s="89">
        <v>4259582</v>
      </c>
      <c r="V55" s="34">
        <f t="shared" ref="V55:V59" si="92">H55</f>
        <v>4466470</v>
      </c>
      <c r="W55" s="89">
        <v>4436021</v>
      </c>
      <c r="X55" s="89">
        <v>4391437</v>
      </c>
      <c r="Y55" s="89">
        <v>4489971</v>
      </c>
      <c r="Z55" s="34">
        <f t="shared" ref="Z55:Z59" si="93">I55</f>
        <v>4393681</v>
      </c>
      <c r="AA55" s="89">
        <v>4128905</v>
      </c>
      <c r="AB55" s="89">
        <v>4091770</v>
      </c>
      <c r="AC55" s="89">
        <v>4102640</v>
      </c>
      <c r="AE55" s="362">
        <f>O55</f>
        <v>4066289</v>
      </c>
      <c r="AF55" s="362">
        <f>P55</f>
        <v>4174966</v>
      </c>
      <c r="AG55" s="362">
        <f>Q55</f>
        <v>4225890</v>
      </c>
      <c r="AH55" s="362">
        <f>R55</f>
        <v>4480150</v>
      </c>
      <c r="AI55" s="362">
        <f>S55</f>
        <v>4344580</v>
      </c>
      <c r="AJ55" s="362">
        <f>T55</f>
        <v>4440412</v>
      </c>
      <c r="AK55" s="362">
        <f>U55</f>
        <v>4259582</v>
      </c>
      <c r="AL55" s="362">
        <f>V55</f>
        <v>4466470</v>
      </c>
      <c r="AM55" s="362">
        <f>W55</f>
        <v>4436021</v>
      </c>
      <c r="AN55" s="362">
        <f>X55</f>
        <v>4391437</v>
      </c>
      <c r="AO55" s="362">
        <f>Y55</f>
        <v>4489971</v>
      </c>
      <c r="AP55" s="362">
        <f>Z55</f>
        <v>4393681</v>
      </c>
      <c r="AQ55" s="362">
        <f>AA55</f>
        <v>4128905</v>
      </c>
      <c r="AR55" s="362">
        <f>AB55</f>
        <v>4091770</v>
      </c>
      <c r="AS55" s="362">
        <f>AC55</f>
        <v>4102640</v>
      </c>
      <c r="AT55" s="12"/>
      <c r="AU55" s="82">
        <f t="shared" ref="AU55:AU60" si="94">SUM(AS55/AO55)-1</f>
        <v>-8.6265813298125993E-2</v>
      </c>
    </row>
    <row r="56" spans="2:47" ht="12.75" customHeight="1">
      <c r="B56" s="464" t="s">
        <v>16</v>
      </c>
      <c r="C56" s="465">
        <v>562985</v>
      </c>
      <c r="D56" s="465">
        <v>674347</v>
      </c>
      <c r="E56" s="465">
        <v>656183</v>
      </c>
      <c r="F56" s="465">
        <v>837483</v>
      </c>
      <c r="G56" s="465">
        <v>671513</v>
      </c>
      <c r="H56" s="465">
        <v>747412</v>
      </c>
      <c r="I56" s="465">
        <v>899909</v>
      </c>
      <c r="K56" s="89">
        <v>532942</v>
      </c>
      <c r="L56" s="89">
        <v>622931</v>
      </c>
      <c r="M56" s="89">
        <v>643059</v>
      </c>
      <c r="N56" s="34">
        <f t="shared" si="90"/>
        <v>837483</v>
      </c>
      <c r="O56" s="89">
        <v>617202</v>
      </c>
      <c r="P56" s="89">
        <v>504278</v>
      </c>
      <c r="Q56" s="89">
        <v>560156</v>
      </c>
      <c r="R56" s="362">
        <f t="shared" si="91"/>
        <v>671513</v>
      </c>
      <c r="S56" s="89">
        <v>591987</v>
      </c>
      <c r="T56" s="89">
        <v>615374</v>
      </c>
      <c r="U56" s="89">
        <v>534429</v>
      </c>
      <c r="V56" s="34">
        <f t="shared" si="92"/>
        <v>747412</v>
      </c>
      <c r="W56" s="89">
        <v>607348</v>
      </c>
      <c r="X56" s="89">
        <v>598557</v>
      </c>
      <c r="Y56" s="89">
        <v>641953</v>
      </c>
      <c r="Z56" s="34">
        <f t="shared" si="93"/>
        <v>899909</v>
      </c>
      <c r="AA56" s="89">
        <v>614489</v>
      </c>
      <c r="AB56" s="89">
        <v>632718</v>
      </c>
      <c r="AC56" s="89">
        <v>793233</v>
      </c>
      <c r="AE56" s="362">
        <f>O56</f>
        <v>617202</v>
      </c>
      <c r="AF56" s="362">
        <f>P56</f>
        <v>504278</v>
      </c>
      <c r="AG56" s="362">
        <f>Q56</f>
        <v>560156</v>
      </c>
      <c r="AH56" s="362">
        <f>R56</f>
        <v>671513</v>
      </c>
      <c r="AI56" s="362">
        <f>S56</f>
        <v>591987</v>
      </c>
      <c r="AJ56" s="362">
        <f>T56</f>
        <v>615374</v>
      </c>
      <c r="AK56" s="362">
        <f>U56</f>
        <v>534429</v>
      </c>
      <c r="AL56" s="362">
        <f>V56</f>
        <v>747412</v>
      </c>
      <c r="AM56" s="362">
        <f>W56</f>
        <v>607348</v>
      </c>
      <c r="AN56" s="362">
        <f>X56</f>
        <v>598557</v>
      </c>
      <c r="AO56" s="362">
        <f>Y56</f>
        <v>641953</v>
      </c>
      <c r="AP56" s="362">
        <f>Z56</f>
        <v>899909</v>
      </c>
      <c r="AQ56" s="362">
        <f>AA56</f>
        <v>614489</v>
      </c>
      <c r="AR56" s="362">
        <f>AB56</f>
        <v>632718</v>
      </c>
      <c r="AS56" s="362">
        <f>AC56</f>
        <v>793233</v>
      </c>
      <c r="AT56" s="12"/>
      <c r="AU56" s="82">
        <f t="shared" si="94"/>
        <v>0.23565588134956927</v>
      </c>
    </row>
    <row r="57" spans="2:47" ht="12.75" customHeight="1">
      <c r="B57" s="464" t="s">
        <v>610</v>
      </c>
      <c r="C57" s="465">
        <v>481874</v>
      </c>
      <c r="D57" s="465">
        <v>843043</v>
      </c>
      <c r="E57" s="465">
        <v>1102196</v>
      </c>
      <c r="F57" s="465">
        <v>1449351</v>
      </c>
      <c r="G57" s="465">
        <v>1514650</v>
      </c>
      <c r="H57" s="465">
        <v>1803960</v>
      </c>
      <c r="I57" s="465">
        <v>2156544</v>
      </c>
      <c r="K57" s="89">
        <v>1291812</v>
      </c>
      <c r="L57" s="89">
        <v>1125591</v>
      </c>
      <c r="M57" s="89">
        <v>1413120</v>
      </c>
      <c r="N57" s="34">
        <f t="shared" si="90"/>
        <v>1449351</v>
      </c>
      <c r="O57" s="89">
        <v>1817117</v>
      </c>
      <c r="P57" s="89">
        <v>1596035</v>
      </c>
      <c r="Q57" s="89">
        <v>1803555</v>
      </c>
      <c r="R57" s="362">
        <f t="shared" si="91"/>
        <v>1514650</v>
      </c>
      <c r="S57" s="89">
        <v>1718069</v>
      </c>
      <c r="T57" s="89">
        <v>1908714</v>
      </c>
      <c r="U57" s="89">
        <v>1838908</v>
      </c>
      <c r="V57" s="34">
        <f t="shared" si="92"/>
        <v>1803960</v>
      </c>
      <c r="W57" s="89">
        <v>1977428</v>
      </c>
      <c r="X57" s="89">
        <v>1876244</v>
      </c>
      <c r="Y57" s="89">
        <v>2241758</v>
      </c>
      <c r="Z57" s="34">
        <f t="shared" si="93"/>
        <v>2156544</v>
      </c>
      <c r="AA57" s="89">
        <v>2359518</v>
      </c>
      <c r="AB57" s="89">
        <v>2489486</v>
      </c>
      <c r="AC57" s="89">
        <v>3111311</v>
      </c>
      <c r="AE57" s="362">
        <f>O57</f>
        <v>1817117</v>
      </c>
      <c r="AF57" s="362">
        <f>P57</f>
        <v>1596035</v>
      </c>
      <c r="AG57" s="362">
        <f>Q57</f>
        <v>1803555</v>
      </c>
      <c r="AH57" s="362">
        <f>R57</f>
        <v>1514650</v>
      </c>
      <c r="AI57" s="362">
        <f>S57</f>
        <v>1718069</v>
      </c>
      <c r="AJ57" s="362">
        <f>T57</f>
        <v>1908714</v>
      </c>
      <c r="AK57" s="362">
        <f>U57</f>
        <v>1838908</v>
      </c>
      <c r="AL57" s="362">
        <f>V57</f>
        <v>1803960</v>
      </c>
      <c r="AM57" s="362">
        <f>W57</f>
        <v>1977428</v>
      </c>
      <c r="AN57" s="362">
        <f>X57</f>
        <v>1876244</v>
      </c>
      <c r="AO57" s="362">
        <f>Y57</f>
        <v>2241758</v>
      </c>
      <c r="AP57" s="362">
        <f>Z57</f>
        <v>2156544</v>
      </c>
      <c r="AQ57" s="362">
        <f>AA57</f>
        <v>2359518</v>
      </c>
      <c r="AR57" s="362">
        <f>AB57</f>
        <v>2489486</v>
      </c>
      <c r="AS57" s="362">
        <f>AC57</f>
        <v>3111311</v>
      </c>
      <c r="AT57" s="12"/>
      <c r="AU57" s="82">
        <f t="shared" si="94"/>
        <v>0.38788888006644795</v>
      </c>
    </row>
    <row r="58" spans="2:47" ht="12.75" customHeight="1">
      <c r="B58" s="464" t="s">
        <v>478</v>
      </c>
      <c r="C58" s="465">
        <v>760899</v>
      </c>
      <c r="D58" s="465">
        <v>924745</v>
      </c>
      <c r="E58" s="465">
        <v>1117992</v>
      </c>
      <c r="F58" s="465">
        <v>1209342</v>
      </c>
      <c r="G58" s="465">
        <v>1264661</v>
      </c>
      <c r="H58" s="465">
        <v>1442969</v>
      </c>
      <c r="I58" s="465">
        <v>1520813</v>
      </c>
      <c r="K58" s="89">
        <v>1140271</v>
      </c>
      <c r="L58" s="89">
        <v>1187364</v>
      </c>
      <c r="M58" s="89">
        <v>1182632</v>
      </c>
      <c r="N58" s="34">
        <f t="shared" si="90"/>
        <v>1209342</v>
      </c>
      <c r="O58" s="89">
        <v>1239048</v>
      </c>
      <c r="P58" s="89">
        <v>1224743</v>
      </c>
      <c r="Q58" s="89">
        <v>1176323</v>
      </c>
      <c r="R58" s="362">
        <f t="shared" si="91"/>
        <v>1264661</v>
      </c>
      <c r="S58" s="89">
        <v>1262271</v>
      </c>
      <c r="T58" s="89">
        <v>1311918</v>
      </c>
      <c r="U58" s="89">
        <v>1306185</v>
      </c>
      <c r="V58" s="34">
        <f t="shared" si="92"/>
        <v>1442969</v>
      </c>
      <c r="W58" s="89">
        <v>1469484</v>
      </c>
      <c r="X58" s="89">
        <v>1473720</v>
      </c>
      <c r="Y58" s="89">
        <v>1513048</v>
      </c>
      <c r="Z58" s="34">
        <f t="shared" si="93"/>
        <v>1520813</v>
      </c>
      <c r="AA58" s="89">
        <v>1609726</v>
      </c>
      <c r="AB58" s="89">
        <v>1728361</v>
      </c>
      <c r="AC58" s="89">
        <v>1724675</v>
      </c>
      <c r="AE58" s="362">
        <f>O58</f>
        <v>1239048</v>
      </c>
      <c r="AF58" s="362">
        <f>P58</f>
        <v>1224743</v>
      </c>
      <c r="AG58" s="362">
        <f>Q58</f>
        <v>1176323</v>
      </c>
      <c r="AH58" s="362">
        <f>R58</f>
        <v>1264661</v>
      </c>
      <c r="AI58" s="362">
        <f>S58</f>
        <v>1262271</v>
      </c>
      <c r="AJ58" s="362">
        <f>T58</f>
        <v>1311918</v>
      </c>
      <c r="AK58" s="362">
        <f>U58</f>
        <v>1306185</v>
      </c>
      <c r="AL58" s="362">
        <f>V58</f>
        <v>1442969</v>
      </c>
      <c r="AM58" s="362">
        <f>W58</f>
        <v>1469484</v>
      </c>
      <c r="AN58" s="362">
        <f>X58</f>
        <v>1473720</v>
      </c>
      <c r="AO58" s="362">
        <f>Y58</f>
        <v>1513048</v>
      </c>
      <c r="AP58" s="362">
        <f>Z58</f>
        <v>1520813</v>
      </c>
      <c r="AQ58" s="362">
        <f>AA58</f>
        <v>1609726</v>
      </c>
      <c r="AR58" s="362">
        <f>AB58</f>
        <v>1728361</v>
      </c>
      <c r="AS58" s="362">
        <f>AC58</f>
        <v>1724675</v>
      </c>
      <c r="AT58" s="12"/>
      <c r="AU58" s="82">
        <f t="shared" si="94"/>
        <v>0.13986800154390333</v>
      </c>
    </row>
    <row r="59" spans="2:47" ht="12.75" customHeight="1">
      <c r="B59" s="464" t="s">
        <v>611</v>
      </c>
      <c r="C59" s="465">
        <v>0</v>
      </c>
      <c r="D59" s="465">
        <v>0</v>
      </c>
      <c r="E59" s="465">
        <v>499878</v>
      </c>
      <c r="F59" s="465">
        <v>699823</v>
      </c>
      <c r="G59" s="465">
        <v>0</v>
      </c>
      <c r="H59" s="465">
        <v>399844</v>
      </c>
      <c r="I59" s="465">
        <v>1784453</v>
      </c>
      <c r="K59" s="89">
        <v>698788</v>
      </c>
      <c r="L59" s="89">
        <v>699128</v>
      </c>
      <c r="M59" s="89">
        <v>699473</v>
      </c>
      <c r="N59" s="34">
        <f t="shared" si="90"/>
        <v>699823</v>
      </c>
      <c r="O59" s="89">
        <v>0</v>
      </c>
      <c r="P59" s="89">
        <v>0</v>
      </c>
      <c r="Q59" s="89">
        <v>0</v>
      </c>
      <c r="R59" s="362">
        <f t="shared" si="91"/>
        <v>0</v>
      </c>
      <c r="S59" s="89">
        <v>399163</v>
      </c>
      <c r="T59" s="89">
        <v>399387</v>
      </c>
      <c r="U59" s="89">
        <v>399614</v>
      </c>
      <c r="V59" s="34">
        <f t="shared" si="92"/>
        <v>399844</v>
      </c>
      <c r="W59" s="89">
        <v>798936</v>
      </c>
      <c r="X59" s="89">
        <v>1800041</v>
      </c>
      <c r="Y59" s="89">
        <v>1820396</v>
      </c>
      <c r="Z59" s="34">
        <f t="shared" si="93"/>
        <v>1784453</v>
      </c>
      <c r="AA59" s="89">
        <v>1005881</v>
      </c>
      <c r="AB59" s="89">
        <v>0</v>
      </c>
      <c r="AC59" s="89">
        <v>0</v>
      </c>
      <c r="AE59" s="362">
        <f>O59</f>
        <v>0</v>
      </c>
      <c r="AF59" s="362">
        <f>P59</f>
        <v>0</v>
      </c>
      <c r="AG59" s="362">
        <f>Q59</f>
        <v>0</v>
      </c>
      <c r="AH59" s="362">
        <f>R59</f>
        <v>0</v>
      </c>
      <c r="AI59" s="362">
        <f>S59</f>
        <v>399163</v>
      </c>
      <c r="AJ59" s="362">
        <f>T59</f>
        <v>399387</v>
      </c>
      <c r="AK59" s="362">
        <f>U59</f>
        <v>399614</v>
      </c>
      <c r="AL59" s="362">
        <f>V59</f>
        <v>399844</v>
      </c>
      <c r="AM59" s="362">
        <f>W59</f>
        <v>798936</v>
      </c>
      <c r="AN59" s="362">
        <f>X59</f>
        <v>1800041</v>
      </c>
      <c r="AO59" s="362">
        <f>Y59</f>
        <v>1820396</v>
      </c>
      <c r="AP59" s="362">
        <f>Z59</f>
        <v>1784453</v>
      </c>
      <c r="AQ59" s="362">
        <f>AA59</f>
        <v>1005881</v>
      </c>
      <c r="AR59" s="362">
        <f>AB59</f>
        <v>0</v>
      </c>
      <c r="AS59" s="362">
        <f>AC59</f>
        <v>0</v>
      </c>
      <c r="AT59" s="12"/>
      <c r="AU59" s="82">
        <f t="shared" si="94"/>
        <v>-1</v>
      </c>
    </row>
    <row r="60" spans="2:47" ht="12.75" customHeight="1">
      <c r="B60" s="27" t="s">
        <v>25</v>
      </c>
      <c r="C60" s="28">
        <f t="shared" ref="C60:I60" si="95">SUM(C55:C59)</f>
        <v>6487320</v>
      </c>
      <c r="D60" s="28">
        <f t="shared" si="95"/>
        <v>6855696</v>
      </c>
      <c r="E60" s="28">
        <f t="shared" si="95"/>
        <v>7805785</v>
      </c>
      <c r="F60" s="28">
        <f t="shared" si="95"/>
        <v>8488966</v>
      </c>
      <c r="G60" s="28">
        <f t="shared" si="95"/>
        <v>7930974</v>
      </c>
      <c r="H60" s="28">
        <f t="shared" si="95"/>
        <v>8860655</v>
      </c>
      <c r="I60" s="28">
        <f t="shared" si="95"/>
        <v>10755400</v>
      </c>
      <c r="K60" s="28">
        <f t="shared" ref="K60:AC60" si="96">SUM(K55:K59)</f>
        <v>7961770</v>
      </c>
      <c r="L60" s="28">
        <f t="shared" si="96"/>
        <v>7832888</v>
      </c>
      <c r="M60" s="28">
        <f t="shared" si="96"/>
        <v>8049246</v>
      </c>
      <c r="N60" s="28">
        <f t="shared" si="96"/>
        <v>8488966</v>
      </c>
      <c r="O60" s="28">
        <f t="shared" si="96"/>
        <v>7739656</v>
      </c>
      <c r="P60" s="28">
        <f t="shared" si="96"/>
        <v>7500022</v>
      </c>
      <c r="Q60" s="28">
        <f t="shared" si="96"/>
        <v>7765924</v>
      </c>
      <c r="R60" s="28">
        <f t="shared" si="96"/>
        <v>7930974</v>
      </c>
      <c r="S60" s="28">
        <f t="shared" si="96"/>
        <v>8316070</v>
      </c>
      <c r="T60" s="28">
        <f t="shared" si="96"/>
        <v>8675805</v>
      </c>
      <c r="U60" s="28">
        <f t="shared" si="96"/>
        <v>8338718</v>
      </c>
      <c r="V60" s="28">
        <f t="shared" si="96"/>
        <v>8860655</v>
      </c>
      <c r="W60" s="28">
        <f t="shared" si="96"/>
        <v>9289217</v>
      </c>
      <c r="X60" s="28">
        <f t="shared" si="96"/>
        <v>10139999</v>
      </c>
      <c r="Y60" s="28">
        <f t="shared" si="96"/>
        <v>10707126</v>
      </c>
      <c r="Z60" s="28">
        <f t="shared" si="96"/>
        <v>10755400</v>
      </c>
      <c r="AA60" s="28">
        <f t="shared" si="96"/>
        <v>9718519</v>
      </c>
      <c r="AB60" s="28">
        <f t="shared" si="96"/>
        <v>8942335</v>
      </c>
      <c r="AC60" s="28">
        <f t="shared" si="96"/>
        <v>9731859</v>
      </c>
      <c r="AD60" s="53"/>
      <c r="AE60" s="28">
        <f t="shared" ref="AE60:AS60" si="97">SUM(AE55:AE59)</f>
        <v>7739656</v>
      </c>
      <c r="AF60" s="28">
        <f t="shared" si="97"/>
        <v>7500022</v>
      </c>
      <c r="AG60" s="28">
        <f t="shared" si="97"/>
        <v>7765924</v>
      </c>
      <c r="AH60" s="28">
        <f t="shared" si="97"/>
        <v>7930974</v>
      </c>
      <c r="AI60" s="28">
        <f t="shared" si="97"/>
        <v>8316070</v>
      </c>
      <c r="AJ60" s="28">
        <f t="shared" si="97"/>
        <v>8675805</v>
      </c>
      <c r="AK60" s="28">
        <f t="shared" si="97"/>
        <v>8338718</v>
      </c>
      <c r="AL60" s="28">
        <f t="shared" si="97"/>
        <v>8860655</v>
      </c>
      <c r="AM60" s="28">
        <f t="shared" si="97"/>
        <v>9289217</v>
      </c>
      <c r="AN60" s="28">
        <f t="shared" si="97"/>
        <v>10139999</v>
      </c>
      <c r="AO60" s="28">
        <f t="shared" si="97"/>
        <v>10707126</v>
      </c>
      <c r="AP60" s="28">
        <f t="shared" si="97"/>
        <v>10755400</v>
      </c>
      <c r="AQ60" s="28">
        <f t="shared" si="97"/>
        <v>9718519</v>
      </c>
      <c r="AR60" s="28">
        <f t="shared" si="97"/>
        <v>8942335</v>
      </c>
      <c r="AS60" s="28">
        <f t="shared" si="97"/>
        <v>9731859</v>
      </c>
      <c r="AT60" s="45"/>
      <c r="AU60" s="83">
        <f t="shared" si="94"/>
        <v>-9.1085787166416132E-2</v>
      </c>
    </row>
    <row r="61" spans="2:47" ht="5.0999999999999996" customHeight="1">
      <c r="B61" s="27"/>
      <c r="C61" s="55"/>
      <c r="D61" s="55"/>
      <c r="E61" s="55"/>
      <c r="F61" s="55"/>
      <c r="G61" s="55"/>
      <c r="H61" s="44"/>
      <c r="I61" s="44"/>
      <c r="K61" s="44"/>
      <c r="L61" s="44"/>
      <c r="M61" s="44"/>
      <c r="N61" s="44"/>
      <c r="O61" s="44"/>
      <c r="P61" s="44"/>
      <c r="Q61" s="44"/>
      <c r="R61" s="44"/>
      <c r="S61" s="44"/>
      <c r="T61" s="44"/>
      <c r="U61" s="44"/>
      <c r="V61" s="44"/>
      <c r="W61" s="44"/>
      <c r="X61" s="44"/>
      <c r="Y61" s="44"/>
      <c r="Z61" s="44"/>
      <c r="AA61" s="44"/>
      <c r="AB61" s="44"/>
      <c r="AC61" s="44"/>
      <c r="AE61" s="45"/>
      <c r="AF61" s="45"/>
      <c r="AG61" s="45"/>
      <c r="AH61" s="45"/>
      <c r="AI61" s="45"/>
      <c r="AJ61" s="45"/>
      <c r="AK61" s="45"/>
      <c r="AL61" s="45"/>
      <c r="AM61" s="45"/>
      <c r="AN61" s="45"/>
      <c r="AO61" s="45"/>
      <c r="AP61" s="45"/>
      <c r="AQ61" s="45"/>
      <c r="AR61" s="45"/>
      <c r="AS61" s="45"/>
      <c r="AT61" s="45"/>
      <c r="AU61" s="42"/>
    </row>
    <row r="62" spans="2:47">
      <c r="B62" s="85" t="s">
        <v>442</v>
      </c>
      <c r="C62" s="55"/>
      <c r="D62" s="55"/>
      <c r="E62" s="55"/>
      <c r="F62" s="55"/>
      <c r="G62" s="55"/>
      <c r="H62" s="44"/>
      <c r="I62" s="44"/>
      <c r="K62" s="44"/>
      <c r="L62" s="44"/>
      <c r="M62" s="44"/>
      <c r="N62" s="44"/>
      <c r="O62" s="44"/>
      <c r="P62" s="44"/>
      <c r="Q62" s="44"/>
      <c r="R62" s="44"/>
      <c r="S62" s="44"/>
      <c r="T62" s="44"/>
      <c r="U62" s="44"/>
      <c r="V62" s="44"/>
      <c r="W62" s="44"/>
      <c r="X62" s="44"/>
      <c r="Y62" s="44"/>
      <c r="Z62" s="44"/>
      <c r="AA62" s="44"/>
      <c r="AB62" s="44"/>
      <c r="AC62" s="44"/>
      <c r="AE62" s="45"/>
      <c r="AF62" s="45"/>
      <c r="AG62" s="45"/>
      <c r="AH62" s="45"/>
      <c r="AI62" s="45"/>
      <c r="AJ62" s="45"/>
      <c r="AK62" s="45"/>
      <c r="AL62" s="45"/>
      <c r="AM62" s="45"/>
      <c r="AN62" s="45"/>
      <c r="AO62" s="45"/>
      <c r="AP62" s="45"/>
      <c r="AQ62" s="45"/>
      <c r="AR62" s="45"/>
      <c r="AS62" s="45"/>
      <c r="AT62" s="45"/>
      <c r="AU62" s="42"/>
    </row>
    <row r="63" spans="2:47" ht="12.75" customHeight="1">
      <c r="B63" s="464" t="s">
        <v>612</v>
      </c>
      <c r="C63" s="465">
        <v>3759026</v>
      </c>
      <c r="D63" s="465">
        <v>3334323</v>
      </c>
      <c r="E63" s="465">
        <v>2618084</v>
      </c>
      <c r="F63" s="465">
        <v>3094213</v>
      </c>
      <c r="G63" s="465">
        <v>3081277</v>
      </c>
      <c r="H63" s="465">
        <v>2578173</v>
      </c>
      <c r="I63" s="465">
        <v>1780806</v>
      </c>
      <c r="J63" s="56"/>
      <c r="K63" s="89">
        <v>2465626</v>
      </c>
      <c r="L63" s="89">
        <v>2265286</v>
      </c>
      <c r="M63" s="89">
        <v>2301026</v>
      </c>
      <c r="N63" s="34">
        <f t="shared" ref="N63:N65" si="98">F63</f>
        <v>3094213</v>
      </c>
      <c r="O63" s="89">
        <v>2945221</v>
      </c>
      <c r="P63" s="89">
        <v>2989961</v>
      </c>
      <c r="Q63" s="89">
        <v>2955368</v>
      </c>
      <c r="R63" s="362">
        <f t="shared" ref="R63:R65" si="99">G63</f>
        <v>3081277</v>
      </c>
      <c r="S63" s="89">
        <v>2908029</v>
      </c>
      <c r="T63" s="89">
        <v>2849387</v>
      </c>
      <c r="U63" s="89">
        <v>2668472</v>
      </c>
      <c r="V63" s="34">
        <f t="shared" ref="V63:V65" si="100">H63</f>
        <v>2578173</v>
      </c>
      <c r="W63" s="89">
        <v>2370692</v>
      </c>
      <c r="X63" s="89">
        <v>2028782</v>
      </c>
      <c r="Y63" s="89">
        <v>1918089</v>
      </c>
      <c r="Z63" s="34">
        <f t="shared" ref="Z63:Z65" si="101">I63</f>
        <v>1780806</v>
      </c>
      <c r="AA63" s="89">
        <v>1696662</v>
      </c>
      <c r="AB63" s="89">
        <v>1606404</v>
      </c>
      <c r="AC63" s="89">
        <v>1591973</v>
      </c>
      <c r="AD63" s="465"/>
      <c r="AE63" s="362">
        <f>O63</f>
        <v>2945221</v>
      </c>
      <c r="AF63" s="362">
        <f>P63</f>
        <v>2989961</v>
      </c>
      <c r="AG63" s="362">
        <f>Q63</f>
        <v>2955368</v>
      </c>
      <c r="AH63" s="362">
        <f>R63</f>
        <v>3081277</v>
      </c>
      <c r="AI63" s="362">
        <f>S63</f>
        <v>2908029</v>
      </c>
      <c r="AJ63" s="362">
        <f>T63</f>
        <v>2849387</v>
      </c>
      <c r="AK63" s="362">
        <f>U63</f>
        <v>2668472</v>
      </c>
      <c r="AL63" s="362">
        <f>V63</f>
        <v>2578173</v>
      </c>
      <c r="AM63" s="362">
        <f>W63</f>
        <v>2370692</v>
      </c>
      <c r="AN63" s="362">
        <f>X63</f>
        <v>2028782</v>
      </c>
      <c r="AO63" s="362">
        <f>Y63</f>
        <v>1918089</v>
      </c>
      <c r="AP63" s="362">
        <f>Z63</f>
        <v>1780806</v>
      </c>
      <c r="AQ63" s="362">
        <f>AA63</f>
        <v>1696662</v>
      </c>
      <c r="AR63" s="362">
        <f>AB63</f>
        <v>1606404</v>
      </c>
      <c r="AS63" s="362">
        <f>AC63</f>
        <v>1591973</v>
      </c>
      <c r="AT63" s="45"/>
      <c r="AU63" s="82">
        <f t="shared" ref="AU63:AU73" si="102">SUM(AS63/AO63)-1</f>
        <v>-0.17002130766611978</v>
      </c>
    </row>
    <row r="64" spans="2:47" ht="12.75" customHeight="1">
      <c r="B64" s="464" t="s">
        <v>613</v>
      </c>
      <c r="C64" s="465">
        <v>10360058</v>
      </c>
      <c r="D64" s="465">
        <v>14759260</v>
      </c>
      <c r="E64" s="465">
        <v>15809095</v>
      </c>
      <c r="F64" s="465">
        <v>14693072</v>
      </c>
      <c r="G64" s="465">
        <v>14353076</v>
      </c>
      <c r="H64" s="465">
        <v>14143417</v>
      </c>
      <c r="I64" s="465">
        <v>13798351</v>
      </c>
      <c r="J64" s="56"/>
      <c r="K64" s="89">
        <v>14860552</v>
      </c>
      <c r="L64" s="89">
        <v>14926889</v>
      </c>
      <c r="M64" s="89">
        <v>14793691</v>
      </c>
      <c r="N64" s="34">
        <f t="shared" si="98"/>
        <v>14693072</v>
      </c>
      <c r="O64" s="89">
        <v>14534561</v>
      </c>
      <c r="P64" s="89">
        <v>14233303</v>
      </c>
      <c r="Q64" s="89">
        <v>13888117</v>
      </c>
      <c r="R64" s="362">
        <f t="shared" si="99"/>
        <v>14353076</v>
      </c>
      <c r="S64" s="89">
        <v>14037965</v>
      </c>
      <c r="T64" s="89">
        <v>14070151</v>
      </c>
      <c r="U64" s="89">
        <v>13900754</v>
      </c>
      <c r="V64" s="34">
        <f t="shared" si="100"/>
        <v>14143417</v>
      </c>
      <c r="W64" s="89">
        <v>13217038</v>
      </c>
      <c r="X64" s="89">
        <v>12180024</v>
      </c>
      <c r="Y64" s="89">
        <v>14160932</v>
      </c>
      <c r="Z64" s="34">
        <f t="shared" si="101"/>
        <v>13798351</v>
      </c>
      <c r="AA64" s="89">
        <v>14011037</v>
      </c>
      <c r="AB64" s="89">
        <v>14453206</v>
      </c>
      <c r="AC64" s="89">
        <v>14463020</v>
      </c>
      <c r="AD64" s="465"/>
      <c r="AE64" s="362">
        <f>O64</f>
        <v>14534561</v>
      </c>
      <c r="AF64" s="362">
        <f>P64</f>
        <v>14233303</v>
      </c>
      <c r="AG64" s="362">
        <f>Q64</f>
        <v>13888117</v>
      </c>
      <c r="AH64" s="362">
        <f>R64</f>
        <v>14353076</v>
      </c>
      <c r="AI64" s="362">
        <f>S64</f>
        <v>14037965</v>
      </c>
      <c r="AJ64" s="362">
        <f>T64</f>
        <v>14070151</v>
      </c>
      <c r="AK64" s="362">
        <f>U64</f>
        <v>13900754</v>
      </c>
      <c r="AL64" s="362">
        <f>V64</f>
        <v>14143417</v>
      </c>
      <c r="AM64" s="362">
        <f>W64</f>
        <v>13217038</v>
      </c>
      <c r="AN64" s="362">
        <f>X64</f>
        <v>12180024</v>
      </c>
      <c r="AO64" s="362">
        <f>Y64</f>
        <v>14160932</v>
      </c>
      <c r="AP64" s="362">
        <f>Z64</f>
        <v>13798351</v>
      </c>
      <c r="AQ64" s="362">
        <f>AA64</f>
        <v>14011037</v>
      </c>
      <c r="AR64" s="362">
        <f>AB64</f>
        <v>14453206</v>
      </c>
      <c r="AS64" s="362">
        <f>AC64</f>
        <v>14463020</v>
      </c>
      <c r="AT64" s="45"/>
      <c r="AU64" s="82">
        <f t="shared" si="102"/>
        <v>2.1332494217188636E-2</v>
      </c>
    </row>
    <row r="65" spans="1:47" ht="12.75" customHeight="1">
      <c r="B65" s="464" t="s">
        <v>614</v>
      </c>
      <c r="C65" s="465">
        <v>129231</v>
      </c>
      <c r="D65" s="465">
        <v>1444276</v>
      </c>
      <c r="E65" s="465">
        <v>1982155</v>
      </c>
      <c r="F65" s="465">
        <v>2459164</v>
      </c>
      <c r="G65" s="465">
        <v>2452040</v>
      </c>
      <c r="H65" s="465">
        <v>2561434</v>
      </c>
      <c r="I65" s="465">
        <v>2552250</v>
      </c>
      <c r="J65" s="56"/>
      <c r="K65" s="89">
        <v>1950986</v>
      </c>
      <c r="L65" s="89">
        <v>2082035</v>
      </c>
      <c r="M65" s="89">
        <v>2281277</v>
      </c>
      <c r="N65" s="34">
        <f t="shared" si="98"/>
        <v>2459164</v>
      </c>
      <c r="O65" s="89">
        <v>2567427</v>
      </c>
      <c r="P65" s="89">
        <v>2551675</v>
      </c>
      <c r="Q65" s="89">
        <v>2424637</v>
      </c>
      <c r="R65" s="362">
        <f t="shared" si="99"/>
        <v>2452040</v>
      </c>
      <c r="S65" s="89">
        <v>2400085</v>
      </c>
      <c r="T65" s="89">
        <v>2389915</v>
      </c>
      <c r="U65" s="89">
        <v>2486215</v>
      </c>
      <c r="V65" s="34">
        <f t="shared" si="100"/>
        <v>2561434</v>
      </c>
      <c r="W65" s="89">
        <v>2585364</v>
      </c>
      <c r="X65" s="89">
        <v>2637397</v>
      </c>
      <c r="Y65" s="89">
        <v>2774961</v>
      </c>
      <c r="Z65" s="34">
        <f t="shared" si="101"/>
        <v>2552250</v>
      </c>
      <c r="AA65" s="89">
        <v>2633353</v>
      </c>
      <c r="AB65" s="89">
        <v>3145820</v>
      </c>
      <c r="AC65" s="89">
        <v>3193948</v>
      </c>
      <c r="AE65" s="362">
        <f>O65</f>
        <v>2567427</v>
      </c>
      <c r="AF65" s="362">
        <f>P65</f>
        <v>2551675</v>
      </c>
      <c r="AG65" s="362">
        <f>Q65</f>
        <v>2424637</v>
      </c>
      <c r="AH65" s="362">
        <f>R65</f>
        <v>2452040</v>
      </c>
      <c r="AI65" s="362">
        <f>S65</f>
        <v>2400085</v>
      </c>
      <c r="AJ65" s="362">
        <f>T65</f>
        <v>2389915</v>
      </c>
      <c r="AK65" s="362">
        <f>U65</f>
        <v>2486215</v>
      </c>
      <c r="AL65" s="362">
        <f>V65</f>
        <v>2561434</v>
      </c>
      <c r="AM65" s="362">
        <f>W65</f>
        <v>2585364</v>
      </c>
      <c r="AN65" s="362">
        <f>X65</f>
        <v>2637397</v>
      </c>
      <c r="AO65" s="362">
        <f>Y65</f>
        <v>2774961</v>
      </c>
      <c r="AP65" s="362">
        <f>Z65</f>
        <v>2552250</v>
      </c>
      <c r="AQ65" s="362">
        <f>AA65</f>
        <v>2633353</v>
      </c>
      <c r="AR65" s="362">
        <f>AB65</f>
        <v>3145820</v>
      </c>
      <c r="AS65" s="362">
        <f>AC65</f>
        <v>3193948</v>
      </c>
      <c r="AT65" s="45"/>
      <c r="AU65" s="82">
        <f t="shared" si="102"/>
        <v>0.15098842830583936</v>
      </c>
    </row>
    <row r="66" spans="1:47" ht="12.75" customHeight="1">
      <c r="B66" s="14" t="s">
        <v>23</v>
      </c>
      <c r="C66" s="15">
        <f>SUM(C63:C65)+C60</f>
        <v>20735635</v>
      </c>
      <c r="D66" s="15">
        <f>SUM(D63:D65)+D60</f>
        <v>26393555</v>
      </c>
      <c r="E66" s="15">
        <f>SUM(E63:E65)+E60</f>
        <v>28215119</v>
      </c>
      <c r="F66" s="15">
        <f>SUM(F63:F65)+F60</f>
        <v>28735415</v>
      </c>
      <c r="G66" s="15">
        <f>SUM(G63:G65)+G60</f>
        <v>27817367</v>
      </c>
      <c r="H66" s="15">
        <f>SUM(H63:H65)+H60</f>
        <v>28143679</v>
      </c>
      <c r="I66" s="15">
        <f>SUM(I63:I65)+I60</f>
        <v>28886807</v>
      </c>
      <c r="K66" s="15">
        <f>SUM(K63:K65)+K60</f>
        <v>27238934</v>
      </c>
      <c r="L66" s="15">
        <f>SUM(L63:L65)+L60</f>
        <v>27107098</v>
      </c>
      <c r="M66" s="15">
        <f>SUM(M63:M65)+M60</f>
        <v>27425240</v>
      </c>
      <c r="N66" s="15">
        <f>SUM(N63:N65)+N60</f>
        <v>28735415</v>
      </c>
      <c r="O66" s="15">
        <f>SUM(O63:O65)+O60</f>
        <v>27786865</v>
      </c>
      <c r="P66" s="15">
        <f>SUM(P63:P65)+P60</f>
        <v>27274961</v>
      </c>
      <c r="Q66" s="15">
        <f>SUM(Q63:Q65)+Q60</f>
        <v>27034046</v>
      </c>
      <c r="R66" s="15">
        <f>SUM(R63:R65)+R60</f>
        <v>27817367</v>
      </c>
      <c r="S66" s="15">
        <f>SUM(S63:S65)+S60</f>
        <v>27662149</v>
      </c>
      <c r="T66" s="15">
        <f>SUM(T63:T65)+T60</f>
        <v>27985258</v>
      </c>
      <c r="U66" s="15">
        <f>SUM(U63:U65)+U60</f>
        <v>27394159</v>
      </c>
      <c r="V66" s="15">
        <f>SUM(V63:V65)+V60</f>
        <v>28143679</v>
      </c>
      <c r="W66" s="15">
        <f>SUM(W63:W65)+W60</f>
        <v>27462311</v>
      </c>
      <c r="X66" s="15">
        <f>SUM(X63:X65)+X60</f>
        <v>26986202</v>
      </c>
      <c r="Y66" s="15">
        <f>SUM(Y63:Y65)+Y60</f>
        <v>29561108</v>
      </c>
      <c r="Z66" s="15">
        <f>SUM(Z63:Z65)+Z60</f>
        <v>28886807</v>
      </c>
      <c r="AA66" s="15">
        <f>SUM(AA63:AA65)+AA60</f>
        <v>28059571</v>
      </c>
      <c r="AB66" s="15">
        <f>SUM(AB63:AB65)+AB60</f>
        <v>28147765</v>
      </c>
      <c r="AC66" s="15">
        <f>SUM(AC63:AC65)+AC60</f>
        <v>28980800</v>
      </c>
      <c r="AE66" s="15">
        <f>SUM(AE63:AE65)+AE60</f>
        <v>27786865</v>
      </c>
      <c r="AF66" s="15">
        <f>SUM(AF63:AF65)+AF60</f>
        <v>27274961</v>
      </c>
      <c r="AG66" s="15">
        <f>SUM(AG63:AG65)+AG60</f>
        <v>27034046</v>
      </c>
      <c r="AH66" s="15">
        <f>SUM(AH63:AH65)+AH60</f>
        <v>27817367</v>
      </c>
      <c r="AI66" s="15">
        <f>SUM(AI63:AI65)+AI60</f>
        <v>27662149</v>
      </c>
      <c r="AJ66" s="15">
        <f>SUM(AJ63:AJ65)+AJ60</f>
        <v>27985258</v>
      </c>
      <c r="AK66" s="15">
        <f>SUM(AK63:AK65)+AK60</f>
        <v>27394159</v>
      </c>
      <c r="AL66" s="15">
        <f>SUM(AL63:AL65)+AL60</f>
        <v>28143679</v>
      </c>
      <c r="AM66" s="15">
        <f>SUM(AM63:AM65)+AM60</f>
        <v>27462311</v>
      </c>
      <c r="AN66" s="15">
        <f>SUM(AN63:AN65)+AN60</f>
        <v>26986202</v>
      </c>
      <c r="AO66" s="15">
        <f>SUM(AO63:AO65)+AO60</f>
        <v>29561108</v>
      </c>
      <c r="AP66" s="15">
        <f>SUM(AP63:AP65)+AP60</f>
        <v>28886807</v>
      </c>
      <c r="AQ66" s="15">
        <f>SUM(AQ63:AQ65)+AQ60</f>
        <v>28059571</v>
      </c>
      <c r="AR66" s="15">
        <f>SUM(AR63:AR65)+AR60</f>
        <v>28147765</v>
      </c>
      <c r="AS66" s="15">
        <f>SUM(AS63:AS65)+AS60</f>
        <v>28980800</v>
      </c>
      <c r="AT66" s="45"/>
      <c r="AU66" s="83">
        <f t="shared" si="102"/>
        <v>-1.9630793270671743E-2</v>
      </c>
    </row>
    <row r="67" spans="1:47" ht="5.0999999999999996" customHeight="1">
      <c r="B67" s="27"/>
      <c r="C67" s="54"/>
      <c r="D67" s="54"/>
      <c r="E67" s="54"/>
      <c r="F67" s="54"/>
      <c r="G67" s="54"/>
      <c r="H67" s="44"/>
      <c r="I67" s="44"/>
      <c r="K67" s="44"/>
      <c r="L67" s="44"/>
      <c r="M67" s="44"/>
      <c r="N67" s="44"/>
      <c r="O67" s="44"/>
      <c r="P67" s="44"/>
      <c r="Q67" s="44"/>
      <c r="R67" s="44"/>
      <c r="S67" s="44"/>
      <c r="T67" s="44"/>
      <c r="U67" s="44"/>
      <c r="V67" s="44"/>
      <c r="W67" s="44"/>
      <c r="X67" s="44"/>
      <c r="Y67" s="44"/>
      <c r="Z67" s="44"/>
      <c r="AA67" s="44"/>
      <c r="AB67" s="44"/>
      <c r="AC67" s="44"/>
      <c r="AE67" s="45"/>
      <c r="AF67" s="45"/>
      <c r="AG67" s="45"/>
      <c r="AH67" s="45"/>
      <c r="AI67" s="45"/>
      <c r="AJ67" s="45"/>
      <c r="AK67" s="45"/>
      <c r="AL67" s="45"/>
      <c r="AM67" s="45"/>
      <c r="AN67" s="45"/>
      <c r="AO67" s="45"/>
      <c r="AP67" s="45"/>
      <c r="AQ67" s="45"/>
      <c r="AR67" s="45"/>
      <c r="AS67" s="45"/>
      <c r="AT67" s="45"/>
      <c r="AU67" s="42"/>
    </row>
    <row r="68" spans="1:47" ht="12.75" customHeight="1">
      <c r="B68" s="10" t="s">
        <v>26</v>
      </c>
      <c r="C68" s="89">
        <v>2315988</v>
      </c>
      <c r="D68" s="89">
        <v>2793929</v>
      </c>
      <c r="E68" s="89">
        <v>3447698</v>
      </c>
      <c r="F68" s="89">
        <v>4024561</v>
      </c>
      <c r="G68" s="89">
        <v>4637601</v>
      </c>
      <c r="H68" s="89">
        <v>5145172</v>
      </c>
      <c r="I68" s="89">
        <v>6252126</v>
      </c>
      <c r="J68" s="34"/>
      <c r="K68" s="89">
        <v>3600084</v>
      </c>
      <c r="L68" s="89">
        <v>3721246</v>
      </c>
      <c r="M68" s="89">
        <v>3852531</v>
      </c>
      <c r="N68" s="34">
        <f t="shared" ref="N68:N71" si="103">F68</f>
        <v>4024561</v>
      </c>
      <c r="O68" s="89">
        <v>4155580</v>
      </c>
      <c r="P68" s="89">
        <v>4316870</v>
      </c>
      <c r="Q68" s="89">
        <v>4473962</v>
      </c>
      <c r="R68" s="362">
        <f t="shared" ref="R68:R71" si="104">G68</f>
        <v>4637601</v>
      </c>
      <c r="S68" s="89">
        <v>4762395</v>
      </c>
      <c r="T68" s="89">
        <v>4874208</v>
      </c>
      <c r="U68" s="89">
        <v>5011427</v>
      </c>
      <c r="V68" s="34">
        <f t="shared" ref="V68:V71" si="105">H68</f>
        <v>5145172</v>
      </c>
      <c r="W68" s="89">
        <v>5489850</v>
      </c>
      <c r="X68" s="89">
        <v>5680061</v>
      </c>
      <c r="Y68" s="89">
        <v>5887903</v>
      </c>
      <c r="Z68" s="34">
        <f t="shared" ref="Z68:Z71" si="106">I68</f>
        <v>6252126</v>
      </c>
      <c r="AA68" s="89">
        <v>6677469</v>
      </c>
      <c r="AB68" s="89">
        <v>6932828</v>
      </c>
      <c r="AC68" s="89">
        <v>7080325</v>
      </c>
      <c r="AE68" s="34">
        <f>O68</f>
        <v>4155580</v>
      </c>
      <c r="AF68" s="34">
        <f>P68</f>
        <v>4316870</v>
      </c>
      <c r="AG68" s="34">
        <f>Q68</f>
        <v>4473962</v>
      </c>
      <c r="AH68" s="34">
        <f>R68</f>
        <v>4637601</v>
      </c>
      <c r="AI68" s="34">
        <f>S68</f>
        <v>4762395</v>
      </c>
      <c r="AJ68" s="34">
        <f>T68</f>
        <v>4874208</v>
      </c>
      <c r="AK68" s="34">
        <f>U68</f>
        <v>5011427</v>
      </c>
      <c r="AL68" s="34">
        <f>V68</f>
        <v>5145172</v>
      </c>
      <c r="AM68" s="34">
        <f>W68</f>
        <v>5489850</v>
      </c>
      <c r="AN68" s="34">
        <f>X68</f>
        <v>5680061</v>
      </c>
      <c r="AO68" s="34">
        <f>Y68</f>
        <v>5887903</v>
      </c>
      <c r="AP68" s="34">
        <f>Z68</f>
        <v>6252126</v>
      </c>
      <c r="AQ68" s="34">
        <f>AA68</f>
        <v>6677469</v>
      </c>
      <c r="AR68" s="34">
        <f>AB68</f>
        <v>6932828</v>
      </c>
      <c r="AS68" s="34">
        <f>AC68</f>
        <v>7080325</v>
      </c>
      <c r="AT68" s="12"/>
      <c r="AU68" s="82">
        <f t="shared" si="102"/>
        <v>0.20252065973233591</v>
      </c>
    </row>
    <row r="69" spans="1:47" ht="12.75" customHeight="1">
      <c r="B69" s="10" t="s">
        <v>615</v>
      </c>
      <c r="C69" s="89">
        <v>0</v>
      </c>
      <c r="D69" s="89">
        <v>0</v>
      </c>
      <c r="E69" s="89">
        <v>0</v>
      </c>
      <c r="F69" s="89">
        <v>-824190</v>
      </c>
      <c r="G69" s="89">
        <v>-824190</v>
      </c>
      <c r="H69" s="89">
        <v>-6922200</v>
      </c>
      <c r="I69" s="89">
        <v>-13171638</v>
      </c>
      <c r="J69" s="34"/>
      <c r="K69" s="89">
        <v>0</v>
      </c>
      <c r="L69" s="89">
        <v>-500022</v>
      </c>
      <c r="M69" s="89">
        <v>-600022</v>
      </c>
      <c r="N69" s="34">
        <f t="shared" si="103"/>
        <v>-824190</v>
      </c>
      <c r="O69" s="89">
        <v>-824190</v>
      </c>
      <c r="P69" s="89">
        <v>-824190</v>
      </c>
      <c r="Q69" s="89">
        <v>-824190</v>
      </c>
      <c r="R69" s="362">
        <f t="shared" si="104"/>
        <v>-824190</v>
      </c>
      <c r="S69" s="89">
        <v>-1228920</v>
      </c>
      <c r="T69" s="89">
        <v>-1876753</v>
      </c>
      <c r="U69" s="89">
        <v>-4399677</v>
      </c>
      <c r="V69" s="34">
        <f t="shared" si="105"/>
        <v>-6922200</v>
      </c>
      <c r="W69" s="89">
        <v>-8934056</v>
      </c>
      <c r="X69" s="89">
        <v>-10547055</v>
      </c>
      <c r="Y69" s="89">
        <v>-12254855</v>
      </c>
      <c r="Z69" s="34">
        <f t="shared" si="106"/>
        <v>-13171638</v>
      </c>
      <c r="AA69" s="89">
        <v>-16754929</v>
      </c>
      <c r="AB69" s="89">
        <v>-18392942</v>
      </c>
      <c r="AC69" s="89">
        <v>-20270631</v>
      </c>
      <c r="AE69" s="34">
        <f>O69</f>
        <v>-824190</v>
      </c>
      <c r="AF69" s="34">
        <f>P69</f>
        <v>-824190</v>
      </c>
      <c r="AG69" s="34">
        <f>Q69</f>
        <v>-824190</v>
      </c>
      <c r="AH69" s="34">
        <f>R69</f>
        <v>-824190</v>
      </c>
      <c r="AI69" s="34">
        <f>S69</f>
        <v>-1228920</v>
      </c>
      <c r="AJ69" s="34">
        <f>T69</f>
        <v>-1876753</v>
      </c>
      <c r="AK69" s="34">
        <f>U69</f>
        <v>-4399677</v>
      </c>
      <c r="AL69" s="34">
        <f>V69</f>
        <v>-6922200</v>
      </c>
      <c r="AM69" s="34">
        <f>W69</f>
        <v>-8934056</v>
      </c>
      <c r="AN69" s="34">
        <f>X69</f>
        <v>-10547055</v>
      </c>
      <c r="AO69" s="34">
        <f>Y69</f>
        <v>-12254855</v>
      </c>
      <c r="AP69" s="34">
        <f>Z69</f>
        <v>-13171638</v>
      </c>
      <c r="AQ69" s="34">
        <f>AA69</f>
        <v>-16754929</v>
      </c>
      <c r="AR69" s="34">
        <f>AB69</f>
        <v>-18392942</v>
      </c>
      <c r="AS69" s="34">
        <f>AC69</f>
        <v>-20270631</v>
      </c>
      <c r="AT69" s="12"/>
      <c r="AU69" s="82">
        <f t="shared" si="102"/>
        <v>0.65408982807222116</v>
      </c>
    </row>
    <row r="70" spans="1:47" ht="12.75" customHeight="1">
      <c r="B70" s="10" t="s">
        <v>477</v>
      </c>
      <c r="C70" s="89">
        <v>-19582</v>
      </c>
      <c r="D70" s="89">
        <v>-23521</v>
      </c>
      <c r="E70" s="89">
        <v>44398</v>
      </c>
      <c r="F70" s="89">
        <v>-40495</v>
      </c>
      <c r="G70" s="89">
        <v>-217306</v>
      </c>
      <c r="H70" s="89">
        <v>-223945</v>
      </c>
      <c r="I70" s="89">
        <v>362162</v>
      </c>
      <c r="J70" s="34"/>
      <c r="K70" s="89">
        <v>4137</v>
      </c>
      <c r="L70" s="89">
        <v>9775</v>
      </c>
      <c r="M70" s="89">
        <v>-19835</v>
      </c>
      <c r="N70" s="34">
        <f t="shared" si="103"/>
        <v>-40495</v>
      </c>
      <c r="O70" s="89">
        <v>-74170</v>
      </c>
      <c r="P70" s="89">
        <v>-144476</v>
      </c>
      <c r="Q70" s="89">
        <v>-247643</v>
      </c>
      <c r="R70" s="362">
        <f t="shared" si="104"/>
        <v>-217306</v>
      </c>
      <c r="S70" s="89">
        <v>-191695</v>
      </c>
      <c r="T70" s="89">
        <v>-139266</v>
      </c>
      <c r="U70" s="89">
        <v>-155571</v>
      </c>
      <c r="V70" s="34">
        <f t="shared" si="105"/>
        <v>-223945</v>
      </c>
      <c r="W70" s="89">
        <v>-111879</v>
      </c>
      <c r="X70" s="89">
        <v>-89114</v>
      </c>
      <c r="Y70" s="89">
        <v>-344622</v>
      </c>
      <c r="Z70" s="34">
        <f t="shared" si="106"/>
        <v>362162</v>
      </c>
      <c r="AA70" s="89">
        <v>-85735</v>
      </c>
      <c r="AB70" s="89">
        <v>-904668</v>
      </c>
      <c r="AC70" s="89">
        <v>-719256</v>
      </c>
      <c r="AE70" s="34">
        <f>O70</f>
        <v>-74170</v>
      </c>
      <c r="AF70" s="34">
        <f>P70</f>
        <v>-144476</v>
      </c>
      <c r="AG70" s="34">
        <f>Q70</f>
        <v>-247643</v>
      </c>
      <c r="AH70" s="34">
        <f>R70</f>
        <v>-217306</v>
      </c>
      <c r="AI70" s="34">
        <f>S70</f>
        <v>-191695</v>
      </c>
      <c r="AJ70" s="34">
        <f>T70</f>
        <v>-139266</v>
      </c>
      <c r="AK70" s="34">
        <f>U70</f>
        <v>-155571</v>
      </c>
      <c r="AL70" s="34">
        <f>V70</f>
        <v>-223945</v>
      </c>
      <c r="AM70" s="34">
        <f>W70</f>
        <v>-111879</v>
      </c>
      <c r="AN70" s="34">
        <f>X70</f>
        <v>-89114</v>
      </c>
      <c r="AO70" s="34">
        <f>Y70</f>
        <v>-344622</v>
      </c>
      <c r="AP70" s="34">
        <f>Z70</f>
        <v>362162</v>
      </c>
      <c r="AQ70" s="34">
        <f>AA70</f>
        <v>-85735</v>
      </c>
      <c r="AR70" s="34">
        <f>AB70</f>
        <v>-904668</v>
      </c>
      <c r="AS70" s="34">
        <f>AC70</f>
        <v>-719256</v>
      </c>
      <c r="AT70" s="12"/>
      <c r="AU70" s="82">
        <f t="shared" si="102"/>
        <v>1.0870867211031219</v>
      </c>
    </row>
    <row r="71" spans="1:47" ht="12.75" customHeight="1">
      <c r="B71" s="10" t="s">
        <v>476</v>
      </c>
      <c r="C71" s="89">
        <v>2942359</v>
      </c>
      <c r="D71" s="89">
        <v>4811749</v>
      </c>
      <c r="E71" s="89">
        <v>7573144</v>
      </c>
      <c r="F71" s="89">
        <v>12689372</v>
      </c>
      <c r="G71" s="89">
        <v>17181296</v>
      </c>
      <c r="H71" s="89">
        <v>22589286</v>
      </c>
      <c r="I71" s="89">
        <v>31300917</v>
      </c>
      <c r="J71" s="34"/>
      <c r="K71" s="89">
        <v>9279859</v>
      </c>
      <c r="L71" s="89">
        <v>10632872</v>
      </c>
      <c r="M71" s="89">
        <v>12081943</v>
      </c>
      <c r="N71" s="34">
        <f>F71</f>
        <v>12689372</v>
      </c>
      <c r="O71" s="89">
        <v>14286819</v>
      </c>
      <c r="P71" s="89">
        <v>15727770</v>
      </c>
      <c r="Q71" s="89">
        <v>17126012</v>
      </c>
      <c r="R71" s="362">
        <f>G71</f>
        <v>17181296</v>
      </c>
      <c r="S71" s="89">
        <v>18486416</v>
      </c>
      <c r="T71" s="89">
        <v>19974026</v>
      </c>
      <c r="U71" s="89">
        <v>21651448</v>
      </c>
      <c r="V71" s="34">
        <f>H71</f>
        <v>22589286</v>
      </c>
      <c r="W71" s="89">
        <v>24921495</v>
      </c>
      <c r="X71" s="89">
        <v>27068801</v>
      </c>
      <c r="Y71" s="89">
        <v>29432310</v>
      </c>
      <c r="Z71" s="34">
        <f>I71</f>
        <v>31300917</v>
      </c>
      <c r="AA71" s="89">
        <v>34191268</v>
      </c>
      <c r="AB71" s="89">
        <v>37316681</v>
      </c>
      <c r="AC71" s="89">
        <v>39863597</v>
      </c>
      <c r="AE71" s="34">
        <f>O71</f>
        <v>14286819</v>
      </c>
      <c r="AF71" s="34">
        <f>P71</f>
        <v>15727770</v>
      </c>
      <c r="AG71" s="34">
        <f>Q71</f>
        <v>17126012</v>
      </c>
      <c r="AH71" s="34">
        <f>R71</f>
        <v>17181296</v>
      </c>
      <c r="AI71" s="34">
        <f>S71</f>
        <v>18486416</v>
      </c>
      <c r="AJ71" s="34">
        <f>T71</f>
        <v>19974026</v>
      </c>
      <c r="AK71" s="34">
        <f>U71</f>
        <v>21651448</v>
      </c>
      <c r="AL71" s="34">
        <f>V71</f>
        <v>22589286</v>
      </c>
      <c r="AM71" s="34">
        <f>W71</f>
        <v>24921495</v>
      </c>
      <c r="AN71" s="34">
        <f>X71</f>
        <v>27068801</v>
      </c>
      <c r="AO71" s="34">
        <f>Y71</f>
        <v>29432310</v>
      </c>
      <c r="AP71" s="34">
        <f>Z71</f>
        <v>31300917</v>
      </c>
      <c r="AQ71" s="34">
        <f>AA71</f>
        <v>34191268</v>
      </c>
      <c r="AR71" s="34">
        <f>AB71</f>
        <v>37316681</v>
      </c>
      <c r="AS71" s="34">
        <f>AC71</f>
        <v>39863597</v>
      </c>
      <c r="AT71" s="12"/>
      <c r="AU71" s="82">
        <f t="shared" si="102"/>
        <v>0.35441618411874565</v>
      </c>
    </row>
    <row r="72" spans="1:47" ht="12.75" customHeight="1">
      <c r="B72" s="14" t="s">
        <v>22</v>
      </c>
      <c r="C72" s="15">
        <f t="shared" ref="C72:I72" si="107">SUM(C68:C71)</f>
        <v>5238765</v>
      </c>
      <c r="D72" s="15">
        <f t="shared" si="107"/>
        <v>7582157</v>
      </c>
      <c r="E72" s="15">
        <f t="shared" si="107"/>
        <v>11065240</v>
      </c>
      <c r="F72" s="15">
        <f t="shared" si="107"/>
        <v>15849248</v>
      </c>
      <c r="G72" s="15">
        <f t="shared" si="107"/>
        <v>20777401</v>
      </c>
      <c r="H72" s="15">
        <f t="shared" si="107"/>
        <v>20588313</v>
      </c>
      <c r="I72" s="15">
        <f t="shared" si="107"/>
        <v>24743567</v>
      </c>
      <c r="J72" s="57"/>
      <c r="K72" s="15">
        <f t="shared" ref="K72:AC72" si="108">SUM(K68:K71)</f>
        <v>12884080</v>
      </c>
      <c r="L72" s="15">
        <f t="shared" si="108"/>
        <v>13863871</v>
      </c>
      <c r="M72" s="15">
        <f t="shared" si="108"/>
        <v>15314617</v>
      </c>
      <c r="N72" s="15">
        <f t="shared" si="108"/>
        <v>15849248</v>
      </c>
      <c r="O72" s="15">
        <f t="shared" si="108"/>
        <v>17544039</v>
      </c>
      <c r="P72" s="15">
        <f t="shared" si="108"/>
        <v>19075974</v>
      </c>
      <c r="Q72" s="15">
        <f t="shared" si="108"/>
        <v>20528141</v>
      </c>
      <c r="R72" s="15">
        <f t="shared" si="108"/>
        <v>20777401</v>
      </c>
      <c r="S72" s="15">
        <f t="shared" si="108"/>
        <v>21828196</v>
      </c>
      <c r="T72" s="15">
        <f t="shared" si="108"/>
        <v>22832215</v>
      </c>
      <c r="U72" s="15">
        <f t="shared" si="108"/>
        <v>22107627</v>
      </c>
      <c r="V72" s="15">
        <f t="shared" si="108"/>
        <v>20588313</v>
      </c>
      <c r="W72" s="15">
        <f t="shared" si="108"/>
        <v>21365410</v>
      </c>
      <c r="X72" s="15">
        <f t="shared" si="108"/>
        <v>22112693</v>
      </c>
      <c r="Y72" s="15">
        <f t="shared" si="108"/>
        <v>22720736</v>
      </c>
      <c r="Z72" s="15">
        <f t="shared" si="108"/>
        <v>24743567</v>
      </c>
      <c r="AA72" s="15">
        <f t="shared" si="108"/>
        <v>24028073</v>
      </c>
      <c r="AB72" s="15">
        <f t="shared" si="108"/>
        <v>24951899</v>
      </c>
      <c r="AC72" s="15">
        <f t="shared" si="108"/>
        <v>25954035</v>
      </c>
      <c r="AE72" s="15">
        <f t="shared" ref="AE72:AS72" si="109">SUM(AE68:AE71)</f>
        <v>17544039</v>
      </c>
      <c r="AF72" s="15">
        <f t="shared" si="109"/>
        <v>19075974</v>
      </c>
      <c r="AG72" s="15">
        <f t="shared" si="109"/>
        <v>20528141</v>
      </c>
      <c r="AH72" s="15">
        <f t="shared" si="109"/>
        <v>20777401</v>
      </c>
      <c r="AI72" s="15">
        <f t="shared" si="109"/>
        <v>21828196</v>
      </c>
      <c r="AJ72" s="15">
        <f t="shared" si="109"/>
        <v>22832215</v>
      </c>
      <c r="AK72" s="15">
        <f t="shared" si="109"/>
        <v>22107627</v>
      </c>
      <c r="AL72" s="15">
        <f t="shared" si="109"/>
        <v>20588313</v>
      </c>
      <c r="AM72" s="15">
        <f t="shared" si="109"/>
        <v>21365410</v>
      </c>
      <c r="AN72" s="15">
        <f t="shared" si="109"/>
        <v>22112693</v>
      </c>
      <c r="AO72" s="15">
        <f t="shared" si="109"/>
        <v>22720736</v>
      </c>
      <c r="AP72" s="15">
        <f t="shared" si="109"/>
        <v>24743567</v>
      </c>
      <c r="AQ72" s="15">
        <f t="shared" si="109"/>
        <v>24028073</v>
      </c>
      <c r="AR72" s="15">
        <f t="shared" si="109"/>
        <v>24951899</v>
      </c>
      <c r="AS72" s="15">
        <f t="shared" si="109"/>
        <v>25954035</v>
      </c>
      <c r="AT72" s="45"/>
      <c r="AU72" s="82">
        <f t="shared" si="102"/>
        <v>0.14230608550708923</v>
      </c>
    </row>
    <row r="73" spans="1:47" ht="12.75" customHeight="1">
      <c r="B73" s="27" t="s">
        <v>70</v>
      </c>
      <c r="C73" s="34">
        <f t="shared" ref="C73:I73" si="110">SUM(C72+C66)</f>
        <v>25974400</v>
      </c>
      <c r="D73" s="34">
        <f t="shared" si="110"/>
        <v>33975712</v>
      </c>
      <c r="E73" s="34">
        <f t="shared" si="110"/>
        <v>39280359</v>
      </c>
      <c r="F73" s="34">
        <f t="shared" si="110"/>
        <v>44584663</v>
      </c>
      <c r="G73" s="34">
        <f t="shared" si="110"/>
        <v>48594768</v>
      </c>
      <c r="H73" s="34">
        <f t="shared" si="110"/>
        <v>48731992</v>
      </c>
      <c r="I73" s="34">
        <f t="shared" si="110"/>
        <v>53630374</v>
      </c>
      <c r="J73" s="34"/>
      <c r="K73" s="34">
        <f t="shared" ref="K73:AC73" si="111">SUM(K72+K66)</f>
        <v>40123014</v>
      </c>
      <c r="L73" s="34">
        <f t="shared" si="111"/>
        <v>40970969</v>
      </c>
      <c r="M73" s="34">
        <f t="shared" si="111"/>
        <v>42739857</v>
      </c>
      <c r="N73" s="34">
        <f t="shared" si="111"/>
        <v>44584663</v>
      </c>
      <c r="O73" s="34">
        <f t="shared" si="111"/>
        <v>45330904</v>
      </c>
      <c r="P73" s="34">
        <f t="shared" si="111"/>
        <v>46350935</v>
      </c>
      <c r="Q73" s="34">
        <f t="shared" si="111"/>
        <v>47562187</v>
      </c>
      <c r="R73" s="34">
        <f t="shared" si="111"/>
        <v>48594768</v>
      </c>
      <c r="S73" s="34">
        <f t="shared" si="111"/>
        <v>49490345</v>
      </c>
      <c r="T73" s="34">
        <f t="shared" si="111"/>
        <v>50817473</v>
      </c>
      <c r="U73" s="34">
        <f t="shared" si="111"/>
        <v>49501786</v>
      </c>
      <c r="V73" s="34">
        <f t="shared" si="111"/>
        <v>48731992</v>
      </c>
      <c r="W73" s="34">
        <f t="shared" si="111"/>
        <v>48827721</v>
      </c>
      <c r="X73" s="34">
        <f t="shared" si="111"/>
        <v>49098895</v>
      </c>
      <c r="Y73" s="34">
        <f t="shared" si="111"/>
        <v>52281844</v>
      </c>
      <c r="Z73" s="34">
        <f t="shared" si="111"/>
        <v>53630374</v>
      </c>
      <c r="AA73" s="34">
        <f t="shared" si="111"/>
        <v>52087644</v>
      </c>
      <c r="AB73" s="34">
        <f t="shared" si="111"/>
        <v>53099664</v>
      </c>
      <c r="AC73" s="34">
        <f t="shared" si="111"/>
        <v>54934835</v>
      </c>
      <c r="AD73" s="34"/>
      <c r="AE73" s="34">
        <f t="shared" ref="AE73:AS73" si="112">SUM(AE72+AE66)</f>
        <v>45330904</v>
      </c>
      <c r="AF73" s="34">
        <f t="shared" si="112"/>
        <v>46350935</v>
      </c>
      <c r="AG73" s="34">
        <f t="shared" si="112"/>
        <v>47562187</v>
      </c>
      <c r="AH73" s="34">
        <f t="shared" si="112"/>
        <v>48594768</v>
      </c>
      <c r="AI73" s="34">
        <f t="shared" si="112"/>
        <v>49490345</v>
      </c>
      <c r="AJ73" s="34">
        <f t="shared" si="112"/>
        <v>50817473</v>
      </c>
      <c r="AK73" s="34">
        <f t="shared" si="112"/>
        <v>49501786</v>
      </c>
      <c r="AL73" s="34">
        <f t="shared" si="112"/>
        <v>48731992</v>
      </c>
      <c r="AM73" s="34">
        <f t="shared" si="112"/>
        <v>48827721</v>
      </c>
      <c r="AN73" s="34">
        <f t="shared" si="112"/>
        <v>49098895</v>
      </c>
      <c r="AO73" s="34">
        <f t="shared" si="112"/>
        <v>52281844</v>
      </c>
      <c r="AP73" s="34">
        <f t="shared" si="112"/>
        <v>53630374</v>
      </c>
      <c r="AQ73" s="34">
        <f t="shared" si="112"/>
        <v>52087644</v>
      </c>
      <c r="AR73" s="34">
        <f t="shared" si="112"/>
        <v>53099664</v>
      </c>
      <c r="AS73" s="34">
        <f t="shared" si="112"/>
        <v>54934835</v>
      </c>
      <c r="AT73" s="12"/>
      <c r="AU73" s="83">
        <f t="shared" si="102"/>
        <v>5.0744021194049749E-2</v>
      </c>
    </row>
    <row r="74" spans="1:47" ht="5.0999999999999996" customHeight="1">
      <c r="B74" s="27"/>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c r="AT74" s="12"/>
    </row>
    <row r="75" spans="1:47" ht="12.75" customHeight="1">
      <c r="B75" s="513" t="s">
        <v>81</v>
      </c>
      <c r="C75" s="76">
        <f>C73-C52</f>
        <v>0</v>
      </c>
      <c r="D75" s="76">
        <f>D73-D52</f>
        <v>0</v>
      </c>
      <c r="E75" s="76">
        <f>E73-E52</f>
        <v>0</v>
      </c>
      <c r="F75" s="76">
        <f>F73-F52</f>
        <v>0</v>
      </c>
      <c r="G75" s="76">
        <f>G73-G52</f>
        <v>0</v>
      </c>
      <c r="H75" s="76">
        <f>H73-H52</f>
        <v>0</v>
      </c>
      <c r="I75" s="76">
        <f>I73-I52</f>
        <v>0</v>
      </c>
      <c r="J75" s="77"/>
      <c r="K75" s="76">
        <f>K73-K52</f>
        <v>0</v>
      </c>
      <c r="L75" s="76">
        <f>L73-L52</f>
        <v>0</v>
      </c>
      <c r="M75" s="76">
        <f>M73-M52</f>
        <v>0</v>
      </c>
      <c r="N75" s="76">
        <f>N73-N52</f>
        <v>0</v>
      </c>
      <c r="O75" s="76">
        <f>O73-O52</f>
        <v>0</v>
      </c>
      <c r="P75" s="76">
        <f>P73-P52</f>
        <v>0</v>
      </c>
      <c r="Q75" s="76">
        <f>Q73-Q52</f>
        <v>0</v>
      </c>
      <c r="R75" s="76">
        <f>R73-R52</f>
        <v>0</v>
      </c>
      <c r="S75" s="76">
        <f>S73-S52</f>
        <v>0</v>
      </c>
      <c r="T75" s="76">
        <f>T73-T52</f>
        <v>0</v>
      </c>
      <c r="U75" s="76">
        <f>U73-U52</f>
        <v>0</v>
      </c>
      <c r="V75" s="76">
        <f>V73-V52</f>
        <v>0</v>
      </c>
      <c r="W75" s="76">
        <f>W73-W52</f>
        <v>0</v>
      </c>
      <c r="X75" s="76">
        <f>X73-X52</f>
        <v>0</v>
      </c>
      <c r="Y75" s="76">
        <f>Y73-Y52</f>
        <v>0</v>
      </c>
      <c r="Z75" s="76">
        <f>Z73-Z52</f>
        <v>0</v>
      </c>
      <c r="AA75" s="76">
        <f>AA73-AA52</f>
        <v>0</v>
      </c>
      <c r="AB75" s="76">
        <f>AB73-AB52</f>
        <v>0</v>
      </c>
      <c r="AC75" s="76">
        <f>AC73-AC52</f>
        <v>0</v>
      </c>
      <c r="AD75" s="30"/>
      <c r="AE75" s="76">
        <f>AE73-AE52</f>
        <v>0</v>
      </c>
      <c r="AF75" s="76">
        <f>AF73-AF52</f>
        <v>0</v>
      </c>
      <c r="AG75" s="76">
        <f>AG73-AG52</f>
        <v>0</v>
      </c>
      <c r="AH75" s="76">
        <f>AH73-AH52</f>
        <v>0</v>
      </c>
      <c r="AI75" s="76">
        <f>AI73-AI52</f>
        <v>0</v>
      </c>
      <c r="AJ75" s="76">
        <f>AJ73-AJ52</f>
        <v>0</v>
      </c>
      <c r="AK75" s="76">
        <f>AK73-AK52</f>
        <v>0</v>
      </c>
      <c r="AL75" s="76">
        <f>AL73-AL52</f>
        <v>0</v>
      </c>
      <c r="AM75" s="76">
        <f>AM73-AM52</f>
        <v>0</v>
      </c>
      <c r="AN75" s="76">
        <f>AN73-AN52</f>
        <v>0</v>
      </c>
      <c r="AO75" s="76">
        <f>AO73-AO52</f>
        <v>0</v>
      </c>
      <c r="AP75" s="76">
        <f>AP73-AP52</f>
        <v>0</v>
      </c>
      <c r="AQ75" s="76">
        <f>AQ73-AQ52</f>
        <v>0</v>
      </c>
      <c r="AR75" s="76">
        <f>AR73-AR52</f>
        <v>0</v>
      </c>
      <c r="AS75" s="76">
        <f>AS73-AS52</f>
        <v>0</v>
      </c>
    </row>
    <row r="76" spans="1:47" ht="5.0999999999999996" customHeight="1" thickBot="1">
      <c r="B76" s="460"/>
      <c r="C76" s="461"/>
      <c r="D76" s="461"/>
      <c r="E76" s="461"/>
      <c r="F76" s="461"/>
      <c r="G76" s="461"/>
      <c r="H76" s="461"/>
      <c r="I76" s="461"/>
      <c r="J76" s="462"/>
      <c r="K76" s="461"/>
      <c r="L76" s="461"/>
      <c r="M76" s="461"/>
      <c r="N76" s="461"/>
      <c r="O76" s="461"/>
      <c r="P76" s="461"/>
      <c r="Q76" s="461"/>
      <c r="R76" s="461"/>
      <c r="S76" s="461"/>
      <c r="T76" s="461"/>
      <c r="U76" s="461"/>
      <c r="V76" s="461"/>
      <c r="W76" s="461"/>
      <c r="X76" s="461"/>
      <c r="Y76" s="461"/>
      <c r="Z76" s="461"/>
      <c r="AA76" s="461"/>
      <c r="AB76" s="461"/>
      <c r="AC76" s="461"/>
      <c r="AD76" s="463"/>
      <c r="AE76" s="461"/>
      <c r="AF76" s="461"/>
      <c r="AG76" s="461"/>
      <c r="AH76" s="461"/>
      <c r="AI76" s="461"/>
      <c r="AJ76" s="461"/>
      <c r="AK76" s="461"/>
      <c r="AL76" s="461"/>
      <c r="AM76" s="461"/>
      <c r="AN76" s="461"/>
      <c r="AO76" s="461"/>
      <c r="AP76" s="461"/>
      <c r="AQ76" s="461"/>
      <c r="AR76" s="461"/>
      <c r="AS76" s="461"/>
      <c r="AT76" s="80"/>
      <c r="AU76" s="80"/>
    </row>
    <row r="77" spans="1:47">
      <c r="B77" s="74"/>
      <c r="C77" s="75"/>
      <c r="D77" s="75"/>
      <c r="E77" s="75"/>
      <c r="F77" s="58"/>
      <c r="G77" s="26"/>
      <c r="H77" s="26"/>
      <c r="I77" s="26"/>
      <c r="J77" s="58"/>
    </row>
    <row r="78" spans="1:47" ht="12.75" customHeight="1">
      <c r="A78" s="5" t="s">
        <v>24</v>
      </c>
      <c r="B78" s="364" t="s">
        <v>19</v>
      </c>
      <c r="C78" s="372"/>
      <c r="D78" s="372"/>
      <c r="E78" s="372"/>
      <c r="F78" s="372"/>
      <c r="G78" s="372"/>
      <c r="H78" s="372"/>
      <c r="I78" s="372"/>
      <c r="J78" s="373"/>
      <c r="K78" s="372"/>
      <c r="L78" s="372"/>
      <c r="M78" s="372"/>
      <c r="N78" s="372"/>
      <c r="O78" s="372"/>
      <c r="P78" s="372"/>
      <c r="Q78" s="372"/>
      <c r="R78" s="372"/>
      <c r="S78" s="372"/>
      <c r="T78" s="372"/>
      <c r="U78" s="372"/>
      <c r="V78" s="372"/>
      <c r="W78" s="372"/>
      <c r="X78" s="372"/>
      <c r="Y78" s="372"/>
      <c r="Z78" s="372"/>
      <c r="AA78" s="372"/>
      <c r="AB78" s="372"/>
      <c r="AC78" s="372"/>
      <c r="AD78" s="364"/>
      <c r="AE78" s="372"/>
      <c r="AF78" s="372"/>
      <c r="AG78" s="372"/>
      <c r="AH78" s="372"/>
      <c r="AI78" s="372"/>
      <c r="AJ78" s="372"/>
      <c r="AK78" s="372"/>
      <c r="AL78" s="372"/>
      <c r="AM78" s="372"/>
      <c r="AN78" s="372" t="s">
        <v>10</v>
      </c>
      <c r="AO78" s="372"/>
      <c r="AP78" s="372"/>
      <c r="AQ78" s="372"/>
      <c r="AR78" s="372"/>
      <c r="AS78" s="372"/>
      <c r="AT78" s="373"/>
      <c r="AU78" s="581" t="s">
        <v>37</v>
      </c>
    </row>
    <row r="79" spans="1:47" ht="12.75" customHeight="1">
      <c r="B79" s="365" t="str">
        <f>B7</f>
        <v>Fiscal Period</v>
      </c>
      <c r="C79" s="374">
        <f>C7</f>
        <v>2018</v>
      </c>
      <c r="D79" s="374">
        <f>D7</f>
        <v>2019</v>
      </c>
      <c r="E79" s="374">
        <f>E7</f>
        <v>2020</v>
      </c>
      <c r="F79" s="374">
        <f>F7</f>
        <v>2021</v>
      </c>
      <c r="G79" s="374">
        <f>G7</f>
        <v>2022</v>
      </c>
      <c r="H79" s="374">
        <f>H7</f>
        <v>2023</v>
      </c>
      <c r="I79" s="374">
        <f>I7</f>
        <v>2024</v>
      </c>
      <c r="J79" s="373"/>
      <c r="K79" s="374" t="str">
        <f>K7</f>
        <v>1Q21</v>
      </c>
      <c r="L79" s="374" t="str">
        <f>L7</f>
        <v>2Q21</v>
      </c>
      <c r="M79" s="374" t="str">
        <f>M7</f>
        <v>3Q21</v>
      </c>
      <c r="N79" s="374" t="str">
        <f>N7</f>
        <v>4Q21</v>
      </c>
      <c r="O79" s="374" t="str">
        <f>O7</f>
        <v>1Q22</v>
      </c>
      <c r="P79" s="374" t="str">
        <f>P7</f>
        <v>2Q22</v>
      </c>
      <c r="Q79" s="374" t="str">
        <f>Q7</f>
        <v>3Q22</v>
      </c>
      <c r="R79" s="374" t="str">
        <f>R7</f>
        <v>4Q22</v>
      </c>
      <c r="S79" s="374" t="str">
        <f>S7</f>
        <v>1Q23</v>
      </c>
      <c r="T79" s="374" t="str">
        <f>T7</f>
        <v>2Q23</v>
      </c>
      <c r="U79" s="374" t="str">
        <f>U7</f>
        <v>3Q23</v>
      </c>
      <c r="V79" s="374" t="str">
        <f>V7</f>
        <v>4Q23</v>
      </c>
      <c r="W79" s="374" t="str">
        <f>W7</f>
        <v>1Q24</v>
      </c>
      <c r="X79" s="374" t="str">
        <f>X7</f>
        <v>2Q24</v>
      </c>
      <c r="Y79" s="374" t="str">
        <f>Y7</f>
        <v>3Q24</v>
      </c>
      <c r="Z79" s="374" t="str">
        <f>Z7</f>
        <v>4Q24</v>
      </c>
      <c r="AA79" s="374" t="str">
        <f>AA7</f>
        <v>1Q25</v>
      </c>
      <c r="AB79" s="374" t="str">
        <f>AB7</f>
        <v>2Q25</v>
      </c>
      <c r="AC79" s="374" t="str">
        <f>AC7</f>
        <v>3Q25</v>
      </c>
      <c r="AD79" s="374"/>
      <c r="AE79" s="374" t="str">
        <f>AE7</f>
        <v>1Q22</v>
      </c>
      <c r="AF79" s="374" t="str">
        <f>AF7</f>
        <v>2Q22</v>
      </c>
      <c r="AG79" s="374" t="str">
        <f>AG7</f>
        <v>3Q22</v>
      </c>
      <c r="AH79" s="374" t="str">
        <f>AH7</f>
        <v>4Q22</v>
      </c>
      <c r="AI79" s="374" t="str">
        <f>AI7</f>
        <v>1Q23</v>
      </c>
      <c r="AJ79" s="374" t="str">
        <f>AJ7</f>
        <v>2Q23</v>
      </c>
      <c r="AK79" s="374" t="str">
        <f>AK7</f>
        <v>3Q23</v>
      </c>
      <c r="AL79" s="374" t="str">
        <f>AL7</f>
        <v>4Q23</v>
      </c>
      <c r="AM79" s="374" t="str">
        <f>AM7</f>
        <v>1Q24</v>
      </c>
      <c r="AN79" s="374" t="str">
        <f>AN7</f>
        <v>2Q24</v>
      </c>
      <c r="AO79" s="374" t="str">
        <f>AO7</f>
        <v>3Q24</v>
      </c>
      <c r="AP79" s="374" t="str">
        <f>AP7</f>
        <v>4Q24</v>
      </c>
      <c r="AQ79" s="374" t="str">
        <f>AQ7</f>
        <v>1Q25</v>
      </c>
      <c r="AR79" s="374" t="str">
        <f>AR7</f>
        <v>2Q25</v>
      </c>
      <c r="AS79" s="374" t="str">
        <f>AS7</f>
        <v>3Q25</v>
      </c>
      <c r="AT79" s="373"/>
      <c r="AU79" s="581"/>
    </row>
    <row r="80" spans="1:47" ht="12.75" customHeight="1">
      <c r="B80" s="365" t="str">
        <f>B8</f>
        <v>Fiscal Period End Date</v>
      </c>
      <c r="C80" s="375">
        <f>C8</f>
        <v>43465</v>
      </c>
      <c r="D80" s="375">
        <f>D8</f>
        <v>43830</v>
      </c>
      <c r="E80" s="375">
        <f>E8</f>
        <v>44196</v>
      </c>
      <c r="F80" s="375">
        <f>F8</f>
        <v>44561</v>
      </c>
      <c r="G80" s="375">
        <f>G8</f>
        <v>44926</v>
      </c>
      <c r="H80" s="375">
        <f>H8</f>
        <v>45291</v>
      </c>
      <c r="I80" s="375">
        <f>I8</f>
        <v>45657</v>
      </c>
      <c r="J80" s="373"/>
      <c r="K80" s="375">
        <f>K8</f>
        <v>44286</v>
      </c>
      <c r="L80" s="375">
        <f>L8</f>
        <v>44377</v>
      </c>
      <c r="M80" s="375">
        <f>M8</f>
        <v>44469</v>
      </c>
      <c r="N80" s="375">
        <f>N8</f>
        <v>44561</v>
      </c>
      <c r="O80" s="375">
        <f>O8</f>
        <v>44651</v>
      </c>
      <c r="P80" s="375">
        <f>P8</f>
        <v>44742</v>
      </c>
      <c r="Q80" s="375">
        <f>Q8</f>
        <v>44834</v>
      </c>
      <c r="R80" s="375">
        <f>R8</f>
        <v>44926</v>
      </c>
      <c r="S80" s="375">
        <f>S8</f>
        <v>45016</v>
      </c>
      <c r="T80" s="375">
        <f>T8</f>
        <v>45107</v>
      </c>
      <c r="U80" s="375">
        <f>U8</f>
        <v>45199</v>
      </c>
      <c r="V80" s="375">
        <f>V8</f>
        <v>45291</v>
      </c>
      <c r="W80" s="375">
        <f>W8</f>
        <v>45382</v>
      </c>
      <c r="X80" s="375">
        <f>X8</f>
        <v>45473</v>
      </c>
      <c r="Y80" s="375">
        <f>Y8</f>
        <v>45565</v>
      </c>
      <c r="Z80" s="375">
        <f>Z8</f>
        <v>45657</v>
      </c>
      <c r="AA80" s="375">
        <f>AA8</f>
        <v>45747</v>
      </c>
      <c r="AB80" s="375">
        <f>AB8</f>
        <v>45838</v>
      </c>
      <c r="AC80" s="375">
        <f>AC8</f>
        <v>45930</v>
      </c>
      <c r="AD80" s="375"/>
      <c r="AE80" s="375">
        <f>AE8</f>
        <v>44651</v>
      </c>
      <c r="AF80" s="375">
        <f>AF8</f>
        <v>44742</v>
      </c>
      <c r="AG80" s="375">
        <f>AG8</f>
        <v>44834</v>
      </c>
      <c r="AH80" s="375">
        <f>AH8</f>
        <v>44926</v>
      </c>
      <c r="AI80" s="375">
        <f>AI8</f>
        <v>45016</v>
      </c>
      <c r="AJ80" s="375">
        <f>AJ8</f>
        <v>45107</v>
      </c>
      <c r="AK80" s="375">
        <f>AK8</f>
        <v>45199</v>
      </c>
      <c r="AL80" s="375">
        <f>AL8</f>
        <v>45291</v>
      </c>
      <c r="AM80" s="375">
        <f>AM8</f>
        <v>45382</v>
      </c>
      <c r="AN80" s="375">
        <f>AN8</f>
        <v>45473</v>
      </c>
      <c r="AO80" s="375">
        <f>AO8</f>
        <v>45565</v>
      </c>
      <c r="AP80" s="375">
        <f>AP8</f>
        <v>45657</v>
      </c>
      <c r="AQ80" s="375">
        <f>AQ8</f>
        <v>45747</v>
      </c>
      <c r="AR80" s="375">
        <f>AR8</f>
        <v>45838</v>
      </c>
      <c r="AS80" s="375">
        <f>AS8</f>
        <v>45930</v>
      </c>
      <c r="AT80" s="373"/>
      <c r="AU80" s="581"/>
    </row>
    <row r="81" spans="2:47" ht="5.0999999999999996" customHeight="1">
      <c r="B81" s="59"/>
      <c r="C81" s="52"/>
      <c r="D81" s="52"/>
      <c r="E81" s="52"/>
      <c r="F81" s="52"/>
      <c r="G81" s="52"/>
      <c r="H81" s="52"/>
      <c r="I81" s="52"/>
    </row>
    <row r="82" spans="2:47" ht="12.75" customHeight="1">
      <c r="B82" s="60" t="s">
        <v>71</v>
      </c>
      <c r="C82" s="61"/>
      <c r="D82" s="61"/>
      <c r="E82" s="61"/>
      <c r="F82" s="61"/>
      <c r="G82" s="61"/>
      <c r="H82" s="61"/>
      <c r="I82" s="61"/>
    </row>
    <row r="83" spans="2:47" ht="12.75" customHeight="1">
      <c r="B83" s="62" t="s">
        <v>72</v>
      </c>
      <c r="C83" s="500">
        <f>C32</f>
        <v>1211242</v>
      </c>
      <c r="D83" s="34">
        <f>D32</f>
        <v>1866916</v>
      </c>
      <c r="E83" s="34">
        <f>E32</f>
        <v>2761395</v>
      </c>
      <c r="F83" s="34">
        <f>F32</f>
        <v>5116228</v>
      </c>
      <c r="G83" s="34">
        <f>G32</f>
        <v>4491924</v>
      </c>
      <c r="H83" s="34">
        <f>H32</f>
        <v>5407990</v>
      </c>
      <c r="I83" s="34">
        <f>I32</f>
        <v>8711631</v>
      </c>
      <c r="J83" s="34"/>
      <c r="K83" s="34">
        <f>K32</f>
        <v>1706715</v>
      </c>
      <c r="L83" s="34">
        <f>L32</f>
        <v>1353013</v>
      </c>
      <c r="M83" s="34">
        <f>M32</f>
        <v>1449071</v>
      </c>
      <c r="N83" s="34">
        <f>N32</f>
        <v>607429</v>
      </c>
      <c r="O83" s="500">
        <f>O32</f>
        <v>1597447</v>
      </c>
      <c r="P83" s="34">
        <f>P32</f>
        <v>1440951</v>
      </c>
      <c r="Q83" s="34">
        <f>Q32</f>
        <v>1398242</v>
      </c>
      <c r="R83" s="34">
        <f>R32</f>
        <v>55284</v>
      </c>
      <c r="S83" s="34">
        <f>S32</f>
        <v>1305120</v>
      </c>
      <c r="T83" s="34">
        <f>T32</f>
        <v>1487610</v>
      </c>
      <c r="U83" s="34">
        <f>U32</f>
        <v>1677422</v>
      </c>
      <c r="V83" s="34">
        <f>V32</f>
        <v>937838</v>
      </c>
      <c r="W83" s="34">
        <f>W32</f>
        <v>2332209</v>
      </c>
      <c r="X83" s="34">
        <f>X32</f>
        <v>2147306</v>
      </c>
      <c r="Y83" s="34">
        <f>Y32</f>
        <v>2363509</v>
      </c>
      <c r="Z83" s="34">
        <f>Z32</f>
        <v>1868607</v>
      </c>
      <c r="AA83" s="34">
        <f>AA32</f>
        <v>2890351</v>
      </c>
      <c r="AB83" s="34">
        <f>AB32</f>
        <v>3125413</v>
      </c>
      <c r="AC83" s="34">
        <f>AC32</f>
        <v>2546916</v>
      </c>
      <c r="AE83" s="34">
        <f>SUM(L83:O83)</f>
        <v>5006960</v>
      </c>
      <c r="AF83" s="34">
        <f>SUM(M83:P83)</f>
        <v>5094898</v>
      </c>
      <c r="AG83" s="34">
        <f>SUM(N83:Q83)</f>
        <v>5044069</v>
      </c>
      <c r="AH83" s="34">
        <f>SUM(O83:R83)</f>
        <v>4491924</v>
      </c>
      <c r="AI83" s="34">
        <f>SUM(P83:S83)</f>
        <v>4199597</v>
      </c>
      <c r="AJ83" s="34">
        <f>SUM(Q83:T83)</f>
        <v>4246256</v>
      </c>
      <c r="AK83" s="34">
        <f>SUM(R83:U83)</f>
        <v>4525436</v>
      </c>
      <c r="AL83" s="34">
        <f>SUM(S83:V83)</f>
        <v>5407990</v>
      </c>
      <c r="AM83" s="34">
        <f>SUM(T83:W83)</f>
        <v>6435079</v>
      </c>
      <c r="AN83" s="34">
        <f>SUM(U83:X83)</f>
        <v>7094775</v>
      </c>
      <c r="AO83" s="34">
        <f>SUM(V83:Y83)</f>
        <v>7780862</v>
      </c>
      <c r="AP83" s="34">
        <f>SUM(W83:Z83)</f>
        <v>8711631</v>
      </c>
      <c r="AQ83" s="34">
        <f>SUM(X83:AA83)</f>
        <v>9269773</v>
      </c>
      <c r="AR83" s="34">
        <f>SUM(Y83:AB83)</f>
        <v>10247880</v>
      </c>
      <c r="AS83" s="34">
        <f>SUM(Z83:AC83)</f>
        <v>10431287</v>
      </c>
      <c r="AT83" s="12"/>
      <c r="AU83" s="82">
        <f>SUM(AS83/AO83)-1</f>
        <v>0.34063385265025903</v>
      </c>
    </row>
    <row r="84" spans="2:47" ht="5.0999999999999996" customHeight="1">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E84" s="34"/>
      <c r="AF84" s="34"/>
      <c r="AG84" s="34"/>
      <c r="AH84" s="34"/>
      <c r="AI84" s="34"/>
      <c r="AJ84" s="34"/>
      <c r="AK84" s="34"/>
      <c r="AL84" s="34"/>
      <c r="AM84" s="34"/>
      <c r="AN84" s="34"/>
      <c r="AO84" s="34"/>
      <c r="AP84" s="34"/>
      <c r="AQ84" s="34"/>
      <c r="AR84" s="34"/>
      <c r="AS84" s="34"/>
      <c r="AT84" s="12"/>
      <c r="AU84" s="82"/>
    </row>
    <row r="85" spans="2:47" ht="12.75" customHeight="1">
      <c r="B85" s="38" t="s">
        <v>80</v>
      </c>
      <c r="C85" s="34"/>
      <c r="D85" s="34"/>
      <c r="E85" s="34"/>
      <c r="F85" s="34"/>
      <c r="G85" s="34"/>
      <c r="H85" s="34"/>
      <c r="I85" s="34"/>
      <c r="J85" s="34"/>
      <c r="K85" s="89"/>
      <c r="L85" s="89"/>
      <c r="M85" s="89"/>
      <c r="N85" s="34"/>
      <c r="O85" s="89"/>
      <c r="P85" s="89"/>
      <c r="Q85" s="89"/>
      <c r="R85" s="34"/>
      <c r="S85" s="89"/>
      <c r="T85" s="89"/>
      <c r="U85" s="89"/>
      <c r="V85" s="34"/>
      <c r="W85" s="89"/>
      <c r="X85" s="89"/>
      <c r="Y85" s="89"/>
      <c r="Z85" s="34"/>
      <c r="AA85" s="89"/>
      <c r="AB85" s="89"/>
      <c r="AC85" s="89"/>
      <c r="AE85" s="34"/>
      <c r="AF85" s="34"/>
      <c r="AG85" s="34"/>
      <c r="AH85" s="34"/>
      <c r="AI85" s="34"/>
      <c r="AJ85" s="34"/>
      <c r="AK85" s="34"/>
      <c r="AL85" s="34"/>
      <c r="AM85" s="34"/>
      <c r="AN85" s="34"/>
      <c r="AO85" s="34"/>
      <c r="AP85" s="34"/>
      <c r="AQ85" s="34"/>
      <c r="AR85" s="34"/>
      <c r="AS85" s="34"/>
      <c r="AT85" s="64"/>
      <c r="AU85" s="82"/>
    </row>
    <row r="86" spans="2:47" ht="12.75" customHeight="1">
      <c r="B86" s="65" t="s">
        <v>621</v>
      </c>
      <c r="C86" s="89">
        <v>-13043437</v>
      </c>
      <c r="D86" s="89">
        <v>-13916683</v>
      </c>
      <c r="E86" s="89">
        <v>-11779284</v>
      </c>
      <c r="F86" s="89">
        <v>-17702202</v>
      </c>
      <c r="G86" s="89">
        <v>-16839038</v>
      </c>
      <c r="H86" s="89">
        <v>-12554703</v>
      </c>
      <c r="I86" s="89">
        <v>-16223617</v>
      </c>
      <c r="J86" s="34"/>
      <c r="K86" s="89">
        <v>-3284576</v>
      </c>
      <c r="L86" s="89">
        <v>-4096750</v>
      </c>
      <c r="M86" s="89">
        <v>-4666237</v>
      </c>
      <c r="N86" s="34">
        <f t="shared" ref="N86" si="113">SUM(F86-SUM(K86:M86))</f>
        <v>-5654639</v>
      </c>
      <c r="O86" s="89">
        <v>-3584164</v>
      </c>
      <c r="P86" s="89">
        <v>-4687011</v>
      </c>
      <c r="Q86" s="89">
        <v>-4582671</v>
      </c>
      <c r="R86" s="34">
        <f t="shared" ref="R86" si="114">SUM(G86-SUM(O86:Q86))</f>
        <v>-3985192</v>
      </c>
      <c r="S86" s="89">
        <v>-2458666</v>
      </c>
      <c r="T86" s="89">
        <v>-3683007</v>
      </c>
      <c r="U86" s="89">
        <v>-2883839</v>
      </c>
      <c r="V86" s="34">
        <f t="shared" ref="V86" si="115">SUM(H86-SUM(S86:U86))</f>
        <v>-3529191</v>
      </c>
      <c r="W86" s="89">
        <v>-3728967</v>
      </c>
      <c r="X86" s="89">
        <v>-4048852</v>
      </c>
      <c r="Y86" s="89">
        <v>-4016396</v>
      </c>
      <c r="Z86" s="34">
        <f t="shared" ref="Z86" si="116">SUM(I86-SUM(W86:Y86))</f>
        <v>-4429402</v>
      </c>
      <c r="AA86" s="89">
        <v>-3549657</v>
      </c>
      <c r="AB86" s="89">
        <v>-3835813</v>
      </c>
      <c r="AC86" s="89">
        <v>-4653935</v>
      </c>
      <c r="AE86" s="34">
        <f>SUM(L86:O86)</f>
        <v>-18001790</v>
      </c>
      <c r="AF86" s="34">
        <f>SUM(M86:P86)</f>
        <v>-18592051</v>
      </c>
      <c r="AG86" s="34">
        <f>SUM(N86:Q86)</f>
        <v>-18508485</v>
      </c>
      <c r="AH86" s="34">
        <f>SUM(O86:R86)</f>
        <v>-16839038</v>
      </c>
      <c r="AI86" s="34">
        <f>SUM(P86:S86)</f>
        <v>-15713540</v>
      </c>
      <c r="AJ86" s="34">
        <f>SUM(Q86:T86)</f>
        <v>-14709536</v>
      </c>
      <c r="AK86" s="34">
        <f>SUM(R86:U86)</f>
        <v>-13010704</v>
      </c>
      <c r="AL86" s="34">
        <f>SUM(S86:V86)</f>
        <v>-12554703</v>
      </c>
      <c r="AM86" s="34">
        <f>SUM(T86:W86)</f>
        <v>-13825004</v>
      </c>
      <c r="AN86" s="34">
        <f>SUM(U86:X86)</f>
        <v>-14190849</v>
      </c>
      <c r="AO86" s="34">
        <f>SUM(V86:Y86)</f>
        <v>-15323406</v>
      </c>
      <c r="AP86" s="34">
        <f>SUM(W86:Z86)</f>
        <v>-16223617</v>
      </c>
      <c r="AQ86" s="34">
        <f>SUM(X86:AA86)</f>
        <v>-16044307</v>
      </c>
      <c r="AR86" s="34">
        <f>SUM(Y86:AB86)</f>
        <v>-15831268</v>
      </c>
      <c r="AS86" s="34">
        <f>SUM(Z86:AC86)</f>
        <v>-16468807</v>
      </c>
      <c r="AT86" s="12"/>
      <c r="AU86" s="82">
        <f t="shared" ref="AU86:AU100" si="117">SUM(AS86/AO86)-1</f>
        <v>7.4748459970322534E-2</v>
      </c>
    </row>
    <row r="87" spans="2:47" ht="12.75" customHeight="1">
      <c r="B87" s="65" t="s">
        <v>622</v>
      </c>
      <c r="C87" s="89">
        <v>999880</v>
      </c>
      <c r="D87" s="89">
        <v>-694011</v>
      </c>
      <c r="E87" s="89">
        <v>-757433</v>
      </c>
      <c r="F87" s="89">
        <v>232898</v>
      </c>
      <c r="G87" s="89">
        <v>179310</v>
      </c>
      <c r="H87" s="89">
        <v>-585602</v>
      </c>
      <c r="I87" s="89">
        <v>-779135</v>
      </c>
      <c r="J87" s="34"/>
      <c r="K87" s="89">
        <v>-266040</v>
      </c>
      <c r="L87" s="89">
        <v>-312208</v>
      </c>
      <c r="M87" s="89">
        <v>-29246</v>
      </c>
      <c r="N87" s="34">
        <f t="shared" ref="N87:N93" si="118">SUM(F87-SUM(K87:M87))</f>
        <v>840392</v>
      </c>
      <c r="O87" s="89">
        <v>-347149</v>
      </c>
      <c r="P87" s="89">
        <v>191228</v>
      </c>
      <c r="Q87" s="89">
        <v>60867</v>
      </c>
      <c r="R87" s="34">
        <f t="shared" ref="R87:R93" si="119">SUM(G87-SUM(O87:Q87))</f>
        <v>274364</v>
      </c>
      <c r="S87" s="89">
        <v>-354791</v>
      </c>
      <c r="T87" s="89">
        <v>46119</v>
      </c>
      <c r="U87" s="89">
        <v>-325989</v>
      </c>
      <c r="V87" s="34">
        <f t="shared" ref="V87:V93" si="120">SUM(H87-SUM(S87:U87))</f>
        <v>49059</v>
      </c>
      <c r="W87" s="89">
        <v>-189441</v>
      </c>
      <c r="X87" s="89">
        <v>-366572</v>
      </c>
      <c r="Y87" s="89">
        <v>-83585</v>
      </c>
      <c r="Z87" s="34">
        <f t="shared" ref="Z87:Z93" si="121">SUM(I87-SUM(W87:Y87))</f>
        <v>-139537</v>
      </c>
      <c r="AA87" s="89">
        <v>-411253</v>
      </c>
      <c r="AB87" s="89">
        <v>-214052</v>
      </c>
      <c r="AC87" s="89">
        <v>24262</v>
      </c>
      <c r="AE87" s="34">
        <f t="shared" ref="AE87:AE93" si="122">SUM(L87:O87)</f>
        <v>151789</v>
      </c>
      <c r="AF87" s="34">
        <f t="shared" ref="AF87:AF93" si="123">SUM(M87:P87)</f>
        <v>655225</v>
      </c>
      <c r="AG87" s="34">
        <f t="shared" ref="AG87:AG93" si="124">SUM(N87:Q87)</f>
        <v>745338</v>
      </c>
      <c r="AH87" s="34">
        <f t="shared" ref="AH87:AH93" si="125">SUM(O87:R87)</f>
        <v>179310</v>
      </c>
      <c r="AI87" s="34">
        <f t="shared" ref="AI87:AI93" si="126">SUM(P87:S87)</f>
        <v>171668</v>
      </c>
      <c r="AJ87" s="34">
        <f t="shared" ref="AJ87:AJ93" si="127">SUM(Q87:T87)</f>
        <v>26559</v>
      </c>
      <c r="AK87" s="34">
        <f t="shared" ref="AK87:AK93" si="128">SUM(R87:U87)</f>
        <v>-360297</v>
      </c>
      <c r="AL87" s="34">
        <f t="shared" ref="AL87:AL93" si="129">SUM(S87:V87)</f>
        <v>-585602</v>
      </c>
      <c r="AM87" s="34">
        <f t="shared" ref="AM87:AM93" si="130">SUM(T87:W87)</f>
        <v>-420252</v>
      </c>
      <c r="AN87" s="34">
        <f t="shared" ref="AN87:AN93" si="131">SUM(U87:X87)</f>
        <v>-832943</v>
      </c>
      <c r="AO87" s="34">
        <f t="shared" ref="AO87:AO93" si="132">SUM(V87:Y87)</f>
        <v>-590539</v>
      </c>
      <c r="AP87" s="34">
        <f t="shared" ref="AP87:AP93" si="133">SUM(W87:Z87)</f>
        <v>-779135</v>
      </c>
      <c r="AQ87" s="34">
        <f t="shared" ref="AQ87:AQ93" si="134">SUM(X87:AA87)</f>
        <v>-1000947</v>
      </c>
      <c r="AR87" s="34">
        <f t="shared" ref="AR87:AR93" si="135">SUM(Y87:AB87)</f>
        <v>-848427</v>
      </c>
      <c r="AS87" s="34">
        <f t="shared" ref="AS87:AS93" si="136">SUM(Z87:AC87)</f>
        <v>-740580</v>
      </c>
      <c r="AT87" s="12"/>
      <c r="AU87" s="82">
        <f t="shared" si="117"/>
        <v>0.25407466738013906</v>
      </c>
    </row>
    <row r="88" spans="2:47" ht="12.75" customHeight="1">
      <c r="B88" s="65" t="s">
        <v>623</v>
      </c>
      <c r="C88" s="89">
        <v>7532088</v>
      </c>
      <c r="D88" s="89">
        <v>9216247</v>
      </c>
      <c r="E88" s="89">
        <v>10806912</v>
      </c>
      <c r="F88" s="89">
        <v>12230367</v>
      </c>
      <c r="G88" s="89">
        <v>14026132</v>
      </c>
      <c r="H88" s="89">
        <v>14197437</v>
      </c>
      <c r="I88" s="89">
        <v>15301517</v>
      </c>
      <c r="J88" s="34"/>
      <c r="K88" s="89">
        <v>2719196</v>
      </c>
      <c r="L88" s="89">
        <v>2806803</v>
      </c>
      <c r="M88" s="89">
        <v>2963051</v>
      </c>
      <c r="N88" s="34">
        <f t="shared" si="118"/>
        <v>3741317</v>
      </c>
      <c r="O88" s="89">
        <v>3166365</v>
      </c>
      <c r="P88" s="89">
        <v>3261348</v>
      </c>
      <c r="Q88" s="89">
        <v>3653592</v>
      </c>
      <c r="R88" s="34">
        <f t="shared" si="119"/>
        <v>3944827</v>
      </c>
      <c r="S88" s="89">
        <v>3459984</v>
      </c>
      <c r="T88" s="89">
        <v>3410021</v>
      </c>
      <c r="U88" s="89">
        <v>3573353</v>
      </c>
      <c r="V88" s="34">
        <f t="shared" si="120"/>
        <v>3754079</v>
      </c>
      <c r="W88" s="89">
        <v>3670805</v>
      </c>
      <c r="X88" s="89">
        <v>3769690</v>
      </c>
      <c r="Y88" s="89">
        <v>3699521</v>
      </c>
      <c r="Z88" s="34">
        <f t="shared" si="121"/>
        <v>4161501</v>
      </c>
      <c r="AA88" s="89">
        <v>3823112</v>
      </c>
      <c r="AB88" s="89">
        <v>3832074</v>
      </c>
      <c r="AC88" s="89">
        <v>4002744</v>
      </c>
      <c r="AE88" s="34">
        <f t="shared" si="122"/>
        <v>12677536</v>
      </c>
      <c r="AF88" s="34">
        <f t="shared" si="123"/>
        <v>13132081</v>
      </c>
      <c r="AG88" s="34">
        <f t="shared" si="124"/>
        <v>13822622</v>
      </c>
      <c r="AH88" s="34">
        <f t="shared" si="125"/>
        <v>14026132</v>
      </c>
      <c r="AI88" s="34">
        <f t="shared" si="126"/>
        <v>14319751</v>
      </c>
      <c r="AJ88" s="34">
        <f t="shared" si="127"/>
        <v>14468424</v>
      </c>
      <c r="AK88" s="34">
        <f t="shared" si="128"/>
        <v>14388185</v>
      </c>
      <c r="AL88" s="34">
        <f t="shared" si="129"/>
        <v>14197437</v>
      </c>
      <c r="AM88" s="34">
        <f t="shared" si="130"/>
        <v>14408258</v>
      </c>
      <c r="AN88" s="34">
        <f t="shared" si="131"/>
        <v>14767927</v>
      </c>
      <c r="AO88" s="34">
        <f t="shared" si="132"/>
        <v>14894095</v>
      </c>
      <c r="AP88" s="34">
        <f t="shared" si="133"/>
        <v>15301517</v>
      </c>
      <c r="AQ88" s="34">
        <f t="shared" si="134"/>
        <v>15453824</v>
      </c>
      <c r="AR88" s="34">
        <f t="shared" si="135"/>
        <v>15516208</v>
      </c>
      <c r="AS88" s="34">
        <f t="shared" si="136"/>
        <v>15819431</v>
      </c>
      <c r="AT88" s="12"/>
      <c r="AU88" s="82">
        <f t="shared" si="117"/>
        <v>6.2127709001453368E-2</v>
      </c>
    </row>
    <row r="89" spans="2:47" ht="12.75" customHeight="1">
      <c r="B89" s="65" t="s">
        <v>624</v>
      </c>
      <c r="C89" s="89">
        <v>83157</v>
      </c>
      <c r="D89" s="89">
        <v>103579</v>
      </c>
      <c r="E89" s="89">
        <v>115710</v>
      </c>
      <c r="F89" s="89">
        <v>208412</v>
      </c>
      <c r="G89" s="89">
        <v>336682</v>
      </c>
      <c r="H89" s="89">
        <v>356947</v>
      </c>
      <c r="I89" s="89">
        <v>328914</v>
      </c>
      <c r="J89" s="34"/>
      <c r="K89" s="89">
        <v>35741</v>
      </c>
      <c r="L89" s="89">
        <v>38434</v>
      </c>
      <c r="M89" s="89">
        <v>70253</v>
      </c>
      <c r="N89" s="34">
        <f t="shared" si="118"/>
        <v>63984</v>
      </c>
      <c r="O89" s="89">
        <v>74602</v>
      </c>
      <c r="P89" s="89">
        <v>83505</v>
      </c>
      <c r="Q89" s="89">
        <v>85188</v>
      </c>
      <c r="R89" s="34">
        <f t="shared" si="119"/>
        <v>93387</v>
      </c>
      <c r="S89" s="89">
        <v>90335</v>
      </c>
      <c r="T89" s="89">
        <v>89385</v>
      </c>
      <c r="U89" s="89">
        <v>90660</v>
      </c>
      <c r="V89" s="34">
        <f t="shared" si="120"/>
        <v>86567</v>
      </c>
      <c r="W89" s="89">
        <v>87234</v>
      </c>
      <c r="X89" s="89">
        <v>81227</v>
      </c>
      <c r="Y89" s="89">
        <v>80914</v>
      </c>
      <c r="Z89" s="34">
        <f t="shared" si="121"/>
        <v>79539</v>
      </c>
      <c r="AA89" s="89">
        <v>80067</v>
      </c>
      <c r="AB89" s="89">
        <v>80013</v>
      </c>
      <c r="AC89" s="89">
        <v>87326</v>
      </c>
      <c r="AE89" s="34">
        <f t="shared" si="122"/>
        <v>247273</v>
      </c>
      <c r="AF89" s="34">
        <f t="shared" si="123"/>
        <v>292344</v>
      </c>
      <c r="AG89" s="34">
        <f t="shared" si="124"/>
        <v>307279</v>
      </c>
      <c r="AH89" s="34">
        <f t="shared" si="125"/>
        <v>336682</v>
      </c>
      <c r="AI89" s="34">
        <f t="shared" si="126"/>
        <v>352415</v>
      </c>
      <c r="AJ89" s="34">
        <f t="shared" si="127"/>
        <v>358295</v>
      </c>
      <c r="AK89" s="34">
        <f t="shared" si="128"/>
        <v>363767</v>
      </c>
      <c r="AL89" s="34">
        <f t="shared" si="129"/>
        <v>356947</v>
      </c>
      <c r="AM89" s="34">
        <f t="shared" si="130"/>
        <v>353846</v>
      </c>
      <c r="AN89" s="34">
        <f t="shared" si="131"/>
        <v>345688</v>
      </c>
      <c r="AO89" s="34">
        <f t="shared" si="132"/>
        <v>335942</v>
      </c>
      <c r="AP89" s="34">
        <f t="shared" si="133"/>
        <v>328914</v>
      </c>
      <c r="AQ89" s="34">
        <f t="shared" si="134"/>
        <v>321747</v>
      </c>
      <c r="AR89" s="34">
        <f t="shared" si="135"/>
        <v>320533</v>
      </c>
      <c r="AS89" s="34">
        <f t="shared" si="136"/>
        <v>326945</v>
      </c>
      <c r="AT89" s="12"/>
      <c r="AU89" s="82">
        <f t="shared" si="117"/>
        <v>-2.6781408695548681E-2</v>
      </c>
    </row>
    <row r="90" spans="2:47" ht="12.75" customHeight="1">
      <c r="B90" s="65" t="s">
        <v>625</v>
      </c>
      <c r="C90" s="89">
        <v>320657</v>
      </c>
      <c r="D90" s="89">
        <v>405376</v>
      </c>
      <c r="E90" s="89">
        <v>415180</v>
      </c>
      <c r="F90" s="89">
        <v>403220</v>
      </c>
      <c r="G90" s="89">
        <v>575452</v>
      </c>
      <c r="H90" s="89">
        <v>339368</v>
      </c>
      <c r="I90" s="89">
        <v>272588</v>
      </c>
      <c r="J90" s="34"/>
      <c r="K90" s="89">
        <v>107230</v>
      </c>
      <c r="L90" s="89">
        <v>101583</v>
      </c>
      <c r="M90" s="89">
        <v>95078</v>
      </c>
      <c r="N90" s="34">
        <f t="shared" si="118"/>
        <v>99329</v>
      </c>
      <c r="O90" s="89">
        <v>119209</v>
      </c>
      <c r="P90" s="89">
        <v>150392</v>
      </c>
      <c r="Q90" s="89">
        <v>152062</v>
      </c>
      <c r="R90" s="34">
        <f t="shared" si="119"/>
        <v>153789</v>
      </c>
      <c r="S90" s="89">
        <v>99099</v>
      </c>
      <c r="T90" s="89">
        <v>78030</v>
      </c>
      <c r="U90" s="89">
        <v>79720</v>
      </c>
      <c r="V90" s="34">
        <f t="shared" si="120"/>
        <v>82519</v>
      </c>
      <c r="W90" s="89">
        <v>76345</v>
      </c>
      <c r="X90" s="89">
        <v>68766</v>
      </c>
      <c r="Y90" s="89">
        <v>65650</v>
      </c>
      <c r="Z90" s="34">
        <f t="shared" si="121"/>
        <v>61827</v>
      </c>
      <c r="AA90" s="89">
        <v>71977</v>
      </c>
      <c r="AB90" s="89">
        <v>80862</v>
      </c>
      <c r="AC90" s="89">
        <v>80986</v>
      </c>
      <c r="AE90" s="34">
        <f t="shared" si="122"/>
        <v>415199</v>
      </c>
      <c r="AF90" s="34">
        <f t="shared" si="123"/>
        <v>464008</v>
      </c>
      <c r="AG90" s="34">
        <f t="shared" si="124"/>
        <v>520992</v>
      </c>
      <c r="AH90" s="34">
        <f t="shared" si="125"/>
        <v>575452</v>
      </c>
      <c r="AI90" s="34">
        <f t="shared" si="126"/>
        <v>555342</v>
      </c>
      <c r="AJ90" s="34">
        <f t="shared" si="127"/>
        <v>482980</v>
      </c>
      <c r="AK90" s="34">
        <f t="shared" si="128"/>
        <v>410638</v>
      </c>
      <c r="AL90" s="34">
        <f t="shared" si="129"/>
        <v>339368</v>
      </c>
      <c r="AM90" s="34">
        <f t="shared" si="130"/>
        <v>316614</v>
      </c>
      <c r="AN90" s="34">
        <f t="shared" si="131"/>
        <v>307350</v>
      </c>
      <c r="AO90" s="34">
        <f t="shared" si="132"/>
        <v>293280</v>
      </c>
      <c r="AP90" s="34">
        <f t="shared" si="133"/>
        <v>272588</v>
      </c>
      <c r="AQ90" s="34">
        <f t="shared" si="134"/>
        <v>268220</v>
      </c>
      <c r="AR90" s="34">
        <f t="shared" si="135"/>
        <v>280316</v>
      </c>
      <c r="AS90" s="34">
        <f t="shared" si="136"/>
        <v>295652</v>
      </c>
      <c r="AT90" s="12"/>
      <c r="AU90" s="82">
        <f t="shared" si="117"/>
        <v>8.0878341516639196E-3</v>
      </c>
    </row>
    <row r="91" spans="2:47" ht="12.75" customHeight="1">
      <c r="B91" s="65" t="s">
        <v>626</v>
      </c>
      <c r="C91" s="89">
        <v>-73953</v>
      </c>
      <c r="D91" s="89">
        <v>-45576</v>
      </c>
      <c r="E91" s="89">
        <v>533278</v>
      </c>
      <c r="F91" s="89">
        <v>-430661</v>
      </c>
      <c r="G91" s="89">
        <v>-353111</v>
      </c>
      <c r="H91" s="89">
        <v>176296</v>
      </c>
      <c r="I91" s="89">
        <v>-121539</v>
      </c>
      <c r="J91" s="34"/>
      <c r="K91" s="89">
        <v>-253330</v>
      </c>
      <c r="L91" s="89">
        <v>63074</v>
      </c>
      <c r="M91" s="89">
        <v>-136488</v>
      </c>
      <c r="N91" s="34">
        <f t="shared" si="118"/>
        <v>-103917</v>
      </c>
      <c r="O91" s="89">
        <v>-161821</v>
      </c>
      <c r="P91" s="89">
        <v>-304513</v>
      </c>
      <c r="Q91" s="89">
        <v>-348458</v>
      </c>
      <c r="R91" s="34">
        <f t="shared" si="119"/>
        <v>461681</v>
      </c>
      <c r="S91" s="89">
        <v>80651</v>
      </c>
      <c r="T91" s="89">
        <v>28952</v>
      </c>
      <c r="U91" s="89">
        <v>-172678</v>
      </c>
      <c r="V91" s="34">
        <f t="shared" si="120"/>
        <v>239371</v>
      </c>
      <c r="W91" s="89">
        <v>-130801</v>
      </c>
      <c r="X91" s="89">
        <v>-42692</v>
      </c>
      <c r="Y91" s="89">
        <v>104809</v>
      </c>
      <c r="Z91" s="34">
        <f t="shared" si="121"/>
        <v>-52855</v>
      </c>
      <c r="AA91" s="89">
        <v>28547</v>
      </c>
      <c r="AB91" s="89">
        <v>55238</v>
      </c>
      <c r="AC91" s="89">
        <v>-1707</v>
      </c>
      <c r="AE91" s="34">
        <f t="shared" si="122"/>
        <v>-339152</v>
      </c>
      <c r="AF91" s="34">
        <f t="shared" si="123"/>
        <v>-706739</v>
      </c>
      <c r="AG91" s="34">
        <f t="shared" si="124"/>
        <v>-918709</v>
      </c>
      <c r="AH91" s="34">
        <f t="shared" si="125"/>
        <v>-353111</v>
      </c>
      <c r="AI91" s="34">
        <f t="shared" si="126"/>
        <v>-110639</v>
      </c>
      <c r="AJ91" s="34">
        <f t="shared" si="127"/>
        <v>222826</v>
      </c>
      <c r="AK91" s="34">
        <f t="shared" si="128"/>
        <v>398606</v>
      </c>
      <c r="AL91" s="34">
        <f t="shared" si="129"/>
        <v>176296</v>
      </c>
      <c r="AM91" s="34">
        <f t="shared" si="130"/>
        <v>-35156</v>
      </c>
      <c r="AN91" s="34">
        <f t="shared" si="131"/>
        <v>-106800</v>
      </c>
      <c r="AO91" s="34">
        <f t="shared" si="132"/>
        <v>170687</v>
      </c>
      <c r="AP91" s="34">
        <f t="shared" si="133"/>
        <v>-121539</v>
      </c>
      <c r="AQ91" s="34">
        <f t="shared" si="134"/>
        <v>37809</v>
      </c>
      <c r="AR91" s="34">
        <f t="shared" si="135"/>
        <v>135739</v>
      </c>
      <c r="AS91" s="34">
        <f t="shared" si="136"/>
        <v>29223</v>
      </c>
      <c r="AT91" s="12"/>
      <c r="AU91" s="82">
        <f t="shared" si="117"/>
        <v>-0.82879188221715772</v>
      </c>
    </row>
    <row r="92" spans="2:47" ht="12.75" customHeight="1">
      <c r="B92" s="65" t="s">
        <v>627</v>
      </c>
      <c r="C92" s="89">
        <v>81640</v>
      </c>
      <c r="D92" s="89">
        <v>228230</v>
      </c>
      <c r="E92" s="89">
        <v>293126</v>
      </c>
      <c r="F92" s="89">
        <v>376777</v>
      </c>
      <c r="G92" s="89">
        <v>533543</v>
      </c>
      <c r="H92" s="89">
        <v>512075</v>
      </c>
      <c r="I92" s="89">
        <v>494778</v>
      </c>
      <c r="J92" s="34"/>
      <c r="K92" s="89">
        <v>72657</v>
      </c>
      <c r="L92" s="89">
        <v>108103</v>
      </c>
      <c r="M92" s="89">
        <v>102211</v>
      </c>
      <c r="N92" s="34">
        <f t="shared" si="118"/>
        <v>93806</v>
      </c>
      <c r="O92" s="89">
        <v>101968</v>
      </c>
      <c r="P92" s="89">
        <v>205374</v>
      </c>
      <c r="Q92" s="89">
        <v>102513</v>
      </c>
      <c r="R92" s="34">
        <f t="shared" si="119"/>
        <v>123688</v>
      </c>
      <c r="S92" s="89">
        <v>120008</v>
      </c>
      <c r="T92" s="89">
        <v>121483</v>
      </c>
      <c r="U92" s="89">
        <v>115688</v>
      </c>
      <c r="V92" s="34">
        <f t="shared" si="120"/>
        <v>154896</v>
      </c>
      <c r="W92" s="89">
        <v>97181</v>
      </c>
      <c r="X92" s="89">
        <v>138588</v>
      </c>
      <c r="Y92" s="89">
        <v>128082</v>
      </c>
      <c r="Z92" s="34">
        <f t="shared" si="121"/>
        <v>130927</v>
      </c>
      <c r="AA92" s="89">
        <v>114730</v>
      </c>
      <c r="AB92" s="89">
        <v>120139</v>
      </c>
      <c r="AC92" s="89">
        <v>142293</v>
      </c>
      <c r="AE92" s="34">
        <f t="shared" si="122"/>
        <v>406088</v>
      </c>
      <c r="AF92" s="34">
        <f t="shared" si="123"/>
        <v>503359</v>
      </c>
      <c r="AG92" s="34">
        <f t="shared" si="124"/>
        <v>503661</v>
      </c>
      <c r="AH92" s="34">
        <f t="shared" si="125"/>
        <v>533543</v>
      </c>
      <c r="AI92" s="34">
        <f t="shared" si="126"/>
        <v>551583</v>
      </c>
      <c r="AJ92" s="34">
        <f t="shared" si="127"/>
        <v>467692</v>
      </c>
      <c r="AK92" s="34">
        <f t="shared" si="128"/>
        <v>480867</v>
      </c>
      <c r="AL92" s="34">
        <f t="shared" si="129"/>
        <v>512075</v>
      </c>
      <c r="AM92" s="34">
        <f t="shared" si="130"/>
        <v>489248</v>
      </c>
      <c r="AN92" s="34">
        <f t="shared" si="131"/>
        <v>506353</v>
      </c>
      <c r="AO92" s="34">
        <f t="shared" si="132"/>
        <v>518747</v>
      </c>
      <c r="AP92" s="34">
        <f t="shared" si="133"/>
        <v>494778</v>
      </c>
      <c r="AQ92" s="34">
        <f t="shared" si="134"/>
        <v>512327</v>
      </c>
      <c r="AR92" s="34">
        <f t="shared" si="135"/>
        <v>493878</v>
      </c>
      <c r="AS92" s="34">
        <f t="shared" si="136"/>
        <v>508089</v>
      </c>
      <c r="AT92" s="12"/>
      <c r="AU92" s="82">
        <f t="shared" si="117"/>
        <v>-2.0545660986955094E-2</v>
      </c>
    </row>
    <row r="93" spans="2:47" ht="12.75" customHeight="1">
      <c r="B93" s="65" t="s">
        <v>471</v>
      </c>
      <c r="C93" s="89">
        <v>-85520</v>
      </c>
      <c r="D93" s="89">
        <v>-94443</v>
      </c>
      <c r="E93" s="89">
        <v>70066</v>
      </c>
      <c r="F93" s="89">
        <v>199548</v>
      </c>
      <c r="G93" s="89">
        <v>-166550</v>
      </c>
      <c r="H93" s="89">
        <v>-459359</v>
      </c>
      <c r="I93" s="89">
        <v>-590698</v>
      </c>
      <c r="J93" s="34"/>
      <c r="K93" s="89">
        <v>159733</v>
      </c>
      <c r="L93" s="89">
        <v>51127</v>
      </c>
      <c r="M93" s="89">
        <v>50967</v>
      </c>
      <c r="N93" s="34">
        <f t="shared" si="118"/>
        <v>-62279</v>
      </c>
      <c r="O93" s="89">
        <v>-68906</v>
      </c>
      <c r="P93" s="89">
        <v>-115820</v>
      </c>
      <c r="Q93" s="89">
        <v>-57797</v>
      </c>
      <c r="R93" s="34">
        <f t="shared" si="119"/>
        <v>75973</v>
      </c>
      <c r="S93" s="89">
        <v>-98782</v>
      </c>
      <c r="T93" s="89">
        <v>-103172</v>
      </c>
      <c r="U93" s="89">
        <v>-86277</v>
      </c>
      <c r="V93" s="34">
        <f t="shared" si="120"/>
        <v>-171128</v>
      </c>
      <c r="W93" s="89">
        <v>-107077</v>
      </c>
      <c r="X93" s="89">
        <v>-209387</v>
      </c>
      <c r="Y93" s="89">
        <v>-200982</v>
      </c>
      <c r="Z93" s="34">
        <f t="shared" si="121"/>
        <v>-73252</v>
      </c>
      <c r="AA93" s="89">
        <v>-163928</v>
      </c>
      <c r="AB93" s="89">
        <v>-135755</v>
      </c>
      <c r="AC93" s="89">
        <v>20539</v>
      </c>
      <c r="AE93" s="34">
        <f t="shared" si="122"/>
        <v>-29091</v>
      </c>
      <c r="AF93" s="34">
        <f t="shared" si="123"/>
        <v>-196038</v>
      </c>
      <c r="AG93" s="34">
        <f t="shared" si="124"/>
        <v>-304802</v>
      </c>
      <c r="AH93" s="34">
        <f t="shared" si="125"/>
        <v>-166550</v>
      </c>
      <c r="AI93" s="34">
        <f t="shared" si="126"/>
        <v>-196426</v>
      </c>
      <c r="AJ93" s="34">
        <f t="shared" si="127"/>
        <v>-183778</v>
      </c>
      <c r="AK93" s="34">
        <f t="shared" si="128"/>
        <v>-212258</v>
      </c>
      <c r="AL93" s="34">
        <f t="shared" si="129"/>
        <v>-459359</v>
      </c>
      <c r="AM93" s="34">
        <f t="shared" si="130"/>
        <v>-467654</v>
      </c>
      <c r="AN93" s="34">
        <f t="shared" si="131"/>
        <v>-573869</v>
      </c>
      <c r="AO93" s="34">
        <f t="shared" si="132"/>
        <v>-688574</v>
      </c>
      <c r="AP93" s="34">
        <f t="shared" si="133"/>
        <v>-590698</v>
      </c>
      <c r="AQ93" s="34">
        <f t="shared" si="134"/>
        <v>-647549</v>
      </c>
      <c r="AR93" s="34">
        <f t="shared" si="135"/>
        <v>-573917</v>
      </c>
      <c r="AS93" s="34">
        <f t="shared" si="136"/>
        <v>-352396</v>
      </c>
      <c r="AT93" s="12"/>
      <c r="AU93" s="82">
        <f t="shared" si="117"/>
        <v>-0.48822348796207815</v>
      </c>
    </row>
    <row r="94" spans="2:47" ht="12.75" customHeight="1">
      <c r="B94" s="38" t="s">
        <v>18</v>
      </c>
      <c r="C94" s="89"/>
      <c r="D94" s="89"/>
      <c r="E94" s="89"/>
      <c r="F94" s="89"/>
      <c r="G94" s="89"/>
      <c r="H94" s="89"/>
      <c r="I94" s="89"/>
      <c r="J94" s="34"/>
      <c r="K94" s="89"/>
      <c r="L94" s="89"/>
      <c r="M94" s="89"/>
      <c r="N94" s="34"/>
      <c r="O94" s="89"/>
      <c r="P94" s="89"/>
      <c r="Q94" s="89"/>
      <c r="R94" s="34"/>
      <c r="S94" s="89"/>
      <c r="T94" s="89"/>
      <c r="U94" s="89"/>
      <c r="V94" s="34"/>
      <c r="W94" s="89"/>
      <c r="X94" s="89"/>
      <c r="Y94" s="89"/>
      <c r="Z94" s="34"/>
      <c r="AA94" s="89"/>
      <c r="AB94" s="89"/>
      <c r="AC94" s="89"/>
      <c r="AE94" s="34"/>
      <c r="AF94" s="34"/>
      <c r="AG94" s="34"/>
      <c r="AH94" s="34"/>
      <c r="AI94" s="34"/>
      <c r="AJ94" s="34"/>
      <c r="AK94" s="34"/>
      <c r="AL94" s="34"/>
      <c r="AM94" s="34"/>
      <c r="AN94" s="34"/>
      <c r="AO94" s="34"/>
      <c r="AP94" s="34"/>
      <c r="AQ94" s="34"/>
      <c r="AR94" s="34"/>
      <c r="AS94" s="34"/>
      <c r="AT94" s="64"/>
      <c r="AU94" s="82"/>
    </row>
    <row r="95" spans="2:47" ht="12.75" customHeight="1">
      <c r="B95" s="65" t="s">
        <v>20</v>
      </c>
      <c r="C95" s="89">
        <v>-200192</v>
      </c>
      <c r="D95" s="89">
        <v>-252113</v>
      </c>
      <c r="E95" s="89">
        <v>-187623</v>
      </c>
      <c r="F95" s="89">
        <v>-369681</v>
      </c>
      <c r="G95" s="89">
        <v>-353834</v>
      </c>
      <c r="H95" s="89">
        <v>-181003</v>
      </c>
      <c r="I95" s="89">
        <v>22180</v>
      </c>
      <c r="J95" s="34"/>
      <c r="K95" s="89">
        <v>-221555</v>
      </c>
      <c r="L95" s="89">
        <v>-52373</v>
      </c>
      <c r="M95" s="89">
        <v>-95145</v>
      </c>
      <c r="N95" s="34">
        <f t="shared" ref="N95:N99" si="137">SUM(F95-SUM(K95:M95))</f>
        <v>-608</v>
      </c>
      <c r="O95" s="89">
        <v>41157</v>
      </c>
      <c r="P95" s="89">
        <v>123399</v>
      </c>
      <c r="Q95" s="89">
        <v>-120071</v>
      </c>
      <c r="R95" s="34">
        <f t="shared" ref="R95:R99" si="138">SUM(G95-SUM(O95:Q95))</f>
        <v>-398319</v>
      </c>
      <c r="S95" s="89">
        <v>-88522</v>
      </c>
      <c r="T95" s="89">
        <v>-183049</v>
      </c>
      <c r="U95" s="89">
        <v>103766</v>
      </c>
      <c r="V95" s="34">
        <f t="shared" ref="V95:V99" si="139">SUM(H95-SUM(S95:U95))</f>
        <v>-13198</v>
      </c>
      <c r="W95" s="89">
        <v>38049</v>
      </c>
      <c r="X95" s="89">
        <v>-28959</v>
      </c>
      <c r="Y95" s="89">
        <v>54956</v>
      </c>
      <c r="Z95" s="34">
        <f t="shared" ref="Z95:Z99" si="140">SUM(I95-SUM(W95:Y95))</f>
        <v>-41866</v>
      </c>
      <c r="AA95" s="89">
        <v>-131367</v>
      </c>
      <c r="AB95" s="89">
        <v>-176683</v>
      </c>
      <c r="AC95" s="89">
        <v>-169597</v>
      </c>
      <c r="AE95" s="34">
        <f>SUM(L95:O95)</f>
        <v>-106969</v>
      </c>
      <c r="AF95" s="34">
        <f>SUM(M95:P95)</f>
        <v>68803</v>
      </c>
      <c r="AG95" s="34">
        <f>SUM(N95:Q95)</f>
        <v>43877</v>
      </c>
      <c r="AH95" s="34">
        <f>SUM(O95:R95)</f>
        <v>-353834</v>
      </c>
      <c r="AI95" s="34">
        <f>SUM(P95:S95)</f>
        <v>-483513</v>
      </c>
      <c r="AJ95" s="34">
        <f>SUM(Q95:T95)</f>
        <v>-789961</v>
      </c>
      <c r="AK95" s="34">
        <f>SUM(R95:U95)</f>
        <v>-566124</v>
      </c>
      <c r="AL95" s="34">
        <f>SUM(S95:V95)</f>
        <v>-181003</v>
      </c>
      <c r="AM95" s="34">
        <f>SUM(T95:W95)</f>
        <v>-54432</v>
      </c>
      <c r="AN95" s="34">
        <f>SUM(U95:X95)</f>
        <v>99658</v>
      </c>
      <c r="AO95" s="34">
        <f>SUM(V95:Y95)</f>
        <v>50848</v>
      </c>
      <c r="AP95" s="34">
        <f>SUM(W95:Z95)</f>
        <v>22180</v>
      </c>
      <c r="AQ95" s="34">
        <f>SUM(X95:AA95)</f>
        <v>-147236</v>
      </c>
      <c r="AR95" s="34">
        <f>SUM(Y95:AB95)</f>
        <v>-294960</v>
      </c>
      <c r="AS95" s="34">
        <f>SUM(Z95:AC95)</f>
        <v>-519513</v>
      </c>
      <c r="AT95" s="64"/>
      <c r="AU95" s="82">
        <f t="shared" si="117"/>
        <v>-11.216980018879799</v>
      </c>
    </row>
    <row r="96" spans="2:47" ht="12.75" customHeight="1">
      <c r="B96" s="65" t="s">
        <v>16</v>
      </c>
      <c r="C96" s="89">
        <v>199198</v>
      </c>
      <c r="D96" s="89">
        <v>96063</v>
      </c>
      <c r="E96" s="89">
        <v>-41605</v>
      </c>
      <c r="F96" s="89">
        <v>145115</v>
      </c>
      <c r="G96" s="89">
        <v>-158543</v>
      </c>
      <c r="H96" s="89">
        <v>93502</v>
      </c>
      <c r="I96" s="89">
        <v>121353</v>
      </c>
      <c r="J96" s="34"/>
      <c r="K96" s="89">
        <v>-137313</v>
      </c>
      <c r="L96" s="89">
        <v>72313</v>
      </c>
      <c r="M96" s="89">
        <v>24836</v>
      </c>
      <c r="N96" s="34">
        <f t="shared" si="137"/>
        <v>185279</v>
      </c>
      <c r="O96" s="89">
        <v>-215444</v>
      </c>
      <c r="P96" s="89">
        <v>-122048</v>
      </c>
      <c r="Q96" s="89">
        <v>53875</v>
      </c>
      <c r="R96" s="34">
        <f t="shared" si="138"/>
        <v>125074</v>
      </c>
      <c r="S96" s="89">
        <v>-89668</v>
      </c>
      <c r="T96" s="89">
        <v>38332</v>
      </c>
      <c r="U96" s="89">
        <v>-68390</v>
      </c>
      <c r="V96" s="34">
        <f t="shared" si="139"/>
        <v>213228</v>
      </c>
      <c r="W96" s="89">
        <v>-145265</v>
      </c>
      <c r="X96" s="89">
        <v>-19358</v>
      </c>
      <c r="Y96" s="89">
        <v>30597</v>
      </c>
      <c r="Z96" s="34">
        <f t="shared" si="140"/>
        <v>255379</v>
      </c>
      <c r="AA96" s="89">
        <v>-276426</v>
      </c>
      <c r="AB96" s="89">
        <v>11046</v>
      </c>
      <c r="AC96" s="89">
        <v>139451</v>
      </c>
      <c r="AE96" s="34">
        <f>SUM(L96:O96)</f>
        <v>66984</v>
      </c>
      <c r="AF96" s="34">
        <f>SUM(M96:P96)</f>
        <v>-127377</v>
      </c>
      <c r="AG96" s="34">
        <f>SUM(N96:Q96)</f>
        <v>-98338</v>
      </c>
      <c r="AH96" s="34">
        <f>SUM(O96:R96)</f>
        <v>-158543</v>
      </c>
      <c r="AI96" s="34">
        <f>SUM(P96:S96)</f>
        <v>-32767</v>
      </c>
      <c r="AJ96" s="34">
        <f>SUM(Q96:T96)</f>
        <v>127613</v>
      </c>
      <c r="AK96" s="34">
        <f>SUM(R96:U96)</f>
        <v>5348</v>
      </c>
      <c r="AL96" s="34">
        <f>SUM(S96:V96)</f>
        <v>93502</v>
      </c>
      <c r="AM96" s="34">
        <f>SUM(T96:W96)</f>
        <v>37905</v>
      </c>
      <c r="AN96" s="34">
        <f>SUM(U96:X96)</f>
        <v>-19785</v>
      </c>
      <c r="AO96" s="34">
        <f>SUM(V96:Y96)</f>
        <v>79202</v>
      </c>
      <c r="AP96" s="34">
        <f>SUM(W96:Z96)</f>
        <v>121353</v>
      </c>
      <c r="AQ96" s="34">
        <f>SUM(X96:AA96)</f>
        <v>-9808</v>
      </c>
      <c r="AR96" s="34">
        <f>SUM(Y96:AB96)</f>
        <v>20596</v>
      </c>
      <c r="AS96" s="34">
        <f>SUM(Z96:AC96)</f>
        <v>129450</v>
      </c>
      <c r="AT96" s="64"/>
      <c r="AU96" s="82">
        <f t="shared" si="117"/>
        <v>0.63442842352465845</v>
      </c>
    </row>
    <row r="97" spans="2:47" ht="12.75" customHeight="1">
      <c r="B97" s="65" t="s">
        <v>610</v>
      </c>
      <c r="C97" s="89">
        <v>150422</v>
      </c>
      <c r="D97" s="89">
        <v>157778</v>
      </c>
      <c r="E97" s="89">
        <v>198183</v>
      </c>
      <c r="F97" s="89">
        <v>180338</v>
      </c>
      <c r="G97" s="89">
        <v>-55513</v>
      </c>
      <c r="H97" s="89">
        <v>103565</v>
      </c>
      <c r="I97" s="89">
        <v>191899</v>
      </c>
      <c r="J97" s="34"/>
      <c r="K97" s="89">
        <v>177897</v>
      </c>
      <c r="L97" s="89">
        <v>-171430</v>
      </c>
      <c r="M97" s="89">
        <v>269774</v>
      </c>
      <c r="N97" s="34">
        <f t="shared" si="137"/>
        <v>-95903</v>
      </c>
      <c r="O97" s="89">
        <v>350763</v>
      </c>
      <c r="P97" s="89">
        <v>-238719</v>
      </c>
      <c r="Q97" s="89">
        <v>212072</v>
      </c>
      <c r="R97" s="34">
        <f t="shared" si="138"/>
        <v>-379629</v>
      </c>
      <c r="S97" s="89">
        <v>185299</v>
      </c>
      <c r="T97" s="89">
        <v>177831</v>
      </c>
      <c r="U97" s="89">
        <v>-65029</v>
      </c>
      <c r="V97" s="34">
        <f t="shared" si="139"/>
        <v>-194536</v>
      </c>
      <c r="W97" s="89">
        <v>251782</v>
      </c>
      <c r="X97" s="89">
        <v>-114303</v>
      </c>
      <c r="Y97" s="89">
        <v>179011</v>
      </c>
      <c r="Z97" s="34">
        <f t="shared" si="140"/>
        <v>-124591</v>
      </c>
      <c r="AA97" s="89">
        <v>306413</v>
      </c>
      <c r="AB97" s="89">
        <v>-267235</v>
      </c>
      <c r="AC97" s="89">
        <v>707151</v>
      </c>
      <c r="AE97" s="34">
        <f>SUM(L97:O97)</f>
        <v>353204</v>
      </c>
      <c r="AF97" s="34">
        <f>SUM(M97:P97)</f>
        <v>285915</v>
      </c>
      <c r="AG97" s="34">
        <f>SUM(N97:Q97)</f>
        <v>228213</v>
      </c>
      <c r="AH97" s="34">
        <f>SUM(O97:R97)</f>
        <v>-55513</v>
      </c>
      <c r="AI97" s="34">
        <f>SUM(P97:S97)</f>
        <v>-220977</v>
      </c>
      <c r="AJ97" s="34">
        <f>SUM(Q97:T97)</f>
        <v>195573</v>
      </c>
      <c r="AK97" s="34">
        <f>SUM(R97:U97)</f>
        <v>-81528</v>
      </c>
      <c r="AL97" s="34">
        <f>SUM(S97:V97)</f>
        <v>103565</v>
      </c>
      <c r="AM97" s="34">
        <f>SUM(T97:W97)</f>
        <v>170048</v>
      </c>
      <c r="AN97" s="34">
        <f>SUM(U97:X97)</f>
        <v>-122086</v>
      </c>
      <c r="AO97" s="34">
        <f>SUM(V97:Y97)</f>
        <v>121954</v>
      </c>
      <c r="AP97" s="34">
        <f>SUM(W97:Z97)</f>
        <v>191899</v>
      </c>
      <c r="AQ97" s="34">
        <f>SUM(X97:AA97)</f>
        <v>246530</v>
      </c>
      <c r="AR97" s="34">
        <f>SUM(Y97:AB97)</f>
        <v>93598</v>
      </c>
      <c r="AS97" s="34">
        <f>SUM(Z97:AC97)</f>
        <v>621738</v>
      </c>
      <c r="AT97" s="64"/>
      <c r="AU97" s="82">
        <f t="shared" si="117"/>
        <v>4.0981353625137347</v>
      </c>
    </row>
    <row r="98" spans="2:47" ht="12.75" customHeight="1">
      <c r="B98" s="65" t="s">
        <v>478</v>
      </c>
      <c r="C98" s="89">
        <v>142277</v>
      </c>
      <c r="D98" s="89">
        <v>163846</v>
      </c>
      <c r="E98" s="89">
        <v>193247</v>
      </c>
      <c r="F98" s="89">
        <v>91350</v>
      </c>
      <c r="G98" s="89">
        <v>27356</v>
      </c>
      <c r="H98" s="89">
        <v>178708</v>
      </c>
      <c r="I98" s="89">
        <v>77844</v>
      </c>
      <c r="J98" s="34"/>
      <c r="K98" s="89">
        <v>22279</v>
      </c>
      <c r="L98" s="89">
        <v>47093</v>
      </c>
      <c r="M98" s="89">
        <v>-4732</v>
      </c>
      <c r="N98" s="34">
        <f t="shared" si="137"/>
        <v>26710</v>
      </c>
      <c r="O98" s="89">
        <v>16743</v>
      </c>
      <c r="P98" s="89">
        <v>-10376</v>
      </c>
      <c r="Q98" s="89">
        <v>-48420</v>
      </c>
      <c r="R98" s="34">
        <f t="shared" si="138"/>
        <v>69409</v>
      </c>
      <c r="S98" s="89">
        <v>-2390</v>
      </c>
      <c r="T98" s="89">
        <v>49647</v>
      </c>
      <c r="U98" s="89">
        <v>-5733</v>
      </c>
      <c r="V98" s="34">
        <f t="shared" si="139"/>
        <v>137184</v>
      </c>
      <c r="W98" s="89">
        <v>26515</v>
      </c>
      <c r="X98" s="89">
        <v>4236</v>
      </c>
      <c r="Y98" s="89">
        <v>39328</v>
      </c>
      <c r="Z98" s="34">
        <f t="shared" si="140"/>
        <v>7765</v>
      </c>
      <c r="AA98" s="89">
        <v>88913</v>
      </c>
      <c r="AB98" s="89">
        <v>118635</v>
      </c>
      <c r="AC98" s="89">
        <v>-3686</v>
      </c>
      <c r="AE98" s="34">
        <f>SUM(L98:O98)</f>
        <v>85814</v>
      </c>
      <c r="AF98" s="34">
        <f>SUM(M98:P98)</f>
        <v>28345</v>
      </c>
      <c r="AG98" s="34">
        <f>SUM(N98:Q98)</f>
        <v>-15343</v>
      </c>
      <c r="AH98" s="34">
        <f>SUM(O98:R98)</f>
        <v>27356</v>
      </c>
      <c r="AI98" s="34">
        <f>SUM(P98:S98)</f>
        <v>8223</v>
      </c>
      <c r="AJ98" s="34">
        <f>SUM(Q98:T98)</f>
        <v>68246</v>
      </c>
      <c r="AK98" s="34">
        <f>SUM(R98:U98)</f>
        <v>110933</v>
      </c>
      <c r="AL98" s="34">
        <f>SUM(S98:V98)</f>
        <v>178708</v>
      </c>
      <c r="AM98" s="34">
        <f>SUM(T98:W98)</f>
        <v>207613</v>
      </c>
      <c r="AN98" s="34">
        <f>SUM(U98:X98)</f>
        <v>162202</v>
      </c>
      <c r="AO98" s="34">
        <f>SUM(V98:Y98)</f>
        <v>207263</v>
      </c>
      <c r="AP98" s="34">
        <f>SUM(W98:Z98)</f>
        <v>77844</v>
      </c>
      <c r="AQ98" s="34">
        <f>SUM(X98:AA98)</f>
        <v>140242</v>
      </c>
      <c r="AR98" s="34">
        <f>SUM(Y98:AB98)</f>
        <v>254641</v>
      </c>
      <c r="AS98" s="34">
        <f>SUM(Z98:AC98)</f>
        <v>211627</v>
      </c>
      <c r="AT98" s="64"/>
      <c r="AU98" s="82">
        <f t="shared" si="117"/>
        <v>2.1055374089924417E-2</v>
      </c>
    </row>
    <row r="99" spans="2:47" ht="12.75" customHeight="1">
      <c r="B99" s="65" t="s">
        <v>616</v>
      </c>
      <c r="C99" s="89">
        <v>2062</v>
      </c>
      <c r="D99" s="89">
        <v>-122531</v>
      </c>
      <c r="E99" s="89">
        <v>-194075</v>
      </c>
      <c r="F99" s="89">
        <v>-289099</v>
      </c>
      <c r="G99" s="89">
        <v>-217553</v>
      </c>
      <c r="H99" s="89">
        <v>-310920</v>
      </c>
      <c r="I99" s="89">
        <v>-446351</v>
      </c>
      <c r="J99" s="34"/>
      <c r="K99" s="89">
        <v>-61368</v>
      </c>
      <c r="L99" s="89">
        <v>-72543</v>
      </c>
      <c r="M99" s="89">
        <v>-11014</v>
      </c>
      <c r="N99" s="34">
        <f t="shared" si="137"/>
        <v>-144174</v>
      </c>
      <c r="O99" s="89">
        <v>-167931</v>
      </c>
      <c r="P99" s="89">
        <v>125040</v>
      </c>
      <c r="Q99" s="89">
        <v>-4184</v>
      </c>
      <c r="R99" s="34">
        <f t="shared" si="138"/>
        <v>-170478</v>
      </c>
      <c r="S99" s="89">
        <v>-68937</v>
      </c>
      <c r="T99" s="89">
        <v>-117950</v>
      </c>
      <c r="U99" s="89">
        <v>-40359</v>
      </c>
      <c r="V99" s="34">
        <f t="shared" si="139"/>
        <v>-83674</v>
      </c>
      <c r="W99" s="89">
        <v>-66047</v>
      </c>
      <c r="X99" s="89">
        <v>-88843</v>
      </c>
      <c r="Y99" s="89">
        <v>-124313</v>
      </c>
      <c r="Z99" s="34">
        <f t="shared" si="140"/>
        <v>-167148</v>
      </c>
      <c r="AA99" s="89">
        <v>-82280</v>
      </c>
      <c r="AB99" s="89">
        <v>-370624</v>
      </c>
      <c r="AC99" s="89">
        <v>-97569</v>
      </c>
      <c r="AE99" s="34">
        <f>SUM(L99:O99)</f>
        <v>-395662</v>
      </c>
      <c r="AF99" s="34">
        <f>SUM(M99:P99)</f>
        <v>-198079</v>
      </c>
      <c r="AG99" s="34">
        <f>SUM(N99:Q99)</f>
        <v>-191249</v>
      </c>
      <c r="AH99" s="34">
        <f>SUM(O99:R99)</f>
        <v>-217553</v>
      </c>
      <c r="AI99" s="34">
        <f>SUM(P99:S99)</f>
        <v>-118559</v>
      </c>
      <c r="AJ99" s="34">
        <f>SUM(Q99:T99)</f>
        <v>-361549</v>
      </c>
      <c r="AK99" s="34">
        <f>SUM(R99:U99)</f>
        <v>-397724</v>
      </c>
      <c r="AL99" s="34">
        <f>SUM(S99:V99)</f>
        <v>-310920</v>
      </c>
      <c r="AM99" s="34">
        <f>SUM(T99:W99)</f>
        <v>-308030</v>
      </c>
      <c r="AN99" s="34">
        <f>SUM(U99:X99)</f>
        <v>-278923</v>
      </c>
      <c r="AO99" s="34">
        <f>SUM(V99:Y99)</f>
        <v>-362877</v>
      </c>
      <c r="AP99" s="34">
        <f>SUM(W99:Z99)</f>
        <v>-446351</v>
      </c>
      <c r="AQ99" s="34">
        <f>SUM(X99:AA99)</f>
        <v>-462584</v>
      </c>
      <c r="AR99" s="34">
        <f>SUM(Y99:AB99)</f>
        <v>-744365</v>
      </c>
      <c r="AS99" s="34">
        <f>SUM(Z99:AC99)</f>
        <v>-717621</v>
      </c>
      <c r="AT99" s="64"/>
      <c r="AU99" s="82">
        <f t="shared" si="117"/>
        <v>0.97758744698616895</v>
      </c>
    </row>
    <row r="100" spans="2:47" ht="12.75" customHeight="1">
      <c r="B100" s="14" t="s">
        <v>74</v>
      </c>
      <c r="C100" s="36">
        <f>SUM(C83:C99)</f>
        <v>-2680479</v>
      </c>
      <c r="D100" s="36">
        <f>SUM(D83:D99)</f>
        <v>-2887322</v>
      </c>
      <c r="E100" s="36">
        <f>SUM(E83:E99)</f>
        <v>2427077</v>
      </c>
      <c r="F100" s="15">
        <f>SUM(F83:F99)</f>
        <v>392610</v>
      </c>
      <c r="G100" s="15">
        <f>SUM(G83:G99)</f>
        <v>2026257</v>
      </c>
      <c r="H100" s="15">
        <f>SUM(H83:H99)</f>
        <v>7274301</v>
      </c>
      <c r="I100" s="15">
        <f>SUM(I83:I99)</f>
        <v>7361364</v>
      </c>
      <c r="K100" s="15">
        <f>SUM(K83:K99)</f>
        <v>777266</v>
      </c>
      <c r="L100" s="15">
        <f>SUM(L83:L99)</f>
        <v>-63761</v>
      </c>
      <c r="M100" s="15">
        <f>SUM(M83:M99)</f>
        <v>82379</v>
      </c>
      <c r="N100" s="15">
        <f>SUM(N83:N99)</f>
        <v>-403274</v>
      </c>
      <c r="O100" s="15">
        <f>SUM(O83:O99)</f>
        <v>922839</v>
      </c>
      <c r="P100" s="15">
        <f>SUM(P83:P99)</f>
        <v>102750</v>
      </c>
      <c r="Q100" s="15">
        <f>SUM(Q83:Q99)</f>
        <v>556810</v>
      </c>
      <c r="R100" s="15">
        <f>SUM(R83:R99)</f>
        <v>443858</v>
      </c>
      <c r="S100" s="15">
        <f>SUM(S83:S99)</f>
        <v>2178740</v>
      </c>
      <c r="T100" s="15">
        <f>SUM(T83:T99)</f>
        <v>1440232</v>
      </c>
      <c r="U100" s="15">
        <f>SUM(U83:U99)</f>
        <v>1992315</v>
      </c>
      <c r="V100" s="15">
        <f>SUM(V83:V99)</f>
        <v>1663014</v>
      </c>
      <c r="W100" s="15">
        <f>SUM(W83:W99)</f>
        <v>2212522</v>
      </c>
      <c r="X100" s="15">
        <f>SUM(X83:X99)</f>
        <v>1290847</v>
      </c>
      <c r="Y100" s="15">
        <f>SUM(Y83:Y99)</f>
        <v>2321101</v>
      </c>
      <c r="Z100" s="15">
        <f>SUM(Z83:Z99)</f>
        <v>1536894</v>
      </c>
      <c r="AA100" s="15">
        <f>SUM(AA83:AA99)</f>
        <v>2789199</v>
      </c>
      <c r="AB100" s="15">
        <f>SUM(AB83:AB99)</f>
        <v>2423258</v>
      </c>
      <c r="AC100" s="15">
        <f>SUM(AC83:AC99)</f>
        <v>2825174</v>
      </c>
      <c r="AE100" s="15">
        <f>SUM(AE83:AE99)</f>
        <v>538183</v>
      </c>
      <c r="AF100" s="15">
        <f>SUM(AF83:AF99)</f>
        <v>704694</v>
      </c>
      <c r="AG100" s="15">
        <f>SUM(AG83:AG99)</f>
        <v>1179125</v>
      </c>
      <c r="AH100" s="15">
        <f>SUM(AH83:AH99)</f>
        <v>2026257</v>
      </c>
      <c r="AI100" s="15">
        <f>SUM(AI83:AI99)</f>
        <v>3282158</v>
      </c>
      <c r="AJ100" s="15">
        <f>SUM(AJ83:AJ99)</f>
        <v>4619640</v>
      </c>
      <c r="AK100" s="15">
        <f>SUM(AK83:AK99)</f>
        <v>6055145</v>
      </c>
      <c r="AL100" s="15">
        <f>SUM(AL83:AL99)</f>
        <v>7274301</v>
      </c>
      <c r="AM100" s="15">
        <f>SUM(AM83:AM99)</f>
        <v>7308083</v>
      </c>
      <c r="AN100" s="15">
        <f>SUM(AN83:AN99)</f>
        <v>7158698</v>
      </c>
      <c r="AO100" s="15">
        <f>SUM(AO83:AO99)</f>
        <v>7487484</v>
      </c>
      <c r="AP100" s="15">
        <f>SUM(AP83:AP99)</f>
        <v>7361364</v>
      </c>
      <c r="AQ100" s="15">
        <f>SUM(AQ83:AQ99)</f>
        <v>7938041</v>
      </c>
      <c r="AR100" s="15">
        <f>SUM(AR83:AR99)</f>
        <v>9070452</v>
      </c>
      <c r="AS100" s="15">
        <f>SUM(AS83:AS99)</f>
        <v>9574525</v>
      </c>
      <c r="AT100" s="45"/>
      <c r="AU100" s="83">
        <f t="shared" si="117"/>
        <v>0.27873729012309068</v>
      </c>
    </row>
    <row r="101" spans="2:47" ht="12.75" customHeight="1">
      <c r="B101" s="58"/>
      <c r="C101" s="66"/>
      <c r="D101" s="66"/>
      <c r="E101" s="66"/>
      <c r="F101" s="66"/>
      <c r="G101" s="66"/>
      <c r="H101" s="66"/>
      <c r="I101" s="66"/>
      <c r="K101" s="66"/>
      <c r="L101" s="66"/>
      <c r="M101" s="66"/>
      <c r="N101" s="66"/>
      <c r="O101" s="66"/>
      <c r="P101" s="66"/>
      <c r="Q101" s="66"/>
      <c r="R101" s="66"/>
      <c r="S101" s="66"/>
      <c r="T101" s="66"/>
      <c r="U101" s="66"/>
      <c r="V101" s="66"/>
      <c r="W101" s="66"/>
      <c r="X101" s="66"/>
      <c r="Y101" s="66"/>
      <c r="Z101" s="66"/>
      <c r="AA101" s="66"/>
      <c r="AB101" s="66"/>
      <c r="AC101" s="66"/>
      <c r="AE101" s="45"/>
      <c r="AF101" s="45"/>
      <c r="AG101" s="45"/>
      <c r="AH101" s="45"/>
      <c r="AI101" s="45"/>
      <c r="AJ101" s="45"/>
      <c r="AK101" s="45"/>
      <c r="AL101" s="45"/>
      <c r="AM101" s="45"/>
      <c r="AN101" s="45"/>
      <c r="AO101" s="45"/>
      <c r="AP101" s="45"/>
      <c r="AQ101" s="45"/>
      <c r="AR101" s="45"/>
      <c r="AS101" s="45"/>
      <c r="AT101" s="45"/>
      <c r="AU101" s="42"/>
    </row>
    <row r="102" spans="2:47" ht="12.75" customHeight="1">
      <c r="B102" s="58" t="s">
        <v>75</v>
      </c>
      <c r="C102" s="64"/>
      <c r="D102" s="64"/>
      <c r="E102" s="63"/>
      <c r="F102" s="63"/>
      <c r="G102" s="63"/>
      <c r="H102" s="63"/>
      <c r="I102" s="63"/>
      <c r="K102" s="89"/>
      <c r="L102" s="89"/>
      <c r="M102" s="89"/>
      <c r="N102" s="34"/>
      <c r="O102" s="89"/>
      <c r="P102" s="89"/>
      <c r="Q102" s="89"/>
      <c r="R102" s="34"/>
      <c r="S102" s="89"/>
      <c r="T102" s="89"/>
      <c r="U102" s="89"/>
      <c r="V102" s="34"/>
      <c r="W102" s="89"/>
      <c r="X102" s="89"/>
      <c r="Y102" s="89"/>
      <c r="Z102" s="34"/>
      <c r="AA102" s="63"/>
      <c r="AB102" s="63"/>
      <c r="AC102" s="63"/>
      <c r="AE102" s="63"/>
      <c r="AF102" s="63"/>
      <c r="AG102" s="63"/>
      <c r="AH102" s="63"/>
      <c r="AI102" s="63"/>
      <c r="AJ102" s="63"/>
      <c r="AK102" s="63"/>
      <c r="AL102" s="63"/>
      <c r="AM102" s="63"/>
      <c r="AN102" s="63"/>
      <c r="AO102" s="63"/>
      <c r="AP102" s="63"/>
      <c r="AQ102" s="63"/>
      <c r="AR102" s="63"/>
      <c r="AS102" s="63"/>
      <c r="AT102" s="64"/>
      <c r="AU102" s="42"/>
    </row>
    <row r="103" spans="2:47" ht="12.75" customHeight="1">
      <c r="B103" s="65" t="s">
        <v>479</v>
      </c>
      <c r="C103" s="89">
        <v>-173946</v>
      </c>
      <c r="D103" s="89">
        <v>-253035</v>
      </c>
      <c r="E103" s="89">
        <v>-497923</v>
      </c>
      <c r="F103" s="89">
        <v>-524585</v>
      </c>
      <c r="G103" s="89">
        <v>-407729</v>
      </c>
      <c r="H103" s="89">
        <v>-348552</v>
      </c>
      <c r="I103" s="89">
        <v>-439538</v>
      </c>
      <c r="J103" s="34"/>
      <c r="K103" s="89">
        <v>-81001</v>
      </c>
      <c r="L103" s="89">
        <v>-110278</v>
      </c>
      <c r="M103" s="89">
        <v>-167327</v>
      </c>
      <c r="N103" s="34">
        <f t="shared" ref="N103:N107" si="141">SUM(F103-SUM(K103:M103))</f>
        <v>-165979</v>
      </c>
      <c r="O103" s="89">
        <v>-121158</v>
      </c>
      <c r="P103" s="89">
        <v>-90018</v>
      </c>
      <c r="Q103" s="89">
        <v>-84960</v>
      </c>
      <c r="R103" s="34">
        <f t="shared" ref="R103:R107" si="142">SUM(G103-SUM(O103:Q103))</f>
        <v>-111593</v>
      </c>
      <c r="S103" s="89">
        <v>-62019</v>
      </c>
      <c r="T103" s="89">
        <v>-100972</v>
      </c>
      <c r="U103" s="89">
        <v>-103929</v>
      </c>
      <c r="V103" s="34">
        <f t="shared" ref="V103:V107" si="143">SUM(H103-SUM(S103:U103))</f>
        <v>-81632</v>
      </c>
      <c r="W103" s="89">
        <v>-75714</v>
      </c>
      <c r="X103" s="89">
        <v>-78287</v>
      </c>
      <c r="Y103" s="89">
        <v>-126863</v>
      </c>
      <c r="Z103" s="34">
        <f t="shared" ref="Z103:Z107" si="144">SUM(I103-SUM(W103:Y103))</f>
        <v>-158674</v>
      </c>
      <c r="AA103" s="89">
        <v>-128277</v>
      </c>
      <c r="AB103" s="89">
        <v>-155889</v>
      </c>
      <c r="AC103" s="89">
        <v>-164719</v>
      </c>
      <c r="AD103" s="34"/>
      <c r="AE103" s="34">
        <f t="shared" ref="AE103:AE107" si="145">SUM(L103:O103)</f>
        <v>-564742</v>
      </c>
      <c r="AF103" s="34">
        <f t="shared" ref="AF103:AF107" si="146">SUM(M103:P103)</f>
        <v>-544482</v>
      </c>
      <c r="AG103" s="34">
        <f t="shared" ref="AG103:AG107" si="147">SUM(N103:Q103)</f>
        <v>-462115</v>
      </c>
      <c r="AH103" s="34">
        <f t="shared" ref="AH103:AH107" si="148">SUM(O103:R103)</f>
        <v>-407729</v>
      </c>
      <c r="AI103" s="34">
        <f t="shared" ref="AI103:AI107" si="149">SUM(P103:S103)</f>
        <v>-348590</v>
      </c>
      <c r="AJ103" s="34">
        <f t="shared" ref="AJ103:AJ107" si="150">SUM(Q103:T103)</f>
        <v>-359544</v>
      </c>
      <c r="AK103" s="34">
        <f t="shared" ref="AK103:AK107" si="151">SUM(R103:U103)</f>
        <v>-378513</v>
      </c>
      <c r="AL103" s="34">
        <f t="shared" ref="AL103:AL107" si="152">SUM(S103:V103)</f>
        <v>-348552</v>
      </c>
      <c r="AM103" s="34">
        <f t="shared" ref="AM103:AM107" si="153">SUM(T103:W103)</f>
        <v>-362247</v>
      </c>
      <c r="AN103" s="34">
        <f t="shared" ref="AN103:AN107" si="154">SUM(U103:X103)</f>
        <v>-339562</v>
      </c>
      <c r="AO103" s="34">
        <f t="shared" ref="AO103:AO107" si="155">SUM(V103:Y103)</f>
        <v>-362496</v>
      </c>
      <c r="AP103" s="34">
        <f t="shared" ref="AP103:AP107" si="156">SUM(W103:Z103)</f>
        <v>-439538</v>
      </c>
      <c r="AQ103" s="34">
        <f t="shared" ref="AQ103:AQ107" si="157">SUM(X103:AA103)</f>
        <v>-492101</v>
      </c>
      <c r="AR103" s="34">
        <f t="shared" ref="AR103:AR107" si="158">SUM(Y103:AB103)</f>
        <v>-569703</v>
      </c>
      <c r="AS103" s="34">
        <f t="shared" ref="AS103:AS107" si="159">SUM(Z103:AC103)</f>
        <v>-607559</v>
      </c>
      <c r="AT103" s="64"/>
      <c r="AU103" s="82">
        <f t="shared" ref="AU103:AU118" si="160">SUM(AS103/AO103)-1</f>
        <v>0.67604332185734473</v>
      </c>
    </row>
    <row r="104" spans="2:47" ht="12.75" customHeight="1">
      <c r="B104" s="65" t="s">
        <v>617</v>
      </c>
      <c r="C104" s="89">
        <v>-165174</v>
      </c>
      <c r="D104" s="89">
        <v>-134029</v>
      </c>
      <c r="E104" s="89">
        <v>-7431</v>
      </c>
      <c r="F104" s="89">
        <v>-26919</v>
      </c>
      <c r="G104" s="89">
        <v>0</v>
      </c>
      <c r="H104" s="89">
        <v>0</v>
      </c>
      <c r="I104" s="89">
        <v>0</v>
      </c>
      <c r="J104" s="34"/>
      <c r="K104" s="89">
        <v>-4615</v>
      </c>
      <c r="L104" s="89">
        <v>-1000</v>
      </c>
      <c r="M104" s="89">
        <v>-21304</v>
      </c>
      <c r="N104" s="34">
        <f t="shared" si="141"/>
        <v>0</v>
      </c>
      <c r="O104" s="89">
        <v>0</v>
      </c>
      <c r="P104" s="89">
        <v>0</v>
      </c>
      <c r="Q104" s="89">
        <v>0</v>
      </c>
      <c r="R104" s="34">
        <f t="shared" si="142"/>
        <v>0</v>
      </c>
      <c r="S104" s="89">
        <v>0</v>
      </c>
      <c r="T104" s="89">
        <v>0</v>
      </c>
      <c r="U104" s="89">
        <v>0</v>
      </c>
      <c r="V104" s="34">
        <f t="shared" si="143"/>
        <v>0</v>
      </c>
      <c r="W104" s="89">
        <v>0</v>
      </c>
      <c r="X104" s="89">
        <v>0</v>
      </c>
      <c r="Y104" s="89">
        <v>0</v>
      </c>
      <c r="Z104" s="34">
        <f t="shared" si="144"/>
        <v>0</v>
      </c>
      <c r="AA104" s="89">
        <v>0</v>
      </c>
      <c r="AB104" s="89">
        <v>0</v>
      </c>
      <c r="AC104" s="89">
        <v>0</v>
      </c>
      <c r="AD104" s="34"/>
      <c r="AE104" s="34">
        <f t="shared" si="145"/>
        <v>-22304</v>
      </c>
      <c r="AF104" s="34">
        <f t="shared" si="146"/>
        <v>-21304</v>
      </c>
      <c r="AG104" s="34">
        <f t="shared" si="147"/>
        <v>0</v>
      </c>
      <c r="AH104" s="34">
        <f t="shared" si="148"/>
        <v>0</v>
      </c>
      <c r="AI104" s="34">
        <f t="shared" si="149"/>
        <v>0</v>
      </c>
      <c r="AJ104" s="34">
        <f t="shared" si="150"/>
        <v>0</v>
      </c>
      <c r="AK104" s="34">
        <f t="shared" si="151"/>
        <v>0</v>
      </c>
      <c r="AL104" s="34">
        <f t="shared" si="152"/>
        <v>0</v>
      </c>
      <c r="AM104" s="34">
        <f t="shared" si="153"/>
        <v>0</v>
      </c>
      <c r="AN104" s="34">
        <f t="shared" si="154"/>
        <v>0</v>
      </c>
      <c r="AO104" s="34">
        <f t="shared" si="155"/>
        <v>0</v>
      </c>
      <c r="AP104" s="34">
        <f t="shared" si="156"/>
        <v>0</v>
      </c>
      <c r="AQ104" s="34">
        <f t="shared" si="157"/>
        <v>0</v>
      </c>
      <c r="AR104" s="34">
        <f t="shared" si="158"/>
        <v>0</v>
      </c>
      <c r="AS104" s="34">
        <f t="shared" si="159"/>
        <v>0</v>
      </c>
      <c r="AT104" s="64"/>
      <c r="AU104" s="82" t="e">
        <f t="shared" si="160"/>
        <v>#DIV/0!</v>
      </c>
    </row>
    <row r="105" spans="2:47" ht="12.75" customHeight="1">
      <c r="B105" s="65" t="s">
        <v>618</v>
      </c>
      <c r="C105" s="89">
        <v>0</v>
      </c>
      <c r="D105" s="89">
        <v>0</v>
      </c>
      <c r="E105" s="89">
        <v>0</v>
      </c>
      <c r="F105" s="89">
        <v>-788349</v>
      </c>
      <c r="G105" s="89">
        <v>-757387</v>
      </c>
      <c r="H105" s="89">
        <v>0</v>
      </c>
      <c r="I105" s="89">
        <v>0</v>
      </c>
      <c r="J105" s="34"/>
      <c r="K105" s="89">
        <v>0</v>
      </c>
      <c r="L105" s="89">
        <v>0</v>
      </c>
      <c r="M105" s="89">
        <v>0</v>
      </c>
      <c r="N105" s="34">
        <f t="shared" si="141"/>
        <v>-788349</v>
      </c>
      <c r="O105" s="89">
        <v>-124521</v>
      </c>
      <c r="P105" s="89">
        <v>-68876</v>
      </c>
      <c r="Q105" s="89">
        <v>0</v>
      </c>
      <c r="R105" s="34">
        <f t="shared" si="142"/>
        <v>-563990</v>
      </c>
      <c r="S105" s="89">
        <v>0</v>
      </c>
      <c r="T105" s="89">
        <v>0</v>
      </c>
      <c r="U105" s="89">
        <v>0</v>
      </c>
      <c r="V105" s="34">
        <f t="shared" si="143"/>
        <v>0</v>
      </c>
      <c r="W105" s="89">
        <v>0</v>
      </c>
      <c r="X105" s="89">
        <v>0</v>
      </c>
      <c r="Y105" s="89">
        <v>0</v>
      </c>
      <c r="Z105" s="34">
        <f t="shared" si="144"/>
        <v>0</v>
      </c>
      <c r="AA105" s="89">
        <v>0</v>
      </c>
      <c r="AB105" s="89">
        <v>-36190</v>
      </c>
      <c r="AC105" s="89">
        <v>36190</v>
      </c>
      <c r="AD105" s="34"/>
      <c r="AE105" s="34">
        <f t="shared" si="145"/>
        <v>-912870</v>
      </c>
      <c r="AF105" s="34">
        <f t="shared" si="146"/>
        <v>-981746</v>
      </c>
      <c r="AG105" s="34">
        <f t="shared" si="147"/>
        <v>-981746</v>
      </c>
      <c r="AH105" s="34">
        <f t="shared" si="148"/>
        <v>-757387</v>
      </c>
      <c r="AI105" s="34">
        <f t="shared" si="149"/>
        <v>-632866</v>
      </c>
      <c r="AJ105" s="34">
        <f t="shared" si="150"/>
        <v>-563990</v>
      </c>
      <c r="AK105" s="34">
        <f t="shared" si="151"/>
        <v>-563990</v>
      </c>
      <c r="AL105" s="34">
        <f t="shared" si="152"/>
        <v>0</v>
      </c>
      <c r="AM105" s="34">
        <f t="shared" si="153"/>
        <v>0</v>
      </c>
      <c r="AN105" s="34">
        <f t="shared" si="154"/>
        <v>0</v>
      </c>
      <c r="AO105" s="34">
        <f t="shared" si="155"/>
        <v>0</v>
      </c>
      <c r="AP105" s="34">
        <f t="shared" si="156"/>
        <v>0</v>
      </c>
      <c r="AQ105" s="34">
        <f t="shared" si="157"/>
        <v>0</v>
      </c>
      <c r="AR105" s="34">
        <f t="shared" si="158"/>
        <v>-36190</v>
      </c>
      <c r="AS105" s="34">
        <f t="shared" si="159"/>
        <v>0</v>
      </c>
      <c r="AT105" s="64"/>
      <c r="AU105" s="82" t="e">
        <f t="shared" si="160"/>
        <v>#DIV/0!</v>
      </c>
    </row>
    <row r="106" spans="2:47" ht="12.75" customHeight="1">
      <c r="B106" s="65" t="s">
        <v>619</v>
      </c>
      <c r="C106" s="89">
        <v>0</v>
      </c>
      <c r="D106" s="89">
        <v>0</v>
      </c>
      <c r="E106" s="89">
        <v>0</v>
      </c>
      <c r="F106" s="89">
        <v>0</v>
      </c>
      <c r="G106" s="89">
        <v>-911276</v>
      </c>
      <c r="H106" s="89">
        <v>-504862</v>
      </c>
      <c r="I106" s="89">
        <v>-1742246</v>
      </c>
      <c r="J106" s="34"/>
      <c r="K106" s="89">
        <v>0</v>
      </c>
      <c r="L106" s="89">
        <v>0</v>
      </c>
      <c r="M106" s="89">
        <v>0</v>
      </c>
      <c r="N106" s="34">
        <f t="shared" si="141"/>
        <v>0</v>
      </c>
      <c r="O106" s="89">
        <v>0</v>
      </c>
      <c r="P106" s="89">
        <v>0</v>
      </c>
      <c r="Q106" s="89">
        <v>0</v>
      </c>
      <c r="R106" s="34">
        <f t="shared" si="142"/>
        <v>-911276</v>
      </c>
      <c r="S106" s="89">
        <v>-201634</v>
      </c>
      <c r="T106" s="89">
        <v>-303228</v>
      </c>
      <c r="U106" s="89">
        <v>0</v>
      </c>
      <c r="V106" s="34">
        <f t="shared" si="143"/>
        <v>0</v>
      </c>
      <c r="W106" s="89">
        <v>0</v>
      </c>
      <c r="X106" s="89">
        <v>0</v>
      </c>
      <c r="Y106" s="89">
        <v>-1742246</v>
      </c>
      <c r="Z106" s="34">
        <f t="shared" si="144"/>
        <v>0</v>
      </c>
      <c r="AA106" s="89">
        <v>-156015</v>
      </c>
      <c r="AB106" s="89">
        <v>-1650</v>
      </c>
      <c r="AC106" s="89">
        <v>-3850</v>
      </c>
      <c r="AD106" s="34"/>
      <c r="AE106" s="34">
        <f t="shared" si="145"/>
        <v>0</v>
      </c>
      <c r="AF106" s="34">
        <f t="shared" si="146"/>
        <v>0</v>
      </c>
      <c r="AG106" s="34">
        <f t="shared" si="147"/>
        <v>0</v>
      </c>
      <c r="AH106" s="34">
        <f t="shared" si="148"/>
        <v>-911276</v>
      </c>
      <c r="AI106" s="34">
        <f t="shared" si="149"/>
        <v>-1112910</v>
      </c>
      <c r="AJ106" s="34">
        <f t="shared" si="150"/>
        <v>-1416138</v>
      </c>
      <c r="AK106" s="34">
        <f t="shared" si="151"/>
        <v>-1416138</v>
      </c>
      <c r="AL106" s="34">
        <f t="shared" si="152"/>
        <v>-504862</v>
      </c>
      <c r="AM106" s="34">
        <f t="shared" si="153"/>
        <v>-303228</v>
      </c>
      <c r="AN106" s="34">
        <f t="shared" si="154"/>
        <v>0</v>
      </c>
      <c r="AO106" s="34">
        <f t="shared" si="155"/>
        <v>-1742246</v>
      </c>
      <c r="AP106" s="34">
        <f t="shared" si="156"/>
        <v>-1742246</v>
      </c>
      <c r="AQ106" s="34">
        <f t="shared" si="157"/>
        <v>-1898261</v>
      </c>
      <c r="AR106" s="34">
        <f t="shared" si="158"/>
        <v>-1899911</v>
      </c>
      <c r="AS106" s="34">
        <f t="shared" si="159"/>
        <v>-161515</v>
      </c>
      <c r="AT106" s="64"/>
      <c r="AU106" s="82">
        <f t="shared" si="160"/>
        <v>-0.90729495145920835</v>
      </c>
    </row>
    <row r="107" spans="2:47" ht="12.75" customHeight="1">
      <c r="B107" s="65" t="s">
        <v>620</v>
      </c>
      <c r="C107" s="89">
        <v>0</v>
      </c>
      <c r="D107" s="89">
        <v>0</v>
      </c>
      <c r="E107" s="89">
        <v>0</v>
      </c>
      <c r="F107" s="89">
        <v>0</v>
      </c>
      <c r="G107" s="89">
        <v>0</v>
      </c>
      <c r="H107" s="89">
        <v>1395165</v>
      </c>
      <c r="I107" s="89">
        <v>0</v>
      </c>
      <c r="J107" s="34"/>
      <c r="K107" s="89">
        <v>0</v>
      </c>
      <c r="L107" s="89">
        <v>0</v>
      </c>
      <c r="M107" s="89">
        <v>0</v>
      </c>
      <c r="N107" s="34">
        <f t="shared" si="141"/>
        <v>0</v>
      </c>
      <c r="O107" s="89">
        <v>0</v>
      </c>
      <c r="P107" s="89">
        <v>0</v>
      </c>
      <c r="Q107" s="89">
        <v>0</v>
      </c>
      <c r="R107" s="34">
        <f t="shared" si="142"/>
        <v>0</v>
      </c>
      <c r="S107" s="89">
        <v>0</v>
      </c>
      <c r="T107" s="89">
        <v>501937</v>
      </c>
      <c r="U107" s="89">
        <v>400000</v>
      </c>
      <c r="V107" s="34">
        <f t="shared" si="143"/>
        <v>493228</v>
      </c>
      <c r="W107" s="89">
        <v>0</v>
      </c>
      <c r="X107" s="89">
        <v>0</v>
      </c>
      <c r="Y107" s="89">
        <v>0</v>
      </c>
      <c r="Z107" s="34">
        <f t="shared" si="144"/>
        <v>0</v>
      </c>
      <c r="AA107" s="89">
        <v>769954</v>
      </c>
      <c r="AB107" s="89">
        <v>962413</v>
      </c>
      <c r="AC107" s="89">
        <v>176250</v>
      </c>
      <c r="AD107" s="34"/>
      <c r="AE107" s="34">
        <f t="shared" si="145"/>
        <v>0</v>
      </c>
      <c r="AF107" s="34">
        <f t="shared" si="146"/>
        <v>0</v>
      </c>
      <c r="AG107" s="34">
        <f t="shared" si="147"/>
        <v>0</v>
      </c>
      <c r="AH107" s="34">
        <f t="shared" si="148"/>
        <v>0</v>
      </c>
      <c r="AI107" s="34">
        <f t="shared" si="149"/>
        <v>0</v>
      </c>
      <c r="AJ107" s="34">
        <f t="shared" si="150"/>
        <v>501937</v>
      </c>
      <c r="AK107" s="34">
        <f t="shared" si="151"/>
        <v>901937</v>
      </c>
      <c r="AL107" s="34">
        <f t="shared" si="152"/>
        <v>1395165</v>
      </c>
      <c r="AM107" s="34">
        <f t="shared" si="153"/>
        <v>1395165</v>
      </c>
      <c r="AN107" s="34">
        <f t="shared" si="154"/>
        <v>893228</v>
      </c>
      <c r="AO107" s="34">
        <f t="shared" si="155"/>
        <v>493228</v>
      </c>
      <c r="AP107" s="34">
        <f t="shared" si="156"/>
        <v>0</v>
      </c>
      <c r="AQ107" s="34">
        <f t="shared" si="157"/>
        <v>769954</v>
      </c>
      <c r="AR107" s="34">
        <f t="shared" si="158"/>
        <v>1732367</v>
      </c>
      <c r="AS107" s="34">
        <f t="shared" si="159"/>
        <v>1908617</v>
      </c>
      <c r="AT107" s="64"/>
      <c r="AU107" s="82">
        <f t="shared" si="160"/>
        <v>2.8696444646289341</v>
      </c>
    </row>
    <row r="108" spans="2:47" ht="12.75" customHeight="1">
      <c r="B108" s="14" t="s">
        <v>76</v>
      </c>
      <c r="C108" s="15">
        <f t="shared" ref="C108:I108" si="161">SUM(C103:C107)</f>
        <v>-339120</v>
      </c>
      <c r="D108" s="15">
        <f t="shared" si="161"/>
        <v>-387064</v>
      </c>
      <c r="E108" s="15">
        <f t="shared" si="161"/>
        <v>-505354</v>
      </c>
      <c r="F108" s="15">
        <f t="shared" si="161"/>
        <v>-1339853</v>
      </c>
      <c r="G108" s="15">
        <f t="shared" si="161"/>
        <v>-2076392</v>
      </c>
      <c r="H108" s="15">
        <f t="shared" si="161"/>
        <v>541751</v>
      </c>
      <c r="I108" s="15">
        <f t="shared" si="161"/>
        <v>-2181784</v>
      </c>
      <c r="K108" s="15">
        <f t="shared" ref="K108:AC108" si="162">SUM(K103:K107)</f>
        <v>-85616</v>
      </c>
      <c r="L108" s="15">
        <f t="shared" si="162"/>
        <v>-111278</v>
      </c>
      <c r="M108" s="15">
        <f t="shared" si="162"/>
        <v>-188631</v>
      </c>
      <c r="N108" s="15">
        <f t="shared" si="162"/>
        <v>-954328</v>
      </c>
      <c r="O108" s="15">
        <f t="shared" si="162"/>
        <v>-245679</v>
      </c>
      <c r="P108" s="15">
        <f t="shared" si="162"/>
        <v>-158894</v>
      </c>
      <c r="Q108" s="15">
        <f t="shared" si="162"/>
        <v>-84960</v>
      </c>
      <c r="R108" s="15">
        <f t="shared" si="162"/>
        <v>-1586859</v>
      </c>
      <c r="S108" s="15">
        <f t="shared" si="162"/>
        <v>-263653</v>
      </c>
      <c r="T108" s="15">
        <f t="shared" si="162"/>
        <v>97737</v>
      </c>
      <c r="U108" s="15">
        <f t="shared" si="162"/>
        <v>296071</v>
      </c>
      <c r="V108" s="15">
        <f t="shared" si="162"/>
        <v>411596</v>
      </c>
      <c r="W108" s="15">
        <f t="shared" si="162"/>
        <v>-75714</v>
      </c>
      <c r="X108" s="15">
        <f t="shared" si="162"/>
        <v>-78287</v>
      </c>
      <c r="Y108" s="15">
        <f t="shared" si="162"/>
        <v>-1869109</v>
      </c>
      <c r="Z108" s="15">
        <f t="shared" si="162"/>
        <v>-158674</v>
      </c>
      <c r="AA108" s="15">
        <f t="shared" si="162"/>
        <v>485662</v>
      </c>
      <c r="AB108" s="15">
        <f t="shared" si="162"/>
        <v>768684</v>
      </c>
      <c r="AC108" s="15">
        <f t="shared" si="162"/>
        <v>43871</v>
      </c>
      <c r="AE108" s="15">
        <f t="shared" ref="AE108:AS108" si="163">SUM(AE103:AE107)</f>
        <v>-1499916</v>
      </c>
      <c r="AF108" s="15">
        <f t="shared" si="163"/>
        <v>-1547532</v>
      </c>
      <c r="AG108" s="15">
        <f t="shared" si="163"/>
        <v>-1443861</v>
      </c>
      <c r="AH108" s="15">
        <f t="shared" si="163"/>
        <v>-2076392</v>
      </c>
      <c r="AI108" s="15">
        <f t="shared" si="163"/>
        <v>-2094366</v>
      </c>
      <c r="AJ108" s="15">
        <f t="shared" si="163"/>
        <v>-1837735</v>
      </c>
      <c r="AK108" s="15">
        <f t="shared" si="163"/>
        <v>-1456704</v>
      </c>
      <c r="AL108" s="15">
        <f t="shared" si="163"/>
        <v>541751</v>
      </c>
      <c r="AM108" s="15">
        <f t="shared" si="163"/>
        <v>729690</v>
      </c>
      <c r="AN108" s="15">
        <f t="shared" si="163"/>
        <v>553666</v>
      </c>
      <c r="AO108" s="15">
        <f t="shared" si="163"/>
        <v>-1611514</v>
      </c>
      <c r="AP108" s="15">
        <f t="shared" si="163"/>
        <v>-2181784</v>
      </c>
      <c r="AQ108" s="15">
        <f t="shared" si="163"/>
        <v>-1620408</v>
      </c>
      <c r="AR108" s="15">
        <f t="shared" si="163"/>
        <v>-773437</v>
      </c>
      <c r="AS108" s="15">
        <f t="shared" si="163"/>
        <v>1139543</v>
      </c>
      <c r="AT108" s="45"/>
      <c r="AU108" s="83">
        <f t="shared" si="160"/>
        <v>-1.7071257215264652</v>
      </c>
    </row>
    <row r="109" spans="2:47" ht="5.0999999999999996" customHeight="1">
      <c r="B109" s="57"/>
      <c r="C109" s="66"/>
      <c r="D109" s="66"/>
      <c r="E109" s="66"/>
      <c r="F109" s="66"/>
      <c r="G109" s="66"/>
      <c r="H109" s="66"/>
      <c r="I109" s="66"/>
      <c r="K109" s="66"/>
      <c r="L109" s="66"/>
      <c r="M109" s="66"/>
      <c r="N109" s="66"/>
      <c r="O109" s="66"/>
      <c r="P109" s="66"/>
      <c r="Q109" s="66"/>
      <c r="R109" s="66"/>
      <c r="S109" s="66"/>
      <c r="T109" s="66"/>
      <c r="U109" s="66"/>
      <c r="V109" s="66"/>
      <c r="W109" s="66"/>
      <c r="X109" s="66"/>
      <c r="Y109" s="66"/>
      <c r="Z109" s="66"/>
      <c r="AA109" s="66"/>
      <c r="AB109" s="66"/>
      <c r="AC109" s="66"/>
      <c r="AE109" s="45"/>
      <c r="AF109" s="45"/>
      <c r="AG109" s="45"/>
      <c r="AH109" s="45"/>
      <c r="AI109" s="45"/>
      <c r="AJ109" s="45"/>
      <c r="AK109" s="45"/>
      <c r="AL109" s="45"/>
      <c r="AM109" s="45"/>
      <c r="AN109" s="45"/>
      <c r="AO109" s="45"/>
      <c r="AP109" s="45"/>
      <c r="AQ109" s="45"/>
      <c r="AR109" s="45"/>
      <c r="AS109" s="45"/>
      <c r="AT109" s="45"/>
      <c r="AU109" s="42"/>
    </row>
    <row r="110" spans="2:47" ht="12.75" customHeight="1">
      <c r="B110" s="58" t="s">
        <v>77</v>
      </c>
      <c r="C110" s="68"/>
      <c r="D110" s="68"/>
      <c r="E110" s="68"/>
      <c r="F110" s="68"/>
      <c r="G110" s="68"/>
      <c r="H110" s="68"/>
      <c r="I110" s="68"/>
      <c r="K110" s="68"/>
      <c r="L110" s="68"/>
      <c r="M110" s="68"/>
      <c r="N110" s="68"/>
      <c r="O110" s="68"/>
      <c r="P110" s="68"/>
      <c r="Q110" s="68"/>
      <c r="R110" s="68"/>
      <c r="S110" s="68"/>
      <c r="T110" s="68"/>
      <c r="U110" s="68"/>
      <c r="V110" s="68"/>
      <c r="W110" s="68"/>
      <c r="X110" s="68"/>
      <c r="Y110" s="68"/>
      <c r="Z110" s="68"/>
      <c r="AA110" s="68"/>
      <c r="AB110" s="68"/>
      <c r="AC110" s="68"/>
      <c r="AD110" s="34"/>
      <c r="AE110" s="34"/>
      <c r="AF110" s="34"/>
      <c r="AG110" s="34"/>
      <c r="AH110" s="34"/>
      <c r="AI110" s="34"/>
      <c r="AJ110" s="34"/>
      <c r="AK110" s="34"/>
      <c r="AL110" s="34"/>
      <c r="AM110" s="34"/>
      <c r="AN110" s="34"/>
      <c r="AO110" s="34"/>
      <c r="AP110" s="34"/>
      <c r="AQ110" s="34"/>
      <c r="AR110" s="34"/>
      <c r="AS110" s="34"/>
      <c r="AT110" s="69"/>
      <c r="AU110" s="82" t="e">
        <f t="shared" si="160"/>
        <v>#DIV/0!</v>
      </c>
    </row>
    <row r="111" spans="2:47" ht="12.75" customHeight="1">
      <c r="B111" s="119" t="s">
        <v>628</v>
      </c>
      <c r="C111" s="89">
        <v>3961852</v>
      </c>
      <c r="D111" s="89">
        <v>4469306</v>
      </c>
      <c r="E111" s="89">
        <v>1009464</v>
      </c>
      <c r="F111" s="89">
        <v>0</v>
      </c>
      <c r="G111" s="89">
        <v>0</v>
      </c>
      <c r="H111" s="89">
        <v>0</v>
      </c>
      <c r="I111" s="89">
        <v>1794460</v>
      </c>
      <c r="K111" s="89">
        <v>0</v>
      </c>
      <c r="L111" s="89">
        <v>0</v>
      </c>
      <c r="M111" s="89">
        <v>0</v>
      </c>
      <c r="N111" s="34">
        <f t="shared" ref="N111:N115" si="164">SUM(F111-SUM(K111:M111))</f>
        <v>0</v>
      </c>
      <c r="O111" s="89">
        <v>0</v>
      </c>
      <c r="P111" s="89">
        <v>0</v>
      </c>
      <c r="Q111" s="89">
        <v>0</v>
      </c>
      <c r="R111" s="34">
        <f t="shared" ref="R111:R115" si="165">SUM(G111-SUM(O111:Q111))</f>
        <v>0</v>
      </c>
      <c r="S111" s="89">
        <v>0</v>
      </c>
      <c r="T111" s="89">
        <v>0</v>
      </c>
      <c r="U111" s="89">
        <v>0</v>
      </c>
      <c r="V111" s="34">
        <f t="shared" ref="V111:V115" si="166">SUM(H111-SUM(S111:U111))</f>
        <v>0</v>
      </c>
      <c r="W111" s="89">
        <v>0</v>
      </c>
      <c r="X111" s="89">
        <v>0</v>
      </c>
      <c r="Y111" s="89">
        <v>1794460</v>
      </c>
      <c r="Z111" s="34">
        <f t="shared" ref="Z111:Z115" si="167">SUM(I111-SUM(W111:Y111))</f>
        <v>0</v>
      </c>
      <c r="AA111" s="89">
        <v>0</v>
      </c>
      <c r="AB111" s="89">
        <v>0</v>
      </c>
      <c r="AC111" s="89">
        <v>0</v>
      </c>
      <c r="AD111" s="34"/>
      <c r="AE111" s="34">
        <f t="shared" ref="AE111:AE117" si="168">SUM(L111:O111)</f>
        <v>0</v>
      </c>
      <c r="AF111" s="34">
        <f t="shared" ref="AF111:AF117" si="169">SUM(M111:P111)</f>
        <v>0</v>
      </c>
      <c r="AG111" s="34">
        <f t="shared" ref="AG111:AG117" si="170">SUM(N111:Q111)</f>
        <v>0</v>
      </c>
      <c r="AH111" s="34">
        <f t="shared" ref="AH111:AH117" si="171">SUM(O111:R111)</f>
        <v>0</v>
      </c>
      <c r="AI111" s="34">
        <f t="shared" ref="AI111:AI117" si="172">SUM(P111:S111)</f>
        <v>0</v>
      </c>
      <c r="AJ111" s="34">
        <f t="shared" ref="AJ111:AJ117" si="173">SUM(Q111:T111)</f>
        <v>0</v>
      </c>
      <c r="AK111" s="34">
        <f t="shared" ref="AK111:AK117" si="174">SUM(R111:U111)</f>
        <v>0</v>
      </c>
      <c r="AL111" s="34">
        <f t="shared" ref="AL111:AL117" si="175">SUM(S111:V111)</f>
        <v>0</v>
      </c>
      <c r="AM111" s="34">
        <f t="shared" ref="AM111:AM117" si="176">SUM(T111:W111)</f>
        <v>0</v>
      </c>
      <c r="AN111" s="34">
        <f t="shared" ref="AN111:AN117" si="177">SUM(U111:X111)</f>
        <v>0</v>
      </c>
      <c r="AO111" s="34">
        <f t="shared" ref="AO111:AO117" si="178">SUM(V111:Y111)</f>
        <v>1794460</v>
      </c>
      <c r="AP111" s="34">
        <f t="shared" ref="AP111:AP117" si="179">SUM(W111:Z111)</f>
        <v>1794460</v>
      </c>
      <c r="AQ111" s="34">
        <f t="shared" ref="AQ111:AQ117" si="180">SUM(X111:AA111)</f>
        <v>1794460</v>
      </c>
      <c r="AR111" s="34">
        <f t="shared" ref="AR111:AR117" si="181">SUM(Y111:AB111)</f>
        <v>1794460</v>
      </c>
      <c r="AS111" s="34">
        <f t="shared" ref="AS111:AS117" si="182">SUM(Z111:AC111)</f>
        <v>0</v>
      </c>
      <c r="AT111" s="69"/>
      <c r="AU111" s="82">
        <f t="shared" si="160"/>
        <v>-1</v>
      </c>
    </row>
    <row r="112" spans="2:47" ht="12.75" customHeight="1">
      <c r="B112" s="119" t="s">
        <v>629</v>
      </c>
      <c r="C112" s="89">
        <v>-35871</v>
      </c>
      <c r="D112" s="89">
        <v>-36134</v>
      </c>
      <c r="E112" s="89">
        <v>-7559</v>
      </c>
      <c r="F112" s="89">
        <v>0</v>
      </c>
      <c r="G112" s="89">
        <v>0</v>
      </c>
      <c r="H112" s="89">
        <v>0</v>
      </c>
      <c r="I112" s="89">
        <v>0</v>
      </c>
      <c r="K112" s="89">
        <v>0</v>
      </c>
      <c r="L112" s="89">
        <v>0</v>
      </c>
      <c r="M112" s="89">
        <v>0</v>
      </c>
      <c r="N112" s="34">
        <f t="shared" si="164"/>
        <v>0</v>
      </c>
      <c r="O112" s="89">
        <v>0</v>
      </c>
      <c r="P112" s="89">
        <v>0</v>
      </c>
      <c r="Q112" s="89">
        <v>0</v>
      </c>
      <c r="R112" s="34">
        <f t="shared" si="165"/>
        <v>0</v>
      </c>
      <c r="S112" s="89">
        <v>0</v>
      </c>
      <c r="T112" s="89">
        <v>0</v>
      </c>
      <c r="U112" s="89">
        <v>0</v>
      </c>
      <c r="V112" s="34">
        <f t="shared" si="166"/>
        <v>0</v>
      </c>
      <c r="W112" s="89">
        <v>0</v>
      </c>
      <c r="X112" s="89">
        <v>0</v>
      </c>
      <c r="Y112" s="89">
        <v>0</v>
      </c>
      <c r="Z112" s="34">
        <f t="shared" si="167"/>
        <v>0</v>
      </c>
      <c r="AA112" s="89">
        <v>0</v>
      </c>
      <c r="AB112" s="89">
        <v>0</v>
      </c>
      <c r="AC112" s="89">
        <v>0</v>
      </c>
      <c r="AD112" s="34"/>
      <c r="AE112" s="34">
        <f t="shared" si="168"/>
        <v>0</v>
      </c>
      <c r="AF112" s="34">
        <f t="shared" si="169"/>
        <v>0</v>
      </c>
      <c r="AG112" s="34">
        <f t="shared" si="170"/>
        <v>0</v>
      </c>
      <c r="AH112" s="34">
        <f t="shared" si="171"/>
        <v>0</v>
      </c>
      <c r="AI112" s="34">
        <f t="shared" si="172"/>
        <v>0</v>
      </c>
      <c r="AJ112" s="34">
        <f t="shared" si="173"/>
        <v>0</v>
      </c>
      <c r="AK112" s="34">
        <f t="shared" si="174"/>
        <v>0</v>
      </c>
      <c r="AL112" s="34">
        <f t="shared" si="175"/>
        <v>0</v>
      </c>
      <c r="AM112" s="34">
        <f t="shared" si="176"/>
        <v>0</v>
      </c>
      <c r="AN112" s="34">
        <f t="shared" si="177"/>
        <v>0</v>
      </c>
      <c r="AO112" s="34">
        <f t="shared" si="178"/>
        <v>0</v>
      </c>
      <c r="AP112" s="34">
        <f t="shared" si="179"/>
        <v>0</v>
      </c>
      <c r="AQ112" s="34">
        <f t="shared" si="180"/>
        <v>0</v>
      </c>
      <c r="AR112" s="34">
        <f t="shared" si="181"/>
        <v>0</v>
      </c>
      <c r="AS112" s="34">
        <f t="shared" si="182"/>
        <v>0</v>
      </c>
      <c r="AT112" s="69"/>
      <c r="AU112" s="82"/>
    </row>
    <row r="113" spans="2:47" ht="12.75" customHeight="1">
      <c r="B113" s="119" t="s">
        <v>630</v>
      </c>
      <c r="C113" s="89">
        <v>0</v>
      </c>
      <c r="D113" s="89">
        <v>0</v>
      </c>
      <c r="E113" s="89">
        <v>0</v>
      </c>
      <c r="F113" s="89">
        <v>-500000</v>
      </c>
      <c r="G113" s="89">
        <v>-700000</v>
      </c>
      <c r="H113" s="89">
        <v>0</v>
      </c>
      <c r="I113" s="89">
        <v>-400000</v>
      </c>
      <c r="K113" s="89">
        <v>-500000</v>
      </c>
      <c r="L113" s="89">
        <v>0</v>
      </c>
      <c r="M113" s="89">
        <v>0</v>
      </c>
      <c r="N113" s="34">
        <f t="shared" si="164"/>
        <v>0</v>
      </c>
      <c r="O113" s="89">
        <v>-700000</v>
      </c>
      <c r="P113" s="89">
        <v>0</v>
      </c>
      <c r="Q113" s="89">
        <v>0</v>
      </c>
      <c r="R113" s="34">
        <f t="shared" si="165"/>
        <v>0</v>
      </c>
      <c r="S113" s="89">
        <v>0</v>
      </c>
      <c r="T113" s="89">
        <v>0</v>
      </c>
      <c r="U113" s="89">
        <v>0</v>
      </c>
      <c r="V113" s="34">
        <f t="shared" si="166"/>
        <v>0</v>
      </c>
      <c r="W113" s="89">
        <v>-400000</v>
      </c>
      <c r="X113" s="89">
        <v>0</v>
      </c>
      <c r="Y113" s="89">
        <v>0</v>
      </c>
      <c r="Z113" s="34">
        <f t="shared" si="167"/>
        <v>0</v>
      </c>
      <c r="AA113" s="89">
        <v>-800000</v>
      </c>
      <c r="AB113" s="89">
        <v>-1033450</v>
      </c>
      <c r="AC113" s="89">
        <v>0</v>
      </c>
      <c r="AD113" s="34"/>
      <c r="AE113" s="34">
        <f t="shared" si="168"/>
        <v>-700000</v>
      </c>
      <c r="AF113" s="34">
        <f t="shared" si="169"/>
        <v>-700000</v>
      </c>
      <c r="AG113" s="34">
        <f t="shared" si="170"/>
        <v>-700000</v>
      </c>
      <c r="AH113" s="34">
        <f t="shared" si="171"/>
        <v>-700000</v>
      </c>
      <c r="AI113" s="34">
        <f t="shared" si="172"/>
        <v>0</v>
      </c>
      <c r="AJ113" s="34">
        <f t="shared" si="173"/>
        <v>0</v>
      </c>
      <c r="AK113" s="34">
        <f t="shared" si="174"/>
        <v>0</v>
      </c>
      <c r="AL113" s="34">
        <f t="shared" si="175"/>
        <v>0</v>
      </c>
      <c r="AM113" s="34">
        <f t="shared" si="176"/>
        <v>-400000</v>
      </c>
      <c r="AN113" s="34">
        <f t="shared" si="177"/>
        <v>-400000</v>
      </c>
      <c r="AO113" s="34">
        <f t="shared" si="178"/>
        <v>-400000</v>
      </c>
      <c r="AP113" s="34">
        <f t="shared" si="179"/>
        <v>-400000</v>
      </c>
      <c r="AQ113" s="34">
        <f t="shared" si="180"/>
        <v>-800000</v>
      </c>
      <c r="AR113" s="34">
        <f t="shared" si="181"/>
        <v>-1833450</v>
      </c>
      <c r="AS113" s="34">
        <f t="shared" si="182"/>
        <v>-1833450</v>
      </c>
      <c r="AT113" s="69"/>
      <c r="AU113" s="82"/>
    </row>
    <row r="114" spans="2:47" ht="12.75" customHeight="1">
      <c r="B114" s="119" t="s">
        <v>631</v>
      </c>
      <c r="C114" s="89">
        <v>124502</v>
      </c>
      <c r="D114" s="89">
        <v>72490</v>
      </c>
      <c r="E114" s="89">
        <v>235406</v>
      </c>
      <c r="F114" s="89">
        <v>174414</v>
      </c>
      <c r="G114" s="89">
        <v>35746</v>
      </c>
      <c r="H114" s="89">
        <v>169990</v>
      </c>
      <c r="I114" s="89">
        <v>832887</v>
      </c>
      <c r="K114" s="89">
        <v>48071</v>
      </c>
      <c r="L114" s="89">
        <v>19749</v>
      </c>
      <c r="M114" s="89">
        <v>18445</v>
      </c>
      <c r="N114" s="34">
        <f t="shared" si="164"/>
        <v>88149</v>
      </c>
      <c r="O114" s="89">
        <v>13678</v>
      </c>
      <c r="P114" s="89">
        <v>11250</v>
      </c>
      <c r="Q114" s="89">
        <v>4113</v>
      </c>
      <c r="R114" s="34">
        <f t="shared" si="165"/>
        <v>6705</v>
      </c>
      <c r="S114" s="89">
        <v>26028</v>
      </c>
      <c r="T114" s="89">
        <v>34717</v>
      </c>
      <c r="U114" s="89">
        <v>57818</v>
      </c>
      <c r="V114" s="34">
        <f t="shared" si="166"/>
        <v>51427</v>
      </c>
      <c r="W114" s="89">
        <v>268881</v>
      </c>
      <c r="X114" s="89">
        <v>118750</v>
      </c>
      <c r="Y114" s="89">
        <v>143244</v>
      </c>
      <c r="Z114" s="34">
        <f t="shared" si="167"/>
        <v>302012</v>
      </c>
      <c r="AA114" s="89">
        <v>351602</v>
      </c>
      <c r="AB114" s="89">
        <v>169066</v>
      </c>
      <c r="AC114" s="89">
        <v>70215</v>
      </c>
      <c r="AD114" s="34"/>
      <c r="AE114" s="34">
        <f t="shared" si="168"/>
        <v>140021</v>
      </c>
      <c r="AF114" s="34">
        <f t="shared" si="169"/>
        <v>131522</v>
      </c>
      <c r="AG114" s="34">
        <f t="shared" si="170"/>
        <v>117190</v>
      </c>
      <c r="AH114" s="34">
        <f t="shared" si="171"/>
        <v>35746</v>
      </c>
      <c r="AI114" s="34">
        <f t="shared" si="172"/>
        <v>48096</v>
      </c>
      <c r="AJ114" s="34">
        <f t="shared" si="173"/>
        <v>71563</v>
      </c>
      <c r="AK114" s="34">
        <f t="shared" si="174"/>
        <v>125268</v>
      </c>
      <c r="AL114" s="34">
        <f t="shared" si="175"/>
        <v>169990</v>
      </c>
      <c r="AM114" s="34">
        <f t="shared" si="176"/>
        <v>412843</v>
      </c>
      <c r="AN114" s="34">
        <f t="shared" si="177"/>
        <v>496876</v>
      </c>
      <c r="AO114" s="34">
        <f t="shared" si="178"/>
        <v>582302</v>
      </c>
      <c r="AP114" s="34">
        <f t="shared" si="179"/>
        <v>832887</v>
      </c>
      <c r="AQ114" s="34">
        <f t="shared" si="180"/>
        <v>915608</v>
      </c>
      <c r="AR114" s="34">
        <f t="shared" si="181"/>
        <v>965924</v>
      </c>
      <c r="AS114" s="34">
        <f t="shared" si="182"/>
        <v>892895</v>
      </c>
      <c r="AT114" s="69"/>
      <c r="AU114" s="82"/>
    </row>
    <row r="115" spans="2:47" ht="12.75" customHeight="1">
      <c r="B115" s="119" t="s">
        <v>632</v>
      </c>
      <c r="C115" s="89">
        <v>0</v>
      </c>
      <c r="D115" s="89">
        <v>0</v>
      </c>
      <c r="E115" s="89">
        <v>0</v>
      </c>
      <c r="F115" s="89">
        <v>-600022</v>
      </c>
      <c r="G115" s="89">
        <v>0</v>
      </c>
      <c r="H115" s="89">
        <v>-6045347</v>
      </c>
      <c r="I115" s="89">
        <v>-6263746</v>
      </c>
      <c r="K115" s="89">
        <v>0</v>
      </c>
      <c r="L115" s="89">
        <v>-500022</v>
      </c>
      <c r="M115" s="89">
        <v>-100000</v>
      </c>
      <c r="N115" s="34">
        <f t="shared" si="164"/>
        <v>0</v>
      </c>
      <c r="O115" s="89">
        <v>0</v>
      </c>
      <c r="P115" s="89">
        <v>0</v>
      </c>
      <c r="Q115" s="89">
        <v>0</v>
      </c>
      <c r="R115" s="34">
        <f t="shared" si="165"/>
        <v>0</v>
      </c>
      <c r="S115" s="89">
        <v>-400101</v>
      </c>
      <c r="T115" s="89">
        <v>-645146</v>
      </c>
      <c r="U115" s="89">
        <v>-2500100</v>
      </c>
      <c r="V115" s="34">
        <f t="shared" si="166"/>
        <v>-2500000</v>
      </c>
      <c r="W115" s="89">
        <v>-2000000</v>
      </c>
      <c r="X115" s="89">
        <v>-1599998</v>
      </c>
      <c r="Y115" s="89">
        <v>-1700000</v>
      </c>
      <c r="Z115" s="34">
        <f t="shared" si="167"/>
        <v>-963748</v>
      </c>
      <c r="AA115" s="89">
        <v>-3536396</v>
      </c>
      <c r="AB115" s="89">
        <v>-1654327</v>
      </c>
      <c r="AC115" s="89">
        <v>-1856885</v>
      </c>
      <c r="AD115" s="34"/>
      <c r="AE115" s="34">
        <f t="shared" si="168"/>
        <v>-600022</v>
      </c>
      <c r="AF115" s="34">
        <f t="shared" si="169"/>
        <v>-100000</v>
      </c>
      <c r="AG115" s="34">
        <f t="shared" si="170"/>
        <v>0</v>
      </c>
      <c r="AH115" s="34">
        <f t="shared" si="171"/>
        <v>0</v>
      </c>
      <c r="AI115" s="34">
        <f t="shared" si="172"/>
        <v>-400101</v>
      </c>
      <c r="AJ115" s="34">
        <f t="shared" si="173"/>
        <v>-1045247</v>
      </c>
      <c r="AK115" s="34">
        <f t="shared" si="174"/>
        <v>-3545347</v>
      </c>
      <c r="AL115" s="34">
        <f t="shared" si="175"/>
        <v>-6045347</v>
      </c>
      <c r="AM115" s="34">
        <f t="shared" si="176"/>
        <v>-7645246</v>
      </c>
      <c r="AN115" s="34">
        <f t="shared" si="177"/>
        <v>-8600098</v>
      </c>
      <c r="AO115" s="34">
        <f t="shared" si="178"/>
        <v>-7799998</v>
      </c>
      <c r="AP115" s="34">
        <f t="shared" si="179"/>
        <v>-6263746</v>
      </c>
      <c r="AQ115" s="34">
        <f t="shared" si="180"/>
        <v>-7800142</v>
      </c>
      <c r="AR115" s="34">
        <f t="shared" si="181"/>
        <v>-7854471</v>
      </c>
      <c r="AS115" s="34">
        <f t="shared" si="182"/>
        <v>-8011356</v>
      </c>
      <c r="AT115" s="69"/>
      <c r="AU115" s="82"/>
    </row>
    <row r="116" spans="2:47" ht="12.75" customHeight="1">
      <c r="B116" s="119" t="s">
        <v>633</v>
      </c>
      <c r="C116" s="89">
        <v>0</v>
      </c>
      <c r="D116" s="89">
        <v>0</v>
      </c>
      <c r="E116" s="89">
        <v>0</v>
      </c>
      <c r="F116" s="89">
        <v>-224168</v>
      </c>
      <c r="G116" s="89">
        <v>0</v>
      </c>
      <c r="H116" s="89">
        <v>0</v>
      </c>
      <c r="I116" s="89">
        <v>-8285</v>
      </c>
      <c r="K116" s="89">
        <v>0</v>
      </c>
      <c r="L116" s="89">
        <v>0</v>
      </c>
      <c r="M116" s="89">
        <v>0</v>
      </c>
      <c r="N116" s="34">
        <f t="shared" ref="N116:N117" si="183">SUM(F116-SUM(K116:M116))</f>
        <v>-224168</v>
      </c>
      <c r="O116" s="89">
        <v>0</v>
      </c>
      <c r="P116" s="89">
        <v>0</v>
      </c>
      <c r="Q116" s="89">
        <v>0</v>
      </c>
      <c r="R116" s="34">
        <f t="shared" ref="R116:R117" si="184">SUM(G116-SUM(O116:Q116))</f>
        <v>0</v>
      </c>
      <c r="S116" s="89">
        <v>0</v>
      </c>
      <c r="T116" s="89">
        <v>0</v>
      </c>
      <c r="U116" s="89">
        <v>0</v>
      </c>
      <c r="V116" s="34">
        <f t="shared" ref="V116:V117" si="185">SUM(H116-SUM(S116:U116))</f>
        <v>0</v>
      </c>
      <c r="W116" s="89">
        <v>-1825</v>
      </c>
      <c r="X116" s="89">
        <v>-1883</v>
      </c>
      <c r="Y116" s="89">
        <v>-2024</v>
      </c>
      <c r="Z116" s="34">
        <f t="shared" ref="Z116:Z117" si="186">SUM(I116-SUM(W116:Y116))</f>
        <v>-2553</v>
      </c>
      <c r="AA116" s="89">
        <v>-27870</v>
      </c>
      <c r="AB116" s="89">
        <v>-6114</v>
      </c>
      <c r="AC116" s="89">
        <v>-6196</v>
      </c>
      <c r="AD116" s="34"/>
      <c r="AE116" s="34">
        <f t="shared" si="168"/>
        <v>-224168</v>
      </c>
      <c r="AF116" s="34">
        <f t="shared" si="169"/>
        <v>-224168</v>
      </c>
      <c r="AG116" s="34">
        <f t="shared" si="170"/>
        <v>-224168</v>
      </c>
      <c r="AH116" s="34">
        <f t="shared" si="171"/>
        <v>0</v>
      </c>
      <c r="AI116" s="34">
        <f t="shared" si="172"/>
        <v>0</v>
      </c>
      <c r="AJ116" s="34">
        <f t="shared" si="173"/>
        <v>0</v>
      </c>
      <c r="AK116" s="34">
        <f t="shared" si="174"/>
        <v>0</v>
      </c>
      <c r="AL116" s="34">
        <f t="shared" si="175"/>
        <v>0</v>
      </c>
      <c r="AM116" s="34">
        <f t="shared" si="176"/>
        <v>-1825</v>
      </c>
      <c r="AN116" s="34">
        <f t="shared" si="177"/>
        <v>-3708</v>
      </c>
      <c r="AO116" s="34">
        <f t="shared" si="178"/>
        <v>-5732</v>
      </c>
      <c r="AP116" s="34">
        <f t="shared" si="179"/>
        <v>-8285</v>
      </c>
      <c r="AQ116" s="34">
        <f t="shared" si="180"/>
        <v>-34330</v>
      </c>
      <c r="AR116" s="34">
        <f t="shared" si="181"/>
        <v>-38561</v>
      </c>
      <c r="AS116" s="34">
        <f t="shared" si="182"/>
        <v>-42733</v>
      </c>
      <c r="AT116" s="69"/>
      <c r="AU116" s="82">
        <f t="shared" si="160"/>
        <v>6.4551639916259598</v>
      </c>
    </row>
    <row r="117" spans="2:47" ht="12.75" customHeight="1">
      <c r="B117" s="119" t="s">
        <v>634</v>
      </c>
      <c r="C117" s="89">
        <v>-1956</v>
      </c>
      <c r="D117" s="89">
        <v>0</v>
      </c>
      <c r="E117" s="89">
        <v>0</v>
      </c>
      <c r="F117" s="89">
        <v>0</v>
      </c>
      <c r="G117" s="89">
        <v>0</v>
      </c>
      <c r="H117" s="89">
        <v>-75446</v>
      </c>
      <c r="I117" s="89">
        <v>-29743</v>
      </c>
      <c r="K117" s="89">
        <v>0</v>
      </c>
      <c r="L117" s="89">
        <v>0</v>
      </c>
      <c r="M117" s="89">
        <v>0</v>
      </c>
      <c r="N117" s="34">
        <f t="shared" si="183"/>
        <v>0</v>
      </c>
      <c r="O117" s="89">
        <v>0</v>
      </c>
      <c r="P117" s="89">
        <v>0</v>
      </c>
      <c r="Q117" s="89">
        <v>0</v>
      </c>
      <c r="R117" s="34">
        <f t="shared" si="184"/>
        <v>0</v>
      </c>
      <c r="S117" s="89">
        <v>0</v>
      </c>
      <c r="T117" s="89">
        <v>-38920</v>
      </c>
      <c r="U117" s="89">
        <v>-32826</v>
      </c>
      <c r="V117" s="34">
        <f t="shared" si="185"/>
        <v>-3700</v>
      </c>
      <c r="W117" s="89">
        <v>0</v>
      </c>
      <c r="X117" s="89">
        <v>-6250</v>
      </c>
      <c r="Y117" s="89">
        <v>-9084</v>
      </c>
      <c r="Z117" s="34">
        <f t="shared" si="186"/>
        <v>-14409</v>
      </c>
      <c r="AA117" s="89">
        <v>-15652</v>
      </c>
      <c r="AB117" s="89">
        <v>21957</v>
      </c>
      <c r="AC117" s="89">
        <v>55837</v>
      </c>
      <c r="AD117" s="34"/>
      <c r="AE117" s="34">
        <f t="shared" si="168"/>
        <v>0</v>
      </c>
      <c r="AF117" s="34">
        <f t="shared" si="169"/>
        <v>0</v>
      </c>
      <c r="AG117" s="34">
        <f t="shared" si="170"/>
        <v>0</v>
      </c>
      <c r="AH117" s="34">
        <f t="shared" si="171"/>
        <v>0</v>
      </c>
      <c r="AI117" s="34">
        <f t="shared" si="172"/>
        <v>0</v>
      </c>
      <c r="AJ117" s="34">
        <f t="shared" si="173"/>
        <v>-38920</v>
      </c>
      <c r="AK117" s="34">
        <f t="shared" si="174"/>
        <v>-71746</v>
      </c>
      <c r="AL117" s="34">
        <f t="shared" si="175"/>
        <v>-75446</v>
      </c>
      <c r="AM117" s="34">
        <f t="shared" si="176"/>
        <v>-75446</v>
      </c>
      <c r="AN117" s="34">
        <f t="shared" si="177"/>
        <v>-42776</v>
      </c>
      <c r="AO117" s="34">
        <f t="shared" si="178"/>
        <v>-19034</v>
      </c>
      <c r="AP117" s="34">
        <f t="shared" si="179"/>
        <v>-29743</v>
      </c>
      <c r="AQ117" s="34">
        <f t="shared" si="180"/>
        <v>-45395</v>
      </c>
      <c r="AR117" s="34">
        <f t="shared" si="181"/>
        <v>-17188</v>
      </c>
      <c r="AS117" s="34">
        <f t="shared" si="182"/>
        <v>47733</v>
      </c>
      <c r="AT117" s="69"/>
      <c r="AU117" s="82">
        <f t="shared" si="160"/>
        <v>-3.5077755595250606</v>
      </c>
    </row>
    <row r="118" spans="2:47" ht="12.75" customHeight="1">
      <c r="B118" s="14" t="s">
        <v>78</v>
      </c>
      <c r="C118" s="36">
        <f>SUM(C111:C117)</f>
        <v>4048527</v>
      </c>
      <c r="D118" s="36">
        <f>SUM(D111:D117)</f>
        <v>4505662</v>
      </c>
      <c r="E118" s="36">
        <f>SUM(E111:E117)</f>
        <v>1237311</v>
      </c>
      <c r="F118" s="36">
        <f>SUM(F111:F117)</f>
        <v>-1149776</v>
      </c>
      <c r="G118" s="36">
        <f>SUM(G111:G117)</f>
        <v>-664254</v>
      </c>
      <c r="H118" s="36">
        <f>SUM(H111:H117)</f>
        <v>-5950803</v>
      </c>
      <c r="I118" s="36">
        <f>SUM(I111:I117)</f>
        <v>-4074427</v>
      </c>
      <c r="J118" s="34"/>
      <c r="K118" s="36">
        <f>SUM(K111:K117)</f>
        <v>-451929</v>
      </c>
      <c r="L118" s="36">
        <f>SUM(L111:L117)</f>
        <v>-480273</v>
      </c>
      <c r="M118" s="36">
        <f>SUM(M111:M117)</f>
        <v>-81555</v>
      </c>
      <c r="N118" s="36">
        <f>SUM(N111:N117)</f>
        <v>-136019</v>
      </c>
      <c r="O118" s="36">
        <f>SUM(O111:O117)</f>
        <v>-686322</v>
      </c>
      <c r="P118" s="36">
        <f>SUM(P111:P117)</f>
        <v>11250</v>
      </c>
      <c r="Q118" s="36">
        <f>SUM(Q111:Q117)</f>
        <v>4113</v>
      </c>
      <c r="R118" s="36">
        <f>SUM(R111:R117)</f>
        <v>6705</v>
      </c>
      <c r="S118" s="36">
        <f>SUM(S111:S117)</f>
        <v>-374073</v>
      </c>
      <c r="T118" s="36">
        <f>SUM(T111:T117)</f>
        <v>-649349</v>
      </c>
      <c r="U118" s="36">
        <f>SUM(U111:U117)</f>
        <v>-2475108</v>
      </c>
      <c r="V118" s="36">
        <f>SUM(V111:V117)</f>
        <v>-2452273</v>
      </c>
      <c r="W118" s="36">
        <f>SUM(W111:W117)</f>
        <v>-2132944</v>
      </c>
      <c r="X118" s="36">
        <f>SUM(X111:X117)</f>
        <v>-1489381</v>
      </c>
      <c r="Y118" s="36">
        <f>SUM(Y111:Y117)</f>
        <v>226596</v>
      </c>
      <c r="Z118" s="36">
        <f>SUM(Z111:Z117)</f>
        <v>-678698</v>
      </c>
      <c r="AA118" s="36">
        <f>SUM(AA111:AA117)</f>
        <v>-4028316</v>
      </c>
      <c r="AB118" s="36">
        <f>SUM(AB111:AB117)</f>
        <v>-2502868</v>
      </c>
      <c r="AC118" s="36">
        <f>SUM(AC111:AC117)</f>
        <v>-1737029</v>
      </c>
      <c r="AD118" s="34"/>
      <c r="AE118" s="36">
        <f>SUM(AE111:AE117)</f>
        <v>-1384169</v>
      </c>
      <c r="AF118" s="36">
        <f>SUM(AF111:AF117)</f>
        <v>-892646</v>
      </c>
      <c r="AG118" s="36">
        <f>SUM(AG111:AG117)</f>
        <v>-806978</v>
      </c>
      <c r="AH118" s="36">
        <f>SUM(AH111:AH117)</f>
        <v>-664254</v>
      </c>
      <c r="AI118" s="36">
        <f>SUM(AI111:AI117)</f>
        <v>-352005</v>
      </c>
      <c r="AJ118" s="36">
        <f>SUM(AJ111:AJ117)</f>
        <v>-1012604</v>
      </c>
      <c r="AK118" s="36">
        <f>SUM(AK111:AK117)</f>
        <v>-3491825</v>
      </c>
      <c r="AL118" s="36">
        <f>SUM(AL111:AL117)</f>
        <v>-5950803</v>
      </c>
      <c r="AM118" s="36">
        <f>SUM(AM111:AM117)</f>
        <v>-7709674</v>
      </c>
      <c r="AN118" s="36">
        <f>SUM(AN111:AN117)</f>
        <v>-8549706</v>
      </c>
      <c r="AO118" s="36">
        <f>SUM(AO111:AO117)</f>
        <v>-5848002</v>
      </c>
      <c r="AP118" s="36">
        <f>SUM(AP111:AP117)</f>
        <v>-4074427</v>
      </c>
      <c r="AQ118" s="36">
        <f>SUM(AQ111:AQ117)</f>
        <v>-5969799</v>
      </c>
      <c r="AR118" s="36">
        <f>SUM(AR111:AR117)</f>
        <v>-6983286</v>
      </c>
      <c r="AS118" s="36">
        <f>SUM(AS111:AS117)</f>
        <v>-8946911</v>
      </c>
      <c r="AT118" s="45"/>
      <c r="AU118" s="83">
        <f t="shared" si="160"/>
        <v>0.52990901849896765</v>
      </c>
    </row>
    <row r="119" spans="2:47" ht="5.0999999999999996" customHeight="1">
      <c r="B119" s="8"/>
      <c r="C119" s="71"/>
      <c r="D119" s="71"/>
      <c r="E119" s="71"/>
      <c r="F119" s="71"/>
      <c r="G119" s="71"/>
      <c r="H119" s="71"/>
      <c r="I119" s="71"/>
      <c r="J119" s="34"/>
      <c r="K119" s="71"/>
      <c r="L119" s="71"/>
      <c r="M119" s="71"/>
      <c r="N119" s="71"/>
      <c r="O119" s="71"/>
      <c r="P119" s="71"/>
      <c r="Q119" s="71"/>
      <c r="R119" s="71"/>
      <c r="S119" s="71"/>
      <c r="T119" s="71"/>
      <c r="U119" s="71"/>
      <c r="V119" s="71"/>
      <c r="W119" s="71"/>
      <c r="X119" s="71"/>
      <c r="Y119" s="71"/>
      <c r="Z119" s="71"/>
      <c r="AA119" s="71"/>
      <c r="AB119" s="71"/>
      <c r="AC119" s="71"/>
      <c r="AE119" s="12"/>
      <c r="AF119" s="12"/>
      <c r="AG119" s="12"/>
      <c r="AH119" s="12"/>
      <c r="AI119" s="12"/>
      <c r="AJ119" s="12"/>
      <c r="AK119" s="12"/>
      <c r="AL119" s="12"/>
      <c r="AM119" s="12"/>
      <c r="AN119" s="12"/>
      <c r="AO119" s="12"/>
      <c r="AP119" s="12"/>
      <c r="AQ119" s="12"/>
      <c r="AR119" s="12"/>
      <c r="AS119" s="12"/>
      <c r="AT119" s="12"/>
      <c r="AU119" s="50"/>
    </row>
    <row r="120" spans="2:47" ht="5.0999999999999996" customHeight="1">
      <c r="B120" s="78"/>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c r="AT120" s="12"/>
      <c r="AU120" s="50"/>
    </row>
    <row r="121" spans="2:47">
      <c r="B121" s="174" t="s">
        <v>458</v>
      </c>
      <c r="C121" s="477">
        <v>2822795</v>
      </c>
      <c r="D121" s="175">
        <f t="shared" ref="D121:I121" si="187">C128</f>
        <v>3794483</v>
      </c>
      <c r="E121" s="175">
        <f t="shared" si="187"/>
        <v>5018437</v>
      </c>
      <c r="F121" s="175">
        <f t="shared" si="187"/>
        <v>8205550</v>
      </c>
      <c r="G121" s="175">
        <f t="shared" si="187"/>
        <v>6027804</v>
      </c>
      <c r="H121" s="175">
        <f t="shared" si="187"/>
        <v>5147176</v>
      </c>
      <c r="I121" s="175">
        <f t="shared" si="187"/>
        <v>7116913</v>
      </c>
      <c r="J121" s="175"/>
      <c r="K121" s="175">
        <f>E128</f>
        <v>8205550</v>
      </c>
      <c r="L121" s="175">
        <f t="shared" ref="L121:AC121" si="188">K128</f>
        <v>8403705</v>
      </c>
      <c r="M121" s="175">
        <f t="shared" si="188"/>
        <v>7777530</v>
      </c>
      <c r="N121" s="175">
        <f t="shared" si="188"/>
        <v>7526681</v>
      </c>
      <c r="O121" s="175">
        <f t="shared" si="188"/>
        <v>6027804</v>
      </c>
      <c r="P121" s="175">
        <f t="shared" si="188"/>
        <v>6008946</v>
      </c>
      <c r="Q121" s="175">
        <f t="shared" si="188"/>
        <v>5819449</v>
      </c>
      <c r="R121" s="175">
        <f t="shared" si="188"/>
        <v>6113733</v>
      </c>
      <c r="S121" s="175">
        <f t="shared" si="188"/>
        <v>5147176</v>
      </c>
      <c r="T121" s="175">
        <f t="shared" si="188"/>
        <v>6714594</v>
      </c>
      <c r="U121" s="175">
        <f t="shared" si="188"/>
        <v>7662788</v>
      </c>
      <c r="V121" s="175">
        <f t="shared" si="188"/>
        <v>7353245</v>
      </c>
      <c r="W121" s="175">
        <f t="shared" si="188"/>
        <v>7116913</v>
      </c>
      <c r="X121" s="175">
        <f t="shared" si="188"/>
        <v>7024766</v>
      </c>
      <c r="Y121" s="175">
        <f t="shared" si="188"/>
        <v>6624939</v>
      </c>
      <c r="Z121" s="175">
        <f t="shared" si="188"/>
        <v>7457025</v>
      </c>
      <c r="AA121" s="175">
        <f t="shared" si="188"/>
        <v>7804733</v>
      </c>
      <c r="AB121" s="175">
        <f t="shared" si="188"/>
        <v>7199848</v>
      </c>
      <c r="AC121" s="175">
        <f t="shared" si="188"/>
        <v>8177405</v>
      </c>
      <c r="AD121" s="175"/>
      <c r="AE121" s="175">
        <f>K128</f>
        <v>8403705</v>
      </c>
      <c r="AF121" s="175">
        <f>L128</f>
        <v>7777530</v>
      </c>
      <c r="AG121" s="175">
        <f>M128</f>
        <v>7526681</v>
      </c>
      <c r="AH121" s="175">
        <f>N128</f>
        <v>6027804</v>
      </c>
      <c r="AI121" s="175">
        <f>O128</f>
        <v>6008946</v>
      </c>
      <c r="AJ121" s="175">
        <f>P128</f>
        <v>5819449</v>
      </c>
      <c r="AK121" s="175">
        <f>Q128</f>
        <v>6113733</v>
      </c>
      <c r="AL121" s="175">
        <f>R128</f>
        <v>5147176</v>
      </c>
      <c r="AM121" s="175">
        <f>S128</f>
        <v>6714594</v>
      </c>
      <c r="AN121" s="175">
        <f>T128</f>
        <v>7662788</v>
      </c>
      <c r="AO121" s="175">
        <f>U128</f>
        <v>7353245</v>
      </c>
      <c r="AP121" s="175">
        <f>V128</f>
        <v>7116913</v>
      </c>
      <c r="AQ121" s="175">
        <f>W128</f>
        <v>7024766</v>
      </c>
      <c r="AR121" s="175">
        <f>X128</f>
        <v>6624939</v>
      </c>
      <c r="AS121" s="514">
        <f>Y128</f>
        <v>7457025</v>
      </c>
      <c r="AT121" s="12"/>
      <c r="AU121" s="50"/>
    </row>
    <row r="122" spans="2:47">
      <c r="B122" s="478" t="s">
        <v>641</v>
      </c>
      <c r="C122" s="89">
        <v>0</v>
      </c>
      <c r="D122" s="34">
        <f>-C126</f>
        <v>17558</v>
      </c>
      <c r="E122" s="34">
        <f>-D126</f>
        <v>25349</v>
      </c>
      <c r="F122" s="34">
        <f>-E126</f>
        <v>33320</v>
      </c>
      <c r="G122" s="34">
        <f t="shared" ref="G122:I122" si="189">-F126</f>
        <v>27307</v>
      </c>
      <c r="H122" s="34">
        <f t="shared" si="189"/>
        <v>23406</v>
      </c>
      <c r="I122" s="34">
        <f t="shared" si="189"/>
        <v>1602</v>
      </c>
      <c r="J122" s="34"/>
      <c r="K122" s="89">
        <f>-E126</f>
        <v>33320</v>
      </c>
      <c r="L122" s="34">
        <f t="shared" ref="L122:AC122" si="190">-K126</f>
        <v>32748</v>
      </c>
      <c r="M122" s="34">
        <f t="shared" si="190"/>
        <v>27088</v>
      </c>
      <c r="N122" s="34">
        <f t="shared" si="190"/>
        <v>26287</v>
      </c>
      <c r="O122" s="34">
        <f t="shared" si="190"/>
        <v>27307</v>
      </c>
      <c r="P122" s="34">
        <f t="shared" si="190"/>
        <v>25555</v>
      </c>
      <c r="Q122" s="34">
        <f t="shared" si="190"/>
        <v>24960</v>
      </c>
      <c r="R122" s="34">
        <f t="shared" si="190"/>
        <v>26581</v>
      </c>
      <c r="S122" s="34">
        <f t="shared" si="190"/>
        <v>23406</v>
      </c>
      <c r="T122" s="34">
        <f t="shared" si="190"/>
        <v>23425</v>
      </c>
      <c r="U122" s="34">
        <f t="shared" si="190"/>
        <v>3477</v>
      </c>
      <c r="V122" s="34">
        <f t="shared" si="190"/>
        <v>3591</v>
      </c>
      <c r="W122" s="34">
        <f t="shared" si="190"/>
        <v>1602</v>
      </c>
      <c r="X122" s="34">
        <f t="shared" si="190"/>
        <v>1823</v>
      </c>
      <c r="Y122" s="34">
        <f t="shared" si="190"/>
        <v>2106</v>
      </c>
      <c r="Z122" s="34">
        <f t="shared" si="190"/>
        <v>2060</v>
      </c>
      <c r="AA122" s="34">
        <f t="shared" si="190"/>
        <v>2604</v>
      </c>
      <c r="AB122" s="34">
        <f t="shared" si="190"/>
        <v>4180</v>
      </c>
      <c r="AC122" s="34">
        <f t="shared" si="190"/>
        <v>3168</v>
      </c>
      <c r="AD122" s="34"/>
      <c r="AE122" s="34">
        <f>-K126</f>
        <v>32748</v>
      </c>
      <c r="AF122" s="34">
        <f>-L126</f>
        <v>27088</v>
      </c>
      <c r="AG122" s="34">
        <f>-M126</f>
        <v>26287</v>
      </c>
      <c r="AH122" s="34">
        <f>-N126</f>
        <v>27307</v>
      </c>
      <c r="AI122" s="34">
        <f>-O126</f>
        <v>25555</v>
      </c>
      <c r="AJ122" s="34">
        <f>-P126</f>
        <v>24960</v>
      </c>
      <c r="AK122" s="34">
        <f>-Q126</f>
        <v>26581</v>
      </c>
      <c r="AL122" s="34">
        <f>-R126</f>
        <v>23406</v>
      </c>
      <c r="AM122" s="34">
        <f>-S126</f>
        <v>23425</v>
      </c>
      <c r="AN122" s="34">
        <f>-T126</f>
        <v>3477</v>
      </c>
      <c r="AO122" s="34">
        <f>-U126</f>
        <v>3591</v>
      </c>
      <c r="AP122" s="34">
        <f>-V126</f>
        <v>1602</v>
      </c>
      <c r="AQ122" s="34">
        <f>-W126</f>
        <v>1823</v>
      </c>
      <c r="AR122" s="34">
        <f>-X126</f>
        <v>2106</v>
      </c>
      <c r="AS122" s="506">
        <f>-Y126</f>
        <v>2060</v>
      </c>
      <c r="AT122" s="12"/>
      <c r="AU122" s="50"/>
    </row>
    <row r="123" spans="2:47">
      <c r="B123" s="171" t="s">
        <v>248</v>
      </c>
      <c r="C123" s="167">
        <f>SUM(C121:C122)</f>
        <v>2822795</v>
      </c>
      <c r="D123" s="167">
        <f>SUM(D121:D122)</f>
        <v>3812041</v>
      </c>
      <c r="E123" s="167">
        <f>SUM(E121:E122)</f>
        <v>5043786</v>
      </c>
      <c r="F123" s="167">
        <f>SUM(F121:F122)</f>
        <v>8238870</v>
      </c>
      <c r="G123" s="167">
        <f>SUM(G121:G122)</f>
        <v>6055111</v>
      </c>
      <c r="H123" s="167">
        <f>SUM(H121:H122)</f>
        <v>5170582</v>
      </c>
      <c r="I123" s="167">
        <f>SUM(I121:I122)</f>
        <v>7118515</v>
      </c>
      <c r="J123" s="34"/>
      <c r="K123" s="167">
        <f>SUM(K121:K122)</f>
        <v>8238870</v>
      </c>
      <c r="L123" s="167">
        <f>SUM(L121:L122)</f>
        <v>8436453</v>
      </c>
      <c r="M123" s="167">
        <f>SUM(M121:M122)</f>
        <v>7804618</v>
      </c>
      <c r="N123" s="167">
        <f>SUM(N121:N122)</f>
        <v>7552968</v>
      </c>
      <c r="O123" s="167">
        <f>SUM(O121:O122)</f>
        <v>6055111</v>
      </c>
      <c r="P123" s="167">
        <f>SUM(P121:P122)</f>
        <v>6034501</v>
      </c>
      <c r="Q123" s="167">
        <f>SUM(Q121:Q122)</f>
        <v>5844409</v>
      </c>
      <c r="R123" s="167">
        <f>SUM(R121:R122)</f>
        <v>6140314</v>
      </c>
      <c r="S123" s="167">
        <f>SUM(S121:S122)</f>
        <v>5170582</v>
      </c>
      <c r="T123" s="167">
        <f>SUM(T121:T122)</f>
        <v>6738019</v>
      </c>
      <c r="U123" s="167">
        <f>SUM(U121:U122)</f>
        <v>7666265</v>
      </c>
      <c r="V123" s="167">
        <f>SUM(V121:V122)</f>
        <v>7356836</v>
      </c>
      <c r="W123" s="167">
        <f>SUM(W121:W122)</f>
        <v>7118515</v>
      </c>
      <c r="X123" s="167">
        <f>SUM(X121:X122)</f>
        <v>7026589</v>
      </c>
      <c r="Y123" s="167">
        <f>SUM(Y121:Y122)</f>
        <v>6627045</v>
      </c>
      <c r="Z123" s="167">
        <f>SUM(Z121:Z122)</f>
        <v>7459085</v>
      </c>
      <c r="AA123" s="167">
        <f>SUM(AA121:AA122)</f>
        <v>7807337</v>
      </c>
      <c r="AB123" s="167">
        <f>SUM(AB121:AB122)</f>
        <v>7204028</v>
      </c>
      <c r="AC123" s="167">
        <f>SUM(AC121:AC122)</f>
        <v>8180573</v>
      </c>
      <c r="AD123" s="34"/>
      <c r="AE123" s="504">
        <f>SUM(AE121:AE122)</f>
        <v>8436453</v>
      </c>
      <c r="AF123" s="504">
        <f>SUM(AF121:AF122)</f>
        <v>7804618</v>
      </c>
      <c r="AG123" s="504">
        <f>SUM(AG121:AG122)</f>
        <v>7552968</v>
      </c>
      <c r="AH123" s="504">
        <f>SUM(AH121:AH122)</f>
        <v>6055111</v>
      </c>
      <c r="AI123" s="504">
        <f>SUM(AI121:AI122)</f>
        <v>6034501</v>
      </c>
      <c r="AJ123" s="504">
        <f>SUM(AJ121:AJ122)</f>
        <v>5844409</v>
      </c>
      <c r="AK123" s="504">
        <f>SUM(AK121:AK122)</f>
        <v>6140314</v>
      </c>
      <c r="AL123" s="504">
        <f>SUM(AL121:AL122)</f>
        <v>5170582</v>
      </c>
      <c r="AM123" s="504">
        <f>SUM(AM121:AM122)</f>
        <v>6738019</v>
      </c>
      <c r="AN123" s="504">
        <f>SUM(AN121:AN122)</f>
        <v>7666265</v>
      </c>
      <c r="AO123" s="504">
        <f>SUM(AO121:AO122)</f>
        <v>7356836</v>
      </c>
      <c r="AP123" s="504">
        <f>SUM(AP121:AP122)</f>
        <v>7118515</v>
      </c>
      <c r="AQ123" s="504">
        <f>SUM(AQ121:AQ122)</f>
        <v>7026589</v>
      </c>
      <c r="AR123" s="504">
        <f>SUM(AR121:AR122)</f>
        <v>6627045</v>
      </c>
      <c r="AS123" s="507">
        <f>SUM(AS121:AS122)</f>
        <v>7459085</v>
      </c>
      <c r="AT123" s="12"/>
      <c r="AU123" s="50"/>
    </row>
    <row r="124" spans="2:47" ht="5.0999999999999996" customHeight="1">
      <c r="B124" s="511"/>
      <c r="C124" s="78"/>
      <c r="D124" s="78"/>
      <c r="E124" s="78"/>
      <c r="F124" s="78"/>
      <c r="G124" s="78"/>
      <c r="H124" s="78"/>
      <c r="I124" s="78"/>
      <c r="J124" s="34"/>
      <c r="K124" s="78"/>
      <c r="L124" s="78"/>
      <c r="M124" s="78"/>
      <c r="N124" s="78"/>
      <c r="O124" s="78"/>
      <c r="P124" s="78"/>
      <c r="Q124" s="78"/>
      <c r="R124" s="78"/>
      <c r="S124" s="78"/>
      <c r="T124" s="78"/>
      <c r="U124" s="78"/>
      <c r="V124" s="78"/>
      <c r="W124" s="78"/>
      <c r="X124" s="78"/>
      <c r="Y124" s="78"/>
      <c r="Z124" s="78"/>
      <c r="AA124" s="78"/>
      <c r="AB124" s="78"/>
      <c r="AC124" s="78"/>
      <c r="AD124" s="34"/>
      <c r="AE124" s="78"/>
      <c r="AF124" s="78"/>
      <c r="AG124" s="78"/>
      <c r="AH124" s="78"/>
      <c r="AI124" s="78"/>
      <c r="AJ124" s="78"/>
      <c r="AK124" s="78"/>
      <c r="AL124" s="78"/>
      <c r="AM124" s="78"/>
      <c r="AN124" s="78"/>
      <c r="AO124" s="78"/>
      <c r="AP124" s="78"/>
      <c r="AQ124" s="78"/>
      <c r="AR124" s="78"/>
      <c r="AS124" s="508"/>
      <c r="AT124" s="12"/>
      <c r="AU124" s="50"/>
    </row>
    <row r="125" spans="2:47">
      <c r="B125" s="478" t="s">
        <v>459</v>
      </c>
      <c r="C125" s="89">
        <v>-39682</v>
      </c>
      <c r="D125" s="89">
        <v>469</v>
      </c>
      <c r="E125" s="89">
        <v>36050</v>
      </c>
      <c r="F125" s="89">
        <v>-86740</v>
      </c>
      <c r="G125" s="89">
        <v>-170140</v>
      </c>
      <c r="H125" s="89">
        <v>82684</v>
      </c>
      <c r="I125" s="89">
        <v>-416331</v>
      </c>
      <c r="J125" s="34"/>
      <c r="K125" s="89">
        <v>-42138</v>
      </c>
      <c r="L125" s="89">
        <v>23477</v>
      </c>
      <c r="M125" s="89">
        <v>-63843</v>
      </c>
      <c r="N125" s="34">
        <f>SUM(F125-SUM(K125:M125))</f>
        <v>-4236</v>
      </c>
      <c r="O125" s="89">
        <v>-11448</v>
      </c>
      <c r="P125" s="89">
        <v>-145198</v>
      </c>
      <c r="Q125" s="89">
        <v>-180058</v>
      </c>
      <c r="R125" s="34">
        <f>SUM(G125-SUM(O125:Q125))</f>
        <v>166564</v>
      </c>
      <c r="S125" s="89">
        <v>26423</v>
      </c>
      <c r="T125" s="89">
        <v>39626</v>
      </c>
      <c r="U125" s="89">
        <v>-122707</v>
      </c>
      <c r="V125" s="34">
        <f>SUM(H125-SUM(S125:U125))</f>
        <v>139342</v>
      </c>
      <c r="W125" s="89">
        <v>-95790</v>
      </c>
      <c r="X125" s="89">
        <v>-122723</v>
      </c>
      <c r="Y125" s="89">
        <v>153452</v>
      </c>
      <c r="Z125" s="34">
        <f>SUM(I125-SUM(W125:Y125))</f>
        <v>-351270</v>
      </c>
      <c r="AA125" s="89">
        <v>150146</v>
      </c>
      <c r="AB125" s="89">
        <v>287471</v>
      </c>
      <c r="AC125" s="89">
        <v>-21721</v>
      </c>
      <c r="AD125" s="34"/>
      <c r="AE125" s="34">
        <f>SUM(L125:O125)</f>
        <v>-56050</v>
      </c>
      <c r="AF125" s="34">
        <f>SUM(M125:P125)</f>
        <v>-224725</v>
      </c>
      <c r="AG125" s="34">
        <f>SUM(N125:Q125)</f>
        <v>-340940</v>
      </c>
      <c r="AH125" s="34">
        <f>SUM(O125:R125)</f>
        <v>-170140</v>
      </c>
      <c r="AI125" s="34">
        <f>SUM(P125:S125)</f>
        <v>-132269</v>
      </c>
      <c r="AJ125" s="34">
        <f>SUM(Q125:T125)</f>
        <v>52555</v>
      </c>
      <c r="AK125" s="34">
        <f>SUM(R125:U125)</f>
        <v>109906</v>
      </c>
      <c r="AL125" s="34">
        <f>SUM(S125:V125)</f>
        <v>82684</v>
      </c>
      <c r="AM125" s="34">
        <f>SUM(T125:W125)</f>
        <v>-39529</v>
      </c>
      <c r="AN125" s="34">
        <f>SUM(U125:X125)</f>
        <v>-201878</v>
      </c>
      <c r="AO125" s="34">
        <f>SUM(V125:Y125)</f>
        <v>74281</v>
      </c>
      <c r="AP125" s="34">
        <f>SUM(W125:Z125)</f>
        <v>-416331</v>
      </c>
      <c r="AQ125" s="34">
        <f>SUM(X125:AA125)</f>
        <v>-170395</v>
      </c>
      <c r="AR125" s="34">
        <f>SUM(Y125:AB125)</f>
        <v>239799</v>
      </c>
      <c r="AS125" s="506">
        <f>SUM(Z125:AC125)</f>
        <v>64626</v>
      </c>
      <c r="AT125" s="12"/>
      <c r="AU125" s="50"/>
    </row>
    <row r="126" spans="2:47">
      <c r="B126" s="478" t="s">
        <v>635</v>
      </c>
      <c r="C126" s="89">
        <v>-17558</v>
      </c>
      <c r="D126" s="89">
        <f>-(1863+23486)</f>
        <v>-25349</v>
      </c>
      <c r="E126" s="89">
        <f>-(31537+1783)</f>
        <v>-33320</v>
      </c>
      <c r="F126" s="89">
        <f>-(3189 +24118 )</f>
        <v>-27307</v>
      </c>
      <c r="G126" s="89">
        <f>-(19996+3410)</f>
        <v>-23406</v>
      </c>
      <c r="H126" s="89">
        <f>-(1466+136)</f>
        <v>-1602</v>
      </c>
      <c r="I126" s="89">
        <f>-(2472+132)</f>
        <v>-2604</v>
      </c>
      <c r="J126" s="34"/>
      <c r="K126" s="89">
        <f>-(30589 +2159)</f>
        <v>-32748</v>
      </c>
      <c r="L126" s="89">
        <f>-(24399  +2689)</f>
        <v>-27088</v>
      </c>
      <c r="M126" s="89">
        <f>-(24307 +1980)</f>
        <v>-26287</v>
      </c>
      <c r="N126" s="34">
        <f t="shared" ref="N126" si="191">F126</f>
        <v>-27307</v>
      </c>
      <c r="O126" s="89">
        <f>-(24600+955)</f>
        <v>-25555</v>
      </c>
      <c r="P126" s="89">
        <f>-(24056+904)</f>
        <v>-24960</v>
      </c>
      <c r="Q126" s="89">
        <f>-(23762+2819)</f>
        <v>-26581</v>
      </c>
      <c r="R126" s="362">
        <f t="shared" ref="R126" si="192">G126</f>
        <v>-23406</v>
      </c>
      <c r="S126" s="89">
        <f>-(19536+3889)</f>
        <v>-23425</v>
      </c>
      <c r="T126" s="89">
        <f>-(1763+1714)</f>
        <v>-3477</v>
      </c>
      <c r="U126" s="89">
        <f>-(1933+1658)</f>
        <v>-3591</v>
      </c>
      <c r="V126" s="34">
        <f t="shared" ref="V126" si="193">H126</f>
        <v>-1602</v>
      </c>
      <c r="W126" s="89">
        <f>-(1690+133)</f>
        <v>-1823</v>
      </c>
      <c r="X126" s="89">
        <f>-(1973+133)</f>
        <v>-2106</v>
      </c>
      <c r="Y126" s="89">
        <f>-(1923+137)</f>
        <v>-2060</v>
      </c>
      <c r="Z126" s="34">
        <f t="shared" ref="Z126" si="194">I126</f>
        <v>-2604</v>
      </c>
      <c r="AA126" s="89">
        <f>-(4044+136)</f>
        <v>-4180</v>
      </c>
      <c r="AB126" s="89">
        <f>-(3024+144)</f>
        <v>-3168</v>
      </c>
      <c r="AC126" s="89">
        <f>-(3437+144)</f>
        <v>-3581</v>
      </c>
      <c r="AD126" s="34"/>
      <c r="AE126" s="34">
        <f>O126</f>
        <v>-25555</v>
      </c>
      <c r="AF126" s="34">
        <f>P126</f>
        <v>-24960</v>
      </c>
      <c r="AG126" s="34">
        <f>Q126</f>
        <v>-26581</v>
      </c>
      <c r="AH126" s="34">
        <f>R126</f>
        <v>-23406</v>
      </c>
      <c r="AI126" s="34">
        <f>S126</f>
        <v>-23425</v>
      </c>
      <c r="AJ126" s="34">
        <f>T126</f>
        <v>-3477</v>
      </c>
      <c r="AK126" s="34">
        <f>U126</f>
        <v>-3591</v>
      </c>
      <c r="AL126" s="34">
        <f>V126</f>
        <v>-1602</v>
      </c>
      <c r="AM126" s="34">
        <f>W126</f>
        <v>-1823</v>
      </c>
      <c r="AN126" s="34">
        <f>X126</f>
        <v>-2106</v>
      </c>
      <c r="AO126" s="34">
        <f>Y126</f>
        <v>-2060</v>
      </c>
      <c r="AP126" s="34">
        <f>Z126</f>
        <v>-2604</v>
      </c>
      <c r="AQ126" s="34">
        <f>AA126</f>
        <v>-4180</v>
      </c>
      <c r="AR126" s="34">
        <f>AB126</f>
        <v>-3168</v>
      </c>
      <c r="AS126" s="506">
        <f>AC126</f>
        <v>-3581</v>
      </c>
      <c r="AT126" s="12"/>
      <c r="AU126" s="50"/>
    </row>
    <row r="127" spans="2:47">
      <c r="B127" s="478" t="s">
        <v>82</v>
      </c>
      <c r="C127" s="34">
        <f>+C118+C108+C100</f>
        <v>1028928</v>
      </c>
      <c r="D127" s="34">
        <f>+D118+D108+D100</f>
        <v>1231276</v>
      </c>
      <c r="E127" s="34">
        <f>+E118+E108+E100</f>
        <v>3159034</v>
      </c>
      <c r="F127" s="34">
        <f>+F118+F108+F100</f>
        <v>-2097019</v>
      </c>
      <c r="G127" s="34">
        <f>+G118+G108+G100</f>
        <v>-714389</v>
      </c>
      <c r="H127" s="34">
        <f>+H118+H108+H100</f>
        <v>1865249</v>
      </c>
      <c r="I127" s="34">
        <f>+I118+I108+I100</f>
        <v>1105153</v>
      </c>
      <c r="J127" s="34"/>
      <c r="K127" s="34">
        <f>+K118+K108+K100</f>
        <v>239721</v>
      </c>
      <c r="L127" s="34">
        <f>+L118+L108+L100</f>
        <v>-655312</v>
      </c>
      <c r="M127" s="34">
        <f>+M118+M108+M100</f>
        <v>-187807</v>
      </c>
      <c r="N127" s="34">
        <f>+N118+N108+N100</f>
        <v>-1493621</v>
      </c>
      <c r="O127" s="34">
        <f>+O118+O108+O100</f>
        <v>-9162</v>
      </c>
      <c r="P127" s="34">
        <f>+P118+P108+P100</f>
        <v>-44894</v>
      </c>
      <c r="Q127" s="34">
        <f>+Q118+Q108+Q100</f>
        <v>475963</v>
      </c>
      <c r="R127" s="34">
        <f>+R118+R108+R100</f>
        <v>-1136296</v>
      </c>
      <c r="S127" s="34">
        <f>+S118+S108+S100</f>
        <v>1541014</v>
      </c>
      <c r="T127" s="34">
        <f>+T118+T108+T100</f>
        <v>888620</v>
      </c>
      <c r="U127" s="34">
        <f>+U118+U108+U100</f>
        <v>-186722</v>
      </c>
      <c r="V127" s="34">
        <f>+V118+V108+V100</f>
        <v>-377663</v>
      </c>
      <c r="W127" s="34">
        <f>+W118+W108+W100</f>
        <v>3864</v>
      </c>
      <c r="X127" s="34">
        <f>+X118+X108+X100</f>
        <v>-276821</v>
      </c>
      <c r="Y127" s="34">
        <f>+Y118+Y108+Y100</f>
        <v>678588</v>
      </c>
      <c r="Z127" s="34">
        <f>+Z118+Z108+Z100</f>
        <v>699522</v>
      </c>
      <c r="AA127" s="34">
        <f>+AA118+AA108+AA100</f>
        <v>-753455</v>
      </c>
      <c r="AB127" s="34">
        <f>+AB118+AB108+AB100</f>
        <v>689074</v>
      </c>
      <c r="AC127" s="34">
        <f>+AC118+AC108+AC100</f>
        <v>1132016</v>
      </c>
      <c r="AD127" s="34"/>
      <c r="AE127" s="34">
        <f>SUM(L127:O127)</f>
        <v>-2345902</v>
      </c>
      <c r="AF127" s="34">
        <f>SUM(M127:P127)</f>
        <v>-1735484</v>
      </c>
      <c r="AG127" s="34">
        <f>SUM(N127:Q127)</f>
        <v>-1071714</v>
      </c>
      <c r="AH127" s="34">
        <f>SUM(O127:R127)</f>
        <v>-714389</v>
      </c>
      <c r="AI127" s="34">
        <f>SUM(P127:S127)</f>
        <v>835787</v>
      </c>
      <c r="AJ127" s="34">
        <f>SUM(Q127:T127)</f>
        <v>1769301</v>
      </c>
      <c r="AK127" s="34">
        <f>SUM(R127:U127)</f>
        <v>1106616</v>
      </c>
      <c r="AL127" s="34">
        <f>SUM(S127:V127)</f>
        <v>1865249</v>
      </c>
      <c r="AM127" s="34">
        <f>SUM(T127:W127)</f>
        <v>328099</v>
      </c>
      <c r="AN127" s="34">
        <f>SUM(U127:X127)</f>
        <v>-837342</v>
      </c>
      <c r="AO127" s="34">
        <f>SUM(V127:Y127)</f>
        <v>27968</v>
      </c>
      <c r="AP127" s="34">
        <f>SUM(W127:Z127)</f>
        <v>1105153</v>
      </c>
      <c r="AQ127" s="34">
        <f>SUM(X127:AA127)</f>
        <v>347834</v>
      </c>
      <c r="AR127" s="34">
        <f>SUM(Y127:AB127)</f>
        <v>1313729</v>
      </c>
      <c r="AS127" s="506">
        <f>SUM(Z127:AC127)</f>
        <v>1767157</v>
      </c>
      <c r="AT127" s="12"/>
      <c r="AU127" s="50"/>
    </row>
    <row r="128" spans="2:47">
      <c r="B128" s="171" t="s">
        <v>249</v>
      </c>
      <c r="C128" s="167">
        <f t="shared" ref="C128:I128" si="195">SUM(C123:C127)</f>
        <v>3794483</v>
      </c>
      <c r="D128" s="167">
        <f t="shared" si="195"/>
        <v>5018437</v>
      </c>
      <c r="E128" s="167">
        <f t="shared" si="195"/>
        <v>8205550</v>
      </c>
      <c r="F128" s="167">
        <f t="shared" si="195"/>
        <v>6027804</v>
      </c>
      <c r="G128" s="167">
        <f t="shared" si="195"/>
        <v>5147176</v>
      </c>
      <c r="H128" s="167">
        <f t="shared" si="195"/>
        <v>7116913</v>
      </c>
      <c r="I128" s="167">
        <f t="shared" si="195"/>
        <v>7804733</v>
      </c>
      <c r="J128" s="34"/>
      <c r="K128" s="167">
        <f t="shared" ref="K128:AC128" si="196">SUM(K123:K127)</f>
        <v>8403705</v>
      </c>
      <c r="L128" s="167">
        <f t="shared" si="196"/>
        <v>7777530</v>
      </c>
      <c r="M128" s="167">
        <f t="shared" si="196"/>
        <v>7526681</v>
      </c>
      <c r="N128" s="167">
        <f t="shared" si="196"/>
        <v>6027804</v>
      </c>
      <c r="O128" s="167">
        <f t="shared" si="196"/>
        <v>6008946</v>
      </c>
      <c r="P128" s="167">
        <f t="shared" si="196"/>
        <v>5819449</v>
      </c>
      <c r="Q128" s="167">
        <f t="shared" si="196"/>
        <v>6113733</v>
      </c>
      <c r="R128" s="167">
        <f t="shared" si="196"/>
        <v>5147176</v>
      </c>
      <c r="S128" s="167">
        <f t="shared" si="196"/>
        <v>6714594</v>
      </c>
      <c r="T128" s="167">
        <f t="shared" si="196"/>
        <v>7662788</v>
      </c>
      <c r="U128" s="167">
        <f t="shared" si="196"/>
        <v>7353245</v>
      </c>
      <c r="V128" s="167">
        <f t="shared" si="196"/>
        <v>7116913</v>
      </c>
      <c r="W128" s="167">
        <f t="shared" si="196"/>
        <v>7024766</v>
      </c>
      <c r="X128" s="167">
        <f t="shared" si="196"/>
        <v>6624939</v>
      </c>
      <c r="Y128" s="167">
        <f t="shared" si="196"/>
        <v>7457025</v>
      </c>
      <c r="Z128" s="167">
        <f t="shared" si="196"/>
        <v>7804733</v>
      </c>
      <c r="AA128" s="167">
        <f t="shared" si="196"/>
        <v>7199848</v>
      </c>
      <c r="AB128" s="167">
        <f t="shared" si="196"/>
        <v>8177405</v>
      </c>
      <c r="AC128" s="167">
        <f t="shared" si="196"/>
        <v>9287287</v>
      </c>
      <c r="AD128" s="34"/>
      <c r="AE128" s="505">
        <f t="shared" ref="AE128:AG128" si="197">SUM(AE123:AE127)</f>
        <v>6008946</v>
      </c>
      <c r="AF128" s="505">
        <f t="shared" si="197"/>
        <v>5819449</v>
      </c>
      <c r="AG128" s="505">
        <f t="shared" si="197"/>
        <v>6113733</v>
      </c>
      <c r="AH128" s="505">
        <f t="shared" ref="AH128:AS128" si="198">SUM(AH123:AH127)</f>
        <v>5147176</v>
      </c>
      <c r="AI128" s="505">
        <f t="shared" si="198"/>
        <v>6714594</v>
      </c>
      <c r="AJ128" s="505">
        <f t="shared" si="198"/>
        <v>7662788</v>
      </c>
      <c r="AK128" s="505">
        <f t="shared" si="198"/>
        <v>7353245</v>
      </c>
      <c r="AL128" s="505">
        <f t="shared" si="198"/>
        <v>7116913</v>
      </c>
      <c r="AM128" s="505">
        <f t="shared" si="198"/>
        <v>7024766</v>
      </c>
      <c r="AN128" s="505">
        <f t="shared" si="198"/>
        <v>6624939</v>
      </c>
      <c r="AO128" s="505">
        <f t="shared" si="198"/>
        <v>7457025</v>
      </c>
      <c r="AP128" s="505">
        <f t="shared" si="198"/>
        <v>7804733</v>
      </c>
      <c r="AQ128" s="505">
        <f t="shared" si="198"/>
        <v>7199848</v>
      </c>
      <c r="AR128" s="505">
        <f t="shared" si="198"/>
        <v>8177405</v>
      </c>
      <c r="AS128" s="509">
        <f t="shared" si="198"/>
        <v>9287287</v>
      </c>
      <c r="AT128" s="12"/>
      <c r="AU128" s="50"/>
    </row>
    <row r="129" spans="2:47" ht="5.0999999999999996" customHeight="1">
      <c r="B129" s="172"/>
      <c r="C129" s="71"/>
      <c r="D129" s="71"/>
      <c r="E129" s="71"/>
      <c r="F129" s="71"/>
      <c r="G129" s="71"/>
      <c r="H129" s="71"/>
      <c r="I129" s="71"/>
      <c r="J129" s="34"/>
      <c r="K129" s="71"/>
      <c r="L129" s="71"/>
      <c r="M129" s="71"/>
      <c r="N129" s="71"/>
      <c r="O129" s="71"/>
      <c r="P129" s="71"/>
      <c r="Q129" s="71"/>
      <c r="R129" s="71"/>
      <c r="S129" s="71"/>
      <c r="T129" s="71"/>
      <c r="U129" s="71"/>
      <c r="V129" s="71"/>
      <c r="W129" s="71"/>
      <c r="X129" s="71"/>
      <c r="Y129" s="71"/>
      <c r="Z129" s="71"/>
      <c r="AA129" s="71"/>
      <c r="AB129" s="71"/>
      <c r="AC129" s="71"/>
      <c r="AE129" s="12"/>
      <c r="AF129" s="12"/>
      <c r="AG129" s="12"/>
      <c r="AH129" s="12"/>
      <c r="AI129" s="12"/>
      <c r="AJ129" s="12"/>
      <c r="AK129" s="12"/>
      <c r="AL129" s="12"/>
      <c r="AM129" s="12"/>
      <c r="AN129" s="12"/>
      <c r="AO129" s="12"/>
      <c r="AP129" s="12"/>
      <c r="AQ129" s="12"/>
      <c r="AR129" s="591"/>
      <c r="AS129" s="173"/>
      <c r="AT129" s="12"/>
      <c r="AU129" s="50"/>
    </row>
    <row r="130" spans="2:47">
      <c r="B130" s="512" t="s">
        <v>526</v>
      </c>
      <c r="C130" s="169">
        <f>C128-C43</f>
        <v>0</v>
      </c>
      <c r="D130" s="169">
        <f>D128-D43</f>
        <v>0</v>
      </c>
      <c r="E130" s="169">
        <f>E128-E43</f>
        <v>0</v>
      </c>
      <c r="F130" s="169">
        <f>F128-F43</f>
        <v>0</v>
      </c>
      <c r="G130" s="169">
        <f>G128-G43</f>
        <v>0</v>
      </c>
      <c r="H130" s="169">
        <f>H128-H43</f>
        <v>0</v>
      </c>
      <c r="I130" s="169">
        <f>I128-I43</f>
        <v>0</v>
      </c>
      <c r="J130" s="170"/>
      <c r="K130" s="169">
        <f>K128-K43</f>
        <v>0</v>
      </c>
      <c r="L130" s="169">
        <f>L128-L43</f>
        <v>0</v>
      </c>
      <c r="M130" s="169">
        <f>M128-M43</f>
        <v>0</v>
      </c>
      <c r="N130" s="169">
        <f>N128-N43</f>
        <v>0</v>
      </c>
      <c r="O130" s="169">
        <f>O128-O43</f>
        <v>0</v>
      </c>
      <c r="P130" s="169">
        <f>P128-P43</f>
        <v>0</v>
      </c>
      <c r="Q130" s="169">
        <f>Q128-Q43</f>
        <v>0</v>
      </c>
      <c r="R130" s="169">
        <f>R128-R43</f>
        <v>0</v>
      </c>
      <c r="S130" s="169">
        <f>S128-S43</f>
        <v>0</v>
      </c>
      <c r="T130" s="169">
        <f>T128-T43</f>
        <v>0</v>
      </c>
      <c r="U130" s="169">
        <f>U128-U43</f>
        <v>0</v>
      </c>
      <c r="V130" s="169">
        <f>V128-V43</f>
        <v>0</v>
      </c>
      <c r="W130" s="169">
        <f>W128-W43</f>
        <v>0</v>
      </c>
      <c r="X130" s="169">
        <f>X128-X43</f>
        <v>0</v>
      </c>
      <c r="Y130" s="169">
        <f>Y128-Y43</f>
        <v>0</v>
      </c>
      <c r="Z130" s="169">
        <f>Z128-Z43</f>
        <v>0</v>
      </c>
      <c r="AA130" s="169">
        <f>AA128-AA43</f>
        <v>0</v>
      </c>
      <c r="AB130" s="169">
        <f>AB128-AB43</f>
        <v>0</v>
      </c>
      <c r="AC130" s="169">
        <f>AC128-AC43</f>
        <v>0</v>
      </c>
      <c r="AD130" s="169"/>
      <c r="AE130" s="169">
        <f>AE128-AE43</f>
        <v>0</v>
      </c>
      <c r="AF130" s="169">
        <f>AF128-AF43</f>
        <v>0</v>
      </c>
      <c r="AG130" s="169">
        <f>AG128-AG43</f>
        <v>0</v>
      </c>
      <c r="AH130" s="169">
        <f>AH128-AH43</f>
        <v>0</v>
      </c>
      <c r="AI130" s="169">
        <f>AI128-AI43</f>
        <v>0</v>
      </c>
      <c r="AJ130" s="169">
        <f>AJ128-AJ43</f>
        <v>0</v>
      </c>
      <c r="AK130" s="169">
        <f>AK128-AK43</f>
        <v>0</v>
      </c>
      <c r="AL130" s="169">
        <f>AL128-AL43</f>
        <v>0</v>
      </c>
      <c r="AM130" s="169">
        <f>AM128-AM43</f>
        <v>0</v>
      </c>
      <c r="AN130" s="169">
        <f>AN128-AN43</f>
        <v>0</v>
      </c>
      <c r="AO130" s="169">
        <f>AO128-AO43</f>
        <v>0</v>
      </c>
      <c r="AP130" s="169">
        <f>AP128-AP43</f>
        <v>0</v>
      </c>
      <c r="AQ130" s="169">
        <f>AQ128-AQ43</f>
        <v>0</v>
      </c>
      <c r="AR130" s="169">
        <f>AR128-AR43</f>
        <v>0</v>
      </c>
      <c r="AS130" s="510">
        <f>AS128-AS43</f>
        <v>0</v>
      </c>
      <c r="AT130" s="12"/>
      <c r="AU130" s="50"/>
    </row>
    <row r="131" spans="2:47" ht="5.0999999999999996" customHeight="1">
      <c r="B131" s="8"/>
      <c r="C131" s="71"/>
      <c r="D131" s="71"/>
      <c r="E131" s="71"/>
      <c r="F131" s="71"/>
      <c r="G131" s="71"/>
      <c r="H131" s="71"/>
      <c r="I131" s="71"/>
      <c r="J131" s="34"/>
      <c r="K131" s="71"/>
      <c r="L131" s="71"/>
      <c r="M131" s="71"/>
      <c r="N131" s="71"/>
      <c r="O131" s="71"/>
      <c r="P131" s="71"/>
      <c r="Q131" s="71"/>
      <c r="R131" s="71"/>
      <c r="S131" s="71"/>
      <c r="T131" s="71"/>
      <c r="U131" s="71"/>
      <c r="V131" s="71"/>
      <c r="W131" s="71"/>
      <c r="X131" s="71"/>
      <c r="Y131" s="71"/>
      <c r="Z131" s="71"/>
      <c r="AA131" s="71"/>
      <c r="AB131" s="71"/>
      <c r="AC131" s="71"/>
      <c r="AE131" s="12"/>
      <c r="AF131" s="12"/>
      <c r="AG131" s="12"/>
      <c r="AH131" s="12"/>
      <c r="AI131" s="12"/>
      <c r="AJ131" s="12"/>
      <c r="AK131" s="12"/>
      <c r="AL131" s="12"/>
      <c r="AM131" s="12"/>
      <c r="AN131" s="12"/>
      <c r="AO131" s="12"/>
      <c r="AP131" s="12"/>
      <c r="AQ131" s="12"/>
      <c r="AR131" s="12"/>
      <c r="AS131" s="12"/>
      <c r="AT131" s="12"/>
      <c r="AU131" s="50"/>
    </row>
    <row r="132" spans="2:47" ht="12.75" customHeight="1">
      <c r="B132" s="79" t="s">
        <v>83</v>
      </c>
      <c r="C132" s="67"/>
      <c r="D132" s="67"/>
      <c r="E132" s="67"/>
      <c r="F132" s="67"/>
      <c r="G132" s="67"/>
      <c r="H132" s="67"/>
      <c r="I132" s="67"/>
      <c r="J132" s="12"/>
      <c r="K132" s="67"/>
      <c r="L132" s="67"/>
      <c r="M132" s="67"/>
      <c r="N132" s="67"/>
      <c r="O132" s="67"/>
      <c r="P132" s="67"/>
      <c r="Q132" s="67"/>
      <c r="R132" s="67"/>
      <c r="S132" s="67"/>
      <c r="T132" s="67"/>
      <c r="U132" s="67"/>
      <c r="V132" s="67"/>
      <c r="W132" s="67"/>
      <c r="X132" s="67"/>
      <c r="Y132" s="67"/>
      <c r="Z132" s="67"/>
      <c r="AA132" s="89"/>
      <c r="AB132" s="67"/>
      <c r="AC132" s="67"/>
      <c r="AE132" s="67"/>
      <c r="AF132" s="67"/>
      <c r="AG132" s="67"/>
      <c r="AH132" s="67"/>
      <c r="AI132" s="67"/>
      <c r="AJ132" s="67"/>
      <c r="AK132" s="67"/>
      <c r="AL132" s="67"/>
      <c r="AM132" s="67"/>
      <c r="AN132" s="67"/>
      <c r="AO132" s="67"/>
      <c r="AP132" s="67"/>
      <c r="AQ132" s="67"/>
      <c r="AR132" s="67"/>
      <c r="AS132" s="67"/>
      <c r="AT132" s="72"/>
      <c r="AU132" s="50"/>
    </row>
    <row r="133" spans="2:47" ht="12.75" customHeight="1">
      <c r="B133" s="8" t="s">
        <v>639</v>
      </c>
      <c r="C133" s="467">
        <v>131069</v>
      </c>
      <c r="D133" s="89">
        <v>400658</v>
      </c>
      <c r="E133" s="89">
        <v>291582</v>
      </c>
      <c r="F133" s="89">
        <v>509265</v>
      </c>
      <c r="G133" s="89">
        <v>811720</v>
      </c>
      <c r="H133" s="89">
        <v>1154973</v>
      </c>
      <c r="I133" s="89">
        <v>1641530</v>
      </c>
      <c r="J133" s="12"/>
      <c r="K133" s="67">
        <f>$F$133/4</f>
        <v>127316.25</v>
      </c>
      <c r="L133" s="67">
        <f t="shared" ref="L133:O134" si="199">$F$133/4</f>
        <v>127316.25</v>
      </c>
      <c r="M133" s="67">
        <f t="shared" si="199"/>
        <v>127316.25</v>
      </c>
      <c r="N133" s="34">
        <f t="shared" ref="N133" si="200">SUM(F133-SUM(K133:M133))</f>
        <v>127316.25</v>
      </c>
      <c r="O133" s="67">
        <f>$G$133/4</f>
        <v>202930</v>
      </c>
      <c r="P133" s="67">
        <f t="shared" ref="P133:S133" si="201">$G$133/4</f>
        <v>202930</v>
      </c>
      <c r="Q133" s="67">
        <f t="shared" si="201"/>
        <v>202930</v>
      </c>
      <c r="R133" s="34">
        <f t="shared" ref="R133" si="202">SUM(G133-SUM(O133:Q133))</f>
        <v>202930</v>
      </c>
      <c r="S133" s="67">
        <f>$H$133/4</f>
        <v>288743.25</v>
      </c>
      <c r="T133" s="67">
        <f t="shared" ref="T133:W133" si="203">$H$133/4</f>
        <v>288743.25</v>
      </c>
      <c r="U133" s="67">
        <f t="shared" si="203"/>
        <v>288743.25</v>
      </c>
      <c r="V133" s="34">
        <f t="shared" ref="V133" si="204">SUM(H133-SUM(S133:U133))</f>
        <v>288743.25</v>
      </c>
      <c r="W133" s="67">
        <f>$I$133/4</f>
        <v>410382.5</v>
      </c>
      <c r="X133" s="67">
        <f t="shared" ref="X133:Y133" si="205">$I$133/4</f>
        <v>410382.5</v>
      </c>
      <c r="Y133" s="67">
        <f t="shared" si="205"/>
        <v>410382.5</v>
      </c>
      <c r="Z133" s="34">
        <f t="shared" ref="Z133" si="206">SUM(I133-SUM(W133:Y133))</f>
        <v>410382.5</v>
      </c>
      <c r="AA133" s="89">
        <f>Z133</f>
        <v>410382.5</v>
      </c>
      <c r="AB133" s="89">
        <f t="shared" ref="AB133:AC133" si="207">AA133</f>
        <v>410382.5</v>
      </c>
      <c r="AC133" s="89">
        <f t="shared" si="207"/>
        <v>410382.5</v>
      </c>
      <c r="AE133" s="34">
        <f t="shared" ref="AE133" si="208">SUM(L133:O133)</f>
        <v>584878.75</v>
      </c>
      <c r="AF133" s="34">
        <f t="shared" ref="AF133" si="209">SUM(M133:P133)</f>
        <v>660492.5</v>
      </c>
      <c r="AG133" s="34">
        <f t="shared" ref="AG133" si="210">SUM(N133:Q133)</f>
        <v>736106.25</v>
      </c>
      <c r="AH133" s="34">
        <f t="shared" ref="AH133" si="211">SUM(O133:R133)</f>
        <v>811720</v>
      </c>
      <c r="AI133" s="34">
        <f t="shared" ref="AI133" si="212">SUM(P133:S133)</f>
        <v>897533.25</v>
      </c>
      <c r="AJ133" s="34">
        <f t="shared" ref="AJ133" si="213">SUM(Q133:T133)</f>
        <v>983346.5</v>
      </c>
      <c r="AK133" s="34">
        <f t="shared" ref="AK133" si="214">SUM(R133:U133)</f>
        <v>1069159.75</v>
      </c>
      <c r="AL133" s="34">
        <f t="shared" ref="AL133" si="215">SUM(S133:V133)</f>
        <v>1154973</v>
      </c>
      <c r="AM133" s="34">
        <f t="shared" ref="AM133" si="216">SUM(T133:W133)</f>
        <v>1276612.25</v>
      </c>
      <c r="AN133" s="34">
        <f t="shared" ref="AN133" si="217">SUM(U133:X133)</f>
        <v>1398251.5</v>
      </c>
      <c r="AO133" s="34">
        <f t="shared" ref="AO133" si="218">SUM(V133:Y133)</f>
        <v>1519890.75</v>
      </c>
      <c r="AP133" s="34">
        <f t="shared" ref="AP133" si="219">SUM(W133:Z133)</f>
        <v>1641530</v>
      </c>
      <c r="AQ133" s="34">
        <f t="shared" ref="AQ133" si="220">SUM(X133:AA133)</f>
        <v>1641530</v>
      </c>
      <c r="AR133" s="34">
        <f t="shared" ref="AR133" si="221">SUM(Y133:AB133)</f>
        <v>1641530</v>
      </c>
      <c r="AS133" s="34">
        <f t="shared" ref="AS133" si="222">SUM(Z133:AC133)</f>
        <v>1641530</v>
      </c>
      <c r="AT133" s="72"/>
      <c r="AU133" s="50"/>
    </row>
    <row r="134" spans="2:47" ht="12.75" customHeight="1">
      <c r="B134" s="8" t="s">
        <v>640</v>
      </c>
      <c r="C134" s="89">
        <v>375831</v>
      </c>
      <c r="D134" s="89">
        <v>599132</v>
      </c>
      <c r="E134" s="89">
        <v>762904</v>
      </c>
      <c r="F134" s="89">
        <v>763432</v>
      </c>
      <c r="G134" s="89">
        <v>701693</v>
      </c>
      <c r="H134" s="89">
        <v>684504</v>
      </c>
      <c r="I134" s="89">
        <v>674502</v>
      </c>
      <c r="J134" s="34"/>
      <c r="K134" s="67">
        <f t="shared" ref="K134" si="223">$F$133/4</f>
        <v>127316.25</v>
      </c>
      <c r="L134" s="67">
        <f t="shared" si="199"/>
        <v>127316.25</v>
      </c>
      <c r="M134" s="67">
        <f t="shared" si="199"/>
        <v>127316.25</v>
      </c>
      <c r="N134" s="34">
        <f>SUM(F134-SUM(K134:M134))</f>
        <v>381483.25</v>
      </c>
      <c r="O134" s="67">
        <f>$G$134/4</f>
        <v>175423.25</v>
      </c>
      <c r="P134" s="67">
        <f t="shared" ref="P134:S134" si="224">$G$134/4</f>
        <v>175423.25</v>
      </c>
      <c r="Q134" s="67">
        <f t="shared" si="224"/>
        <v>175423.25</v>
      </c>
      <c r="R134" s="34">
        <f>SUM(G134-SUM(O134:Q134))</f>
        <v>175423.25</v>
      </c>
      <c r="S134" s="67">
        <f>$H$134/4</f>
        <v>171126</v>
      </c>
      <c r="T134" s="67">
        <f t="shared" ref="T134:U134" si="225">$H$134/4</f>
        <v>171126</v>
      </c>
      <c r="U134" s="67">
        <f t="shared" si="225"/>
        <v>171126</v>
      </c>
      <c r="V134" s="34">
        <f>SUM(H134-SUM(S134:U134))</f>
        <v>171126</v>
      </c>
      <c r="W134" s="67">
        <f>$I$134/4</f>
        <v>168625.5</v>
      </c>
      <c r="X134" s="67">
        <f t="shared" ref="X134:Y134" si="226">$I$134/4</f>
        <v>168625.5</v>
      </c>
      <c r="Y134" s="67">
        <f t="shared" si="226"/>
        <v>168625.5</v>
      </c>
      <c r="Z134" s="34">
        <f>SUM(I134-SUM(W134:Y134))</f>
        <v>168625.5</v>
      </c>
      <c r="AA134" s="89">
        <f t="shared" ref="AA134:AC134" si="227">Z134</f>
        <v>168625.5</v>
      </c>
      <c r="AB134" s="89">
        <f t="shared" si="227"/>
        <v>168625.5</v>
      </c>
      <c r="AC134" s="89">
        <f t="shared" si="227"/>
        <v>168625.5</v>
      </c>
      <c r="AD134" s="34"/>
      <c r="AE134" s="34">
        <f>SUM(L134:O134)</f>
        <v>811539</v>
      </c>
      <c r="AF134" s="34">
        <f>SUM(M134:P134)</f>
        <v>859646</v>
      </c>
      <c r="AG134" s="34">
        <f>SUM(N134:Q134)</f>
        <v>907753</v>
      </c>
      <c r="AH134" s="34">
        <f>SUM(O134:R134)</f>
        <v>701693</v>
      </c>
      <c r="AI134" s="34">
        <f>SUM(P134:S134)</f>
        <v>697395.75</v>
      </c>
      <c r="AJ134" s="34">
        <f t="shared" ref="AJ134:AS134" si="228">SUM(Q134:T134)</f>
        <v>693098.5</v>
      </c>
      <c r="AK134" s="34">
        <f t="shared" si="228"/>
        <v>688801.25</v>
      </c>
      <c r="AL134" s="34">
        <f t="shared" si="228"/>
        <v>684504</v>
      </c>
      <c r="AM134" s="34">
        <f t="shared" si="228"/>
        <v>682003.5</v>
      </c>
      <c r="AN134" s="34">
        <f t="shared" si="228"/>
        <v>679503</v>
      </c>
      <c r="AO134" s="34">
        <f t="shared" si="228"/>
        <v>677002.5</v>
      </c>
      <c r="AP134" s="34">
        <f t="shared" si="228"/>
        <v>674502</v>
      </c>
      <c r="AQ134" s="34">
        <f t="shared" si="228"/>
        <v>674502</v>
      </c>
      <c r="AR134" s="34">
        <f t="shared" si="228"/>
        <v>674502</v>
      </c>
      <c r="AS134" s="34">
        <f t="shared" si="228"/>
        <v>674502</v>
      </c>
      <c r="AT134" s="12"/>
      <c r="AU134" s="50"/>
    </row>
    <row r="135" spans="2:47" ht="5.0999999999999996" customHeight="1" thickBot="1">
      <c r="B135" s="80"/>
      <c r="C135" s="81"/>
      <c r="D135" s="81"/>
      <c r="E135" s="81"/>
      <c r="F135" s="81"/>
      <c r="G135" s="81"/>
      <c r="H135" s="81"/>
      <c r="I135" s="81"/>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c r="AU135" s="50"/>
    </row>
    <row r="136" spans="2:47" ht="12.75" customHeight="1">
      <c r="B136" s="578" t="s">
        <v>489</v>
      </c>
      <c r="C136" s="578"/>
      <c r="D136" s="578"/>
      <c r="E136" s="578"/>
      <c r="F136" s="578"/>
      <c r="G136" s="578"/>
      <c r="H136" s="578"/>
      <c r="I136" s="578"/>
      <c r="J136" s="578"/>
      <c r="K136" s="578"/>
      <c r="L136" s="578"/>
      <c r="M136" s="578"/>
      <c r="N136" s="578"/>
      <c r="O136" s="578"/>
      <c r="P136" s="578"/>
      <c r="Q136" s="578"/>
      <c r="R136" s="578"/>
      <c r="S136" s="578"/>
      <c r="T136" s="578"/>
      <c r="U136" s="578"/>
      <c r="V136" s="578"/>
      <c r="W136" s="578"/>
      <c r="X136" s="578"/>
      <c r="Y136" s="578"/>
      <c r="Z136" s="578"/>
      <c r="AA136" s="578"/>
      <c r="AB136" s="578"/>
      <c r="AC136" s="578"/>
      <c r="AD136" s="578"/>
      <c r="AE136" s="578"/>
      <c r="AF136" s="578"/>
      <c r="AG136" s="578"/>
      <c r="AH136" s="578"/>
      <c r="AI136" s="578"/>
      <c r="AJ136" s="578"/>
      <c r="AK136" s="578"/>
      <c r="AL136" s="578"/>
      <c r="AM136" s="578"/>
      <c r="AN136" s="578"/>
      <c r="AO136" s="578"/>
      <c r="AP136" s="578"/>
      <c r="AQ136" s="578"/>
      <c r="AR136" s="578"/>
      <c r="AS136" s="476"/>
      <c r="AU136" s="50"/>
    </row>
    <row r="137" spans="2:47" ht="12.75" customHeight="1">
      <c r="B137" s="58"/>
      <c r="C137" s="73"/>
      <c r="D137" s="73"/>
      <c r="E137" s="73"/>
      <c r="F137" s="73"/>
      <c r="G137" s="73"/>
      <c r="H137" s="73"/>
      <c r="I137" s="73"/>
    </row>
    <row r="138" spans="2:47" ht="12.75" customHeight="1">
      <c r="C138" s="61"/>
      <c r="D138" s="61"/>
      <c r="E138" s="61"/>
      <c r="F138" s="61"/>
      <c r="G138" s="61"/>
      <c r="H138" s="61"/>
      <c r="I138" s="61"/>
    </row>
    <row r="139" spans="2:47" ht="12.75" customHeight="1">
      <c r="C139" s="61"/>
      <c r="D139" s="61"/>
      <c r="E139" s="61"/>
      <c r="F139" s="61"/>
      <c r="G139" s="61"/>
      <c r="H139" s="61"/>
      <c r="I139" s="61"/>
    </row>
    <row r="140" spans="2:47" ht="12.75" customHeight="1">
      <c r="C140" s="61"/>
      <c r="D140" s="61"/>
      <c r="E140" s="61"/>
      <c r="F140" s="61"/>
      <c r="G140" s="61"/>
      <c r="H140" s="61"/>
      <c r="I140" s="61"/>
    </row>
    <row r="141" spans="2:47" ht="12.75" customHeight="1">
      <c r="C141" s="61"/>
      <c r="D141" s="61"/>
      <c r="E141" s="61"/>
      <c r="F141" s="61"/>
      <c r="G141" s="61"/>
      <c r="H141" s="61"/>
      <c r="I141" s="61"/>
    </row>
    <row r="142" spans="2:47" ht="12.75" customHeight="1">
      <c r="C142" s="61"/>
      <c r="D142" s="61"/>
      <c r="E142" s="61"/>
      <c r="F142" s="61"/>
      <c r="G142" s="61"/>
      <c r="H142" s="61"/>
      <c r="I142" s="61"/>
      <c r="K142" s="168"/>
      <c r="L142" s="168"/>
      <c r="M142" s="168"/>
      <c r="N142" s="168"/>
      <c r="O142" s="168"/>
      <c r="P142" s="168"/>
      <c r="Q142" s="168"/>
      <c r="R142" s="168"/>
      <c r="S142" s="168"/>
      <c r="T142" s="168"/>
      <c r="U142" s="168"/>
      <c r="V142" s="168"/>
      <c r="W142" s="168"/>
      <c r="X142" s="168"/>
    </row>
    <row r="143" spans="2:47" ht="12.75" customHeight="1">
      <c r="C143" s="61"/>
      <c r="D143" s="61"/>
      <c r="E143" s="61"/>
      <c r="F143" s="61"/>
      <c r="G143" s="61"/>
      <c r="H143" s="61"/>
      <c r="I143" s="61"/>
    </row>
    <row r="144" spans="2:47" ht="12.75" customHeight="1">
      <c r="C144" s="61"/>
      <c r="D144" s="61"/>
      <c r="E144" s="61"/>
      <c r="F144" s="61"/>
      <c r="G144" s="61"/>
      <c r="H144" s="61"/>
      <c r="I144" s="61"/>
      <c r="K144" s="168"/>
      <c r="L144" s="168"/>
      <c r="M144" s="168"/>
      <c r="N144" s="168"/>
      <c r="O144" s="168"/>
      <c r="P144" s="168"/>
      <c r="Q144" s="168"/>
      <c r="R144" s="168"/>
      <c r="S144" s="168"/>
      <c r="T144" s="168"/>
      <c r="U144" s="168"/>
      <c r="V144" s="168"/>
      <c r="W144" s="168"/>
      <c r="X144" s="168"/>
    </row>
    <row r="145" spans="11:24">
      <c r="K145" s="168"/>
      <c r="L145" s="168"/>
      <c r="M145" s="168"/>
      <c r="N145" s="168"/>
      <c r="O145" s="168"/>
      <c r="P145" s="168"/>
      <c r="Q145" s="168"/>
      <c r="R145" s="168"/>
      <c r="S145" s="168"/>
      <c r="T145" s="168"/>
      <c r="U145" s="168"/>
      <c r="V145" s="168"/>
      <c r="W145" s="168"/>
      <c r="X145" s="168"/>
    </row>
    <row r="146" spans="11:24">
      <c r="K146" s="168"/>
      <c r="L146" s="168"/>
      <c r="M146" s="168"/>
      <c r="N146" s="168"/>
      <c r="O146" s="168"/>
      <c r="P146" s="168"/>
      <c r="Q146" s="168"/>
      <c r="R146" s="168"/>
      <c r="S146" s="168"/>
      <c r="T146" s="168"/>
      <c r="U146" s="168"/>
      <c r="V146" s="168"/>
      <c r="W146" s="168"/>
      <c r="X146" s="168"/>
    </row>
    <row r="148" spans="11:24">
      <c r="K148" s="168"/>
      <c r="L148" s="168"/>
      <c r="M148" s="168"/>
      <c r="N148" s="168"/>
      <c r="O148" s="168"/>
      <c r="P148" s="168"/>
      <c r="Q148" s="168"/>
      <c r="R148" s="168"/>
      <c r="S148" s="168"/>
      <c r="T148" s="168"/>
      <c r="U148" s="168"/>
      <c r="V148" s="168"/>
      <c r="W148" s="168"/>
      <c r="X148" s="168"/>
    </row>
    <row r="149" spans="11:24">
      <c r="K149" s="168"/>
      <c r="L149" s="168"/>
      <c r="M149" s="168"/>
      <c r="N149" s="168"/>
      <c r="O149" s="168"/>
      <c r="P149" s="168"/>
      <c r="Q149" s="168"/>
      <c r="R149" s="168"/>
      <c r="S149" s="168"/>
      <c r="T149" s="168"/>
      <c r="U149" s="168"/>
      <c r="V149" s="168"/>
      <c r="W149" s="168"/>
      <c r="X149" s="168"/>
    </row>
  </sheetData>
  <mergeCells count="4">
    <mergeCell ref="B136:AR136"/>
    <mergeCell ref="AU6:AU8"/>
    <mergeCell ref="AU38:AU40"/>
    <mergeCell ref="AU78:AU80"/>
  </mergeCells>
  <dataValidations count="1">
    <dataValidation type="list" allowBlank="1" showInputMessage="1" showErrorMessage="1" sqref="B4" xr:uid="{95A5AB56-0215-4703-953B-CB353CAB6883}">
      <formula1>"$ bns except per share, $ mm except per share,$ in thousands except per share"</formula1>
    </dataValidation>
  </dataValidations>
  <pageMargins left="0.7" right="0.7" top="0.75" bottom="0.75" header="0.3" footer="0.3"/>
  <ignoredErrors>
    <ignoredError sqref="AR17:AR18 AR33 J46 AE23:AP24 V103:V107 AE28:AP30" formulaRange="1"/>
    <ignoredError sqref="AU109:AU110 AU101:AU102 C17:I18 C23:I24 C28:I30 C32:I34 K17:AC18 K22:AC24 K32:AC34 K28:AC30" evalError="1"/>
    <ignoredError sqref="K84:R85 AB126 AE125:AS126"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0DE3B-E141-483B-A529-0B7542C29209}">
  <sheetPr>
    <tabColor theme="5" tint="-0.249977111117893"/>
  </sheetPr>
  <dimension ref="A1:AT73"/>
  <sheetViews>
    <sheetView showGridLines="0" zoomScale="115" zoomScaleNormal="115" workbookViewId="0">
      <selection activeCell="I40" sqref="I40"/>
    </sheetView>
  </sheetViews>
  <sheetFormatPr defaultRowHeight="14.25" outlineLevelRow="1" outlineLevelCol="1"/>
  <cols>
    <col min="1" max="1" width="1.75" bestFit="1" customWidth="1"/>
    <col min="2" max="2" width="47" bestFit="1" customWidth="1"/>
    <col min="3" max="6" width="8.625" customWidth="1" outlineLevel="1"/>
    <col min="7" max="9" width="8.625" bestFit="1" customWidth="1"/>
    <col min="10" max="10" width="1.625" customWidth="1"/>
    <col min="11" max="12" width="7.125" hidden="1" customWidth="1" outlineLevel="1"/>
    <col min="13" max="13" width="7.875" hidden="1" customWidth="1" outlineLevel="1"/>
    <col min="14" max="14" width="8.625" hidden="1" customWidth="1" outlineLevel="1"/>
    <col min="15" max="16" width="7.125" hidden="1" customWidth="1" outlineLevel="1"/>
    <col min="17" max="17" width="7.875" hidden="1" customWidth="1" outlineLevel="1"/>
    <col min="18" max="18" width="8.625" hidden="1" customWidth="1" outlineLevel="1"/>
    <col min="19" max="20" width="7.125" hidden="1" customWidth="1" outlineLevel="1"/>
    <col min="21" max="21" width="7.875" hidden="1" customWidth="1" outlineLevel="1"/>
    <col min="22" max="22" width="8.625" hidden="1" customWidth="1" outlineLevel="1"/>
    <col min="23" max="24" width="7.875" hidden="1" customWidth="1" outlineLevel="1"/>
    <col min="25" max="25" width="7.875" bestFit="1" customWidth="1" collapsed="1"/>
    <col min="26" max="26" width="8.625" bestFit="1" customWidth="1"/>
    <col min="27" max="29" width="7.875" bestFit="1" customWidth="1"/>
    <col min="30" max="30" width="1.625" customWidth="1"/>
    <col min="31" max="31" width="8.625" hidden="1" customWidth="1" outlineLevel="1"/>
    <col min="32" max="33" width="7.125" hidden="1" customWidth="1" outlineLevel="1"/>
    <col min="34" max="34" width="7.875" hidden="1" customWidth="1" outlineLevel="1"/>
    <col min="35" max="35" width="8.625" hidden="1" customWidth="1" outlineLevel="1"/>
    <col min="36" max="37" width="7.125" hidden="1" customWidth="1" outlineLevel="1"/>
    <col min="38" max="38" width="7.875" hidden="1" customWidth="1" outlineLevel="1"/>
    <col min="39" max="39" width="8.625" hidden="1" customWidth="1" outlineLevel="1"/>
    <col min="40" max="41" width="7.875" hidden="1" customWidth="1" outlineLevel="1"/>
    <col min="42" max="42" width="7.875" bestFit="1" customWidth="1" collapsed="1"/>
    <col min="43" max="43" width="8.625" hidden="1" customWidth="1" outlineLevel="1"/>
    <col min="44" max="45" width="7.875" hidden="1" customWidth="1" outlineLevel="1"/>
    <col min="46" max="46" width="7.875" bestFit="1" customWidth="1" collapsed="1"/>
  </cols>
  <sheetData>
    <row r="1" spans="1:46" s="5" customFormat="1" ht="12"/>
    <row r="2" spans="1:46" s="5" customFormat="1" ht="12.75" customHeight="1">
      <c r="B2" s="1" t="str">
        <f>'Historical Financials'!B2</f>
        <v>Netflix, Inc. (NASDAQ: NFLX)</v>
      </c>
      <c r="C2" s="371"/>
      <c r="D2" s="371"/>
      <c r="E2" s="371"/>
      <c r="F2" s="371"/>
      <c r="G2" s="371"/>
      <c r="H2" s="371"/>
      <c r="I2" s="371"/>
      <c r="J2" s="3"/>
      <c r="K2" s="371"/>
      <c r="L2" s="371"/>
      <c r="M2" s="371"/>
      <c r="N2" s="371"/>
      <c r="O2" s="371"/>
      <c r="P2" s="371"/>
      <c r="Q2" s="371"/>
      <c r="R2" s="371"/>
      <c r="S2" s="371"/>
      <c r="T2" s="371"/>
      <c r="U2" s="371"/>
      <c r="V2" s="371"/>
      <c r="W2" s="371"/>
      <c r="X2" s="371"/>
      <c r="Y2" s="371"/>
      <c r="Z2" s="371"/>
      <c r="AA2" s="371"/>
      <c r="AB2" s="371"/>
      <c r="AC2" s="371"/>
      <c r="AD2" s="3"/>
      <c r="AE2" s="371"/>
      <c r="AF2" s="371"/>
      <c r="AG2" s="371"/>
      <c r="AH2" s="371"/>
      <c r="AI2" s="371"/>
      <c r="AJ2" s="371"/>
      <c r="AK2" s="371"/>
      <c r="AL2" s="371"/>
      <c r="AM2" s="371"/>
      <c r="AN2" s="371"/>
      <c r="AO2" s="371"/>
      <c r="AP2" s="371"/>
      <c r="AQ2" s="371"/>
      <c r="AR2" s="371"/>
      <c r="AS2" s="371"/>
      <c r="AT2" s="371"/>
    </row>
    <row r="3" spans="1:46" s="5" customFormat="1" ht="12.75" customHeight="1">
      <c r="B3" s="6" t="s">
        <v>495</v>
      </c>
      <c r="C3" s="7"/>
      <c r="D3" s="7"/>
      <c r="E3" s="7"/>
      <c r="F3" s="7"/>
      <c r="G3" s="7"/>
      <c r="H3" s="7"/>
      <c r="I3" s="7"/>
      <c r="J3" s="3"/>
      <c r="K3" s="4"/>
      <c r="L3" s="4"/>
      <c r="M3" s="4"/>
      <c r="N3" s="4"/>
      <c r="O3" s="4"/>
      <c r="P3" s="4"/>
      <c r="Q3" s="4"/>
      <c r="R3" s="4"/>
      <c r="S3" s="4"/>
      <c r="T3" s="4"/>
      <c r="U3" s="4"/>
      <c r="V3" s="4"/>
      <c r="W3" s="4"/>
      <c r="X3" s="4"/>
      <c r="Y3" s="4"/>
      <c r="Z3" s="4"/>
      <c r="AA3" s="4"/>
      <c r="AB3" s="4"/>
      <c r="AC3" s="4"/>
      <c r="AD3" s="3"/>
      <c r="AE3" s="4"/>
      <c r="AF3" s="4"/>
      <c r="AG3" s="4"/>
      <c r="AH3" s="4"/>
      <c r="AI3" s="4"/>
      <c r="AJ3" s="4"/>
      <c r="AK3" s="4"/>
      <c r="AL3" s="4"/>
      <c r="AM3" s="4"/>
      <c r="AN3" s="4"/>
      <c r="AO3" s="4"/>
      <c r="AP3" s="4"/>
      <c r="AQ3" s="4"/>
      <c r="AR3" s="4"/>
      <c r="AS3" s="4"/>
      <c r="AT3" s="4"/>
    </row>
    <row r="4" spans="1:46" s="5" customFormat="1" ht="12.75" customHeight="1">
      <c r="B4" s="490" t="s">
        <v>500</v>
      </c>
      <c r="C4" s="3"/>
      <c r="D4" s="3"/>
      <c r="E4" s="3"/>
      <c r="F4" s="3"/>
      <c r="G4" s="3"/>
      <c r="H4" s="166"/>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row>
    <row r="5" spans="1:46" s="5" customFormat="1" ht="5.0999999999999996" customHeight="1">
      <c r="B5" s="497"/>
      <c r="C5" s="356"/>
      <c r="D5" s="356"/>
      <c r="E5" s="356"/>
      <c r="F5" s="356"/>
      <c r="G5" s="356"/>
      <c r="H5" s="498"/>
      <c r="I5" s="356"/>
      <c r="J5" s="356"/>
      <c r="K5" s="356"/>
      <c r="L5" s="356"/>
      <c r="M5" s="356"/>
      <c r="N5" s="356"/>
      <c r="O5" s="356"/>
      <c r="P5" s="356"/>
      <c r="Q5" s="356"/>
      <c r="R5" s="356"/>
      <c r="S5" s="356"/>
      <c r="T5" s="356"/>
      <c r="U5" s="356"/>
      <c r="V5" s="356"/>
      <c r="W5" s="356"/>
      <c r="X5" s="356"/>
      <c r="Y5" s="356"/>
      <c r="Z5" s="356"/>
      <c r="AA5" s="356"/>
      <c r="AB5" s="356"/>
      <c r="AC5" s="356"/>
      <c r="AD5" s="356"/>
      <c r="AE5" s="356"/>
      <c r="AF5" s="356"/>
      <c r="AG5" s="356"/>
      <c r="AH5" s="356"/>
      <c r="AI5" s="356"/>
      <c r="AJ5" s="356"/>
      <c r="AK5" s="356"/>
      <c r="AL5" s="356"/>
      <c r="AM5" s="356"/>
      <c r="AN5" s="356"/>
      <c r="AO5" s="356"/>
      <c r="AP5" s="356"/>
      <c r="AQ5" s="356"/>
      <c r="AR5" s="356"/>
      <c r="AS5" s="356"/>
      <c r="AT5" s="356"/>
    </row>
    <row r="6" spans="1:46" s="5" customFormat="1" ht="12.75" customHeight="1">
      <c r="B6" s="38" t="s">
        <v>518</v>
      </c>
      <c r="C6" s="501">
        <v>1</v>
      </c>
      <c r="D6" s="356"/>
      <c r="E6" s="356"/>
      <c r="F6" s="356"/>
      <c r="G6" s="356"/>
      <c r="H6" s="498"/>
      <c r="I6" s="356"/>
      <c r="J6" s="356"/>
      <c r="K6" s="356"/>
      <c r="L6" s="356"/>
      <c r="M6" s="356"/>
      <c r="N6" s="356"/>
      <c r="O6" s="356"/>
      <c r="P6" s="356"/>
      <c r="Q6" s="356"/>
      <c r="R6" s="356"/>
      <c r="S6" s="356"/>
      <c r="T6" s="356"/>
      <c r="U6" s="356"/>
      <c r="V6" s="356"/>
      <c r="W6" s="356"/>
      <c r="X6" s="356"/>
      <c r="Y6" s="356"/>
      <c r="Z6" s="356"/>
      <c r="AA6" s="356"/>
      <c r="AB6" s="356"/>
      <c r="AC6" s="356"/>
      <c r="AD6" s="356"/>
      <c r="AE6" s="356"/>
      <c r="AF6" s="356"/>
      <c r="AG6" s="356"/>
      <c r="AH6" s="356"/>
      <c r="AI6" s="356"/>
      <c r="AJ6" s="356"/>
      <c r="AK6" s="356"/>
      <c r="AL6" s="356"/>
      <c r="AM6" s="356"/>
      <c r="AN6" s="356"/>
      <c r="AO6" s="356"/>
      <c r="AP6" s="356"/>
      <c r="AQ6" s="356"/>
      <c r="AR6" s="356"/>
      <c r="AS6" s="356"/>
      <c r="AT6" s="356"/>
    </row>
    <row r="7" spans="1:46" s="5" customFormat="1" ht="12.75" customHeight="1">
      <c r="B7" s="123" t="s">
        <v>522</v>
      </c>
      <c r="C7" s="502">
        <v>20</v>
      </c>
      <c r="D7" s="356"/>
      <c r="E7" s="356"/>
      <c r="F7" s="356"/>
      <c r="G7" s="356"/>
      <c r="H7" s="498"/>
      <c r="I7" s="356"/>
      <c r="J7" s="356"/>
      <c r="K7" s="356"/>
      <c r="L7" s="356"/>
      <c r="M7" s="356"/>
      <c r="N7" s="356"/>
      <c r="O7" s="356"/>
      <c r="P7" s="356"/>
      <c r="Q7" s="356"/>
      <c r="R7" s="356"/>
      <c r="S7" s="356"/>
      <c r="T7" s="356"/>
      <c r="U7" s="356"/>
      <c r="V7" s="356"/>
      <c r="W7" s="356"/>
      <c r="X7" s="356"/>
      <c r="Y7" s="356"/>
      <c r="Z7" s="356"/>
      <c r="AA7" s="356"/>
      <c r="AB7" s="356"/>
      <c r="AC7" s="356"/>
      <c r="AD7" s="356"/>
      <c r="AE7" s="356"/>
      <c r="AF7" s="356"/>
      <c r="AG7" s="356"/>
      <c r="AH7" s="356"/>
      <c r="AI7" s="356"/>
      <c r="AJ7" s="356"/>
      <c r="AK7" s="356"/>
      <c r="AL7" s="356"/>
      <c r="AM7" s="356"/>
      <c r="AN7" s="356"/>
      <c r="AO7" s="356"/>
      <c r="AP7" s="356"/>
      <c r="AQ7" s="356"/>
      <c r="AR7" s="356"/>
      <c r="AS7" s="356"/>
      <c r="AT7" s="356"/>
    </row>
    <row r="8" spans="1:46" s="5" customFormat="1" ht="12.75" customHeight="1">
      <c r="B8" s="123" t="s">
        <v>523</v>
      </c>
      <c r="C8" s="503" t="s">
        <v>40</v>
      </c>
      <c r="D8" s="356"/>
      <c r="E8" s="356"/>
      <c r="F8" s="356"/>
      <c r="G8" s="356"/>
      <c r="H8" s="498"/>
      <c r="I8" s="356"/>
      <c r="J8" s="356"/>
      <c r="K8" s="356"/>
      <c r="L8" s="356"/>
      <c r="M8" s="356"/>
      <c r="N8" s="356"/>
      <c r="O8" s="356"/>
      <c r="P8" s="356"/>
      <c r="Q8" s="356"/>
      <c r="R8" s="356"/>
      <c r="S8" s="356"/>
      <c r="T8" s="356"/>
      <c r="U8" s="356"/>
      <c r="V8" s="356"/>
      <c r="W8" s="356"/>
      <c r="X8" s="356"/>
      <c r="Y8" s="356"/>
      <c r="Z8" s="356"/>
      <c r="AA8" s="356"/>
      <c r="AB8" s="356"/>
      <c r="AC8" s="356"/>
      <c r="AD8" s="356"/>
      <c r="AE8" s="356"/>
      <c r="AF8" s="356"/>
      <c r="AG8" s="356"/>
      <c r="AH8" s="356"/>
      <c r="AI8" s="356"/>
      <c r="AJ8" s="356"/>
      <c r="AK8" s="356"/>
      <c r="AL8" s="356"/>
      <c r="AM8" s="356"/>
      <c r="AN8" s="356"/>
      <c r="AO8" s="356"/>
      <c r="AP8" s="356"/>
      <c r="AQ8" s="356"/>
      <c r="AR8" s="356"/>
      <c r="AS8" s="356"/>
      <c r="AT8" s="356"/>
    </row>
    <row r="9" spans="1:46" s="5" customFormat="1" ht="5.0999999999999996" customHeight="1"/>
    <row r="10" spans="1:46" s="5" customFormat="1" ht="12.75" customHeight="1">
      <c r="B10" s="1" t="s">
        <v>501</v>
      </c>
      <c r="C10" s="2"/>
      <c r="D10" s="2"/>
      <c r="E10" s="2"/>
      <c r="F10" s="2"/>
      <c r="G10" s="2" t="s">
        <v>0</v>
      </c>
      <c r="H10" s="2"/>
      <c r="I10" s="2"/>
      <c r="J10" s="3"/>
      <c r="K10" s="2"/>
      <c r="L10" s="2"/>
      <c r="M10" s="2"/>
      <c r="N10" s="2"/>
      <c r="O10" s="2" t="s">
        <v>1</v>
      </c>
      <c r="P10" s="2"/>
      <c r="Q10" s="2"/>
      <c r="R10" s="2"/>
      <c r="S10" s="2"/>
      <c r="T10" s="2"/>
      <c r="U10" s="2"/>
      <c r="V10" s="2"/>
      <c r="W10" s="2"/>
      <c r="X10" s="2"/>
      <c r="Y10" s="2" t="s">
        <v>1</v>
      </c>
      <c r="Z10" s="2"/>
      <c r="AA10" s="2"/>
      <c r="AB10" s="2"/>
      <c r="AC10" s="2"/>
      <c r="AD10" s="3"/>
      <c r="AE10" s="2"/>
      <c r="AF10" s="2"/>
      <c r="AG10" s="2"/>
      <c r="AH10" s="2"/>
      <c r="AI10" s="2"/>
      <c r="AJ10" s="2"/>
      <c r="AK10" s="2"/>
      <c r="AL10" s="2"/>
      <c r="AM10" s="2"/>
      <c r="AN10" s="2"/>
      <c r="AO10" s="2" t="s">
        <v>10</v>
      </c>
      <c r="AP10" s="2" t="s">
        <v>10</v>
      </c>
      <c r="AQ10" s="2"/>
      <c r="AR10" s="2"/>
      <c r="AS10" s="2"/>
      <c r="AT10" s="2"/>
    </row>
    <row r="11" spans="1:46" s="5" customFormat="1" ht="12.75" customHeight="1">
      <c r="B11" s="6" t="s">
        <v>413</v>
      </c>
      <c r="C11" s="7">
        <v>2018</v>
      </c>
      <c r="D11" s="7">
        <v>2019</v>
      </c>
      <c r="E11" s="7">
        <v>2020</v>
      </c>
      <c r="F11" s="7">
        <v>2021</v>
      </c>
      <c r="G11" s="7">
        <v>2022</v>
      </c>
      <c r="H11" s="7">
        <v>2023</v>
      </c>
      <c r="I11" s="7">
        <v>2024</v>
      </c>
      <c r="J11" s="3"/>
      <c r="K11" s="4" t="s">
        <v>433</v>
      </c>
      <c r="L11" s="4" t="s">
        <v>434</v>
      </c>
      <c r="M11" s="4" t="s">
        <v>435</v>
      </c>
      <c r="N11" s="4" t="s">
        <v>436</v>
      </c>
      <c r="O11" s="4" t="s">
        <v>39</v>
      </c>
      <c r="P11" s="4" t="s">
        <v>40</v>
      </c>
      <c r="Q11" s="4" t="s">
        <v>41</v>
      </c>
      <c r="R11" s="4" t="s">
        <v>42</v>
      </c>
      <c r="S11" s="4" t="s">
        <v>6</v>
      </c>
      <c r="T11" s="4" t="s">
        <v>7</v>
      </c>
      <c r="U11" s="4" t="s">
        <v>8</v>
      </c>
      <c r="V11" s="4" t="s">
        <v>9</v>
      </c>
      <c r="W11" s="4" t="s">
        <v>2</v>
      </c>
      <c r="X11" s="4" t="s">
        <v>3</v>
      </c>
      <c r="Y11" s="4" t="s">
        <v>4</v>
      </c>
      <c r="Z11" s="4" t="s">
        <v>5</v>
      </c>
      <c r="AA11" s="4" t="s">
        <v>43</v>
      </c>
      <c r="AB11" s="4" t="s">
        <v>44</v>
      </c>
      <c r="AC11" s="4" t="s">
        <v>85</v>
      </c>
      <c r="AD11" s="3"/>
      <c r="AE11" s="4" t="str">
        <f t="shared" ref="AE11:AT12" si="0">N11</f>
        <v>4Q21</v>
      </c>
      <c r="AF11" s="4" t="str">
        <f t="shared" si="0"/>
        <v>1Q22</v>
      </c>
      <c r="AG11" s="4" t="str">
        <f t="shared" si="0"/>
        <v>2Q22</v>
      </c>
      <c r="AH11" s="4" t="str">
        <f t="shared" si="0"/>
        <v>3Q22</v>
      </c>
      <c r="AI11" s="4" t="str">
        <f t="shared" si="0"/>
        <v>4Q22</v>
      </c>
      <c r="AJ11" s="4" t="str">
        <f t="shared" si="0"/>
        <v>1Q23</v>
      </c>
      <c r="AK11" s="4" t="str">
        <f t="shared" si="0"/>
        <v>2Q23</v>
      </c>
      <c r="AL11" s="4" t="str">
        <f t="shared" si="0"/>
        <v>3Q23</v>
      </c>
      <c r="AM11" s="4" t="str">
        <f t="shared" si="0"/>
        <v>4Q23</v>
      </c>
      <c r="AN11" s="4" t="str">
        <f t="shared" si="0"/>
        <v>1Q24</v>
      </c>
      <c r="AO11" s="4" t="str">
        <f t="shared" si="0"/>
        <v>2Q24</v>
      </c>
      <c r="AP11" s="4" t="str">
        <f t="shared" si="0"/>
        <v>3Q24</v>
      </c>
      <c r="AQ11" s="4" t="str">
        <f t="shared" si="0"/>
        <v>4Q24</v>
      </c>
      <c r="AR11" s="4" t="str">
        <f t="shared" si="0"/>
        <v>1Q25</v>
      </c>
      <c r="AS11" s="4" t="str">
        <f t="shared" si="0"/>
        <v>2Q25</v>
      </c>
      <c r="AT11" s="4" t="str">
        <f t="shared" si="0"/>
        <v>3Q25</v>
      </c>
    </row>
    <row r="12" spans="1:46" s="5" customFormat="1" ht="12.75" customHeight="1">
      <c r="B12" s="6" t="s">
        <v>414</v>
      </c>
      <c r="C12" s="3">
        <v>43465</v>
      </c>
      <c r="D12" s="3">
        <v>43830</v>
      </c>
      <c r="E12" s="3">
        <v>44196</v>
      </c>
      <c r="F12" s="3">
        <v>44561</v>
      </c>
      <c r="G12" s="3">
        <v>44926</v>
      </c>
      <c r="H12" s="166">
        <v>45291</v>
      </c>
      <c r="I12" s="3">
        <v>45657</v>
      </c>
      <c r="J12" s="3"/>
      <c r="K12" s="3">
        <v>44289</v>
      </c>
      <c r="L12" s="3">
        <v>44380</v>
      </c>
      <c r="M12" s="3">
        <v>44471</v>
      </c>
      <c r="N12" s="3">
        <v>44561</v>
      </c>
      <c r="O12" s="3">
        <v>44653</v>
      </c>
      <c r="P12" s="3">
        <v>44744</v>
      </c>
      <c r="Q12" s="3">
        <v>44835</v>
      </c>
      <c r="R12" s="3">
        <v>44926</v>
      </c>
      <c r="S12" s="3">
        <v>45017</v>
      </c>
      <c r="T12" s="3">
        <v>45108</v>
      </c>
      <c r="U12" s="3">
        <v>45199</v>
      </c>
      <c r="V12" s="3">
        <v>45291</v>
      </c>
      <c r="W12" s="3">
        <v>45381</v>
      </c>
      <c r="X12" s="3">
        <v>45472</v>
      </c>
      <c r="Y12" s="3">
        <v>45563</v>
      </c>
      <c r="Z12" s="3">
        <v>45657</v>
      </c>
      <c r="AA12" s="3">
        <v>45745</v>
      </c>
      <c r="AB12" s="3">
        <v>45836</v>
      </c>
      <c r="AC12" s="3">
        <v>45927</v>
      </c>
      <c r="AD12" s="3"/>
      <c r="AE12" s="3">
        <f t="shared" si="0"/>
        <v>44561</v>
      </c>
      <c r="AF12" s="3">
        <f t="shared" si="0"/>
        <v>44653</v>
      </c>
      <c r="AG12" s="3">
        <f t="shared" si="0"/>
        <v>44744</v>
      </c>
      <c r="AH12" s="3">
        <f t="shared" si="0"/>
        <v>44835</v>
      </c>
      <c r="AI12" s="3">
        <f t="shared" si="0"/>
        <v>44926</v>
      </c>
      <c r="AJ12" s="3">
        <f t="shared" si="0"/>
        <v>45017</v>
      </c>
      <c r="AK12" s="3">
        <f t="shared" si="0"/>
        <v>45108</v>
      </c>
      <c r="AL12" s="3">
        <f t="shared" si="0"/>
        <v>45199</v>
      </c>
      <c r="AM12" s="3">
        <f t="shared" si="0"/>
        <v>45291</v>
      </c>
      <c r="AN12" s="3">
        <f t="shared" si="0"/>
        <v>45381</v>
      </c>
      <c r="AO12" s="3">
        <f t="shared" si="0"/>
        <v>45472</v>
      </c>
      <c r="AP12" s="3">
        <f t="shared" si="0"/>
        <v>45563</v>
      </c>
      <c r="AQ12" s="3">
        <f t="shared" si="0"/>
        <v>45657</v>
      </c>
      <c r="AR12" s="3">
        <f t="shared" si="0"/>
        <v>45745</v>
      </c>
      <c r="AS12" s="3">
        <f t="shared" si="0"/>
        <v>45836</v>
      </c>
      <c r="AT12" s="3">
        <f t="shared" si="0"/>
        <v>45927</v>
      </c>
    </row>
    <row r="13" spans="1:46" ht="5.0999999999999996" customHeight="1"/>
    <row r="14" spans="1:46" ht="15" thickBot="1">
      <c r="A14" s="5" t="s">
        <v>24</v>
      </c>
      <c r="B14" s="484" t="s">
        <v>507</v>
      </c>
    </row>
    <row r="15" spans="1:46" ht="5.0999999999999996" customHeight="1"/>
    <row r="16" spans="1:46">
      <c r="B16" s="486" t="s">
        <v>509</v>
      </c>
      <c r="C16" s="34">
        <f>C29+C35+C41</f>
        <v>0</v>
      </c>
      <c r="D16" s="34">
        <f t="shared" ref="D16:I16" si="1">D29+D35+D41</f>
        <v>0</v>
      </c>
      <c r="E16" s="34">
        <f t="shared" si="1"/>
        <v>0</v>
      </c>
      <c r="F16" s="34">
        <f t="shared" si="1"/>
        <v>0</v>
      </c>
      <c r="G16" s="34">
        <f t="shared" si="1"/>
        <v>0</v>
      </c>
      <c r="H16" s="34">
        <f t="shared" si="1"/>
        <v>0</v>
      </c>
      <c r="I16" s="34">
        <f t="shared" si="1"/>
        <v>0</v>
      </c>
      <c r="K16" s="34">
        <f t="shared" ref="K16:AC16" si="2">K29+K35+K41</f>
        <v>17930</v>
      </c>
      <c r="L16" s="34">
        <f t="shared" si="2"/>
        <v>18525</v>
      </c>
      <c r="M16" s="34">
        <f t="shared" si="2"/>
        <v>18936</v>
      </c>
      <c r="N16" s="34">
        <f t="shared" si="2"/>
        <v>-55391</v>
      </c>
      <c r="O16" s="34">
        <f t="shared" si="2"/>
        <v>16436</v>
      </c>
      <c r="P16" s="34">
        <f t="shared" si="2"/>
        <v>16002</v>
      </c>
      <c r="Q16" s="34">
        <f t="shared" si="2"/>
        <v>13910</v>
      </c>
      <c r="R16" s="34">
        <f t="shared" si="2"/>
        <v>-46348</v>
      </c>
      <c r="S16" s="34">
        <f t="shared" si="2"/>
        <v>15051</v>
      </c>
      <c r="T16" s="34">
        <f t="shared" si="2"/>
        <v>18368</v>
      </c>
      <c r="U16" s="34">
        <f t="shared" si="2"/>
        <v>19689</v>
      </c>
      <c r="V16" s="34">
        <f t="shared" si="2"/>
        <v>-53108</v>
      </c>
      <c r="W16" s="34">
        <f t="shared" si="2"/>
        <v>23662</v>
      </c>
      <c r="X16" s="34">
        <f t="shared" si="2"/>
        <v>23619</v>
      </c>
      <c r="Y16" s="34">
        <f t="shared" si="2"/>
        <v>26301</v>
      </c>
      <c r="Z16" s="34">
        <f t="shared" si="2"/>
        <v>-73582</v>
      </c>
      <c r="AA16" s="34">
        <f t="shared" si="2"/>
        <v>34540</v>
      </c>
      <c r="AB16" s="34">
        <f t="shared" si="2"/>
        <v>28196</v>
      </c>
      <c r="AC16" s="34">
        <f t="shared" si="2"/>
        <v>34979</v>
      </c>
      <c r="AE16" s="34">
        <f t="shared" ref="AE16:AT16" si="3">AE29+AE35+AE41</f>
        <v>0</v>
      </c>
      <c r="AF16" s="34">
        <f t="shared" si="3"/>
        <v>-1494</v>
      </c>
      <c r="AG16" s="34">
        <f t="shared" si="3"/>
        <v>-4017</v>
      </c>
      <c r="AH16" s="34">
        <f t="shared" si="3"/>
        <v>-9043</v>
      </c>
      <c r="AI16" s="34">
        <f t="shared" si="3"/>
        <v>0</v>
      </c>
      <c r="AJ16" s="34">
        <f t="shared" si="3"/>
        <v>-1385</v>
      </c>
      <c r="AK16" s="34">
        <f t="shared" si="3"/>
        <v>981</v>
      </c>
      <c r="AL16" s="34">
        <f t="shared" si="3"/>
        <v>6760</v>
      </c>
      <c r="AM16" s="34">
        <f t="shared" si="3"/>
        <v>0</v>
      </c>
      <c r="AN16" s="34">
        <f t="shared" si="3"/>
        <v>8611</v>
      </c>
      <c r="AO16" s="34">
        <f t="shared" si="3"/>
        <v>13862</v>
      </c>
      <c r="AP16" s="34">
        <f t="shared" si="3"/>
        <v>20474</v>
      </c>
      <c r="AQ16" s="34">
        <f t="shared" si="3"/>
        <v>0</v>
      </c>
      <c r="AR16" s="34">
        <f t="shared" si="3"/>
        <v>10878</v>
      </c>
      <c r="AS16" s="34">
        <f t="shared" si="3"/>
        <v>15455</v>
      </c>
      <c r="AT16" s="34">
        <f t="shared" si="3"/>
        <v>24133</v>
      </c>
    </row>
    <row r="17" spans="1:46">
      <c r="B17" s="494" t="s">
        <v>508</v>
      </c>
      <c r="C17" s="34">
        <f>IF($C$6=1,C30+C35+C41,C31+C37+C43)</f>
        <v>0</v>
      </c>
      <c r="D17" s="34">
        <f>IF($C$6=1,D30+D35+D41,D31+D37+D43)</f>
        <v>0</v>
      </c>
      <c r="E17" s="34">
        <f>IF($C$6=1,E30+E35+E41,E31+E37+E43)</f>
        <v>0</v>
      </c>
      <c r="F17" s="34">
        <f>IF($C$6=1,F30+F36+F42,F31+F37+F43)</f>
        <v>0</v>
      </c>
      <c r="G17" s="34">
        <f>IF($C$6=1,G30+G36+G42,G31+G37+G43)</f>
        <v>0</v>
      </c>
      <c r="H17" s="34">
        <f>IF($C$6=1,H30+H36+H42,H31+H37+H43)</f>
        <v>0</v>
      </c>
      <c r="I17" s="34">
        <f>IF($C$6=1,I30+I36+I42,I31+I37+I43)</f>
        <v>0</v>
      </c>
      <c r="K17" s="34">
        <f t="shared" ref="K17:AC17" si="4">IF($C$6=1,K30+K36+K42,K31+K37+K43)</f>
        <v>13464.4</v>
      </c>
      <c r="L17" s="34">
        <f t="shared" si="4"/>
        <v>13379.16</v>
      </c>
      <c r="M17" s="34">
        <f t="shared" si="4"/>
        <v>13315.16</v>
      </c>
      <c r="N17" s="34">
        <f t="shared" si="4"/>
        <v>0</v>
      </c>
      <c r="O17" s="34">
        <f t="shared" si="4"/>
        <v>13203.42</v>
      </c>
      <c r="P17" s="34">
        <f t="shared" si="4"/>
        <v>13133</v>
      </c>
      <c r="Q17" s="34">
        <f t="shared" si="4"/>
        <v>13018</v>
      </c>
      <c r="R17" s="34">
        <f t="shared" si="4"/>
        <v>0</v>
      </c>
      <c r="S17" s="34">
        <f t="shared" si="4"/>
        <v>12781</v>
      </c>
      <c r="T17" s="34">
        <f t="shared" si="4"/>
        <v>12668</v>
      </c>
      <c r="U17" s="34">
        <f t="shared" si="4"/>
        <v>12581</v>
      </c>
      <c r="V17" s="34">
        <f t="shared" si="4"/>
        <v>0</v>
      </c>
      <c r="W17" s="34">
        <f t="shared" si="4"/>
        <v>12415</v>
      </c>
      <c r="X17" s="34">
        <f t="shared" si="4"/>
        <v>12343</v>
      </c>
      <c r="Y17" s="34">
        <f t="shared" si="4"/>
        <v>12290</v>
      </c>
      <c r="Z17" s="34">
        <f t="shared" si="4"/>
        <v>0</v>
      </c>
      <c r="AA17" s="34">
        <f t="shared" si="4"/>
        <v>12183</v>
      </c>
      <c r="AB17" s="34">
        <f t="shared" si="4"/>
        <v>12122</v>
      </c>
      <c r="AC17" s="34">
        <f t="shared" si="4"/>
        <v>12086</v>
      </c>
      <c r="AE17" s="34">
        <f t="shared" ref="AE17:AT17" si="5">IF($C$6=1,AE30+AE36+AE42,AE31+AE37+AE43)</f>
        <v>0</v>
      </c>
      <c r="AF17" s="34">
        <f t="shared" si="5"/>
        <v>13203.42</v>
      </c>
      <c r="AG17" s="34">
        <f t="shared" si="5"/>
        <v>13133</v>
      </c>
      <c r="AH17" s="34">
        <f t="shared" si="5"/>
        <v>13018</v>
      </c>
      <c r="AI17" s="34">
        <f t="shared" si="5"/>
        <v>0</v>
      </c>
      <c r="AJ17" s="34">
        <f t="shared" si="5"/>
        <v>12781</v>
      </c>
      <c r="AK17" s="34">
        <f t="shared" si="5"/>
        <v>12668</v>
      </c>
      <c r="AL17" s="34">
        <f t="shared" si="5"/>
        <v>12581</v>
      </c>
      <c r="AM17" s="34">
        <f t="shared" si="5"/>
        <v>0</v>
      </c>
      <c r="AN17" s="34">
        <f t="shared" si="5"/>
        <v>12415</v>
      </c>
      <c r="AO17" s="34">
        <f t="shared" si="5"/>
        <v>12343</v>
      </c>
      <c r="AP17" s="34">
        <f t="shared" si="5"/>
        <v>12290</v>
      </c>
      <c r="AQ17" s="34">
        <f t="shared" si="5"/>
        <v>0</v>
      </c>
      <c r="AR17" s="34">
        <f t="shared" si="5"/>
        <v>12183</v>
      </c>
      <c r="AS17" s="34">
        <f t="shared" si="5"/>
        <v>12122</v>
      </c>
      <c r="AT17" s="34">
        <f t="shared" si="5"/>
        <v>12086</v>
      </c>
    </row>
    <row r="18" spans="1:46">
      <c r="B18" s="495" t="s">
        <v>513</v>
      </c>
      <c r="C18" s="491" t="e">
        <f t="shared" ref="C18:I18" si="6">C16/C17</f>
        <v>#DIV/0!</v>
      </c>
      <c r="D18" s="491" t="e">
        <f t="shared" si="6"/>
        <v>#DIV/0!</v>
      </c>
      <c r="E18" s="491" t="e">
        <f t="shared" si="6"/>
        <v>#DIV/0!</v>
      </c>
      <c r="F18" s="491" t="e">
        <f t="shared" si="6"/>
        <v>#DIV/0!</v>
      </c>
      <c r="G18" s="491" t="e">
        <f t="shared" si="6"/>
        <v>#DIV/0!</v>
      </c>
      <c r="H18" s="491" t="e">
        <f t="shared" si="6"/>
        <v>#DIV/0!</v>
      </c>
      <c r="I18" s="491" t="e">
        <f t="shared" si="6"/>
        <v>#DIV/0!</v>
      </c>
      <c r="K18" s="491">
        <f t="shared" ref="K18:AC18" si="7">K16/K17</f>
        <v>1.3316597843201332</v>
      </c>
      <c r="L18" s="491">
        <f t="shared" si="7"/>
        <v>1.3846160745517655</v>
      </c>
      <c r="M18" s="491">
        <f t="shared" si="7"/>
        <v>1.4221383746045861</v>
      </c>
      <c r="N18" s="491" t="e">
        <f t="shared" si="7"/>
        <v>#DIV/0!</v>
      </c>
      <c r="O18" s="491">
        <f t="shared" si="7"/>
        <v>1.2448289912765027</v>
      </c>
      <c r="P18" s="491">
        <f t="shared" si="7"/>
        <v>1.2184573212518084</v>
      </c>
      <c r="Q18" s="491">
        <f t="shared" si="7"/>
        <v>1.0685205100629898</v>
      </c>
      <c r="R18" s="491" t="e">
        <f t="shared" si="7"/>
        <v>#DIV/0!</v>
      </c>
      <c r="S18" s="491">
        <f t="shared" si="7"/>
        <v>1.1776073859635396</v>
      </c>
      <c r="T18" s="491">
        <f t="shared" si="7"/>
        <v>1.4499526365645721</v>
      </c>
      <c r="U18" s="491">
        <f t="shared" si="7"/>
        <v>1.5649789364915347</v>
      </c>
      <c r="V18" s="491" t="e">
        <f t="shared" si="7"/>
        <v>#DIV/0!</v>
      </c>
      <c r="W18" s="491">
        <f t="shared" si="7"/>
        <v>1.9059202577527186</v>
      </c>
      <c r="X18" s="491">
        <f t="shared" si="7"/>
        <v>1.9135542412703557</v>
      </c>
      <c r="Y18" s="491">
        <f t="shared" si="7"/>
        <v>2.1400325467860051</v>
      </c>
      <c r="Z18" s="491" t="e">
        <f t="shared" si="7"/>
        <v>#DIV/0!</v>
      </c>
      <c r="AA18" s="491">
        <f t="shared" si="7"/>
        <v>2.8350980874989742</v>
      </c>
      <c r="AB18" s="491">
        <f t="shared" si="7"/>
        <v>2.3260188087774294</v>
      </c>
      <c r="AC18" s="491">
        <f t="shared" si="7"/>
        <v>2.8941750786033427</v>
      </c>
      <c r="AE18" s="491" t="e">
        <f t="shared" ref="AE18:AT18" si="8">AE16/AE17</f>
        <v>#DIV/0!</v>
      </c>
      <c r="AF18" s="491">
        <f t="shared" si="8"/>
        <v>-0.11315250139736523</v>
      </c>
      <c r="AG18" s="491">
        <f t="shared" si="8"/>
        <v>-0.30587070737835986</v>
      </c>
      <c r="AH18" s="491">
        <f t="shared" si="8"/>
        <v>-0.69465355661391914</v>
      </c>
      <c r="AI18" s="491" t="e">
        <f t="shared" si="8"/>
        <v>#DIV/0!</v>
      </c>
      <c r="AJ18" s="491">
        <f t="shared" si="8"/>
        <v>-0.10836397777951647</v>
      </c>
      <c r="AK18" s="491">
        <f t="shared" si="8"/>
        <v>7.743921692453426E-2</v>
      </c>
      <c r="AL18" s="491">
        <f t="shared" si="8"/>
        <v>0.53731817820523009</v>
      </c>
      <c r="AM18" s="491" t="e">
        <f t="shared" si="8"/>
        <v>#DIV/0!</v>
      </c>
      <c r="AN18" s="491">
        <f t="shared" si="8"/>
        <v>0.69359645590012087</v>
      </c>
      <c r="AO18" s="491">
        <f t="shared" si="8"/>
        <v>1.1230657052580411</v>
      </c>
      <c r="AP18" s="491">
        <f t="shared" si="8"/>
        <v>1.6659072416598861</v>
      </c>
      <c r="AQ18" s="491" t="e">
        <f t="shared" si="8"/>
        <v>#DIV/0!</v>
      </c>
      <c r="AR18" s="491">
        <f t="shared" si="8"/>
        <v>0.89288352622506773</v>
      </c>
      <c r="AS18" s="491">
        <f t="shared" si="8"/>
        <v>1.2749546279491832</v>
      </c>
      <c r="AT18" s="491">
        <f t="shared" si="8"/>
        <v>1.996773125930829</v>
      </c>
    </row>
    <row r="20" spans="1:46" ht="15" thickBot="1">
      <c r="A20" s="5" t="s">
        <v>24</v>
      </c>
      <c r="B20" s="484" t="s">
        <v>514</v>
      </c>
    </row>
    <row r="21" spans="1:46" ht="5.0999999999999996" customHeight="1"/>
    <row r="22" spans="1:46">
      <c r="B22" s="486" t="s">
        <v>509</v>
      </c>
      <c r="C22" s="34">
        <f t="shared" ref="C22:I23" si="9">+C49+C58+C64</f>
        <v>0</v>
      </c>
      <c r="D22" s="34">
        <f t="shared" si="9"/>
        <v>0</v>
      </c>
      <c r="E22" s="34">
        <f t="shared" si="9"/>
        <v>0</v>
      </c>
      <c r="F22" s="34">
        <f t="shared" si="9"/>
        <v>0</v>
      </c>
      <c r="G22" s="34">
        <f t="shared" si="9"/>
        <v>0</v>
      </c>
      <c r="H22" s="34">
        <f t="shared" si="9"/>
        <v>0</v>
      </c>
      <c r="I22" s="34">
        <f t="shared" si="9"/>
        <v>0</v>
      </c>
      <c r="K22" s="34">
        <f t="shared" ref="K22:AT22" si="10">+K49+K58+K64</f>
        <v>19135</v>
      </c>
      <c r="L22" s="34">
        <f t="shared" si="10"/>
        <v>19771</v>
      </c>
      <c r="M22" s="34">
        <f t="shared" si="10"/>
        <v>20207</v>
      </c>
      <c r="N22" s="34">
        <f t="shared" si="10"/>
        <v>-59113</v>
      </c>
      <c r="O22" s="34">
        <f t="shared" si="10"/>
        <v>17533</v>
      </c>
      <c r="P22" s="34">
        <f t="shared" si="10"/>
        <v>17074</v>
      </c>
      <c r="Q22" s="34">
        <f t="shared" si="10"/>
        <v>14850</v>
      </c>
      <c r="R22" s="34">
        <f t="shared" si="10"/>
        <v>-49457</v>
      </c>
      <c r="S22" s="34">
        <f t="shared" si="10"/>
        <v>16087</v>
      </c>
      <c r="T22" s="34">
        <f t="shared" si="10"/>
        <v>19633</v>
      </c>
      <c r="U22" s="34">
        <f t="shared" si="10"/>
        <v>21046</v>
      </c>
      <c r="V22" s="34">
        <f t="shared" si="10"/>
        <v>-56766</v>
      </c>
      <c r="W22" s="34">
        <f t="shared" si="10"/>
        <v>25303</v>
      </c>
      <c r="X22" s="34">
        <f t="shared" si="10"/>
        <v>25258</v>
      </c>
      <c r="Y22" s="34">
        <f t="shared" si="10"/>
        <v>28135</v>
      </c>
      <c r="Z22" s="34">
        <f t="shared" si="10"/>
        <v>-78696</v>
      </c>
      <c r="AA22" s="34">
        <f t="shared" si="10"/>
        <v>36955</v>
      </c>
      <c r="AB22" s="34">
        <f t="shared" si="10"/>
        <v>30166</v>
      </c>
      <c r="AC22" s="34">
        <f t="shared" si="10"/>
        <v>37402</v>
      </c>
      <c r="AE22" s="34">
        <f t="shared" si="10"/>
        <v>0</v>
      </c>
      <c r="AF22" s="34">
        <f t="shared" si="10"/>
        <v>-1602</v>
      </c>
      <c r="AG22" s="34">
        <f t="shared" si="10"/>
        <v>-4299</v>
      </c>
      <c r="AH22" s="34">
        <f t="shared" si="10"/>
        <v>-9656</v>
      </c>
      <c r="AI22" s="34">
        <f t="shared" si="10"/>
        <v>0</v>
      </c>
      <c r="AJ22" s="34">
        <f t="shared" si="10"/>
        <v>-1446</v>
      </c>
      <c r="AK22" s="34">
        <f t="shared" si="10"/>
        <v>1113</v>
      </c>
      <c r="AL22" s="34">
        <f t="shared" si="10"/>
        <v>7309</v>
      </c>
      <c r="AM22" s="34">
        <f t="shared" si="10"/>
        <v>0</v>
      </c>
      <c r="AN22" s="34">
        <f t="shared" si="10"/>
        <v>9216</v>
      </c>
      <c r="AO22" s="34">
        <f t="shared" si="10"/>
        <v>14841</v>
      </c>
      <c r="AP22" s="34">
        <f t="shared" si="10"/>
        <v>21930</v>
      </c>
      <c r="AQ22" s="34">
        <f t="shared" si="10"/>
        <v>0</v>
      </c>
      <c r="AR22" s="34">
        <f t="shared" si="10"/>
        <v>11652</v>
      </c>
      <c r="AS22" s="34">
        <f t="shared" si="10"/>
        <v>16560</v>
      </c>
      <c r="AT22" s="34">
        <f t="shared" si="10"/>
        <v>25827</v>
      </c>
    </row>
    <row r="23" spans="1:46">
      <c r="B23" s="494" t="s">
        <v>515</v>
      </c>
      <c r="C23" s="34">
        <f t="shared" si="9"/>
        <v>0</v>
      </c>
      <c r="D23" s="34">
        <f t="shared" si="9"/>
        <v>0</v>
      </c>
      <c r="E23" s="34">
        <f t="shared" si="9"/>
        <v>0</v>
      </c>
      <c r="F23" s="34">
        <f t="shared" si="9"/>
        <v>0</v>
      </c>
      <c r="G23" s="34">
        <f t="shared" si="9"/>
        <v>0</v>
      </c>
      <c r="H23" s="34">
        <f t="shared" si="9"/>
        <v>0</v>
      </c>
      <c r="I23" s="34">
        <f t="shared" si="9"/>
        <v>0</v>
      </c>
      <c r="K23" s="34">
        <f t="shared" ref="K23:AT23" si="11">+K50+K59+K65</f>
        <v>14558.22</v>
      </c>
      <c r="L23" s="34">
        <f t="shared" si="11"/>
        <v>14506.080000000002</v>
      </c>
      <c r="M23" s="34">
        <f t="shared" si="11"/>
        <v>14438.46</v>
      </c>
      <c r="N23" s="34">
        <f t="shared" si="11"/>
        <v>-605.32000000000005</v>
      </c>
      <c r="O23" s="34">
        <f t="shared" si="11"/>
        <v>14241.720000000001</v>
      </c>
      <c r="P23" s="34">
        <f t="shared" si="11"/>
        <v>14126</v>
      </c>
      <c r="Q23" s="34">
        <f t="shared" si="11"/>
        <v>13982</v>
      </c>
      <c r="R23" s="34">
        <f t="shared" si="11"/>
        <v>0</v>
      </c>
      <c r="S23" s="34">
        <f t="shared" si="11"/>
        <v>13706</v>
      </c>
      <c r="T23" s="34">
        <f t="shared" si="11"/>
        <v>13616</v>
      </c>
      <c r="U23" s="34">
        <f t="shared" si="11"/>
        <v>13571</v>
      </c>
      <c r="V23" s="34">
        <f t="shared" si="11"/>
        <v>0</v>
      </c>
      <c r="W23" s="34">
        <f t="shared" si="11"/>
        <v>13396</v>
      </c>
      <c r="X23" s="34">
        <f t="shared" si="11"/>
        <v>13361</v>
      </c>
      <c r="Y23" s="34">
        <f t="shared" si="11"/>
        <v>13284</v>
      </c>
      <c r="Z23" s="34">
        <f t="shared" si="11"/>
        <v>0</v>
      </c>
      <c r="AA23" s="34">
        <f t="shared" si="11"/>
        <v>13150</v>
      </c>
      <c r="AB23" s="34">
        <f t="shared" si="11"/>
        <v>13050</v>
      </c>
      <c r="AC23" s="34">
        <f t="shared" si="11"/>
        <v>13048</v>
      </c>
      <c r="AE23" s="34">
        <f t="shared" si="11"/>
        <v>-604.42700000000002</v>
      </c>
      <c r="AF23" s="34">
        <f t="shared" si="11"/>
        <v>14241.625</v>
      </c>
      <c r="AG23" s="34">
        <f t="shared" si="11"/>
        <v>14126</v>
      </c>
      <c r="AH23" s="34">
        <f t="shared" si="11"/>
        <v>13982</v>
      </c>
      <c r="AI23" s="34">
        <f t="shared" si="11"/>
        <v>0</v>
      </c>
      <c r="AJ23" s="34">
        <f t="shared" si="11"/>
        <v>13706</v>
      </c>
      <c r="AK23" s="34">
        <f t="shared" si="11"/>
        <v>13616</v>
      </c>
      <c r="AL23" s="34">
        <f t="shared" si="11"/>
        <v>13571</v>
      </c>
      <c r="AM23" s="34">
        <f t="shared" si="11"/>
        <v>0</v>
      </c>
      <c r="AN23" s="34">
        <f t="shared" si="11"/>
        <v>13396</v>
      </c>
      <c r="AO23" s="34">
        <f t="shared" si="11"/>
        <v>13361</v>
      </c>
      <c r="AP23" s="34">
        <f t="shared" si="11"/>
        <v>13284</v>
      </c>
      <c r="AQ23" s="34">
        <f t="shared" si="11"/>
        <v>0</v>
      </c>
      <c r="AR23" s="34">
        <f t="shared" si="11"/>
        <v>13150</v>
      </c>
      <c r="AS23" s="34">
        <f t="shared" si="11"/>
        <v>13050</v>
      </c>
      <c r="AT23" s="34">
        <f t="shared" si="11"/>
        <v>13048</v>
      </c>
    </row>
    <row r="24" spans="1:46">
      <c r="B24" s="495" t="s">
        <v>513</v>
      </c>
      <c r="C24" s="491" t="e">
        <f t="shared" ref="C24:I24" si="12">C22/C23</f>
        <v>#DIV/0!</v>
      </c>
      <c r="D24" s="491" t="e">
        <f t="shared" si="12"/>
        <v>#DIV/0!</v>
      </c>
      <c r="E24" s="491" t="e">
        <f t="shared" si="12"/>
        <v>#DIV/0!</v>
      </c>
      <c r="F24" s="491" t="e">
        <f t="shared" si="12"/>
        <v>#DIV/0!</v>
      </c>
      <c r="G24" s="491" t="e">
        <f t="shared" si="12"/>
        <v>#DIV/0!</v>
      </c>
      <c r="H24" s="491" t="e">
        <f t="shared" si="12"/>
        <v>#DIV/0!</v>
      </c>
      <c r="I24" s="491" t="e">
        <f t="shared" si="12"/>
        <v>#DIV/0!</v>
      </c>
      <c r="K24" s="491">
        <f t="shared" ref="K24:AC24" si="13">K22/K23</f>
        <v>1.3143777192541397</v>
      </c>
      <c r="L24" s="491">
        <f t="shared" si="13"/>
        <v>1.362945744129358</v>
      </c>
      <c r="M24" s="491">
        <f t="shared" si="13"/>
        <v>1.3995259882286617</v>
      </c>
      <c r="N24" s="491">
        <f t="shared" si="13"/>
        <v>97.655785369721798</v>
      </c>
      <c r="O24" s="491">
        <f t="shared" si="13"/>
        <v>1.2311012995621315</v>
      </c>
      <c r="P24" s="491">
        <f t="shared" si="13"/>
        <v>1.2086931898626645</v>
      </c>
      <c r="Q24" s="491">
        <f t="shared" si="13"/>
        <v>1.0620798169074523</v>
      </c>
      <c r="R24" s="491" t="e">
        <f t="shared" si="13"/>
        <v>#DIV/0!</v>
      </c>
      <c r="S24" s="491">
        <f t="shared" si="13"/>
        <v>1.1737195388880781</v>
      </c>
      <c r="T24" s="491">
        <f t="shared" si="13"/>
        <v>1.4419065804935369</v>
      </c>
      <c r="U24" s="491">
        <f t="shared" si="13"/>
        <v>1.5508068675852922</v>
      </c>
      <c r="V24" s="491" t="e">
        <f t="shared" si="13"/>
        <v>#DIV/0!</v>
      </c>
      <c r="W24" s="491">
        <f t="shared" si="13"/>
        <v>1.8888474171394447</v>
      </c>
      <c r="X24" s="491">
        <f t="shared" si="13"/>
        <v>1.8904273632213158</v>
      </c>
      <c r="Y24" s="491">
        <f t="shared" si="13"/>
        <v>2.1179614573923518</v>
      </c>
      <c r="Z24" s="491" t="e">
        <f t="shared" si="13"/>
        <v>#DIV/0!</v>
      </c>
      <c r="AA24" s="491">
        <f t="shared" si="13"/>
        <v>2.8102661596958174</v>
      </c>
      <c r="AB24" s="491">
        <f t="shared" si="13"/>
        <v>2.3115708812260536</v>
      </c>
      <c r="AC24" s="491">
        <f t="shared" si="13"/>
        <v>2.8664929491109747</v>
      </c>
      <c r="AE24" s="491">
        <f t="shared" ref="AE24:AT24" si="14">AE22/AE23</f>
        <v>0</v>
      </c>
      <c r="AF24" s="491">
        <f t="shared" si="14"/>
        <v>-0.11248716350837773</v>
      </c>
      <c r="AG24" s="491">
        <f t="shared" si="14"/>
        <v>-0.30433243664165371</v>
      </c>
      <c r="AH24" s="491">
        <f t="shared" si="14"/>
        <v>-0.69060220283221285</v>
      </c>
      <c r="AI24" s="491" t="e">
        <f t="shared" si="14"/>
        <v>#DIV/0!</v>
      </c>
      <c r="AJ24" s="491">
        <f t="shared" si="14"/>
        <v>-0.105501240332701</v>
      </c>
      <c r="AK24" s="491">
        <f t="shared" si="14"/>
        <v>8.1742068155111633E-2</v>
      </c>
      <c r="AL24" s="491">
        <f t="shared" si="14"/>
        <v>0.53857490236533789</v>
      </c>
      <c r="AM24" s="491" t="e">
        <f t="shared" si="14"/>
        <v>#DIV/0!</v>
      </c>
      <c r="AN24" s="491">
        <f t="shared" si="14"/>
        <v>0.68796655718124811</v>
      </c>
      <c r="AO24" s="491">
        <f t="shared" si="14"/>
        <v>1.1107701519347355</v>
      </c>
      <c r="AP24" s="491">
        <f t="shared" si="14"/>
        <v>1.650858175248419</v>
      </c>
      <c r="AQ24" s="491" t="e">
        <f t="shared" si="14"/>
        <v>#DIV/0!</v>
      </c>
      <c r="AR24" s="491">
        <f t="shared" si="14"/>
        <v>0.88608365019011404</v>
      </c>
      <c r="AS24" s="491">
        <f t="shared" si="14"/>
        <v>1.2689655172413794</v>
      </c>
      <c r="AT24" s="491">
        <f t="shared" si="14"/>
        <v>1.9793838136112814</v>
      </c>
    </row>
    <row r="26" spans="1:46" s="8" customFormat="1" ht="12">
      <c r="A26" s="38" t="s">
        <v>24</v>
      </c>
      <c r="B26" s="1" t="s">
        <v>505</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row>
    <row r="27" spans="1:46" ht="5.0999999999999996" customHeight="1"/>
    <row r="28" spans="1:46">
      <c r="B28" s="485" t="s">
        <v>496</v>
      </c>
      <c r="C28" s="467"/>
      <c r="K28" s="89"/>
    </row>
    <row r="29" spans="1:46">
      <c r="B29" s="486" t="s">
        <v>499</v>
      </c>
      <c r="C29" s="467"/>
      <c r="D29" s="467"/>
      <c r="E29" s="467"/>
      <c r="F29" s="467"/>
      <c r="G29" s="467"/>
      <c r="H29" s="467"/>
      <c r="I29" s="467"/>
      <c r="J29" s="499"/>
      <c r="K29" s="467">
        <v>8011</v>
      </c>
      <c r="L29" s="467">
        <v>8321</v>
      </c>
      <c r="M29" s="467">
        <v>8548</v>
      </c>
      <c r="N29" s="361">
        <f>SUM(F29-SUM(K29:M29))</f>
        <v>-24880</v>
      </c>
      <c r="O29" s="467">
        <v>7481</v>
      </c>
      <c r="P29" s="467">
        <v>7329</v>
      </c>
      <c r="Q29" s="467">
        <v>6393</v>
      </c>
      <c r="R29" s="361">
        <f>SUM(G29-SUM(O29:Q29))</f>
        <v>-21203</v>
      </c>
      <c r="S29" s="467">
        <v>7006</v>
      </c>
      <c r="T29" s="467">
        <v>8600</v>
      </c>
      <c r="U29" s="467">
        <v>9271</v>
      </c>
      <c r="V29" s="361">
        <f>SUM(H29-SUM(S29:U29))</f>
        <v>-24877</v>
      </c>
      <c r="W29" s="467">
        <v>11213</v>
      </c>
      <c r="X29" s="467">
        <v>11219</v>
      </c>
      <c r="Y29" s="467">
        <v>12521</v>
      </c>
      <c r="Z29" s="361">
        <f>SUM(I29-SUM(W29:Y29))</f>
        <v>-34953</v>
      </c>
      <c r="AA29" s="467">
        <v>16534</v>
      </c>
      <c r="AB29" s="467">
        <v>13536</v>
      </c>
      <c r="AC29" s="467">
        <v>16839</v>
      </c>
      <c r="AE29" s="361">
        <f>SUM(K29:N29)</f>
        <v>0</v>
      </c>
      <c r="AF29" s="361">
        <f t="shared" ref="AF29:AT29" si="15">SUM(L29:O29)</f>
        <v>-530</v>
      </c>
      <c r="AG29" s="361">
        <f t="shared" si="15"/>
        <v>-1522</v>
      </c>
      <c r="AH29" s="361">
        <f t="shared" si="15"/>
        <v>-3677</v>
      </c>
      <c r="AI29" s="361">
        <f t="shared" si="15"/>
        <v>0</v>
      </c>
      <c r="AJ29" s="361">
        <f t="shared" si="15"/>
        <v>-475</v>
      </c>
      <c r="AK29" s="361">
        <f t="shared" si="15"/>
        <v>796</v>
      </c>
      <c r="AL29" s="361">
        <f t="shared" si="15"/>
        <v>3674</v>
      </c>
      <c r="AM29" s="361">
        <f t="shared" si="15"/>
        <v>0</v>
      </c>
      <c r="AN29" s="361">
        <f t="shared" si="15"/>
        <v>4207</v>
      </c>
      <c r="AO29" s="361">
        <f t="shared" si="15"/>
        <v>6826</v>
      </c>
      <c r="AP29" s="361">
        <f t="shared" si="15"/>
        <v>10076</v>
      </c>
      <c r="AQ29" s="361">
        <f t="shared" si="15"/>
        <v>0</v>
      </c>
      <c r="AR29" s="361">
        <f t="shared" si="15"/>
        <v>5321</v>
      </c>
      <c r="AS29" s="361">
        <f t="shared" si="15"/>
        <v>7638</v>
      </c>
      <c r="AT29" s="361">
        <f t="shared" si="15"/>
        <v>11956</v>
      </c>
    </row>
    <row r="30" spans="1:46">
      <c r="B30" s="487" t="s">
        <v>521</v>
      </c>
      <c r="C30" s="361">
        <f>IF($C$6=1,C31*20,C31)</f>
        <v>0</v>
      </c>
      <c r="D30" s="361">
        <f>IF($C$6=1,D31*20,D31)</f>
        <v>0</v>
      </c>
      <c r="E30" s="361">
        <f>IF($C$6=1,E31*20,E31)</f>
        <v>0</v>
      </c>
      <c r="F30" s="361">
        <f>IF($C$6=1,F31*20,F31)</f>
        <v>0</v>
      </c>
      <c r="G30" s="361">
        <f>G31</f>
        <v>0</v>
      </c>
      <c r="H30" s="361">
        <f>H31</f>
        <v>0</v>
      </c>
      <c r="I30" s="361">
        <f>I31</f>
        <v>0</v>
      </c>
      <c r="J30" s="499"/>
      <c r="K30" s="361">
        <f>IF($C$6=1,K31*20,K31)</f>
        <v>6016</v>
      </c>
      <c r="L30" s="361">
        <f>IF($C$6=1,L31*20,L31)</f>
        <v>6009.7000000000007</v>
      </c>
      <c r="M30" s="361">
        <f>IF($C$6=1,M31*20,M31)</f>
        <v>6010.38</v>
      </c>
      <c r="N30" s="361">
        <f>IF($C$6=1,N31*20,N31)</f>
        <v>0</v>
      </c>
      <c r="O30" s="361">
        <f>IF($C$6=1,O31*20,O31)</f>
        <v>6009.56</v>
      </c>
      <c r="P30" s="361">
        <f>P31</f>
        <v>6015</v>
      </c>
      <c r="Q30" s="361">
        <f t="shared" ref="Q30:AC30" si="16">Q31</f>
        <v>5983</v>
      </c>
      <c r="R30" s="361">
        <f t="shared" si="16"/>
        <v>0</v>
      </c>
      <c r="S30" s="361">
        <f t="shared" si="16"/>
        <v>5949</v>
      </c>
      <c r="T30" s="361">
        <f t="shared" si="16"/>
        <v>5931</v>
      </c>
      <c r="U30" s="361">
        <f t="shared" si="16"/>
        <v>5924</v>
      </c>
      <c r="V30" s="361">
        <f t="shared" si="16"/>
        <v>0</v>
      </c>
      <c r="W30" s="361">
        <f t="shared" si="16"/>
        <v>5883</v>
      </c>
      <c r="X30" s="361">
        <f t="shared" si="16"/>
        <v>5862</v>
      </c>
      <c r="Y30" s="361">
        <f t="shared" si="16"/>
        <v>5850</v>
      </c>
      <c r="Z30" s="361">
        <f t="shared" si="16"/>
        <v>0</v>
      </c>
      <c r="AA30" s="361">
        <f t="shared" si="16"/>
        <v>5831</v>
      </c>
      <c r="AB30" s="361">
        <f t="shared" si="16"/>
        <v>5819</v>
      </c>
      <c r="AC30" s="361">
        <f t="shared" si="16"/>
        <v>5818</v>
      </c>
      <c r="AE30" s="361">
        <f>N30</f>
        <v>0</v>
      </c>
      <c r="AF30" s="361">
        <f t="shared" ref="AF30:AT31" si="17">O30</f>
        <v>6009.56</v>
      </c>
      <c r="AG30" s="361">
        <f t="shared" si="17"/>
        <v>6015</v>
      </c>
      <c r="AH30" s="361">
        <f t="shared" si="17"/>
        <v>5983</v>
      </c>
      <c r="AI30" s="361">
        <f t="shared" si="17"/>
        <v>0</v>
      </c>
      <c r="AJ30" s="361">
        <f t="shared" si="17"/>
        <v>5949</v>
      </c>
      <c r="AK30" s="361">
        <f t="shared" si="17"/>
        <v>5931</v>
      </c>
      <c r="AL30" s="361">
        <f t="shared" si="17"/>
        <v>5924</v>
      </c>
      <c r="AM30" s="361">
        <f t="shared" si="17"/>
        <v>0</v>
      </c>
      <c r="AN30" s="361">
        <f t="shared" si="17"/>
        <v>5883</v>
      </c>
      <c r="AO30" s="361">
        <f t="shared" si="17"/>
        <v>5862</v>
      </c>
      <c r="AP30" s="361">
        <f t="shared" si="17"/>
        <v>5850</v>
      </c>
      <c r="AQ30" s="361">
        <f t="shared" si="17"/>
        <v>0</v>
      </c>
      <c r="AR30" s="361">
        <f t="shared" si="17"/>
        <v>5831</v>
      </c>
      <c r="AS30" s="361">
        <f t="shared" si="17"/>
        <v>5819</v>
      </c>
      <c r="AT30" s="361">
        <f t="shared" si="17"/>
        <v>5818</v>
      </c>
    </row>
    <row r="31" spans="1:46" outlineLevel="1">
      <c r="B31" s="487" t="s">
        <v>520</v>
      </c>
      <c r="C31" s="467"/>
      <c r="D31" s="467"/>
      <c r="E31" s="467"/>
      <c r="F31" s="467"/>
      <c r="G31" s="467"/>
      <c r="H31" s="467"/>
      <c r="I31" s="467"/>
      <c r="J31" s="499"/>
      <c r="K31" s="467">
        <v>300.8</v>
      </c>
      <c r="L31" s="467">
        <v>300.48500000000001</v>
      </c>
      <c r="M31" s="467">
        <v>300.51900000000001</v>
      </c>
      <c r="N31" s="361">
        <f>F31</f>
        <v>0</v>
      </c>
      <c r="O31" s="467">
        <v>300.47800000000001</v>
      </c>
      <c r="P31" s="467">
        <v>6015</v>
      </c>
      <c r="Q31" s="467">
        <v>5983</v>
      </c>
      <c r="R31" s="361">
        <f>G31</f>
        <v>0</v>
      </c>
      <c r="S31" s="467">
        <v>5949</v>
      </c>
      <c r="T31" s="467">
        <v>5931</v>
      </c>
      <c r="U31" s="467">
        <v>5924</v>
      </c>
      <c r="V31" s="361">
        <f>H31</f>
        <v>0</v>
      </c>
      <c r="W31" s="467">
        <v>5883</v>
      </c>
      <c r="X31" s="467">
        <v>5862</v>
      </c>
      <c r="Y31" s="467">
        <v>5850</v>
      </c>
      <c r="Z31" s="361">
        <f>I31</f>
        <v>0</v>
      </c>
      <c r="AA31" s="467">
        <v>5831</v>
      </c>
      <c r="AB31" s="467">
        <v>5819</v>
      </c>
      <c r="AC31" s="467">
        <v>5818</v>
      </c>
      <c r="AE31" s="361">
        <f>N31</f>
        <v>0</v>
      </c>
      <c r="AF31" s="361">
        <f t="shared" si="17"/>
        <v>300.47800000000001</v>
      </c>
      <c r="AG31" s="361">
        <f t="shared" si="17"/>
        <v>6015</v>
      </c>
      <c r="AH31" s="361">
        <f t="shared" si="17"/>
        <v>5983</v>
      </c>
      <c r="AI31" s="361">
        <f t="shared" si="17"/>
        <v>0</v>
      </c>
      <c r="AJ31" s="361">
        <f t="shared" si="17"/>
        <v>5949</v>
      </c>
      <c r="AK31" s="361">
        <f t="shared" si="17"/>
        <v>5931</v>
      </c>
      <c r="AL31" s="361">
        <f t="shared" si="17"/>
        <v>5924</v>
      </c>
      <c r="AM31" s="361">
        <f t="shared" si="17"/>
        <v>0</v>
      </c>
      <c r="AN31" s="361">
        <f t="shared" si="17"/>
        <v>5883</v>
      </c>
      <c r="AO31" s="361">
        <f t="shared" si="17"/>
        <v>5862</v>
      </c>
      <c r="AP31" s="361">
        <f t="shared" si="17"/>
        <v>5850</v>
      </c>
      <c r="AQ31" s="361">
        <f t="shared" si="17"/>
        <v>0</v>
      </c>
      <c r="AR31" s="361">
        <f t="shared" si="17"/>
        <v>5831</v>
      </c>
      <c r="AS31" s="361">
        <f t="shared" si="17"/>
        <v>5819</v>
      </c>
      <c r="AT31" s="361">
        <f t="shared" si="17"/>
        <v>5818</v>
      </c>
    </row>
    <row r="32" spans="1:46">
      <c r="B32" s="489" t="s">
        <v>510</v>
      </c>
      <c r="C32" s="488" t="e">
        <f t="shared" ref="C32:I32" si="18">IF($C$6=1, C29/C30,C29/C31)</f>
        <v>#DIV/0!</v>
      </c>
      <c r="D32" s="488" t="e">
        <f t="shared" si="18"/>
        <v>#DIV/0!</v>
      </c>
      <c r="E32" s="488" t="e">
        <f t="shared" si="18"/>
        <v>#DIV/0!</v>
      </c>
      <c r="F32" s="488" t="e">
        <f t="shared" si="18"/>
        <v>#DIV/0!</v>
      </c>
      <c r="G32" s="488" t="e">
        <f t="shared" si="18"/>
        <v>#DIV/0!</v>
      </c>
      <c r="H32" s="488" t="e">
        <f t="shared" si="18"/>
        <v>#DIV/0!</v>
      </c>
      <c r="I32" s="488" t="e">
        <f t="shared" si="18"/>
        <v>#DIV/0!</v>
      </c>
      <c r="K32" s="488">
        <f t="shared" ref="K32:AC32" si="19">IF($C$6=1, K29/K30,K29/K31)</f>
        <v>1.3316156914893618</v>
      </c>
      <c r="L32" s="488">
        <f t="shared" si="19"/>
        <v>1.3845949049037387</v>
      </c>
      <c r="M32" s="488">
        <f t="shared" si="19"/>
        <v>1.4222062498544186</v>
      </c>
      <c r="N32" s="488" t="e">
        <f t="shared" si="19"/>
        <v>#DIV/0!</v>
      </c>
      <c r="O32" s="488">
        <f t="shared" si="19"/>
        <v>1.2448498725364252</v>
      </c>
      <c r="P32" s="488">
        <f t="shared" si="19"/>
        <v>1.2184538653366583</v>
      </c>
      <c r="Q32" s="488">
        <f t="shared" si="19"/>
        <v>1.0685274945679426</v>
      </c>
      <c r="R32" s="488" t="e">
        <f t="shared" si="19"/>
        <v>#DIV/0!</v>
      </c>
      <c r="S32" s="488">
        <f t="shared" si="19"/>
        <v>1.1776769204908388</v>
      </c>
      <c r="T32" s="488">
        <f t="shared" si="19"/>
        <v>1.4500084302815714</v>
      </c>
      <c r="U32" s="488">
        <f t="shared" si="19"/>
        <v>1.5649898717083053</v>
      </c>
      <c r="V32" s="488" t="e">
        <f t="shared" si="19"/>
        <v>#DIV/0!</v>
      </c>
      <c r="W32" s="488">
        <f t="shared" si="19"/>
        <v>1.9060003399626042</v>
      </c>
      <c r="X32" s="488">
        <f t="shared" si="19"/>
        <v>1.9138519276697372</v>
      </c>
      <c r="Y32" s="488">
        <f t="shared" si="19"/>
        <v>2.1403418803418806</v>
      </c>
      <c r="Z32" s="488" t="e">
        <f t="shared" si="19"/>
        <v>#DIV/0!</v>
      </c>
      <c r="AA32" s="488">
        <f t="shared" si="19"/>
        <v>2.8355342136854742</v>
      </c>
      <c r="AB32" s="488">
        <f t="shared" si="19"/>
        <v>2.3261728819384775</v>
      </c>
      <c r="AC32" s="488">
        <f t="shared" si="19"/>
        <v>2.8942935716741149</v>
      </c>
      <c r="AE32" s="488" t="e">
        <f t="shared" ref="AE32:AT32" si="20">IF($C$6=1, AE29/AE30,AE29/AE31)</f>
        <v>#DIV/0!</v>
      </c>
      <c r="AF32" s="488">
        <f t="shared" si="20"/>
        <v>-8.8192812784962618E-2</v>
      </c>
      <c r="AG32" s="488">
        <f t="shared" si="20"/>
        <v>-0.25303408146300915</v>
      </c>
      <c r="AH32" s="488">
        <f t="shared" si="20"/>
        <v>-0.6145746281129868</v>
      </c>
      <c r="AI32" s="488" t="e">
        <f t="shared" si="20"/>
        <v>#DIV/0!</v>
      </c>
      <c r="AJ32" s="488">
        <f t="shared" si="20"/>
        <v>-7.9845352160026889E-2</v>
      </c>
      <c r="AK32" s="488">
        <f t="shared" si="20"/>
        <v>0.1342100826167594</v>
      </c>
      <c r="AL32" s="488">
        <f t="shared" si="20"/>
        <v>0.62018906144496966</v>
      </c>
      <c r="AM32" s="488" t="e">
        <f t="shared" si="20"/>
        <v>#DIV/0!</v>
      </c>
      <c r="AN32" s="488">
        <f t="shared" si="20"/>
        <v>0.71511133775284719</v>
      </c>
      <c r="AO32" s="488">
        <f t="shared" si="20"/>
        <v>1.1644489935175708</v>
      </c>
      <c r="AP32" s="488">
        <f t="shared" si="20"/>
        <v>1.7223931623931623</v>
      </c>
      <c r="AQ32" s="488" t="e">
        <f t="shared" si="20"/>
        <v>#DIV/0!</v>
      </c>
      <c r="AR32" s="488">
        <f t="shared" si="20"/>
        <v>0.91253644314868809</v>
      </c>
      <c r="AS32" s="488">
        <f t="shared" si="20"/>
        <v>1.3125966660938306</v>
      </c>
      <c r="AT32" s="488">
        <f t="shared" si="20"/>
        <v>2.0550017188037124</v>
      </c>
    </row>
    <row r="33" spans="1:46">
      <c r="B33" s="49"/>
    </row>
    <row r="34" spans="1:46">
      <c r="B34" s="485" t="s">
        <v>497</v>
      </c>
      <c r="K34" s="89"/>
    </row>
    <row r="35" spans="1:46">
      <c r="B35" s="486" t="s">
        <v>499</v>
      </c>
      <c r="C35" s="467"/>
      <c r="D35" s="467"/>
      <c r="E35" s="467"/>
      <c r="F35" s="467"/>
      <c r="G35" s="467"/>
      <c r="H35" s="467"/>
      <c r="I35" s="467"/>
      <c r="K35" s="467">
        <v>1221</v>
      </c>
      <c r="L35" s="467">
        <v>1265</v>
      </c>
      <c r="M35" s="467">
        <v>1291</v>
      </c>
      <c r="N35" s="361">
        <f>SUM(F35-SUM(K35:M35))</f>
        <v>-3777</v>
      </c>
      <c r="O35" s="467">
        <v>1109</v>
      </c>
      <c r="P35" s="467">
        <v>1081</v>
      </c>
      <c r="Q35" s="467">
        <v>946</v>
      </c>
      <c r="R35" s="361">
        <f>SUM(G35-SUM(O35:Q35))</f>
        <v>-3136</v>
      </c>
      <c r="S35" s="467">
        <v>1040</v>
      </c>
      <c r="T35" s="467">
        <v>1275</v>
      </c>
      <c r="U35" s="467">
        <v>1369</v>
      </c>
      <c r="V35" s="361">
        <f>SUM(H35-SUM(S35:U35))</f>
        <v>-3684</v>
      </c>
      <c r="W35" s="467">
        <v>1656</v>
      </c>
      <c r="X35" s="467">
        <v>1657</v>
      </c>
      <c r="Y35" s="467">
        <v>1851</v>
      </c>
      <c r="Z35" s="361">
        <f>SUM(I35-SUM(W35:Y35))</f>
        <v>-5164</v>
      </c>
      <c r="AA35" s="467">
        <v>2435</v>
      </c>
      <c r="AB35" s="467">
        <v>1981</v>
      </c>
      <c r="AC35" s="467">
        <v>2445</v>
      </c>
      <c r="AE35" s="361">
        <f>SUM(K35:N35)</f>
        <v>0</v>
      </c>
      <c r="AF35" s="361">
        <f t="shared" ref="AF35:AT35" si="21">SUM(L35:O35)</f>
        <v>-112</v>
      </c>
      <c r="AG35" s="361">
        <f t="shared" si="21"/>
        <v>-296</v>
      </c>
      <c r="AH35" s="361">
        <f t="shared" si="21"/>
        <v>-641</v>
      </c>
      <c r="AI35" s="361">
        <f t="shared" si="21"/>
        <v>0</v>
      </c>
      <c r="AJ35" s="361">
        <f t="shared" si="21"/>
        <v>-69</v>
      </c>
      <c r="AK35" s="361">
        <f t="shared" si="21"/>
        <v>125</v>
      </c>
      <c r="AL35" s="361">
        <f t="shared" si="21"/>
        <v>548</v>
      </c>
      <c r="AM35" s="361">
        <f t="shared" si="21"/>
        <v>0</v>
      </c>
      <c r="AN35" s="361">
        <f t="shared" si="21"/>
        <v>616</v>
      </c>
      <c r="AO35" s="361">
        <f t="shared" si="21"/>
        <v>998</v>
      </c>
      <c r="AP35" s="361">
        <f t="shared" si="21"/>
        <v>1480</v>
      </c>
      <c r="AQ35" s="361">
        <f t="shared" si="21"/>
        <v>0</v>
      </c>
      <c r="AR35" s="361">
        <f t="shared" si="21"/>
        <v>779</v>
      </c>
      <c r="AS35" s="361">
        <f t="shared" si="21"/>
        <v>1103</v>
      </c>
      <c r="AT35" s="361">
        <f t="shared" si="21"/>
        <v>1697</v>
      </c>
    </row>
    <row r="36" spans="1:46">
      <c r="B36" s="487" t="s">
        <v>521</v>
      </c>
      <c r="C36" s="361">
        <f>IF($C$6=1,C37*20,C37)</f>
        <v>0</v>
      </c>
      <c r="D36" s="361">
        <f>IF($C$6=1,D37*20,D37)</f>
        <v>0</v>
      </c>
      <c r="E36" s="361">
        <f>IF($C$6=1,E37*20,E37)</f>
        <v>0</v>
      </c>
      <c r="F36" s="361">
        <f>IF($C$6=1,F37*20,F37)</f>
        <v>0</v>
      </c>
      <c r="G36" s="361">
        <f>G37</f>
        <v>0</v>
      </c>
      <c r="H36" s="361">
        <f>H37</f>
        <v>0</v>
      </c>
      <c r="I36" s="361">
        <f>I37</f>
        <v>0</v>
      </c>
      <c r="K36" s="361">
        <f>IF($C$6=1,K37*20,K37)</f>
        <v>916.80000000000007</v>
      </c>
      <c r="L36" s="361">
        <f>IF($C$6=1,L37*20,L37)</f>
        <v>913.84</v>
      </c>
      <c r="M36" s="361">
        <f>IF($C$6=1,M37*20,M37)</f>
        <v>908.08</v>
      </c>
      <c r="N36" s="361">
        <f>IF($C$6=1,N37*20,N37)</f>
        <v>0</v>
      </c>
      <c r="O36" s="361">
        <f>IF($C$6=1,O37*20,O37)</f>
        <v>890.69999999999993</v>
      </c>
      <c r="P36" s="361">
        <f>P37</f>
        <v>887</v>
      </c>
      <c r="Q36" s="361">
        <f t="shared" ref="Q36:AC36" si="22">Q37</f>
        <v>885</v>
      </c>
      <c r="R36" s="361">
        <f t="shared" si="22"/>
        <v>0</v>
      </c>
      <c r="S36" s="361">
        <f t="shared" si="22"/>
        <v>883</v>
      </c>
      <c r="T36" s="361">
        <f t="shared" si="22"/>
        <v>879</v>
      </c>
      <c r="U36" s="361">
        <f t="shared" si="22"/>
        <v>875</v>
      </c>
      <c r="V36" s="361">
        <f t="shared" si="22"/>
        <v>0</v>
      </c>
      <c r="W36" s="361">
        <f t="shared" si="22"/>
        <v>869</v>
      </c>
      <c r="X36" s="361">
        <f t="shared" si="22"/>
        <v>866</v>
      </c>
      <c r="Y36" s="361">
        <f t="shared" si="22"/>
        <v>865</v>
      </c>
      <c r="Z36" s="361">
        <f t="shared" si="22"/>
        <v>0</v>
      </c>
      <c r="AA36" s="361">
        <f t="shared" si="22"/>
        <v>859</v>
      </c>
      <c r="AB36" s="361">
        <f t="shared" si="22"/>
        <v>852</v>
      </c>
      <c r="AC36" s="361">
        <f t="shared" si="22"/>
        <v>845</v>
      </c>
      <c r="AE36" s="361">
        <f>N36</f>
        <v>0</v>
      </c>
      <c r="AF36" s="361">
        <f t="shared" ref="AF36:AT37" si="23">O36</f>
        <v>890.69999999999993</v>
      </c>
      <c r="AG36" s="361">
        <f t="shared" si="23"/>
        <v>887</v>
      </c>
      <c r="AH36" s="361">
        <f t="shared" si="23"/>
        <v>885</v>
      </c>
      <c r="AI36" s="361">
        <f t="shared" si="23"/>
        <v>0</v>
      </c>
      <c r="AJ36" s="361">
        <f t="shared" si="23"/>
        <v>883</v>
      </c>
      <c r="AK36" s="361">
        <f t="shared" si="23"/>
        <v>879</v>
      </c>
      <c r="AL36" s="361">
        <f t="shared" si="23"/>
        <v>875</v>
      </c>
      <c r="AM36" s="361">
        <f t="shared" si="23"/>
        <v>0</v>
      </c>
      <c r="AN36" s="361">
        <f t="shared" si="23"/>
        <v>869</v>
      </c>
      <c r="AO36" s="361">
        <f t="shared" si="23"/>
        <v>866</v>
      </c>
      <c r="AP36" s="361">
        <f t="shared" si="23"/>
        <v>865</v>
      </c>
      <c r="AQ36" s="361">
        <f t="shared" si="23"/>
        <v>0</v>
      </c>
      <c r="AR36" s="361">
        <f t="shared" si="23"/>
        <v>859</v>
      </c>
      <c r="AS36" s="361">
        <f t="shared" si="23"/>
        <v>852</v>
      </c>
      <c r="AT36" s="361">
        <f t="shared" si="23"/>
        <v>845</v>
      </c>
    </row>
    <row r="37" spans="1:46" outlineLevel="1">
      <c r="B37" s="487" t="s">
        <v>520</v>
      </c>
      <c r="C37" s="467"/>
      <c r="D37" s="467"/>
      <c r="E37" s="467"/>
      <c r="F37" s="467"/>
      <c r="G37" s="467"/>
      <c r="H37" s="467"/>
      <c r="I37" s="467"/>
      <c r="K37" s="467">
        <v>45.84</v>
      </c>
      <c r="L37" s="467">
        <v>45.692</v>
      </c>
      <c r="M37" s="467">
        <v>45.404000000000003</v>
      </c>
      <c r="N37" s="361">
        <f>F37</f>
        <v>0</v>
      </c>
      <c r="O37" s="467">
        <v>44.534999999999997</v>
      </c>
      <c r="P37" s="467">
        <v>887</v>
      </c>
      <c r="Q37" s="467">
        <v>885</v>
      </c>
      <c r="R37" s="361">
        <f>G37</f>
        <v>0</v>
      </c>
      <c r="S37" s="467">
        <v>883</v>
      </c>
      <c r="T37" s="467">
        <v>879</v>
      </c>
      <c r="U37" s="467">
        <v>875</v>
      </c>
      <c r="V37" s="361">
        <f>H37</f>
        <v>0</v>
      </c>
      <c r="W37" s="467">
        <v>869</v>
      </c>
      <c r="X37" s="467">
        <v>866</v>
      </c>
      <c r="Y37" s="467">
        <v>865</v>
      </c>
      <c r="Z37" s="361">
        <f>I37</f>
        <v>0</v>
      </c>
      <c r="AA37" s="467">
        <v>859</v>
      </c>
      <c r="AB37" s="467">
        <v>852</v>
      </c>
      <c r="AC37" s="467">
        <v>845</v>
      </c>
      <c r="AE37" s="361">
        <f>N37</f>
        <v>0</v>
      </c>
      <c r="AF37" s="361">
        <f t="shared" si="23"/>
        <v>44.534999999999997</v>
      </c>
      <c r="AG37" s="361">
        <f t="shared" si="23"/>
        <v>887</v>
      </c>
      <c r="AH37" s="361">
        <f t="shared" si="23"/>
        <v>885</v>
      </c>
      <c r="AI37" s="361">
        <f t="shared" si="23"/>
        <v>0</v>
      </c>
      <c r="AJ37" s="361">
        <f t="shared" si="23"/>
        <v>883</v>
      </c>
      <c r="AK37" s="361">
        <f t="shared" si="23"/>
        <v>879</v>
      </c>
      <c r="AL37" s="361">
        <f t="shared" si="23"/>
        <v>875</v>
      </c>
      <c r="AM37" s="361">
        <f t="shared" si="23"/>
        <v>0</v>
      </c>
      <c r="AN37" s="361">
        <f t="shared" si="23"/>
        <v>869</v>
      </c>
      <c r="AO37" s="361">
        <f t="shared" si="23"/>
        <v>866</v>
      </c>
      <c r="AP37" s="361">
        <f t="shared" si="23"/>
        <v>865</v>
      </c>
      <c r="AQ37" s="361">
        <f t="shared" si="23"/>
        <v>0</v>
      </c>
      <c r="AR37" s="361">
        <f t="shared" si="23"/>
        <v>859</v>
      </c>
      <c r="AS37" s="361">
        <f t="shared" si="23"/>
        <v>852</v>
      </c>
      <c r="AT37" s="361">
        <f t="shared" si="23"/>
        <v>845</v>
      </c>
    </row>
    <row r="38" spans="1:46">
      <c r="B38" s="489" t="s">
        <v>511</v>
      </c>
      <c r="C38" s="488" t="e">
        <f t="shared" ref="C38:I38" si="24">IF($C$6=1, C35/C36,C35/C37)</f>
        <v>#DIV/0!</v>
      </c>
      <c r="D38" s="488" t="e">
        <f t="shared" si="24"/>
        <v>#DIV/0!</v>
      </c>
      <c r="E38" s="488" t="e">
        <f t="shared" si="24"/>
        <v>#DIV/0!</v>
      </c>
      <c r="F38" s="488" t="e">
        <f t="shared" si="24"/>
        <v>#DIV/0!</v>
      </c>
      <c r="G38" s="488" t="e">
        <f t="shared" si="24"/>
        <v>#DIV/0!</v>
      </c>
      <c r="H38" s="488" t="e">
        <f t="shared" si="24"/>
        <v>#DIV/0!</v>
      </c>
      <c r="I38" s="488" t="e">
        <f t="shared" si="24"/>
        <v>#DIV/0!</v>
      </c>
      <c r="K38" s="488">
        <f t="shared" ref="K38:AC38" si="25">IF($C$6=1, K35/K36,K35/K37)</f>
        <v>1.331806282722513</v>
      </c>
      <c r="L38" s="488">
        <f t="shared" si="25"/>
        <v>1.3842685809332049</v>
      </c>
      <c r="M38" s="488">
        <f t="shared" si="25"/>
        <v>1.4216809091709981</v>
      </c>
      <c r="N38" s="488" t="e">
        <f t="shared" si="25"/>
        <v>#DIV/0!</v>
      </c>
      <c r="O38" s="488">
        <f t="shared" si="25"/>
        <v>1.245088132929157</v>
      </c>
      <c r="P38" s="488">
        <f t="shared" si="25"/>
        <v>1.2187147688838782</v>
      </c>
      <c r="Q38" s="488">
        <f t="shared" si="25"/>
        <v>1.0689265536723165</v>
      </c>
      <c r="R38" s="488" t="e">
        <f t="shared" si="25"/>
        <v>#DIV/0!</v>
      </c>
      <c r="S38" s="488">
        <f t="shared" si="25"/>
        <v>1.1778029445073612</v>
      </c>
      <c r="T38" s="488">
        <f t="shared" si="25"/>
        <v>1.4505119453924915</v>
      </c>
      <c r="U38" s="488">
        <f t="shared" si="25"/>
        <v>1.5645714285714285</v>
      </c>
      <c r="V38" s="488" t="e">
        <f t="shared" si="25"/>
        <v>#DIV/0!</v>
      </c>
      <c r="W38" s="488">
        <f t="shared" si="25"/>
        <v>1.905638665132336</v>
      </c>
      <c r="X38" s="488">
        <f t="shared" si="25"/>
        <v>1.9133949191685913</v>
      </c>
      <c r="Y38" s="488">
        <f t="shared" si="25"/>
        <v>2.1398843930635838</v>
      </c>
      <c r="Z38" s="488" t="e">
        <f t="shared" si="25"/>
        <v>#DIV/0!</v>
      </c>
      <c r="AA38" s="488">
        <f t="shared" si="25"/>
        <v>2.8346915017462164</v>
      </c>
      <c r="AB38" s="488">
        <f t="shared" si="25"/>
        <v>2.325117370892019</v>
      </c>
      <c r="AC38" s="488">
        <f t="shared" si="25"/>
        <v>2.8934911242603549</v>
      </c>
      <c r="AE38" s="488" t="e">
        <f t="shared" ref="AE38:AT38" si="26">IF($C$6=1, AE35/AE36,AE35/AE37)</f>
        <v>#DIV/0!</v>
      </c>
      <c r="AF38" s="488">
        <f t="shared" si="26"/>
        <v>-0.12574379701358482</v>
      </c>
      <c r="AG38" s="488">
        <f t="shared" si="26"/>
        <v>-0.33370913190529877</v>
      </c>
      <c r="AH38" s="488">
        <f t="shared" si="26"/>
        <v>-0.72429378531073452</v>
      </c>
      <c r="AI38" s="488" t="e">
        <f t="shared" si="26"/>
        <v>#DIV/0!</v>
      </c>
      <c r="AJ38" s="488">
        <f t="shared" si="26"/>
        <v>-7.8142695356738387E-2</v>
      </c>
      <c r="AK38" s="488">
        <f t="shared" si="26"/>
        <v>0.1422070534698521</v>
      </c>
      <c r="AL38" s="488">
        <f t="shared" si="26"/>
        <v>0.62628571428571433</v>
      </c>
      <c r="AM38" s="488" t="e">
        <f t="shared" si="26"/>
        <v>#DIV/0!</v>
      </c>
      <c r="AN38" s="488">
        <f t="shared" si="26"/>
        <v>0.70886075949367089</v>
      </c>
      <c r="AO38" s="488">
        <f t="shared" si="26"/>
        <v>1.1524249422632795</v>
      </c>
      <c r="AP38" s="488">
        <f t="shared" si="26"/>
        <v>1.7109826589595376</v>
      </c>
      <c r="AQ38" s="488" t="e">
        <f t="shared" si="26"/>
        <v>#DIV/0!</v>
      </c>
      <c r="AR38" s="488">
        <f t="shared" si="26"/>
        <v>0.90686845168800934</v>
      </c>
      <c r="AS38" s="488">
        <f t="shared" si="26"/>
        <v>1.2946009389671362</v>
      </c>
      <c r="AT38" s="488">
        <f t="shared" si="26"/>
        <v>2.0082840236686392</v>
      </c>
    </row>
    <row r="39" spans="1:46">
      <c r="B39" s="49"/>
    </row>
    <row r="40" spans="1:46">
      <c r="B40" s="485" t="s">
        <v>498</v>
      </c>
      <c r="K40" s="89"/>
    </row>
    <row r="41" spans="1:46">
      <c r="B41" s="486" t="s">
        <v>499</v>
      </c>
      <c r="C41" s="467"/>
      <c r="D41" s="467"/>
      <c r="E41" s="467"/>
      <c r="F41" s="467"/>
      <c r="G41" s="467"/>
      <c r="H41" s="467"/>
      <c r="I41" s="467"/>
      <c r="K41" s="467">
        <v>8698</v>
      </c>
      <c r="L41" s="467">
        <v>8939</v>
      </c>
      <c r="M41" s="467">
        <v>9097</v>
      </c>
      <c r="N41" s="361">
        <f>SUM(F41-SUM(K41:M41))</f>
        <v>-26734</v>
      </c>
      <c r="O41" s="467">
        <v>7846</v>
      </c>
      <c r="P41" s="467">
        <v>7592</v>
      </c>
      <c r="Q41" s="467">
        <v>6571</v>
      </c>
      <c r="R41" s="361">
        <f>SUM(G41-SUM(O41:Q41))</f>
        <v>-22009</v>
      </c>
      <c r="S41" s="467">
        <v>7005</v>
      </c>
      <c r="T41" s="467">
        <v>8493</v>
      </c>
      <c r="U41" s="467">
        <v>9049</v>
      </c>
      <c r="V41" s="361">
        <f>SUM(H41-SUM(S41:U41))</f>
        <v>-24547</v>
      </c>
      <c r="W41" s="467">
        <v>10793</v>
      </c>
      <c r="X41" s="467">
        <v>10743</v>
      </c>
      <c r="Y41" s="467">
        <v>11929</v>
      </c>
      <c r="Z41" s="361">
        <f>SUM(I41-SUM(W41:Y41))</f>
        <v>-33465</v>
      </c>
      <c r="AA41" s="465">
        <v>15571</v>
      </c>
      <c r="AB41" s="465">
        <v>12679</v>
      </c>
      <c r="AC41" s="465">
        <v>15695</v>
      </c>
      <c r="AE41" s="361">
        <f>SUM(K41:N41)</f>
        <v>0</v>
      </c>
      <c r="AF41" s="361">
        <f t="shared" ref="AF41:AT41" si="27">SUM(L41:O41)</f>
        <v>-852</v>
      </c>
      <c r="AG41" s="361">
        <f t="shared" si="27"/>
        <v>-2199</v>
      </c>
      <c r="AH41" s="361">
        <f t="shared" si="27"/>
        <v>-4725</v>
      </c>
      <c r="AI41" s="361">
        <f t="shared" si="27"/>
        <v>0</v>
      </c>
      <c r="AJ41" s="361">
        <f t="shared" si="27"/>
        <v>-841</v>
      </c>
      <c r="AK41" s="361">
        <f t="shared" si="27"/>
        <v>60</v>
      </c>
      <c r="AL41" s="361">
        <f t="shared" si="27"/>
        <v>2538</v>
      </c>
      <c r="AM41" s="361">
        <f t="shared" si="27"/>
        <v>0</v>
      </c>
      <c r="AN41" s="361">
        <f t="shared" si="27"/>
        <v>3788</v>
      </c>
      <c r="AO41" s="361">
        <f t="shared" si="27"/>
        <v>6038</v>
      </c>
      <c r="AP41" s="361">
        <f t="shared" si="27"/>
        <v>8918</v>
      </c>
      <c r="AQ41" s="361">
        <f t="shared" si="27"/>
        <v>0</v>
      </c>
      <c r="AR41" s="361">
        <f t="shared" si="27"/>
        <v>4778</v>
      </c>
      <c r="AS41" s="361">
        <f t="shared" si="27"/>
        <v>6714</v>
      </c>
      <c r="AT41" s="361">
        <f t="shared" si="27"/>
        <v>10480</v>
      </c>
    </row>
    <row r="42" spans="1:46">
      <c r="B42" s="487" t="s">
        <v>521</v>
      </c>
      <c r="C42" s="361">
        <f>IF($C$6=1,C43*20,C43)</f>
        <v>0</v>
      </c>
      <c r="D42" s="361">
        <f>IF($C$6=1,D43*20,D43)</f>
        <v>0</v>
      </c>
      <c r="E42" s="361">
        <f>IF($C$6=1,E43*20,E43)</f>
        <v>0</v>
      </c>
      <c r="F42" s="361">
        <f>IF($C$6=1,F43*20,F43)</f>
        <v>0</v>
      </c>
      <c r="G42" s="361">
        <f>G43</f>
        <v>0</v>
      </c>
      <c r="H42" s="361">
        <f>H43</f>
        <v>0</v>
      </c>
      <c r="I42" s="361">
        <f>I43</f>
        <v>0</v>
      </c>
      <c r="K42" s="361">
        <f>IF($C$6=1,K43*20,K43)</f>
        <v>6531.5999999999995</v>
      </c>
      <c r="L42" s="361">
        <f>IF($C$6=1,L43*20,L43)</f>
        <v>6455.62</v>
      </c>
      <c r="M42" s="361">
        <f>IF($C$6=1,M43*20,M43)</f>
        <v>6396.7</v>
      </c>
      <c r="N42" s="361">
        <f>IF($C$6=1,N43*20,N43)</f>
        <v>0</v>
      </c>
      <c r="O42" s="361">
        <f>IF($C$6=1,O43*20,O43)</f>
        <v>6303.16</v>
      </c>
      <c r="P42" s="361">
        <f>P43</f>
        <v>6231</v>
      </c>
      <c r="Q42" s="361">
        <f t="shared" ref="Q42:AC42" si="28">Q43</f>
        <v>6150</v>
      </c>
      <c r="R42" s="361">
        <f t="shared" si="28"/>
        <v>0</v>
      </c>
      <c r="S42" s="361">
        <f t="shared" si="28"/>
        <v>5949</v>
      </c>
      <c r="T42" s="361">
        <f t="shared" si="28"/>
        <v>5858</v>
      </c>
      <c r="U42" s="361">
        <f t="shared" si="28"/>
        <v>5782</v>
      </c>
      <c r="V42" s="361">
        <f t="shared" si="28"/>
        <v>0</v>
      </c>
      <c r="W42" s="361">
        <f t="shared" si="28"/>
        <v>5663</v>
      </c>
      <c r="X42" s="361">
        <f t="shared" si="28"/>
        <v>5615</v>
      </c>
      <c r="Y42" s="361">
        <f t="shared" si="28"/>
        <v>5575</v>
      </c>
      <c r="Z42" s="361">
        <f t="shared" si="28"/>
        <v>0</v>
      </c>
      <c r="AA42" s="361">
        <f t="shared" si="28"/>
        <v>5493</v>
      </c>
      <c r="AB42" s="361">
        <f t="shared" si="28"/>
        <v>5451</v>
      </c>
      <c r="AC42" s="361">
        <f t="shared" si="28"/>
        <v>5423</v>
      </c>
      <c r="AE42" s="361">
        <f>N42</f>
        <v>0</v>
      </c>
      <c r="AF42" s="361">
        <f t="shared" ref="AF42:AT43" si="29">O42</f>
        <v>6303.16</v>
      </c>
      <c r="AG42" s="361">
        <f t="shared" si="29"/>
        <v>6231</v>
      </c>
      <c r="AH42" s="361">
        <f t="shared" si="29"/>
        <v>6150</v>
      </c>
      <c r="AI42" s="361">
        <f t="shared" si="29"/>
        <v>0</v>
      </c>
      <c r="AJ42" s="361">
        <f t="shared" si="29"/>
        <v>5949</v>
      </c>
      <c r="AK42" s="361">
        <f t="shared" si="29"/>
        <v>5858</v>
      </c>
      <c r="AL42" s="361">
        <f t="shared" si="29"/>
        <v>5782</v>
      </c>
      <c r="AM42" s="361">
        <f t="shared" si="29"/>
        <v>0</v>
      </c>
      <c r="AN42" s="361">
        <f t="shared" si="29"/>
        <v>5663</v>
      </c>
      <c r="AO42" s="361">
        <f t="shared" si="29"/>
        <v>5615</v>
      </c>
      <c r="AP42" s="361">
        <f t="shared" si="29"/>
        <v>5575</v>
      </c>
      <c r="AQ42" s="361">
        <f t="shared" si="29"/>
        <v>0</v>
      </c>
      <c r="AR42" s="361">
        <f t="shared" si="29"/>
        <v>5493</v>
      </c>
      <c r="AS42" s="361">
        <f t="shared" si="29"/>
        <v>5451</v>
      </c>
      <c r="AT42" s="361">
        <f t="shared" si="29"/>
        <v>5423</v>
      </c>
    </row>
    <row r="43" spans="1:46" outlineLevel="1">
      <c r="B43" s="487" t="s">
        <v>520</v>
      </c>
      <c r="C43" s="467"/>
      <c r="D43" s="467"/>
      <c r="E43" s="467"/>
      <c r="F43" s="467"/>
      <c r="G43" s="467"/>
      <c r="H43" s="467"/>
      <c r="I43" s="467"/>
      <c r="K43" s="467">
        <v>326.58</v>
      </c>
      <c r="L43" s="467">
        <v>322.78100000000001</v>
      </c>
      <c r="M43" s="467">
        <v>319.83499999999998</v>
      </c>
      <c r="N43" s="361">
        <f>F43</f>
        <v>0</v>
      </c>
      <c r="O43" s="467">
        <v>315.15800000000002</v>
      </c>
      <c r="P43" s="467">
        <v>6231</v>
      </c>
      <c r="Q43" s="467">
        <v>6150</v>
      </c>
      <c r="R43" s="361">
        <f>G43</f>
        <v>0</v>
      </c>
      <c r="S43" s="467">
        <v>5949</v>
      </c>
      <c r="T43" s="467">
        <v>5858</v>
      </c>
      <c r="U43" s="467">
        <v>5782</v>
      </c>
      <c r="V43" s="361">
        <f>H43</f>
        <v>0</v>
      </c>
      <c r="W43" s="467">
        <v>5663</v>
      </c>
      <c r="X43" s="467">
        <v>5615</v>
      </c>
      <c r="Y43" s="467">
        <v>5575</v>
      </c>
      <c r="Z43" s="361">
        <f>I43</f>
        <v>0</v>
      </c>
      <c r="AA43" s="465">
        <v>5493</v>
      </c>
      <c r="AB43" s="465">
        <v>5451</v>
      </c>
      <c r="AC43" s="465">
        <v>5423</v>
      </c>
      <c r="AE43" s="361">
        <f>N43</f>
        <v>0</v>
      </c>
      <c r="AF43" s="361">
        <f t="shared" si="29"/>
        <v>315.15800000000002</v>
      </c>
      <c r="AG43" s="361">
        <f t="shared" si="29"/>
        <v>6231</v>
      </c>
      <c r="AH43" s="361">
        <f t="shared" si="29"/>
        <v>6150</v>
      </c>
      <c r="AI43" s="361">
        <f t="shared" si="29"/>
        <v>0</v>
      </c>
      <c r="AJ43" s="361">
        <f t="shared" si="29"/>
        <v>5949</v>
      </c>
      <c r="AK43" s="361">
        <f t="shared" si="29"/>
        <v>5858</v>
      </c>
      <c r="AL43" s="361">
        <f t="shared" si="29"/>
        <v>5782</v>
      </c>
      <c r="AM43" s="361">
        <f t="shared" si="29"/>
        <v>0</v>
      </c>
      <c r="AN43" s="361">
        <f t="shared" si="29"/>
        <v>5663</v>
      </c>
      <c r="AO43" s="361">
        <f t="shared" si="29"/>
        <v>5615</v>
      </c>
      <c r="AP43" s="361">
        <f t="shared" si="29"/>
        <v>5575</v>
      </c>
      <c r="AQ43" s="361">
        <f t="shared" si="29"/>
        <v>0</v>
      </c>
      <c r="AR43" s="361">
        <f t="shared" si="29"/>
        <v>5493</v>
      </c>
      <c r="AS43" s="361">
        <f t="shared" si="29"/>
        <v>5451</v>
      </c>
      <c r="AT43" s="361">
        <f t="shared" si="29"/>
        <v>5423</v>
      </c>
    </row>
    <row r="44" spans="1:46">
      <c r="B44" s="489" t="s">
        <v>512</v>
      </c>
      <c r="C44" s="488" t="e">
        <f t="shared" ref="C44:I44" si="30">IF($C$6=1, C41/C42,C41/C43)</f>
        <v>#DIV/0!</v>
      </c>
      <c r="D44" s="488" t="e">
        <f t="shared" si="30"/>
        <v>#DIV/0!</v>
      </c>
      <c r="E44" s="488" t="e">
        <f t="shared" si="30"/>
        <v>#DIV/0!</v>
      </c>
      <c r="F44" s="488" t="e">
        <f t="shared" si="30"/>
        <v>#DIV/0!</v>
      </c>
      <c r="G44" s="488" t="e">
        <f t="shared" si="30"/>
        <v>#DIV/0!</v>
      </c>
      <c r="H44" s="488" t="e">
        <f t="shared" si="30"/>
        <v>#DIV/0!</v>
      </c>
      <c r="I44" s="488" t="e">
        <f t="shared" si="30"/>
        <v>#DIV/0!</v>
      </c>
      <c r="K44" s="488">
        <f t="shared" ref="K44:AC44" si="31">IF($C$6=1, K41/K42,K41/K43)</f>
        <v>1.3316798334251945</v>
      </c>
      <c r="L44" s="488">
        <f t="shared" si="31"/>
        <v>1.3846849721637891</v>
      </c>
      <c r="M44" s="488">
        <f t="shared" si="31"/>
        <v>1.4221395407006738</v>
      </c>
      <c r="N44" s="488" t="e">
        <f t="shared" si="31"/>
        <v>#DIV/0!</v>
      </c>
      <c r="O44" s="488">
        <f t="shared" si="31"/>
        <v>1.2447724633358506</v>
      </c>
      <c r="P44" s="488">
        <f t="shared" si="31"/>
        <v>1.2184240089873215</v>
      </c>
      <c r="Q44" s="488">
        <f t="shared" si="31"/>
        <v>1.0684552845528454</v>
      </c>
      <c r="R44" s="488" t="e">
        <f t="shared" si="31"/>
        <v>#DIV/0!</v>
      </c>
      <c r="S44" s="488">
        <f t="shared" si="31"/>
        <v>1.1775088250126071</v>
      </c>
      <c r="T44" s="488">
        <f t="shared" si="31"/>
        <v>1.4498122226015706</v>
      </c>
      <c r="U44" s="488">
        <f t="shared" si="31"/>
        <v>1.565029401591145</v>
      </c>
      <c r="V44" s="488" t="e">
        <f t="shared" si="31"/>
        <v>#DIV/0!</v>
      </c>
      <c r="W44" s="488">
        <f t="shared" si="31"/>
        <v>1.9058802754723645</v>
      </c>
      <c r="X44" s="488">
        <f t="shared" si="31"/>
        <v>1.9132680320569901</v>
      </c>
      <c r="Y44" s="488">
        <f t="shared" si="31"/>
        <v>2.1397309417040358</v>
      </c>
      <c r="Z44" s="488" t="e">
        <f t="shared" si="31"/>
        <v>#DIV/0!</v>
      </c>
      <c r="AA44" s="488">
        <f t="shared" si="31"/>
        <v>2.8346987074458401</v>
      </c>
      <c r="AB44" s="488">
        <f t="shared" si="31"/>
        <v>2.3259952302329849</v>
      </c>
      <c r="AC44" s="488">
        <f t="shared" si="31"/>
        <v>2.8941545270145674</v>
      </c>
      <c r="AE44" s="488" t="e">
        <f t="shared" ref="AE44:AT44" si="32">IF($C$6=1, AE41/AE42,AE41/AE43)</f>
        <v>#DIV/0!</v>
      </c>
      <c r="AF44" s="488">
        <f t="shared" si="32"/>
        <v>-0.13517029553430343</v>
      </c>
      <c r="AG44" s="488">
        <f t="shared" si="32"/>
        <v>-0.35291285507944148</v>
      </c>
      <c r="AH44" s="488">
        <f t="shared" si="32"/>
        <v>-0.76829268292682928</v>
      </c>
      <c r="AI44" s="488" t="e">
        <f t="shared" si="32"/>
        <v>#DIV/0!</v>
      </c>
      <c r="AJ44" s="488">
        <f t="shared" si="32"/>
        <v>-0.14136829719280553</v>
      </c>
      <c r="AK44" s="488">
        <f t="shared" si="32"/>
        <v>1.0242403550699898E-2</v>
      </c>
      <c r="AL44" s="488">
        <f t="shared" si="32"/>
        <v>0.43894846074022831</v>
      </c>
      <c r="AM44" s="488" t="e">
        <f t="shared" si="32"/>
        <v>#DIV/0!</v>
      </c>
      <c r="AN44" s="488">
        <f t="shared" si="32"/>
        <v>0.66890340808758608</v>
      </c>
      <c r="AO44" s="488">
        <f t="shared" si="32"/>
        <v>1.0753339269813</v>
      </c>
      <c r="AP44" s="488">
        <f t="shared" si="32"/>
        <v>1.5996412556053812</v>
      </c>
      <c r="AQ44" s="488" t="e">
        <f t="shared" si="32"/>
        <v>#DIV/0!</v>
      </c>
      <c r="AR44" s="488">
        <f t="shared" si="32"/>
        <v>0.86983433460768256</v>
      </c>
      <c r="AS44" s="488">
        <f t="shared" si="32"/>
        <v>1.2317006053935058</v>
      </c>
      <c r="AT44" s="488">
        <f t="shared" si="32"/>
        <v>1.9325096809883828</v>
      </c>
    </row>
    <row r="45" spans="1:46">
      <c r="B45" s="49"/>
    </row>
    <row r="46" spans="1:46" s="8" customFormat="1" ht="12">
      <c r="A46" s="38" t="s">
        <v>24</v>
      </c>
      <c r="B46" s="1" t="s">
        <v>506</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row>
    <row r="47" spans="1:46" ht="5.0999999999999996" customHeight="1">
      <c r="B47" s="49"/>
    </row>
    <row r="48" spans="1:46">
      <c r="A48" s="5"/>
      <c r="B48" s="485" t="s">
        <v>496</v>
      </c>
      <c r="K48" s="89"/>
    </row>
    <row r="49" spans="2:46">
      <c r="B49" s="486" t="s">
        <v>499</v>
      </c>
      <c r="C49" s="467"/>
      <c r="D49" s="467"/>
      <c r="E49" s="467"/>
      <c r="F49" s="467"/>
      <c r="G49" s="467"/>
      <c r="H49" s="467"/>
      <c r="I49" s="467"/>
      <c r="K49" s="467">
        <v>9113</v>
      </c>
      <c r="L49" s="467">
        <v>9437</v>
      </c>
      <c r="M49" s="467">
        <v>9683</v>
      </c>
      <c r="N49" s="361">
        <f>SUM(F49-SUM(K49:M49))</f>
        <v>-28233</v>
      </c>
      <c r="O49" s="467">
        <v>8495</v>
      </c>
      <c r="P49" s="467">
        <v>8342</v>
      </c>
      <c r="Q49" s="467">
        <v>7294</v>
      </c>
      <c r="R49" s="361">
        <f>SUM(G49-SUM(O49:Q49))</f>
        <v>-24131</v>
      </c>
      <c r="S49" s="467">
        <v>8019</v>
      </c>
      <c r="T49" s="467">
        <v>9800</v>
      </c>
      <c r="U49" s="467">
        <v>10544</v>
      </c>
      <c r="V49" s="361">
        <f>SUM(H49-SUM(S49:U49))</f>
        <v>-28363</v>
      </c>
      <c r="W49" s="467">
        <v>12754</v>
      </c>
      <c r="X49" s="467">
        <v>12736</v>
      </c>
      <c r="Y49" s="467">
        <v>14237</v>
      </c>
      <c r="Z49" s="361">
        <f>SUM(I49-SUM(W49:Y49))</f>
        <v>-39727</v>
      </c>
      <c r="AA49" s="467">
        <v>18813</v>
      </c>
      <c r="AB49" s="467">
        <v>15429</v>
      </c>
      <c r="AC49" s="467">
        <v>19113</v>
      </c>
      <c r="AE49" s="361">
        <f>SUM(K49:N49)</f>
        <v>0</v>
      </c>
      <c r="AF49" s="361">
        <f t="shared" ref="AF49:AT49" si="33">SUM(L49:O49)</f>
        <v>-618</v>
      </c>
      <c r="AG49" s="361">
        <f t="shared" si="33"/>
        <v>-1713</v>
      </c>
      <c r="AH49" s="361">
        <f t="shared" si="33"/>
        <v>-4102</v>
      </c>
      <c r="AI49" s="361">
        <f t="shared" si="33"/>
        <v>0</v>
      </c>
      <c r="AJ49" s="361">
        <f t="shared" si="33"/>
        <v>-476</v>
      </c>
      <c r="AK49" s="361">
        <f t="shared" si="33"/>
        <v>982</v>
      </c>
      <c r="AL49" s="361">
        <f t="shared" si="33"/>
        <v>4232</v>
      </c>
      <c r="AM49" s="361">
        <f t="shared" si="33"/>
        <v>0</v>
      </c>
      <c r="AN49" s="361">
        <f t="shared" si="33"/>
        <v>4735</v>
      </c>
      <c r="AO49" s="361">
        <f t="shared" si="33"/>
        <v>7671</v>
      </c>
      <c r="AP49" s="361">
        <f t="shared" si="33"/>
        <v>11364</v>
      </c>
      <c r="AQ49" s="361">
        <f t="shared" si="33"/>
        <v>0</v>
      </c>
      <c r="AR49" s="361">
        <f t="shared" si="33"/>
        <v>6059</v>
      </c>
      <c r="AS49" s="361">
        <f t="shared" si="33"/>
        <v>8752</v>
      </c>
      <c r="AT49" s="361">
        <f t="shared" si="33"/>
        <v>13628</v>
      </c>
    </row>
    <row r="50" spans="2:46">
      <c r="B50" s="486" t="s">
        <v>89</v>
      </c>
      <c r="C50" s="34">
        <f>SUM(C51:C53)</f>
        <v>0</v>
      </c>
      <c r="D50" s="34">
        <f t="shared" ref="D50:K50" si="34">SUM(D51:D53)</f>
        <v>0</v>
      </c>
      <c r="E50" s="34">
        <f t="shared" si="34"/>
        <v>0</v>
      </c>
      <c r="F50" s="34">
        <f t="shared" si="34"/>
        <v>0</v>
      </c>
      <c r="G50" s="34">
        <f t="shared" si="34"/>
        <v>0</v>
      </c>
      <c r="H50" s="34">
        <f t="shared" si="34"/>
        <v>0</v>
      </c>
      <c r="I50" s="34">
        <f t="shared" si="34"/>
        <v>0</v>
      </c>
      <c r="K50" s="34">
        <f t="shared" si="34"/>
        <v>6933.16</v>
      </c>
      <c r="L50" s="34">
        <f t="shared" ref="L50:AC50" si="35">SUM(L51:L53)</f>
        <v>6923.8400000000011</v>
      </c>
      <c r="M50" s="34">
        <f t="shared" si="35"/>
        <v>6918.74</v>
      </c>
      <c r="N50" s="34">
        <f t="shared" si="35"/>
        <v>-0.94</v>
      </c>
      <c r="O50" s="34">
        <f t="shared" si="35"/>
        <v>6900.3600000000006</v>
      </c>
      <c r="P50" s="34">
        <f t="shared" si="35"/>
        <v>6902</v>
      </c>
      <c r="Q50" s="34">
        <f t="shared" si="35"/>
        <v>6868</v>
      </c>
      <c r="R50" s="34">
        <f t="shared" si="35"/>
        <v>0</v>
      </c>
      <c r="S50" s="34">
        <f t="shared" si="35"/>
        <v>6832</v>
      </c>
      <c r="T50" s="34">
        <f t="shared" si="35"/>
        <v>6810</v>
      </c>
      <c r="U50" s="34">
        <f t="shared" si="35"/>
        <v>6799</v>
      </c>
      <c r="V50" s="34">
        <f t="shared" si="35"/>
        <v>0</v>
      </c>
      <c r="W50" s="34">
        <f t="shared" si="35"/>
        <v>6752</v>
      </c>
      <c r="X50" s="34">
        <f t="shared" si="35"/>
        <v>6728</v>
      </c>
      <c r="Y50" s="34">
        <f t="shared" si="35"/>
        <v>6715</v>
      </c>
      <c r="Z50" s="34">
        <f t="shared" si="35"/>
        <v>0</v>
      </c>
      <c r="AA50" s="34">
        <f t="shared" si="35"/>
        <v>6690</v>
      </c>
      <c r="AB50" s="34">
        <f t="shared" si="35"/>
        <v>6671</v>
      </c>
      <c r="AC50" s="34">
        <f t="shared" si="35"/>
        <v>6663</v>
      </c>
      <c r="AE50" s="34">
        <f>SUM(AE51:AE53)</f>
        <v>-4.7E-2</v>
      </c>
      <c r="AF50" s="34">
        <f t="shared" ref="AF50:AT50" si="36">SUM(AF51:AF53)</f>
        <v>6900.2650000000003</v>
      </c>
      <c r="AG50" s="34">
        <f t="shared" si="36"/>
        <v>6902</v>
      </c>
      <c r="AH50" s="34">
        <f t="shared" si="36"/>
        <v>6868</v>
      </c>
      <c r="AI50" s="34">
        <f t="shared" si="36"/>
        <v>0</v>
      </c>
      <c r="AJ50" s="34">
        <f t="shared" si="36"/>
        <v>6832</v>
      </c>
      <c r="AK50" s="34">
        <f t="shared" si="36"/>
        <v>6810</v>
      </c>
      <c r="AL50" s="34">
        <f t="shared" si="36"/>
        <v>6799</v>
      </c>
      <c r="AM50" s="34">
        <f t="shared" si="36"/>
        <v>0</v>
      </c>
      <c r="AN50" s="34">
        <f t="shared" si="36"/>
        <v>6752</v>
      </c>
      <c r="AO50" s="34">
        <f t="shared" si="36"/>
        <v>6728</v>
      </c>
      <c r="AP50" s="34">
        <f t="shared" si="36"/>
        <v>6715</v>
      </c>
      <c r="AQ50" s="34">
        <f t="shared" si="36"/>
        <v>0</v>
      </c>
      <c r="AR50" s="34">
        <f t="shared" si="36"/>
        <v>6690</v>
      </c>
      <c r="AS50" s="34">
        <f t="shared" si="36"/>
        <v>6671</v>
      </c>
      <c r="AT50" s="34">
        <f t="shared" si="36"/>
        <v>6663</v>
      </c>
    </row>
    <row r="51" spans="2:46">
      <c r="B51" s="493" t="s">
        <v>503</v>
      </c>
      <c r="C51" s="361">
        <f t="shared" ref="C51:I51" si="37">IF($C$6=1,C30,C31)</f>
        <v>0</v>
      </c>
      <c r="D51" s="361">
        <f t="shared" si="37"/>
        <v>0</v>
      </c>
      <c r="E51" s="361">
        <f t="shared" si="37"/>
        <v>0</v>
      </c>
      <c r="F51" s="361">
        <f t="shared" si="37"/>
        <v>0</v>
      </c>
      <c r="G51" s="361">
        <f t="shared" si="37"/>
        <v>0</v>
      </c>
      <c r="H51" s="361">
        <f t="shared" si="37"/>
        <v>0</v>
      </c>
      <c r="I51" s="361">
        <f t="shared" si="37"/>
        <v>0</v>
      </c>
      <c r="K51" s="361">
        <f t="shared" ref="K51:AC51" si="38">IF($C$6=1,K30,K31)</f>
        <v>6016</v>
      </c>
      <c r="L51" s="361">
        <f t="shared" si="38"/>
        <v>6009.7000000000007</v>
      </c>
      <c r="M51" s="361">
        <f t="shared" si="38"/>
        <v>6010.38</v>
      </c>
      <c r="N51" s="361">
        <f t="shared" si="38"/>
        <v>0</v>
      </c>
      <c r="O51" s="361">
        <f t="shared" si="38"/>
        <v>6009.56</v>
      </c>
      <c r="P51" s="361">
        <f t="shared" si="38"/>
        <v>6015</v>
      </c>
      <c r="Q51" s="361">
        <f t="shared" si="38"/>
        <v>5983</v>
      </c>
      <c r="R51" s="361">
        <f t="shared" si="38"/>
        <v>0</v>
      </c>
      <c r="S51" s="361">
        <f t="shared" si="38"/>
        <v>5949</v>
      </c>
      <c r="T51" s="361">
        <f t="shared" si="38"/>
        <v>5931</v>
      </c>
      <c r="U51" s="361">
        <f t="shared" si="38"/>
        <v>5924</v>
      </c>
      <c r="V51" s="361">
        <f t="shared" si="38"/>
        <v>0</v>
      </c>
      <c r="W51" s="361">
        <f t="shared" si="38"/>
        <v>5883</v>
      </c>
      <c r="X51" s="361">
        <f t="shared" si="38"/>
        <v>5862</v>
      </c>
      <c r="Y51" s="361">
        <f t="shared" si="38"/>
        <v>5850</v>
      </c>
      <c r="Z51" s="361">
        <f t="shared" si="38"/>
        <v>0</v>
      </c>
      <c r="AA51" s="361">
        <f t="shared" si="38"/>
        <v>5831</v>
      </c>
      <c r="AB51" s="361">
        <f t="shared" si="38"/>
        <v>5819</v>
      </c>
      <c r="AC51" s="361">
        <f t="shared" si="38"/>
        <v>5818</v>
      </c>
      <c r="AE51" s="361">
        <f t="shared" ref="AE51:AT51" si="39">IF($C$6=1,AE30,AE31)</f>
        <v>0</v>
      </c>
      <c r="AF51" s="361">
        <f t="shared" si="39"/>
        <v>6009.56</v>
      </c>
      <c r="AG51" s="361">
        <f t="shared" si="39"/>
        <v>6015</v>
      </c>
      <c r="AH51" s="361">
        <f t="shared" si="39"/>
        <v>5983</v>
      </c>
      <c r="AI51" s="361">
        <f t="shared" si="39"/>
        <v>0</v>
      </c>
      <c r="AJ51" s="361">
        <f t="shared" si="39"/>
        <v>5949</v>
      </c>
      <c r="AK51" s="361">
        <f t="shared" si="39"/>
        <v>5931</v>
      </c>
      <c r="AL51" s="361">
        <f t="shared" si="39"/>
        <v>5924</v>
      </c>
      <c r="AM51" s="361">
        <f t="shared" si="39"/>
        <v>0</v>
      </c>
      <c r="AN51" s="361">
        <f t="shared" si="39"/>
        <v>5883</v>
      </c>
      <c r="AO51" s="361">
        <f t="shared" si="39"/>
        <v>5862</v>
      </c>
      <c r="AP51" s="361">
        <f t="shared" si="39"/>
        <v>5850</v>
      </c>
      <c r="AQ51" s="361">
        <f t="shared" si="39"/>
        <v>0</v>
      </c>
      <c r="AR51" s="361">
        <f t="shared" si="39"/>
        <v>5831</v>
      </c>
      <c r="AS51" s="361">
        <f t="shared" si="39"/>
        <v>5819</v>
      </c>
      <c r="AT51" s="361">
        <f t="shared" si="39"/>
        <v>5818</v>
      </c>
    </row>
    <row r="52" spans="2:46">
      <c r="B52" s="493" t="s">
        <v>504</v>
      </c>
      <c r="C52" s="361">
        <f t="shared" ref="C52:I52" si="40">IF($C$6=1,C36,C37)</f>
        <v>0</v>
      </c>
      <c r="D52" s="361">
        <f t="shared" si="40"/>
        <v>0</v>
      </c>
      <c r="E52" s="361">
        <f t="shared" si="40"/>
        <v>0</v>
      </c>
      <c r="F52" s="361">
        <f t="shared" si="40"/>
        <v>0</v>
      </c>
      <c r="G52" s="361">
        <f t="shared" si="40"/>
        <v>0</v>
      </c>
      <c r="H52" s="361">
        <f t="shared" si="40"/>
        <v>0</v>
      </c>
      <c r="I52" s="361">
        <f t="shared" si="40"/>
        <v>0</v>
      </c>
      <c r="K52" s="361">
        <f t="shared" ref="K52:AC52" si="41">IF($C$6=1,K36,K37)</f>
        <v>916.80000000000007</v>
      </c>
      <c r="L52" s="361">
        <f t="shared" si="41"/>
        <v>913.84</v>
      </c>
      <c r="M52" s="361">
        <f t="shared" si="41"/>
        <v>908.08</v>
      </c>
      <c r="N52" s="361">
        <f t="shared" si="41"/>
        <v>0</v>
      </c>
      <c r="O52" s="361">
        <f t="shared" si="41"/>
        <v>890.69999999999993</v>
      </c>
      <c r="P52" s="361">
        <f t="shared" si="41"/>
        <v>887</v>
      </c>
      <c r="Q52" s="361">
        <f t="shared" si="41"/>
        <v>885</v>
      </c>
      <c r="R52" s="361">
        <f t="shared" si="41"/>
        <v>0</v>
      </c>
      <c r="S52" s="361">
        <f t="shared" si="41"/>
        <v>883</v>
      </c>
      <c r="T52" s="361">
        <f t="shared" si="41"/>
        <v>879</v>
      </c>
      <c r="U52" s="361">
        <f t="shared" si="41"/>
        <v>875</v>
      </c>
      <c r="V52" s="361">
        <f t="shared" si="41"/>
        <v>0</v>
      </c>
      <c r="W52" s="361">
        <f t="shared" si="41"/>
        <v>869</v>
      </c>
      <c r="X52" s="361">
        <f t="shared" si="41"/>
        <v>866</v>
      </c>
      <c r="Y52" s="361">
        <f t="shared" si="41"/>
        <v>865</v>
      </c>
      <c r="Z52" s="361">
        <f t="shared" si="41"/>
        <v>0</v>
      </c>
      <c r="AA52" s="361">
        <f t="shared" si="41"/>
        <v>859</v>
      </c>
      <c r="AB52" s="361">
        <f t="shared" si="41"/>
        <v>852</v>
      </c>
      <c r="AC52" s="361">
        <f t="shared" si="41"/>
        <v>845</v>
      </c>
      <c r="AE52" s="361">
        <f t="shared" ref="AE52:AT52" si="42">IF($C$6=1,AE36,AE37)</f>
        <v>0</v>
      </c>
      <c r="AF52" s="361">
        <f t="shared" si="42"/>
        <v>890.69999999999993</v>
      </c>
      <c r="AG52" s="361">
        <f t="shared" si="42"/>
        <v>887</v>
      </c>
      <c r="AH52" s="361">
        <f t="shared" si="42"/>
        <v>885</v>
      </c>
      <c r="AI52" s="361">
        <f t="shared" si="42"/>
        <v>0</v>
      </c>
      <c r="AJ52" s="361">
        <f t="shared" si="42"/>
        <v>883</v>
      </c>
      <c r="AK52" s="361">
        <f t="shared" si="42"/>
        <v>879</v>
      </c>
      <c r="AL52" s="361">
        <f t="shared" si="42"/>
        <v>875</v>
      </c>
      <c r="AM52" s="361">
        <f t="shared" si="42"/>
        <v>0</v>
      </c>
      <c r="AN52" s="361">
        <f t="shared" si="42"/>
        <v>869</v>
      </c>
      <c r="AO52" s="361">
        <f t="shared" si="42"/>
        <v>866</v>
      </c>
      <c r="AP52" s="361">
        <f t="shared" si="42"/>
        <v>865</v>
      </c>
      <c r="AQ52" s="361">
        <f t="shared" si="42"/>
        <v>0</v>
      </c>
      <c r="AR52" s="361">
        <f t="shared" si="42"/>
        <v>859</v>
      </c>
      <c r="AS52" s="361">
        <f t="shared" si="42"/>
        <v>852</v>
      </c>
      <c r="AT52" s="361">
        <f t="shared" si="42"/>
        <v>845</v>
      </c>
    </row>
    <row r="53" spans="2:46">
      <c r="B53" s="493" t="s">
        <v>519</v>
      </c>
      <c r="C53" s="361">
        <f t="shared" ref="C53:I53" si="43">IF($C$6=1,C54*20,C54)</f>
        <v>0</v>
      </c>
      <c r="D53" s="361">
        <f t="shared" si="43"/>
        <v>0</v>
      </c>
      <c r="E53" s="361">
        <f t="shared" si="43"/>
        <v>0</v>
      </c>
      <c r="F53" s="361">
        <f t="shared" si="43"/>
        <v>0</v>
      </c>
      <c r="G53" s="361">
        <f t="shared" si="43"/>
        <v>0</v>
      </c>
      <c r="H53" s="361">
        <f t="shared" si="43"/>
        <v>0</v>
      </c>
      <c r="I53" s="361">
        <f t="shared" si="43"/>
        <v>0</v>
      </c>
      <c r="K53" s="361">
        <f t="shared" ref="K53:P53" si="44">IF($C$6=1,K54*20,K54)</f>
        <v>0.36</v>
      </c>
      <c r="L53" s="361">
        <f t="shared" si="44"/>
        <v>0.3</v>
      </c>
      <c r="M53" s="361">
        <f t="shared" si="44"/>
        <v>0.28000000000000003</v>
      </c>
      <c r="N53" s="361">
        <f t="shared" si="44"/>
        <v>-0.94</v>
      </c>
      <c r="O53" s="361">
        <f t="shared" si="44"/>
        <v>0.1</v>
      </c>
      <c r="P53" s="361">
        <f t="shared" si="44"/>
        <v>0</v>
      </c>
      <c r="Q53" s="361">
        <f>Q54</f>
        <v>0</v>
      </c>
      <c r="R53" s="361">
        <f t="shared" ref="R53:AE53" si="45">R54</f>
        <v>0</v>
      </c>
      <c r="S53" s="361">
        <f t="shared" si="45"/>
        <v>0</v>
      </c>
      <c r="T53" s="361">
        <f t="shared" si="45"/>
        <v>0</v>
      </c>
      <c r="U53" s="361">
        <f t="shared" si="45"/>
        <v>0</v>
      </c>
      <c r="V53" s="361">
        <f t="shared" si="45"/>
        <v>0</v>
      </c>
      <c r="W53" s="361">
        <f t="shared" si="45"/>
        <v>0</v>
      </c>
      <c r="X53" s="361">
        <f t="shared" si="45"/>
        <v>0</v>
      </c>
      <c r="Y53" s="361">
        <f t="shared" si="45"/>
        <v>0</v>
      </c>
      <c r="Z53" s="361">
        <f t="shared" si="45"/>
        <v>0</v>
      </c>
      <c r="AA53" s="361">
        <f t="shared" si="45"/>
        <v>0</v>
      </c>
      <c r="AB53" s="361">
        <f t="shared" si="45"/>
        <v>0</v>
      </c>
      <c r="AC53" s="361">
        <f t="shared" si="45"/>
        <v>0</v>
      </c>
      <c r="AE53" s="361">
        <f t="shared" si="45"/>
        <v>-4.7E-2</v>
      </c>
      <c r="AF53" s="361">
        <f t="shared" ref="AF53:AT53" si="46">AF54</f>
        <v>5.0000000000000001E-3</v>
      </c>
      <c r="AG53" s="361">
        <f t="shared" si="46"/>
        <v>0</v>
      </c>
      <c r="AH53" s="361">
        <f t="shared" si="46"/>
        <v>0</v>
      </c>
      <c r="AI53" s="361">
        <f t="shared" si="46"/>
        <v>0</v>
      </c>
      <c r="AJ53" s="361">
        <f t="shared" si="46"/>
        <v>0</v>
      </c>
      <c r="AK53" s="361">
        <f t="shared" si="46"/>
        <v>0</v>
      </c>
      <c r="AL53" s="361">
        <f t="shared" si="46"/>
        <v>0</v>
      </c>
      <c r="AM53" s="361">
        <f t="shared" si="46"/>
        <v>0</v>
      </c>
      <c r="AN53" s="361">
        <f t="shared" si="46"/>
        <v>0</v>
      </c>
      <c r="AO53" s="361">
        <f t="shared" si="46"/>
        <v>0</v>
      </c>
      <c r="AP53" s="361">
        <f t="shared" si="46"/>
        <v>0</v>
      </c>
      <c r="AQ53" s="361">
        <f t="shared" si="46"/>
        <v>0</v>
      </c>
      <c r="AR53" s="361">
        <f t="shared" si="46"/>
        <v>0</v>
      </c>
      <c r="AS53" s="361">
        <f t="shared" si="46"/>
        <v>0</v>
      </c>
      <c r="AT53" s="361">
        <f t="shared" si="46"/>
        <v>0</v>
      </c>
    </row>
    <row r="54" spans="2:46" outlineLevel="1">
      <c r="B54" s="493" t="s">
        <v>517</v>
      </c>
      <c r="C54" s="467"/>
      <c r="D54" s="467"/>
      <c r="E54" s="467"/>
      <c r="F54" s="467"/>
      <c r="G54" s="467"/>
      <c r="H54" s="467"/>
      <c r="I54" s="467"/>
      <c r="K54" s="467">
        <v>1.7999999999999999E-2</v>
      </c>
      <c r="L54" s="467">
        <v>1.4999999999999999E-2</v>
      </c>
      <c r="M54" s="467">
        <v>1.4E-2</v>
      </c>
      <c r="N54" s="361">
        <f>SUM(F54*4)-SUM(K54:M54)</f>
        <v>-4.7E-2</v>
      </c>
      <c r="O54" s="467">
        <v>5.0000000000000001E-3</v>
      </c>
      <c r="P54" s="467">
        <v>0</v>
      </c>
      <c r="Q54" s="467">
        <v>0</v>
      </c>
      <c r="R54" s="361">
        <f>G54</f>
        <v>0</v>
      </c>
      <c r="S54" s="467">
        <v>0</v>
      </c>
      <c r="T54" s="467">
        <v>0</v>
      </c>
      <c r="U54" s="467">
        <v>0</v>
      </c>
      <c r="V54" s="361">
        <f>H54</f>
        <v>0</v>
      </c>
      <c r="W54" s="467">
        <v>0</v>
      </c>
      <c r="X54" s="467">
        <v>0</v>
      </c>
      <c r="Y54" s="467">
        <v>0</v>
      </c>
      <c r="Z54" s="361">
        <f>I54</f>
        <v>0</v>
      </c>
      <c r="AA54" s="467">
        <v>0</v>
      </c>
      <c r="AB54" s="467">
        <v>0</v>
      </c>
      <c r="AC54" s="467">
        <v>0</v>
      </c>
      <c r="AE54" s="361">
        <f>N54</f>
        <v>-4.7E-2</v>
      </c>
      <c r="AF54" s="361">
        <f t="shared" ref="AF54:AT54" si="47">O54</f>
        <v>5.0000000000000001E-3</v>
      </c>
      <c r="AG54" s="361">
        <f t="shared" si="47"/>
        <v>0</v>
      </c>
      <c r="AH54" s="361">
        <f t="shared" si="47"/>
        <v>0</v>
      </c>
      <c r="AI54" s="361">
        <f t="shared" si="47"/>
        <v>0</v>
      </c>
      <c r="AJ54" s="361">
        <f t="shared" si="47"/>
        <v>0</v>
      </c>
      <c r="AK54" s="361">
        <f t="shared" si="47"/>
        <v>0</v>
      </c>
      <c r="AL54" s="361">
        <f t="shared" si="47"/>
        <v>0</v>
      </c>
      <c r="AM54" s="361">
        <f t="shared" si="47"/>
        <v>0</v>
      </c>
      <c r="AN54" s="361">
        <f t="shared" si="47"/>
        <v>0</v>
      </c>
      <c r="AO54" s="361">
        <f t="shared" si="47"/>
        <v>0</v>
      </c>
      <c r="AP54" s="361">
        <f t="shared" si="47"/>
        <v>0</v>
      </c>
      <c r="AQ54" s="361">
        <f t="shared" si="47"/>
        <v>0</v>
      </c>
      <c r="AR54" s="361">
        <f t="shared" si="47"/>
        <v>0</v>
      </c>
      <c r="AS54" s="361">
        <f t="shared" si="47"/>
        <v>0</v>
      </c>
      <c r="AT54" s="361">
        <f t="shared" si="47"/>
        <v>0</v>
      </c>
    </row>
    <row r="55" spans="2:46">
      <c r="B55" s="489" t="s">
        <v>502</v>
      </c>
      <c r="C55" s="488" t="e">
        <f t="shared" ref="C55:I55" si="48">C49/C50</f>
        <v>#DIV/0!</v>
      </c>
      <c r="D55" s="488" t="e">
        <f t="shared" si="48"/>
        <v>#DIV/0!</v>
      </c>
      <c r="E55" s="488" t="e">
        <f t="shared" si="48"/>
        <v>#DIV/0!</v>
      </c>
      <c r="F55" s="488" t="e">
        <f t="shared" si="48"/>
        <v>#DIV/0!</v>
      </c>
      <c r="G55" s="488" t="e">
        <f t="shared" si="48"/>
        <v>#DIV/0!</v>
      </c>
      <c r="H55" s="488" t="e">
        <f t="shared" si="48"/>
        <v>#DIV/0!</v>
      </c>
      <c r="I55" s="488" t="e">
        <f t="shared" si="48"/>
        <v>#DIV/0!</v>
      </c>
      <c r="K55" s="488">
        <f t="shared" ref="K55:AT55" si="49">K49/K50</f>
        <v>1.314407860196505</v>
      </c>
      <c r="L55" s="488">
        <f t="shared" si="49"/>
        <v>1.3629719924203907</v>
      </c>
      <c r="M55" s="488">
        <f t="shared" si="49"/>
        <v>1.3995322847801768</v>
      </c>
      <c r="N55" s="488">
        <f t="shared" si="49"/>
        <v>30035.106382978724</v>
      </c>
      <c r="O55" s="488">
        <f t="shared" si="49"/>
        <v>1.2310951892365034</v>
      </c>
      <c r="P55" s="488">
        <f t="shared" si="49"/>
        <v>1.2086351782092146</v>
      </c>
      <c r="Q55" s="488">
        <f t="shared" si="49"/>
        <v>1.0620267909143855</v>
      </c>
      <c r="R55" s="488" t="e">
        <f t="shared" si="49"/>
        <v>#DIV/0!</v>
      </c>
      <c r="S55" s="488">
        <f t="shared" si="49"/>
        <v>1.1737412177985949</v>
      </c>
      <c r="T55" s="488">
        <f t="shared" si="49"/>
        <v>1.4390602055800295</v>
      </c>
      <c r="U55" s="488">
        <f t="shared" si="49"/>
        <v>1.5508162965141932</v>
      </c>
      <c r="V55" s="488" t="e">
        <f t="shared" si="49"/>
        <v>#DIV/0!</v>
      </c>
      <c r="W55" s="488">
        <f t="shared" si="49"/>
        <v>1.8889218009478672</v>
      </c>
      <c r="X55" s="488">
        <f t="shared" si="49"/>
        <v>1.8929845422116527</v>
      </c>
      <c r="Y55" s="488">
        <f t="shared" si="49"/>
        <v>2.1201787043931497</v>
      </c>
      <c r="Z55" s="488" t="e">
        <f t="shared" si="49"/>
        <v>#DIV/0!</v>
      </c>
      <c r="AA55" s="488">
        <f t="shared" si="49"/>
        <v>2.8121076233183855</v>
      </c>
      <c r="AB55" s="488">
        <f t="shared" si="49"/>
        <v>2.3128466496777094</v>
      </c>
      <c r="AC55" s="488">
        <f t="shared" si="49"/>
        <v>2.8685276902296262</v>
      </c>
      <c r="AE55" s="488">
        <f t="shared" si="49"/>
        <v>0</v>
      </c>
      <c r="AF55" s="488">
        <f t="shared" si="49"/>
        <v>-8.9561777699841957E-2</v>
      </c>
      <c r="AG55" s="488">
        <f t="shared" si="49"/>
        <v>-0.24818893074471168</v>
      </c>
      <c r="AH55" s="488">
        <f t="shared" si="49"/>
        <v>-0.59726266744321488</v>
      </c>
      <c r="AI55" s="488" t="e">
        <f t="shared" si="49"/>
        <v>#DIV/0!</v>
      </c>
      <c r="AJ55" s="488">
        <f t="shared" si="49"/>
        <v>-6.9672131147540978E-2</v>
      </c>
      <c r="AK55" s="488">
        <f t="shared" si="49"/>
        <v>0.14419970631424375</v>
      </c>
      <c r="AL55" s="488">
        <f t="shared" si="49"/>
        <v>0.62244447712898954</v>
      </c>
      <c r="AM55" s="488" t="e">
        <f t="shared" si="49"/>
        <v>#DIV/0!</v>
      </c>
      <c r="AN55" s="488">
        <f t="shared" si="49"/>
        <v>0.70127369668246442</v>
      </c>
      <c r="AO55" s="488">
        <f t="shared" si="49"/>
        <v>1.1401605231866825</v>
      </c>
      <c r="AP55" s="488">
        <f t="shared" si="49"/>
        <v>1.6923306031273269</v>
      </c>
      <c r="AQ55" s="488" t="e">
        <f t="shared" si="49"/>
        <v>#DIV/0!</v>
      </c>
      <c r="AR55" s="488">
        <f t="shared" si="49"/>
        <v>0.90568011958146488</v>
      </c>
      <c r="AS55" s="488">
        <f t="shared" si="49"/>
        <v>1.3119472342977065</v>
      </c>
      <c r="AT55" s="488">
        <f t="shared" si="49"/>
        <v>2.0453249287107909</v>
      </c>
    </row>
    <row r="57" spans="2:46">
      <c r="B57" s="485" t="s">
        <v>497</v>
      </c>
      <c r="K57" s="89"/>
    </row>
    <row r="58" spans="2:46">
      <c r="B58" s="486" t="s">
        <v>499</v>
      </c>
      <c r="C58" s="467"/>
      <c r="D58" s="467"/>
      <c r="E58" s="467"/>
      <c r="F58" s="467"/>
      <c r="G58" s="467"/>
      <c r="H58" s="467"/>
      <c r="I58" s="467"/>
      <c r="K58" s="89">
        <v>1205</v>
      </c>
      <c r="L58" s="89">
        <v>1246</v>
      </c>
      <c r="M58" s="89">
        <v>1271</v>
      </c>
      <c r="N58" s="361">
        <f>SUM(F58-SUM(K58:M58))</f>
        <v>-3722</v>
      </c>
      <c r="O58" s="89">
        <v>1097</v>
      </c>
      <c r="P58" s="89">
        <v>1072</v>
      </c>
      <c r="Q58" s="89">
        <v>940</v>
      </c>
      <c r="R58" s="361">
        <f>SUM(G58-SUM(O58:Q58))</f>
        <v>-3109</v>
      </c>
      <c r="S58" s="89">
        <v>1036</v>
      </c>
      <c r="T58" s="89">
        <v>1265</v>
      </c>
      <c r="U58" s="89">
        <v>1357</v>
      </c>
      <c r="V58" s="361">
        <f>SUM(H58-SUM(S58:U58))</f>
        <v>-3658</v>
      </c>
      <c r="W58" s="89">
        <v>1641</v>
      </c>
      <c r="X58" s="89">
        <v>1639</v>
      </c>
      <c r="Y58" s="89">
        <v>1834</v>
      </c>
      <c r="Z58" s="361">
        <f>SUM(I58-SUM(W58:Y58))</f>
        <v>-5114</v>
      </c>
      <c r="AA58" s="89">
        <v>2415</v>
      </c>
      <c r="AB58" s="89">
        <v>1970</v>
      </c>
      <c r="AC58" s="89">
        <v>2423</v>
      </c>
      <c r="AE58" s="361">
        <f>SUM(K58:N58)</f>
        <v>0</v>
      </c>
      <c r="AF58" s="361">
        <f t="shared" ref="AF58:AT58" si="50">SUM(L58:O58)</f>
        <v>-108</v>
      </c>
      <c r="AG58" s="361">
        <f t="shared" si="50"/>
        <v>-282</v>
      </c>
      <c r="AH58" s="361">
        <f t="shared" si="50"/>
        <v>-613</v>
      </c>
      <c r="AI58" s="361">
        <f t="shared" si="50"/>
        <v>0</v>
      </c>
      <c r="AJ58" s="361">
        <f t="shared" si="50"/>
        <v>-61</v>
      </c>
      <c r="AK58" s="361">
        <f t="shared" si="50"/>
        <v>132</v>
      </c>
      <c r="AL58" s="361">
        <f t="shared" si="50"/>
        <v>549</v>
      </c>
      <c r="AM58" s="361">
        <f t="shared" si="50"/>
        <v>0</v>
      </c>
      <c r="AN58" s="361">
        <f t="shared" si="50"/>
        <v>605</v>
      </c>
      <c r="AO58" s="361">
        <f t="shared" si="50"/>
        <v>979</v>
      </c>
      <c r="AP58" s="361">
        <f t="shared" si="50"/>
        <v>1456</v>
      </c>
      <c r="AQ58" s="361">
        <f t="shared" si="50"/>
        <v>0</v>
      </c>
      <c r="AR58" s="361">
        <f t="shared" si="50"/>
        <v>774</v>
      </c>
      <c r="AS58" s="361">
        <f t="shared" si="50"/>
        <v>1105</v>
      </c>
      <c r="AT58" s="361">
        <f t="shared" si="50"/>
        <v>1694</v>
      </c>
    </row>
    <row r="59" spans="2:46">
      <c r="B59" s="486" t="s">
        <v>89</v>
      </c>
      <c r="C59" s="34">
        <f t="shared" ref="C59:I59" si="51">SUM(C60:C60)</f>
        <v>0</v>
      </c>
      <c r="D59" s="34">
        <f t="shared" si="51"/>
        <v>0</v>
      </c>
      <c r="E59" s="34">
        <f t="shared" si="51"/>
        <v>0</v>
      </c>
      <c r="F59" s="34">
        <f t="shared" si="51"/>
        <v>0</v>
      </c>
      <c r="G59" s="34">
        <f t="shared" si="51"/>
        <v>0</v>
      </c>
      <c r="H59" s="34">
        <f t="shared" si="51"/>
        <v>0</v>
      </c>
      <c r="I59" s="34">
        <f t="shared" si="51"/>
        <v>0</v>
      </c>
      <c r="K59" s="34">
        <f t="shared" ref="K59:AE59" si="52">SUM(K60:K60)</f>
        <v>916.80000000000007</v>
      </c>
      <c r="L59" s="34">
        <f t="shared" si="52"/>
        <v>913.84</v>
      </c>
      <c r="M59" s="34">
        <f t="shared" si="52"/>
        <v>908.08</v>
      </c>
      <c r="N59" s="34">
        <f t="shared" si="52"/>
        <v>0</v>
      </c>
      <c r="O59" s="34">
        <f t="shared" si="52"/>
        <v>890.69999999999993</v>
      </c>
      <c r="P59" s="34">
        <f t="shared" si="52"/>
        <v>887</v>
      </c>
      <c r="Q59" s="34">
        <f t="shared" si="52"/>
        <v>885</v>
      </c>
      <c r="R59" s="34">
        <f t="shared" si="52"/>
        <v>0</v>
      </c>
      <c r="S59" s="34">
        <f t="shared" si="52"/>
        <v>883</v>
      </c>
      <c r="T59" s="34">
        <f t="shared" si="52"/>
        <v>879</v>
      </c>
      <c r="U59" s="34">
        <f t="shared" si="52"/>
        <v>875</v>
      </c>
      <c r="V59" s="34">
        <f t="shared" si="52"/>
        <v>0</v>
      </c>
      <c r="W59" s="34">
        <f t="shared" si="52"/>
        <v>869</v>
      </c>
      <c r="X59" s="34">
        <f t="shared" si="52"/>
        <v>866</v>
      </c>
      <c r="Y59" s="34">
        <f t="shared" si="52"/>
        <v>865</v>
      </c>
      <c r="Z59" s="34">
        <f t="shared" si="52"/>
        <v>0</v>
      </c>
      <c r="AA59" s="34">
        <f t="shared" si="52"/>
        <v>859</v>
      </c>
      <c r="AB59" s="34">
        <f t="shared" si="52"/>
        <v>852</v>
      </c>
      <c r="AC59" s="34">
        <f t="shared" si="52"/>
        <v>845</v>
      </c>
      <c r="AE59" s="34">
        <f t="shared" si="52"/>
        <v>0</v>
      </c>
      <c r="AF59" s="34">
        <f t="shared" ref="AF59:AT59" si="53">SUM(AF60:AF60)</f>
        <v>890.69999999999993</v>
      </c>
      <c r="AG59" s="34">
        <f t="shared" si="53"/>
        <v>887</v>
      </c>
      <c r="AH59" s="34">
        <f t="shared" si="53"/>
        <v>885</v>
      </c>
      <c r="AI59" s="34">
        <f t="shared" si="53"/>
        <v>0</v>
      </c>
      <c r="AJ59" s="34">
        <f t="shared" si="53"/>
        <v>883</v>
      </c>
      <c r="AK59" s="34">
        <f t="shared" si="53"/>
        <v>879</v>
      </c>
      <c r="AL59" s="34">
        <f t="shared" si="53"/>
        <v>875</v>
      </c>
      <c r="AM59" s="34">
        <f t="shared" si="53"/>
        <v>0</v>
      </c>
      <c r="AN59" s="34">
        <f t="shared" si="53"/>
        <v>869</v>
      </c>
      <c r="AO59" s="34">
        <f t="shared" si="53"/>
        <v>866</v>
      </c>
      <c r="AP59" s="34">
        <f t="shared" si="53"/>
        <v>865</v>
      </c>
      <c r="AQ59" s="34">
        <f t="shared" si="53"/>
        <v>0</v>
      </c>
      <c r="AR59" s="34">
        <f t="shared" si="53"/>
        <v>859</v>
      </c>
      <c r="AS59" s="34">
        <f t="shared" si="53"/>
        <v>852</v>
      </c>
      <c r="AT59" s="34">
        <f t="shared" si="53"/>
        <v>845</v>
      </c>
    </row>
    <row r="60" spans="2:46">
      <c r="B60" s="493" t="s">
        <v>503</v>
      </c>
      <c r="C60" s="361">
        <f t="shared" ref="C60:I60" si="54">IF($C$6=1,C36,C37)</f>
        <v>0</v>
      </c>
      <c r="D60" s="361">
        <f t="shared" si="54"/>
        <v>0</v>
      </c>
      <c r="E60" s="361">
        <f t="shared" si="54"/>
        <v>0</v>
      </c>
      <c r="F60" s="361">
        <f t="shared" si="54"/>
        <v>0</v>
      </c>
      <c r="G60" s="361">
        <f t="shared" si="54"/>
        <v>0</v>
      </c>
      <c r="H60" s="361">
        <f t="shared" si="54"/>
        <v>0</v>
      </c>
      <c r="I60" s="361">
        <f t="shared" si="54"/>
        <v>0</v>
      </c>
      <c r="K60" s="361">
        <f t="shared" ref="K60:Q60" si="55">IF($C$6=1,K36,K37)</f>
        <v>916.80000000000007</v>
      </c>
      <c r="L60" s="361">
        <f t="shared" si="55"/>
        <v>913.84</v>
      </c>
      <c r="M60" s="361">
        <f t="shared" si="55"/>
        <v>908.08</v>
      </c>
      <c r="N60" s="361">
        <f t="shared" si="55"/>
        <v>0</v>
      </c>
      <c r="O60" s="361">
        <f t="shared" si="55"/>
        <v>890.69999999999993</v>
      </c>
      <c r="P60" s="361">
        <f t="shared" si="55"/>
        <v>887</v>
      </c>
      <c r="Q60" s="361">
        <f t="shared" si="55"/>
        <v>885</v>
      </c>
      <c r="R60" s="361">
        <f>G60</f>
        <v>0</v>
      </c>
      <c r="S60" s="361">
        <f t="shared" ref="S60:AC60" si="56">IF($C$6=1,S36,S37)</f>
        <v>883</v>
      </c>
      <c r="T60" s="361">
        <f t="shared" si="56"/>
        <v>879</v>
      </c>
      <c r="U60" s="361">
        <f t="shared" si="56"/>
        <v>875</v>
      </c>
      <c r="V60" s="361">
        <f t="shared" si="56"/>
        <v>0</v>
      </c>
      <c r="W60" s="361">
        <f t="shared" si="56"/>
        <v>869</v>
      </c>
      <c r="X60" s="361">
        <f t="shared" si="56"/>
        <v>866</v>
      </c>
      <c r="Y60" s="361">
        <f t="shared" si="56"/>
        <v>865</v>
      </c>
      <c r="Z60" s="361">
        <f t="shared" si="56"/>
        <v>0</v>
      </c>
      <c r="AA60" s="361">
        <f t="shared" si="56"/>
        <v>859</v>
      </c>
      <c r="AB60" s="361">
        <f t="shared" si="56"/>
        <v>852</v>
      </c>
      <c r="AC60" s="361">
        <f t="shared" si="56"/>
        <v>845</v>
      </c>
      <c r="AE60" s="361">
        <f>N60</f>
        <v>0</v>
      </c>
      <c r="AF60" s="361">
        <f t="shared" ref="AF60:AT60" si="57">O60</f>
        <v>890.69999999999993</v>
      </c>
      <c r="AG60" s="361">
        <f t="shared" si="57"/>
        <v>887</v>
      </c>
      <c r="AH60" s="361">
        <f t="shared" si="57"/>
        <v>885</v>
      </c>
      <c r="AI60" s="361">
        <f t="shared" si="57"/>
        <v>0</v>
      </c>
      <c r="AJ60" s="361">
        <f t="shared" si="57"/>
        <v>883</v>
      </c>
      <c r="AK60" s="361">
        <f t="shared" si="57"/>
        <v>879</v>
      </c>
      <c r="AL60" s="361">
        <f t="shared" si="57"/>
        <v>875</v>
      </c>
      <c r="AM60" s="361">
        <f t="shared" si="57"/>
        <v>0</v>
      </c>
      <c r="AN60" s="361">
        <f t="shared" si="57"/>
        <v>869</v>
      </c>
      <c r="AO60" s="361">
        <f t="shared" si="57"/>
        <v>866</v>
      </c>
      <c r="AP60" s="361">
        <f t="shared" si="57"/>
        <v>865</v>
      </c>
      <c r="AQ60" s="361">
        <f t="shared" si="57"/>
        <v>0</v>
      </c>
      <c r="AR60" s="361">
        <f t="shared" si="57"/>
        <v>859</v>
      </c>
      <c r="AS60" s="361">
        <f t="shared" si="57"/>
        <v>852</v>
      </c>
      <c r="AT60" s="361">
        <f t="shared" si="57"/>
        <v>845</v>
      </c>
    </row>
    <row r="61" spans="2:46">
      <c r="B61" s="489" t="s">
        <v>502</v>
      </c>
      <c r="C61" s="488" t="e">
        <f t="shared" ref="C61:I61" si="58">C58/C59</f>
        <v>#DIV/0!</v>
      </c>
      <c r="D61" s="488" t="e">
        <f t="shared" si="58"/>
        <v>#DIV/0!</v>
      </c>
      <c r="E61" s="488" t="e">
        <f t="shared" si="58"/>
        <v>#DIV/0!</v>
      </c>
      <c r="F61" s="488" t="e">
        <f t="shared" si="58"/>
        <v>#DIV/0!</v>
      </c>
      <c r="G61" s="488" t="e">
        <f t="shared" si="58"/>
        <v>#DIV/0!</v>
      </c>
      <c r="H61" s="488" t="e">
        <f t="shared" si="58"/>
        <v>#DIV/0!</v>
      </c>
      <c r="I61" s="488" t="e">
        <f t="shared" si="58"/>
        <v>#DIV/0!</v>
      </c>
      <c r="K61" s="488">
        <f t="shared" ref="K61:AT61" si="59">K58/K59</f>
        <v>1.3143542757417102</v>
      </c>
      <c r="L61" s="488">
        <f t="shared" si="59"/>
        <v>1.3634771951326272</v>
      </c>
      <c r="M61" s="488">
        <f t="shared" si="59"/>
        <v>1.3996564179367457</v>
      </c>
      <c r="N61" s="488" t="e">
        <f t="shared" si="59"/>
        <v>#DIV/0!</v>
      </c>
      <c r="O61" s="488">
        <f t="shared" si="59"/>
        <v>1.23161558324913</v>
      </c>
      <c r="P61" s="488">
        <f t="shared" si="59"/>
        <v>1.2085682074408117</v>
      </c>
      <c r="Q61" s="488">
        <f t="shared" si="59"/>
        <v>1.0621468926553672</v>
      </c>
      <c r="R61" s="488" t="e">
        <f t="shared" si="59"/>
        <v>#DIV/0!</v>
      </c>
      <c r="S61" s="488">
        <f t="shared" si="59"/>
        <v>1.1732729331823331</v>
      </c>
      <c r="T61" s="488">
        <f t="shared" si="59"/>
        <v>1.4391353811149032</v>
      </c>
      <c r="U61" s="488">
        <f t="shared" si="59"/>
        <v>1.5508571428571429</v>
      </c>
      <c r="V61" s="488" t="e">
        <f t="shared" si="59"/>
        <v>#DIV/0!</v>
      </c>
      <c r="W61" s="488">
        <f t="shared" si="59"/>
        <v>1.8883774453394706</v>
      </c>
      <c r="X61" s="488">
        <f t="shared" si="59"/>
        <v>1.8926096997690531</v>
      </c>
      <c r="Y61" s="488">
        <f t="shared" si="59"/>
        <v>2.1202312138728323</v>
      </c>
      <c r="Z61" s="488" t="e">
        <f t="shared" si="59"/>
        <v>#DIV/0!</v>
      </c>
      <c r="AA61" s="488">
        <f t="shared" si="59"/>
        <v>2.8114086146682187</v>
      </c>
      <c r="AB61" s="488">
        <f t="shared" si="59"/>
        <v>2.312206572769953</v>
      </c>
      <c r="AC61" s="488">
        <f t="shared" si="59"/>
        <v>2.867455621301775</v>
      </c>
      <c r="AE61" s="488" t="e">
        <f t="shared" si="59"/>
        <v>#DIV/0!</v>
      </c>
      <c r="AF61" s="488">
        <f t="shared" si="59"/>
        <v>-0.12125294712024251</v>
      </c>
      <c r="AG61" s="488">
        <f t="shared" si="59"/>
        <v>-0.31792559188275082</v>
      </c>
      <c r="AH61" s="488">
        <f t="shared" si="59"/>
        <v>-0.69265536723163845</v>
      </c>
      <c r="AI61" s="488" t="e">
        <f t="shared" si="59"/>
        <v>#DIV/0!</v>
      </c>
      <c r="AJ61" s="488">
        <f t="shared" si="59"/>
        <v>-6.9082672706681766E-2</v>
      </c>
      <c r="AK61" s="488">
        <f t="shared" si="59"/>
        <v>0.15017064846416384</v>
      </c>
      <c r="AL61" s="488">
        <f t="shared" si="59"/>
        <v>0.62742857142857145</v>
      </c>
      <c r="AM61" s="488" t="e">
        <f t="shared" si="59"/>
        <v>#DIV/0!</v>
      </c>
      <c r="AN61" s="488">
        <f t="shared" si="59"/>
        <v>0.69620253164556967</v>
      </c>
      <c r="AO61" s="488">
        <f t="shared" si="59"/>
        <v>1.130484988452656</v>
      </c>
      <c r="AP61" s="488">
        <f t="shared" si="59"/>
        <v>1.6832369942196532</v>
      </c>
      <c r="AQ61" s="488" t="e">
        <f t="shared" si="59"/>
        <v>#DIV/0!</v>
      </c>
      <c r="AR61" s="488">
        <f t="shared" si="59"/>
        <v>0.9010477299185099</v>
      </c>
      <c r="AS61" s="488">
        <f t="shared" si="59"/>
        <v>1.2969483568075117</v>
      </c>
      <c r="AT61" s="488">
        <f t="shared" si="59"/>
        <v>2.0047337278106507</v>
      </c>
    </row>
    <row r="62" spans="2:46">
      <c r="B62" s="27"/>
      <c r="C62" s="492"/>
      <c r="D62" s="492"/>
      <c r="E62" s="492"/>
      <c r="F62" s="492"/>
      <c r="G62" s="492"/>
      <c r="H62" s="492"/>
      <c r="I62" s="492"/>
      <c r="K62" s="492"/>
      <c r="L62" s="492"/>
      <c r="M62" s="492"/>
      <c r="N62" s="492"/>
      <c r="O62" s="492"/>
      <c r="P62" s="492"/>
      <c r="Q62" s="492"/>
      <c r="R62" s="492"/>
      <c r="S62" s="492"/>
      <c r="T62" s="492"/>
      <c r="U62" s="492"/>
      <c r="V62" s="492"/>
      <c r="W62" s="492"/>
      <c r="X62" s="492"/>
      <c r="Y62" s="492"/>
      <c r="Z62" s="492"/>
      <c r="AA62" s="492"/>
      <c r="AB62" s="492"/>
      <c r="AC62" s="492"/>
    </row>
    <row r="63" spans="2:46">
      <c r="B63" s="485" t="s">
        <v>498</v>
      </c>
      <c r="K63" s="89"/>
    </row>
    <row r="64" spans="2:46">
      <c r="B64" s="486" t="s">
        <v>499</v>
      </c>
      <c r="C64" s="467"/>
      <c r="D64" s="467"/>
      <c r="E64" s="467"/>
      <c r="F64" s="467"/>
      <c r="G64" s="467"/>
      <c r="H64" s="467"/>
      <c r="I64" s="467"/>
      <c r="K64" s="467">
        <v>8817</v>
      </c>
      <c r="L64" s="467">
        <v>9088</v>
      </c>
      <c r="M64" s="467">
        <v>9253</v>
      </c>
      <c r="N64" s="361">
        <f>SUM(F64-SUM(K64:M64))</f>
        <v>-27158</v>
      </c>
      <c r="O64" s="467">
        <v>7941</v>
      </c>
      <c r="P64" s="467">
        <v>7660</v>
      </c>
      <c r="Q64" s="467">
        <v>6616</v>
      </c>
      <c r="R64" s="361">
        <f>SUM(G64-SUM(O64:Q64))</f>
        <v>-22217</v>
      </c>
      <c r="S64" s="467">
        <v>7032</v>
      </c>
      <c r="T64" s="467">
        <v>8568</v>
      </c>
      <c r="U64" s="467">
        <v>9145</v>
      </c>
      <c r="V64" s="361">
        <f>SUM(H64-SUM(S64:U64))</f>
        <v>-24745</v>
      </c>
      <c r="W64" s="467">
        <v>10908</v>
      </c>
      <c r="X64" s="467">
        <v>10883</v>
      </c>
      <c r="Y64" s="467">
        <v>12064</v>
      </c>
      <c r="Z64" s="361">
        <f>SUM(I64-SUM(W64:Y64))</f>
        <v>-33855</v>
      </c>
      <c r="AA64" s="467">
        <v>15727</v>
      </c>
      <c r="AB64" s="467">
        <v>12767</v>
      </c>
      <c r="AC64" s="467">
        <v>15866</v>
      </c>
      <c r="AE64" s="361">
        <f>SUM(K64:N64)</f>
        <v>0</v>
      </c>
      <c r="AF64" s="361">
        <f t="shared" ref="AF64:AT64" si="60">SUM(L64:O64)</f>
        <v>-876</v>
      </c>
      <c r="AG64" s="361">
        <f t="shared" si="60"/>
        <v>-2304</v>
      </c>
      <c r="AH64" s="361">
        <f t="shared" si="60"/>
        <v>-4941</v>
      </c>
      <c r="AI64" s="361">
        <f t="shared" si="60"/>
        <v>0</v>
      </c>
      <c r="AJ64" s="361">
        <f t="shared" si="60"/>
        <v>-909</v>
      </c>
      <c r="AK64" s="361">
        <f t="shared" si="60"/>
        <v>-1</v>
      </c>
      <c r="AL64" s="361">
        <f t="shared" si="60"/>
        <v>2528</v>
      </c>
      <c r="AM64" s="361">
        <f t="shared" si="60"/>
        <v>0</v>
      </c>
      <c r="AN64" s="361">
        <f t="shared" si="60"/>
        <v>3876</v>
      </c>
      <c r="AO64" s="361">
        <f t="shared" si="60"/>
        <v>6191</v>
      </c>
      <c r="AP64" s="361">
        <f t="shared" si="60"/>
        <v>9110</v>
      </c>
      <c r="AQ64" s="361">
        <f t="shared" si="60"/>
        <v>0</v>
      </c>
      <c r="AR64" s="361">
        <f t="shared" si="60"/>
        <v>4819</v>
      </c>
      <c r="AS64" s="361">
        <f t="shared" si="60"/>
        <v>6703</v>
      </c>
      <c r="AT64" s="361">
        <f t="shared" si="60"/>
        <v>10505</v>
      </c>
    </row>
    <row r="65" spans="2:46">
      <c r="B65" s="486" t="s">
        <v>89</v>
      </c>
      <c r="C65" s="34">
        <f>SUM(C66:C67)</f>
        <v>0</v>
      </c>
      <c r="D65" s="34">
        <f t="shared" ref="D65:K65" si="61">SUM(D66:D67)</f>
        <v>0</v>
      </c>
      <c r="E65" s="34">
        <f t="shared" si="61"/>
        <v>0</v>
      </c>
      <c r="F65" s="34">
        <f t="shared" si="61"/>
        <v>0</v>
      </c>
      <c r="G65" s="34">
        <f t="shared" si="61"/>
        <v>0</v>
      </c>
      <c r="H65" s="34">
        <f t="shared" si="61"/>
        <v>0</v>
      </c>
      <c r="I65" s="34">
        <f t="shared" si="61"/>
        <v>0</v>
      </c>
      <c r="K65" s="34">
        <f t="shared" si="61"/>
        <v>6708.2599999999993</v>
      </c>
      <c r="L65" s="34">
        <f t="shared" ref="L65:AC65" si="62">SUM(L66:L67)</f>
        <v>6668.4</v>
      </c>
      <c r="M65" s="34">
        <f t="shared" si="62"/>
        <v>6611.6399999999994</v>
      </c>
      <c r="N65" s="34">
        <f t="shared" si="62"/>
        <v>-604.38</v>
      </c>
      <c r="O65" s="34">
        <f t="shared" si="62"/>
        <v>6450.66</v>
      </c>
      <c r="P65" s="34">
        <f t="shared" si="62"/>
        <v>6337</v>
      </c>
      <c r="Q65" s="34">
        <f t="shared" si="62"/>
        <v>6229</v>
      </c>
      <c r="R65" s="34">
        <f t="shared" si="62"/>
        <v>0</v>
      </c>
      <c r="S65" s="34">
        <f t="shared" si="62"/>
        <v>5991</v>
      </c>
      <c r="T65" s="34">
        <f t="shared" si="62"/>
        <v>5927</v>
      </c>
      <c r="U65" s="34">
        <f t="shared" si="62"/>
        <v>5897</v>
      </c>
      <c r="V65" s="34">
        <f t="shared" si="62"/>
        <v>0</v>
      </c>
      <c r="W65" s="34">
        <f t="shared" si="62"/>
        <v>5775</v>
      </c>
      <c r="X65" s="34">
        <f t="shared" si="62"/>
        <v>5767</v>
      </c>
      <c r="Y65" s="34">
        <f t="shared" si="62"/>
        <v>5704</v>
      </c>
      <c r="Z65" s="34">
        <f t="shared" si="62"/>
        <v>0</v>
      </c>
      <c r="AA65" s="34">
        <f t="shared" si="62"/>
        <v>5601</v>
      </c>
      <c r="AB65" s="34">
        <f t="shared" si="62"/>
        <v>5527</v>
      </c>
      <c r="AC65" s="34">
        <f t="shared" si="62"/>
        <v>5540</v>
      </c>
      <c r="AE65" s="34">
        <f>SUM(AE66:AE67)</f>
        <v>-604.38</v>
      </c>
      <c r="AF65" s="34">
        <f t="shared" ref="AF65:AT65" si="63">SUM(AF66:AF67)</f>
        <v>6450.66</v>
      </c>
      <c r="AG65" s="34">
        <f t="shared" si="63"/>
        <v>6337</v>
      </c>
      <c r="AH65" s="34">
        <f t="shared" si="63"/>
        <v>6229</v>
      </c>
      <c r="AI65" s="34">
        <f t="shared" si="63"/>
        <v>0</v>
      </c>
      <c r="AJ65" s="34">
        <f t="shared" si="63"/>
        <v>5991</v>
      </c>
      <c r="AK65" s="34">
        <f t="shared" si="63"/>
        <v>5927</v>
      </c>
      <c r="AL65" s="34">
        <f t="shared" si="63"/>
        <v>5897</v>
      </c>
      <c r="AM65" s="34">
        <f t="shared" si="63"/>
        <v>0</v>
      </c>
      <c r="AN65" s="34">
        <f t="shared" si="63"/>
        <v>5775</v>
      </c>
      <c r="AO65" s="34">
        <f t="shared" si="63"/>
        <v>5767</v>
      </c>
      <c r="AP65" s="34">
        <f t="shared" si="63"/>
        <v>5704</v>
      </c>
      <c r="AQ65" s="34">
        <f t="shared" si="63"/>
        <v>0</v>
      </c>
      <c r="AR65" s="34">
        <f t="shared" si="63"/>
        <v>5601</v>
      </c>
      <c r="AS65" s="34">
        <f t="shared" si="63"/>
        <v>5527</v>
      </c>
      <c r="AT65" s="34">
        <f t="shared" si="63"/>
        <v>5540</v>
      </c>
    </row>
    <row r="66" spans="2:46">
      <c r="B66" s="493" t="s">
        <v>516</v>
      </c>
      <c r="C66" s="361">
        <f t="shared" ref="C66:I66" si="64">IF($C$6=1,C42,C43)</f>
        <v>0</v>
      </c>
      <c r="D66" s="361">
        <f t="shared" si="64"/>
        <v>0</v>
      </c>
      <c r="E66" s="361">
        <f t="shared" si="64"/>
        <v>0</v>
      </c>
      <c r="F66" s="361">
        <f t="shared" si="64"/>
        <v>0</v>
      </c>
      <c r="G66" s="361">
        <f t="shared" si="64"/>
        <v>0</v>
      </c>
      <c r="H66" s="361">
        <f t="shared" si="64"/>
        <v>0</v>
      </c>
      <c r="I66" s="361">
        <f t="shared" si="64"/>
        <v>0</v>
      </c>
      <c r="K66" s="361">
        <f t="shared" ref="K66:AC66" si="65">IF($C$6=1,K42,K43)</f>
        <v>6531.5999999999995</v>
      </c>
      <c r="L66" s="361">
        <f t="shared" si="65"/>
        <v>6455.62</v>
      </c>
      <c r="M66" s="361">
        <f t="shared" si="65"/>
        <v>6396.7</v>
      </c>
      <c r="N66" s="361">
        <f t="shared" si="65"/>
        <v>0</v>
      </c>
      <c r="O66" s="361">
        <f t="shared" si="65"/>
        <v>6303.16</v>
      </c>
      <c r="P66" s="361">
        <f t="shared" si="65"/>
        <v>6231</v>
      </c>
      <c r="Q66" s="361">
        <f t="shared" si="65"/>
        <v>6150</v>
      </c>
      <c r="R66" s="361">
        <f t="shared" si="65"/>
        <v>0</v>
      </c>
      <c r="S66" s="361">
        <f t="shared" si="65"/>
        <v>5949</v>
      </c>
      <c r="T66" s="361">
        <f t="shared" si="65"/>
        <v>5858</v>
      </c>
      <c r="U66" s="361">
        <f t="shared" si="65"/>
        <v>5782</v>
      </c>
      <c r="V66" s="361">
        <f t="shared" si="65"/>
        <v>0</v>
      </c>
      <c r="W66" s="361">
        <f t="shared" si="65"/>
        <v>5663</v>
      </c>
      <c r="X66" s="361">
        <f t="shared" si="65"/>
        <v>5615</v>
      </c>
      <c r="Y66" s="361">
        <f t="shared" si="65"/>
        <v>5575</v>
      </c>
      <c r="Z66" s="361">
        <f t="shared" si="65"/>
        <v>0</v>
      </c>
      <c r="AA66" s="361">
        <f t="shared" si="65"/>
        <v>5493</v>
      </c>
      <c r="AB66" s="361">
        <f t="shared" si="65"/>
        <v>5451</v>
      </c>
      <c r="AC66" s="361">
        <f t="shared" si="65"/>
        <v>5423</v>
      </c>
      <c r="AE66" s="361">
        <f>N66</f>
        <v>0</v>
      </c>
      <c r="AF66" s="361">
        <f t="shared" ref="AF66:AT68" si="66">O66</f>
        <v>6303.16</v>
      </c>
      <c r="AG66" s="361">
        <f t="shared" si="66"/>
        <v>6231</v>
      </c>
      <c r="AH66" s="361">
        <f t="shared" si="66"/>
        <v>6150</v>
      </c>
      <c r="AI66" s="361">
        <f t="shared" si="66"/>
        <v>0</v>
      </c>
      <c r="AJ66" s="361">
        <f t="shared" si="66"/>
        <v>5949</v>
      </c>
      <c r="AK66" s="361">
        <f t="shared" si="66"/>
        <v>5858</v>
      </c>
      <c r="AL66" s="361">
        <f t="shared" si="66"/>
        <v>5782</v>
      </c>
      <c r="AM66" s="361">
        <f t="shared" si="66"/>
        <v>0</v>
      </c>
      <c r="AN66" s="361">
        <f t="shared" si="66"/>
        <v>5663</v>
      </c>
      <c r="AO66" s="361">
        <f t="shared" si="66"/>
        <v>5615</v>
      </c>
      <c r="AP66" s="361">
        <f t="shared" si="66"/>
        <v>5575</v>
      </c>
      <c r="AQ66" s="361">
        <f t="shared" si="66"/>
        <v>0</v>
      </c>
      <c r="AR66" s="361">
        <f t="shared" si="66"/>
        <v>5493</v>
      </c>
      <c r="AS66" s="361">
        <f t="shared" si="66"/>
        <v>5451</v>
      </c>
      <c r="AT66" s="361">
        <f t="shared" si="66"/>
        <v>5423</v>
      </c>
    </row>
    <row r="67" spans="2:46">
      <c r="B67" s="493" t="s">
        <v>519</v>
      </c>
      <c r="C67" s="361">
        <f t="shared" ref="C67:I67" si="67">IF($C$6=1,C68*20,C68)</f>
        <v>0</v>
      </c>
      <c r="D67" s="361">
        <f t="shared" si="67"/>
        <v>0</v>
      </c>
      <c r="E67" s="361">
        <f t="shared" si="67"/>
        <v>0</v>
      </c>
      <c r="F67" s="361">
        <f t="shared" si="67"/>
        <v>0</v>
      </c>
      <c r="G67" s="361">
        <f t="shared" si="67"/>
        <v>0</v>
      </c>
      <c r="H67" s="361">
        <f t="shared" si="67"/>
        <v>0</v>
      </c>
      <c r="I67" s="361">
        <f t="shared" si="67"/>
        <v>0</v>
      </c>
      <c r="K67" s="361">
        <f>IF($C$6=1,K68*20,K68)</f>
        <v>176.66</v>
      </c>
      <c r="L67" s="361">
        <f>IF($C$6=1,L68*20,L68)</f>
        <v>212.77999999999997</v>
      </c>
      <c r="M67" s="361">
        <f>IF($C$6=1,M68*20,M68)</f>
        <v>214.94</v>
      </c>
      <c r="N67" s="361">
        <f>IF($C$6=1,N68*20,N68)</f>
        <v>-604.38</v>
      </c>
      <c r="O67" s="361">
        <f>IF($C$6=1,O68*20,O68)</f>
        <v>147.5</v>
      </c>
      <c r="P67" s="361">
        <f>P68</f>
        <v>106</v>
      </c>
      <c r="Q67" s="361">
        <f t="shared" ref="Q67:AC67" si="68">Q68</f>
        <v>79</v>
      </c>
      <c r="R67" s="361">
        <f t="shared" si="68"/>
        <v>0</v>
      </c>
      <c r="S67" s="361">
        <f t="shared" si="68"/>
        <v>42</v>
      </c>
      <c r="T67" s="361">
        <f t="shared" si="68"/>
        <v>69</v>
      </c>
      <c r="U67" s="361">
        <f t="shared" si="68"/>
        <v>115</v>
      </c>
      <c r="V67" s="361">
        <f t="shared" si="68"/>
        <v>0</v>
      </c>
      <c r="W67" s="361">
        <f t="shared" si="68"/>
        <v>112</v>
      </c>
      <c r="X67" s="361">
        <f t="shared" si="68"/>
        <v>152</v>
      </c>
      <c r="Y67" s="361">
        <f t="shared" si="68"/>
        <v>129</v>
      </c>
      <c r="Z67" s="361">
        <f t="shared" si="68"/>
        <v>0</v>
      </c>
      <c r="AA67" s="361">
        <f t="shared" si="68"/>
        <v>108</v>
      </c>
      <c r="AB67" s="361">
        <f t="shared" si="68"/>
        <v>76</v>
      </c>
      <c r="AC67" s="361">
        <f t="shared" si="68"/>
        <v>117</v>
      </c>
      <c r="AE67" s="361">
        <f>N67</f>
        <v>-604.38</v>
      </c>
      <c r="AF67" s="361">
        <f t="shared" si="66"/>
        <v>147.5</v>
      </c>
      <c r="AG67" s="361">
        <f t="shared" si="66"/>
        <v>106</v>
      </c>
      <c r="AH67" s="361">
        <f t="shared" si="66"/>
        <v>79</v>
      </c>
      <c r="AI67" s="361">
        <f t="shared" si="66"/>
        <v>0</v>
      </c>
      <c r="AJ67" s="361">
        <f t="shared" si="66"/>
        <v>42</v>
      </c>
      <c r="AK67" s="361">
        <f t="shared" si="66"/>
        <v>69</v>
      </c>
      <c r="AL67" s="361">
        <f t="shared" si="66"/>
        <v>115</v>
      </c>
      <c r="AM67" s="361">
        <f t="shared" si="66"/>
        <v>0</v>
      </c>
      <c r="AN67" s="361">
        <f t="shared" si="66"/>
        <v>112</v>
      </c>
      <c r="AO67" s="361">
        <f t="shared" si="66"/>
        <v>152</v>
      </c>
      <c r="AP67" s="361">
        <f t="shared" si="66"/>
        <v>129</v>
      </c>
      <c r="AQ67" s="361">
        <f t="shared" si="66"/>
        <v>0</v>
      </c>
      <c r="AR67" s="361">
        <f t="shared" si="66"/>
        <v>108</v>
      </c>
      <c r="AS67" s="361">
        <f t="shared" si="66"/>
        <v>76</v>
      </c>
      <c r="AT67" s="361">
        <f t="shared" si="66"/>
        <v>117</v>
      </c>
    </row>
    <row r="68" spans="2:46" outlineLevel="1">
      <c r="B68" s="493" t="s">
        <v>517</v>
      </c>
      <c r="C68" s="467"/>
      <c r="D68" s="467"/>
      <c r="E68" s="467"/>
      <c r="F68" s="467"/>
      <c r="G68" s="467"/>
      <c r="H68" s="467"/>
      <c r="I68" s="467"/>
      <c r="K68" s="467">
        <v>8.8330000000000002</v>
      </c>
      <c r="L68" s="467">
        <v>10.638999999999999</v>
      </c>
      <c r="M68" s="467">
        <v>10.747</v>
      </c>
      <c r="N68" s="361">
        <f>SUM(F68*4)-SUM(K68:M68)</f>
        <v>-30.219000000000001</v>
      </c>
      <c r="O68" s="467">
        <v>7.375</v>
      </c>
      <c r="P68" s="467">
        <v>106</v>
      </c>
      <c r="Q68" s="467">
        <v>79</v>
      </c>
      <c r="R68" s="361">
        <f>G68</f>
        <v>0</v>
      </c>
      <c r="S68" s="467">
        <v>42</v>
      </c>
      <c r="T68" s="467">
        <v>69</v>
      </c>
      <c r="U68" s="467">
        <v>115</v>
      </c>
      <c r="V68" s="361">
        <f>H68</f>
        <v>0</v>
      </c>
      <c r="W68" s="467">
        <v>112</v>
      </c>
      <c r="X68" s="467">
        <v>152</v>
      </c>
      <c r="Y68" s="467">
        <v>129</v>
      </c>
      <c r="Z68" s="361">
        <f>I68</f>
        <v>0</v>
      </c>
      <c r="AA68" s="467">
        <v>108</v>
      </c>
      <c r="AB68" s="467">
        <v>76</v>
      </c>
      <c r="AC68" s="467">
        <v>117</v>
      </c>
      <c r="AE68" s="361">
        <f>N68</f>
        <v>-30.219000000000001</v>
      </c>
      <c r="AF68" s="361">
        <f t="shared" si="66"/>
        <v>7.375</v>
      </c>
      <c r="AG68" s="361">
        <f t="shared" si="66"/>
        <v>106</v>
      </c>
      <c r="AH68" s="361">
        <f t="shared" si="66"/>
        <v>79</v>
      </c>
      <c r="AI68" s="361">
        <f t="shared" si="66"/>
        <v>0</v>
      </c>
      <c r="AJ68" s="361">
        <f t="shared" si="66"/>
        <v>42</v>
      </c>
      <c r="AK68" s="361">
        <f t="shared" si="66"/>
        <v>69</v>
      </c>
      <c r="AL68" s="361">
        <f t="shared" si="66"/>
        <v>115</v>
      </c>
      <c r="AM68" s="361">
        <f t="shared" si="66"/>
        <v>0</v>
      </c>
      <c r="AN68" s="361">
        <f t="shared" si="66"/>
        <v>112</v>
      </c>
      <c r="AO68" s="361">
        <f t="shared" si="66"/>
        <v>152</v>
      </c>
      <c r="AP68" s="361">
        <f t="shared" si="66"/>
        <v>129</v>
      </c>
      <c r="AQ68" s="361">
        <f t="shared" si="66"/>
        <v>0</v>
      </c>
      <c r="AR68" s="361">
        <f t="shared" si="66"/>
        <v>108</v>
      </c>
      <c r="AS68" s="361">
        <f t="shared" si="66"/>
        <v>76</v>
      </c>
      <c r="AT68" s="361">
        <f t="shared" si="66"/>
        <v>117</v>
      </c>
    </row>
    <row r="69" spans="2:46">
      <c r="B69" s="489" t="s">
        <v>502</v>
      </c>
      <c r="C69" s="488" t="e">
        <f t="shared" ref="C69:I69" si="69">C64/C65</f>
        <v>#DIV/0!</v>
      </c>
      <c r="D69" s="488" t="e">
        <f t="shared" si="69"/>
        <v>#DIV/0!</v>
      </c>
      <c r="E69" s="488" t="e">
        <f t="shared" si="69"/>
        <v>#DIV/0!</v>
      </c>
      <c r="F69" s="488" t="e">
        <f t="shared" si="69"/>
        <v>#DIV/0!</v>
      </c>
      <c r="G69" s="488" t="e">
        <f t="shared" si="69"/>
        <v>#DIV/0!</v>
      </c>
      <c r="H69" s="488" t="e">
        <f t="shared" si="69"/>
        <v>#DIV/0!</v>
      </c>
      <c r="I69" s="488" t="e">
        <f t="shared" si="69"/>
        <v>#DIV/0!</v>
      </c>
      <c r="K69" s="488">
        <f t="shared" ref="K69:AT69" si="70">K64/K65</f>
        <v>1.3143497717739028</v>
      </c>
      <c r="L69" s="488">
        <f t="shared" si="70"/>
        <v>1.3628456601283667</v>
      </c>
      <c r="M69" s="488">
        <f t="shared" si="70"/>
        <v>1.3995014852593306</v>
      </c>
      <c r="N69" s="488">
        <f t="shared" si="70"/>
        <v>44.935305602435555</v>
      </c>
      <c r="O69" s="488">
        <f t="shared" si="70"/>
        <v>1.2310368241389253</v>
      </c>
      <c r="P69" s="488">
        <f t="shared" si="70"/>
        <v>1.20877386776077</v>
      </c>
      <c r="Q69" s="488">
        <f t="shared" si="70"/>
        <v>1.0621287526087655</v>
      </c>
      <c r="R69" s="488" t="e">
        <f t="shared" si="70"/>
        <v>#DIV/0!</v>
      </c>
      <c r="S69" s="488">
        <f t="shared" si="70"/>
        <v>1.1737606409614421</v>
      </c>
      <c r="T69" s="488">
        <f t="shared" si="70"/>
        <v>1.4455879871773241</v>
      </c>
      <c r="U69" s="488">
        <f t="shared" si="70"/>
        <v>1.5507885365440055</v>
      </c>
      <c r="V69" s="488" t="e">
        <f t="shared" si="70"/>
        <v>#DIV/0!</v>
      </c>
      <c r="W69" s="488">
        <f t="shared" si="70"/>
        <v>1.8888311688311687</v>
      </c>
      <c r="X69" s="488">
        <f t="shared" si="70"/>
        <v>1.8871163516559737</v>
      </c>
      <c r="Y69" s="488">
        <f t="shared" si="70"/>
        <v>2.1150070126227209</v>
      </c>
      <c r="Z69" s="488" t="e">
        <f t="shared" si="70"/>
        <v>#DIV/0!</v>
      </c>
      <c r="AA69" s="488">
        <f t="shared" si="70"/>
        <v>2.807891447955722</v>
      </c>
      <c r="AB69" s="488">
        <f t="shared" si="70"/>
        <v>2.3099330559073636</v>
      </c>
      <c r="AC69" s="488">
        <f t="shared" si="70"/>
        <v>2.8638989169675089</v>
      </c>
      <c r="AE69" s="488">
        <f t="shared" si="70"/>
        <v>0</v>
      </c>
      <c r="AF69" s="488">
        <f t="shared" si="70"/>
        <v>-0.13580005766851763</v>
      </c>
      <c r="AG69" s="488">
        <f t="shared" si="70"/>
        <v>-0.36357898059018462</v>
      </c>
      <c r="AH69" s="488">
        <f t="shared" si="70"/>
        <v>-0.79322523679563328</v>
      </c>
      <c r="AI69" s="488" t="e">
        <f t="shared" si="70"/>
        <v>#DIV/0!</v>
      </c>
      <c r="AJ69" s="488">
        <f t="shared" si="70"/>
        <v>-0.15172759138708061</v>
      </c>
      <c r="AK69" s="488">
        <f t="shared" si="70"/>
        <v>-1.6871941960519654E-4</v>
      </c>
      <c r="AL69" s="488">
        <f t="shared" si="70"/>
        <v>0.42869255553671359</v>
      </c>
      <c r="AM69" s="488" t="e">
        <f t="shared" si="70"/>
        <v>#DIV/0!</v>
      </c>
      <c r="AN69" s="488">
        <f t="shared" si="70"/>
        <v>0.67116883116883119</v>
      </c>
      <c r="AO69" s="488">
        <f t="shared" si="70"/>
        <v>1.0735217617478758</v>
      </c>
      <c r="AP69" s="488">
        <f t="shared" si="70"/>
        <v>1.5971248246844321</v>
      </c>
      <c r="AQ69" s="488" t="e">
        <f t="shared" si="70"/>
        <v>#DIV/0!</v>
      </c>
      <c r="AR69" s="488">
        <f t="shared" si="70"/>
        <v>0.86038207462953042</v>
      </c>
      <c r="AS69" s="488">
        <f t="shared" si="70"/>
        <v>1.2127736565948977</v>
      </c>
      <c r="AT69" s="488">
        <f t="shared" si="70"/>
        <v>1.8962093862815885</v>
      </c>
    </row>
    <row r="72" spans="2:46">
      <c r="F72" s="482"/>
    </row>
    <row r="73" spans="2:46">
      <c r="F73" s="482"/>
    </row>
  </sheetData>
  <dataValidations disablePrompts="1" count="1">
    <dataValidation type="list" allowBlank="1" showInputMessage="1" showErrorMessage="1" sqref="C6" xr:uid="{0F016773-3555-4BCA-8A5C-A96AB5BAF205}">
      <formula1>"0,1"</formula1>
    </dataValidation>
  </dataValidations>
  <pageMargins left="0.7" right="0.7" top="0.75" bottom="0.75" header="0.3" footer="0.3"/>
  <ignoredErrors>
    <ignoredError sqref="M55:U57 H18:I24 M69:U69 M61:U63 H69:I69 H61:I63 H59:I59 H55:I57 J50 C55:G57 J55:K57 J60 C59:G59 J59:K59 J66 J65 C61:G63 J61:K63 C69:G69 J69:K69 J49:K49 J58:K58 J64:K64 J68:K68 J54 J52 J51 AB55:AC57 AB59:AC63 AB65:AC67 AB69:AC69"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M16"/>
  <sheetViews>
    <sheetView showGridLines="0" zoomScaleNormal="100" workbookViewId="0">
      <selection activeCell="Y13" sqref="Y13"/>
    </sheetView>
  </sheetViews>
  <sheetFormatPr defaultRowHeight="12" outlineLevelCol="2"/>
  <cols>
    <col min="1" max="1" width="1.5" style="8" customWidth="1"/>
    <col min="2" max="2" width="46.5" style="8" bestFit="1" customWidth="1"/>
    <col min="3" max="5" width="8.625" style="8" customWidth="1" outlineLevel="2"/>
    <col min="6" max="6" width="8.625" style="8" customWidth="1" outlineLevel="1"/>
    <col min="7" max="9" width="8.625" style="8" bestFit="1" customWidth="1"/>
    <col min="10" max="10" width="1.5" style="8" customWidth="1"/>
    <col min="11" max="13" width="7.875" style="8" customWidth="1" outlineLevel="1"/>
    <col min="14" max="14" width="8.75" style="8" customWidth="1" outlineLevel="1"/>
    <col min="15" max="17" width="8" style="8" customWidth="1" outlineLevel="1"/>
    <col min="18" max="18" width="8.75" style="8" customWidth="1" outlineLevel="1"/>
    <col min="19" max="19" width="8.5" style="8" customWidth="1"/>
    <col min="20" max="20" width="8.25" style="8" bestFit="1" customWidth="1"/>
    <col min="21" max="21" width="8.5" style="8" bestFit="1" customWidth="1"/>
    <col min="22" max="25" width="9.125" style="8" bestFit="1" customWidth="1"/>
    <col min="26" max="26" width="1.5" style="8" customWidth="1"/>
    <col min="27" max="32" width="8.75" style="8" hidden="1" customWidth="1" outlineLevel="1"/>
    <col min="33" max="33" width="8.75" style="8" bestFit="1" customWidth="1" collapsed="1"/>
    <col min="34" max="36" width="8.75" style="8" hidden="1" customWidth="1" outlineLevel="1"/>
    <col min="37" max="37" width="8.75" style="8" bestFit="1" customWidth="1" collapsed="1"/>
    <col min="38" max="38" width="1.5" style="8" customWidth="1"/>
    <col min="39" max="39" width="9.875" style="8" bestFit="1" customWidth="1"/>
    <col min="40" max="16384" width="9" style="8"/>
  </cols>
  <sheetData>
    <row r="2" spans="1:39" s="5" customFormat="1" ht="12.75" customHeight="1">
      <c r="B2" s="1" t="s">
        <v>603</v>
      </c>
      <c r="C2" s="2" t="s">
        <v>0</v>
      </c>
      <c r="D2" s="2"/>
      <c r="E2" s="2"/>
      <c r="F2" s="2"/>
      <c r="G2" s="2" t="s">
        <v>0</v>
      </c>
      <c r="H2" s="2"/>
      <c r="I2" s="2"/>
      <c r="J2" s="3"/>
      <c r="K2" s="2" t="s">
        <v>1</v>
      </c>
      <c r="L2" s="2"/>
      <c r="M2" s="2"/>
      <c r="N2" s="2"/>
      <c r="O2" s="2"/>
      <c r="P2" s="2"/>
      <c r="Q2" s="2"/>
      <c r="R2" s="2"/>
      <c r="S2" s="2" t="s">
        <v>1</v>
      </c>
      <c r="T2" s="2" t="s">
        <v>1</v>
      </c>
      <c r="U2" s="2"/>
      <c r="V2" s="2"/>
      <c r="W2" s="2"/>
      <c r="X2" s="2"/>
      <c r="Y2" s="2"/>
      <c r="Z2" s="3"/>
      <c r="AA2" s="2" t="s">
        <v>10</v>
      </c>
      <c r="AB2" s="2"/>
      <c r="AC2" s="2"/>
      <c r="AD2" s="2"/>
      <c r="AE2" s="2" t="s">
        <v>10</v>
      </c>
      <c r="AF2" s="2"/>
      <c r="AG2" s="2" t="s">
        <v>10</v>
      </c>
      <c r="AH2" s="2"/>
      <c r="AI2" s="2"/>
      <c r="AJ2" s="2"/>
      <c r="AK2" s="2"/>
      <c r="AL2" s="3"/>
      <c r="AM2" s="579" t="s">
        <v>37</v>
      </c>
    </row>
    <row r="3" spans="1:39" s="5" customFormat="1" ht="12.75" customHeight="1">
      <c r="B3" s="6" t="s">
        <v>91</v>
      </c>
      <c r="C3" s="7">
        <f>'Historical Financials'!C7</f>
        <v>2018</v>
      </c>
      <c r="D3" s="7">
        <f>'Historical Financials'!D7</f>
        <v>2019</v>
      </c>
      <c r="E3" s="7">
        <f>'Historical Financials'!E7</f>
        <v>2020</v>
      </c>
      <c r="F3" s="7">
        <f>'Historical Financials'!F7</f>
        <v>2021</v>
      </c>
      <c r="G3" s="7">
        <f>'Historical Financials'!G7</f>
        <v>2022</v>
      </c>
      <c r="H3" s="7">
        <f>'Historical Financials'!H7</f>
        <v>2023</v>
      </c>
      <c r="I3" s="7">
        <f>'Historical Financials'!I7</f>
        <v>2024</v>
      </c>
      <c r="J3" s="3"/>
      <c r="K3" s="7" t="str">
        <f>'Historical Financials'!O7</f>
        <v>1Q22</v>
      </c>
      <c r="L3" s="7" t="str">
        <f>'Historical Financials'!P7</f>
        <v>2Q22</v>
      </c>
      <c r="M3" s="7" t="str">
        <f>'Historical Financials'!Q7</f>
        <v>3Q22</v>
      </c>
      <c r="N3" s="7" t="str">
        <f>'Historical Financials'!R7</f>
        <v>4Q22</v>
      </c>
      <c r="O3" s="7" t="str">
        <f>'Historical Financials'!S7</f>
        <v>1Q23</v>
      </c>
      <c r="P3" s="7" t="str">
        <f>'Historical Financials'!T7</f>
        <v>2Q23</v>
      </c>
      <c r="Q3" s="7" t="str">
        <f>'Historical Financials'!U7</f>
        <v>3Q23</v>
      </c>
      <c r="R3" s="7" t="str">
        <f>'Historical Financials'!V7</f>
        <v>4Q23</v>
      </c>
      <c r="S3" s="7" t="str">
        <f>'Historical Financials'!W7</f>
        <v>1Q24</v>
      </c>
      <c r="T3" s="7" t="str">
        <f>'Historical Financials'!X7</f>
        <v>2Q24</v>
      </c>
      <c r="U3" s="7" t="str">
        <f>'Historical Financials'!Y7</f>
        <v>3Q24</v>
      </c>
      <c r="V3" s="7" t="str">
        <f>'Historical Financials'!Z7</f>
        <v>4Q24</v>
      </c>
      <c r="W3" s="7" t="str">
        <f>'Historical Financials'!AA7</f>
        <v>1Q25</v>
      </c>
      <c r="X3" s="7" t="str">
        <f>'Historical Financials'!AB7</f>
        <v>2Q25</v>
      </c>
      <c r="Y3" s="7" t="str">
        <f>'Historical Financials'!AC7</f>
        <v>3Q25</v>
      </c>
      <c r="Z3" s="4"/>
      <c r="AA3" s="4" t="str">
        <f t="shared" ref="AA3:AJ4" si="0">O3</f>
        <v>1Q23</v>
      </c>
      <c r="AB3" s="4" t="str">
        <f t="shared" si="0"/>
        <v>2Q23</v>
      </c>
      <c r="AC3" s="4" t="str">
        <f t="shared" si="0"/>
        <v>3Q23</v>
      </c>
      <c r="AD3" s="4" t="str">
        <f t="shared" si="0"/>
        <v>4Q23</v>
      </c>
      <c r="AE3" s="4" t="str">
        <f t="shared" si="0"/>
        <v>1Q24</v>
      </c>
      <c r="AF3" s="4" t="str">
        <f t="shared" si="0"/>
        <v>2Q24</v>
      </c>
      <c r="AG3" s="4" t="str">
        <f t="shared" si="0"/>
        <v>3Q24</v>
      </c>
      <c r="AH3" s="4" t="str">
        <f t="shared" si="0"/>
        <v>4Q24</v>
      </c>
      <c r="AI3" s="4" t="str">
        <f t="shared" si="0"/>
        <v>1Q25</v>
      </c>
      <c r="AJ3" s="4" t="str">
        <f t="shared" si="0"/>
        <v>2Q25</v>
      </c>
      <c r="AK3" s="4" t="str">
        <f>Y3</f>
        <v>3Q25</v>
      </c>
      <c r="AL3" s="3"/>
      <c r="AM3" s="579"/>
    </row>
    <row r="4" spans="1:39" s="5" customFormat="1" ht="12.75" customHeight="1">
      <c r="B4" s="6" t="s">
        <v>647</v>
      </c>
      <c r="C4" s="3">
        <f>'Historical Financials'!C8</f>
        <v>43465</v>
      </c>
      <c r="D4" s="3">
        <f>'Historical Financials'!D8</f>
        <v>43830</v>
      </c>
      <c r="E4" s="3">
        <f>'Historical Financials'!E8</f>
        <v>44196</v>
      </c>
      <c r="F4" s="3">
        <f>'Historical Financials'!F8</f>
        <v>44561</v>
      </c>
      <c r="G4" s="3">
        <f>'Historical Financials'!G8</f>
        <v>44926</v>
      </c>
      <c r="H4" s="3">
        <f>'Historical Financials'!H8</f>
        <v>45291</v>
      </c>
      <c r="I4" s="3">
        <f>'Historical Financials'!I8</f>
        <v>45657</v>
      </c>
      <c r="J4" s="3"/>
      <c r="K4" s="3">
        <f>'Historical Financials'!O8</f>
        <v>44651</v>
      </c>
      <c r="L4" s="3">
        <f>'Historical Financials'!P8</f>
        <v>44742</v>
      </c>
      <c r="M4" s="3">
        <f>'Historical Financials'!Q8</f>
        <v>44834</v>
      </c>
      <c r="N4" s="3">
        <f>'Historical Financials'!R8</f>
        <v>44926</v>
      </c>
      <c r="O4" s="3">
        <f>'Historical Financials'!S8</f>
        <v>45016</v>
      </c>
      <c r="P4" s="3">
        <f>'Historical Financials'!T8</f>
        <v>45107</v>
      </c>
      <c r="Q4" s="3">
        <f>'Historical Financials'!U8</f>
        <v>45199</v>
      </c>
      <c r="R4" s="3">
        <f>'Historical Financials'!V8</f>
        <v>45291</v>
      </c>
      <c r="S4" s="3">
        <f>'Historical Financials'!W8</f>
        <v>45382</v>
      </c>
      <c r="T4" s="3">
        <f>'Historical Financials'!X8</f>
        <v>45473</v>
      </c>
      <c r="U4" s="3">
        <f>'Historical Financials'!Y8</f>
        <v>45565</v>
      </c>
      <c r="V4" s="3">
        <f>'Historical Financials'!Z8</f>
        <v>45657</v>
      </c>
      <c r="W4" s="3">
        <f>'Historical Financials'!AA8</f>
        <v>45747</v>
      </c>
      <c r="X4" s="3">
        <f>'Historical Financials'!AB8</f>
        <v>45838</v>
      </c>
      <c r="Y4" s="3">
        <f>'Historical Financials'!AC8</f>
        <v>45930</v>
      </c>
      <c r="Z4" s="3"/>
      <c r="AA4" s="3">
        <f t="shared" si="0"/>
        <v>45016</v>
      </c>
      <c r="AB4" s="3">
        <f t="shared" si="0"/>
        <v>45107</v>
      </c>
      <c r="AC4" s="3">
        <f t="shared" si="0"/>
        <v>45199</v>
      </c>
      <c r="AD4" s="3">
        <f t="shared" si="0"/>
        <v>45291</v>
      </c>
      <c r="AE4" s="3">
        <f t="shared" si="0"/>
        <v>45382</v>
      </c>
      <c r="AF4" s="3">
        <f t="shared" si="0"/>
        <v>45473</v>
      </c>
      <c r="AG4" s="3">
        <f t="shared" si="0"/>
        <v>45565</v>
      </c>
      <c r="AH4" s="3">
        <f t="shared" si="0"/>
        <v>45657</v>
      </c>
      <c r="AI4" s="3">
        <f t="shared" si="0"/>
        <v>45747</v>
      </c>
      <c r="AJ4" s="3">
        <f t="shared" si="0"/>
        <v>45838</v>
      </c>
      <c r="AK4" s="3">
        <f>Y4</f>
        <v>45930</v>
      </c>
      <c r="AL4" s="3"/>
      <c r="AM4" s="579"/>
    </row>
    <row r="5" spans="1:39" ht="5.0999999999999996" customHeight="1"/>
    <row r="6" spans="1:39">
      <c r="A6" s="38" t="s">
        <v>24</v>
      </c>
      <c r="B6" s="1" t="s">
        <v>487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row>
    <row r="7" spans="1:39" ht="5.0999999999999996" customHeight="1"/>
    <row r="8" spans="1:39" ht="12.75" customHeight="1">
      <c r="A8" s="87"/>
      <c r="B8" s="85" t="s">
        <v>480</v>
      </c>
      <c r="C8" s="27"/>
      <c r="D8" s="27"/>
      <c r="E8" s="11"/>
      <c r="F8" s="11"/>
      <c r="G8" s="11"/>
      <c r="H8" s="11"/>
      <c r="I8" s="11"/>
      <c r="J8" s="11"/>
      <c r="K8" s="11"/>
      <c r="L8" s="11"/>
      <c r="M8" s="11"/>
      <c r="N8" s="11"/>
      <c r="O8" s="11"/>
      <c r="P8" s="11"/>
      <c r="Q8" s="11"/>
      <c r="R8" s="11"/>
      <c r="S8" s="11"/>
      <c r="T8" s="11"/>
      <c r="U8" s="11"/>
      <c r="V8" s="11"/>
      <c r="W8" s="11"/>
      <c r="X8" s="11"/>
      <c r="Y8" s="11"/>
      <c r="Z8" s="5"/>
      <c r="AA8" s="12"/>
      <c r="AB8" s="12"/>
      <c r="AC8" s="12"/>
      <c r="AD8" s="12"/>
      <c r="AE8" s="12"/>
      <c r="AF8" s="12"/>
      <c r="AG8" s="12"/>
      <c r="AH8" s="12"/>
      <c r="AI8" s="12"/>
      <c r="AJ8" s="12"/>
      <c r="AM8" s="13"/>
    </row>
    <row r="9" spans="1:39" ht="12.75" customHeight="1">
      <c r="B9" s="10" t="s">
        <v>642</v>
      </c>
      <c r="C9" s="88">
        <v>8281532</v>
      </c>
      <c r="D9" s="88">
        <v>10051208</v>
      </c>
      <c r="E9" s="88">
        <v>11455396</v>
      </c>
      <c r="F9" s="88">
        <v>12972100</v>
      </c>
      <c r="G9" s="88">
        <v>14084643</v>
      </c>
      <c r="H9" s="88">
        <v>14873783</v>
      </c>
      <c r="I9" s="88">
        <v>17359369</v>
      </c>
      <c r="J9" s="88"/>
      <c r="K9" s="88">
        <v>3350424</v>
      </c>
      <c r="L9" s="88">
        <v>3537863</v>
      </c>
      <c r="M9" s="88">
        <v>3601565</v>
      </c>
      <c r="N9" s="469">
        <f t="shared" ref="N9:N13" si="1">SUM(G9-SUM(K9:M9))</f>
        <v>3594791</v>
      </c>
      <c r="O9" s="88">
        <v>3608645</v>
      </c>
      <c r="P9" s="88">
        <v>3599448</v>
      </c>
      <c r="Q9" s="88">
        <v>3735133</v>
      </c>
      <c r="R9" s="469">
        <f t="shared" ref="R9:R13" si="2">SUM(H9-SUM(O9:Q9))</f>
        <v>3930557</v>
      </c>
      <c r="S9" s="88">
        <v>4224315</v>
      </c>
      <c r="T9" s="88">
        <v>4295560</v>
      </c>
      <c r="U9" s="88">
        <v>4322476</v>
      </c>
      <c r="V9" s="469">
        <f t="shared" ref="V9:V13" si="3">SUM(I9-SUM(S9:U9))</f>
        <v>4517018</v>
      </c>
      <c r="W9" s="88">
        <v>4617098</v>
      </c>
      <c r="X9" s="88">
        <v>4929003</v>
      </c>
      <c r="Y9" s="88">
        <v>5071781</v>
      </c>
      <c r="Z9" s="12"/>
      <c r="AA9" s="12">
        <f t="shared" ref="AA9:AF9" si="4">SUM(L9:O9)</f>
        <v>14342864</v>
      </c>
      <c r="AB9" s="12">
        <f t="shared" si="4"/>
        <v>14404449</v>
      </c>
      <c r="AC9" s="12">
        <f t="shared" si="4"/>
        <v>14538017</v>
      </c>
      <c r="AD9" s="12">
        <f t="shared" si="4"/>
        <v>14873783</v>
      </c>
      <c r="AE9" s="12">
        <f t="shared" si="4"/>
        <v>15489453</v>
      </c>
      <c r="AF9" s="12">
        <f t="shared" si="4"/>
        <v>16185565</v>
      </c>
      <c r="AG9" s="469">
        <f t="shared" ref="AG9:AK10" si="5">SUM(R9:U9)</f>
        <v>16772908</v>
      </c>
      <c r="AH9" s="469">
        <f t="shared" si="5"/>
        <v>17359369</v>
      </c>
      <c r="AI9" s="469">
        <f t="shared" si="5"/>
        <v>17752152</v>
      </c>
      <c r="AJ9" s="469">
        <f t="shared" si="5"/>
        <v>18385595</v>
      </c>
      <c r="AK9" s="469">
        <f t="shared" si="5"/>
        <v>19134900</v>
      </c>
      <c r="AM9" s="13">
        <f>SUM(AK9/AG9)-1</f>
        <v>0.14082185390869606</v>
      </c>
    </row>
    <row r="10" spans="1:39" ht="12.75" customHeight="1">
      <c r="B10" s="10" t="s">
        <v>643</v>
      </c>
      <c r="C10" s="88">
        <v>3963707</v>
      </c>
      <c r="D10" s="88">
        <v>5543067</v>
      </c>
      <c r="E10" s="88">
        <v>7772252</v>
      </c>
      <c r="F10" s="88">
        <v>9699819</v>
      </c>
      <c r="G10" s="88">
        <v>9745015</v>
      </c>
      <c r="H10" s="88">
        <v>10556487</v>
      </c>
      <c r="I10" s="88">
        <v>12387035</v>
      </c>
      <c r="J10" s="88"/>
      <c r="K10" s="88">
        <v>2561831</v>
      </c>
      <c r="L10" s="88">
        <v>2457235</v>
      </c>
      <c r="M10" s="88">
        <v>2375814</v>
      </c>
      <c r="N10" s="469">
        <f t="shared" si="1"/>
        <v>2350135</v>
      </c>
      <c r="O10" s="88">
        <v>2517641</v>
      </c>
      <c r="P10" s="88">
        <v>2562170</v>
      </c>
      <c r="Q10" s="88">
        <v>2693146</v>
      </c>
      <c r="R10" s="469">
        <f t="shared" si="2"/>
        <v>2783530</v>
      </c>
      <c r="S10" s="88">
        <v>2958193</v>
      </c>
      <c r="T10" s="88">
        <v>3007772</v>
      </c>
      <c r="U10" s="88">
        <v>3133466</v>
      </c>
      <c r="V10" s="469">
        <f t="shared" si="3"/>
        <v>3287604</v>
      </c>
      <c r="W10" s="88">
        <v>3404676</v>
      </c>
      <c r="X10" s="88">
        <v>3538175</v>
      </c>
      <c r="Y10" s="88">
        <v>3699052</v>
      </c>
      <c r="Z10" s="12"/>
      <c r="AA10" s="12"/>
      <c r="AB10" s="12"/>
      <c r="AC10" s="12"/>
      <c r="AD10" s="12"/>
      <c r="AE10" s="12"/>
      <c r="AF10" s="12"/>
      <c r="AG10" s="469">
        <f t="shared" si="5"/>
        <v>11882961</v>
      </c>
      <c r="AH10" s="469">
        <f t="shared" si="5"/>
        <v>12387035</v>
      </c>
      <c r="AI10" s="469">
        <f t="shared" si="5"/>
        <v>12833518</v>
      </c>
      <c r="AJ10" s="469">
        <f t="shared" si="5"/>
        <v>13363921</v>
      </c>
      <c r="AK10" s="469">
        <f t="shared" si="5"/>
        <v>13929507</v>
      </c>
      <c r="AM10" s="13">
        <f>SUM(AK10/AG10)-1</f>
        <v>0.17222525597786609</v>
      </c>
    </row>
    <row r="11" spans="1:39" ht="12.75" customHeight="1">
      <c r="B11" s="10" t="s">
        <v>644</v>
      </c>
      <c r="C11" s="88">
        <v>2237697</v>
      </c>
      <c r="D11" s="88">
        <v>2795434</v>
      </c>
      <c r="E11" s="88">
        <v>3156727</v>
      </c>
      <c r="F11" s="88">
        <v>3576976</v>
      </c>
      <c r="G11" s="88">
        <v>4069973</v>
      </c>
      <c r="H11" s="88">
        <v>4446461</v>
      </c>
      <c r="I11" s="88">
        <v>4839816</v>
      </c>
      <c r="J11" s="88"/>
      <c r="K11" s="88">
        <v>998948</v>
      </c>
      <c r="L11" s="88">
        <v>1030234</v>
      </c>
      <c r="M11" s="88">
        <v>1023945</v>
      </c>
      <c r="N11" s="469">
        <f t="shared" si="1"/>
        <v>1016846</v>
      </c>
      <c r="O11" s="88">
        <v>1070192</v>
      </c>
      <c r="P11" s="88">
        <v>1077435</v>
      </c>
      <c r="Q11" s="88">
        <v>1142811</v>
      </c>
      <c r="R11" s="469">
        <f t="shared" si="2"/>
        <v>1156023</v>
      </c>
      <c r="S11" s="88">
        <v>1165008</v>
      </c>
      <c r="T11" s="88">
        <v>1204145</v>
      </c>
      <c r="U11" s="88">
        <v>1240892</v>
      </c>
      <c r="V11" s="469">
        <f t="shared" si="3"/>
        <v>1229771</v>
      </c>
      <c r="W11" s="88">
        <v>1261934</v>
      </c>
      <c r="X11" s="88">
        <v>1306735</v>
      </c>
      <c r="Y11" s="88">
        <v>1370913</v>
      </c>
      <c r="Z11" s="12"/>
      <c r="AA11" s="12"/>
      <c r="AB11" s="12"/>
      <c r="AC11" s="12"/>
      <c r="AD11" s="12"/>
      <c r="AE11" s="12"/>
      <c r="AF11" s="12"/>
      <c r="AG11" s="469">
        <f t="shared" ref="AG11:AG13" si="6">SUM(R11:U11)</f>
        <v>4766068</v>
      </c>
      <c r="AH11" s="469">
        <f t="shared" ref="AH11:AH13" si="7">SUM(S11:V11)</f>
        <v>4839816</v>
      </c>
      <c r="AI11" s="469">
        <f t="shared" ref="AI11:AI13" si="8">SUM(T11:W11)</f>
        <v>4936742</v>
      </c>
      <c r="AJ11" s="469">
        <f t="shared" ref="AJ11:AJ13" si="9">SUM(U11:X11)</f>
        <v>5039332</v>
      </c>
      <c r="AK11" s="469">
        <f t="shared" ref="AK11:AK13" si="10">SUM(V11:Y11)</f>
        <v>5169353</v>
      </c>
      <c r="AM11" s="13">
        <f t="shared" ref="AM11:AM13" si="11">SUM(AK11/AG11)-1</f>
        <v>8.4615872035396889E-2</v>
      </c>
    </row>
    <row r="12" spans="1:39" ht="12.75" customHeight="1">
      <c r="B12" s="10" t="s">
        <v>645</v>
      </c>
      <c r="C12" s="88">
        <v>945816</v>
      </c>
      <c r="D12" s="88">
        <v>1469521</v>
      </c>
      <c r="E12" s="88">
        <v>2372300</v>
      </c>
      <c r="F12" s="88">
        <v>3266601</v>
      </c>
      <c r="G12" s="88">
        <v>3570221</v>
      </c>
      <c r="H12" s="88">
        <v>3763727</v>
      </c>
      <c r="I12" s="88">
        <v>4414746</v>
      </c>
      <c r="J12" s="88"/>
      <c r="K12" s="88">
        <v>916754</v>
      </c>
      <c r="L12" s="88">
        <v>907719</v>
      </c>
      <c r="M12" s="88">
        <v>889037</v>
      </c>
      <c r="N12" s="469">
        <f t="shared" si="1"/>
        <v>856711</v>
      </c>
      <c r="O12" s="88">
        <v>933523</v>
      </c>
      <c r="P12" s="88">
        <v>919273</v>
      </c>
      <c r="Q12" s="88">
        <v>948216</v>
      </c>
      <c r="R12" s="469">
        <f t="shared" si="2"/>
        <v>962715</v>
      </c>
      <c r="S12" s="88">
        <v>1022924</v>
      </c>
      <c r="T12" s="88">
        <v>1051833</v>
      </c>
      <c r="U12" s="88">
        <v>1127869</v>
      </c>
      <c r="V12" s="469">
        <f t="shared" si="3"/>
        <v>1212120</v>
      </c>
      <c r="W12" s="88">
        <v>1259093</v>
      </c>
      <c r="X12" s="88">
        <v>1305253</v>
      </c>
      <c r="Y12" s="88">
        <v>1368561</v>
      </c>
      <c r="Z12" s="12"/>
      <c r="AA12" s="12"/>
      <c r="AB12" s="12"/>
      <c r="AC12" s="12"/>
      <c r="AD12" s="12"/>
      <c r="AE12" s="12"/>
      <c r="AF12" s="12"/>
      <c r="AG12" s="469">
        <f t="shared" si="6"/>
        <v>4165341</v>
      </c>
      <c r="AH12" s="469">
        <f t="shared" si="7"/>
        <v>4414746</v>
      </c>
      <c r="AI12" s="469">
        <f t="shared" si="8"/>
        <v>4650915</v>
      </c>
      <c r="AJ12" s="469">
        <f t="shared" si="9"/>
        <v>4904335</v>
      </c>
      <c r="AK12" s="469">
        <f t="shared" si="10"/>
        <v>5145027</v>
      </c>
      <c r="AM12" s="13">
        <f t="shared" si="11"/>
        <v>0.23519947106371353</v>
      </c>
    </row>
    <row r="13" spans="1:39" ht="12.75" customHeight="1">
      <c r="B13" s="10" t="s">
        <v>646</v>
      </c>
      <c r="C13" s="88">
        <v>365589</v>
      </c>
      <c r="D13" s="88">
        <v>297217</v>
      </c>
      <c r="E13" s="88">
        <v>239381</v>
      </c>
      <c r="F13" s="88">
        <v>182348</v>
      </c>
      <c r="G13" s="88">
        <v>145698</v>
      </c>
      <c r="H13" s="88">
        <v>82839</v>
      </c>
      <c r="I13" s="88">
        <v>0</v>
      </c>
      <c r="J13" s="88"/>
      <c r="K13" s="88">
        <v>39810</v>
      </c>
      <c r="L13" s="88">
        <v>37090</v>
      </c>
      <c r="M13" s="88">
        <v>35228</v>
      </c>
      <c r="N13" s="469">
        <f t="shared" si="1"/>
        <v>33570</v>
      </c>
      <c r="O13" s="88">
        <v>31502</v>
      </c>
      <c r="P13" s="88">
        <v>28975</v>
      </c>
      <c r="Q13" s="88">
        <v>22362</v>
      </c>
      <c r="R13" s="469">
        <f t="shared" si="2"/>
        <v>0</v>
      </c>
      <c r="S13" s="88">
        <v>0</v>
      </c>
      <c r="T13" s="88">
        <v>0</v>
      </c>
      <c r="U13" s="88">
        <v>0</v>
      </c>
      <c r="V13" s="469">
        <f t="shared" si="3"/>
        <v>0</v>
      </c>
      <c r="W13" s="88">
        <v>0</v>
      </c>
      <c r="X13" s="88">
        <v>0</v>
      </c>
      <c r="Y13" s="88">
        <v>0</v>
      </c>
      <c r="Z13" s="12"/>
      <c r="AA13" s="12"/>
      <c r="AB13" s="12"/>
      <c r="AC13" s="12"/>
      <c r="AD13" s="12"/>
      <c r="AE13" s="12"/>
      <c r="AF13" s="12"/>
      <c r="AG13" s="469">
        <f t="shared" si="6"/>
        <v>0</v>
      </c>
      <c r="AH13" s="469">
        <f t="shared" si="7"/>
        <v>0</v>
      </c>
      <c r="AI13" s="469">
        <f t="shared" si="8"/>
        <v>0</v>
      </c>
      <c r="AJ13" s="469">
        <f t="shared" si="9"/>
        <v>0</v>
      </c>
      <c r="AK13" s="469">
        <f t="shared" si="10"/>
        <v>0</v>
      </c>
      <c r="AM13" s="13" t="e">
        <f t="shared" si="11"/>
        <v>#DIV/0!</v>
      </c>
    </row>
    <row r="14" spans="1:39" ht="12.75" customHeight="1">
      <c r="B14" s="14" t="s">
        <v>92</v>
      </c>
      <c r="C14" s="36">
        <f>SUM(C9:C13)</f>
        <v>15794341</v>
      </c>
      <c r="D14" s="36">
        <f>SUM(D9:D13)</f>
        <v>20156447</v>
      </c>
      <c r="E14" s="36">
        <f>SUM(E9:E13)</f>
        <v>24996056</v>
      </c>
      <c r="F14" s="36">
        <f>SUM(F9:F13)</f>
        <v>29697844</v>
      </c>
      <c r="G14" s="36">
        <f>SUM(G9:G13)</f>
        <v>31615550</v>
      </c>
      <c r="H14" s="36">
        <f>SUM(H9:H13)</f>
        <v>33723297</v>
      </c>
      <c r="I14" s="36">
        <f>SUM(I9:I13)</f>
        <v>39000966</v>
      </c>
      <c r="J14" s="12"/>
      <c r="K14" s="36">
        <f>SUM(K9:K13)</f>
        <v>7867767</v>
      </c>
      <c r="L14" s="36">
        <f>SUM(L9:L13)</f>
        <v>7970141</v>
      </c>
      <c r="M14" s="36">
        <f>SUM(M9:M13)</f>
        <v>7925589</v>
      </c>
      <c r="N14" s="36">
        <f>SUM(N9:N13)</f>
        <v>7852053</v>
      </c>
      <c r="O14" s="36">
        <f>SUM(O9:O13)</f>
        <v>8161503</v>
      </c>
      <c r="P14" s="36">
        <f>SUM(P9:P13)</f>
        <v>8187301</v>
      </c>
      <c r="Q14" s="36">
        <f>SUM(Q9:Q13)</f>
        <v>8541668</v>
      </c>
      <c r="R14" s="36">
        <f>SUM(R9:R13)</f>
        <v>8832825</v>
      </c>
      <c r="S14" s="36">
        <f>SUM(S9:S13)</f>
        <v>9370440</v>
      </c>
      <c r="T14" s="36">
        <f>SUM(T9:T13)</f>
        <v>9559310</v>
      </c>
      <c r="U14" s="36">
        <f>SUM(U9:U13)</f>
        <v>9824703</v>
      </c>
      <c r="V14" s="36">
        <f>SUM(V9:V13)</f>
        <v>10246513</v>
      </c>
      <c r="W14" s="36">
        <f>SUM(W9:W13)</f>
        <v>10542801</v>
      </c>
      <c r="X14" s="36">
        <f>SUM(X9:X13)</f>
        <v>11079166</v>
      </c>
      <c r="Y14" s="36">
        <f>SUM(Y9:Y13)</f>
        <v>11510307</v>
      </c>
      <c r="Z14" s="5"/>
      <c r="AA14" s="36">
        <f>SUM(AA9:AA13)</f>
        <v>14342864</v>
      </c>
      <c r="AB14" s="36">
        <f>SUM(AB9:AB13)</f>
        <v>14404449</v>
      </c>
      <c r="AC14" s="36">
        <f>SUM(AC9:AC13)</f>
        <v>14538017</v>
      </c>
      <c r="AD14" s="36">
        <f>SUM(AD9:AD13)</f>
        <v>14873783</v>
      </c>
      <c r="AE14" s="36">
        <f>SUM(AE9:AE13)</f>
        <v>15489453</v>
      </c>
      <c r="AF14" s="36">
        <f>SUM(AF9:AF13)</f>
        <v>16185565</v>
      </c>
      <c r="AG14" s="36">
        <f>SUM(AG9:AG13)</f>
        <v>37587278</v>
      </c>
      <c r="AH14" s="36">
        <f>SUM(AH9:AH13)</f>
        <v>39000966</v>
      </c>
      <c r="AI14" s="36">
        <f>SUM(AI9:AI13)</f>
        <v>40173327</v>
      </c>
      <c r="AJ14" s="36">
        <f>SUM(AJ9:AJ13)</f>
        <v>41693183</v>
      </c>
      <c r="AK14" s="36">
        <f>SUM(AK9:AK13)</f>
        <v>43378787</v>
      </c>
      <c r="AM14" s="16">
        <f>SUM(AK14/AG14)-1</f>
        <v>0.15408162836372452</v>
      </c>
    </row>
    <row r="15" spans="1:39">
      <c r="B15" s="483" t="s">
        <v>493</v>
      </c>
      <c r="C15" s="86">
        <f>+C14-'Historical Financials'!C11</f>
        <v>0</v>
      </c>
      <c r="D15" s="86">
        <f>+D14-'Historical Financials'!D11</f>
        <v>0</v>
      </c>
      <c r="E15" s="86">
        <f>+E14-'Historical Financials'!E11</f>
        <v>0</v>
      </c>
      <c r="F15" s="86">
        <f>+F14-'Historical Financials'!F11</f>
        <v>0</v>
      </c>
      <c r="G15" s="86">
        <f>+G14-'Historical Financials'!G11</f>
        <v>0</v>
      </c>
      <c r="H15" s="86">
        <f>+H14-'Historical Financials'!H11</f>
        <v>0</v>
      </c>
      <c r="I15" s="86">
        <f>+I14-'Historical Financials'!I11</f>
        <v>0</v>
      </c>
      <c r="J15" s="12"/>
      <c r="K15" s="86">
        <f>K14-'Historical Financials'!O11</f>
        <v>0</v>
      </c>
      <c r="L15" s="86">
        <f>L14-'Historical Financials'!P11</f>
        <v>0</v>
      </c>
      <c r="M15" s="86">
        <f>M14-'Historical Financials'!Q11</f>
        <v>0</v>
      </c>
      <c r="N15" s="86">
        <f>N14-'Historical Financials'!R11</f>
        <v>0</v>
      </c>
      <c r="O15" s="86">
        <f>O14-'Historical Financials'!S11</f>
        <v>0</v>
      </c>
      <c r="P15" s="86">
        <f>P14-'Historical Financials'!T11</f>
        <v>0</v>
      </c>
      <c r="Q15" s="86">
        <f>Q14-'Historical Financials'!U11</f>
        <v>0</v>
      </c>
      <c r="R15" s="86">
        <f>R14-'Historical Financials'!V11</f>
        <v>0</v>
      </c>
      <c r="S15" s="86">
        <f>S14-'Historical Financials'!W11</f>
        <v>0</v>
      </c>
      <c r="T15" s="86">
        <f>T14-'Historical Financials'!X11</f>
        <v>0</v>
      </c>
      <c r="U15" s="86">
        <f>U14-'Historical Financials'!Y11</f>
        <v>0</v>
      </c>
      <c r="V15" s="86">
        <f>V14-'Historical Financials'!Z11</f>
        <v>0</v>
      </c>
      <c r="W15" s="86">
        <f>W14-'Historical Financials'!AA11</f>
        <v>0</v>
      </c>
      <c r="X15" s="86">
        <f>X14-'Historical Financials'!AB11</f>
        <v>0</v>
      </c>
      <c r="Y15" s="86">
        <f>Y14-'Historical Financials'!AC11</f>
        <v>0</v>
      </c>
      <c r="Z15" s="86"/>
      <c r="AA15" s="86">
        <f>+AA14-'Historical Financials'!AI11</f>
        <v>-17566422</v>
      </c>
      <c r="AB15" s="86">
        <f>+AB14-'Historical Financials'!AJ11</f>
        <v>-17721997</v>
      </c>
      <c r="AC15" s="86">
        <f>+AC14-'Historical Financials'!AK11</f>
        <v>-18204508</v>
      </c>
      <c r="AD15" s="86">
        <f>+AD14-'Historical Financials'!AL11</f>
        <v>-18849514</v>
      </c>
      <c r="AE15" s="86">
        <f>+AE14-'Historical Financials'!AM11</f>
        <v>-19442781</v>
      </c>
      <c r="AF15" s="86">
        <f>+AF14-'Historical Financials'!AN11</f>
        <v>-20118678</v>
      </c>
      <c r="AG15" s="86">
        <f>+AG14-'Historical Financials'!AO11</f>
        <v>0</v>
      </c>
      <c r="AH15" s="86">
        <f>+AH14-'Historical Financials'!AP11</f>
        <v>0</v>
      </c>
      <c r="AI15" s="86">
        <f>+AI14-'Historical Financials'!AQ11</f>
        <v>0</v>
      </c>
      <c r="AJ15" s="86">
        <f>+AJ14-'Historical Financials'!AR11</f>
        <v>0</v>
      </c>
      <c r="AK15" s="86">
        <f>AK14-'Historical Financials'!AS11</f>
        <v>0</v>
      </c>
      <c r="AM15" s="9"/>
    </row>
    <row r="16" spans="1:39" ht="5.0999999999999996" customHeight="1">
      <c r="B16" s="20"/>
      <c r="C16" s="20"/>
      <c r="D16" s="20"/>
      <c r="E16" s="21"/>
      <c r="F16" s="21"/>
      <c r="G16" s="21"/>
      <c r="H16" s="21"/>
      <c r="I16" s="21"/>
      <c r="J16" s="22"/>
      <c r="K16" s="23"/>
      <c r="L16" s="23"/>
      <c r="M16" s="23"/>
      <c r="N16" s="24"/>
      <c r="O16" s="23"/>
      <c r="P16" s="23"/>
      <c r="Q16" s="23"/>
      <c r="R16" s="24"/>
      <c r="S16" s="23"/>
      <c r="T16" s="23"/>
      <c r="U16" s="23"/>
      <c r="V16" s="23"/>
      <c r="W16" s="23"/>
      <c r="X16" s="23"/>
      <c r="Y16" s="23"/>
      <c r="Z16" s="22"/>
      <c r="AA16" s="22"/>
      <c r="AB16" s="22"/>
      <c r="AC16" s="22"/>
      <c r="AD16" s="22"/>
      <c r="AE16" s="22"/>
      <c r="AF16" s="22"/>
      <c r="AG16" s="22"/>
      <c r="AH16" s="22"/>
      <c r="AI16" s="22"/>
      <c r="AJ16" s="22"/>
      <c r="AK16" s="22"/>
      <c r="AM16" s="9"/>
    </row>
  </sheetData>
  <mergeCells count="1">
    <mergeCell ref="AM2:AM4"/>
  </mergeCells>
  <dataValidations count="1">
    <dataValidation type="list" allowBlank="1" showInputMessage="1" showErrorMessage="1" sqref="B4" xr:uid="{62176FD9-E514-4BEC-85E1-6C6963572068}">
      <formula1>"$ bns except per share, $ mm except per share,$ in thousands except per share"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M98"/>
  <sheetViews>
    <sheetView showGridLines="0" zoomScale="115" zoomScaleNormal="115" workbookViewId="0">
      <selection activeCell="A63" sqref="A63"/>
    </sheetView>
  </sheetViews>
  <sheetFormatPr defaultRowHeight="12" outlineLevelCol="1"/>
  <cols>
    <col min="1" max="1" width="1.5" style="8" customWidth="1"/>
    <col min="2" max="2" width="41.625" style="8" customWidth="1"/>
    <col min="3" max="4" width="8.625" style="8" hidden="1" customWidth="1" outlineLevel="1"/>
    <col min="5" max="5" width="9" style="8" bestFit="1" customWidth="1" collapsed="1"/>
    <col min="6" max="6" width="9.25" style="8" bestFit="1" customWidth="1"/>
    <col min="7" max="7" width="9" style="8"/>
    <col min="8" max="8" width="1.5" style="8" customWidth="1"/>
    <col min="9" max="14" width="8" style="8" hidden="1" customWidth="1" outlineLevel="1"/>
    <col min="15" max="18" width="8.875" style="8" hidden="1" customWidth="1" outlineLevel="1"/>
    <col min="19" max="19" width="8.875" style="8" bestFit="1" customWidth="1" collapsed="1"/>
    <col min="20" max="23" width="8.875" style="8" bestFit="1" customWidth="1"/>
    <col min="24" max="24" width="1.625" style="8" customWidth="1"/>
    <col min="25" max="25" width="9" style="8" hidden="1" customWidth="1" outlineLevel="1"/>
    <col min="26" max="26" width="8.625" style="8" hidden="1" customWidth="1" outlineLevel="1"/>
    <col min="27" max="27" width="8.5" style="8" hidden="1" customWidth="1" outlineLevel="1"/>
    <col min="28" max="29" width="8.25" style="8" hidden="1" customWidth="1" outlineLevel="1"/>
    <col min="30" max="30" width="9.25" style="8" hidden="1" customWidth="1" outlineLevel="1"/>
    <col min="31" max="31" width="9.75" style="8" hidden="1" customWidth="1" outlineLevel="1"/>
    <col min="32" max="32" width="9" style="8" hidden="1" customWidth="1" outlineLevel="1"/>
    <col min="33" max="33" width="9" style="8" customWidth="1" collapsed="1"/>
    <col min="34" max="35" width="9" style="8" hidden="1" customWidth="1" outlineLevel="1"/>
    <col min="36" max="36" width="8.5" style="8" hidden="1" customWidth="1" outlineLevel="1"/>
    <col min="37" max="37" width="8.5" style="8" bestFit="1" customWidth="1" collapsed="1"/>
    <col min="38" max="38" width="1.5" style="8" customWidth="1"/>
    <col min="39" max="39" width="8.375" style="474" bestFit="1" customWidth="1"/>
    <col min="40" max="16384" width="9" style="8"/>
  </cols>
  <sheetData>
    <row r="2" spans="2:39" s="5" customFormat="1" ht="12.75" customHeight="1">
      <c r="B2" s="1" t="str">
        <f>'Historical Financials'!B2</f>
        <v>Netflix, Inc. (NASDAQ: NFLX)</v>
      </c>
      <c r="C2" s="2" t="s">
        <v>0</v>
      </c>
      <c r="D2" s="2"/>
      <c r="E2" s="2" t="s">
        <v>0</v>
      </c>
      <c r="F2" s="2"/>
      <c r="G2" s="2"/>
      <c r="H2" s="3"/>
      <c r="I2" s="2" t="s">
        <v>1</v>
      </c>
      <c r="J2" s="2"/>
      <c r="K2" s="2"/>
      <c r="L2" s="2"/>
      <c r="M2" s="2"/>
      <c r="N2" s="2"/>
      <c r="O2" s="2"/>
      <c r="P2" s="2"/>
      <c r="Q2" s="2"/>
      <c r="R2" s="2"/>
      <c r="S2" s="2" t="s">
        <v>1</v>
      </c>
      <c r="T2" s="2"/>
      <c r="U2" s="2"/>
      <c r="V2" s="2"/>
      <c r="W2" s="2"/>
      <c r="X2" s="3"/>
      <c r="Y2" s="2" t="s">
        <v>10</v>
      </c>
      <c r="Z2" s="2"/>
      <c r="AA2" s="2"/>
      <c r="AB2" s="2"/>
      <c r="AC2" s="2"/>
      <c r="AD2" s="2"/>
      <c r="AE2" s="2"/>
      <c r="AF2" s="2" t="s">
        <v>10</v>
      </c>
      <c r="AG2" s="2" t="s">
        <v>10</v>
      </c>
      <c r="AH2" s="2"/>
      <c r="AI2" s="2"/>
      <c r="AJ2" s="2"/>
      <c r="AK2" s="2"/>
      <c r="AL2" s="3"/>
      <c r="AM2" s="582" t="s">
        <v>37</v>
      </c>
    </row>
    <row r="3" spans="2:39" s="5" customFormat="1" ht="12.75" customHeight="1">
      <c r="B3" s="6" t="s">
        <v>38</v>
      </c>
      <c r="C3" s="7">
        <f>'Historical Financials'!E7</f>
        <v>2020</v>
      </c>
      <c r="D3" s="7">
        <f>'Historical Financials'!F7</f>
        <v>2021</v>
      </c>
      <c r="E3" s="7">
        <f>'Historical Financials'!G7</f>
        <v>2022</v>
      </c>
      <c r="F3" s="7">
        <f>'Historical Financials'!H7</f>
        <v>2023</v>
      </c>
      <c r="G3" s="7">
        <f>'Historical Financials'!I7</f>
        <v>2024</v>
      </c>
      <c r="H3" s="3"/>
      <c r="I3" s="7" t="str">
        <f>'Historical Financials'!O7</f>
        <v>1Q22</v>
      </c>
      <c r="J3" s="7" t="str">
        <f>'Historical Financials'!P7</f>
        <v>2Q22</v>
      </c>
      <c r="K3" s="7" t="str">
        <f>'Historical Financials'!Q7</f>
        <v>3Q22</v>
      </c>
      <c r="L3" s="7" t="str">
        <f>'Historical Financials'!R7</f>
        <v>4Q22</v>
      </c>
      <c r="M3" s="7" t="str">
        <f>'Historical Financials'!S7</f>
        <v>1Q23</v>
      </c>
      <c r="N3" s="7" t="str">
        <f>'Historical Financials'!T7</f>
        <v>2Q23</v>
      </c>
      <c r="O3" s="7" t="str">
        <f>'Historical Financials'!U7</f>
        <v>3Q23</v>
      </c>
      <c r="P3" s="7" t="str">
        <f>'Historical Financials'!V7</f>
        <v>4Q23</v>
      </c>
      <c r="Q3" s="7" t="str">
        <f>'Historical Financials'!W7</f>
        <v>1Q24</v>
      </c>
      <c r="R3" s="7" t="str">
        <f>'Historical Financials'!X7</f>
        <v>2Q24</v>
      </c>
      <c r="S3" s="7" t="str">
        <f>'Historical Financials'!Y7</f>
        <v>3Q24</v>
      </c>
      <c r="T3" s="7" t="str">
        <f>'Historical Financials'!Z7</f>
        <v>4Q24</v>
      </c>
      <c r="U3" s="7" t="str">
        <f>'Historical Financials'!AA7</f>
        <v>1Q25</v>
      </c>
      <c r="V3" s="7" t="str">
        <f>'Historical Financials'!AB7</f>
        <v>2Q25</v>
      </c>
      <c r="W3" s="7" t="str">
        <f>'Historical Financials'!AC7</f>
        <v>3Q25</v>
      </c>
      <c r="X3" s="3"/>
      <c r="Y3" s="4" t="str">
        <f t="shared" ref="Y3:AK4" si="0">K3</f>
        <v>3Q22</v>
      </c>
      <c r="Z3" s="4" t="str">
        <f t="shared" si="0"/>
        <v>4Q22</v>
      </c>
      <c r="AA3" s="4" t="str">
        <f t="shared" si="0"/>
        <v>1Q23</v>
      </c>
      <c r="AB3" s="4" t="str">
        <f t="shared" si="0"/>
        <v>2Q23</v>
      </c>
      <c r="AC3" s="4" t="str">
        <f t="shared" si="0"/>
        <v>3Q23</v>
      </c>
      <c r="AD3" s="4" t="str">
        <f t="shared" si="0"/>
        <v>4Q23</v>
      </c>
      <c r="AE3" s="4" t="str">
        <f t="shared" si="0"/>
        <v>1Q24</v>
      </c>
      <c r="AF3" s="4" t="str">
        <f t="shared" si="0"/>
        <v>2Q24</v>
      </c>
      <c r="AG3" s="4" t="str">
        <f t="shared" si="0"/>
        <v>3Q24</v>
      </c>
      <c r="AH3" s="4" t="str">
        <f t="shared" si="0"/>
        <v>4Q24</v>
      </c>
      <c r="AI3" s="4" t="str">
        <f t="shared" si="0"/>
        <v>1Q25</v>
      </c>
      <c r="AJ3" s="4" t="str">
        <f t="shared" si="0"/>
        <v>2Q25</v>
      </c>
      <c r="AK3" s="4" t="str">
        <f t="shared" si="0"/>
        <v>3Q25</v>
      </c>
      <c r="AL3" s="3"/>
      <c r="AM3" s="582"/>
    </row>
    <row r="4" spans="2:39" s="5" customFormat="1" ht="12.75" customHeight="1">
      <c r="B4" s="6" t="s">
        <v>402</v>
      </c>
      <c r="C4" s="3">
        <f>'Historical Financials'!E8</f>
        <v>44196</v>
      </c>
      <c r="D4" s="3">
        <f>'Historical Financials'!F8</f>
        <v>44561</v>
      </c>
      <c r="E4" s="3">
        <f>'Historical Financials'!G8</f>
        <v>44926</v>
      </c>
      <c r="F4" s="3">
        <f>'Historical Financials'!H8</f>
        <v>45291</v>
      </c>
      <c r="G4" s="3">
        <f>'Historical Financials'!I8</f>
        <v>45657</v>
      </c>
      <c r="H4" s="3"/>
      <c r="I4" s="3">
        <f>'Historical Financials'!O8</f>
        <v>44651</v>
      </c>
      <c r="J4" s="3">
        <f>'Historical Financials'!P8</f>
        <v>44742</v>
      </c>
      <c r="K4" s="3">
        <f>'Historical Financials'!Q8</f>
        <v>44834</v>
      </c>
      <c r="L4" s="3">
        <f>'Historical Financials'!R8</f>
        <v>44926</v>
      </c>
      <c r="M4" s="3">
        <f>'Historical Financials'!S8</f>
        <v>45016</v>
      </c>
      <c r="N4" s="3">
        <f>'Historical Financials'!T8</f>
        <v>45107</v>
      </c>
      <c r="O4" s="3">
        <f>'Historical Financials'!U8</f>
        <v>45199</v>
      </c>
      <c r="P4" s="3">
        <f>'Historical Financials'!V8</f>
        <v>45291</v>
      </c>
      <c r="Q4" s="3">
        <f>'Historical Financials'!W8</f>
        <v>45382</v>
      </c>
      <c r="R4" s="3">
        <f>'Historical Financials'!X8</f>
        <v>45473</v>
      </c>
      <c r="S4" s="3">
        <f>'Historical Financials'!Y8</f>
        <v>45565</v>
      </c>
      <c r="T4" s="3">
        <f>'Historical Financials'!Z8</f>
        <v>45657</v>
      </c>
      <c r="U4" s="3">
        <f>'Historical Financials'!AA8</f>
        <v>45747</v>
      </c>
      <c r="V4" s="3">
        <f>'Historical Financials'!AB8</f>
        <v>45838</v>
      </c>
      <c r="W4" s="3">
        <f>'Historical Financials'!AC8</f>
        <v>45930</v>
      </c>
      <c r="X4" s="3"/>
      <c r="Y4" s="3">
        <f t="shared" si="0"/>
        <v>44834</v>
      </c>
      <c r="Z4" s="3">
        <f t="shared" si="0"/>
        <v>44926</v>
      </c>
      <c r="AA4" s="3">
        <f t="shared" si="0"/>
        <v>45016</v>
      </c>
      <c r="AB4" s="3">
        <f t="shared" si="0"/>
        <v>45107</v>
      </c>
      <c r="AC4" s="3">
        <f t="shared" si="0"/>
        <v>45199</v>
      </c>
      <c r="AD4" s="3">
        <f t="shared" si="0"/>
        <v>45291</v>
      </c>
      <c r="AE4" s="3">
        <f t="shared" si="0"/>
        <v>45382</v>
      </c>
      <c r="AF4" s="3">
        <f t="shared" si="0"/>
        <v>45473</v>
      </c>
      <c r="AG4" s="3">
        <f t="shared" si="0"/>
        <v>45565</v>
      </c>
      <c r="AH4" s="3">
        <f t="shared" si="0"/>
        <v>45657</v>
      </c>
      <c r="AI4" s="3">
        <f t="shared" si="0"/>
        <v>45747</v>
      </c>
      <c r="AJ4" s="3">
        <f t="shared" si="0"/>
        <v>45838</v>
      </c>
      <c r="AK4" s="3">
        <f t="shared" si="0"/>
        <v>45930</v>
      </c>
      <c r="AL4" s="3"/>
      <c r="AM4" s="582"/>
    </row>
    <row r="5" spans="2:39" ht="5.0999999999999996" customHeight="1">
      <c r="AM5" s="470"/>
    </row>
    <row r="6" spans="2:39" ht="12.75" customHeight="1">
      <c r="B6" s="10" t="str">
        <f>'Revenue Drivers'!B9</f>
        <v>UCAN Revenue</v>
      </c>
      <c r="C6" s="176">
        <f>('Revenue Drivers'!E9)/1000</f>
        <v>11455.396000000001</v>
      </c>
      <c r="D6" s="176">
        <f>('Revenue Drivers'!F9)/1000</f>
        <v>12972.1</v>
      </c>
      <c r="E6" s="176">
        <f>('Revenue Drivers'!G9)/1000</f>
        <v>14084.643</v>
      </c>
      <c r="F6" s="176">
        <f>('Revenue Drivers'!H9)/1000</f>
        <v>14873.782999999999</v>
      </c>
      <c r="G6" s="176">
        <f>('Revenue Drivers'!I9)/1000</f>
        <v>17359.368999999999</v>
      </c>
      <c r="H6" s="11"/>
      <c r="I6" s="176">
        <f>('Revenue Drivers'!K9)/1000</f>
        <v>3350.424</v>
      </c>
      <c r="J6" s="176">
        <f>('Revenue Drivers'!L9)/1000</f>
        <v>3537.8629999999998</v>
      </c>
      <c r="K6" s="176">
        <f>('Revenue Drivers'!M9)/1000</f>
        <v>3601.5650000000001</v>
      </c>
      <c r="L6" s="176">
        <f>('Revenue Drivers'!N9)/1000</f>
        <v>3594.7910000000002</v>
      </c>
      <c r="M6" s="176">
        <f>('Revenue Drivers'!O9)/1000</f>
        <v>3608.645</v>
      </c>
      <c r="N6" s="176">
        <f>('Revenue Drivers'!P9)/1000</f>
        <v>3599.4479999999999</v>
      </c>
      <c r="O6" s="176">
        <f>('Revenue Drivers'!Q9)/1000</f>
        <v>3735.1329999999998</v>
      </c>
      <c r="P6" s="176">
        <f>('Revenue Drivers'!R9)/1000</f>
        <v>3930.5569999999998</v>
      </c>
      <c r="Q6" s="176">
        <f>('Revenue Drivers'!S9)/1000</f>
        <v>4224.3149999999996</v>
      </c>
      <c r="R6" s="176">
        <f>('Revenue Drivers'!T9)/1000</f>
        <v>4295.5600000000004</v>
      </c>
      <c r="S6" s="176">
        <f>('Revenue Drivers'!U9)/1000</f>
        <v>4322.4759999999997</v>
      </c>
      <c r="T6" s="176">
        <f>('Revenue Drivers'!V9)/1000</f>
        <v>4517.018</v>
      </c>
      <c r="U6" s="176">
        <f>('Revenue Drivers'!W9)/1000</f>
        <v>4617.098</v>
      </c>
      <c r="V6" s="176">
        <f>('Revenue Drivers'!X9)/1000</f>
        <v>4929.0029999999997</v>
      </c>
      <c r="W6" s="176">
        <f>('Revenue Drivers'!Y9)/1000</f>
        <v>5071.7809999999999</v>
      </c>
      <c r="X6" s="5"/>
      <c r="Y6" s="11">
        <f t="shared" ref="Y6:AK6" si="1">SUM(H6:K6)</f>
        <v>10489.852000000001</v>
      </c>
      <c r="Z6" s="11">
        <f t="shared" si="1"/>
        <v>14084.643</v>
      </c>
      <c r="AA6" s="11">
        <f t="shared" si="1"/>
        <v>14342.864000000001</v>
      </c>
      <c r="AB6" s="11">
        <f t="shared" si="1"/>
        <v>14404.449000000001</v>
      </c>
      <c r="AC6" s="11">
        <f t="shared" si="1"/>
        <v>14538.017</v>
      </c>
      <c r="AD6" s="11">
        <f t="shared" si="1"/>
        <v>14873.782999999999</v>
      </c>
      <c r="AE6" s="11">
        <f t="shared" si="1"/>
        <v>15489.452999999998</v>
      </c>
      <c r="AF6" s="11">
        <f t="shared" si="1"/>
        <v>16185.564999999999</v>
      </c>
      <c r="AG6" s="516">
        <f t="shared" si="1"/>
        <v>16772.907999999999</v>
      </c>
      <c r="AH6" s="516">
        <f t="shared" si="1"/>
        <v>17359.368999999999</v>
      </c>
      <c r="AI6" s="516">
        <f t="shared" si="1"/>
        <v>17752.152000000002</v>
      </c>
      <c r="AJ6" s="516">
        <f t="shared" si="1"/>
        <v>18385.594999999998</v>
      </c>
      <c r="AK6" s="516">
        <f t="shared" si="1"/>
        <v>19134.899999999998</v>
      </c>
      <c r="AM6" s="471">
        <f>SUM(AK6/AG6)-1</f>
        <v>0.14082185390869606</v>
      </c>
    </row>
    <row r="7" spans="2:39" ht="12.75" customHeight="1">
      <c r="B7" s="10" t="str">
        <f>'Revenue Drivers'!B10</f>
        <v>EMEA Revenue</v>
      </c>
      <c r="C7" s="176">
        <f>('Revenue Drivers'!E10)/1000</f>
        <v>7772.2520000000004</v>
      </c>
      <c r="D7" s="176">
        <f>('Revenue Drivers'!F10)/1000</f>
        <v>9699.8189999999995</v>
      </c>
      <c r="E7" s="176">
        <f>('Revenue Drivers'!G10)/1000</f>
        <v>9745.0149999999994</v>
      </c>
      <c r="F7" s="176">
        <f>('Revenue Drivers'!H10)/1000</f>
        <v>10556.486999999999</v>
      </c>
      <c r="G7" s="176">
        <f>('Revenue Drivers'!I10)/1000</f>
        <v>12387.035</v>
      </c>
      <c r="H7" s="11"/>
      <c r="I7" s="176">
        <f>('Revenue Drivers'!K10)/1000</f>
        <v>2561.8310000000001</v>
      </c>
      <c r="J7" s="176">
        <f>('Revenue Drivers'!L10)/1000</f>
        <v>2457.2350000000001</v>
      </c>
      <c r="K7" s="176">
        <f>('Revenue Drivers'!M10)/1000</f>
        <v>2375.8139999999999</v>
      </c>
      <c r="L7" s="176">
        <f>('Revenue Drivers'!N10)/1000</f>
        <v>2350.1350000000002</v>
      </c>
      <c r="M7" s="176">
        <f>('Revenue Drivers'!O10)/1000</f>
        <v>2517.6410000000001</v>
      </c>
      <c r="N7" s="176">
        <f>('Revenue Drivers'!P10)/1000</f>
        <v>2562.17</v>
      </c>
      <c r="O7" s="176">
        <f>('Revenue Drivers'!Q10)/1000</f>
        <v>2693.1460000000002</v>
      </c>
      <c r="P7" s="176">
        <f>('Revenue Drivers'!R10)/1000</f>
        <v>2783.53</v>
      </c>
      <c r="Q7" s="176">
        <f>('Revenue Drivers'!S10)/1000</f>
        <v>2958.1930000000002</v>
      </c>
      <c r="R7" s="176">
        <f>('Revenue Drivers'!T10)/1000</f>
        <v>3007.7719999999999</v>
      </c>
      <c r="S7" s="176">
        <f>('Revenue Drivers'!U10)/1000</f>
        <v>3133.4659999999999</v>
      </c>
      <c r="T7" s="176">
        <f>('Revenue Drivers'!V10)/1000</f>
        <v>3287.6039999999998</v>
      </c>
      <c r="U7" s="176">
        <f>('Revenue Drivers'!W10)/1000</f>
        <v>3404.6759999999999</v>
      </c>
      <c r="V7" s="176">
        <f>('Revenue Drivers'!X10)/1000</f>
        <v>3538.1750000000002</v>
      </c>
      <c r="W7" s="176">
        <f>('Revenue Drivers'!Y10)/1000</f>
        <v>3699.0520000000001</v>
      </c>
      <c r="X7" s="5"/>
      <c r="Y7" s="11"/>
      <c r="Z7" s="11"/>
      <c r="AA7" s="11"/>
      <c r="AB7" s="11"/>
      <c r="AC7" s="11"/>
      <c r="AD7" s="11"/>
      <c r="AE7" s="11"/>
      <c r="AF7" s="11"/>
      <c r="AG7" s="516">
        <f t="shared" ref="AG7:AK9" si="2">SUM(P7:S7)</f>
        <v>11882.960999999999</v>
      </c>
      <c r="AH7" s="516">
        <f t="shared" si="2"/>
        <v>12387.035</v>
      </c>
      <c r="AI7" s="516">
        <f t="shared" si="2"/>
        <v>12833.517999999998</v>
      </c>
      <c r="AJ7" s="516">
        <f t="shared" si="2"/>
        <v>13363.920999999998</v>
      </c>
      <c r="AK7" s="516">
        <f t="shared" si="2"/>
        <v>13929.507</v>
      </c>
      <c r="AM7" s="471">
        <f>SUM(AK7/AG7)-1</f>
        <v>0.17222525597786609</v>
      </c>
    </row>
    <row r="8" spans="2:39" ht="12.75" customHeight="1">
      <c r="B8" s="10" t="str">
        <f>'Revenue Drivers'!B11</f>
        <v>LATAM Revenue</v>
      </c>
      <c r="C8" s="176">
        <f>('Revenue Drivers'!E11)/1000</f>
        <v>3156.7269999999999</v>
      </c>
      <c r="D8" s="176">
        <f>('Revenue Drivers'!F11)/1000</f>
        <v>3576.9760000000001</v>
      </c>
      <c r="E8" s="176">
        <f>('Revenue Drivers'!G11)/1000</f>
        <v>4069.973</v>
      </c>
      <c r="F8" s="176">
        <f>('Revenue Drivers'!H11)/1000</f>
        <v>4446.4610000000002</v>
      </c>
      <c r="G8" s="176">
        <f>('Revenue Drivers'!I11)/1000</f>
        <v>4839.8159999999998</v>
      </c>
      <c r="H8" s="11"/>
      <c r="I8" s="176">
        <f>('Revenue Drivers'!K11)/1000</f>
        <v>998.94799999999998</v>
      </c>
      <c r="J8" s="176">
        <f>('Revenue Drivers'!L11)/1000</f>
        <v>1030.2339999999999</v>
      </c>
      <c r="K8" s="176">
        <f>('Revenue Drivers'!M11)/1000</f>
        <v>1023.9450000000001</v>
      </c>
      <c r="L8" s="176">
        <f>('Revenue Drivers'!N11)/1000</f>
        <v>1016.846</v>
      </c>
      <c r="M8" s="176">
        <f>('Revenue Drivers'!O11)/1000</f>
        <v>1070.192</v>
      </c>
      <c r="N8" s="176">
        <f>('Revenue Drivers'!P11)/1000</f>
        <v>1077.4349999999999</v>
      </c>
      <c r="O8" s="176">
        <f>('Revenue Drivers'!Q11)/1000</f>
        <v>1142.8109999999999</v>
      </c>
      <c r="P8" s="176">
        <f>('Revenue Drivers'!R11)/1000</f>
        <v>1156.0229999999999</v>
      </c>
      <c r="Q8" s="176">
        <f>('Revenue Drivers'!S11)/1000</f>
        <v>1165.008</v>
      </c>
      <c r="R8" s="176">
        <f>('Revenue Drivers'!T11)/1000</f>
        <v>1204.145</v>
      </c>
      <c r="S8" s="176">
        <f>('Revenue Drivers'!U11)/1000</f>
        <v>1240.8920000000001</v>
      </c>
      <c r="T8" s="176">
        <f>('Revenue Drivers'!V11)/1000</f>
        <v>1229.771</v>
      </c>
      <c r="U8" s="176">
        <f>('Revenue Drivers'!W11)/1000</f>
        <v>1261.934</v>
      </c>
      <c r="V8" s="176">
        <f>('Revenue Drivers'!X11)/1000</f>
        <v>1306.7349999999999</v>
      </c>
      <c r="W8" s="176">
        <f>('Revenue Drivers'!Y11)/1000</f>
        <v>1370.913</v>
      </c>
      <c r="X8" s="5"/>
      <c r="Y8" s="11"/>
      <c r="Z8" s="11"/>
      <c r="AA8" s="11"/>
      <c r="AB8" s="11"/>
      <c r="AC8" s="11"/>
      <c r="AD8" s="11"/>
      <c r="AE8" s="11"/>
      <c r="AF8" s="11"/>
      <c r="AG8" s="516">
        <f t="shared" si="2"/>
        <v>4766.0680000000002</v>
      </c>
      <c r="AH8" s="516">
        <f t="shared" si="2"/>
        <v>4839.8159999999998</v>
      </c>
      <c r="AI8" s="516">
        <f t="shared" si="2"/>
        <v>4936.7420000000002</v>
      </c>
      <c r="AJ8" s="516">
        <f t="shared" si="2"/>
        <v>5039.3319999999994</v>
      </c>
      <c r="AK8" s="516">
        <f t="shared" si="2"/>
        <v>5169.3529999999992</v>
      </c>
      <c r="AM8" s="471">
        <f>SUM(AK8/AG8)-1</f>
        <v>8.4615872035396666E-2</v>
      </c>
    </row>
    <row r="9" spans="2:39" ht="12.75" customHeight="1">
      <c r="B9" s="10" t="str">
        <f>'Revenue Drivers'!B12</f>
        <v>APAC Revenue</v>
      </c>
      <c r="C9" s="176">
        <f>('Revenue Drivers'!E12)/1000</f>
        <v>2372.3000000000002</v>
      </c>
      <c r="D9" s="176">
        <f>('Revenue Drivers'!F12)/1000</f>
        <v>3266.6010000000001</v>
      </c>
      <c r="E9" s="176">
        <f>('Revenue Drivers'!G12)/1000</f>
        <v>3570.221</v>
      </c>
      <c r="F9" s="176">
        <f>('Revenue Drivers'!H12)/1000</f>
        <v>3763.7269999999999</v>
      </c>
      <c r="G9" s="176">
        <f>('Revenue Drivers'!I12)/1000</f>
        <v>4414.7460000000001</v>
      </c>
      <c r="H9" s="11"/>
      <c r="I9" s="176">
        <f>('Revenue Drivers'!K12)/1000</f>
        <v>916.75400000000002</v>
      </c>
      <c r="J9" s="176">
        <f>('Revenue Drivers'!L12)/1000</f>
        <v>907.71900000000005</v>
      </c>
      <c r="K9" s="176">
        <f>('Revenue Drivers'!M12)/1000</f>
        <v>889.03700000000003</v>
      </c>
      <c r="L9" s="176">
        <f>('Revenue Drivers'!N12)/1000</f>
        <v>856.71100000000001</v>
      </c>
      <c r="M9" s="176">
        <f>('Revenue Drivers'!O12)/1000</f>
        <v>933.52300000000002</v>
      </c>
      <c r="N9" s="176">
        <f>('Revenue Drivers'!P12)/1000</f>
        <v>919.27300000000002</v>
      </c>
      <c r="O9" s="176">
        <f>('Revenue Drivers'!Q12)/1000</f>
        <v>948.21600000000001</v>
      </c>
      <c r="P9" s="176">
        <f>('Revenue Drivers'!R12)/1000</f>
        <v>962.71500000000003</v>
      </c>
      <c r="Q9" s="176">
        <f>('Revenue Drivers'!S12)/1000</f>
        <v>1022.924</v>
      </c>
      <c r="R9" s="176">
        <f>('Revenue Drivers'!T12)/1000</f>
        <v>1051.8330000000001</v>
      </c>
      <c r="S9" s="176">
        <f>('Revenue Drivers'!U12)/1000</f>
        <v>1127.8689999999999</v>
      </c>
      <c r="T9" s="176">
        <f>('Revenue Drivers'!V12)/1000</f>
        <v>1212.1199999999999</v>
      </c>
      <c r="U9" s="176">
        <f>('Revenue Drivers'!W12)/1000</f>
        <v>1259.0930000000001</v>
      </c>
      <c r="V9" s="176">
        <f>('Revenue Drivers'!X12)/1000</f>
        <v>1305.2529999999999</v>
      </c>
      <c r="W9" s="176">
        <f>('Revenue Drivers'!Y12)/1000</f>
        <v>1368.5609999999999</v>
      </c>
      <c r="X9" s="5"/>
      <c r="Y9" s="11"/>
      <c r="Z9" s="11"/>
      <c r="AA9" s="11"/>
      <c r="AB9" s="11"/>
      <c r="AC9" s="11"/>
      <c r="AD9" s="11"/>
      <c r="AE9" s="11"/>
      <c r="AF9" s="11"/>
      <c r="AG9" s="516">
        <f t="shared" si="2"/>
        <v>4165.3410000000003</v>
      </c>
      <c r="AH9" s="516">
        <f t="shared" si="2"/>
        <v>4414.7460000000001</v>
      </c>
      <c r="AI9" s="516">
        <f t="shared" si="2"/>
        <v>4650.915</v>
      </c>
      <c r="AJ9" s="516">
        <f t="shared" si="2"/>
        <v>4904.3349999999991</v>
      </c>
      <c r="AK9" s="516">
        <f t="shared" si="2"/>
        <v>5145.0269999999991</v>
      </c>
      <c r="AM9" s="471">
        <f>SUM(AK9/AG9)-1</f>
        <v>0.23519947106371331</v>
      </c>
    </row>
    <row r="10" spans="2:39" ht="12.75" customHeight="1">
      <c r="B10" s="10" t="str">
        <f>'Revenue Drivers'!B13</f>
        <v>Domestic DVD Revenue</v>
      </c>
      <c r="C10" s="176">
        <f>('Revenue Drivers'!E13)/1000</f>
        <v>239.381</v>
      </c>
      <c r="D10" s="176">
        <f>('Revenue Drivers'!F13)/1000</f>
        <v>182.34800000000001</v>
      </c>
      <c r="E10" s="176">
        <f>('Revenue Drivers'!G13)/1000</f>
        <v>145.69800000000001</v>
      </c>
      <c r="F10" s="176">
        <f>('Revenue Drivers'!H13)/1000</f>
        <v>82.838999999999999</v>
      </c>
      <c r="G10" s="176">
        <f>('Revenue Drivers'!I13)/1000</f>
        <v>0</v>
      </c>
      <c r="H10" s="11"/>
      <c r="I10" s="176">
        <f>('Revenue Drivers'!K13)/1000</f>
        <v>39.81</v>
      </c>
      <c r="J10" s="176">
        <f>('Revenue Drivers'!L13)/1000</f>
        <v>37.090000000000003</v>
      </c>
      <c r="K10" s="176">
        <f>('Revenue Drivers'!M13)/1000</f>
        <v>35.228000000000002</v>
      </c>
      <c r="L10" s="176">
        <f>('Revenue Drivers'!N13)/1000</f>
        <v>33.57</v>
      </c>
      <c r="M10" s="176">
        <f>('Revenue Drivers'!O13)/1000</f>
        <v>31.501999999999999</v>
      </c>
      <c r="N10" s="176">
        <f>('Revenue Drivers'!P13)/1000</f>
        <v>28.975000000000001</v>
      </c>
      <c r="O10" s="176">
        <f>('Revenue Drivers'!Q13)/1000</f>
        <v>22.361999999999998</v>
      </c>
      <c r="P10" s="176">
        <f>('Revenue Drivers'!R13)/1000</f>
        <v>0</v>
      </c>
      <c r="Q10" s="176">
        <f>('Revenue Drivers'!S13)/1000</f>
        <v>0</v>
      </c>
      <c r="R10" s="176">
        <f>('Revenue Drivers'!T13)/1000</f>
        <v>0</v>
      </c>
      <c r="S10" s="176">
        <f>('Revenue Drivers'!U13)/1000</f>
        <v>0</v>
      </c>
      <c r="T10" s="176">
        <f>('Revenue Drivers'!V13)/1000</f>
        <v>0</v>
      </c>
      <c r="U10" s="176">
        <f>('Revenue Drivers'!W13)/1000</f>
        <v>0</v>
      </c>
      <c r="V10" s="176">
        <f>('Revenue Drivers'!X13)/1000</f>
        <v>0</v>
      </c>
      <c r="W10" s="176">
        <f>('Revenue Drivers'!Y13)/1000</f>
        <v>0</v>
      </c>
      <c r="X10" s="5"/>
      <c r="Y10" s="11"/>
      <c r="Z10" s="11"/>
      <c r="AA10" s="11"/>
      <c r="AB10" s="11"/>
      <c r="AC10" s="11"/>
      <c r="AD10" s="11"/>
      <c r="AE10" s="11"/>
      <c r="AF10" s="11"/>
      <c r="AG10" s="516">
        <f t="shared" ref="AG10" si="3">SUM(P10:S10)</f>
        <v>0</v>
      </c>
      <c r="AH10" s="516">
        <f t="shared" ref="AH10" si="4">SUM(Q10:T10)</f>
        <v>0</v>
      </c>
      <c r="AI10" s="516">
        <f t="shared" ref="AI10" si="5">SUM(R10:U10)</f>
        <v>0</v>
      </c>
      <c r="AJ10" s="516">
        <f t="shared" ref="AJ10" si="6">SUM(S10:V10)</f>
        <v>0</v>
      </c>
      <c r="AK10" s="516">
        <f t="shared" ref="AK10" si="7">SUM(T10:W10)</f>
        <v>0</v>
      </c>
      <c r="AM10" s="471" t="e">
        <f>SUM(AK10/AG10)-1</f>
        <v>#DIV/0!</v>
      </c>
    </row>
    <row r="11" spans="2:39" ht="12.75" customHeight="1">
      <c r="B11" s="14" t="s">
        <v>13</v>
      </c>
      <c r="C11" s="15">
        <f>SUM(C6:C10)</f>
        <v>24996.056</v>
      </c>
      <c r="D11" s="15">
        <f t="shared" ref="D11:G11" si="8">SUM(D6:D10)</f>
        <v>29697.844000000001</v>
      </c>
      <c r="E11" s="15">
        <f t="shared" si="8"/>
        <v>31615.550000000003</v>
      </c>
      <c r="F11" s="15">
        <f t="shared" si="8"/>
        <v>33723.296999999999</v>
      </c>
      <c r="G11" s="15">
        <f t="shared" si="8"/>
        <v>39000.966</v>
      </c>
      <c r="H11" s="11"/>
      <c r="I11" s="15">
        <f t="shared" ref="I11" si="9">SUM(I6:I10)</f>
        <v>7867.7670000000007</v>
      </c>
      <c r="J11" s="15">
        <f t="shared" ref="J11" si="10">SUM(J6:J10)</f>
        <v>7970.1410000000005</v>
      </c>
      <c r="K11" s="15">
        <f t="shared" ref="K11" si="11">SUM(K6:K10)</f>
        <v>7925.5889999999999</v>
      </c>
      <c r="L11" s="15">
        <f t="shared" ref="L11" si="12">SUM(L6:L10)</f>
        <v>7852.0530000000008</v>
      </c>
      <c r="M11" s="15">
        <f t="shared" ref="M11" si="13">SUM(M6:M10)</f>
        <v>8161.5030000000006</v>
      </c>
      <c r="N11" s="15">
        <f t="shared" ref="N11" si="14">SUM(N6:N10)</f>
        <v>8187.3010000000004</v>
      </c>
      <c r="O11" s="15">
        <f t="shared" ref="O11" si="15">SUM(O6:O10)</f>
        <v>8541.6679999999997</v>
      </c>
      <c r="P11" s="15">
        <f t="shared" ref="P11" si="16">SUM(P6:P10)</f>
        <v>8832.8249999999989</v>
      </c>
      <c r="Q11" s="15">
        <f t="shared" ref="Q11" si="17">SUM(Q6:Q10)</f>
        <v>9370.4399999999987</v>
      </c>
      <c r="R11" s="15">
        <f t="shared" ref="R11" si="18">SUM(R6:R10)</f>
        <v>9559.3100000000013</v>
      </c>
      <c r="S11" s="15">
        <f t="shared" ref="S11" si="19">SUM(S6:S10)</f>
        <v>9824.7029999999995</v>
      </c>
      <c r="T11" s="15">
        <f t="shared" ref="T11" si="20">SUM(T6:T10)</f>
        <v>10246.512999999999</v>
      </c>
      <c r="U11" s="15">
        <f t="shared" ref="U11" si="21">SUM(U6:U10)</f>
        <v>10542.800999999999</v>
      </c>
      <c r="V11" s="15">
        <f t="shared" ref="V11" si="22">SUM(V6:V10)</f>
        <v>11079.166000000001</v>
      </c>
      <c r="W11" s="15">
        <f t="shared" ref="W11" si="23">SUM(W6:W10)</f>
        <v>11510.307000000001</v>
      </c>
      <c r="X11" s="5"/>
      <c r="Y11" s="15">
        <f t="shared" ref="Y11" si="24">SUM(Y6:Y10)</f>
        <v>10489.852000000001</v>
      </c>
      <c r="Z11" s="15">
        <f t="shared" ref="Z11" si="25">SUM(Z6:Z10)</f>
        <v>14084.643</v>
      </c>
      <c r="AA11" s="15">
        <f t="shared" ref="AA11" si="26">SUM(AA6:AA10)</f>
        <v>14342.864000000001</v>
      </c>
      <c r="AB11" s="15">
        <f t="shared" ref="AB11" si="27">SUM(AB6:AB10)</f>
        <v>14404.449000000001</v>
      </c>
      <c r="AC11" s="15">
        <f t="shared" ref="AC11" si="28">SUM(AC6:AC10)</f>
        <v>14538.017</v>
      </c>
      <c r="AD11" s="15">
        <f t="shared" ref="AD11" si="29">SUM(AD6:AD10)</f>
        <v>14873.782999999999</v>
      </c>
      <c r="AE11" s="15">
        <f t="shared" ref="AE11" si="30">SUM(AE6:AE10)</f>
        <v>15489.452999999998</v>
      </c>
      <c r="AF11" s="15">
        <f t="shared" ref="AF11" si="31">SUM(AF6:AF10)</f>
        <v>16185.564999999999</v>
      </c>
      <c r="AG11" s="15">
        <f t="shared" ref="AG11" si="32">SUM(AG6:AG10)</f>
        <v>37587.277999999998</v>
      </c>
      <c r="AH11" s="15">
        <f t="shared" ref="AH11" si="33">SUM(AH6:AH10)</f>
        <v>39000.966</v>
      </c>
      <c r="AI11" s="15">
        <f t="shared" ref="AI11" si="34">SUM(AI6:AI10)</f>
        <v>40173.326999999997</v>
      </c>
      <c r="AJ11" s="15">
        <f t="shared" ref="AJ11" si="35">SUM(AJ6:AJ10)</f>
        <v>41693.182999999997</v>
      </c>
      <c r="AK11" s="15">
        <f t="shared" ref="AK11" si="36">SUM(AK6:AK10)</f>
        <v>43378.786999999997</v>
      </c>
      <c r="AM11" s="472">
        <f>SUM(AK11/AG11)-1</f>
        <v>0.15408162836372452</v>
      </c>
    </row>
    <row r="12" spans="2:39" ht="12.75" customHeight="1">
      <c r="B12" s="17" t="s">
        <v>45</v>
      </c>
      <c r="C12" s="18"/>
      <c r="D12" s="19">
        <f>SUM(D11/C11)-1</f>
        <v>0.18810119484449861</v>
      </c>
      <c r="E12" s="19">
        <f>SUM(E11/D11)-1</f>
        <v>6.4573913176997122E-2</v>
      </c>
      <c r="F12" s="19">
        <f>SUM(F11/E11)-1</f>
        <v>6.6668047843545297E-2</v>
      </c>
      <c r="G12" s="19">
        <f>SUM(G11/F11)-1</f>
        <v>0.15649919994477424</v>
      </c>
      <c r="H12" s="12"/>
      <c r="I12" s="18"/>
      <c r="J12" s="18"/>
      <c r="K12" s="18"/>
      <c r="L12" s="18"/>
      <c r="M12" s="19">
        <f>SUM(M11/I11)-1</f>
        <v>3.7334100005757653E-2</v>
      </c>
      <c r="N12" s="19">
        <f t="shared" ref="N12:W12" si="37">SUM(N11/J11)-1</f>
        <v>2.7246694882813172E-2</v>
      </c>
      <c r="O12" s="19">
        <f t="shared" si="37"/>
        <v>7.773289783257753E-2</v>
      </c>
      <c r="P12" s="19">
        <f t="shared" si="37"/>
        <v>0.12490644166563802</v>
      </c>
      <c r="Q12" s="19">
        <f t="shared" si="37"/>
        <v>0.14812676047536799</v>
      </c>
      <c r="R12" s="19">
        <f t="shared" si="37"/>
        <v>0.16757769135396394</v>
      </c>
      <c r="S12" s="19">
        <f t="shared" si="37"/>
        <v>0.15020895216250496</v>
      </c>
      <c r="T12" s="19">
        <f t="shared" si="37"/>
        <v>0.16004936133117087</v>
      </c>
      <c r="U12" s="19">
        <f t="shared" si="37"/>
        <v>0.12511269481475806</v>
      </c>
      <c r="V12" s="19">
        <f t="shared" si="37"/>
        <v>0.15899222851858541</v>
      </c>
      <c r="W12" s="19">
        <f t="shared" si="37"/>
        <v>0.17156793442000251</v>
      </c>
      <c r="X12" s="5"/>
      <c r="Y12" s="459"/>
      <c r="Z12" s="459"/>
      <c r="AA12" s="459"/>
      <c r="AB12" s="459"/>
      <c r="AC12" s="19">
        <f t="shared" ref="AC12:AK12" si="38">SUM(AC11/Y11)-1</f>
        <v>0.38591249905146419</v>
      </c>
      <c r="AD12" s="19">
        <f t="shared" si="38"/>
        <v>5.6028399157862951E-2</v>
      </c>
      <c r="AE12" s="19">
        <f t="shared" si="38"/>
        <v>7.9941425924417553E-2</v>
      </c>
      <c r="AF12" s="19">
        <f t="shared" si="38"/>
        <v>0.12365040828705065</v>
      </c>
      <c r="AG12" s="19">
        <f t="shared" si="38"/>
        <v>1.5854473825419242</v>
      </c>
      <c r="AH12" s="19">
        <f t="shared" si="38"/>
        <v>1.6221282104223249</v>
      </c>
      <c r="AI12" s="19">
        <f t="shared" si="38"/>
        <v>1.5935923624933692</v>
      </c>
      <c r="AJ12" s="19">
        <f t="shared" si="38"/>
        <v>1.5759485689872426</v>
      </c>
      <c r="AK12" s="19">
        <f t="shared" si="38"/>
        <v>0.15408162836372452</v>
      </c>
      <c r="AM12" s="473">
        <f>SUM(AK12-AG12)*10000</f>
        <v>-14313.657541781997</v>
      </c>
    </row>
    <row r="13" spans="2:39" ht="12.75" customHeight="1">
      <c r="B13" s="17" t="s">
        <v>46</v>
      </c>
      <c r="C13" s="19" t="s">
        <v>47</v>
      </c>
      <c r="D13" s="19" t="s">
        <v>47</v>
      </c>
      <c r="E13" s="19" t="s">
        <v>47</v>
      </c>
      <c r="F13" s="19" t="s">
        <v>47</v>
      </c>
      <c r="G13" s="19" t="s">
        <v>47</v>
      </c>
      <c r="H13" s="12"/>
      <c r="I13" s="18"/>
      <c r="J13" s="19">
        <f>SUM(J11/I11)-1</f>
        <v>1.3011824066472721E-2</v>
      </c>
      <c r="K13" s="19">
        <f t="shared" ref="K13:W13" si="39">SUM(K11/J11)-1</f>
        <v>-5.5898634666564639E-3</v>
      </c>
      <c r="L13" s="19">
        <f t="shared" si="39"/>
        <v>-9.2783009565596819E-3</v>
      </c>
      <c r="M13" s="19">
        <f t="shared" si="39"/>
        <v>3.9410075301325564E-2</v>
      </c>
      <c r="N13" s="19">
        <f t="shared" si="39"/>
        <v>3.1609373910663763E-3</v>
      </c>
      <c r="O13" s="19">
        <f t="shared" si="39"/>
        <v>4.3282517645314211E-2</v>
      </c>
      <c r="P13" s="19">
        <f t="shared" si="39"/>
        <v>3.4086667849885899E-2</v>
      </c>
      <c r="Q13" s="19">
        <f t="shared" si="39"/>
        <v>6.0865578113457497E-2</v>
      </c>
      <c r="R13" s="19">
        <f t="shared" si="39"/>
        <v>2.0155937181178585E-2</v>
      </c>
      <c r="S13" s="19">
        <f t="shared" si="39"/>
        <v>2.7762777857397447E-2</v>
      </c>
      <c r="T13" s="19">
        <f t="shared" si="39"/>
        <v>4.293361336215451E-2</v>
      </c>
      <c r="U13" s="19">
        <f t="shared" si="39"/>
        <v>2.8915983417968638E-2</v>
      </c>
      <c r="V13" s="19">
        <f t="shared" si="39"/>
        <v>5.0874999917005059E-2</v>
      </c>
      <c r="W13" s="19">
        <f t="shared" si="39"/>
        <v>3.8914571728593916E-2</v>
      </c>
      <c r="X13" s="5"/>
      <c r="Y13" s="19" t="s">
        <v>47</v>
      </c>
      <c r="Z13" s="19" t="s">
        <v>47</v>
      </c>
      <c r="AA13" s="19" t="s">
        <v>47</v>
      </c>
      <c r="AB13" s="19" t="s">
        <v>47</v>
      </c>
      <c r="AC13" s="19" t="s">
        <v>47</v>
      </c>
      <c r="AD13" s="19" t="s">
        <v>47</v>
      </c>
      <c r="AE13" s="19" t="s">
        <v>47</v>
      </c>
      <c r="AF13" s="19" t="s">
        <v>47</v>
      </c>
      <c r="AG13" s="19" t="s">
        <v>47</v>
      </c>
      <c r="AH13" s="19" t="s">
        <v>47</v>
      </c>
      <c r="AI13" s="19" t="s">
        <v>47</v>
      </c>
      <c r="AJ13" s="19" t="s">
        <v>47</v>
      </c>
      <c r="AK13" s="19" t="s">
        <v>47</v>
      </c>
      <c r="AM13" s="470"/>
    </row>
    <row r="14" spans="2:39" ht="5.0999999999999996" customHeight="1">
      <c r="B14" s="20"/>
      <c r="C14" s="176"/>
      <c r="D14" s="21"/>
      <c r="E14" s="21"/>
      <c r="F14" s="21"/>
      <c r="G14" s="21"/>
      <c r="H14" s="22"/>
      <c r="I14" s="23"/>
      <c r="J14" s="23"/>
      <c r="K14" s="23"/>
      <c r="L14" s="24"/>
      <c r="M14" s="23"/>
      <c r="N14" s="23"/>
      <c r="O14" s="23"/>
      <c r="P14" s="24"/>
      <c r="Q14" s="23"/>
      <c r="R14" s="23"/>
      <c r="S14" s="23"/>
      <c r="T14" s="23"/>
      <c r="U14" s="23"/>
      <c r="V14" s="23"/>
      <c r="W14" s="23"/>
      <c r="X14" s="22"/>
      <c r="Y14" s="22"/>
      <c r="Z14" s="22"/>
      <c r="AA14" s="22"/>
      <c r="AB14" s="22"/>
      <c r="AC14" s="22"/>
      <c r="AD14" s="22"/>
      <c r="AE14" s="22"/>
      <c r="AF14" s="22"/>
      <c r="AG14" s="22"/>
      <c r="AH14" s="22"/>
      <c r="AI14" s="22"/>
      <c r="AJ14" s="22"/>
      <c r="AK14" s="22"/>
      <c r="AM14" s="470"/>
    </row>
    <row r="15" spans="2:39" ht="12.75" customHeight="1">
      <c r="B15" s="25" t="s">
        <v>648</v>
      </c>
      <c r="C15" s="176">
        <f>('Historical Financials'!E13)/1000</f>
        <v>-10806.912</v>
      </c>
      <c r="D15" s="176">
        <f>('Historical Financials'!F13)/1000</f>
        <v>-12230.367</v>
      </c>
      <c r="E15" s="176">
        <f>('Historical Financials'!G13)/1000</f>
        <v>-14026.132</v>
      </c>
      <c r="F15" s="176">
        <f>('Historical Financials'!H13)/1000</f>
        <v>-14197.437</v>
      </c>
      <c r="G15" s="176">
        <f>('Historical Financials'!I13)/1000</f>
        <v>-15301.517</v>
      </c>
      <c r="H15" s="11"/>
      <c r="I15" s="176">
        <f>('Historical Financials'!O13)/1000</f>
        <v>-3166.3649999999998</v>
      </c>
      <c r="J15" s="176">
        <f>('Historical Financials'!P13)/1000</f>
        <v>-3261.348</v>
      </c>
      <c r="K15" s="176">
        <f>('Historical Financials'!Q13)/1000</f>
        <v>-3653.5920000000001</v>
      </c>
      <c r="L15" s="176">
        <f>('Historical Financials'!R13)/1000</f>
        <v>-3944.8270000000002</v>
      </c>
      <c r="M15" s="176">
        <f>('Historical Financials'!S13)/1000</f>
        <v>-3459.9839999999999</v>
      </c>
      <c r="N15" s="176">
        <f>('Historical Financials'!T13)/1000</f>
        <v>-3410.0210000000002</v>
      </c>
      <c r="O15" s="176">
        <f>('Historical Financials'!U13)/1000</f>
        <v>-3573.3530000000001</v>
      </c>
      <c r="P15" s="176">
        <f>('Historical Financials'!V13)/1000</f>
        <v>-3754.0790000000002</v>
      </c>
      <c r="Q15" s="176">
        <f>('Historical Financials'!W13)/1000</f>
        <v>-3670.8049999999998</v>
      </c>
      <c r="R15" s="176">
        <f>('Historical Financials'!X13)/1000</f>
        <v>-3769.69</v>
      </c>
      <c r="S15" s="176">
        <f>('Historical Financials'!Y13)/1000</f>
        <v>-3699.5210000000002</v>
      </c>
      <c r="T15" s="176">
        <f>('Historical Financials'!Z13)/1000</f>
        <v>-4161.5010000000002</v>
      </c>
      <c r="U15" s="176">
        <f>('Historical Financials'!AA13)/1000</f>
        <v>-3823.1120000000001</v>
      </c>
      <c r="V15" s="176">
        <f>('Historical Financials'!AB13)/1000</f>
        <v>-3832.0740000000001</v>
      </c>
      <c r="W15" s="176">
        <f>('Historical Financials'!AC13)/1000</f>
        <v>-4002.7440000000001</v>
      </c>
      <c r="X15" s="5"/>
      <c r="Y15" s="11">
        <f t="shared" ref="Y15:AK15" si="40">SUM(H15:K15)</f>
        <v>-10081.305</v>
      </c>
      <c r="Z15" s="11">
        <f t="shared" si="40"/>
        <v>-14026.132000000001</v>
      </c>
      <c r="AA15" s="11">
        <f t="shared" si="40"/>
        <v>-14319.751</v>
      </c>
      <c r="AB15" s="11">
        <f t="shared" si="40"/>
        <v>-14468.424000000001</v>
      </c>
      <c r="AC15" s="11">
        <f t="shared" si="40"/>
        <v>-14388.185000000001</v>
      </c>
      <c r="AD15" s="11">
        <f t="shared" si="40"/>
        <v>-14197.437</v>
      </c>
      <c r="AE15" s="11">
        <f t="shared" si="40"/>
        <v>-14408.258</v>
      </c>
      <c r="AF15" s="11">
        <f t="shared" si="40"/>
        <v>-14767.927000000001</v>
      </c>
      <c r="AG15" s="516">
        <f t="shared" si="40"/>
        <v>-14894.095000000001</v>
      </c>
      <c r="AH15" s="516">
        <f t="shared" si="40"/>
        <v>-15301.517</v>
      </c>
      <c r="AI15" s="516">
        <f t="shared" si="40"/>
        <v>-15453.824000000001</v>
      </c>
      <c r="AJ15" s="516">
        <f t="shared" si="40"/>
        <v>-15516.208000000002</v>
      </c>
      <c r="AK15" s="516">
        <f t="shared" si="40"/>
        <v>-15819.431</v>
      </c>
      <c r="AM15" s="471">
        <f>SUM(AK15/AG15)-1</f>
        <v>6.2127709001453146E-2</v>
      </c>
    </row>
    <row r="16" spans="2:39" ht="12.75" customHeight="1">
      <c r="B16" s="25" t="s">
        <v>649</v>
      </c>
      <c r="C16" s="176">
        <f>('Historical Financials'!E14)/1000</f>
        <v>-4469.4070000000002</v>
      </c>
      <c r="D16" s="176">
        <f>('Historical Financials'!F14)/1000</f>
        <v>-5102.3159999999998</v>
      </c>
      <c r="E16" s="176">
        <f>('Historical Financials'!G14)/1000</f>
        <v>-5142.1530000000002</v>
      </c>
      <c r="F16" s="176">
        <f>('Historical Financials'!H14)/1000</f>
        <v>-5517.9309999999996</v>
      </c>
      <c r="G16" s="176">
        <f>('Historical Financials'!I14)/1000</f>
        <v>-5736.9470000000001</v>
      </c>
      <c r="H16" s="11"/>
      <c r="I16" s="176">
        <f>('Historical Financials'!O14)/1000</f>
        <v>-1118.3399999999999</v>
      </c>
      <c r="J16" s="176">
        <f>('Historical Financials'!P14)/1000</f>
        <v>-1429.4069999999999</v>
      </c>
      <c r="K16" s="176">
        <f>('Historical Financials'!Q14)/1000</f>
        <v>-1135.0730000000001</v>
      </c>
      <c r="L16" s="176">
        <f>('Historical Financials'!R14)/1000</f>
        <v>-1459.3330000000001</v>
      </c>
      <c r="M16" s="176">
        <f>('Historical Financials'!S14)/1000</f>
        <v>-1343.6410000000001</v>
      </c>
      <c r="N16" s="176">
        <f>('Historical Financials'!T14)/1000</f>
        <v>-1263.4490000000001</v>
      </c>
      <c r="O16" s="176">
        <f>('Historical Financials'!U14)/1000</f>
        <v>-1357.4349999999999</v>
      </c>
      <c r="P16" s="176">
        <f>('Historical Financials'!V14)/1000</f>
        <v>-1553.4059999999999</v>
      </c>
      <c r="Q16" s="176">
        <f>('Historical Financials'!W14)/1000</f>
        <v>-1306.268</v>
      </c>
      <c r="R16" s="176">
        <f>('Historical Financials'!X14)/1000</f>
        <v>-1404.453</v>
      </c>
      <c r="S16" s="176">
        <f>('Historical Financials'!Y14)/1000</f>
        <v>-1420.3630000000001</v>
      </c>
      <c r="T16" s="176">
        <f>('Historical Financials'!Z14)/1000</f>
        <v>-1605.8630000000001</v>
      </c>
      <c r="U16" s="176">
        <f>('Historical Financials'!AA14)/1000</f>
        <v>-1440.0350000000001</v>
      </c>
      <c r="V16" s="176">
        <f>('Historical Financials'!AB14)/1000</f>
        <v>-1493.2370000000001</v>
      </c>
      <c r="W16" s="176">
        <f>('Historical Financials'!AC14)/1000</f>
        <v>-2161.5059999999999</v>
      </c>
      <c r="X16" s="5"/>
      <c r="Y16" s="11"/>
      <c r="Z16" s="11"/>
      <c r="AA16" s="11"/>
      <c r="AB16" s="11"/>
      <c r="AC16" s="11"/>
      <c r="AD16" s="11"/>
      <c r="AE16" s="11"/>
      <c r="AF16" s="11"/>
      <c r="AG16" s="516">
        <f t="shared" ref="AG16" si="41">SUM(P16:S16)</f>
        <v>-5684.4900000000007</v>
      </c>
      <c r="AH16" s="516">
        <f t="shared" ref="AH16" si="42">SUM(Q16:T16)</f>
        <v>-5736.9470000000001</v>
      </c>
      <c r="AI16" s="516">
        <f t="shared" ref="AI16" si="43">SUM(R16:U16)</f>
        <v>-5870.7139999999999</v>
      </c>
      <c r="AJ16" s="516">
        <f t="shared" ref="AJ16" si="44">SUM(S16:V16)</f>
        <v>-5959.4980000000005</v>
      </c>
      <c r="AK16" s="516">
        <f t="shared" ref="AK16" si="45">SUM(T16:W16)</f>
        <v>-6700.6409999999996</v>
      </c>
      <c r="AM16" s="471"/>
    </row>
    <row r="17" spans="2:39" ht="12.75" customHeight="1">
      <c r="B17" s="27" t="s">
        <v>30</v>
      </c>
      <c r="C17" s="28">
        <f>SUM(C11+SUM(C15:C16))</f>
        <v>9719.737000000001</v>
      </c>
      <c r="D17" s="28">
        <f t="shared" ref="D17:G17" si="46">SUM(D11+SUM(D15:D16))</f>
        <v>12365.161</v>
      </c>
      <c r="E17" s="28">
        <f t="shared" si="46"/>
        <v>12447.265000000003</v>
      </c>
      <c r="F17" s="28">
        <f t="shared" si="46"/>
        <v>14007.929</v>
      </c>
      <c r="G17" s="28">
        <f t="shared" si="46"/>
        <v>17962.502</v>
      </c>
      <c r="H17" s="5"/>
      <c r="I17" s="28">
        <f t="shared" ref="I17" si="47">SUM(I11+SUM(I15:I16))</f>
        <v>3583.0620000000008</v>
      </c>
      <c r="J17" s="28">
        <f t="shared" ref="J17" si="48">SUM(J11+SUM(J15:J16))</f>
        <v>3279.3860000000004</v>
      </c>
      <c r="K17" s="28">
        <f t="shared" ref="K17" si="49">SUM(K11+SUM(K15:K16))</f>
        <v>3136.924</v>
      </c>
      <c r="L17" s="28">
        <f t="shared" ref="L17" si="50">SUM(L11+SUM(L15:L16))</f>
        <v>2447.8930000000009</v>
      </c>
      <c r="M17" s="28">
        <f t="shared" ref="M17" si="51">SUM(M11+SUM(M15:M16))</f>
        <v>3357.8780000000006</v>
      </c>
      <c r="N17" s="28">
        <f t="shared" ref="N17" si="52">SUM(N11+SUM(N15:N16))</f>
        <v>3513.8310000000001</v>
      </c>
      <c r="O17" s="28">
        <f t="shared" ref="O17" si="53">SUM(O11+SUM(O15:O16))</f>
        <v>3610.8799999999992</v>
      </c>
      <c r="P17" s="28">
        <f t="shared" ref="P17" si="54">SUM(P11+SUM(P15:P16))</f>
        <v>3525.3399999999983</v>
      </c>
      <c r="Q17" s="28">
        <f t="shared" ref="Q17" si="55">SUM(Q11+SUM(Q15:Q16))</f>
        <v>4393.3669999999984</v>
      </c>
      <c r="R17" s="28">
        <f t="shared" ref="R17" si="56">SUM(R11+SUM(R15:R16))</f>
        <v>4385.1670000000013</v>
      </c>
      <c r="S17" s="28">
        <f t="shared" ref="S17" si="57">SUM(S11+SUM(S15:S16))</f>
        <v>4704.8189999999995</v>
      </c>
      <c r="T17" s="28">
        <f t="shared" ref="T17" si="58">SUM(T11+SUM(T15:T16))</f>
        <v>4479.1489999999985</v>
      </c>
      <c r="U17" s="28">
        <f t="shared" ref="U17" si="59">SUM(U11+SUM(U15:U16))</f>
        <v>5279.6539999999995</v>
      </c>
      <c r="V17" s="28">
        <f t="shared" ref="V17" si="60">SUM(V11+SUM(V15:V16))</f>
        <v>5753.8550000000014</v>
      </c>
      <c r="W17" s="28">
        <f t="shared" ref="W17" si="61">SUM(W11+SUM(W15:W16))</f>
        <v>5346.0570000000007</v>
      </c>
      <c r="X17" s="5"/>
      <c r="Y17" s="28">
        <f t="shared" ref="Y17" si="62">SUM(Y11+SUM(Y15:Y16))</f>
        <v>408.54700000000048</v>
      </c>
      <c r="Z17" s="28">
        <f t="shared" ref="Z17" si="63">SUM(Z11+SUM(Z15:Z16))</f>
        <v>58.510999999998603</v>
      </c>
      <c r="AA17" s="28">
        <f t="shared" ref="AA17" si="64">SUM(AA11+SUM(AA15:AA16))</f>
        <v>23.113000000001193</v>
      </c>
      <c r="AB17" s="28">
        <f t="shared" ref="AB17" si="65">SUM(AB11+SUM(AB15:AB16))</f>
        <v>-63.975000000000364</v>
      </c>
      <c r="AC17" s="28">
        <f t="shared" ref="AC17" si="66">SUM(AC11+SUM(AC15:AC16))</f>
        <v>149.83199999999852</v>
      </c>
      <c r="AD17" s="28">
        <f t="shared" ref="AD17" si="67">SUM(AD11+SUM(AD15:AD16))</f>
        <v>676.34599999999955</v>
      </c>
      <c r="AE17" s="28">
        <f t="shared" ref="AE17" si="68">SUM(AE11+SUM(AE15:AE16))</f>
        <v>1081.1949999999979</v>
      </c>
      <c r="AF17" s="28">
        <f t="shared" ref="AF17" si="69">SUM(AF11+SUM(AF15:AF16))</f>
        <v>1417.6379999999972</v>
      </c>
      <c r="AG17" s="28">
        <f t="shared" ref="AG17" si="70">SUM(AG11+SUM(AG15:AG16))</f>
        <v>17008.692999999996</v>
      </c>
      <c r="AH17" s="28">
        <f t="shared" ref="AH17" si="71">SUM(AH11+SUM(AH15:AH16))</f>
        <v>17962.502</v>
      </c>
      <c r="AI17" s="28">
        <f t="shared" ref="AI17" si="72">SUM(AI11+SUM(AI15:AI16))</f>
        <v>18848.788999999997</v>
      </c>
      <c r="AJ17" s="28">
        <f t="shared" ref="AJ17" si="73">SUM(AJ11+SUM(AJ15:AJ16))</f>
        <v>20217.476999999995</v>
      </c>
      <c r="AK17" s="28">
        <f t="shared" ref="AK17" si="74">SUM(AK11+SUM(AK15:AK16))</f>
        <v>20858.714999999997</v>
      </c>
      <c r="AM17" s="472">
        <f>SUM(AK17/AG17)-1</f>
        <v>0.22635613447782266</v>
      </c>
    </row>
    <row r="18" spans="2:39" ht="12.75" customHeight="1">
      <c r="B18" s="17" t="s">
        <v>48</v>
      </c>
      <c r="C18" s="19">
        <f>C17/C11</f>
        <v>0.38885082510616881</v>
      </c>
      <c r="D18" s="19">
        <f>D17/D11</f>
        <v>0.41636561226464791</v>
      </c>
      <c r="E18" s="19">
        <f>E17/E11</f>
        <v>0.39370705238403259</v>
      </c>
      <c r="F18" s="19">
        <f>F17/F11</f>
        <v>0.41537839553469524</v>
      </c>
      <c r="G18" s="19">
        <f>G17/G11</f>
        <v>0.46056556650417324</v>
      </c>
      <c r="H18" s="29"/>
      <c r="I18" s="19">
        <f t="shared" ref="I18:V18" si="75">I17/I11</f>
        <v>0.45541028350229495</v>
      </c>
      <c r="J18" s="19">
        <f t="shared" si="75"/>
        <v>0.41145896917005609</v>
      </c>
      <c r="K18" s="19">
        <f t="shared" si="75"/>
        <v>0.39579695591078468</v>
      </c>
      <c r="L18" s="19">
        <f t="shared" si="75"/>
        <v>0.31175197110870251</v>
      </c>
      <c r="M18" s="19">
        <f t="shared" si="75"/>
        <v>0.41142887529417072</v>
      </c>
      <c r="N18" s="19">
        <f t="shared" si="75"/>
        <v>0.42918062985591954</v>
      </c>
      <c r="O18" s="19">
        <f t="shared" si="75"/>
        <v>0.42273710474347626</v>
      </c>
      <c r="P18" s="19">
        <f t="shared" si="75"/>
        <v>0.39911806245453735</v>
      </c>
      <c r="Q18" s="19">
        <f t="shared" si="75"/>
        <v>0.46885386385271116</v>
      </c>
      <c r="R18" s="19">
        <f t="shared" si="75"/>
        <v>0.45873258634775949</v>
      </c>
      <c r="S18" s="19">
        <f t="shared" si="75"/>
        <v>0.47887646069301021</v>
      </c>
      <c r="T18" s="19">
        <f t="shared" si="75"/>
        <v>0.437138858848859</v>
      </c>
      <c r="U18" s="19">
        <f t="shared" si="75"/>
        <v>0.50078285647239285</v>
      </c>
      <c r="V18" s="19">
        <f t="shared" si="75"/>
        <v>0.51934008390162223</v>
      </c>
      <c r="W18" s="19">
        <f>W17/W11</f>
        <v>0.4644582459877048</v>
      </c>
      <c r="X18" s="30"/>
      <c r="Y18" s="19">
        <f t="shared" ref="Y18:AI18" si="76">Y17/Y11</f>
        <v>3.894687932680084E-2</v>
      </c>
      <c r="Z18" s="19">
        <f t="shared" si="76"/>
        <v>4.1542408991125015E-3</v>
      </c>
      <c r="AA18" s="19">
        <f t="shared" si="76"/>
        <v>1.6114633730056418E-3</v>
      </c>
      <c r="AB18" s="19">
        <f t="shared" si="76"/>
        <v>-4.4413361455200653E-3</v>
      </c>
      <c r="AC18" s="19">
        <f t="shared" si="76"/>
        <v>1.0306219892300203E-2</v>
      </c>
      <c r="AD18" s="19">
        <f t="shared" si="76"/>
        <v>4.5472358982244096E-2</v>
      </c>
      <c r="AE18" s="19">
        <f t="shared" si="76"/>
        <v>6.9802013021376424E-2</v>
      </c>
      <c r="AF18" s="19">
        <f t="shared" si="76"/>
        <v>8.7586562470942306E-2</v>
      </c>
      <c r="AG18" s="19">
        <f t="shared" si="76"/>
        <v>0.45251196428749102</v>
      </c>
      <c r="AH18" s="19">
        <f t="shared" si="76"/>
        <v>0.46056556650417324</v>
      </c>
      <c r="AI18" s="19">
        <f t="shared" si="76"/>
        <v>0.46918665710708995</v>
      </c>
      <c r="AJ18" s="19">
        <f>AJ17/AJ11</f>
        <v>0.48491085461141203</v>
      </c>
      <c r="AK18" s="19">
        <f>AK17/AK11</f>
        <v>0.48085058256700441</v>
      </c>
      <c r="AM18" s="473">
        <f>SUM(AK18-AG18)*10000</f>
        <v>283.38618279513395</v>
      </c>
    </row>
    <row r="19" spans="2:39" ht="5.0999999999999996" customHeight="1">
      <c r="B19" s="31"/>
      <c r="C19" s="32"/>
      <c r="D19" s="32"/>
      <c r="E19" s="32"/>
      <c r="F19" s="32"/>
      <c r="G19" s="32"/>
      <c r="H19" s="32"/>
      <c r="I19" s="32"/>
      <c r="J19" s="32"/>
      <c r="K19" s="32"/>
      <c r="L19" s="32"/>
      <c r="M19" s="32"/>
      <c r="N19" s="32"/>
      <c r="O19" s="32"/>
      <c r="P19" s="32"/>
      <c r="Q19" s="32"/>
      <c r="R19" s="32"/>
      <c r="S19" s="32"/>
      <c r="T19" s="32"/>
      <c r="U19" s="32"/>
      <c r="V19" s="32"/>
      <c r="W19" s="32"/>
      <c r="X19" s="5"/>
      <c r="Y19" s="32"/>
      <c r="Z19" s="32"/>
      <c r="AA19" s="32"/>
      <c r="AB19" s="32"/>
      <c r="AC19" s="32"/>
      <c r="AD19" s="32"/>
      <c r="AE19" s="32"/>
      <c r="AF19" s="32"/>
      <c r="AG19" s="32"/>
      <c r="AH19" s="32"/>
      <c r="AI19" s="32"/>
      <c r="AJ19" s="32"/>
      <c r="AK19" s="32"/>
      <c r="AM19" s="470"/>
    </row>
    <row r="20" spans="2:39" ht="12.75" customHeight="1">
      <c r="B20" s="25" t="s">
        <v>650</v>
      </c>
      <c r="C20" s="515">
        <f>('Historical Financials'!E19)/1000</f>
        <v>-2228.3620000000001</v>
      </c>
      <c r="D20" s="515">
        <f>('Historical Financials'!F19)/1000</f>
        <v>-2545.1460000000002</v>
      </c>
      <c r="E20" s="515">
        <f>('Historical Financials'!G19)/1000</f>
        <v>-2530.502</v>
      </c>
      <c r="F20" s="515">
        <f>('Historical Financials'!H19)/1000</f>
        <v>-2657.8829999999998</v>
      </c>
      <c r="G20" s="515">
        <f>('Historical Financials'!I19)/1000</f>
        <v>-2917.5540000000001</v>
      </c>
      <c r="H20" s="176"/>
      <c r="I20" s="515">
        <f>('Historical Financials'!O19)/1000</f>
        <v>-555.97799999999995</v>
      </c>
      <c r="J20" s="515">
        <f>('Historical Financials'!P19)/1000</f>
        <v>-574.96</v>
      </c>
      <c r="K20" s="515">
        <f>('Historical Financials'!Q19)/1000</f>
        <v>-567.95399999999995</v>
      </c>
      <c r="L20" s="515">
        <f>('Historical Financials'!R19)/1000</f>
        <v>-831.61</v>
      </c>
      <c r="M20" s="515">
        <f>('Historical Financials'!S19)/1000</f>
        <v>-555.36199999999997</v>
      </c>
      <c r="N20" s="515">
        <f>('Historical Financials'!T19)/1000</f>
        <v>-627.16800000000001</v>
      </c>
      <c r="O20" s="515">
        <f>('Historical Financials'!U19)/1000</f>
        <v>-558.73599999999999</v>
      </c>
      <c r="P20" s="515">
        <f>('Historical Financials'!V19)/1000</f>
        <v>-916.61699999999996</v>
      </c>
      <c r="Q20" s="515">
        <f>('Historical Financials'!W19)/1000</f>
        <v>-654.34</v>
      </c>
      <c r="R20" s="515">
        <f>('Historical Financials'!X19)/1000</f>
        <v>-644.08399999999995</v>
      </c>
      <c r="S20" s="515">
        <f>('Historical Financials'!Y19)/1000</f>
        <v>-642.92600000000004</v>
      </c>
      <c r="T20" s="515">
        <f>('Historical Financials'!Z19)/1000</f>
        <v>-976.20399999999995</v>
      </c>
      <c r="U20" s="515">
        <f>('Historical Financials'!AA19)/1000</f>
        <v>-688.37</v>
      </c>
      <c r="V20" s="515">
        <f>('Historical Financials'!AB19)/1000</f>
        <v>-713.26499999999999</v>
      </c>
      <c r="W20" s="515">
        <f>('Historical Financials'!AC19)/1000</f>
        <v>-786.29499999999996</v>
      </c>
      <c r="X20" s="5"/>
      <c r="Y20" s="11">
        <f t="shared" ref="Y20:AK22" si="77">SUM(H20:K20)</f>
        <v>-1698.8920000000001</v>
      </c>
      <c r="Z20" s="11">
        <f t="shared" si="77"/>
        <v>-2530.502</v>
      </c>
      <c r="AA20" s="11">
        <f t="shared" si="77"/>
        <v>-2529.886</v>
      </c>
      <c r="AB20" s="11">
        <f t="shared" si="77"/>
        <v>-2582.0940000000001</v>
      </c>
      <c r="AC20" s="11">
        <f t="shared" si="77"/>
        <v>-2572.8759999999997</v>
      </c>
      <c r="AD20" s="11">
        <f t="shared" si="77"/>
        <v>-2657.8829999999998</v>
      </c>
      <c r="AE20" s="11">
        <f t="shared" si="77"/>
        <v>-2756.8609999999999</v>
      </c>
      <c r="AF20" s="11">
        <f t="shared" si="77"/>
        <v>-2773.777</v>
      </c>
      <c r="AG20" s="516">
        <f t="shared" si="77"/>
        <v>-2857.9669999999996</v>
      </c>
      <c r="AH20" s="516">
        <f t="shared" si="77"/>
        <v>-2917.5540000000001</v>
      </c>
      <c r="AI20" s="516">
        <f t="shared" si="77"/>
        <v>-2951.5839999999998</v>
      </c>
      <c r="AJ20" s="516">
        <f t="shared" si="77"/>
        <v>-3020.7649999999999</v>
      </c>
      <c r="AK20" s="516">
        <f t="shared" si="77"/>
        <v>-3164.134</v>
      </c>
      <c r="AM20" s="471">
        <f>SUM(AK20/AG20)-1</f>
        <v>0.10712754905847421</v>
      </c>
    </row>
    <row r="21" spans="2:39" ht="12.75" customHeight="1">
      <c r="B21" s="25" t="s">
        <v>651</v>
      </c>
      <c r="C21" s="515">
        <f>('Historical Financials'!E20)/1000</f>
        <v>-1829.6</v>
      </c>
      <c r="D21" s="515">
        <f>('Historical Financials'!F20)/1000</f>
        <v>-2273.8850000000002</v>
      </c>
      <c r="E21" s="515">
        <f>('Historical Financials'!G20)/1000</f>
        <v>-2711.0410000000002</v>
      </c>
      <c r="F21" s="515">
        <f>('Historical Financials'!H20)/1000</f>
        <v>-2675.7579999999998</v>
      </c>
      <c r="G21" s="515">
        <f>('Historical Financials'!I20)/1000</f>
        <v>-2925.2950000000001</v>
      </c>
      <c r="H21" s="176"/>
      <c r="I21" s="515">
        <f>('Historical Financials'!O20)/1000</f>
        <v>-657.53</v>
      </c>
      <c r="J21" s="515">
        <f>('Historical Financials'!P20)/1000</f>
        <v>-716.846</v>
      </c>
      <c r="K21" s="515">
        <f>('Historical Financials'!Q20)/1000</f>
        <v>-662.73900000000003</v>
      </c>
      <c r="L21" s="515">
        <f>('Historical Financials'!R20)/1000</f>
        <v>-673.92600000000004</v>
      </c>
      <c r="M21" s="515">
        <f>('Historical Financials'!S20)/1000</f>
        <v>-687.27499999999998</v>
      </c>
      <c r="N21" s="515">
        <f>('Historical Financials'!T20)/1000</f>
        <v>-657.98299999999995</v>
      </c>
      <c r="O21" s="515">
        <f>('Historical Financials'!U20)/1000</f>
        <v>-657.15899999999999</v>
      </c>
      <c r="P21" s="515">
        <f>('Historical Financials'!V20)/1000</f>
        <v>-673.34100000000001</v>
      </c>
      <c r="Q21" s="515">
        <f>('Historical Financials'!W20)/1000</f>
        <v>-702.47299999999996</v>
      </c>
      <c r="R21" s="515">
        <f>('Historical Financials'!X20)/1000</f>
        <v>-711.25400000000002</v>
      </c>
      <c r="S21" s="515">
        <f>('Historical Financials'!Y20)/1000</f>
        <v>-735.06299999999999</v>
      </c>
      <c r="T21" s="515">
        <f>('Historical Financials'!Z20)/1000</f>
        <v>-776.505</v>
      </c>
      <c r="U21" s="515">
        <f>('Historical Financials'!AA20)/1000</f>
        <v>-822.82299999999998</v>
      </c>
      <c r="V21" s="515">
        <f>('Historical Financials'!AB20)/1000</f>
        <v>-824.68299999999999</v>
      </c>
      <c r="W21" s="515">
        <f>('Historical Financials'!AC20)/1000</f>
        <v>-853.58399999999995</v>
      </c>
      <c r="X21" s="5"/>
      <c r="Y21" s="11">
        <f t="shared" si="77"/>
        <v>-2037.115</v>
      </c>
      <c r="Z21" s="11">
        <f t="shared" si="77"/>
        <v>-2711.0410000000002</v>
      </c>
      <c r="AA21" s="11">
        <f t="shared" si="77"/>
        <v>-2740.7860000000001</v>
      </c>
      <c r="AB21" s="11">
        <f t="shared" si="77"/>
        <v>-2681.9229999999998</v>
      </c>
      <c r="AC21" s="11">
        <f t="shared" si="77"/>
        <v>-2676.3429999999998</v>
      </c>
      <c r="AD21" s="11">
        <f t="shared" si="77"/>
        <v>-2675.7579999999998</v>
      </c>
      <c r="AE21" s="11">
        <f t="shared" si="77"/>
        <v>-2690.9559999999997</v>
      </c>
      <c r="AF21" s="11">
        <f t="shared" si="77"/>
        <v>-2744.2269999999999</v>
      </c>
      <c r="AG21" s="516">
        <f t="shared" si="77"/>
        <v>-2822.1309999999999</v>
      </c>
      <c r="AH21" s="516">
        <f t="shared" si="77"/>
        <v>-2925.2950000000001</v>
      </c>
      <c r="AI21" s="516">
        <f t="shared" si="77"/>
        <v>-3045.645</v>
      </c>
      <c r="AJ21" s="516">
        <f t="shared" si="77"/>
        <v>-3159.0740000000001</v>
      </c>
      <c r="AK21" s="516">
        <f t="shared" si="77"/>
        <v>-3277.5949999999998</v>
      </c>
      <c r="AM21" s="471">
        <f>SUM(AK21/AG21)-1</f>
        <v>0.16139009847523034</v>
      </c>
    </row>
    <row r="22" spans="2:39" ht="12.75" customHeight="1">
      <c r="B22" s="25" t="s">
        <v>527</v>
      </c>
      <c r="C22" s="515">
        <f>('Historical Financials'!E21)/1000</f>
        <v>-1076.4860000000001</v>
      </c>
      <c r="D22" s="515">
        <f>('Historical Financials'!F21)/1000</f>
        <v>-1351.6210000000001</v>
      </c>
      <c r="E22" s="515">
        <f>('Historical Financials'!G21)/1000</f>
        <v>-1572.8910000000001</v>
      </c>
      <c r="F22" s="515">
        <f>('Historical Financials'!H21)/1000</f>
        <v>-1720.2850000000001</v>
      </c>
      <c r="G22" s="515">
        <f>('Historical Financials'!I21)/1000</f>
        <v>-1702.039</v>
      </c>
      <c r="H22" s="176"/>
      <c r="I22" s="515">
        <f>('Historical Financials'!O21)/1000</f>
        <v>-397.928</v>
      </c>
      <c r="J22" s="515">
        <f>('Historical Financials'!P21)/1000</f>
        <v>-409.29700000000003</v>
      </c>
      <c r="K22" s="515">
        <f>('Historical Financials'!Q21)/1000</f>
        <v>-373.21300000000002</v>
      </c>
      <c r="L22" s="515">
        <f>('Historical Financials'!R21)/1000</f>
        <v>-392.45299999999997</v>
      </c>
      <c r="M22" s="515">
        <f>('Historical Financials'!S21)/1000</f>
        <v>-400.92399999999998</v>
      </c>
      <c r="N22" s="515">
        <f>('Historical Financials'!T21)/1000</f>
        <v>-401.49700000000001</v>
      </c>
      <c r="O22" s="515">
        <f>('Historical Financials'!U21)/1000</f>
        <v>-478.59100000000001</v>
      </c>
      <c r="P22" s="515">
        <f>('Historical Financials'!V21)/1000</f>
        <v>-439.27300000000002</v>
      </c>
      <c r="Q22" s="515">
        <f>('Historical Financials'!W21)/1000</f>
        <v>-404.02</v>
      </c>
      <c r="R22" s="515">
        <f>('Historical Financials'!X21)/1000</f>
        <v>-426.99200000000002</v>
      </c>
      <c r="S22" s="515">
        <f>('Historical Financials'!Y21)/1000</f>
        <v>-417.35300000000001</v>
      </c>
      <c r="T22" s="515">
        <f>('Historical Financials'!Z21)/1000</f>
        <v>-453.67399999999998</v>
      </c>
      <c r="U22" s="515">
        <f>('Historical Financials'!AA21)/1000</f>
        <v>-421.46199999999999</v>
      </c>
      <c r="V22" s="515">
        <f>('Historical Financials'!AB21)/1000</f>
        <v>-441.21300000000002</v>
      </c>
      <c r="W22" s="515">
        <f>('Historical Financials'!AC21)/1000</f>
        <v>-457.93099999999998</v>
      </c>
      <c r="X22" s="5"/>
      <c r="Y22" s="11">
        <f t="shared" si="77"/>
        <v>-1180.4380000000001</v>
      </c>
      <c r="Z22" s="11">
        <f t="shared" si="77"/>
        <v>-1572.8910000000001</v>
      </c>
      <c r="AA22" s="11">
        <f t="shared" si="77"/>
        <v>-1575.8869999999999</v>
      </c>
      <c r="AB22" s="11">
        <f t="shared" si="77"/>
        <v>-1568.087</v>
      </c>
      <c r="AC22" s="11">
        <f t="shared" si="77"/>
        <v>-1673.4650000000001</v>
      </c>
      <c r="AD22" s="11">
        <f t="shared" si="77"/>
        <v>-1720.2850000000003</v>
      </c>
      <c r="AE22" s="11">
        <f t="shared" si="77"/>
        <v>-1723.3809999999999</v>
      </c>
      <c r="AF22" s="11">
        <f t="shared" si="77"/>
        <v>-1748.876</v>
      </c>
      <c r="AG22" s="516">
        <f t="shared" si="77"/>
        <v>-1687.6380000000001</v>
      </c>
      <c r="AH22" s="516">
        <f t="shared" si="77"/>
        <v>-1702.039</v>
      </c>
      <c r="AI22" s="516">
        <f t="shared" si="77"/>
        <v>-1719.481</v>
      </c>
      <c r="AJ22" s="516">
        <f t="shared" si="77"/>
        <v>-1733.702</v>
      </c>
      <c r="AK22" s="516">
        <f t="shared" si="77"/>
        <v>-1774.28</v>
      </c>
      <c r="AM22" s="471">
        <f>SUM(AK22/AG22)-1</f>
        <v>5.1339209000982322E-2</v>
      </c>
    </row>
    <row r="23" spans="2:39" ht="12.75" customHeight="1">
      <c r="B23" s="14" t="s">
        <v>49</v>
      </c>
      <c r="C23" s="15">
        <f>SUM(C17+SUM(C20:C22))</f>
        <v>4585.2890000000007</v>
      </c>
      <c r="D23" s="15">
        <f>SUM(D17+SUM(D20:D22))</f>
        <v>6194.5089999999991</v>
      </c>
      <c r="E23" s="15">
        <f>SUM(E17+SUM(E20:E22))</f>
        <v>5632.8310000000038</v>
      </c>
      <c r="F23" s="15">
        <f>SUM(F17+SUM(F20:F22))</f>
        <v>6954.0030000000006</v>
      </c>
      <c r="G23" s="15">
        <f>SUM(G17+SUM(G20:G22))</f>
        <v>10417.614000000001</v>
      </c>
      <c r="H23" s="12"/>
      <c r="I23" s="15">
        <f t="shared" ref="I23:W23" si="78">SUM(I17+SUM(I20:I22))</f>
        <v>1971.6260000000011</v>
      </c>
      <c r="J23" s="15">
        <f t="shared" si="78"/>
        <v>1578.2830000000004</v>
      </c>
      <c r="K23" s="15">
        <f t="shared" si="78"/>
        <v>1533.018</v>
      </c>
      <c r="L23" s="15">
        <f t="shared" si="78"/>
        <v>549.90400000000091</v>
      </c>
      <c r="M23" s="15">
        <f t="shared" si="78"/>
        <v>1714.3170000000007</v>
      </c>
      <c r="N23" s="15">
        <f t="shared" si="78"/>
        <v>1827.1830000000002</v>
      </c>
      <c r="O23" s="15">
        <f t="shared" si="78"/>
        <v>1916.3939999999993</v>
      </c>
      <c r="P23" s="15">
        <f t="shared" si="78"/>
        <v>1496.1089999999981</v>
      </c>
      <c r="Q23" s="15">
        <f t="shared" si="78"/>
        <v>2632.5339999999983</v>
      </c>
      <c r="R23" s="15">
        <f t="shared" si="78"/>
        <v>2602.8370000000014</v>
      </c>
      <c r="S23" s="15">
        <f t="shared" si="78"/>
        <v>2909.4769999999994</v>
      </c>
      <c r="T23" s="15">
        <f t="shared" si="78"/>
        <v>2272.7659999999987</v>
      </c>
      <c r="U23" s="15">
        <f t="shared" si="78"/>
        <v>3346.9989999999998</v>
      </c>
      <c r="V23" s="15">
        <f t="shared" si="78"/>
        <v>3774.6940000000013</v>
      </c>
      <c r="W23" s="15">
        <f t="shared" si="78"/>
        <v>3248.2470000000008</v>
      </c>
      <c r="X23" s="5"/>
      <c r="Y23" s="15">
        <f t="shared" ref="Y23:AK23" si="79">SUM(Y17+SUM(Y20:Y22))</f>
        <v>-4507.8979999999992</v>
      </c>
      <c r="Z23" s="15">
        <f t="shared" si="79"/>
        <v>-6755.9230000000007</v>
      </c>
      <c r="AA23" s="15">
        <f t="shared" si="79"/>
        <v>-6823.445999999999</v>
      </c>
      <c r="AB23" s="15">
        <f t="shared" si="79"/>
        <v>-6896.0789999999997</v>
      </c>
      <c r="AC23" s="15">
        <f t="shared" si="79"/>
        <v>-6772.8520000000008</v>
      </c>
      <c r="AD23" s="15">
        <f t="shared" si="79"/>
        <v>-6377.58</v>
      </c>
      <c r="AE23" s="15">
        <f t="shared" si="79"/>
        <v>-6090.0030000000006</v>
      </c>
      <c r="AF23" s="15">
        <f t="shared" si="79"/>
        <v>-5849.2420000000029</v>
      </c>
      <c r="AG23" s="15">
        <f t="shared" si="79"/>
        <v>9640.9569999999949</v>
      </c>
      <c r="AH23" s="15">
        <f t="shared" si="79"/>
        <v>10417.614000000001</v>
      </c>
      <c r="AI23" s="15">
        <f t="shared" si="79"/>
        <v>11132.078999999998</v>
      </c>
      <c r="AJ23" s="15">
        <f t="shared" si="79"/>
        <v>12303.935999999994</v>
      </c>
      <c r="AK23" s="15">
        <f t="shared" si="79"/>
        <v>12642.705999999996</v>
      </c>
      <c r="AM23" s="472">
        <f>SUM(AK23/AG23)-1</f>
        <v>0.31135384173998526</v>
      </c>
    </row>
    <row r="24" spans="2:39" ht="12.75" customHeight="1">
      <c r="B24" s="17" t="s">
        <v>50</v>
      </c>
      <c r="C24" s="19">
        <f>C23/C11</f>
        <v>0.18344049957321271</v>
      </c>
      <c r="D24" s="19">
        <f>D23/D11</f>
        <v>0.20858446828665403</v>
      </c>
      <c r="E24" s="19">
        <f>E23/E11</f>
        <v>0.17816647187855353</v>
      </c>
      <c r="F24" s="19">
        <f>F23/F11</f>
        <v>0.20620768485358951</v>
      </c>
      <c r="G24" s="19">
        <f>G23/G11</f>
        <v>0.26711169154117881</v>
      </c>
      <c r="H24" s="29"/>
      <c r="I24" s="19">
        <f t="shared" ref="I24:W24" si="80">I23/I11</f>
        <v>0.25059537223204514</v>
      </c>
      <c r="J24" s="19">
        <f t="shared" si="80"/>
        <v>0.19802447660587189</v>
      </c>
      <c r="K24" s="19">
        <f t="shared" si="80"/>
        <v>0.19342638130743342</v>
      </c>
      <c r="L24" s="19">
        <f t="shared" si="80"/>
        <v>7.003314929229347E-2</v>
      </c>
      <c r="M24" s="19">
        <f t="shared" si="80"/>
        <v>0.21004917844176502</v>
      </c>
      <c r="N24" s="19">
        <f t="shared" si="80"/>
        <v>0.2231728136048742</v>
      </c>
      <c r="O24" s="19">
        <f t="shared" si="80"/>
        <v>0.22435828692943807</v>
      </c>
      <c r="P24" s="19">
        <f t="shared" si="80"/>
        <v>0.16938057756153874</v>
      </c>
      <c r="Q24" s="19">
        <f t="shared" si="80"/>
        <v>0.28094027601692118</v>
      </c>
      <c r="R24" s="19">
        <f t="shared" si="80"/>
        <v>0.27228293673915804</v>
      </c>
      <c r="S24" s="19">
        <f t="shared" si="80"/>
        <v>0.29613892654057833</v>
      </c>
      <c r="T24" s="19">
        <f t="shared" si="80"/>
        <v>0.22180872653945777</v>
      </c>
      <c r="U24" s="19">
        <f t="shared" si="80"/>
        <v>0.31746772039043514</v>
      </c>
      <c r="V24" s="19">
        <f t="shared" si="80"/>
        <v>0.34070199868834899</v>
      </c>
      <c r="W24" s="19">
        <f t="shared" si="80"/>
        <v>0.28220333306487833</v>
      </c>
      <c r="X24" s="30"/>
      <c r="Y24" s="19">
        <f t="shared" ref="Y24:AK24" si="81">Y23/Y11</f>
        <v>-0.42973895151237584</v>
      </c>
      <c r="Z24" s="19">
        <f t="shared" si="81"/>
        <v>-0.47966590278504045</v>
      </c>
      <c r="AA24" s="19">
        <f t="shared" si="81"/>
        <v>-0.47573803948778975</v>
      </c>
      <c r="AB24" s="19">
        <f t="shared" si="81"/>
        <v>-0.47874646229092133</v>
      </c>
      <c r="AC24" s="19">
        <f t="shared" si="81"/>
        <v>-0.46587178980462057</v>
      </c>
      <c r="AD24" s="19">
        <f t="shared" si="81"/>
        <v>-0.42877995463561625</v>
      </c>
      <c r="AE24" s="19">
        <f t="shared" si="81"/>
        <v>-0.39317095316406597</v>
      </c>
      <c r="AF24" s="19">
        <f t="shared" si="81"/>
        <v>-0.36138633405753851</v>
      </c>
      <c r="AG24" s="19">
        <f t="shared" si="81"/>
        <v>0.25649521628035943</v>
      </c>
      <c r="AH24" s="19">
        <f t="shared" si="81"/>
        <v>0.26711169154117881</v>
      </c>
      <c r="AI24" s="19">
        <f t="shared" si="81"/>
        <v>0.27710124680487624</v>
      </c>
      <c r="AJ24" s="19">
        <f t="shared" si="81"/>
        <v>0.29510666048212236</v>
      </c>
      <c r="AK24" s="19">
        <f t="shared" si="81"/>
        <v>0.2914490439762642</v>
      </c>
      <c r="AM24" s="473">
        <f>SUM(AK24-AG24)*10000</f>
        <v>349.53827695904772</v>
      </c>
    </row>
    <row r="25" spans="2:39" ht="5.0999999999999996" customHeight="1">
      <c r="AM25" s="470"/>
    </row>
    <row r="26" spans="2:39" ht="12.75" customHeight="1">
      <c r="B26" s="33" t="s">
        <v>652</v>
      </c>
      <c r="C26" s="515">
        <f>('Historical Financials'!E89)/1000</f>
        <v>115.71</v>
      </c>
      <c r="D26" s="515">
        <f>('Historical Financials'!F89)/1000</f>
        <v>208.41200000000001</v>
      </c>
      <c r="E26" s="515">
        <f>('Historical Financials'!G89)/1000</f>
        <v>336.68200000000002</v>
      </c>
      <c r="F26" s="515">
        <f>('Historical Financials'!H89)/1000</f>
        <v>356.947</v>
      </c>
      <c r="G26" s="515">
        <f>('Historical Financials'!I89)/1000</f>
        <v>328.91399999999999</v>
      </c>
      <c r="I26" s="515">
        <f>('Historical Financials'!O89)/1000</f>
        <v>74.602000000000004</v>
      </c>
      <c r="J26" s="515">
        <f>('Historical Financials'!P89)/1000</f>
        <v>83.504999999999995</v>
      </c>
      <c r="K26" s="515">
        <f>('Historical Financials'!Q89)/1000</f>
        <v>85.188000000000002</v>
      </c>
      <c r="L26" s="515">
        <f>('Historical Financials'!R89)/1000</f>
        <v>93.387</v>
      </c>
      <c r="M26" s="515">
        <f>('Historical Financials'!S89)/1000</f>
        <v>90.334999999999994</v>
      </c>
      <c r="N26" s="515">
        <f>('Historical Financials'!T89)/1000</f>
        <v>89.385000000000005</v>
      </c>
      <c r="O26" s="515">
        <f>('Historical Financials'!U89)/1000</f>
        <v>90.66</v>
      </c>
      <c r="P26" s="515">
        <f>('Historical Financials'!V89)/1000</f>
        <v>86.566999999999993</v>
      </c>
      <c r="Q26" s="515">
        <f>('Historical Financials'!W89)/1000</f>
        <v>87.233999999999995</v>
      </c>
      <c r="R26" s="515">
        <f>('Historical Financials'!X89)/1000</f>
        <v>81.227000000000004</v>
      </c>
      <c r="S26" s="515">
        <f>('Historical Financials'!Y89)/1000</f>
        <v>80.914000000000001</v>
      </c>
      <c r="T26" s="515">
        <f>('Historical Financials'!Z89)/1000</f>
        <v>79.539000000000001</v>
      </c>
      <c r="U26" s="515">
        <f>('Historical Financials'!AA89)/1000</f>
        <v>80.066999999999993</v>
      </c>
      <c r="V26" s="515">
        <f>('Historical Financials'!AB89)/1000</f>
        <v>80.013000000000005</v>
      </c>
      <c r="W26" s="515">
        <f>('Historical Financials'!AC89)/1000</f>
        <v>87.325999999999993</v>
      </c>
      <c r="Y26" s="11">
        <f t="shared" ref="Y26:AK26" si="82">SUM(H26:K26)</f>
        <v>243.29500000000002</v>
      </c>
      <c r="Z26" s="11">
        <f t="shared" si="82"/>
        <v>336.68200000000002</v>
      </c>
      <c r="AA26" s="11">
        <f t="shared" si="82"/>
        <v>352.41499999999996</v>
      </c>
      <c r="AB26" s="11">
        <f t="shared" si="82"/>
        <v>358.29499999999996</v>
      </c>
      <c r="AC26" s="11">
        <f t="shared" si="82"/>
        <v>363.76699999999994</v>
      </c>
      <c r="AD26" s="11">
        <f t="shared" si="82"/>
        <v>356.947</v>
      </c>
      <c r="AE26" s="11">
        <f t="shared" si="82"/>
        <v>353.846</v>
      </c>
      <c r="AF26" s="11">
        <f t="shared" si="82"/>
        <v>345.68799999999999</v>
      </c>
      <c r="AG26" s="11">
        <f t="shared" si="82"/>
        <v>335.94200000000001</v>
      </c>
      <c r="AH26" s="11">
        <f t="shared" si="82"/>
        <v>328.91399999999999</v>
      </c>
      <c r="AI26" s="11">
        <f t="shared" si="82"/>
        <v>321.74700000000001</v>
      </c>
      <c r="AJ26" s="11">
        <f t="shared" si="82"/>
        <v>320.53300000000002</v>
      </c>
      <c r="AK26" s="11">
        <f t="shared" si="82"/>
        <v>326.94499999999999</v>
      </c>
      <c r="AM26" s="471">
        <f>SUM(AK26/AG26)-1</f>
        <v>-2.6781408695548681E-2</v>
      </c>
    </row>
    <row r="27" spans="2:39" ht="12.75" customHeight="1">
      <c r="B27" s="33" t="s">
        <v>653</v>
      </c>
      <c r="C27" s="592">
        <f>-C15</f>
        <v>10806.912</v>
      </c>
      <c r="D27" s="592">
        <f t="shared" ref="D27:AK27" si="83">-D15</f>
        <v>12230.367</v>
      </c>
      <c r="E27" s="592">
        <f t="shared" si="83"/>
        <v>14026.132</v>
      </c>
      <c r="F27" s="592">
        <f t="shared" si="83"/>
        <v>14197.437</v>
      </c>
      <c r="G27" s="592">
        <f t="shared" si="83"/>
        <v>15301.517</v>
      </c>
      <c r="I27" s="592">
        <f t="shared" si="83"/>
        <v>3166.3649999999998</v>
      </c>
      <c r="J27" s="592">
        <f t="shared" si="83"/>
        <v>3261.348</v>
      </c>
      <c r="K27" s="592">
        <f t="shared" si="83"/>
        <v>3653.5920000000001</v>
      </c>
      <c r="L27" s="592">
        <f t="shared" si="83"/>
        <v>3944.8270000000002</v>
      </c>
      <c r="M27" s="592">
        <f t="shared" si="83"/>
        <v>3459.9839999999999</v>
      </c>
      <c r="N27" s="592">
        <f t="shared" si="83"/>
        <v>3410.0210000000002</v>
      </c>
      <c r="O27" s="592">
        <f t="shared" si="83"/>
        <v>3573.3530000000001</v>
      </c>
      <c r="P27" s="592">
        <f t="shared" si="83"/>
        <v>3754.0790000000002</v>
      </c>
      <c r="Q27" s="592">
        <f t="shared" si="83"/>
        <v>3670.8049999999998</v>
      </c>
      <c r="R27" s="592">
        <f t="shared" si="83"/>
        <v>3769.69</v>
      </c>
      <c r="S27" s="592">
        <f t="shared" si="83"/>
        <v>3699.5210000000002</v>
      </c>
      <c r="T27" s="592">
        <f t="shared" si="83"/>
        <v>4161.5010000000002</v>
      </c>
      <c r="U27" s="592">
        <f t="shared" si="83"/>
        <v>3823.1120000000001</v>
      </c>
      <c r="V27" s="592">
        <f t="shared" si="83"/>
        <v>3832.0740000000001</v>
      </c>
      <c r="W27" s="592">
        <f t="shared" si="83"/>
        <v>4002.7440000000001</v>
      </c>
      <c r="X27" s="592"/>
      <c r="Y27" s="592">
        <f t="shared" si="83"/>
        <v>10081.305</v>
      </c>
      <c r="Z27" s="592">
        <f t="shared" si="83"/>
        <v>14026.132000000001</v>
      </c>
      <c r="AA27" s="592">
        <f t="shared" si="83"/>
        <v>14319.751</v>
      </c>
      <c r="AB27" s="592">
        <f t="shared" si="83"/>
        <v>14468.424000000001</v>
      </c>
      <c r="AC27" s="592">
        <f t="shared" si="83"/>
        <v>14388.185000000001</v>
      </c>
      <c r="AD27" s="592">
        <f t="shared" si="83"/>
        <v>14197.437</v>
      </c>
      <c r="AE27" s="592">
        <f t="shared" si="83"/>
        <v>14408.258</v>
      </c>
      <c r="AF27" s="592">
        <f t="shared" si="83"/>
        <v>14767.927000000001</v>
      </c>
      <c r="AG27" s="592">
        <f t="shared" si="83"/>
        <v>14894.095000000001</v>
      </c>
      <c r="AH27" s="592">
        <f t="shared" si="83"/>
        <v>15301.517</v>
      </c>
      <c r="AI27" s="592">
        <f t="shared" si="83"/>
        <v>15453.824000000001</v>
      </c>
      <c r="AJ27" s="592">
        <f t="shared" si="83"/>
        <v>15516.208000000002</v>
      </c>
      <c r="AK27" s="592">
        <f t="shared" si="83"/>
        <v>15819.431</v>
      </c>
      <c r="AM27" s="471"/>
    </row>
    <row r="28" spans="2:39" ht="12.75" customHeight="1">
      <c r="B28" s="27" t="s">
        <v>11</v>
      </c>
      <c r="C28" s="28">
        <f>SUM(C23+SUM(C26:C27))</f>
        <v>15507.911</v>
      </c>
      <c r="D28" s="28">
        <f t="shared" ref="D28:G28" si="84">SUM(D23+SUM(D26:D27))</f>
        <v>18633.288</v>
      </c>
      <c r="E28" s="28">
        <f t="shared" si="84"/>
        <v>19995.645000000004</v>
      </c>
      <c r="F28" s="28">
        <f t="shared" si="84"/>
        <v>21508.387000000002</v>
      </c>
      <c r="G28" s="28">
        <f t="shared" si="84"/>
        <v>26048.045000000002</v>
      </c>
      <c r="I28" s="28">
        <f t="shared" ref="I28" si="85">SUM(I23+SUM(I26:I27))</f>
        <v>5212.5930000000008</v>
      </c>
      <c r="J28" s="28">
        <f t="shared" ref="J28" si="86">SUM(J23+SUM(J26:J27))</f>
        <v>4923.1360000000004</v>
      </c>
      <c r="K28" s="28">
        <f t="shared" ref="K28" si="87">SUM(K23+SUM(K26:K27))</f>
        <v>5271.7980000000007</v>
      </c>
      <c r="L28" s="28">
        <f t="shared" ref="L28" si="88">SUM(L23+SUM(L26:L27))</f>
        <v>4588.1180000000013</v>
      </c>
      <c r="M28" s="28">
        <f t="shared" ref="M28" si="89">SUM(M23+SUM(M26:M27))</f>
        <v>5264.6360000000004</v>
      </c>
      <c r="N28" s="28">
        <f t="shared" ref="N28" si="90">SUM(N23+SUM(N26:N27))</f>
        <v>5326.5890000000009</v>
      </c>
      <c r="O28" s="28">
        <f t="shared" ref="O28" si="91">SUM(O23+SUM(O26:O27))</f>
        <v>5580.4069999999992</v>
      </c>
      <c r="P28" s="28">
        <f t="shared" ref="P28" si="92">SUM(P23+SUM(P26:P27))</f>
        <v>5336.7549999999983</v>
      </c>
      <c r="Q28" s="28">
        <f t="shared" ref="Q28" si="93">SUM(Q23+SUM(Q26:Q27))</f>
        <v>6390.5729999999985</v>
      </c>
      <c r="R28" s="28">
        <f t="shared" ref="R28" si="94">SUM(R23+SUM(R26:R27))</f>
        <v>6453.7540000000008</v>
      </c>
      <c r="S28" s="28">
        <f t="shared" ref="S28" si="95">SUM(S23+SUM(S26:S27))</f>
        <v>6689.9120000000003</v>
      </c>
      <c r="T28" s="28">
        <f t="shared" ref="T28" si="96">SUM(T23+SUM(T26:T27))</f>
        <v>6513.8059999999987</v>
      </c>
      <c r="U28" s="28">
        <f t="shared" ref="U28" si="97">SUM(U23+SUM(U26:U27))</f>
        <v>7250.1779999999999</v>
      </c>
      <c r="V28" s="28">
        <f t="shared" ref="V28" si="98">SUM(V23+SUM(V26:V27))</f>
        <v>7686.7810000000009</v>
      </c>
      <c r="W28" s="28">
        <f t="shared" ref="W28" si="99">SUM(W23+SUM(W26:W27))</f>
        <v>7338.3170000000009</v>
      </c>
      <c r="Y28" s="28">
        <f t="shared" ref="Y28" si="100">SUM(Y23+SUM(Y26:Y27))</f>
        <v>5816.7020000000011</v>
      </c>
      <c r="Z28" s="28">
        <f t="shared" ref="Z28" si="101">SUM(Z23+SUM(Z26:Z27))</f>
        <v>7606.8910000000014</v>
      </c>
      <c r="AA28" s="28">
        <f t="shared" ref="AA28" si="102">SUM(AA23+SUM(AA26:AA27))</f>
        <v>7848.7200000000021</v>
      </c>
      <c r="AB28" s="28">
        <f t="shared" ref="AB28" si="103">SUM(AB23+SUM(AB26:AB27))</f>
        <v>7930.6400000000012</v>
      </c>
      <c r="AC28" s="28">
        <f t="shared" ref="AC28" si="104">SUM(AC23+SUM(AC26:AC27))</f>
        <v>7979.1</v>
      </c>
      <c r="AD28" s="28">
        <f t="shared" ref="AD28" si="105">SUM(AD23+SUM(AD26:AD27))</f>
        <v>8176.8040000000001</v>
      </c>
      <c r="AE28" s="28">
        <f t="shared" ref="AE28" si="106">SUM(AE23+SUM(AE26:AE27))</f>
        <v>8672.1009999999987</v>
      </c>
      <c r="AF28" s="28">
        <f t="shared" ref="AF28" si="107">SUM(AF23+SUM(AF26:AF27))</f>
        <v>9264.3729999999996</v>
      </c>
      <c r="AG28" s="28">
        <f t="shared" ref="AG28" si="108">SUM(AG23+SUM(AG26:AG27))</f>
        <v>24870.993999999995</v>
      </c>
      <c r="AH28" s="28">
        <f t="shared" ref="AH28" si="109">SUM(AH23+SUM(AH26:AH27))</f>
        <v>26048.045000000002</v>
      </c>
      <c r="AI28" s="28">
        <f t="shared" ref="AI28" si="110">SUM(AI23+SUM(AI26:AI27))</f>
        <v>26907.649999999998</v>
      </c>
      <c r="AJ28" s="28">
        <f t="shared" ref="AJ28" si="111">SUM(AJ23+SUM(AJ26:AJ27))</f>
        <v>28140.676999999996</v>
      </c>
      <c r="AK28" s="28">
        <f t="shared" ref="AK28" si="112">SUM(AK23+SUM(AK26:AK27))</f>
        <v>28789.081999999995</v>
      </c>
      <c r="AM28" s="472">
        <f>SUM(AK28/AG28)-1</f>
        <v>0.15753644586943327</v>
      </c>
    </row>
    <row r="29" spans="2:39" ht="12.75" customHeight="1">
      <c r="B29" s="17" t="s">
        <v>51</v>
      </c>
      <c r="C29" s="19">
        <f>C28/C11</f>
        <v>0.62041431656258095</v>
      </c>
      <c r="D29" s="19">
        <f>D28/D11</f>
        <v>0.6274289810398358</v>
      </c>
      <c r="E29" s="19">
        <f>E28/E11</f>
        <v>0.63246234843297056</v>
      </c>
      <c r="F29" s="19">
        <f>F28/F11</f>
        <v>0.63779016031558255</v>
      </c>
      <c r="G29" s="19">
        <f>G28/G11</f>
        <v>0.66788204681904551</v>
      </c>
      <c r="I29" s="19">
        <f t="shared" ref="I29:W29" si="113">I28/I11</f>
        <v>0.66252508494468643</v>
      </c>
      <c r="J29" s="19">
        <f t="shared" si="113"/>
        <v>0.6176974786267897</v>
      </c>
      <c r="K29" s="19">
        <f t="shared" si="113"/>
        <v>0.66516166811072353</v>
      </c>
      <c r="L29" s="19">
        <f t="shared" si="113"/>
        <v>0.58432081393235635</v>
      </c>
      <c r="M29" s="19">
        <f t="shared" si="113"/>
        <v>0.64505716655375855</v>
      </c>
      <c r="N29" s="19">
        <f t="shared" si="113"/>
        <v>0.65059156857675082</v>
      </c>
      <c r="O29" s="19">
        <f t="shared" si="113"/>
        <v>0.65331583948240546</v>
      </c>
      <c r="P29" s="19">
        <f t="shared" si="113"/>
        <v>0.60419571314953013</v>
      </c>
      <c r="Q29" s="19">
        <f t="shared" si="113"/>
        <v>0.68199284131801707</v>
      </c>
      <c r="R29" s="19">
        <f t="shared" si="113"/>
        <v>0.67512759812162171</v>
      </c>
      <c r="S29" s="19">
        <f t="shared" si="113"/>
        <v>0.68092765755870688</v>
      </c>
      <c r="T29" s="19">
        <f t="shared" si="113"/>
        <v>0.63570953357498294</v>
      </c>
      <c r="U29" s="19">
        <f t="shared" si="113"/>
        <v>0.68768992225121206</v>
      </c>
      <c r="V29" s="19">
        <f t="shared" si="113"/>
        <v>0.69380502106385988</v>
      </c>
      <c r="W29" s="19">
        <f t="shared" si="113"/>
        <v>0.63754311679089015</v>
      </c>
      <c r="Y29" s="19">
        <f t="shared" ref="Y29:AK29" si="114">Y28/Y11</f>
        <v>0.55450753737993641</v>
      </c>
      <c r="Z29" s="19">
        <f t="shared" si="114"/>
        <v>0.54008404756868889</v>
      </c>
      <c r="AA29" s="19">
        <f t="shared" si="114"/>
        <v>0.54722125232450092</v>
      </c>
      <c r="AB29" s="19">
        <f t="shared" si="114"/>
        <v>0.55056878607435811</v>
      </c>
      <c r="AC29" s="19">
        <f t="shared" si="114"/>
        <v>0.5488437659689076</v>
      </c>
      <c r="AD29" s="19">
        <f t="shared" si="114"/>
        <v>0.54974608678908388</v>
      </c>
      <c r="AE29" s="19">
        <f t="shared" si="114"/>
        <v>0.55987135246157493</v>
      </c>
      <c r="AF29" s="19">
        <f t="shared" si="114"/>
        <v>0.57238489975481244</v>
      </c>
      <c r="AG29" s="19">
        <f t="shared" si="114"/>
        <v>0.66168648871035551</v>
      </c>
      <c r="AH29" s="19">
        <f t="shared" si="114"/>
        <v>0.66788204681904551</v>
      </c>
      <c r="AI29" s="19">
        <f t="shared" si="114"/>
        <v>0.66978893732152178</v>
      </c>
      <c r="AJ29" s="19">
        <f t="shared" si="114"/>
        <v>0.67494671730867839</v>
      </c>
      <c r="AK29" s="19">
        <f t="shared" si="114"/>
        <v>0.66366728972850253</v>
      </c>
      <c r="AM29" s="473">
        <f>SUM(AK29-AG29)*10000</f>
        <v>19.808010181470159</v>
      </c>
    </row>
    <row r="30" spans="2:39" ht="5.0999999999999996" customHeight="1">
      <c r="AM30" s="470"/>
    </row>
    <row r="31" spans="2:39" ht="12.75" customHeight="1">
      <c r="B31" s="33" t="s">
        <v>52</v>
      </c>
      <c r="C31" s="515">
        <f>('Historical Financials'!E90)/1000</f>
        <v>415.18</v>
      </c>
      <c r="D31" s="515">
        <f>('Historical Financials'!F90)/1000</f>
        <v>403.22</v>
      </c>
      <c r="E31" s="515">
        <f>('Historical Financials'!G90)/1000</f>
        <v>575.452</v>
      </c>
      <c r="F31" s="515">
        <f>('Historical Financials'!H90)/1000</f>
        <v>339.36799999999999</v>
      </c>
      <c r="G31" s="515">
        <f>('Historical Financials'!I90)/1000</f>
        <v>272.58800000000002</v>
      </c>
      <c r="I31" s="515">
        <f>('Historical Financials'!O90)/1000</f>
        <v>119.209</v>
      </c>
      <c r="J31" s="515">
        <f>('Historical Financials'!P90)/1000</f>
        <v>150.392</v>
      </c>
      <c r="K31" s="515">
        <f>('Historical Financials'!Q90)/1000</f>
        <v>152.06200000000001</v>
      </c>
      <c r="L31" s="515">
        <f>('Historical Financials'!R90)/1000</f>
        <v>153.78899999999999</v>
      </c>
      <c r="M31" s="515">
        <f>('Historical Financials'!S90)/1000</f>
        <v>99.099000000000004</v>
      </c>
      <c r="N31" s="515">
        <f>('Historical Financials'!T90)/1000</f>
        <v>78.03</v>
      </c>
      <c r="O31" s="515">
        <f>('Historical Financials'!U90)/1000</f>
        <v>79.72</v>
      </c>
      <c r="P31" s="515">
        <f>('Historical Financials'!V90)/1000</f>
        <v>82.519000000000005</v>
      </c>
      <c r="Q31" s="515">
        <f>('Historical Financials'!W90)/1000</f>
        <v>76.344999999999999</v>
      </c>
      <c r="R31" s="515">
        <f>('Historical Financials'!X90)/1000</f>
        <v>68.766000000000005</v>
      </c>
      <c r="S31" s="515">
        <f>('Historical Financials'!Y90)/1000</f>
        <v>65.650000000000006</v>
      </c>
      <c r="T31" s="515">
        <f>('Historical Financials'!Z90)/1000</f>
        <v>61.826999999999998</v>
      </c>
      <c r="U31" s="515">
        <f>('Historical Financials'!AA90)/1000</f>
        <v>71.977000000000004</v>
      </c>
      <c r="V31" s="515">
        <f>('Historical Financials'!AB90)/1000</f>
        <v>80.861999999999995</v>
      </c>
      <c r="W31" s="515">
        <f>('Historical Financials'!AC90)/1000</f>
        <v>80.986000000000004</v>
      </c>
      <c r="Y31" s="11">
        <f t="shared" ref="Y31:AK31" si="115">SUM(H31:K31)</f>
        <v>421.66300000000001</v>
      </c>
      <c r="Z31" s="11">
        <f t="shared" si="115"/>
        <v>575.452</v>
      </c>
      <c r="AA31" s="11">
        <f t="shared" si="115"/>
        <v>555.34199999999998</v>
      </c>
      <c r="AB31" s="11">
        <f t="shared" si="115"/>
        <v>482.98</v>
      </c>
      <c r="AC31" s="11">
        <f t="shared" si="115"/>
        <v>410.63800000000003</v>
      </c>
      <c r="AD31" s="11">
        <f t="shared" si="115"/>
        <v>339.36800000000005</v>
      </c>
      <c r="AE31" s="11">
        <f t="shared" si="115"/>
        <v>316.61400000000003</v>
      </c>
      <c r="AF31" s="11">
        <f t="shared" si="115"/>
        <v>307.35000000000002</v>
      </c>
      <c r="AG31" s="516">
        <f t="shared" si="115"/>
        <v>293.27999999999997</v>
      </c>
      <c r="AH31" s="516">
        <f t="shared" si="115"/>
        <v>272.58799999999997</v>
      </c>
      <c r="AI31" s="516">
        <f t="shared" si="115"/>
        <v>268.22000000000003</v>
      </c>
      <c r="AJ31" s="516">
        <f t="shared" si="115"/>
        <v>280.31600000000003</v>
      </c>
      <c r="AK31" s="516">
        <f t="shared" si="115"/>
        <v>295.65199999999999</v>
      </c>
      <c r="AM31" s="471">
        <f>SUM(AK31/AG31)-1</f>
        <v>8.0878341516639196E-3</v>
      </c>
    </row>
    <row r="32" spans="2:39" ht="12.75" customHeight="1">
      <c r="B32" s="14" t="s">
        <v>53</v>
      </c>
      <c r="C32" s="15">
        <f>+SUM(C28+SUM(C31:C31))</f>
        <v>15923.091</v>
      </c>
      <c r="D32" s="15">
        <f>+SUM(D28+SUM(D31:D31))</f>
        <v>19036.508000000002</v>
      </c>
      <c r="E32" s="15">
        <f>+SUM(E28+SUM(E31:E31))</f>
        <v>20571.097000000005</v>
      </c>
      <c r="F32" s="15">
        <f>+SUM(F28+SUM(F31:F31))</f>
        <v>21847.755000000001</v>
      </c>
      <c r="G32" s="15">
        <f>+SUM(G28+SUM(G31:G31))</f>
        <v>26320.633000000002</v>
      </c>
      <c r="H32" s="12"/>
      <c r="I32" s="15">
        <f t="shared" ref="I32:W32" si="116">+SUM(I28+SUM(I31:I31))</f>
        <v>5331.8020000000006</v>
      </c>
      <c r="J32" s="15">
        <f t="shared" si="116"/>
        <v>5073.5280000000002</v>
      </c>
      <c r="K32" s="15">
        <f t="shared" si="116"/>
        <v>5423.8600000000006</v>
      </c>
      <c r="L32" s="15">
        <f t="shared" si="116"/>
        <v>4741.9070000000011</v>
      </c>
      <c r="M32" s="15">
        <f t="shared" si="116"/>
        <v>5363.7350000000006</v>
      </c>
      <c r="N32" s="15">
        <f t="shared" si="116"/>
        <v>5404.6190000000006</v>
      </c>
      <c r="O32" s="15">
        <f t="shared" si="116"/>
        <v>5660.1269999999995</v>
      </c>
      <c r="P32" s="15">
        <f t="shared" si="116"/>
        <v>5419.2739999999985</v>
      </c>
      <c r="Q32" s="15">
        <f t="shared" si="116"/>
        <v>6466.9179999999988</v>
      </c>
      <c r="R32" s="15">
        <f t="shared" si="116"/>
        <v>6522.52</v>
      </c>
      <c r="S32" s="15">
        <f t="shared" si="116"/>
        <v>6755.5619999999999</v>
      </c>
      <c r="T32" s="15">
        <f t="shared" si="116"/>
        <v>6575.6329999999989</v>
      </c>
      <c r="U32" s="15">
        <f t="shared" si="116"/>
        <v>7322.1549999999997</v>
      </c>
      <c r="V32" s="15">
        <f t="shared" si="116"/>
        <v>7767.6430000000009</v>
      </c>
      <c r="W32" s="15">
        <f t="shared" si="116"/>
        <v>7419.3030000000008</v>
      </c>
      <c r="Y32" s="15">
        <f t="shared" ref="Y32:AK32" si="117">+SUM(Y28+SUM(Y31:Y31))</f>
        <v>6238.3650000000016</v>
      </c>
      <c r="Z32" s="15">
        <f t="shared" si="117"/>
        <v>8182.3430000000017</v>
      </c>
      <c r="AA32" s="15">
        <f t="shared" si="117"/>
        <v>8404.0620000000017</v>
      </c>
      <c r="AB32" s="15">
        <f t="shared" si="117"/>
        <v>8413.6200000000008</v>
      </c>
      <c r="AC32" s="15">
        <f t="shared" si="117"/>
        <v>8389.7380000000012</v>
      </c>
      <c r="AD32" s="15">
        <f t="shared" si="117"/>
        <v>8516.1720000000005</v>
      </c>
      <c r="AE32" s="15">
        <f t="shared" si="117"/>
        <v>8988.7149999999983</v>
      </c>
      <c r="AF32" s="15">
        <f t="shared" si="117"/>
        <v>9571.723</v>
      </c>
      <c r="AG32" s="15">
        <f t="shared" si="117"/>
        <v>25164.273999999994</v>
      </c>
      <c r="AH32" s="15">
        <f t="shared" si="117"/>
        <v>26320.633000000002</v>
      </c>
      <c r="AI32" s="15">
        <f t="shared" si="117"/>
        <v>27175.87</v>
      </c>
      <c r="AJ32" s="15">
        <f t="shared" si="117"/>
        <v>28420.992999999995</v>
      </c>
      <c r="AK32" s="15">
        <f t="shared" si="117"/>
        <v>29084.733999999993</v>
      </c>
      <c r="AM32" s="472">
        <f>SUM(AK32/AG32)-1</f>
        <v>0.15579467939349256</v>
      </c>
    </row>
    <row r="33" spans="2:39" ht="12.75" customHeight="1">
      <c r="B33" s="17" t="s">
        <v>54</v>
      </c>
      <c r="C33" s="19">
        <f>C32/C11</f>
        <v>0.63702413692784177</v>
      </c>
      <c r="D33" s="19">
        <f>D32/D11</f>
        <v>0.6410063976361382</v>
      </c>
      <c r="E33" s="19">
        <f>E32/E11</f>
        <v>0.65066389798690849</v>
      </c>
      <c r="F33" s="19">
        <f>F32/F11</f>
        <v>0.64785347055479192</v>
      </c>
      <c r="G33" s="19">
        <f>G32/G11</f>
        <v>0.67487130959781871</v>
      </c>
      <c r="I33" s="19">
        <f t="shared" ref="I33:W33" si="118">I32/I11</f>
        <v>0.67767665209201033</v>
      </c>
      <c r="J33" s="19">
        <f t="shared" si="118"/>
        <v>0.63656690640730196</v>
      </c>
      <c r="K33" s="19">
        <f t="shared" si="118"/>
        <v>0.68434787622724325</v>
      </c>
      <c r="L33" s="19">
        <f t="shared" si="118"/>
        <v>0.60390664708962105</v>
      </c>
      <c r="M33" s="19">
        <f t="shared" si="118"/>
        <v>0.65719941535278492</v>
      </c>
      <c r="N33" s="19">
        <f t="shared" si="118"/>
        <v>0.66012218190097083</v>
      </c>
      <c r="O33" s="19">
        <f t="shared" si="118"/>
        <v>0.66264891119626745</v>
      </c>
      <c r="P33" s="19">
        <f t="shared" si="118"/>
        <v>0.61353802435800542</v>
      </c>
      <c r="Q33" s="19">
        <f t="shared" si="118"/>
        <v>0.69014027089442964</v>
      </c>
      <c r="R33" s="19">
        <f t="shared" si="118"/>
        <v>0.68232121356039288</v>
      </c>
      <c r="S33" s="19">
        <f t="shared" si="118"/>
        <v>0.68760979339528128</v>
      </c>
      <c r="T33" s="19">
        <f t="shared" si="118"/>
        <v>0.64174348873611931</v>
      </c>
      <c r="U33" s="19">
        <f t="shared" si="118"/>
        <v>0.69451704532789726</v>
      </c>
      <c r="V33" s="19">
        <f t="shared" si="118"/>
        <v>0.70110358487272417</v>
      </c>
      <c r="W33" s="19">
        <f t="shared" si="118"/>
        <v>0.64457907160947148</v>
      </c>
      <c r="Y33" s="19">
        <f t="shared" ref="Y33:AK33" si="119">Y32/Y11</f>
        <v>0.59470476799863348</v>
      </c>
      <c r="Z33" s="19">
        <f t="shared" si="119"/>
        <v>0.58094074517898686</v>
      </c>
      <c r="AA33" s="19">
        <f t="shared" si="119"/>
        <v>0.58594029755842358</v>
      </c>
      <c r="AB33" s="19">
        <f t="shared" si="119"/>
        <v>0.58409870450442081</v>
      </c>
      <c r="AC33" s="19">
        <f t="shared" si="119"/>
        <v>0.5770895714319223</v>
      </c>
      <c r="AD33" s="19">
        <f t="shared" si="119"/>
        <v>0.57256260898790856</v>
      </c>
      <c r="AE33" s="19">
        <f t="shared" si="119"/>
        <v>0.58031197099084131</v>
      </c>
      <c r="AF33" s="19">
        <f t="shared" si="119"/>
        <v>0.59137404224072498</v>
      </c>
      <c r="AG33" s="19">
        <f t="shared" si="119"/>
        <v>0.66948912874191091</v>
      </c>
      <c r="AH33" s="19">
        <f t="shared" si="119"/>
        <v>0.67487130959781871</v>
      </c>
      <c r="AI33" s="19">
        <f t="shared" si="119"/>
        <v>0.67646550657853155</v>
      </c>
      <c r="AJ33" s="19">
        <f t="shared" si="119"/>
        <v>0.68167002265094501</v>
      </c>
      <c r="AK33" s="19">
        <f t="shared" si="119"/>
        <v>0.67048287910862969</v>
      </c>
      <c r="AM33" s="473">
        <f>SUM(AK33-AG33)*10000</f>
        <v>9.9375036671878192</v>
      </c>
    </row>
    <row r="34" spans="2:39" ht="5.0999999999999996" customHeight="1">
      <c r="AM34" s="470"/>
    </row>
    <row r="35" spans="2:39" ht="12.75" customHeight="1">
      <c r="B35" s="25" t="s">
        <v>55</v>
      </c>
      <c r="C35" s="515">
        <f>('Historical Financials'!E103)/1000</f>
        <v>-497.923</v>
      </c>
      <c r="D35" s="515">
        <f>('Historical Financials'!F103)/1000</f>
        <v>-524.58500000000004</v>
      </c>
      <c r="E35" s="515">
        <f>('Historical Financials'!G103)/1000</f>
        <v>-407.72899999999998</v>
      </c>
      <c r="F35" s="515">
        <f>('Historical Financials'!H103)/1000</f>
        <v>-348.55200000000002</v>
      </c>
      <c r="G35" s="515">
        <f>('Historical Financials'!I103)/1000</f>
        <v>-439.53800000000001</v>
      </c>
      <c r="I35" s="515">
        <f>('Historical Financials'!O103)/1000</f>
        <v>-121.158</v>
      </c>
      <c r="J35" s="515">
        <f>('Historical Financials'!P103)/1000</f>
        <v>-90.018000000000001</v>
      </c>
      <c r="K35" s="515">
        <f>('Historical Financials'!Q103)/1000</f>
        <v>-84.96</v>
      </c>
      <c r="L35" s="515">
        <f>('Historical Financials'!R103)/1000</f>
        <v>-111.593</v>
      </c>
      <c r="M35" s="515">
        <f>('Historical Financials'!S103)/1000</f>
        <v>-62.018999999999998</v>
      </c>
      <c r="N35" s="515">
        <f>('Historical Financials'!T103)/1000</f>
        <v>-100.97199999999999</v>
      </c>
      <c r="O35" s="515">
        <f>('Historical Financials'!U103)/1000</f>
        <v>-103.929</v>
      </c>
      <c r="P35" s="515">
        <f>('Historical Financials'!V103)/1000</f>
        <v>-81.632000000000005</v>
      </c>
      <c r="Q35" s="515">
        <f>('Historical Financials'!W103)/1000</f>
        <v>-75.713999999999999</v>
      </c>
      <c r="R35" s="515">
        <f>('Historical Financials'!X103)/1000</f>
        <v>-78.287000000000006</v>
      </c>
      <c r="S35" s="515">
        <f>('Historical Financials'!Y103)/1000</f>
        <v>-126.863</v>
      </c>
      <c r="T35" s="515">
        <f>('Historical Financials'!Z103)/1000</f>
        <v>-158.67400000000001</v>
      </c>
      <c r="U35" s="515">
        <f>('Historical Financials'!AA103)/1000</f>
        <v>-128.27699999999999</v>
      </c>
      <c r="V35" s="515">
        <f>('Historical Financials'!AB103)/1000</f>
        <v>-155.88900000000001</v>
      </c>
      <c r="W35" s="515">
        <f>('Historical Financials'!AC103)/1000</f>
        <v>-164.71899999999999</v>
      </c>
      <c r="Y35" s="11">
        <f t="shared" ref="Y35:AK38" si="120">SUM(H35:K35)</f>
        <v>-296.13599999999997</v>
      </c>
      <c r="Z35" s="11">
        <f t="shared" si="120"/>
        <v>-407.72899999999998</v>
      </c>
      <c r="AA35" s="11">
        <f t="shared" si="120"/>
        <v>-348.59000000000003</v>
      </c>
      <c r="AB35" s="11">
        <f t="shared" si="120"/>
        <v>-359.54399999999998</v>
      </c>
      <c r="AC35" s="11">
        <f t="shared" si="120"/>
        <v>-378.51300000000003</v>
      </c>
      <c r="AD35" s="11">
        <f t="shared" si="120"/>
        <v>-348.55199999999996</v>
      </c>
      <c r="AE35" s="11">
        <f t="shared" si="120"/>
        <v>-362.24700000000001</v>
      </c>
      <c r="AF35" s="11">
        <f t="shared" si="120"/>
        <v>-339.56200000000001</v>
      </c>
      <c r="AG35" s="516">
        <f t="shared" si="120"/>
        <v>-362.49599999999998</v>
      </c>
      <c r="AH35" s="516">
        <f t="shared" si="120"/>
        <v>-439.53800000000001</v>
      </c>
      <c r="AI35" s="516">
        <f t="shared" si="120"/>
        <v>-492.101</v>
      </c>
      <c r="AJ35" s="516">
        <f t="shared" si="120"/>
        <v>-569.70299999999997</v>
      </c>
      <c r="AK35" s="516">
        <f t="shared" si="120"/>
        <v>-607.55899999999997</v>
      </c>
      <c r="AM35" s="471">
        <f>SUM(AK35/AG35)-1</f>
        <v>0.67604332185734473</v>
      </c>
    </row>
    <row r="36" spans="2:39" ht="12.75" customHeight="1">
      <c r="B36" s="25" t="s">
        <v>56</v>
      </c>
      <c r="C36" s="515">
        <f>-('Historical Financials'!E133)/1000</f>
        <v>-291.58199999999999</v>
      </c>
      <c r="D36" s="515">
        <f>-('Historical Financials'!F133)/1000</f>
        <v>-509.26499999999999</v>
      </c>
      <c r="E36" s="515">
        <f>-('Historical Financials'!G133)/1000</f>
        <v>-811.72</v>
      </c>
      <c r="F36" s="515">
        <f>-('Historical Financials'!H133)/1000</f>
        <v>-1154.973</v>
      </c>
      <c r="G36" s="515">
        <f>-('Historical Financials'!I133)/1000</f>
        <v>-1641.53</v>
      </c>
      <c r="I36" s="515">
        <f>('Historical Financials'!O31)/1000</f>
        <v>-382.245</v>
      </c>
      <c r="J36" s="515">
        <f>('Historical Financials'!P31)/1000</f>
        <v>-182.10300000000001</v>
      </c>
      <c r="K36" s="515">
        <f>('Historical Financials'!Q31)/1000</f>
        <v>-223.60499999999999</v>
      </c>
      <c r="L36" s="515">
        <f>('Historical Financials'!R31)/1000</f>
        <v>15.948</v>
      </c>
      <c r="M36" s="515">
        <f>('Historical Financials'!S31)/1000</f>
        <v>-163.75399999999999</v>
      </c>
      <c r="N36" s="515">
        <f>('Historical Financials'!T31)/1000</f>
        <v>-191.72200000000001</v>
      </c>
      <c r="O36" s="515">
        <f>('Historical Financials'!U31)/1000</f>
        <v>-231.62700000000001</v>
      </c>
      <c r="P36" s="515">
        <f>('Historical Financials'!V31)/1000</f>
        <v>-210.31200000000001</v>
      </c>
      <c r="Q36" s="515">
        <f>('Historical Financials'!W31)/1000</f>
        <v>-282.37</v>
      </c>
      <c r="R36" s="515">
        <f>('Historical Financials'!X31)/1000</f>
        <v>-366.55</v>
      </c>
      <c r="S36" s="515">
        <f>('Historical Financials'!Y31)/1000</f>
        <v>-339.44499999999999</v>
      </c>
      <c r="T36" s="515">
        <f>('Historical Financials'!Z31)/1000</f>
        <v>-265.661</v>
      </c>
      <c r="U36" s="515">
        <f>('Historical Financials'!AA31)/1000</f>
        <v>-323.375</v>
      </c>
      <c r="V36" s="515">
        <f>('Historical Financials'!AB31)/1000</f>
        <v>-506.262</v>
      </c>
      <c r="W36" s="515">
        <f>('Historical Financials'!AC31)/1000</f>
        <v>-562.49400000000003</v>
      </c>
      <c r="Y36" s="11">
        <f t="shared" si="120"/>
        <v>-787.95299999999997</v>
      </c>
      <c r="Z36" s="11">
        <f t="shared" si="120"/>
        <v>-772.005</v>
      </c>
      <c r="AA36" s="11">
        <f t="shared" si="120"/>
        <v>-553.51400000000001</v>
      </c>
      <c r="AB36" s="11">
        <f t="shared" si="120"/>
        <v>-563.13299999999992</v>
      </c>
      <c r="AC36" s="11">
        <f t="shared" si="120"/>
        <v>-571.15499999999997</v>
      </c>
      <c r="AD36" s="11">
        <f t="shared" si="120"/>
        <v>-797.41500000000008</v>
      </c>
      <c r="AE36" s="11">
        <f t="shared" si="120"/>
        <v>-916.03100000000006</v>
      </c>
      <c r="AF36" s="11">
        <f t="shared" si="120"/>
        <v>-1090.8589999999999</v>
      </c>
      <c r="AG36" s="516">
        <f t="shared" si="120"/>
        <v>-1198.6769999999999</v>
      </c>
      <c r="AH36" s="516">
        <f t="shared" si="120"/>
        <v>-1254.0260000000001</v>
      </c>
      <c r="AI36" s="516">
        <f t="shared" si="120"/>
        <v>-1295.0309999999999</v>
      </c>
      <c r="AJ36" s="516">
        <f t="shared" si="120"/>
        <v>-1434.7429999999999</v>
      </c>
      <c r="AK36" s="516">
        <f t="shared" si="120"/>
        <v>-1657.7919999999999</v>
      </c>
      <c r="AM36" s="471">
        <f>SUM(AK36/AG36)-1</f>
        <v>0.38301811080049086</v>
      </c>
    </row>
    <row r="37" spans="2:39" ht="12.75" customHeight="1">
      <c r="B37" s="25" t="s">
        <v>250</v>
      </c>
      <c r="C37" s="515">
        <f>-('Historical Financials'!E134)/1000</f>
        <v>-762.904</v>
      </c>
      <c r="D37" s="515">
        <f>-('Historical Financials'!F134)/1000</f>
        <v>-763.43200000000002</v>
      </c>
      <c r="E37" s="515">
        <f>-('Historical Financials'!G134)/1000</f>
        <v>-701.69299999999998</v>
      </c>
      <c r="F37" s="515">
        <f>-('Historical Financials'!H134)/1000</f>
        <v>-684.50400000000002</v>
      </c>
      <c r="G37" s="515">
        <f>-('Historical Financials'!I134)/1000</f>
        <v>-674.50199999999995</v>
      </c>
      <c r="I37" s="515">
        <f>('Historical Financials'!O26)/1000</f>
        <v>-187.57900000000001</v>
      </c>
      <c r="J37" s="515">
        <f>('Historical Financials'!P26)/1000</f>
        <v>-175.45500000000001</v>
      </c>
      <c r="K37" s="515">
        <f>('Historical Financials'!Q26)/1000</f>
        <v>-172.57499999999999</v>
      </c>
      <c r="L37" s="515">
        <f>('Historical Financials'!R26)/1000</f>
        <v>-170.60300000000001</v>
      </c>
      <c r="M37" s="515">
        <f>('Historical Financials'!S26)/1000</f>
        <v>-174.239</v>
      </c>
      <c r="N37" s="515">
        <f>('Historical Financials'!T26)/1000</f>
        <v>-174.81200000000001</v>
      </c>
      <c r="O37" s="515">
        <f>('Historical Financials'!U26)/1000</f>
        <v>-175.56299999999999</v>
      </c>
      <c r="P37" s="515">
        <f>('Historical Financials'!V26)/1000</f>
        <v>-175.21199999999999</v>
      </c>
      <c r="Q37" s="515">
        <f>('Historical Financials'!W26)/1000</f>
        <v>-173.31399999999999</v>
      </c>
      <c r="R37" s="515">
        <f>('Historical Financials'!X26)/1000</f>
        <v>-167.98599999999999</v>
      </c>
      <c r="S37" s="515">
        <f>('Historical Financials'!Y26)/1000</f>
        <v>-184.83</v>
      </c>
      <c r="T37" s="515">
        <f>('Historical Financials'!Z26)/1000</f>
        <v>-192.60300000000001</v>
      </c>
      <c r="U37" s="515">
        <f>('Historical Financials'!AA26)/1000</f>
        <v>-184.172</v>
      </c>
      <c r="V37" s="515">
        <f>('Historical Financials'!AB26)/1000</f>
        <v>-182.649</v>
      </c>
      <c r="W37" s="515">
        <f>('Historical Financials'!AC26)/1000</f>
        <v>-175.29400000000001</v>
      </c>
      <c r="Y37" s="11">
        <f t="shared" si="120"/>
        <v>-535.60899999999992</v>
      </c>
      <c r="Z37" s="11">
        <f t="shared" si="120"/>
        <v>-706.21199999999999</v>
      </c>
      <c r="AA37" s="11">
        <f t="shared" si="120"/>
        <v>-692.87200000000007</v>
      </c>
      <c r="AB37" s="11">
        <f t="shared" si="120"/>
        <v>-692.22900000000004</v>
      </c>
      <c r="AC37" s="11">
        <f t="shared" si="120"/>
        <v>-695.21699999999998</v>
      </c>
      <c r="AD37" s="11">
        <f t="shared" si="120"/>
        <v>-699.82600000000002</v>
      </c>
      <c r="AE37" s="11">
        <f t="shared" si="120"/>
        <v>-698.90099999999995</v>
      </c>
      <c r="AF37" s="11">
        <f t="shared" si="120"/>
        <v>-692.07499999999993</v>
      </c>
      <c r="AG37" s="516">
        <f t="shared" si="120"/>
        <v>-701.34199999999998</v>
      </c>
      <c r="AH37" s="516">
        <f t="shared" si="120"/>
        <v>-718.73299999999995</v>
      </c>
      <c r="AI37" s="516">
        <f t="shared" si="120"/>
        <v>-729.59100000000012</v>
      </c>
      <c r="AJ37" s="516">
        <f t="shared" si="120"/>
        <v>-744.25400000000002</v>
      </c>
      <c r="AK37" s="516">
        <f t="shared" si="120"/>
        <v>-734.71799999999996</v>
      </c>
      <c r="AM37" s="471">
        <f>SUM(AK37/AG37)-1</f>
        <v>4.7588765538068456E-2</v>
      </c>
    </row>
    <row r="38" spans="2:39" ht="12.75" customHeight="1">
      <c r="B38" s="25" t="s">
        <v>57</v>
      </c>
      <c r="C38" s="515">
        <f>SUM('Historical Financials'!E95:E99)/1000</f>
        <v>-31.873000000000001</v>
      </c>
      <c r="D38" s="515">
        <f>SUM('Historical Financials'!F95:F99)/1000</f>
        <v>-241.977</v>
      </c>
      <c r="E38" s="515">
        <f>SUM('Historical Financials'!G95:G99)/1000</f>
        <v>-758.08699999999999</v>
      </c>
      <c r="F38" s="515">
        <f>SUM('Historical Financials'!H95:H99)/1000</f>
        <v>-116.148</v>
      </c>
      <c r="G38" s="515">
        <f>SUM('Historical Financials'!I95:I99)/1000</f>
        <v>-33.075000000000003</v>
      </c>
      <c r="I38" s="515">
        <f>SUM('Historical Financials'!O95:O99)/1000</f>
        <v>25.288</v>
      </c>
      <c r="J38" s="515">
        <f>SUM('Historical Financials'!P95:P99)/1000</f>
        <v>-122.70399999999999</v>
      </c>
      <c r="K38" s="515">
        <f>SUM('Historical Financials'!Q95:Q99)/1000</f>
        <v>93.272000000000006</v>
      </c>
      <c r="L38" s="515">
        <f>SUM('Historical Financials'!R95:R99)/1000</f>
        <v>-753.94299999999998</v>
      </c>
      <c r="M38" s="515">
        <f>SUM('Historical Financials'!S95:S99)/1000</f>
        <v>-64.218000000000004</v>
      </c>
      <c r="N38" s="515">
        <f>SUM('Historical Financials'!T95:T99)/1000</f>
        <v>-35.189</v>
      </c>
      <c r="O38" s="515">
        <f>SUM('Historical Financials'!U95:U99)/1000</f>
        <v>-75.745000000000005</v>
      </c>
      <c r="P38" s="515">
        <f>SUM('Historical Financials'!V95:V99)/1000</f>
        <v>59.003999999999998</v>
      </c>
      <c r="Q38" s="515">
        <f>SUM('Historical Financials'!W95:W99)/1000</f>
        <v>105.03400000000001</v>
      </c>
      <c r="R38" s="515">
        <f>SUM('Historical Financials'!X95:X99)/1000</f>
        <v>-247.227</v>
      </c>
      <c r="S38" s="515">
        <f>SUM('Historical Financials'!Y95:Y99)/1000</f>
        <v>179.57900000000001</v>
      </c>
      <c r="T38" s="515">
        <f>SUM('Historical Financials'!Z95:Z99)/1000</f>
        <v>-70.460999999999999</v>
      </c>
      <c r="U38" s="515">
        <f>SUM('Historical Financials'!AA95:AA99)/1000</f>
        <v>-94.747</v>
      </c>
      <c r="V38" s="515">
        <f>SUM('Historical Financials'!AB95:AB99)/1000</f>
        <v>-684.86099999999999</v>
      </c>
      <c r="W38" s="515">
        <f>SUM('Historical Financials'!AC95:AC99)/1000</f>
        <v>575.75</v>
      </c>
      <c r="Y38" s="11">
        <f t="shared" si="120"/>
        <v>-4.1439999999999912</v>
      </c>
      <c r="Z38" s="11">
        <f t="shared" si="120"/>
        <v>-758.08699999999999</v>
      </c>
      <c r="AA38" s="11">
        <f t="shared" si="120"/>
        <v>-847.59299999999996</v>
      </c>
      <c r="AB38" s="11">
        <f t="shared" si="120"/>
        <v>-760.07799999999986</v>
      </c>
      <c r="AC38" s="11">
        <f t="shared" si="120"/>
        <v>-929.09499999999991</v>
      </c>
      <c r="AD38" s="11">
        <f t="shared" si="120"/>
        <v>-116.14800000000002</v>
      </c>
      <c r="AE38" s="11">
        <f t="shared" si="120"/>
        <v>53.104000000000006</v>
      </c>
      <c r="AF38" s="11">
        <f t="shared" si="120"/>
        <v>-158.934</v>
      </c>
      <c r="AG38" s="516">
        <f t="shared" si="120"/>
        <v>96.390000000000015</v>
      </c>
      <c r="AH38" s="516">
        <f t="shared" si="120"/>
        <v>-33.074999999999974</v>
      </c>
      <c r="AI38" s="516">
        <f t="shared" si="120"/>
        <v>-232.85599999999999</v>
      </c>
      <c r="AJ38" s="516">
        <f t="shared" si="120"/>
        <v>-670.49</v>
      </c>
      <c r="AK38" s="516">
        <f t="shared" si="120"/>
        <v>-274.31899999999996</v>
      </c>
      <c r="AM38" s="471">
        <f>SUM(AK38/AG38)-1</f>
        <v>-3.8459280008299608</v>
      </c>
    </row>
    <row r="39" spans="2:39" ht="12.75" customHeight="1">
      <c r="B39" s="14" t="s">
        <v>58</v>
      </c>
      <c r="C39" s="15">
        <f>SUM(C32+SUM(C35:C38))</f>
        <v>14338.809000000001</v>
      </c>
      <c r="D39" s="15">
        <f>SUM(D32+SUM(D35:D38))</f>
        <v>16997.249000000003</v>
      </c>
      <c r="E39" s="15">
        <f>SUM(E32+SUM(E35:E38))</f>
        <v>17891.868000000006</v>
      </c>
      <c r="F39" s="15">
        <f>SUM(F32+SUM(F35:F38))</f>
        <v>19543.578000000001</v>
      </c>
      <c r="G39" s="15">
        <f>SUM(G32+SUM(G35:G38))</f>
        <v>23531.988000000001</v>
      </c>
      <c r="I39" s="15">
        <f t="shared" ref="I39:V39" si="121">SUM(I32+SUM(I35:I38))</f>
        <v>4666.1080000000002</v>
      </c>
      <c r="J39" s="15">
        <f t="shared" si="121"/>
        <v>4503.2480000000005</v>
      </c>
      <c r="K39" s="15">
        <f t="shared" si="121"/>
        <v>5035.9920000000002</v>
      </c>
      <c r="L39" s="15">
        <f t="shared" si="121"/>
        <v>3721.7160000000013</v>
      </c>
      <c r="M39" s="15">
        <f t="shared" si="121"/>
        <v>4899.505000000001</v>
      </c>
      <c r="N39" s="15">
        <f t="shared" si="121"/>
        <v>4901.9240000000009</v>
      </c>
      <c r="O39" s="15">
        <f t="shared" si="121"/>
        <v>5073.262999999999</v>
      </c>
      <c r="P39" s="15">
        <f t="shared" si="121"/>
        <v>5011.1219999999985</v>
      </c>
      <c r="Q39" s="15">
        <f t="shared" si="121"/>
        <v>6040.5539999999983</v>
      </c>
      <c r="R39" s="15">
        <f t="shared" si="121"/>
        <v>5662.47</v>
      </c>
      <c r="S39" s="15">
        <f t="shared" si="121"/>
        <v>6284.0029999999997</v>
      </c>
      <c r="T39" s="15">
        <f t="shared" si="121"/>
        <v>5888.2339999999986</v>
      </c>
      <c r="U39" s="15">
        <f t="shared" si="121"/>
        <v>6591.5839999999998</v>
      </c>
      <c r="V39" s="15">
        <f t="shared" si="121"/>
        <v>6237.9820000000009</v>
      </c>
      <c r="W39" s="15">
        <f>SUM(W32+SUM(W35:W38))</f>
        <v>7092.5460000000012</v>
      </c>
      <c r="Y39" s="15">
        <f t="shared" ref="Y39:AI39" si="122">SUM(Y32+SUM(Y35:Y38))</f>
        <v>4614.523000000002</v>
      </c>
      <c r="Z39" s="15">
        <f t="shared" si="122"/>
        <v>5538.3100000000013</v>
      </c>
      <c r="AA39" s="15">
        <f t="shared" si="122"/>
        <v>5961.4930000000022</v>
      </c>
      <c r="AB39" s="15">
        <f t="shared" si="122"/>
        <v>6038.6360000000004</v>
      </c>
      <c r="AC39" s="15">
        <f t="shared" si="122"/>
        <v>5815.7580000000016</v>
      </c>
      <c r="AD39" s="15">
        <f t="shared" si="122"/>
        <v>6554.2309999999998</v>
      </c>
      <c r="AE39" s="15">
        <f t="shared" si="122"/>
        <v>7064.6399999999985</v>
      </c>
      <c r="AF39" s="15">
        <f t="shared" si="122"/>
        <v>7290.2929999999997</v>
      </c>
      <c r="AG39" s="15">
        <f t="shared" si="122"/>
        <v>22998.148999999994</v>
      </c>
      <c r="AH39" s="15">
        <f t="shared" si="122"/>
        <v>23875.261000000002</v>
      </c>
      <c r="AI39" s="15">
        <f t="shared" si="122"/>
        <v>24426.290999999997</v>
      </c>
      <c r="AJ39" s="15">
        <f>SUM(AJ32+SUM(AJ35:AJ38))</f>
        <v>25001.802999999996</v>
      </c>
      <c r="AK39" s="15">
        <f>SUM(AK32+SUM(AK35:AK38))</f>
        <v>25810.345999999994</v>
      </c>
      <c r="AM39" s="472">
        <f>SUM(AK39/AG39)-1</f>
        <v>0.12227927560605001</v>
      </c>
    </row>
    <row r="40" spans="2:39" ht="5.0999999999999996" customHeight="1"/>
    <row r="41" spans="2:39" ht="12.75" customHeight="1">
      <c r="B41" s="33" t="s">
        <v>654</v>
      </c>
      <c r="C41" s="515">
        <f>SUM('Historical Financials'!E106:E107)/1000</f>
        <v>0</v>
      </c>
      <c r="D41" s="515">
        <f>SUM('Historical Financials'!F106:F107)/1000</f>
        <v>0</v>
      </c>
      <c r="E41" s="515">
        <f>SUM('Historical Financials'!G106:G107)/1000</f>
        <v>-911.27599999999995</v>
      </c>
      <c r="F41" s="515">
        <f>SUM('Historical Financials'!H106:H107)/1000</f>
        <v>890.303</v>
      </c>
      <c r="G41" s="515">
        <f>SUM('Historical Financials'!I106:I107)/1000</f>
        <v>-1742.2460000000001</v>
      </c>
      <c r="H41" s="34"/>
      <c r="I41" s="515">
        <f>SUM('Historical Financials'!O106:O107)/1000</f>
        <v>0</v>
      </c>
      <c r="J41" s="515">
        <f>SUM('Historical Financials'!P106:P107)/1000</f>
        <v>0</v>
      </c>
      <c r="K41" s="515">
        <f>SUM('Historical Financials'!Q106:Q107)/1000</f>
        <v>0</v>
      </c>
      <c r="L41" s="515">
        <f>SUM('Historical Financials'!R106:R107)/1000</f>
        <v>-911.27599999999995</v>
      </c>
      <c r="M41" s="515">
        <f>SUM('Historical Financials'!S106:S107)/1000</f>
        <v>-201.63399999999999</v>
      </c>
      <c r="N41" s="515">
        <f>SUM('Historical Financials'!T106:T107)/1000</f>
        <v>198.709</v>
      </c>
      <c r="O41" s="515">
        <f>SUM('Historical Financials'!U106:U107)/1000</f>
        <v>400</v>
      </c>
      <c r="P41" s="515">
        <f>SUM('Historical Financials'!V106:V107)/1000</f>
        <v>493.22800000000001</v>
      </c>
      <c r="Q41" s="515">
        <f>SUM('Historical Financials'!W106:W107)/1000</f>
        <v>0</v>
      </c>
      <c r="R41" s="515">
        <f>SUM('Historical Financials'!X106:X107)/1000</f>
        <v>0</v>
      </c>
      <c r="S41" s="515">
        <f>SUM('Historical Financials'!Y106:Y107)/1000</f>
        <v>-1742.2460000000001</v>
      </c>
      <c r="T41" s="515">
        <f>SUM('Historical Financials'!Z106:Z107)/1000</f>
        <v>0</v>
      </c>
      <c r="U41" s="515">
        <f>SUM('Historical Financials'!AA106:AA107)/1000</f>
        <v>613.93899999999996</v>
      </c>
      <c r="V41" s="515">
        <f>SUM('Historical Financials'!AB106:AB107)/1000</f>
        <v>960.76300000000003</v>
      </c>
      <c r="W41" s="515">
        <f>SUM('Historical Financials'!AC106:AC107)/1000</f>
        <v>172.4</v>
      </c>
      <c r="Y41" s="11">
        <f t="shared" ref="Y41:AK42" si="123">SUM(H41:K41)</f>
        <v>0</v>
      </c>
      <c r="Z41" s="11">
        <f t="shared" si="123"/>
        <v>-911.27599999999995</v>
      </c>
      <c r="AA41" s="11">
        <f t="shared" si="123"/>
        <v>-1112.9099999999999</v>
      </c>
      <c r="AB41" s="11">
        <f t="shared" si="123"/>
        <v>-914.20099999999979</v>
      </c>
      <c r="AC41" s="11">
        <f t="shared" si="123"/>
        <v>-514.20099999999979</v>
      </c>
      <c r="AD41" s="11">
        <f t="shared" si="123"/>
        <v>890.30300000000011</v>
      </c>
      <c r="AE41" s="11">
        <f t="shared" si="123"/>
        <v>1091.9370000000001</v>
      </c>
      <c r="AF41" s="11">
        <f t="shared" si="123"/>
        <v>893.22800000000007</v>
      </c>
      <c r="AG41" s="516">
        <f t="shared" si="123"/>
        <v>-1249.018</v>
      </c>
      <c r="AH41" s="516">
        <f t="shared" si="123"/>
        <v>-1742.2460000000001</v>
      </c>
      <c r="AI41" s="516">
        <f t="shared" si="123"/>
        <v>-1128.3070000000002</v>
      </c>
      <c r="AJ41" s="516">
        <f t="shared" si="123"/>
        <v>-167.54400000000021</v>
      </c>
      <c r="AK41" s="516">
        <f t="shared" si="123"/>
        <v>1747.1020000000001</v>
      </c>
    </row>
    <row r="42" spans="2:39" ht="12.75" customHeight="1">
      <c r="B42" s="33" t="s">
        <v>530</v>
      </c>
      <c r="C42" s="515">
        <f>('Historical Financials'!E105)/1000</f>
        <v>0</v>
      </c>
      <c r="D42" s="515">
        <f>('Historical Financials'!F105)/1000</f>
        <v>-788.34900000000005</v>
      </c>
      <c r="E42" s="515">
        <f>('Historical Financials'!G105)/1000</f>
        <v>-757.38699999999994</v>
      </c>
      <c r="F42" s="515">
        <f>('Historical Financials'!H105)/1000</f>
        <v>0</v>
      </c>
      <c r="G42" s="515">
        <f>('Historical Financials'!I105)/1000</f>
        <v>0</v>
      </c>
      <c r="H42" s="34"/>
      <c r="I42" s="515">
        <f>('Historical Financials'!O105)/1000</f>
        <v>-124.521</v>
      </c>
      <c r="J42" s="515">
        <f>('Historical Financials'!P105)/1000</f>
        <v>-68.876000000000005</v>
      </c>
      <c r="K42" s="515">
        <f>('Historical Financials'!Q105)/1000</f>
        <v>0</v>
      </c>
      <c r="L42" s="515">
        <f>('Historical Financials'!R105)/1000</f>
        <v>-563.99</v>
      </c>
      <c r="M42" s="515">
        <f>('Historical Financials'!S105)/1000</f>
        <v>0</v>
      </c>
      <c r="N42" s="515">
        <f>('Historical Financials'!T105)/1000</f>
        <v>0</v>
      </c>
      <c r="O42" s="515">
        <f>('Historical Financials'!U105)/1000</f>
        <v>0</v>
      </c>
      <c r="P42" s="515">
        <f>('Historical Financials'!V105)/1000</f>
        <v>0</v>
      </c>
      <c r="Q42" s="515">
        <f>('Historical Financials'!W105)/1000</f>
        <v>0</v>
      </c>
      <c r="R42" s="515">
        <f>('Historical Financials'!X105)/1000</f>
        <v>0</v>
      </c>
      <c r="S42" s="515">
        <f>('Historical Financials'!Y105)/1000</f>
        <v>0</v>
      </c>
      <c r="T42" s="515">
        <f>('Historical Financials'!Z105)/1000</f>
        <v>0</v>
      </c>
      <c r="U42" s="515">
        <f>('Historical Financials'!AA105)/1000</f>
        <v>0</v>
      </c>
      <c r="V42" s="515">
        <f>('Historical Financials'!AB105)/1000</f>
        <v>-36.19</v>
      </c>
      <c r="W42" s="515">
        <f>('Historical Financials'!AC105)/1000</f>
        <v>36.19</v>
      </c>
      <c r="Y42" s="11">
        <f t="shared" si="123"/>
        <v>-193.39699999999999</v>
      </c>
      <c r="Z42" s="11">
        <f t="shared" si="123"/>
        <v>-757.38699999999994</v>
      </c>
      <c r="AA42" s="11">
        <f t="shared" si="123"/>
        <v>-632.86599999999999</v>
      </c>
      <c r="AB42" s="11">
        <f t="shared" si="123"/>
        <v>-563.99</v>
      </c>
      <c r="AC42" s="11">
        <f t="shared" si="123"/>
        <v>-563.99</v>
      </c>
      <c r="AD42" s="11">
        <f t="shared" si="123"/>
        <v>0</v>
      </c>
      <c r="AE42" s="11">
        <f t="shared" si="123"/>
        <v>0</v>
      </c>
      <c r="AF42" s="11">
        <f t="shared" si="123"/>
        <v>0</v>
      </c>
      <c r="AG42" s="516">
        <f t="shared" si="123"/>
        <v>0</v>
      </c>
      <c r="AH42" s="516">
        <f t="shared" si="123"/>
        <v>0</v>
      </c>
      <c r="AI42" s="516">
        <f t="shared" si="123"/>
        <v>0</v>
      </c>
      <c r="AJ42" s="516">
        <f t="shared" si="123"/>
        <v>-36.19</v>
      </c>
      <c r="AK42" s="516">
        <f t="shared" si="123"/>
        <v>0</v>
      </c>
    </row>
    <row r="43" spans="2:39" ht="12.75" customHeight="1">
      <c r="B43" s="33" t="s">
        <v>655</v>
      </c>
      <c r="C43" s="515">
        <f>SUM('Historical Financials'!E114:E115)/1000</f>
        <v>235.40600000000001</v>
      </c>
      <c r="D43" s="515">
        <f>SUM('Historical Financials'!F114:F115)/1000</f>
        <v>-425.608</v>
      </c>
      <c r="E43" s="515">
        <f>SUM('Historical Financials'!G114:G115)/1000</f>
        <v>35.746000000000002</v>
      </c>
      <c r="F43" s="515">
        <f>SUM('Historical Financials'!H114:H115)/1000</f>
        <v>-5875.357</v>
      </c>
      <c r="G43" s="515">
        <f>SUM('Historical Financials'!I114:I115)/1000</f>
        <v>-5430.8590000000004</v>
      </c>
      <c r="H43" s="34"/>
      <c r="I43" s="515">
        <f>SUM('Historical Financials'!O114:O115)/1000</f>
        <v>13.678000000000001</v>
      </c>
      <c r="J43" s="515">
        <f>SUM('Historical Financials'!P114:P115)/1000</f>
        <v>11.25</v>
      </c>
      <c r="K43" s="515">
        <f>SUM('Historical Financials'!Q114:Q115)/1000</f>
        <v>4.1130000000000004</v>
      </c>
      <c r="L43" s="515">
        <f>SUM('Historical Financials'!R114:R115)/1000</f>
        <v>6.7050000000000001</v>
      </c>
      <c r="M43" s="515">
        <f>SUM('Historical Financials'!S114:S115)/1000</f>
        <v>-374.07299999999998</v>
      </c>
      <c r="N43" s="515">
        <f>SUM('Historical Financials'!T114:T115)/1000</f>
        <v>-610.42899999999997</v>
      </c>
      <c r="O43" s="515">
        <f>SUM('Historical Financials'!U114:U115)/1000</f>
        <v>-2442.2820000000002</v>
      </c>
      <c r="P43" s="515">
        <f>SUM('Historical Financials'!V114:V115)/1000</f>
        <v>-2448.5729999999999</v>
      </c>
      <c r="Q43" s="515">
        <f>SUM('Historical Financials'!W114:W115)/1000</f>
        <v>-1731.1189999999999</v>
      </c>
      <c r="R43" s="515">
        <f>SUM('Historical Financials'!X114:X115)/1000</f>
        <v>-1481.248</v>
      </c>
      <c r="S43" s="515">
        <f>SUM('Historical Financials'!Y114:Y115)/1000</f>
        <v>-1556.7560000000001</v>
      </c>
      <c r="T43" s="515">
        <f>SUM('Historical Financials'!Z114:Z115)/1000</f>
        <v>-661.73599999999999</v>
      </c>
      <c r="U43" s="515">
        <f>SUM('Historical Financials'!AA114:AA115)/1000</f>
        <v>-3184.7939999999999</v>
      </c>
      <c r="V43" s="515">
        <f>SUM('Historical Financials'!AB114:AB115)/1000</f>
        <v>-1485.261</v>
      </c>
      <c r="W43" s="515">
        <f>SUM('Historical Financials'!AC114:AC115)/1000</f>
        <v>-1786.67</v>
      </c>
      <c r="Y43" s="11"/>
      <c r="Z43" s="11"/>
      <c r="AA43" s="11"/>
      <c r="AB43" s="11"/>
      <c r="AC43" s="11"/>
      <c r="AD43" s="11"/>
      <c r="AE43" s="11"/>
      <c r="AF43" s="11"/>
      <c r="AG43" s="516">
        <f t="shared" ref="AG43:AK44" si="124">SUM(P43:S43)</f>
        <v>-7217.6960000000008</v>
      </c>
      <c r="AH43" s="516">
        <f t="shared" si="124"/>
        <v>-5430.8590000000004</v>
      </c>
      <c r="AI43" s="516">
        <f t="shared" si="124"/>
        <v>-6884.5339999999997</v>
      </c>
      <c r="AJ43" s="516">
        <f t="shared" si="124"/>
        <v>-6888.5470000000005</v>
      </c>
      <c r="AK43" s="516">
        <f t="shared" si="124"/>
        <v>-7118.4609999999993</v>
      </c>
    </row>
    <row r="44" spans="2:39" ht="12.75" customHeight="1">
      <c r="B44" s="33" t="s">
        <v>656</v>
      </c>
      <c r="C44" s="515">
        <f>SUM('Historical Financials'!E111:E113)/1000</f>
        <v>1001.905</v>
      </c>
      <c r="D44" s="515">
        <f>SUM('Historical Financials'!F111:F113)/1000</f>
        <v>-500</v>
      </c>
      <c r="E44" s="515">
        <f>SUM('Historical Financials'!G111:G113)/1000</f>
        <v>-700</v>
      </c>
      <c r="F44" s="515">
        <f>SUM('Historical Financials'!H111:H113)/1000</f>
        <v>0</v>
      </c>
      <c r="G44" s="515">
        <f>SUM('Historical Financials'!I111:I113)/1000</f>
        <v>1394.46</v>
      </c>
      <c r="H44" s="34"/>
      <c r="I44" s="515">
        <f>SUM('Historical Financials'!O111:O113)/1000</f>
        <v>-700</v>
      </c>
      <c r="J44" s="515">
        <f>SUM('Historical Financials'!P111:P113)/1000</f>
        <v>0</v>
      </c>
      <c r="K44" s="515">
        <f>SUM('Historical Financials'!Q111:Q113)/1000</f>
        <v>0</v>
      </c>
      <c r="L44" s="515">
        <f>SUM('Historical Financials'!R111:R113)/1000</f>
        <v>0</v>
      </c>
      <c r="M44" s="515">
        <f>SUM('Historical Financials'!S111:S113)/1000</f>
        <v>0</v>
      </c>
      <c r="N44" s="515">
        <f>SUM('Historical Financials'!T111:T113)/1000</f>
        <v>0</v>
      </c>
      <c r="O44" s="515">
        <f>SUM('Historical Financials'!U111:U113)/1000</f>
        <v>0</v>
      </c>
      <c r="P44" s="515">
        <f>SUM('Historical Financials'!V111:V113)/1000</f>
        <v>0</v>
      </c>
      <c r="Q44" s="515">
        <f>SUM('Historical Financials'!W111:W113)/1000</f>
        <v>-400</v>
      </c>
      <c r="R44" s="515">
        <f>SUM('Historical Financials'!X111:X113)/1000</f>
        <v>0</v>
      </c>
      <c r="S44" s="515">
        <f>SUM('Historical Financials'!Y111:Y113)/1000</f>
        <v>1794.46</v>
      </c>
      <c r="T44" s="515">
        <f>SUM('Historical Financials'!Z111:Z113)/1000</f>
        <v>0</v>
      </c>
      <c r="U44" s="515">
        <f>SUM('Historical Financials'!AA111:AA113)/1000</f>
        <v>-800</v>
      </c>
      <c r="V44" s="515">
        <f>SUM('Historical Financials'!AB111:AB113)/1000</f>
        <v>-1033.45</v>
      </c>
      <c r="W44" s="515">
        <f>SUM('Historical Financials'!AC111:AC113)/1000</f>
        <v>0</v>
      </c>
      <c r="Y44" s="11"/>
      <c r="Z44" s="11"/>
      <c r="AA44" s="11"/>
      <c r="AB44" s="11"/>
      <c r="AC44" s="11"/>
      <c r="AD44" s="11"/>
      <c r="AE44" s="11"/>
      <c r="AF44" s="11"/>
      <c r="AG44" s="516">
        <f t="shared" si="124"/>
        <v>1394.46</v>
      </c>
      <c r="AH44" s="516">
        <f t="shared" si="124"/>
        <v>1394.46</v>
      </c>
      <c r="AI44" s="516">
        <f t="shared" si="124"/>
        <v>994.46</v>
      </c>
      <c r="AJ44" s="516">
        <f t="shared" si="124"/>
        <v>-38.990000000000009</v>
      </c>
      <c r="AK44" s="516">
        <f t="shared" si="124"/>
        <v>-1833.45</v>
      </c>
    </row>
    <row r="45" spans="2:39" ht="12.75" customHeight="1">
      <c r="B45" s="33" t="s">
        <v>657</v>
      </c>
      <c r="C45" s="515">
        <f>SUM('Historical Financials'!E86:E87)/1000</f>
        <v>-12536.717000000001</v>
      </c>
      <c r="D45" s="515">
        <f>SUM('Historical Financials'!F86:F87)/1000</f>
        <v>-17469.304</v>
      </c>
      <c r="E45" s="515">
        <f>SUM('Historical Financials'!G86:G87)/1000</f>
        <v>-16659.727999999999</v>
      </c>
      <c r="F45" s="515">
        <f>SUM('Historical Financials'!H86:H87)/1000</f>
        <v>-13140.305</v>
      </c>
      <c r="G45" s="515">
        <f>SUM('Historical Financials'!I86:I87)/1000</f>
        <v>-17002.752</v>
      </c>
      <c r="H45" s="34"/>
      <c r="I45" s="515">
        <f>SUM('Historical Financials'!O86:O87)/1000</f>
        <v>-3931.3130000000001</v>
      </c>
      <c r="J45" s="515">
        <f>SUM('Historical Financials'!P86:P87)/1000</f>
        <v>-4495.7830000000004</v>
      </c>
      <c r="K45" s="515">
        <f>SUM('Historical Financials'!Q86:Q87)/1000</f>
        <v>-4521.8040000000001</v>
      </c>
      <c r="L45" s="515">
        <f>SUM('Historical Financials'!R86:R87)/1000</f>
        <v>-3710.828</v>
      </c>
      <c r="M45" s="515">
        <f>SUM('Historical Financials'!S86:S87)/1000</f>
        <v>-2813.4569999999999</v>
      </c>
      <c r="N45" s="515">
        <f>SUM('Historical Financials'!T86:T87)/1000</f>
        <v>-3636.8879999999999</v>
      </c>
      <c r="O45" s="515">
        <f>SUM('Historical Financials'!U86:U87)/1000</f>
        <v>-3209.828</v>
      </c>
      <c r="P45" s="515">
        <f>SUM('Historical Financials'!V86:V87)/1000</f>
        <v>-3480.1320000000001</v>
      </c>
      <c r="Q45" s="515">
        <f>SUM('Historical Financials'!W86:W87)/1000</f>
        <v>-3918.4079999999999</v>
      </c>
      <c r="R45" s="515">
        <f>SUM('Historical Financials'!X86:X87)/1000</f>
        <v>-4415.424</v>
      </c>
      <c r="S45" s="515">
        <f>SUM('Historical Financials'!Y86:Y87)/1000</f>
        <v>-4099.9809999999998</v>
      </c>
      <c r="T45" s="515">
        <f>SUM('Historical Financials'!Z86:Z87)/1000</f>
        <v>-4568.9390000000003</v>
      </c>
      <c r="U45" s="515">
        <f>SUM('Historical Financials'!AA86:AA87)/1000</f>
        <v>-3960.91</v>
      </c>
      <c r="V45" s="515">
        <f>SUM('Historical Financials'!AB86:AB87)/1000</f>
        <v>-4049.8649999999998</v>
      </c>
      <c r="W45" s="515">
        <f>SUM('Historical Financials'!AC86:AC87)/1000</f>
        <v>-4629.6729999999998</v>
      </c>
      <c r="Y45" s="11"/>
      <c r="Z45" s="11"/>
      <c r="AA45" s="11"/>
      <c r="AB45" s="11"/>
      <c r="AC45" s="11"/>
      <c r="AD45" s="11"/>
      <c r="AE45" s="11"/>
      <c r="AF45" s="11">
        <f t="shared" ref="AF45:AK47" si="125">SUM(O45:R45)</f>
        <v>-15023.792000000001</v>
      </c>
      <c r="AG45" s="516">
        <f t="shared" si="125"/>
        <v>-15913.945</v>
      </c>
      <c r="AH45" s="516">
        <f t="shared" si="125"/>
        <v>-17002.752</v>
      </c>
      <c r="AI45" s="516">
        <f t="shared" si="125"/>
        <v>-17045.254000000001</v>
      </c>
      <c r="AJ45" s="516">
        <f t="shared" si="125"/>
        <v>-16679.695</v>
      </c>
      <c r="AK45" s="516">
        <f t="shared" si="125"/>
        <v>-17209.386999999999</v>
      </c>
    </row>
    <row r="46" spans="2:39" ht="12.75" customHeight="1">
      <c r="B46" s="33" t="s">
        <v>658</v>
      </c>
      <c r="C46" s="515">
        <f>SUM('Historical Financials'!E116:E117)/1000</f>
        <v>0</v>
      </c>
      <c r="D46" s="515">
        <f>SUM('Historical Financials'!F116:F117)/1000</f>
        <v>-224.16800000000001</v>
      </c>
      <c r="E46" s="515">
        <f>SUM('Historical Financials'!G116:G117)/1000</f>
        <v>0</v>
      </c>
      <c r="F46" s="515">
        <f>SUM('Historical Financials'!H116:H117)/1000</f>
        <v>-75.445999999999998</v>
      </c>
      <c r="G46" s="515">
        <f>SUM('Historical Financials'!I116:I117)/1000</f>
        <v>-38.027999999999999</v>
      </c>
      <c r="H46" s="34"/>
      <c r="I46" s="515">
        <f>SUM('Historical Financials'!O116:O117)/1000</f>
        <v>0</v>
      </c>
      <c r="J46" s="515">
        <f>SUM('Historical Financials'!P116:P117)/1000</f>
        <v>0</v>
      </c>
      <c r="K46" s="515">
        <f>SUM('Historical Financials'!Q116:Q117)/1000</f>
        <v>0</v>
      </c>
      <c r="L46" s="515">
        <f>SUM('Historical Financials'!R116:R117)/1000</f>
        <v>0</v>
      </c>
      <c r="M46" s="515">
        <f>SUM('Historical Financials'!S116:S117)/1000</f>
        <v>0</v>
      </c>
      <c r="N46" s="515">
        <f>SUM('Historical Financials'!T116:T117)/1000</f>
        <v>-38.92</v>
      </c>
      <c r="O46" s="515">
        <f>SUM('Historical Financials'!U116:U117)/1000</f>
        <v>-32.826000000000001</v>
      </c>
      <c r="P46" s="515">
        <f>SUM('Historical Financials'!V116:V117)/1000</f>
        <v>-3.7</v>
      </c>
      <c r="Q46" s="515">
        <f>SUM('Historical Financials'!W116:W117)/1000</f>
        <v>-1.825</v>
      </c>
      <c r="R46" s="515">
        <f>SUM('Historical Financials'!X116:X117)/1000</f>
        <v>-8.1329999999999991</v>
      </c>
      <c r="S46" s="515">
        <f>SUM('Historical Financials'!Y116:Y117)/1000</f>
        <v>-11.108000000000001</v>
      </c>
      <c r="T46" s="515">
        <f>SUM('Historical Financials'!Z116:Z117)/1000</f>
        <v>-16.962</v>
      </c>
      <c r="U46" s="515">
        <f>SUM('Historical Financials'!AA116:AA117)/1000</f>
        <v>-43.521999999999998</v>
      </c>
      <c r="V46" s="515">
        <f>SUM('Historical Financials'!AB116:AB117)/1000</f>
        <v>15.843</v>
      </c>
      <c r="W46" s="515">
        <f>SUM('Historical Financials'!AC116:AC117)/1000</f>
        <v>49.640999999999998</v>
      </c>
      <c r="Y46" s="11"/>
      <c r="Z46" s="11"/>
      <c r="AA46" s="11"/>
      <c r="AB46" s="11"/>
      <c r="AC46" s="11"/>
      <c r="AD46" s="11"/>
      <c r="AE46" s="11"/>
      <c r="AF46" s="11"/>
      <c r="AG46" s="516">
        <f>SUM(P46:S46)</f>
        <v>-24.765999999999998</v>
      </c>
      <c r="AH46" s="516">
        <f>SUM(Q46:T46)</f>
        <v>-38.027999999999999</v>
      </c>
      <c r="AI46" s="516">
        <f>SUM(R46:U46)</f>
        <v>-79.724999999999994</v>
      </c>
      <c r="AJ46" s="516">
        <f>SUM(S46:V46)</f>
        <v>-55.748999999999995</v>
      </c>
      <c r="AK46" s="516">
        <f>SUM(T46:W46)</f>
        <v>5.0000000000000071</v>
      </c>
    </row>
    <row r="47" spans="2:39" ht="12.75" customHeight="1">
      <c r="B47" s="33" t="s">
        <v>93</v>
      </c>
      <c r="C47" s="361"/>
      <c r="D47" s="361">
        <f>SUM(D52-C52)-SUM(D39:D45)</f>
        <v>8.2659999999978027</v>
      </c>
      <c r="E47" s="361">
        <f>SUM(E52-D52)-SUM(E39:E45)</f>
        <v>220.1489999999967</v>
      </c>
      <c r="F47" s="361">
        <f>SUM(F52-E52)-SUM(F39:F45)</f>
        <v>551.51799999999821</v>
      </c>
      <c r="G47" s="361">
        <f>SUM(G52-F52)-SUM(G39:G46)</f>
        <v>-24.742999999999711</v>
      </c>
      <c r="H47" s="34"/>
      <c r="I47" s="361">
        <f>SUM(I52-D52)-SUM(I39:I46)</f>
        <v>57.1899999999996</v>
      </c>
      <c r="J47" s="361">
        <f>SUM(J52-I52)-SUM(J39:J46)</f>
        <v>-139.33600000000024</v>
      </c>
      <c r="K47" s="361">
        <f>SUM(K52-J52)-SUM(K39:K46)</f>
        <v>-224.01699999999983</v>
      </c>
      <c r="L47" s="361">
        <f>SUM(L52-K52)-SUM(L39:L46)</f>
        <v>491.11599999999862</v>
      </c>
      <c r="M47" s="361">
        <f>SUM(M52-L52)-SUM(M39:M46)</f>
        <v>57.076999999998861</v>
      </c>
      <c r="N47" s="361">
        <f>SUM(N52-M52)-SUM(N39:N46)</f>
        <v>133.79799999999875</v>
      </c>
      <c r="O47" s="361">
        <f>SUM(O52-N52)-SUM(O39:O46)</f>
        <v>-97.869999999998555</v>
      </c>
      <c r="P47" s="361">
        <f>SUM(P52-O52)-SUM(P39:P46)</f>
        <v>191.72300000000104</v>
      </c>
      <c r="Q47" s="361">
        <f>SUM(Q52-P52)-SUM(Q39:Q46)</f>
        <v>-81.348999999998611</v>
      </c>
      <c r="R47" s="361">
        <f>SUM(R52-Q52)-SUM(R39:R46)</f>
        <v>-157.49199999999908</v>
      </c>
      <c r="S47" s="361">
        <f>SUM(S52-R52)-SUM(S39:S46)</f>
        <v>163.71399999999971</v>
      </c>
      <c r="T47" s="361">
        <f>SUM(T52-S52)-SUM(T39:T46)</f>
        <v>-292.88899999999785</v>
      </c>
      <c r="U47" s="361">
        <f>SUM(U52-T52)-SUM(U39:U46)</f>
        <v>178.81799999999942</v>
      </c>
      <c r="V47" s="361">
        <f>SUM(V52-U52)-SUM(V39:V46)</f>
        <v>367.73499999999774</v>
      </c>
      <c r="W47" s="361">
        <f>SUM(W52-V52)-SUM(W39:W46)</f>
        <v>175.44799999999998</v>
      </c>
      <c r="Y47" s="11">
        <f t="shared" ref="Y47:AE47" si="126">SUM(H47:K47)</f>
        <v>-306.16300000000047</v>
      </c>
      <c r="Z47" s="11">
        <f t="shared" si="126"/>
        <v>184.95299999999816</v>
      </c>
      <c r="AA47" s="11">
        <f t="shared" si="126"/>
        <v>184.83999999999742</v>
      </c>
      <c r="AB47" s="11">
        <f t="shared" si="126"/>
        <v>457.97399999999641</v>
      </c>
      <c r="AC47" s="11">
        <f t="shared" si="126"/>
        <v>584.12099999999771</v>
      </c>
      <c r="AD47" s="11">
        <f t="shared" si="126"/>
        <v>284.72800000000007</v>
      </c>
      <c r="AE47" s="11">
        <f t="shared" si="126"/>
        <v>146.30200000000264</v>
      </c>
      <c r="AF47" s="11">
        <f t="shared" si="125"/>
        <v>-144.98799999999522</v>
      </c>
      <c r="AG47" s="516">
        <f t="shared" si="125"/>
        <v>116.59600000000306</v>
      </c>
      <c r="AH47" s="516">
        <f t="shared" si="125"/>
        <v>-368.01599999999581</v>
      </c>
      <c r="AI47" s="516">
        <f t="shared" si="125"/>
        <v>-107.84899999999777</v>
      </c>
      <c r="AJ47" s="516">
        <f t="shared" si="125"/>
        <v>417.37799999999902</v>
      </c>
      <c r="AK47" s="516">
        <f t="shared" si="125"/>
        <v>429.11199999999928</v>
      </c>
    </row>
    <row r="48" spans="2:39" ht="12.75" customHeight="1">
      <c r="B48" s="14" t="s">
        <v>59</v>
      </c>
      <c r="C48" s="15">
        <f>SUM(C39+SUM(C41:C47))</f>
        <v>3039.4030000000002</v>
      </c>
      <c r="D48" s="15">
        <f>SUM(D39+SUM(D41:D47))</f>
        <v>-2401.913999999997</v>
      </c>
      <c r="E48" s="15">
        <f>SUM(E39+SUM(E41:E47))</f>
        <v>-880.62799999999697</v>
      </c>
      <c r="F48" s="15">
        <f>SUM(F39+SUM(F41:F47))</f>
        <v>1894.2909999999974</v>
      </c>
      <c r="G48" s="15">
        <f>SUM(G39+SUM(G41:G47))</f>
        <v>687.82000000000335</v>
      </c>
      <c r="I48" s="15">
        <f>SUM(I39+SUM(I41:I47))</f>
        <v>-18.858000000000175</v>
      </c>
      <c r="J48" s="15">
        <f>SUM(J39+SUM(J41:J47))</f>
        <v>-189.4970000000003</v>
      </c>
      <c r="K48" s="15">
        <f>SUM(K39+SUM(K41:K47))</f>
        <v>294.28400000000056</v>
      </c>
      <c r="L48" s="15">
        <f>SUM(L39+SUM(L41:L47))</f>
        <v>-966.55699999999979</v>
      </c>
      <c r="M48" s="15">
        <f>SUM(M39+SUM(M41:M47))</f>
        <v>1567.4180000000001</v>
      </c>
      <c r="N48" s="15">
        <f>SUM(N39+SUM(N41:N47))</f>
        <v>948.19399999999996</v>
      </c>
      <c r="O48" s="15">
        <f>SUM(O39+SUM(O41:O47))</f>
        <v>-309.54300000000057</v>
      </c>
      <c r="P48" s="15">
        <f>SUM(P39+SUM(P41:P47))</f>
        <v>-236.33200000000033</v>
      </c>
      <c r="Q48" s="15">
        <f>SUM(Q39+SUM(Q41:Q47))</f>
        <v>-92.146999999999935</v>
      </c>
      <c r="R48" s="15">
        <f>SUM(R39+SUM(R41:R47))</f>
        <v>-399.82699999999932</v>
      </c>
      <c r="S48" s="15">
        <f>SUM(S39+SUM(S41:S47))</f>
        <v>832.08599999999933</v>
      </c>
      <c r="T48" s="15">
        <f>SUM(T39+SUM(T41:T47))</f>
        <v>347.70800000000054</v>
      </c>
      <c r="U48" s="15">
        <f>SUM(U39+SUM(U41:U47))</f>
        <v>-604.88500000000022</v>
      </c>
      <c r="V48" s="15">
        <f>SUM(V39+SUM(V41:V47))</f>
        <v>977.55699999999888</v>
      </c>
      <c r="W48" s="15">
        <f>SUM(W39+SUM(W41:W47))</f>
        <v>1109.8820000000014</v>
      </c>
      <c r="Y48" s="15">
        <f>SUM(Y39+SUM(Y41:Y47))</f>
        <v>4114.9630000000016</v>
      </c>
      <c r="Z48" s="15">
        <f>SUM(Z39+SUM(Z41:Z47))</f>
        <v>4054.5999999999995</v>
      </c>
      <c r="AA48" s="15">
        <f>SUM(AA39+SUM(AA41:AA47))</f>
        <v>4400.5569999999998</v>
      </c>
      <c r="AB48" s="15">
        <f>SUM(AB39+SUM(AB41:AB47))</f>
        <v>5018.4189999999971</v>
      </c>
      <c r="AC48" s="15">
        <f>SUM(AC39+SUM(AC41:AC47))</f>
        <v>5321.6879999999992</v>
      </c>
      <c r="AD48" s="15">
        <f>SUM(AD39+SUM(AD41:AD47))</f>
        <v>7729.2619999999997</v>
      </c>
      <c r="AE48" s="15">
        <f>SUM(AE39+SUM(AE41:AE47))</f>
        <v>8302.8790000000008</v>
      </c>
      <c r="AF48" s="15">
        <f>SUM(AF39+SUM(AF41:AF47))</f>
        <v>-6985.2589999999982</v>
      </c>
      <c r="AG48" s="15">
        <f>SUM(AG39+SUM(AG41:AG47))</f>
        <v>103.7799999999952</v>
      </c>
      <c r="AH48" s="15">
        <f>SUM(AH39+SUM(AH41:AH47))</f>
        <v>687.82000000000698</v>
      </c>
      <c r="AI48" s="15">
        <f>SUM(AI39+SUM(AI41:AI47))</f>
        <v>175.08199999999852</v>
      </c>
      <c r="AJ48" s="15">
        <f>SUM(AJ39+SUM(AJ41:AJ47))</f>
        <v>1552.4659999999967</v>
      </c>
      <c r="AK48" s="15">
        <f>SUM(AK39+SUM(AK41:AK47))</f>
        <v>1830.2619999999988</v>
      </c>
    </row>
    <row r="49" spans="1:37" ht="5.0999999999999996" customHeight="1"/>
    <row r="50" spans="1:37" ht="12.75" customHeight="1">
      <c r="A50" s="5"/>
      <c r="B50" s="35" t="s">
        <v>60</v>
      </c>
      <c r="C50" s="35"/>
      <c r="D50" s="35"/>
      <c r="E50" s="35"/>
      <c r="F50" s="35"/>
      <c r="G50" s="35"/>
      <c r="H50" s="35"/>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row>
    <row r="51" spans="1:37" ht="5.0999999999999996" customHeight="1"/>
    <row r="52" spans="1:37" ht="12.75" customHeight="1">
      <c r="B52" s="8" t="s">
        <v>61</v>
      </c>
      <c r="C52" s="176">
        <f>('Historical Financials'!E43)/1000</f>
        <v>8205.5499999999993</v>
      </c>
      <c r="D52" s="176">
        <f>('Historical Financials'!F43)/1000</f>
        <v>6027.8040000000001</v>
      </c>
      <c r="E52" s="176">
        <f>('Historical Financials'!G43)/1000</f>
        <v>5147.1760000000004</v>
      </c>
      <c r="F52" s="176">
        <f>('Historical Financials'!H43)/1000</f>
        <v>7116.9129999999996</v>
      </c>
      <c r="G52" s="176">
        <f>('Historical Financials'!I43)/1000</f>
        <v>7804.7330000000002</v>
      </c>
      <c r="H52" s="34"/>
      <c r="I52" s="176">
        <f>('Historical Financials'!O43)/1000</f>
        <v>6008.9459999999999</v>
      </c>
      <c r="J52" s="176">
        <f>('Historical Financials'!P43)/1000</f>
        <v>5819.4489999999996</v>
      </c>
      <c r="K52" s="176">
        <f>('Historical Financials'!Q43)/1000</f>
        <v>6113.7330000000002</v>
      </c>
      <c r="L52" s="176">
        <f>('Historical Financials'!R43)/1000</f>
        <v>5147.1760000000004</v>
      </c>
      <c r="M52" s="176">
        <f>('Historical Financials'!S43)/1000</f>
        <v>6714.5940000000001</v>
      </c>
      <c r="N52" s="176">
        <f>('Historical Financials'!T43)/1000</f>
        <v>7662.7879999999996</v>
      </c>
      <c r="O52" s="176">
        <f>('Historical Financials'!U43)/1000</f>
        <v>7353.2449999999999</v>
      </c>
      <c r="P52" s="176">
        <f>('Historical Financials'!V43)/1000</f>
        <v>7116.9129999999996</v>
      </c>
      <c r="Q52" s="176">
        <f>('Historical Financials'!W43)/1000</f>
        <v>7024.7659999999996</v>
      </c>
      <c r="R52" s="176">
        <f>('Historical Financials'!X43)/1000</f>
        <v>6624.9390000000003</v>
      </c>
      <c r="S52" s="176">
        <f>('Historical Financials'!Y43)/1000</f>
        <v>7457.0249999999996</v>
      </c>
      <c r="T52" s="176">
        <f>('Historical Financials'!Z43)/1000</f>
        <v>7804.7330000000002</v>
      </c>
      <c r="U52" s="176">
        <f>('Historical Financials'!AA43)/1000</f>
        <v>7199.848</v>
      </c>
      <c r="V52" s="176">
        <f>('Historical Financials'!AB43)/1000</f>
        <v>8177.4049999999997</v>
      </c>
      <c r="W52" s="176">
        <f>('Historical Financials'!AC43)/1000</f>
        <v>9287.2870000000003</v>
      </c>
      <c r="Y52" s="11">
        <f t="shared" ref="Y52:AK52" si="127">K52</f>
        <v>6113.7330000000002</v>
      </c>
      <c r="Z52" s="11">
        <f t="shared" si="127"/>
        <v>5147.1760000000004</v>
      </c>
      <c r="AA52" s="11">
        <f t="shared" si="127"/>
        <v>6714.5940000000001</v>
      </c>
      <c r="AB52" s="11">
        <f t="shared" si="127"/>
        <v>7662.7879999999996</v>
      </c>
      <c r="AC52" s="11">
        <f t="shared" si="127"/>
        <v>7353.2449999999999</v>
      </c>
      <c r="AD52" s="11">
        <f t="shared" si="127"/>
        <v>7116.9129999999996</v>
      </c>
      <c r="AE52" s="11">
        <f t="shared" si="127"/>
        <v>7024.7659999999996</v>
      </c>
      <c r="AF52" s="11">
        <f t="shared" si="127"/>
        <v>6624.9390000000003</v>
      </c>
      <c r="AG52" s="11">
        <f t="shared" si="127"/>
        <v>7457.0249999999996</v>
      </c>
      <c r="AH52" s="11">
        <f t="shared" si="127"/>
        <v>7804.7330000000002</v>
      </c>
      <c r="AI52" s="11">
        <f t="shared" si="127"/>
        <v>7199.848</v>
      </c>
      <c r="AJ52" s="11">
        <f t="shared" si="127"/>
        <v>8177.4049999999997</v>
      </c>
      <c r="AK52" s="11">
        <f t="shared" si="127"/>
        <v>9287.2870000000003</v>
      </c>
    </row>
    <row r="53" spans="1:37" ht="12.75" customHeight="1">
      <c r="B53" s="8" t="s">
        <v>528</v>
      </c>
      <c r="C53" s="176">
        <f>('Historical Financials'!E45)/1000</f>
        <v>0</v>
      </c>
      <c r="D53" s="176">
        <f>('Historical Financials'!F45)/1000</f>
        <v>0</v>
      </c>
      <c r="E53" s="176">
        <f>('Historical Financials'!G45)/1000</f>
        <v>911.27599999999995</v>
      </c>
      <c r="F53" s="176">
        <f>('Historical Financials'!H45)/1000</f>
        <v>20.972999999999999</v>
      </c>
      <c r="G53" s="176">
        <f>('Historical Financials'!I45)/1000</f>
        <v>1779.0060000000001</v>
      </c>
      <c r="H53" s="34"/>
      <c r="I53" s="176">
        <f>('Historical Financials'!O45)/1000</f>
        <v>0</v>
      </c>
      <c r="J53" s="176">
        <f>('Historical Financials'!P45)/1000</f>
        <v>0</v>
      </c>
      <c r="K53" s="176">
        <f>('Historical Financials'!Q45)/1000</f>
        <v>0</v>
      </c>
      <c r="L53" s="176">
        <f>('Historical Financials'!R45)/1000</f>
        <v>911.27599999999995</v>
      </c>
      <c r="M53" s="176">
        <f>('Historical Financials'!S45)/1000</f>
        <v>1112.9100000000001</v>
      </c>
      <c r="N53" s="176">
        <f>('Historical Financials'!T45)/1000</f>
        <v>914.20100000000002</v>
      </c>
      <c r="O53" s="176">
        <f>('Historical Financials'!U45)/1000</f>
        <v>514.20100000000002</v>
      </c>
      <c r="P53" s="176">
        <f>('Historical Financials'!V45)/1000</f>
        <v>20.972999999999999</v>
      </c>
      <c r="Q53" s="176">
        <f>('Historical Financials'!W45)/1000</f>
        <v>20.972999999999999</v>
      </c>
      <c r="R53" s="176">
        <f>('Historical Financials'!X45)/1000</f>
        <v>30.972999999999999</v>
      </c>
      <c r="S53" s="176">
        <f>('Historical Financials'!Y45)/1000</f>
        <v>1766.902</v>
      </c>
      <c r="T53" s="176">
        <f>('Historical Financials'!Z45)/1000</f>
        <v>1779.0060000000001</v>
      </c>
      <c r="U53" s="176">
        <f>('Historical Financials'!AA45)/1000</f>
        <v>1171.1420000000001</v>
      </c>
      <c r="V53" s="176">
        <f>('Historical Financials'!AB45)/1000</f>
        <v>213.11500000000001</v>
      </c>
      <c r="W53" s="176">
        <f>('Historical Financials'!AC45)/1000</f>
        <v>37.104999999999997</v>
      </c>
      <c r="Y53" s="11"/>
      <c r="Z53" s="11"/>
      <c r="AA53" s="11"/>
      <c r="AB53" s="11"/>
      <c r="AC53" s="11"/>
      <c r="AD53" s="11"/>
      <c r="AE53" s="11"/>
      <c r="AF53" s="11"/>
      <c r="AG53" s="11">
        <f t="shared" ref="AG53:AK54" si="128">S53</f>
        <v>1766.902</v>
      </c>
      <c r="AH53" s="11">
        <f t="shared" si="128"/>
        <v>1779.0060000000001</v>
      </c>
      <c r="AI53" s="11">
        <f t="shared" si="128"/>
        <v>1171.1420000000001</v>
      </c>
      <c r="AJ53" s="11">
        <f t="shared" si="128"/>
        <v>213.11500000000001</v>
      </c>
      <c r="AK53" s="11">
        <f t="shared" si="128"/>
        <v>37.104999999999997</v>
      </c>
    </row>
    <row r="54" spans="1:37" ht="12.75" customHeight="1">
      <c r="B54" s="33" t="s">
        <v>531</v>
      </c>
      <c r="C54" s="88"/>
      <c r="D54" s="88"/>
      <c r="E54" s="88"/>
      <c r="F54" s="88"/>
      <c r="G54" s="88"/>
      <c r="H54" s="176"/>
      <c r="I54" s="88"/>
      <c r="J54" s="88"/>
      <c r="K54" s="88"/>
      <c r="L54" s="469"/>
      <c r="M54" s="88"/>
      <c r="N54" s="88"/>
      <c r="O54" s="88"/>
      <c r="P54" s="469"/>
      <c r="Q54" s="88"/>
      <c r="R54" s="88"/>
      <c r="S54" s="88"/>
      <c r="T54" s="469"/>
      <c r="U54" s="88"/>
      <c r="V54" s="88"/>
      <c r="W54" s="88"/>
      <c r="Y54" s="11"/>
      <c r="Z54" s="11"/>
      <c r="AA54" s="11"/>
      <c r="AB54" s="11"/>
      <c r="AC54" s="11"/>
      <c r="AD54" s="11"/>
      <c r="AE54" s="11"/>
      <c r="AF54" s="11"/>
      <c r="AG54" s="11">
        <f t="shared" si="128"/>
        <v>0</v>
      </c>
      <c r="AH54" s="11">
        <f t="shared" si="128"/>
        <v>0</v>
      </c>
      <c r="AI54" s="11">
        <f t="shared" si="128"/>
        <v>0</v>
      </c>
      <c r="AJ54" s="11">
        <f t="shared" si="128"/>
        <v>0</v>
      </c>
      <c r="AK54" s="11">
        <f t="shared" si="128"/>
        <v>0</v>
      </c>
    </row>
    <row r="55" spans="1:37" ht="12.75" customHeight="1">
      <c r="B55" s="14" t="s">
        <v>62</v>
      </c>
      <c r="C55" s="15">
        <f>SUM(C52:C54)</f>
        <v>8205.5499999999993</v>
      </c>
      <c r="D55" s="15">
        <f>SUM(D52:D54)</f>
        <v>6027.8040000000001</v>
      </c>
      <c r="E55" s="15">
        <f>SUM(E52:E54)</f>
        <v>6058.4520000000002</v>
      </c>
      <c r="F55" s="15">
        <f>SUM(F52:F54)</f>
        <v>7137.8859999999995</v>
      </c>
      <c r="G55" s="15">
        <f>SUM(G52:G54)</f>
        <v>9583.7389999999996</v>
      </c>
      <c r="H55" s="34"/>
      <c r="I55" s="15">
        <f t="shared" ref="I55:W55" si="129">SUM(I52:I54)</f>
        <v>6008.9459999999999</v>
      </c>
      <c r="J55" s="15">
        <f t="shared" si="129"/>
        <v>5819.4489999999996</v>
      </c>
      <c r="K55" s="15">
        <f t="shared" si="129"/>
        <v>6113.7330000000002</v>
      </c>
      <c r="L55" s="15">
        <f t="shared" si="129"/>
        <v>6058.4520000000002</v>
      </c>
      <c r="M55" s="15">
        <f t="shared" si="129"/>
        <v>7827.5039999999999</v>
      </c>
      <c r="N55" s="15">
        <f t="shared" si="129"/>
        <v>8576.9889999999996</v>
      </c>
      <c r="O55" s="15">
        <f t="shared" si="129"/>
        <v>7867.4459999999999</v>
      </c>
      <c r="P55" s="15">
        <f t="shared" si="129"/>
        <v>7137.8859999999995</v>
      </c>
      <c r="Q55" s="15">
        <f t="shared" si="129"/>
        <v>7045.7389999999996</v>
      </c>
      <c r="R55" s="15">
        <f t="shared" si="129"/>
        <v>6655.9120000000003</v>
      </c>
      <c r="S55" s="15">
        <f t="shared" si="129"/>
        <v>9223.9269999999997</v>
      </c>
      <c r="T55" s="15">
        <f t="shared" si="129"/>
        <v>9583.7389999999996</v>
      </c>
      <c r="U55" s="15">
        <f t="shared" si="129"/>
        <v>8370.99</v>
      </c>
      <c r="V55" s="15">
        <f t="shared" si="129"/>
        <v>8390.52</v>
      </c>
      <c r="W55" s="15">
        <f t="shared" si="129"/>
        <v>9324.3919999999998</v>
      </c>
      <c r="Y55" s="15">
        <f t="shared" ref="Y55:AF55" si="130">SUM(Y52:Y52)</f>
        <v>6113.7330000000002</v>
      </c>
      <c r="Z55" s="15">
        <f t="shared" si="130"/>
        <v>5147.1760000000004</v>
      </c>
      <c r="AA55" s="15">
        <f t="shared" si="130"/>
        <v>6714.5940000000001</v>
      </c>
      <c r="AB55" s="15">
        <f t="shared" si="130"/>
        <v>7662.7879999999996</v>
      </c>
      <c r="AC55" s="15">
        <f t="shared" si="130"/>
        <v>7353.2449999999999</v>
      </c>
      <c r="AD55" s="15">
        <f t="shared" si="130"/>
        <v>7116.9129999999996</v>
      </c>
      <c r="AE55" s="15">
        <f t="shared" si="130"/>
        <v>7024.7659999999996</v>
      </c>
      <c r="AF55" s="15">
        <f t="shared" si="130"/>
        <v>6624.9390000000003</v>
      </c>
      <c r="AG55" s="15">
        <f>SUM(AG52:AG54)</f>
        <v>9223.9269999999997</v>
      </c>
      <c r="AH55" s="15">
        <f>SUM(AH52:AH54)</f>
        <v>9583.7389999999996</v>
      </c>
      <c r="AI55" s="15">
        <f>SUM(AI52:AI54)</f>
        <v>8370.99</v>
      </c>
      <c r="AJ55" s="15">
        <f>SUM(AJ52:AJ54)</f>
        <v>8390.52</v>
      </c>
      <c r="AK55" s="15">
        <f>SUM(AK52:AK54)</f>
        <v>9324.3919999999998</v>
      </c>
    </row>
    <row r="56" spans="1:37" ht="5.0999999999999996" customHeight="1"/>
    <row r="57" spans="1:37" ht="12.75" customHeight="1">
      <c r="B57" s="37" t="s">
        <v>63</v>
      </c>
    </row>
    <row r="58" spans="1:37" ht="12.75" customHeight="1">
      <c r="B58" s="8" t="s">
        <v>470</v>
      </c>
      <c r="C58" s="176">
        <f>('Historical Financials'!E50)/1000</f>
        <v>960.18299999999999</v>
      </c>
      <c r="D58" s="176">
        <f>('Historical Financials'!F50)/1000</f>
        <v>1323.453</v>
      </c>
      <c r="E58" s="176">
        <f>('Historical Financials'!G50)/1000</f>
        <v>1398.2570000000001</v>
      </c>
      <c r="F58" s="176">
        <f>('Historical Financials'!H50)/1000</f>
        <v>1491.444</v>
      </c>
      <c r="G58" s="176">
        <f>('Historical Financials'!I50)/1000</f>
        <v>1593.7560000000001</v>
      </c>
      <c r="I58" s="176">
        <f>('Historical Financials'!O50)/1000</f>
        <v>1383.7629999999999</v>
      </c>
      <c r="J58" s="176">
        <f>('Historical Financials'!P50)/1000</f>
        <v>1361.92</v>
      </c>
      <c r="K58" s="176">
        <f>('Historical Financials'!Q50)/1000</f>
        <v>1372.7539999999999</v>
      </c>
      <c r="L58" s="176">
        <f>('Historical Financials'!R50)/1000</f>
        <v>1398.2570000000001</v>
      </c>
      <c r="M58" s="176">
        <f>('Historical Financials'!S50)/1000</f>
        <v>1413.0940000000001</v>
      </c>
      <c r="N58" s="176">
        <f>('Historical Financials'!T50)/1000</f>
        <v>1471.9680000000001</v>
      </c>
      <c r="O58" s="176">
        <f>('Historical Financials'!U50)/1000</f>
        <v>1498.3910000000001</v>
      </c>
      <c r="P58" s="176">
        <f>('Historical Financials'!V50)/1000</f>
        <v>1491.444</v>
      </c>
      <c r="Q58" s="176">
        <f>('Historical Financials'!W50)/1000</f>
        <v>1501.1679999999999</v>
      </c>
      <c r="R58" s="176">
        <f>('Historical Financials'!X50)/1000</f>
        <v>1510.9580000000001</v>
      </c>
      <c r="S58" s="176">
        <f>('Historical Financials'!Y50)/1000</f>
        <v>1568.212</v>
      </c>
      <c r="T58" s="176">
        <f>('Historical Financials'!Z50)/1000</f>
        <v>1593.7560000000001</v>
      </c>
      <c r="U58" s="176">
        <f>('Historical Financials'!AA50)/1000</f>
        <v>1644.346</v>
      </c>
      <c r="V58" s="176">
        <f>('Historical Financials'!AB50)/1000</f>
        <v>1743.566</v>
      </c>
      <c r="W58" s="176">
        <f>('Historical Financials'!AC50)/1000</f>
        <v>1837.8889999999999</v>
      </c>
      <c r="X58" s="11"/>
      <c r="Y58" s="11">
        <f t="shared" ref="Y58:AI63" si="131">K58</f>
        <v>1372.7539999999999</v>
      </c>
      <c r="Z58" s="11">
        <f t="shared" si="131"/>
        <v>1398.2570000000001</v>
      </c>
      <c r="AA58" s="11">
        <f t="shared" si="131"/>
        <v>1413.0940000000001</v>
      </c>
      <c r="AB58" s="11">
        <f t="shared" si="131"/>
        <v>1471.9680000000001</v>
      </c>
      <c r="AC58" s="11">
        <f t="shared" si="131"/>
        <v>1498.3910000000001</v>
      </c>
      <c r="AD58" s="11">
        <f t="shared" si="131"/>
        <v>1491.444</v>
      </c>
      <c r="AE58" s="11">
        <f t="shared" si="131"/>
        <v>1501.1679999999999</v>
      </c>
      <c r="AF58" s="11">
        <f t="shared" si="131"/>
        <v>1510.9580000000001</v>
      </c>
      <c r="AG58" s="11">
        <f t="shared" si="131"/>
        <v>1568.212</v>
      </c>
      <c r="AH58" s="11">
        <f t="shared" si="131"/>
        <v>1593.7560000000001</v>
      </c>
      <c r="AI58" s="11">
        <f t="shared" si="131"/>
        <v>1644.346</v>
      </c>
      <c r="AJ58" s="11">
        <f t="shared" ref="AJ58:AK63" si="132">V58</f>
        <v>1743.566</v>
      </c>
      <c r="AK58" s="11">
        <f t="shared" si="132"/>
        <v>1837.8889999999999</v>
      </c>
    </row>
    <row r="59" spans="1:37" ht="12.75" customHeight="1">
      <c r="B59" s="8" t="s">
        <v>659</v>
      </c>
      <c r="C59" s="176">
        <f>('Historical Financials'!E55)/1000</f>
        <v>4429.5360000000001</v>
      </c>
      <c r="D59" s="176">
        <f>('Historical Financials'!F55)/1000</f>
        <v>4292.9669999999996</v>
      </c>
      <c r="E59" s="176">
        <f>('Historical Financials'!G55)/1000</f>
        <v>4480.1499999999996</v>
      </c>
      <c r="F59" s="176">
        <f>('Historical Financials'!H55)/1000</f>
        <v>4466.47</v>
      </c>
      <c r="G59" s="176">
        <f>('Historical Financials'!I55)/1000</f>
        <v>4393.6809999999996</v>
      </c>
      <c r="H59" s="176"/>
      <c r="I59" s="176">
        <f>('Historical Financials'!O55)/1000</f>
        <v>4066.2890000000002</v>
      </c>
      <c r="J59" s="176">
        <f>('Historical Financials'!P55)/1000</f>
        <v>4174.9660000000003</v>
      </c>
      <c r="K59" s="176">
        <f>('Historical Financials'!Q55)/1000</f>
        <v>4225.8900000000003</v>
      </c>
      <c r="L59" s="176">
        <f>('Historical Financials'!R55)/1000</f>
        <v>4480.1499999999996</v>
      </c>
      <c r="M59" s="176">
        <f>('Historical Financials'!S55)/1000</f>
        <v>4344.58</v>
      </c>
      <c r="N59" s="176">
        <f>('Historical Financials'!T55)/1000</f>
        <v>4440.4120000000003</v>
      </c>
      <c r="O59" s="176">
        <f>('Historical Financials'!U55)/1000</f>
        <v>4259.5820000000003</v>
      </c>
      <c r="P59" s="176">
        <f>('Historical Financials'!V55)/1000</f>
        <v>4466.47</v>
      </c>
      <c r="Q59" s="176">
        <f>('Historical Financials'!W55)/1000</f>
        <v>4436.0209999999997</v>
      </c>
      <c r="R59" s="176">
        <f>('Historical Financials'!X55)/1000</f>
        <v>4391.4369999999999</v>
      </c>
      <c r="S59" s="176">
        <f>('Historical Financials'!Y55)/1000</f>
        <v>4489.9709999999995</v>
      </c>
      <c r="T59" s="176">
        <f>('Historical Financials'!Z55)/1000</f>
        <v>4393.6809999999996</v>
      </c>
      <c r="U59" s="176">
        <f>('Historical Financials'!AA55)/1000</f>
        <v>4128.9049999999997</v>
      </c>
      <c r="V59" s="176">
        <f>('Historical Financials'!AB55)/1000</f>
        <v>4091.77</v>
      </c>
      <c r="W59" s="176">
        <f>('Historical Financials'!AC55)/1000</f>
        <v>4102.6400000000003</v>
      </c>
      <c r="Y59" s="11">
        <f t="shared" si="131"/>
        <v>4225.8900000000003</v>
      </c>
      <c r="Z59" s="11">
        <f t="shared" si="131"/>
        <v>4480.1499999999996</v>
      </c>
      <c r="AA59" s="11">
        <f t="shared" si="131"/>
        <v>4344.58</v>
      </c>
      <c r="AB59" s="11">
        <f t="shared" si="131"/>
        <v>4440.4120000000003</v>
      </c>
      <c r="AC59" s="11">
        <f t="shared" si="131"/>
        <v>4259.5820000000003</v>
      </c>
      <c r="AD59" s="11">
        <f t="shared" si="131"/>
        <v>4466.47</v>
      </c>
      <c r="AE59" s="11">
        <f t="shared" si="131"/>
        <v>4436.0209999999997</v>
      </c>
      <c r="AF59" s="11">
        <f t="shared" si="131"/>
        <v>4391.4369999999999</v>
      </c>
      <c r="AG59" s="11">
        <f t="shared" si="131"/>
        <v>4489.9709999999995</v>
      </c>
      <c r="AH59" s="11">
        <f t="shared" si="131"/>
        <v>4393.6809999999996</v>
      </c>
      <c r="AI59" s="11">
        <f t="shared" si="131"/>
        <v>4128.9049999999997</v>
      </c>
      <c r="AJ59" s="11">
        <f t="shared" si="132"/>
        <v>4091.77</v>
      </c>
      <c r="AK59" s="11">
        <f t="shared" si="132"/>
        <v>4102.6400000000003</v>
      </c>
    </row>
    <row r="60" spans="1:37" ht="12.75" customHeight="1">
      <c r="B60" s="8" t="s">
        <v>16</v>
      </c>
      <c r="C60" s="176">
        <f>('Historical Financials'!E56)/1000</f>
        <v>656.18299999999999</v>
      </c>
      <c r="D60" s="176">
        <f>('Historical Financials'!F56)/1000</f>
        <v>837.48299999999995</v>
      </c>
      <c r="E60" s="176">
        <f>('Historical Financials'!G56)/1000</f>
        <v>671.51300000000003</v>
      </c>
      <c r="F60" s="176">
        <f>('Historical Financials'!H56)/1000</f>
        <v>747.41200000000003</v>
      </c>
      <c r="G60" s="176">
        <f>('Historical Financials'!I56)/1000</f>
        <v>899.90899999999999</v>
      </c>
      <c r="H60" s="176"/>
      <c r="I60" s="176">
        <f>('Historical Financials'!O56)/1000</f>
        <v>617.202</v>
      </c>
      <c r="J60" s="176">
        <f>('Historical Financials'!P56)/1000</f>
        <v>504.27800000000002</v>
      </c>
      <c r="K60" s="176">
        <f>('Historical Financials'!Q56)/1000</f>
        <v>560.15599999999995</v>
      </c>
      <c r="L60" s="176">
        <f>('Historical Financials'!R56)/1000</f>
        <v>671.51300000000003</v>
      </c>
      <c r="M60" s="176">
        <f>('Historical Financials'!S56)/1000</f>
        <v>591.98699999999997</v>
      </c>
      <c r="N60" s="176">
        <f>('Historical Financials'!T56)/1000</f>
        <v>615.37400000000002</v>
      </c>
      <c r="O60" s="176">
        <f>('Historical Financials'!U56)/1000</f>
        <v>534.42899999999997</v>
      </c>
      <c r="P60" s="176">
        <f>('Historical Financials'!V56)/1000</f>
        <v>747.41200000000003</v>
      </c>
      <c r="Q60" s="176">
        <f>('Historical Financials'!W56)/1000</f>
        <v>607.34799999999996</v>
      </c>
      <c r="R60" s="176">
        <f>('Historical Financials'!X56)/1000</f>
        <v>598.55700000000002</v>
      </c>
      <c r="S60" s="176">
        <f>('Historical Financials'!Y56)/1000</f>
        <v>641.95299999999997</v>
      </c>
      <c r="T60" s="176">
        <f>('Historical Financials'!Z56)/1000</f>
        <v>899.90899999999999</v>
      </c>
      <c r="U60" s="176">
        <f>('Historical Financials'!AA56)/1000</f>
        <v>614.48900000000003</v>
      </c>
      <c r="V60" s="176">
        <f>('Historical Financials'!AB56)/1000</f>
        <v>632.71799999999996</v>
      </c>
      <c r="W60" s="176">
        <f>('Historical Financials'!AC56)/1000</f>
        <v>793.23299999999995</v>
      </c>
      <c r="Y60" s="11"/>
      <c r="Z60" s="11"/>
      <c r="AA60" s="11"/>
      <c r="AB60" s="11"/>
      <c r="AC60" s="11"/>
      <c r="AD60" s="11"/>
      <c r="AE60" s="11"/>
      <c r="AF60" s="11"/>
      <c r="AG60" s="11">
        <f t="shared" ref="AG60:AG61" si="133">S60</f>
        <v>641.95299999999997</v>
      </c>
      <c r="AH60" s="11">
        <f t="shared" ref="AH60:AH61" si="134">T60</f>
        <v>899.90899999999999</v>
      </c>
      <c r="AI60" s="11">
        <f t="shared" ref="AI60:AI61" si="135">U60</f>
        <v>614.48900000000003</v>
      </c>
      <c r="AJ60" s="11">
        <f t="shared" ref="AJ60:AJ61" si="136">V60</f>
        <v>632.71799999999996</v>
      </c>
      <c r="AK60" s="11">
        <f t="shared" ref="AK60:AK61" si="137">W60</f>
        <v>793.23299999999995</v>
      </c>
    </row>
    <row r="61" spans="1:37" ht="12.75" customHeight="1">
      <c r="B61" s="8" t="s">
        <v>660</v>
      </c>
      <c r="C61" s="176">
        <f>('Historical Financials'!E58)/1000</f>
        <v>1117.992</v>
      </c>
      <c r="D61" s="176">
        <f>('Historical Financials'!F58)/1000</f>
        <v>1209.3420000000001</v>
      </c>
      <c r="E61" s="176">
        <f>('Historical Financials'!G58)/1000</f>
        <v>1264.6610000000001</v>
      </c>
      <c r="F61" s="176">
        <f>('Historical Financials'!H58)/1000</f>
        <v>1442.9690000000001</v>
      </c>
      <c r="G61" s="176">
        <f>('Historical Financials'!I58)/1000</f>
        <v>1520.8130000000001</v>
      </c>
      <c r="H61" s="176"/>
      <c r="I61" s="176">
        <f>('Historical Financials'!O58)/1000</f>
        <v>1239.048</v>
      </c>
      <c r="J61" s="176">
        <f>('Historical Financials'!P58)/1000</f>
        <v>1224.7429999999999</v>
      </c>
      <c r="K61" s="176">
        <f>('Historical Financials'!Q58)/1000</f>
        <v>1176.3230000000001</v>
      </c>
      <c r="L61" s="176">
        <f>('Historical Financials'!R58)/1000</f>
        <v>1264.6610000000001</v>
      </c>
      <c r="M61" s="176">
        <f>('Historical Financials'!S58)/1000</f>
        <v>1262.271</v>
      </c>
      <c r="N61" s="176">
        <f>('Historical Financials'!T58)/1000</f>
        <v>1311.9179999999999</v>
      </c>
      <c r="O61" s="176">
        <f>('Historical Financials'!U58)/1000</f>
        <v>1306.1849999999999</v>
      </c>
      <c r="P61" s="176">
        <f>('Historical Financials'!V58)/1000</f>
        <v>1442.9690000000001</v>
      </c>
      <c r="Q61" s="176">
        <f>('Historical Financials'!W58)/1000</f>
        <v>1469.4839999999999</v>
      </c>
      <c r="R61" s="176">
        <f>('Historical Financials'!X58)/1000</f>
        <v>1473.72</v>
      </c>
      <c r="S61" s="176">
        <f>('Historical Financials'!Y58)/1000</f>
        <v>1513.048</v>
      </c>
      <c r="T61" s="176">
        <f>('Historical Financials'!Z58)/1000</f>
        <v>1520.8130000000001</v>
      </c>
      <c r="U61" s="176">
        <f>('Historical Financials'!AA58)/1000</f>
        <v>1609.7260000000001</v>
      </c>
      <c r="V61" s="176">
        <f>('Historical Financials'!AB58)/1000</f>
        <v>1728.3610000000001</v>
      </c>
      <c r="W61" s="176">
        <f>('Historical Financials'!AC58)/1000</f>
        <v>1724.675</v>
      </c>
      <c r="Y61" s="11"/>
      <c r="Z61" s="11"/>
      <c r="AA61" s="11"/>
      <c r="AB61" s="11"/>
      <c r="AC61" s="11"/>
      <c r="AD61" s="11"/>
      <c r="AE61" s="11"/>
      <c r="AF61" s="11"/>
      <c r="AG61" s="11">
        <f t="shared" si="133"/>
        <v>1513.048</v>
      </c>
      <c r="AH61" s="11">
        <f t="shared" si="134"/>
        <v>1520.8130000000001</v>
      </c>
      <c r="AI61" s="11">
        <f t="shared" si="135"/>
        <v>1609.7260000000001</v>
      </c>
      <c r="AJ61" s="11">
        <f t="shared" si="136"/>
        <v>1728.3610000000001</v>
      </c>
      <c r="AK61" s="11">
        <f t="shared" si="137"/>
        <v>1724.675</v>
      </c>
    </row>
    <row r="62" spans="1:37" ht="12.75" customHeight="1">
      <c r="B62" s="8" t="s">
        <v>65</v>
      </c>
      <c r="C62" s="176">
        <f>('Historical Financials'!E60)/1000</f>
        <v>7805.7849999999999</v>
      </c>
      <c r="D62" s="176">
        <f>('Historical Financials'!F60)/1000</f>
        <v>8488.9660000000003</v>
      </c>
      <c r="E62" s="176">
        <f>('Historical Financials'!G60)/1000</f>
        <v>7930.9740000000002</v>
      </c>
      <c r="F62" s="176">
        <f>('Historical Financials'!H60)/1000</f>
        <v>8860.6550000000007</v>
      </c>
      <c r="G62" s="176">
        <f>('Historical Financials'!I60)/1000</f>
        <v>10755.4</v>
      </c>
      <c r="H62" s="176"/>
      <c r="I62" s="176">
        <f>('Historical Financials'!O60)/1000</f>
        <v>7739.6559999999999</v>
      </c>
      <c r="J62" s="176">
        <f>('Historical Financials'!P60)/1000</f>
        <v>7500.0219999999999</v>
      </c>
      <c r="K62" s="176">
        <f>('Historical Financials'!Q60)/1000</f>
        <v>7765.924</v>
      </c>
      <c r="L62" s="176">
        <f>('Historical Financials'!R60)/1000</f>
        <v>7930.9740000000002</v>
      </c>
      <c r="M62" s="176">
        <f>('Historical Financials'!S60)/1000</f>
        <v>8316.07</v>
      </c>
      <c r="N62" s="176">
        <f>('Historical Financials'!T60)/1000</f>
        <v>8675.8050000000003</v>
      </c>
      <c r="O62" s="176">
        <f>('Historical Financials'!U60)/1000</f>
        <v>8338.7180000000008</v>
      </c>
      <c r="P62" s="176">
        <f>('Historical Financials'!V60)/1000</f>
        <v>8860.6550000000007</v>
      </c>
      <c r="Q62" s="176">
        <f>('Historical Financials'!W60)/1000</f>
        <v>9289.2170000000006</v>
      </c>
      <c r="R62" s="176">
        <f>('Historical Financials'!X60)/1000</f>
        <v>10139.999</v>
      </c>
      <c r="S62" s="176">
        <f>('Historical Financials'!Y60)/1000</f>
        <v>10707.126</v>
      </c>
      <c r="T62" s="176">
        <f>('Historical Financials'!Z60)/1000</f>
        <v>10755.4</v>
      </c>
      <c r="U62" s="176">
        <f>('Historical Financials'!AA60)/1000</f>
        <v>9718.5190000000002</v>
      </c>
      <c r="V62" s="176">
        <f>('Historical Financials'!AB60)/1000</f>
        <v>8942.3349999999991</v>
      </c>
      <c r="W62" s="176">
        <f>('Historical Financials'!AC60)/1000</f>
        <v>9731.8590000000004</v>
      </c>
      <c r="Y62" s="11">
        <f t="shared" si="131"/>
        <v>7765.924</v>
      </c>
      <c r="Z62" s="11">
        <f t="shared" si="131"/>
        <v>7930.9740000000002</v>
      </c>
      <c r="AA62" s="11">
        <f t="shared" si="131"/>
        <v>8316.07</v>
      </c>
      <c r="AB62" s="11">
        <f t="shared" si="131"/>
        <v>8675.8050000000003</v>
      </c>
      <c r="AC62" s="11">
        <f t="shared" si="131"/>
        <v>8338.7180000000008</v>
      </c>
      <c r="AD62" s="11">
        <f t="shared" si="131"/>
        <v>8860.6550000000007</v>
      </c>
      <c r="AE62" s="11">
        <f t="shared" si="131"/>
        <v>9289.2170000000006</v>
      </c>
      <c r="AF62" s="11">
        <f t="shared" si="131"/>
        <v>10139.999</v>
      </c>
      <c r="AG62" s="11">
        <f t="shared" si="131"/>
        <v>10707.126</v>
      </c>
      <c r="AH62" s="11">
        <f t="shared" si="131"/>
        <v>10755.4</v>
      </c>
      <c r="AI62" s="11">
        <f t="shared" si="131"/>
        <v>9718.5190000000002</v>
      </c>
      <c r="AJ62" s="11">
        <f t="shared" si="132"/>
        <v>8942.3349999999991</v>
      </c>
      <c r="AK62" s="11">
        <f t="shared" si="132"/>
        <v>9731.8590000000004</v>
      </c>
    </row>
    <row r="63" spans="1:37" ht="12.75" customHeight="1">
      <c r="B63" s="8" t="s">
        <v>23</v>
      </c>
      <c r="C63" s="176">
        <f>('Historical Financials'!E66)/1000</f>
        <v>28215.118999999999</v>
      </c>
      <c r="D63" s="176">
        <f>('Historical Financials'!F66)/1000</f>
        <v>28735.415000000001</v>
      </c>
      <c r="E63" s="176">
        <f>('Historical Financials'!G66)/1000</f>
        <v>27817.366999999998</v>
      </c>
      <c r="F63" s="176">
        <f>('Historical Financials'!H66)/1000</f>
        <v>28143.679</v>
      </c>
      <c r="G63" s="176">
        <f>('Historical Financials'!I66)/1000</f>
        <v>28886.807000000001</v>
      </c>
      <c r="H63" s="176"/>
      <c r="I63" s="176">
        <f>('Historical Financials'!O66)/1000</f>
        <v>27786.865000000002</v>
      </c>
      <c r="J63" s="176">
        <f>('Historical Financials'!P66)/1000</f>
        <v>27274.960999999999</v>
      </c>
      <c r="K63" s="176">
        <f>('Historical Financials'!Q66)/1000</f>
        <v>27034.045999999998</v>
      </c>
      <c r="L63" s="176">
        <f>('Historical Financials'!R66)/1000</f>
        <v>27817.366999999998</v>
      </c>
      <c r="M63" s="176">
        <f>('Historical Financials'!S66)/1000</f>
        <v>27662.149000000001</v>
      </c>
      <c r="N63" s="176">
        <f>('Historical Financials'!T66)/1000</f>
        <v>27985.258000000002</v>
      </c>
      <c r="O63" s="176">
        <f>('Historical Financials'!U66)/1000</f>
        <v>27394.159</v>
      </c>
      <c r="P63" s="176">
        <f>('Historical Financials'!V66)/1000</f>
        <v>28143.679</v>
      </c>
      <c r="Q63" s="176">
        <f>('Historical Financials'!W66)/1000</f>
        <v>27462.311000000002</v>
      </c>
      <c r="R63" s="176">
        <f>('Historical Financials'!X66)/1000</f>
        <v>26986.202000000001</v>
      </c>
      <c r="S63" s="176">
        <f>('Historical Financials'!Y66)/1000</f>
        <v>29561.108</v>
      </c>
      <c r="T63" s="176">
        <f>('Historical Financials'!Z66)/1000</f>
        <v>28886.807000000001</v>
      </c>
      <c r="U63" s="176">
        <f>('Historical Financials'!AA66)/1000</f>
        <v>28059.571</v>
      </c>
      <c r="V63" s="176">
        <f>('Historical Financials'!AB66)/1000</f>
        <v>28147.764999999999</v>
      </c>
      <c r="W63" s="176">
        <f>('Historical Financials'!AC66)/1000</f>
        <v>28980.799999999999</v>
      </c>
      <c r="Y63" s="11">
        <f t="shared" si="131"/>
        <v>27034.045999999998</v>
      </c>
      <c r="Z63" s="11">
        <f t="shared" si="131"/>
        <v>27817.366999999998</v>
      </c>
      <c r="AA63" s="11">
        <f t="shared" si="131"/>
        <v>27662.149000000001</v>
      </c>
      <c r="AB63" s="11">
        <f t="shared" si="131"/>
        <v>27985.258000000002</v>
      </c>
      <c r="AC63" s="11">
        <f t="shared" si="131"/>
        <v>27394.159</v>
      </c>
      <c r="AD63" s="11">
        <f t="shared" si="131"/>
        <v>28143.679</v>
      </c>
      <c r="AE63" s="11">
        <f t="shared" si="131"/>
        <v>27462.311000000002</v>
      </c>
      <c r="AF63" s="11">
        <f t="shared" si="131"/>
        <v>26986.202000000001</v>
      </c>
      <c r="AG63" s="11">
        <f t="shared" si="131"/>
        <v>29561.108</v>
      </c>
      <c r="AH63" s="11">
        <f t="shared" si="131"/>
        <v>28886.807000000001</v>
      </c>
      <c r="AI63" s="11">
        <f t="shared" si="131"/>
        <v>28059.571</v>
      </c>
      <c r="AJ63" s="11">
        <f t="shared" si="132"/>
        <v>28147.764999999999</v>
      </c>
      <c r="AK63" s="11">
        <f t="shared" si="132"/>
        <v>28980.799999999999</v>
      </c>
    </row>
    <row r="64" spans="1:37" ht="5.0999999999999996" customHeight="1">
      <c r="G64" s="11"/>
    </row>
    <row r="65" spans="2:37">
      <c r="B65" s="37" t="s">
        <v>677</v>
      </c>
      <c r="G65" s="11"/>
    </row>
    <row r="66" spans="2:37">
      <c r="B66" s="8" t="s">
        <v>678</v>
      </c>
      <c r="C66" s="176">
        <f>('Historical Financials'!E59)/1000</f>
        <v>499.87799999999999</v>
      </c>
      <c r="D66" s="176">
        <f>('Historical Financials'!F59)/1000</f>
        <v>699.82299999999998</v>
      </c>
      <c r="E66" s="176">
        <f>('Historical Financials'!G59)/1000</f>
        <v>0</v>
      </c>
      <c r="F66" s="176">
        <f>('Historical Financials'!H59)/1000</f>
        <v>399.84399999999999</v>
      </c>
      <c r="G66" s="176">
        <f>('Historical Financials'!I59)/1000</f>
        <v>1784.453</v>
      </c>
      <c r="I66" s="176">
        <f>('Historical Financials'!O59)/1000</f>
        <v>0</v>
      </c>
      <c r="J66" s="176">
        <f>('Historical Financials'!P59)/1000</f>
        <v>0</v>
      </c>
      <c r="K66" s="176">
        <f>('Historical Financials'!Q59)/1000</f>
        <v>0</v>
      </c>
      <c r="L66" s="176">
        <f>('Historical Financials'!R59)/1000</f>
        <v>0</v>
      </c>
      <c r="M66" s="176">
        <f>('Historical Financials'!S59)/1000</f>
        <v>399.16300000000001</v>
      </c>
      <c r="N66" s="176">
        <f>('Historical Financials'!T59)/1000</f>
        <v>399.387</v>
      </c>
      <c r="O66" s="176">
        <f>('Historical Financials'!U59)/1000</f>
        <v>399.61399999999998</v>
      </c>
      <c r="P66" s="176">
        <f>('Historical Financials'!V59)/1000</f>
        <v>399.84399999999999</v>
      </c>
      <c r="Q66" s="176">
        <f>('Historical Financials'!W59)/1000</f>
        <v>798.93600000000004</v>
      </c>
      <c r="R66" s="176">
        <f>('Historical Financials'!X59)/1000</f>
        <v>1800.0409999999999</v>
      </c>
      <c r="S66" s="176">
        <f>('Historical Financials'!Y59)/1000</f>
        <v>1820.396</v>
      </c>
      <c r="T66" s="176">
        <f>('Historical Financials'!Z59)/1000</f>
        <v>1784.453</v>
      </c>
      <c r="U66" s="176">
        <f>('Historical Financials'!AA59)/1000</f>
        <v>1005.881</v>
      </c>
      <c r="V66" s="176">
        <f>('Historical Financials'!AB59)/1000</f>
        <v>0</v>
      </c>
      <c r="W66" s="176">
        <f>('Historical Financials'!AC59)/1000</f>
        <v>0</v>
      </c>
      <c r="AG66" s="11">
        <f t="shared" ref="AG66:AG67" si="138">S66</f>
        <v>1820.396</v>
      </c>
      <c r="AH66" s="11">
        <f t="shared" ref="AH66:AH67" si="139">T66</f>
        <v>1784.453</v>
      </c>
      <c r="AI66" s="11">
        <f t="shared" ref="AI66:AI67" si="140">U66</f>
        <v>1005.881</v>
      </c>
      <c r="AJ66" s="11">
        <f t="shared" ref="AJ66:AJ67" si="141">V66</f>
        <v>0</v>
      </c>
      <c r="AK66" s="11">
        <f t="shared" ref="AK66:AK67" si="142">W66</f>
        <v>0</v>
      </c>
    </row>
    <row r="67" spans="2:37">
      <c r="B67" s="8" t="s">
        <v>679</v>
      </c>
      <c r="C67" s="176">
        <f>('Historical Financials'!E64)/1000</f>
        <v>15809.094999999999</v>
      </c>
      <c r="D67" s="176">
        <f>('Historical Financials'!F64)/1000</f>
        <v>14693.072</v>
      </c>
      <c r="E67" s="176">
        <f>('Historical Financials'!G64)/1000</f>
        <v>14353.075999999999</v>
      </c>
      <c r="F67" s="176">
        <f>('Historical Financials'!H64)/1000</f>
        <v>14143.416999999999</v>
      </c>
      <c r="G67" s="176">
        <f>('Historical Financials'!I64)/1000</f>
        <v>13798.351000000001</v>
      </c>
      <c r="I67" s="176">
        <f>('Historical Financials'!O64)/1000</f>
        <v>14534.561</v>
      </c>
      <c r="J67" s="176">
        <f>('Historical Financials'!P64)/1000</f>
        <v>14233.303</v>
      </c>
      <c r="K67" s="176">
        <f>('Historical Financials'!Q64)/1000</f>
        <v>13888.117</v>
      </c>
      <c r="L67" s="176">
        <f>('Historical Financials'!R64)/1000</f>
        <v>14353.075999999999</v>
      </c>
      <c r="M67" s="176">
        <f>('Historical Financials'!S64)/1000</f>
        <v>14037.965</v>
      </c>
      <c r="N67" s="176">
        <f>('Historical Financials'!T64)/1000</f>
        <v>14070.151</v>
      </c>
      <c r="O67" s="176">
        <f>('Historical Financials'!U64)/1000</f>
        <v>13900.754000000001</v>
      </c>
      <c r="P67" s="176">
        <f>('Historical Financials'!V64)/1000</f>
        <v>14143.416999999999</v>
      </c>
      <c r="Q67" s="176">
        <f>('Historical Financials'!W64)/1000</f>
        <v>13217.038</v>
      </c>
      <c r="R67" s="176">
        <f>('Historical Financials'!X64)/1000</f>
        <v>12180.023999999999</v>
      </c>
      <c r="S67" s="176">
        <f>('Historical Financials'!Y64)/1000</f>
        <v>14160.932000000001</v>
      </c>
      <c r="T67" s="176">
        <f>('Historical Financials'!Z64)/1000</f>
        <v>13798.351000000001</v>
      </c>
      <c r="U67" s="176">
        <f>('Historical Financials'!AA64)/1000</f>
        <v>14011.037</v>
      </c>
      <c r="V67" s="176">
        <f>('Historical Financials'!AB64)/1000</f>
        <v>14453.206</v>
      </c>
      <c r="W67" s="176">
        <f>('Historical Financials'!AC64)/1000</f>
        <v>14463.02</v>
      </c>
      <c r="AG67" s="11">
        <f t="shared" si="138"/>
        <v>14160.932000000001</v>
      </c>
      <c r="AH67" s="11">
        <f t="shared" si="139"/>
        <v>13798.351000000001</v>
      </c>
      <c r="AI67" s="11">
        <f t="shared" si="140"/>
        <v>14011.037</v>
      </c>
      <c r="AJ67" s="11">
        <f t="shared" si="141"/>
        <v>14453.206</v>
      </c>
      <c r="AK67" s="11">
        <f t="shared" si="142"/>
        <v>14463.02</v>
      </c>
    </row>
    <row r="68" spans="2:37">
      <c r="G68" s="11"/>
    </row>
    <row r="69" spans="2:37" ht="12.75" customHeight="1">
      <c r="B69" s="33" t="s">
        <v>661</v>
      </c>
      <c r="C69" s="88"/>
      <c r="D69" s="88"/>
      <c r="E69" s="88"/>
      <c r="F69" s="88">
        <v>400</v>
      </c>
      <c r="G69" s="88">
        <v>0</v>
      </c>
      <c r="I69" s="88"/>
      <c r="J69" s="88"/>
      <c r="K69" s="88"/>
      <c r="L69" s="469">
        <f>E69</f>
        <v>0</v>
      </c>
      <c r="M69" s="88"/>
      <c r="N69" s="88"/>
      <c r="O69" s="88"/>
      <c r="P69" s="469">
        <f>F69</f>
        <v>400</v>
      </c>
      <c r="Q69" s="88"/>
      <c r="R69" s="88"/>
      <c r="S69" s="88"/>
      <c r="T69" s="469">
        <f>G69</f>
        <v>0</v>
      </c>
      <c r="U69" s="88"/>
      <c r="V69" s="88"/>
      <c r="W69" s="88"/>
      <c r="Y69" s="11">
        <f t="shared" ref="Y69:AK69" si="143">K69</f>
        <v>0</v>
      </c>
      <c r="Z69" s="11">
        <f t="shared" si="143"/>
        <v>0</v>
      </c>
      <c r="AA69" s="11">
        <f t="shared" si="143"/>
        <v>0</v>
      </c>
      <c r="AB69" s="11">
        <f t="shared" si="143"/>
        <v>0</v>
      </c>
      <c r="AC69" s="11">
        <f t="shared" si="143"/>
        <v>0</v>
      </c>
      <c r="AD69" s="11">
        <f t="shared" si="143"/>
        <v>400</v>
      </c>
      <c r="AE69" s="11">
        <f t="shared" si="143"/>
        <v>0</v>
      </c>
      <c r="AF69" s="11">
        <f t="shared" si="143"/>
        <v>0</v>
      </c>
      <c r="AG69" s="11">
        <f t="shared" si="143"/>
        <v>0</v>
      </c>
      <c r="AH69" s="11">
        <f t="shared" si="143"/>
        <v>0</v>
      </c>
      <c r="AI69" s="11">
        <f t="shared" si="143"/>
        <v>0</v>
      </c>
      <c r="AJ69" s="11">
        <f t="shared" si="143"/>
        <v>0</v>
      </c>
      <c r="AK69" s="11">
        <f t="shared" si="143"/>
        <v>0</v>
      </c>
    </row>
    <row r="70" spans="2:37" ht="12.75" customHeight="1">
      <c r="B70" s="33" t="s">
        <v>662</v>
      </c>
      <c r="C70" s="88"/>
      <c r="D70" s="88"/>
      <c r="E70" s="88"/>
      <c r="F70" s="88">
        <v>800</v>
      </c>
      <c r="G70" s="88">
        <v>800</v>
      </c>
      <c r="I70" s="88"/>
      <c r="J70" s="88"/>
      <c r="K70" s="88"/>
      <c r="L70" s="469">
        <f t="shared" ref="L70:L84" si="144">E70</f>
        <v>0</v>
      </c>
      <c r="M70" s="88"/>
      <c r="N70" s="88"/>
      <c r="O70" s="88"/>
      <c r="P70" s="469">
        <f t="shared" ref="P70:P84" si="145">F70</f>
        <v>800</v>
      </c>
      <c r="Q70" s="88"/>
      <c r="R70" s="88"/>
      <c r="S70" s="88"/>
      <c r="T70" s="469">
        <f t="shared" ref="T70:T84" si="146">G70</f>
        <v>800</v>
      </c>
      <c r="U70" s="88"/>
      <c r="V70" s="88"/>
      <c r="W70" s="88"/>
      <c r="Y70" s="11"/>
      <c r="Z70" s="11"/>
      <c r="AA70" s="11"/>
      <c r="AB70" s="11"/>
      <c r="AC70" s="11"/>
      <c r="AD70" s="11"/>
      <c r="AE70" s="11"/>
      <c r="AF70" s="11"/>
      <c r="AG70" s="11">
        <f t="shared" ref="AG70:AG83" si="147">S70</f>
        <v>0</v>
      </c>
      <c r="AH70" s="11">
        <f t="shared" ref="AH70:AH83" si="148">T70</f>
        <v>800</v>
      </c>
      <c r="AI70" s="11">
        <f t="shared" ref="AI70:AI83" si="149">U70</f>
        <v>0</v>
      </c>
      <c r="AJ70" s="11">
        <f t="shared" ref="AJ70:AJ83" si="150">V70</f>
        <v>0</v>
      </c>
      <c r="AK70" s="11">
        <f t="shared" ref="AK70:AK83" si="151">W70</f>
        <v>0</v>
      </c>
    </row>
    <row r="71" spans="2:37" ht="12.75" customHeight="1">
      <c r="B71" s="33" t="s">
        <v>663</v>
      </c>
      <c r="C71" s="88"/>
      <c r="D71" s="88"/>
      <c r="E71" s="88"/>
      <c r="F71" s="88">
        <v>519</v>
      </c>
      <c r="G71" s="88">
        <v>487</v>
      </c>
      <c r="I71" s="88"/>
      <c r="J71" s="88"/>
      <c r="K71" s="88"/>
      <c r="L71" s="469">
        <f t="shared" si="144"/>
        <v>0</v>
      </c>
      <c r="M71" s="88"/>
      <c r="N71" s="88"/>
      <c r="O71" s="88"/>
      <c r="P71" s="469">
        <f t="shared" si="145"/>
        <v>519</v>
      </c>
      <c r="Q71" s="88"/>
      <c r="R71" s="88"/>
      <c r="S71" s="88"/>
      <c r="T71" s="469">
        <f t="shared" si="146"/>
        <v>487</v>
      </c>
      <c r="U71" s="88"/>
      <c r="V71" s="88"/>
      <c r="W71" s="88"/>
      <c r="Y71" s="11"/>
      <c r="Z71" s="11"/>
      <c r="AA71" s="11"/>
      <c r="AB71" s="11"/>
      <c r="AC71" s="11"/>
      <c r="AD71" s="11"/>
      <c r="AE71" s="11"/>
      <c r="AF71" s="11"/>
      <c r="AG71" s="11">
        <f t="shared" si="147"/>
        <v>0</v>
      </c>
      <c r="AH71" s="11">
        <f t="shared" si="148"/>
        <v>487</v>
      </c>
      <c r="AI71" s="11">
        <f t="shared" si="149"/>
        <v>0</v>
      </c>
      <c r="AJ71" s="11">
        <f t="shared" si="150"/>
        <v>0</v>
      </c>
      <c r="AK71" s="11">
        <f t="shared" si="151"/>
        <v>0</v>
      </c>
    </row>
    <row r="72" spans="2:37" ht="12.75" customHeight="1">
      <c r="B72" s="33" t="s">
        <v>664</v>
      </c>
      <c r="C72" s="88"/>
      <c r="D72" s="88"/>
      <c r="E72" s="88"/>
      <c r="F72" s="88">
        <v>500</v>
      </c>
      <c r="G72" s="88">
        <v>500</v>
      </c>
      <c r="I72" s="88"/>
      <c r="J72" s="88"/>
      <c r="K72" s="88"/>
      <c r="L72" s="469">
        <f t="shared" si="144"/>
        <v>0</v>
      </c>
      <c r="M72" s="88"/>
      <c r="N72" s="88"/>
      <c r="O72" s="88"/>
      <c r="P72" s="469">
        <f t="shared" si="145"/>
        <v>500</v>
      </c>
      <c r="Q72" s="88"/>
      <c r="R72" s="88"/>
      <c r="S72" s="88"/>
      <c r="T72" s="469">
        <f t="shared" si="146"/>
        <v>500</v>
      </c>
      <c r="U72" s="88"/>
      <c r="V72" s="88"/>
      <c r="W72" s="88"/>
      <c r="Y72" s="11"/>
      <c r="Z72" s="11"/>
      <c r="AA72" s="11"/>
      <c r="AB72" s="11"/>
      <c r="AC72" s="11"/>
      <c r="AD72" s="11"/>
      <c r="AE72" s="11"/>
      <c r="AF72" s="11"/>
      <c r="AG72" s="11">
        <f t="shared" si="147"/>
        <v>0</v>
      </c>
      <c r="AH72" s="11">
        <f t="shared" si="148"/>
        <v>500</v>
      </c>
      <c r="AI72" s="11">
        <f t="shared" si="149"/>
        <v>0</v>
      </c>
      <c r="AJ72" s="11">
        <f t="shared" si="150"/>
        <v>0</v>
      </c>
      <c r="AK72" s="11">
        <f t="shared" si="151"/>
        <v>0</v>
      </c>
    </row>
    <row r="73" spans="2:37" ht="12.75" customHeight="1">
      <c r="B73" s="33" t="s">
        <v>665</v>
      </c>
      <c r="C73" s="88"/>
      <c r="D73" s="88"/>
      <c r="E73" s="88"/>
      <c r="F73" s="88">
        <v>1000</v>
      </c>
      <c r="G73" s="88">
        <v>1000</v>
      </c>
      <c r="I73" s="88"/>
      <c r="J73" s="88"/>
      <c r="K73" s="88"/>
      <c r="L73" s="469">
        <f t="shared" si="144"/>
        <v>0</v>
      </c>
      <c r="M73" s="88"/>
      <c r="N73" s="88"/>
      <c r="O73" s="88"/>
      <c r="P73" s="469">
        <f t="shared" si="145"/>
        <v>1000</v>
      </c>
      <c r="Q73" s="88"/>
      <c r="R73" s="88"/>
      <c r="S73" s="88"/>
      <c r="T73" s="469">
        <f t="shared" si="146"/>
        <v>1000</v>
      </c>
      <c r="U73" s="88"/>
      <c r="V73" s="88"/>
      <c r="W73" s="88"/>
      <c r="Y73" s="11"/>
      <c r="Z73" s="11"/>
      <c r="AA73" s="11"/>
      <c r="AB73" s="11"/>
      <c r="AC73" s="11"/>
      <c r="AD73" s="11"/>
      <c r="AE73" s="11"/>
      <c r="AF73" s="11"/>
      <c r="AG73" s="11">
        <f t="shared" si="147"/>
        <v>0</v>
      </c>
      <c r="AH73" s="11">
        <f t="shared" si="148"/>
        <v>1000</v>
      </c>
      <c r="AI73" s="11">
        <f t="shared" si="149"/>
        <v>0</v>
      </c>
      <c r="AJ73" s="11">
        <f t="shared" si="150"/>
        <v>0</v>
      </c>
      <c r="AK73" s="11">
        <f t="shared" si="151"/>
        <v>0</v>
      </c>
    </row>
    <row r="74" spans="2:37" ht="12.75" customHeight="1">
      <c r="B74" s="33" t="s">
        <v>672</v>
      </c>
      <c r="C74" s="88"/>
      <c r="D74" s="88"/>
      <c r="E74" s="88"/>
      <c r="F74" s="88">
        <v>1434</v>
      </c>
      <c r="G74" s="88">
        <v>1346</v>
      </c>
      <c r="I74" s="88"/>
      <c r="J74" s="88"/>
      <c r="K74" s="88"/>
      <c r="L74" s="469">
        <f t="shared" si="144"/>
        <v>0</v>
      </c>
      <c r="M74" s="88"/>
      <c r="N74" s="88"/>
      <c r="O74" s="88"/>
      <c r="P74" s="469">
        <f t="shared" si="145"/>
        <v>1434</v>
      </c>
      <c r="Q74" s="88"/>
      <c r="R74" s="88"/>
      <c r="S74" s="88"/>
      <c r="T74" s="469">
        <f t="shared" si="146"/>
        <v>1346</v>
      </c>
      <c r="U74" s="88"/>
      <c r="V74" s="88"/>
      <c r="W74" s="88"/>
      <c r="Y74" s="11"/>
      <c r="Z74" s="11"/>
      <c r="AA74" s="11"/>
      <c r="AB74" s="11"/>
      <c r="AC74" s="11"/>
      <c r="AD74" s="11"/>
      <c r="AE74" s="11"/>
      <c r="AF74" s="11"/>
      <c r="AG74" s="11">
        <f t="shared" si="147"/>
        <v>0</v>
      </c>
      <c r="AH74" s="11">
        <f t="shared" si="148"/>
        <v>1346</v>
      </c>
      <c r="AI74" s="11">
        <f t="shared" si="149"/>
        <v>0</v>
      </c>
      <c r="AJ74" s="11">
        <f t="shared" si="150"/>
        <v>0</v>
      </c>
      <c r="AK74" s="11">
        <f t="shared" si="151"/>
        <v>0</v>
      </c>
    </row>
    <row r="75" spans="2:37" ht="12.75" customHeight="1">
      <c r="B75" s="33" t="s">
        <v>671</v>
      </c>
      <c r="C75" s="88"/>
      <c r="D75" s="88"/>
      <c r="E75" s="88"/>
      <c r="F75" s="88">
        <v>1600</v>
      </c>
      <c r="G75" s="88">
        <v>1600</v>
      </c>
      <c r="I75" s="88"/>
      <c r="J75" s="88"/>
      <c r="K75" s="88"/>
      <c r="L75" s="469">
        <f t="shared" si="144"/>
        <v>0</v>
      </c>
      <c r="M75" s="88"/>
      <c r="N75" s="88"/>
      <c r="O75" s="88"/>
      <c r="P75" s="469">
        <f t="shared" si="145"/>
        <v>1600</v>
      </c>
      <c r="Q75" s="88"/>
      <c r="R75" s="88"/>
      <c r="S75" s="88"/>
      <c r="T75" s="469">
        <f t="shared" si="146"/>
        <v>1600</v>
      </c>
      <c r="U75" s="88"/>
      <c r="V75" s="88"/>
      <c r="W75" s="88"/>
      <c r="Y75" s="11"/>
      <c r="Z75" s="11"/>
      <c r="AA75" s="11"/>
      <c r="AB75" s="11"/>
      <c r="AC75" s="11"/>
      <c r="AD75" s="11"/>
      <c r="AE75" s="11"/>
      <c r="AF75" s="11"/>
      <c r="AG75" s="11">
        <f t="shared" si="147"/>
        <v>0</v>
      </c>
      <c r="AH75" s="11">
        <f t="shared" si="148"/>
        <v>1600</v>
      </c>
      <c r="AI75" s="11">
        <f t="shared" si="149"/>
        <v>0</v>
      </c>
      <c r="AJ75" s="11">
        <f t="shared" si="150"/>
        <v>0</v>
      </c>
      <c r="AK75" s="11">
        <f t="shared" si="151"/>
        <v>0</v>
      </c>
    </row>
    <row r="76" spans="2:37" ht="12.75" customHeight="1">
      <c r="B76" s="33" t="s">
        <v>670</v>
      </c>
      <c r="C76" s="88"/>
      <c r="D76" s="88"/>
      <c r="E76" s="88"/>
      <c r="F76" s="88">
        <v>1900</v>
      </c>
      <c r="G76" s="88">
        <v>1900</v>
      </c>
      <c r="I76" s="88"/>
      <c r="J76" s="88"/>
      <c r="K76" s="88"/>
      <c r="L76" s="469">
        <f t="shared" si="144"/>
        <v>0</v>
      </c>
      <c r="M76" s="88"/>
      <c r="N76" s="88"/>
      <c r="O76" s="88"/>
      <c r="P76" s="469">
        <f t="shared" si="145"/>
        <v>1900</v>
      </c>
      <c r="Q76" s="88"/>
      <c r="R76" s="88"/>
      <c r="S76" s="88"/>
      <c r="T76" s="469">
        <f t="shared" si="146"/>
        <v>1900</v>
      </c>
      <c r="U76" s="88"/>
      <c r="V76" s="88"/>
      <c r="W76" s="88"/>
      <c r="Y76" s="11"/>
      <c r="Z76" s="11"/>
      <c r="AA76" s="11"/>
      <c r="AB76" s="11"/>
      <c r="AC76" s="11"/>
      <c r="AD76" s="11"/>
      <c r="AE76" s="11"/>
      <c r="AF76" s="11"/>
      <c r="AG76" s="11">
        <f t="shared" si="147"/>
        <v>0</v>
      </c>
      <c r="AH76" s="11">
        <f t="shared" si="148"/>
        <v>1900</v>
      </c>
      <c r="AI76" s="11">
        <f t="shared" si="149"/>
        <v>0</v>
      </c>
      <c r="AJ76" s="11">
        <f t="shared" si="150"/>
        <v>0</v>
      </c>
      <c r="AK76" s="11">
        <f t="shared" si="151"/>
        <v>0</v>
      </c>
    </row>
    <row r="77" spans="2:37" ht="12.75" customHeight="1">
      <c r="B77" s="33" t="s">
        <v>669</v>
      </c>
      <c r="C77" s="88"/>
      <c r="D77" s="88"/>
      <c r="E77" s="88"/>
      <c r="F77" s="88">
        <v>1215</v>
      </c>
      <c r="G77" s="88">
        <v>1139</v>
      </c>
      <c r="I77" s="88"/>
      <c r="J77" s="88"/>
      <c r="K77" s="88"/>
      <c r="L77" s="469">
        <f t="shared" si="144"/>
        <v>0</v>
      </c>
      <c r="M77" s="88"/>
      <c r="N77" s="88"/>
      <c r="O77" s="88"/>
      <c r="P77" s="469">
        <f t="shared" si="145"/>
        <v>1215</v>
      </c>
      <c r="Q77" s="88"/>
      <c r="R77" s="88"/>
      <c r="S77" s="88"/>
      <c r="T77" s="469">
        <f t="shared" si="146"/>
        <v>1139</v>
      </c>
      <c r="U77" s="88"/>
      <c r="V77" s="88"/>
      <c r="W77" s="88"/>
      <c r="Y77" s="11"/>
      <c r="Z77" s="11"/>
      <c r="AA77" s="11"/>
      <c r="AB77" s="11"/>
      <c r="AC77" s="11"/>
      <c r="AD77" s="11"/>
      <c r="AE77" s="11"/>
      <c r="AF77" s="11"/>
      <c r="AG77" s="11">
        <f t="shared" si="147"/>
        <v>0</v>
      </c>
      <c r="AH77" s="11">
        <f t="shared" si="148"/>
        <v>1139</v>
      </c>
      <c r="AI77" s="11">
        <f t="shared" si="149"/>
        <v>0</v>
      </c>
      <c r="AJ77" s="11">
        <f t="shared" si="150"/>
        <v>0</v>
      </c>
      <c r="AK77" s="11">
        <f t="shared" si="151"/>
        <v>0</v>
      </c>
    </row>
    <row r="78" spans="2:37" ht="12.75" customHeight="1">
      <c r="B78" s="33" t="s">
        <v>668</v>
      </c>
      <c r="C78" s="88"/>
      <c r="D78" s="88"/>
      <c r="E78" s="88"/>
      <c r="F78" s="88">
        <v>800</v>
      </c>
      <c r="G78" s="88">
        <v>800</v>
      </c>
      <c r="I78" s="88"/>
      <c r="J78" s="88"/>
      <c r="K78" s="88"/>
      <c r="L78" s="469">
        <f t="shared" si="144"/>
        <v>0</v>
      </c>
      <c r="M78" s="88"/>
      <c r="N78" s="88"/>
      <c r="O78" s="88"/>
      <c r="P78" s="469">
        <f t="shared" si="145"/>
        <v>800</v>
      </c>
      <c r="Q78" s="88"/>
      <c r="R78" s="88"/>
      <c r="S78" s="88"/>
      <c r="T78" s="469">
        <f t="shared" si="146"/>
        <v>800</v>
      </c>
      <c r="U78" s="88"/>
      <c r="V78" s="88"/>
      <c r="W78" s="88"/>
      <c r="Y78" s="11"/>
      <c r="Z78" s="11"/>
      <c r="AA78" s="11"/>
      <c r="AB78" s="11"/>
      <c r="AC78" s="11"/>
      <c r="AD78" s="11"/>
      <c r="AE78" s="11"/>
      <c r="AF78" s="11"/>
      <c r="AG78" s="11">
        <f t="shared" si="147"/>
        <v>0</v>
      </c>
      <c r="AH78" s="11">
        <f t="shared" si="148"/>
        <v>800</v>
      </c>
      <c r="AI78" s="11">
        <f t="shared" si="149"/>
        <v>0</v>
      </c>
      <c r="AJ78" s="11">
        <f t="shared" si="150"/>
        <v>0</v>
      </c>
      <c r="AK78" s="11">
        <f t="shared" si="151"/>
        <v>0</v>
      </c>
    </row>
    <row r="79" spans="2:37" ht="12.75" customHeight="1">
      <c r="B79" s="33" t="s">
        <v>676</v>
      </c>
      <c r="C79" s="88"/>
      <c r="D79" s="88"/>
      <c r="E79" s="88"/>
      <c r="F79" s="88">
        <v>1325</v>
      </c>
      <c r="G79" s="88">
        <v>1242</v>
      </c>
      <c r="I79" s="88"/>
      <c r="J79" s="88"/>
      <c r="K79" s="88"/>
      <c r="L79" s="469">
        <f t="shared" si="144"/>
        <v>0</v>
      </c>
      <c r="M79" s="88"/>
      <c r="N79" s="88"/>
      <c r="O79" s="88"/>
      <c r="P79" s="469">
        <f t="shared" si="145"/>
        <v>1325</v>
      </c>
      <c r="Q79" s="88"/>
      <c r="R79" s="88"/>
      <c r="S79" s="88"/>
      <c r="T79" s="469">
        <f t="shared" si="146"/>
        <v>1242</v>
      </c>
      <c r="U79" s="88"/>
      <c r="V79" s="88"/>
      <c r="W79" s="88"/>
      <c r="Y79" s="11"/>
      <c r="Z79" s="11"/>
      <c r="AA79" s="11"/>
      <c r="AB79" s="11"/>
      <c r="AC79" s="11"/>
      <c r="AD79" s="11"/>
      <c r="AE79" s="11"/>
      <c r="AF79" s="11"/>
      <c r="AG79" s="11">
        <f t="shared" si="147"/>
        <v>0</v>
      </c>
      <c r="AH79" s="11">
        <f t="shared" si="148"/>
        <v>1242</v>
      </c>
      <c r="AI79" s="11">
        <f t="shared" si="149"/>
        <v>0</v>
      </c>
      <c r="AJ79" s="11">
        <f t="shared" si="150"/>
        <v>0</v>
      </c>
      <c r="AK79" s="11">
        <f t="shared" si="151"/>
        <v>0</v>
      </c>
    </row>
    <row r="80" spans="2:37" ht="12.75" customHeight="1">
      <c r="B80" s="33" t="s">
        <v>675</v>
      </c>
      <c r="C80" s="88"/>
      <c r="D80" s="88"/>
      <c r="E80" s="88"/>
      <c r="F80" s="88">
        <v>900</v>
      </c>
      <c r="G80" s="88">
        <v>900</v>
      </c>
      <c r="I80" s="88"/>
      <c r="J80" s="88"/>
      <c r="K80" s="88"/>
      <c r="L80" s="469">
        <f t="shared" si="144"/>
        <v>0</v>
      </c>
      <c r="M80" s="88"/>
      <c r="N80" s="88"/>
      <c r="O80" s="88"/>
      <c r="P80" s="469">
        <f t="shared" si="145"/>
        <v>900</v>
      </c>
      <c r="Q80" s="88"/>
      <c r="R80" s="88"/>
      <c r="S80" s="88"/>
      <c r="T80" s="469">
        <f t="shared" si="146"/>
        <v>900</v>
      </c>
      <c r="U80" s="88"/>
      <c r="V80" s="88"/>
      <c r="W80" s="88"/>
      <c r="Y80" s="11"/>
      <c r="Z80" s="11"/>
      <c r="AA80" s="11"/>
      <c r="AB80" s="11"/>
      <c r="AC80" s="11"/>
      <c r="AD80" s="11"/>
      <c r="AE80" s="11"/>
      <c r="AF80" s="11"/>
      <c r="AG80" s="11">
        <f t="shared" si="147"/>
        <v>0</v>
      </c>
      <c r="AH80" s="11">
        <f t="shared" si="148"/>
        <v>900</v>
      </c>
      <c r="AI80" s="11">
        <f t="shared" si="149"/>
        <v>0</v>
      </c>
      <c r="AJ80" s="11">
        <f t="shared" si="150"/>
        <v>0</v>
      </c>
      <c r="AK80" s="11">
        <f t="shared" si="151"/>
        <v>0</v>
      </c>
    </row>
    <row r="81" spans="1:37" ht="12.75" customHeight="1">
      <c r="B81" s="33" t="s">
        <v>673</v>
      </c>
      <c r="C81" s="88"/>
      <c r="D81" s="88"/>
      <c r="E81" s="88"/>
      <c r="F81" s="88">
        <v>1215</v>
      </c>
      <c r="G81" s="88">
        <v>1139</v>
      </c>
      <c r="I81" s="88"/>
      <c r="J81" s="88"/>
      <c r="K81" s="88"/>
      <c r="L81" s="469">
        <f t="shared" si="144"/>
        <v>0</v>
      </c>
      <c r="M81" s="88"/>
      <c r="N81" s="88"/>
      <c r="O81" s="88"/>
      <c r="P81" s="469">
        <f t="shared" si="145"/>
        <v>1215</v>
      </c>
      <c r="Q81" s="88"/>
      <c r="R81" s="88"/>
      <c r="S81" s="88"/>
      <c r="T81" s="469">
        <f t="shared" si="146"/>
        <v>1139</v>
      </c>
      <c r="U81" s="88"/>
      <c r="V81" s="88"/>
      <c r="W81" s="88"/>
      <c r="Y81" s="11"/>
      <c r="Z81" s="11"/>
      <c r="AA81" s="11"/>
      <c r="AB81" s="11"/>
      <c r="AC81" s="11"/>
      <c r="AD81" s="11"/>
      <c r="AE81" s="11"/>
      <c r="AF81" s="11"/>
      <c r="AG81" s="11">
        <f t="shared" si="147"/>
        <v>0</v>
      </c>
      <c r="AH81" s="11">
        <f t="shared" si="148"/>
        <v>1139</v>
      </c>
      <c r="AI81" s="11">
        <f t="shared" si="149"/>
        <v>0</v>
      </c>
      <c r="AJ81" s="11">
        <f t="shared" si="150"/>
        <v>0</v>
      </c>
      <c r="AK81" s="11">
        <f t="shared" si="151"/>
        <v>0</v>
      </c>
    </row>
    <row r="82" spans="1:37" ht="12.75" customHeight="1">
      <c r="B82" s="33" t="s">
        <v>674</v>
      </c>
      <c r="C82" s="88"/>
      <c r="D82" s="88"/>
      <c r="E82" s="88"/>
      <c r="F82" s="88">
        <v>1000</v>
      </c>
      <c r="G82" s="88">
        <v>1000</v>
      </c>
      <c r="I82" s="88"/>
      <c r="J82" s="88"/>
      <c r="K82" s="88"/>
      <c r="L82" s="469">
        <f t="shared" si="144"/>
        <v>0</v>
      </c>
      <c r="M82" s="88"/>
      <c r="N82" s="88"/>
      <c r="O82" s="88"/>
      <c r="P82" s="469">
        <f t="shared" si="145"/>
        <v>1000</v>
      </c>
      <c r="Q82" s="88"/>
      <c r="R82" s="88"/>
      <c r="S82" s="88"/>
      <c r="T82" s="469">
        <f t="shared" si="146"/>
        <v>1000</v>
      </c>
      <c r="U82" s="88"/>
      <c r="V82" s="88"/>
      <c r="W82" s="88"/>
      <c r="Y82" s="11"/>
      <c r="Z82" s="11"/>
      <c r="AA82" s="11"/>
      <c r="AB82" s="11"/>
      <c r="AC82" s="11"/>
      <c r="AD82" s="11"/>
      <c r="AE82" s="11"/>
      <c r="AF82" s="11"/>
      <c r="AG82" s="11">
        <f t="shared" si="147"/>
        <v>0</v>
      </c>
      <c r="AH82" s="11">
        <f t="shared" si="148"/>
        <v>1000</v>
      </c>
      <c r="AI82" s="11">
        <f t="shared" si="149"/>
        <v>0</v>
      </c>
      <c r="AJ82" s="11">
        <f t="shared" si="150"/>
        <v>0</v>
      </c>
      <c r="AK82" s="11">
        <f t="shared" si="151"/>
        <v>0</v>
      </c>
    </row>
    <row r="83" spans="1:37" ht="12.75" customHeight="1">
      <c r="B83" s="33" t="s">
        <v>667</v>
      </c>
      <c r="C83" s="88"/>
      <c r="D83" s="88"/>
      <c r="E83" s="88"/>
      <c r="F83" s="88">
        <v>0</v>
      </c>
      <c r="G83" s="88">
        <v>1000</v>
      </c>
      <c r="I83" s="88"/>
      <c r="J83" s="88"/>
      <c r="K83" s="88"/>
      <c r="L83" s="469">
        <f t="shared" si="144"/>
        <v>0</v>
      </c>
      <c r="M83" s="88"/>
      <c r="N83" s="88"/>
      <c r="O83" s="88"/>
      <c r="P83" s="469">
        <f t="shared" si="145"/>
        <v>0</v>
      </c>
      <c r="Q83" s="88"/>
      <c r="R83" s="88"/>
      <c r="S83" s="88"/>
      <c r="T83" s="469">
        <f t="shared" si="146"/>
        <v>1000</v>
      </c>
      <c r="U83" s="88"/>
      <c r="V83" s="88"/>
      <c r="W83" s="88"/>
      <c r="Y83" s="11"/>
      <c r="Z83" s="11"/>
      <c r="AA83" s="11"/>
      <c r="AB83" s="11"/>
      <c r="AC83" s="11"/>
      <c r="AD83" s="11"/>
      <c r="AE83" s="11"/>
      <c r="AF83" s="11"/>
      <c r="AG83" s="11">
        <f t="shared" si="147"/>
        <v>0</v>
      </c>
      <c r="AH83" s="11">
        <f t="shared" si="148"/>
        <v>1000</v>
      </c>
      <c r="AI83" s="11">
        <f t="shared" si="149"/>
        <v>0</v>
      </c>
      <c r="AJ83" s="11">
        <f t="shared" si="150"/>
        <v>0</v>
      </c>
      <c r="AK83" s="11">
        <f t="shared" si="151"/>
        <v>0</v>
      </c>
    </row>
    <row r="84" spans="1:37" ht="12.75" customHeight="1">
      <c r="B84" s="33" t="s">
        <v>666</v>
      </c>
      <c r="C84" s="88"/>
      <c r="D84" s="88"/>
      <c r="E84" s="88"/>
      <c r="F84" s="88">
        <v>0</v>
      </c>
      <c r="G84" s="88">
        <v>800</v>
      </c>
      <c r="I84" s="88"/>
      <c r="J84" s="88"/>
      <c r="K84" s="88"/>
      <c r="L84" s="469">
        <f t="shared" si="144"/>
        <v>0</v>
      </c>
      <c r="M84" s="88"/>
      <c r="N84" s="88"/>
      <c r="O84" s="88"/>
      <c r="P84" s="469">
        <f t="shared" si="145"/>
        <v>0</v>
      </c>
      <c r="Q84" s="88"/>
      <c r="R84" s="88"/>
      <c r="S84" s="88"/>
      <c r="T84" s="469">
        <f t="shared" si="146"/>
        <v>800</v>
      </c>
      <c r="U84" s="88"/>
      <c r="V84" s="88"/>
      <c r="W84" s="88"/>
      <c r="Y84" s="11"/>
      <c r="Z84" s="11"/>
      <c r="AA84" s="11"/>
      <c r="AB84" s="11"/>
      <c r="AC84" s="11"/>
      <c r="AD84" s="11"/>
      <c r="AE84" s="11"/>
      <c r="AF84" s="11"/>
      <c r="AG84" s="11">
        <f>S84</f>
        <v>0</v>
      </c>
      <c r="AH84" s="11">
        <f>T84</f>
        <v>800</v>
      </c>
      <c r="AI84" s="11">
        <f>U84</f>
        <v>0</v>
      </c>
      <c r="AJ84" s="11">
        <f>V84</f>
        <v>0</v>
      </c>
      <c r="AK84" s="11">
        <f>W84</f>
        <v>0</v>
      </c>
    </row>
    <row r="85" spans="1:37" ht="12.75" customHeight="1">
      <c r="B85" s="14" t="s">
        <v>34</v>
      </c>
      <c r="C85" s="15">
        <f>SUM(C69:C84)</f>
        <v>0</v>
      </c>
      <c r="D85" s="15">
        <f>SUM(D69:D84)</f>
        <v>0</v>
      </c>
      <c r="E85" s="15">
        <f>SUM(E69:E84)</f>
        <v>0</v>
      </c>
      <c r="F85" s="15">
        <f>SUM(F69:F84)</f>
        <v>14608</v>
      </c>
      <c r="G85" s="15">
        <f>SUM(G69:G84)</f>
        <v>15653</v>
      </c>
      <c r="I85" s="15">
        <f>SUM(I69:I84)</f>
        <v>0</v>
      </c>
      <c r="J85" s="15">
        <f>SUM(J69:J84)</f>
        <v>0</v>
      </c>
      <c r="K85" s="15">
        <f>SUM(K69:K84)</f>
        <v>0</v>
      </c>
      <c r="L85" s="15">
        <f>SUM(L69:L84)</f>
        <v>0</v>
      </c>
      <c r="M85" s="15">
        <f>SUM(M69:M84)</f>
        <v>0</v>
      </c>
      <c r="N85" s="15">
        <f>SUM(N69:N84)</f>
        <v>0</v>
      </c>
      <c r="O85" s="15">
        <f>SUM(O69:O84)</f>
        <v>0</v>
      </c>
      <c r="P85" s="15">
        <f>SUM(P69:P84)</f>
        <v>14608</v>
      </c>
      <c r="Q85" s="15">
        <f>SUM(Q69:Q84)</f>
        <v>0</v>
      </c>
      <c r="R85" s="15">
        <f>SUM(R69:R84)</f>
        <v>0</v>
      </c>
      <c r="S85" s="15">
        <f>SUM(S69:S84)</f>
        <v>0</v>
      </c>
      <c r="T85" s="15">
        <f>SUM(T69:T84)</f>
        <v>15653</v>
      </c>
      <c r="U85" s="15">
        <f>SUM(U69:U84)</f>
        <v>0</v>
      </c>
      <c r="V85" s="15">
        <f>SUM(V69:V84)</f>
        <v>0</v>
      </c>
      <c r="W85" s="15">
        <f>SUM(W69:W84)</f>
        <v>0</v>
      </c>
      <c r="Y85" s="15">
        <f>SUM(Y69:Y84)</f>
        <v>0</v>
      </c>
      <c r="Z85" s="15">
        <f>SUM(Z69:Z84)</f>
        <v>0</v>
      </c>
      <c r="AA85" s="15">
        <f>SUM(AA69:AA84)</f>
        <v>0</v>
      </c>
      <c r="AB85" s="15">
        <f>SUM(AB69:AB84)</f>
        <v>0</v>
      </c>
      <c r="AC85" s="15">
        <f>SUM(AC69:AC84)</f>
        <v>0</v>
      </c>
      <c r="AD85" s="15">
        <f>SUM(AD69:AD84)</f>
        <v>400</v>
      </c>
      <c r="AE85" s="15">
        <f>SUM(AE69:AE84)</f>
        <v>0</v>
      </c>
      <c r="AF85" s="15">
        <f>SUM(AF69:AF84)</f>
        <v>0</v>
      </c>
      <c r="AG85" s="15">
        <f>SUM(AG69:AG84)</f>
        <v>0</v>
      </c>
      <c r="AH85" s="15">
        <f>SUM(AH69:AH84)</f>
        <v>15653</v>
      </c>
      <c r="AI85" s="15">
        <f>SUM(AI69:AI84)</f>
        <v>0</v>
      </c>
      <c r="AJ85" s="15">
        <f>SUM(AJ69:AJ84)</f>
        <v>0</v>
      </c>
      <c r="AK85" s="15">
        <f>SUM(AK69:AK84)</f>
        <v>0</v>
      </c>
    </row>
    <row r="86" spans="1:37" ht="5.0999999999999996" customHeight="1"/>
    <row r="87" spans="1:37" ht="12.75" customHeight="1">
      <c r="B87" s="8" t="s">
        <v>66</v>
      </c>
      <c r="C87" s="515">
        <f>('Historical Financials'!E72)/1000</f>
        <v>11065.24</v>
      </c>
      <c r="D87" s="515">
        <f>('Historical Financials'!F72)/1000</f>
        <v>15849.248</v>
      </c>
      <c r="E87" s="515">
        <f>('Historical Financials'!G72)/1000</f>
        <v>20777.401000000002</v>
      </c>
      <c r="F87" s="515">
        <f>('Historical Financials'!H72)/1000</f>
        <v>20588.312999999998</v>
      </c>
      <c r="G87" s="515">
        <f>('Historical Financials'!I72)/1000</f>
        <v>24743.566999999999</v>
      </c>
      <c r="I87" s="515">
        <f>('Historical Financials'!O72)/1000</f>
        <v>17544.039000000001</v>
      </c>
      <c r="J87" s="515">
        <f>('Historical Financials'!P72)/1000</f>
        <v>19075.973999999998</v>
      </c>
      <c r="K87" s="515">
        <f>('Historical Financials'!Q72)/1000</f>
        <v>20528.141</v>
      </c>
      <c r="L87" s="515">
        <f>('Historical Financials'!R72)/1000</f>
        <v>20777.401000000002</v>
      </c>
      <c r="M87" s="515">
        <f>('Historical Financials'!S72)/1000</f>
        <v>21828.196</v>
      </c>
      <c r="N87" s="515">
        <f>('Historical Financials'!T72)/1000</f>
        <v>22832.215</v>
      </c>
      <c r="O87" s="515">
        <f>('Historical Financials'!U72)/1000</f>
        <v>22107.627</v>
      </c>
      <c r="P87" s="515">
        <f>('Historical Financials'!V72)/1000</f>
        <v>20588.312999999998</v>
      </c>
      <c r="Q87" s="515">
        <f>('Historical Financials'!W72)/1000</f>
        <v>21365.41</v>
      </c>
      <c r="R87" s="515">
        <f>('Historical Financials'!X72)/1000</f>
        <v>22112.692999999999</v>
      </c>
      <c r="S87" s="515">
        <f>('Historical Financials'!Y72)/1000</f>
        <v>22720.736000000001</v>
      </c>
      <c r="T87" s="515">
        <f>('Historical Financials'!Z72)/1000</f>
        <v>24743.566999999999</v>
      </c>
      <c r="U87" s="515">
        <f>('Historical Financials'!AA72)/1000</f>
        <v>24028.073</v>
      </c>
      <c r="V87" s="515">
        <f>('Historical Financials'!AB72)/1000</f>
        <v>24951.899000000001</v>
      </c>
      <c r="W87" s="515">
        <f>('Historical Financials'!AC72)/1000</f>
        <v>25954.035</v>
      </c>
      <c r="Y87" s="11">
        <f t="shared" ref="Y87:AK87" si="152">K87</f>
        <v>20528.141</v>
      </c>
      <c r="Z87" s="11">
        <f t="shared" si="152"/>
        <v>20777.401000000002</v>
      </c>
      <c r="AA87" s="11">
        <f t="shared" si="152"/>
        <v>21828.196</v>
      </c>
      <c r="AB87" s="11">
        <f t="shared" si="152"/>
        <v>22832.215</v>
      </c>
      <c r="AC87" s="11">
        <f t="shared" si="152"/>
        <v>22107.627</v>
      </c>
      <c r="AD87" s="11">
        <f t="shared" si="152"/>
        <v>20588.312999999998</v>
      </c>
      <c r="AE87" s="11">
        <f t="shared" si="152"/>
        <v>21365.41</v>
      </c>
      <c r="AF87" s="11">
        <f t="shared" si="152"/>
        <v>22112.692999999999</v>
      </c>
      <c r="AG87" s="516">
        <f t="shared" si="152"/>
        <v>22720.736000000001</v>
      </c>
      <c r="AH87" s="516">
        <f t="shared" si="152"/>
        <v>24743.566999999999</v>
      </c>
      <c r="AI87" s="516">
        <f t="shared" si="152"/>
        <v>24028.073</v>
      </c>
      <c r="AJ87" s="516">
        <f t="shared" si="152"/>
        <v>24951.899000000001</v>
      </c>
      <c r="AK87" s="516">
        <f t="shared" si="152"/>
        <v>25954.035</v>
      </c>
    </row>
    <row r="88" spans="1:37" ht="12.75" customHeight="1">
      <c r="B88" s="14" t="s">
        <v>67</v>
      </c>
      <c r="C88" s="15">
        <f>SUM(C85:C87)</f>
        <v>11065.24</v>
      </c>
      <c r="D88" s="15">
        <f>SUM(D85:D87)</f>
        <v>15849.248</v>
      </c>
      <c r="E88" s="15">
        <f>SUM(E85:E87)</f>
        <v>20777.401000000002</v>
      </c>
      <c r="F88" s="15">
        <f>SUM(F85:F87)</f>
        <v>35196.312999999995</v>
      </c>
      <c r="G88" s="15">
        <f>SUM(G85:G87)</f>
        <v>40396.566999999995</v>
      </c>
      <c r="I88" s="15">
        <f t="shared" ref="I88:R88" si="153">SUM(I85:I87)</f>
        <v>17544.039000000001</v>
      </c>
      <c r="J88" s="15">
        <f t="shared" si="153"/>
        <v>19075.973999999998</v>
      </c>
      <c r="K88" s="15">
        <f t="shared" si="153"/>
        <v>20528.141</v>
      </c>
      <c r="L88" s="15">
        <f t="shared" si="153"/>
        <v>20777.401000000002</v>
      </c>
      <c r="M88" s="15">
        <f t="shared" si="153"/>
        <v>21828.196</v>
      </c>
      <c r="N88" s="15">
        <f t="shared" si="153"/>
        <v>22832.215</v>
      </c>
      <c r="O88" s="15">
        <f t="shared" si="153"/>
        <v>22107.627</v>
      </c>
      <c r="P88" s="15">
        <f t="shared" si="153"/>
        <v>35196.312999999995</v>
      </c>
      <c r="Q88" s="15">
        <f t="shared" si="153"/>
        <v>21365.41</v>
      </c>
      <c r="R88" s="15">
        <f t="shared" si="153"/>
        <v>22112.692999999999</v>
      </c>
      <c r="S88" s="15">
        <f>SUM(S85:S87)</f>
        <v>22720.736000000001</v>
      </c>
      <c r="T88" s="15">
        <f>SUM(T85:T87)</f>
        <v>40396.566999999995</v>
      </c>
      <c r="U88" s="15">
        <f>SUM(U85:U87)</f>
        <v>24028.073</v>
      </c>
      <c r="V88" s="15">
        <f>SUM(V85:V87)</f>
        <v>24951.899000000001</v>
      </c>
      <c r="W88" s="15">
        <f>SUM(W85:W87)</f>
        <v>25954.035</v>
      </c>
      <c r="Y88" s="15">
        <f t="shared" ref="Y88:AI88" si="154">SUM(Y85:Y87)</f>
        <v>20528.141</v>
      </c>
      <c r="Z88" s="15">
        <f t="shared" si="154"/>
        <v>20777.401000000002</v>
      </c>
      <c r="AA88" s="15">
        <f t="shared" si="154"/>
        <v>21828.196</v>
      </c>
      <c r="AB88" s="15">
        <f t="shared" si="154"/>
        <v>22832.215</v>
      </c>
      <c r="AC88" s="15">
        <f t="shared" si="154"/>
        <v>22107.627</v>
      </c>
      <c r="AD88" s="15">
        <f t="shared" si="154"/>
        <v>20988.312999999998</v>
      </c>
      <c r="AE88" s="15">
        <f t="shared" si="154"/>
        <v>21365.41</v>
      </c>
      <c r="AF88" s="15">
        <f t="shared" si="154"/>
        <v>22112.692999999999</v>
      </c>
      <c r="AG88" s="15">
        <f t="shared" si="154"/>
        <v>22720.736000000001</v>
      </c>
      <c r="AH88" s="15">
        <f t="shared" si="154"/>
        <v>40396.566999999995</v>
      </c>
      <c r="AI88" s="15">
        <f t="shared" si="154"/>
        <v>24028.073</v>
      </c>
      <c r="AJ88" s="15">
        <f>SUM(AJ85:AJ87)</f>
        <v>24951.899000000001</v>
      </c>
      <c r="AK88" s="15">
        <f>SUM(AK85:AK87)</f>
        <v>25954.035</v>
      </c>
    </row>
    <row r="89" spans="1:37" ht="5.0999999999999996" customHeight="1"/>
    <row r="90" spans="1:37" ht="12.75" customHeight="1">
      <c r="A90" s="5"/>
      <c r="B90" s="35" t="s">
        <v>94</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row>
    <row r="91" spans="1:37" ht="5.0999999999999996" customHeight="1"/>
    <row r="92" spans="1:37" ht="12.75" customHeight="1">
      <c r="B92" s="33" t="s">
        <v>532</v>
      </c>
      <c r="C92" s="90">
        <f>C85/C32</f>
        <v>0</v>
      </c>
      <c r="D92" s="90">
        <f>D85/D32</f>
        <v>0</v>
      </c>
      <c r="E92" s="90">
        <f>E85/E32</f>
        <v>0</v>
      </c>
      <c r="F92" s="90">
        <f>F85/F32</f>
        <v>0.66862705115468379</v>
      </c>
      <c r="G92" s="90">
        <f>G85/G32</f>
        <v>0.59470454225018066</v>
      </c>
      <c r="I92" s="39"/>
      <c r="J92" s="39"/>
      <c r="K92" s="39"/>
      <c r="L92" s="90">
        <f>SUM(L85/SUM(I32:L32))</f>
        <v>0</v>
      </c>
      <c r="M92" s="90">
        <f>SUM(M85/SUM(J32:M32))</f>
        <v>0</v>
      </c>
      <c r="N92" s="90">
        <f>SUM(N85/SUM(K32:N32))</f>
        <v>0</v>
      </c>
      <c r="O92" s="90">
        <f>SUM(O85/SUM(L32:O32))</f>
        <v>0</v>
      </c>
      <c r="P92" s="90">
        <f>SUM(P85/SUM(M32:P32))</f>
        <v>0.6686270511546839</v>
      </c>
      <c r="Q92" s="90">
        <f>SUM(Q85/SUM(N32:Q32))</f>
        <v>0</v>
      </c>
      <c r="R92" s="90">
        <f>SUM(R85/SUM(O32:R32))</f>
        <v>0</v>
      </c>
      <c r="S92" s="90">
        <f>SUM(S85/SUM(P32:S32))</f>
        <v>0</v>
      </c>
      <c r="T92" s="90">
        <f>SUM(T85/SUM(Q32:T32))</f>
        <v>0.59470454225018077</v>
      </c>
      <c r="U92" s="90">
        <f>SUM(U85/SUM(R32:U32))</f>
        <v>0</v>
      </c>
      <c r="V92" s="90">
        <f>SUM(V85/SUM(S32:V32))</f>
        <v>0</v>
      </c>
      <c r="W92" s="90">
        <f>SUM(W85/SUM(T32:W32))</f>
        <v>0</v>
      </c>
      <c r="X92" s="90"/>
      <c r="Y92" s="90">
        <f>Y85/Y32</f>
        <v>0</v>
      </c>
      <c r="Z92" s="90">
        <f>Z85/Z32</f>
        <v>0</v>
      </c>
      <c r="AA92" s="90">
        <f>AA85/AA32</f>
        <v>0</v>
      </c>
      <c r="AB92" s="90">
        <f>AB85/AB32</f>
        <v>0</v>
      </c>
      <c r="AC92" s="90">
        <f>AC85/AC32</f>
        <v>0</v>
      </c>
      <c r="AD92" s="90">
        <f>AD85/AD32</f>
        <v>4.6969459987421573E-2</v>
      </c>
      <c r="AE92" s="90">
        <f>AE85/AE32</f>
        <v>0</v>
      </c>
      <c r="AF92" s="90">
        <f>AF85/AF32</f>
        <v>0</v>
      </c>
      <c r="AG92" s="90">
        <f>AG85/AG32</f>
        <v>0</v>
      </c>
      <c r="AH92" s="90">
        <f>AH85/AH32</f>
        <v>0.59470454225018066</v>
      </c>
      <c r="AI92" s="90">
        <f>AI85/AI32</f>
        <v>0</v>
      </c>
      <c r="AJ92" s="90">
        <f>AJ85/AJ32</f>
        <v>0</v>
      </c>
      <c r="AK92" s="90">
        <f>AK85/AK32</f>
        <v>0</v>
      </c>
    </row>
    <row r="93" spans="1:37" ht="12.75" customHeight="1">
      <c r="B93" s="33" t="s">
        <v>533</v>
      </c>
      <c r="C93" s="90">
        <f>SUM(C85-C52)/C32</f>
        <v>-0.5153239405590283</v>
      </c>
      <c r="D93" s="90">
        <f>SUM(D85-D52)/D32</f>
        <v>-0.31664441818846184</v>
      </c>
      <c r="E93" s="90">
        <f>SUM(E85-E52)/E32</f>
        <v>-0.250213977407233</v>
      </c>
      <c r="F93" s="90">
        <f>SUM(F85-F52)/F32</f>
        <v>0.34287673950939124</v>
      </c>
      <c r="G93" s="90">
        <f>SUM(G85-G52)/G32</f>
        <v>0.29817926491357555</v>
      </c>
      <c r="I93" s="39"/>
      <c r="J93" s="39"/>
      <c r="K93" s="39"/>
      <c r="L93" s="90">
        <f>SUM(L85-L52)/SUM(I32:L32)</f>
        <v>-0.25021397740723306</v>
      </c>
      <c r="M93" s="90">
        <f>SUM(M85-M52)/SUM(J32:M32)</f>
        <v>-0.32590322879692935</v>
      </c>
      <c r="N93" s="90">
        <f>SUM(N85-N52)/SUM(K32:N32)</f>
        <v>-0.3660429783509897</v>
      </c>
      <c r="O93" s="90">
        <f>SUM(O85-O52)/SUM(L32:O32)</f>
        <v>-0.34733633601802666</v>
      </c>
      <c r="P93" s="90">
        <f>SUM(P85-P52)/SUM(M32:P32)</f>
        <v>0.34287673950939129</v>
      </c>
      <c r="Q93" s="90">
        <f>SUM(Q85-Q52)/SUM(N32:Q32)</f>
        <v>-0.30607751195179916</v>
      </c>
      <c r="R93" s="90">
        <f>SUM(R85-R52)/SUM(O32:R32)</f>
        <v>-0.27524962878350723</v>
      </c>
      <c r="S93" s="90">
        <f>SUM(S85-S52)/SUM(P32:S32)</f>
        <v>-0.29633380243753504</v>
      </c>
      <c r="T93" s="90">
        <f>SUM(T85-T52)/SUM(Q32:T32)</f>
        <v>0.2981792649135756</v>
      </c>
      <c r="U93" s="90">
        <f>SUM(U85-U52)/SUM(R32:U32)</f>
        <v>-0.26493532681750392</v>
      </c>
      <c r="V93" s="90">
        <f>SUM(V85-V52)/SUM(S32:V32)</f>
        <v>-0.28772411294707401</v>
      </c>
      <c r="W93" s="90">
        <f>SUM(W85-W52)/SUM(T32:W32)</f>
        <v>-0.31931827191543166</v>
      </c>
      <c r="X93" s="90"/>
      <c r="Y93" s="90">
        <f>SUM(Y85-Y52)/Y32</f>
        <v>-0.98002168837507886</v>
      </c>
      <c r="Z93" s="90">
        <f>SUM(Z85-Z52)/Z32</f>
        <v>-0.62905893825277182</v>
      </c>
      <c r="AA93" s="90">
        <f>SUM(AA85-AA52)/AA32</f>
        <v>-0.79897006947354732</v>
      </c>
      <c r="AB93" s="90">
        <f>SUM(AB85-AB52)/AB32</f>
        <v>-0.91075993448717663</v>
      </c>
      <c r="AC93" s="90">
        <f>SUM(AC85-AC52)/AC32</f>
        <v>-0.87645704788397427</v>
      </c>
      <c r="AD93" s="90">
        <f>SUM(AD85-AD52)/AD32</f>
        <v>-0.78872444098122951</v>
      </c>
      <c r="AE93" s="90">
        <f>SUM(AE85-AE52)/AE32</f>
        <v>-0.78150948161110911</v>
      </c>
      <c r="AF93" s="90">
        <f>SUM(AF85-AF52)/AF32</f>
        <v>-0.69213651502451545</v>
      </c>
      <c r="AG93" s="90">
        <f>SUM(AG85-AG52)/AG32</f>
        <v>-0.2963338024375351</v>
      </c>
      <c r="AH93" s="90">
        <f>SUM(AH85-AH52)/AH32</f>
        <v>0.29817926491357555</v>
      </c>
      <c r="AI93" s="90">
        <f>SUM(AI85-AI52)/AI32</f>
        <v>-0.26493532681750392</v>
      </c>
      <c r="AJ93" s="90">
        <f>SUM(AJ85-AJ52)/AJ32</f>
        <v>-0.28772411294707406</v>
      </c>
      <c r="AK93" s="90">
        <f>SUM(AK85-AK52)/AK32</f>
        <v>-0.31931827191543172</v>
      </c>
    </row>
    <row r="94" spans="1:37" ht="12.75" customHeight="1">
      <c r="B94" s="33" t="s">
        <v>534</v>
      </c>
      <c r="C94" s="90">
        <f>C32/-C37</f>
        <v>20.871683724295586</v>
      </c>
      <c r="D94" s="90">
        <f>D32/-D37</f>
        <v>24.93543367320207</v>
      </c>
      <c r="E94" s="90">
        <f>E32/-E37</f>
        <v>29.31637767513714</v>
      </c>
      <c r="F94" s="90">
        <f>F32/-F37</f>
        <v>31.917644016689458</v>
      </c>
      <c r="G94" s="90">
        <f>G32/-G37</f>
        <v>39.022320171029889</v>
      </c>
      <c r="I94" s="39"/>
      <c r="J94" s="39"/>
      <c r="K94" s="39"/>
      <c r="L94" s="90" cm="1">
        <f t="array" ref="L94">SUM(I32:L32)/SUM(-I37:L37)</f>
        <v>29.128784274410521</v>
      </c>
      <c r="M94" s="90" cm="1">
        <f t="array" ref="M94">SUM(J32:M32)/SUM(-J37:M37)</f>
        <v>29.735694327379374</v>
      </c>
      <c r="N94" s="90" cm="1">
        <f t="array" ref="N94">SUM(K32:N32)/SUM(-K37:N37)</f>
        <v>30.241612241035845</v>
      </c>
      <c r="O94" s="90" cm="1">
        <f t="array" ref="O94">SUM(L32:O32)/SUM(-L37:O37)</f>
        <v>30.451482055243186</v>
      </c>
      <c r="P94" s="90" cm="1">
        <f t="array" ref="P94">SUM(M32:P32)/SUM(-M37:P37)</f>
        <v>31.218838682758282</v>
      </c>
      <c r="Q94" s="90" cm="1">
        <f t="array" ref="Q94">SUM(N32:Q32)/SUM(-N37:Q37)</f>
        <v>32.838610904834873</v>
      </c>
      <c r="R94" s="90" cm="1">
        <f t="array" ref="R94">SUM(O32:R32)/SUM(-O37:R37)</f>
        <v>34.777789979409746</v>
      </c>
      <c r="S94" s="90" cm="1">
        <f t="array" ref="S94">SUM(P32:S32)/SUM(-P37:S37)</f>
        <v>35.880175435094429</v>
      </c>
      <c r="T94" s="90" cm="1">
        <f t="array" ref="T94">SUM(Q32:T32)/SUM(-Q37:T37)</f>
        <v>36.620877293793384</v>
      </c>
      <c r="U94" s="90" cm="1">
        <f t="array" ref="U94">SUM(R32:U32)/SUM(-R37:U37)</f>
        <v>37.248088312492882</v>
      </c>
      <c r="V94" s="90" cm="1">
        <f t="array" ref="V94">SUM(S32:V32)/SUM(-S37:V37)</f>
        <v>38.18722237300706</v>
      </c>
      <c r="W94" s="90" cm="1">
        <f t="array" ref="W94">SUM(T32:W32)/SUM(-T37:W37)</f>
        <v>39.586254862409795</v>
      </c>
      <c r="X94" s="90"/>
      <c r="Y94" s="90">
        <f>Y32/-Y37</f>
        <v>11.647237070325559</v>
      </c>
      <c r="Z94" s="90">
        <f>Z32/-Z37</f>
        <v>11.586241808408809</v>
      </c>
      <c r="AA94" s="90">
        <f>AA32/-AA37</f>
        <v>12.129313928113708</v>
      </c>
      <c r="AB94" s="90">
        <f>AB32/-AB37</f>
        <v>12.154388215460491</v>
      </c>
      <c r="AC94" s="90">
        <f>AC32/-AC37</f>
        <v>12.067797536596489</v>
      </c>
      <c r="AD94" s="90">
        <f>AD32/-AD37</f>
        <v>12.168984861951399</v>
      </c>
      <c r="AE94" s="90">
        <f>AE32/-AE37</f>
        <v>12.861213533819523</v>
      </c>
      <c r="AF94" s="90">
        <f>AF32/-AF37</f>
        <v>13.830470685980567</v>
      </c>
      <c r="AG94" s="90">
        <f>AG32/-AG37</f>
        <v>35.880175435094422</v>
      </c>
      <c r="AH94" s="90">
        <f>AH32/-AH37</f>
        <v>36.620877293793392</v>
      </c>
      <c r="AI94" s="90">
        <f>AI32/-AI37</f>
        <v>37.248088312492882</v>
      </c>
      <c r="AJ94" s="90">
        <f>AJ32/-AJ37</f>
        <v>38.18722237300706</v>
      </c>
      <c r="AK94" s="90">
        <f>AK32/-AK37</f>
        <v>39.586254862409788</v>
      </c>
    </row>
    <row r="95" spans="1:37" ht="12.75" customHeight="1">
      <c r="B95" s="33" t="s">
        <v>535</v>
      </c>
      <c r="C95" s="90" cm="1">
        <f t="array" ref="C95">SUM(C32+C35)/SUM(-C36:C37)</f>
        <v>14.62813920715875</v>
      </c>
      <c r="D95" s="90" cm="1">
        <f t="array" ref="D95">SUM(D32+D35)/SUM(-D36:D37)</f>
        <v>14.545428330545292</v>
      </c>
      <c r="E95" s="90" cm="1">
        <f t="array" ref="E95">SUM(E32+E35)/SUM(-E36:E37)</f>
        <v>13.323110082971407</v>
      </c>
      <c r="F95" s="90" cm="1">
        <f t="array" ref="F95">SUM(F32+F35)/SUM(-F36:F37)</f>
        <v>11.687671550119955</v>
      </c>
      <c r="G95" s="90" cm="1">
        <f t="array" ref="G95">SUM(G32+G35)/SUM(-G36:G37)</f>
        <v>11.174757084530784</v>
      </c>
      <c r="I95" s="39"/>
      <c r="J95" s="39"/>
      <c r="K95" s="39"/>
      <c r="L95" s="90" cm="1">
        <f t="array" ref="L95">SUM(I32:L32+I35:L35)/SUM(-I36:L37)</f>
        <v>13.640330208622956</v>
      </c>
      <c r="M95" s="90" cm="1">
        <f t="array" ref="M95">SUM(J32:M32+J35:M35)/SUM(-J36:M37)</f>
        <v>16.250535548377467</v>
      </c>
      <c r="N95" s="90" cm="1">
        <f t="array" ref="N95">SUM(K32:N32+K35:N35)/SUM(-K36:N37)</f>
        <v>16.389357810735074</v>
      </c>
      <c r="O95" s="90" cm="1">
        <f t="array" ref="O95">SUM(L32:O32+L35:O35)/SUM(-L36:O37)</f>
        <v>16.418457609612339</v>
      </c>
      <c r="P95" s="90" cm="1">
        <f t="array" ref="P95">SUM(M32:P32+M35:P35)/SUM(-M36:P37)</f>
        <v>14.359213379809932</v>
      </c>
      <c r="Q95" s="90" cm="1">
        <f t="array" ref="Q95">SUM(N32:Q32+N35:Q35)/SUM(-N36:Q37)</f>
        <v>13.987394515682393</v>
      </c>
      <c r="R95" s="90" cm="1">
        <f t="array" ref="R95">SUM(O32:R32+O35:R35)/SUM(-O36:R37)</f>
        <v>13.309116882621565</v>
      </c>
      <c r="S95" s="90" cm="1">
        <f t="array" ref="S95">SUM(P32:S32+P35:S35)/SUM(-P36:S37)</f>
        <v>13.053436834052713</v>
      </c>
      <c r="T95" s="90" cm="1">
        <f t="array" ref="T95">SUM(Q32:T32+Q35:T35)/SUM(-Q36:T37)</f>
        <v>13.119238082299965</v>
      </c>
      <c r="U95" s="90" cm="1">
        <f t="array" ref="U95">SUM(R32:U32+R35:U35)/SUM(-R36:U37)</f>
        <v>13.179630074157053</v>
      </c>
      <c r="V95" s="90" cm="1">
        <f t="array" ref="V95">SUM(S32:V32+S35:V35)/SUM(-S36:V37)</f>
        <v>12.781701856404576</v>
      </c>
      <c r="W95" s="90" cm="1">
        <f t="array" ref="W95">SUM(T32:W32+T35:W35)/SUM(-T36:W37)</f>
        <v>11.902635725660501</v>
      </c>
      <c r="X95" s="90"/>
      <c r="Y95" s="90" cm="1">
        <f t="array" ref="Y95">SUM(Y32+Y35)/SUM(-Y36:Y37)</f>
        <v>4.4895735900547171</v>
      </c>
      <c r="Z95" s="90" cm="1">
        <f t="array" ref="Z95">SUM(Z32+Z35)/SUM(-Z36:Z37)</f>
        <v>5.2594537879080008</v>
      </c>
      <c r="AA95" s="90" cm="1">
        <f t="array" ref="AA95">SUM(AA32+AA35)/SUM(-AA36:AA37)</f>
        <v>6.4630636095078104</v>
      </c>
      <c r="AB95" s="90" cm="1">
        <f t="array" ref="AB95">SUM(AB32+AB35)/SUM(-AB36:AB37)</f>
        <v>6.4157398423721608</v>
      </c>
      <c r="AC95" s="90" cm="1">
        <f t="array" ref="AC95">SUM(AC32+AC35)/SUM(-AC36:AC37)</f>
        <v>6.3261229717650123</v>
      </c>
      <c r="AD95" s="90" cm="1">
        <f t="array" ref="AD95">SUM(AD32+AD35)/SUM(-AD36:AD37)</f>
        <v>5.4551137725990682</v>
      </c>
      <c r="AE95" s="90" cm="1">
        <f t="array" ref="AE95">SUM(AE32+AE35)/SUM(-AE36:AE37)</f>
        <v>5.3416911671822707</v>
      </c>
      <c r="AF95" s="90" cm="1">
        <f t="array" ref="AF95">SUM(AF32+AF35)/SUM(-AF36:AF37)</f>
        <v>5.1780722113101225</v>
      </c>
      <c r="AG95" s="90" cm="1">
        <f t="array" ref="AG95">SUM(AG32+AG35)/SUM(-AG36:AG37)</f>
        <v>13.053436834052711</v>
      </c>
      <c r="AH95" s="90" cm="1">
        <f t="array" ref="AH95">SUM(AH32+AH35)/SUM(-AH36:AH37)</f>
        <v>13.119238082299967</v>
      </c>
      <c r="AI95" s="90" cm="1">
        <f t="array" ref="AI95">SUM(AI32+AI35)/SUM(-AI36:AI37)</f>
        <v>13.179630074157052</v>
      </c>
      <c r="AJ95" s="90" cm="1">
        <f t="array" ref="AJ95">SUM(AJ32+AJ35)/SUM(-AJ36:AJ37)</f>
        <v>12.781701856404574</v>
      </c>
      <c r="AK95" s="90" cm="1">
        <f t="array" ref="AK95">SUM(AK32+AK35)/SUM(-AK36:AK37)</f>
        <v>11.902635725660497</v>
      </c>
    </row>
    <row r="96" spans="1:37" ht="12.75" customHeight="1">
      <c r="B96" s="33" t="s">
        <v>536</v>
      </c>
      <c r="C96" s="90" cm="1">
        <f t="array" ref="C96">SUM(C32)/SUM(-C35:C37)</f>
        <v>10.257020540334409</v>
      </c>
      <c r="D96" s="90" cm="1">
        <f t="array" ref="D96">SUM(D32)/SUM(-D35:D37)</f>
        <v>10.591831443257098</v>
      </c>
      <c r="E96" s="90" cm="1">
        <f t="array" ref="E96">SUM(E32)/SUM(-E35:E37)</f>
        <v>10.707744143847776</v>
      </c>
      <c r="F96" s="90" cm="1">
        <f t="array" ref="F96">SUM(F32)/SUM(-F35:F37)</f>
        <v>9.9851304530241602</v>
      </c>
      <c r="G96" s="90" cm="1">
        <f t="array" ref="G96">SUM(G32)/SUM(-G35:G37)</f>
        <v>9.5517925510874342</v>
      </c>
      <c r="I96" s="39"/>
      <c r="J96" s="39"/>
      <c r="K96" s="39"/>
      <c r="L96" s="90" cm="1">
        <f t="array" ref="L96">SUM(I32:L32)/SUM(-I35:L37)</f>
        <v>10.90757476619161</v>
      </c>
      <c r="M96" s="90" cm="1">
        <f t="array" ref="M96">SUM(J32:M32)/SUM(-J35:M37)</f>
        <v>12.917454557309954</v>
      </c>
      <c r="N96" s="90" cm="1">
        <f t="array" ref="N96">SUM(K32:N32)/SUM(-K35:N37)</f>
        <v>12.963058530960938</v>
      </c>
      <c r="O96" s="90" cm="1">
        <f t="array" ref="O96">SUM(L32:O32)/SUM(-L35:O37)</f>
        <v>12.870436535076919</v>
      </c>
      <c r="P96" s="90" cm="1">
        <f t="array" ref="P96">SUM(M32:P32)/SUM(-M35:P37)</f>
        <v>11.836514170332208</v>
      </c>
      <c r="Q96" s="90" cm="1">
        <f t="array" ref="Q96">SUM(N32:Q32)/SUM(-N35:Q37)</f>
        <v>11.60792118467776</v>
      </c>
      <c r="R96" s="90" cm="1">
        <f t="array" ref="R96">SUM(O32:R32)/SUM(-O35:R37)</f>
        <v>11.33987484546496</v>
      </c>
      <c r="S96" s="90" cm="1">
        <f t="array" ref="S96">SUM(P32:S32)/SUM(-P35:S37)</f>
        <v>11.122257311001253</v>
      </c>
      <c r="T96" s="90" cm="1">
        <f t="array" ref="T96">SUM(Q32:T32)/SUM(-Q35:T37)</f>
        <v>10.911025052056193</v>
      </c>
      <c r="U96" s="90" cm="1">
        <f t="array" ref="U96">SUM(R32:U32)/SUM(-R35:U37)</f>
        <v>10.79811723419701</v>
      </c>
      <c r="V96" s="90" cm="1">
        <f t="array" ref="V96">SUM(S32:V32)/SUM(-S35:V37)</f>
        <v>10.339794448284644</v>
      </c>
      <c r="W96" s="90" cm="1">
        <f t="array" ref="W96">SUM(T32:W32)/SUM(-T35:W37)</f>
        <v>9.6946883555011567</v>
      </c>
      <c r="X96" s="90"/>
      <c r="Y96" s="90" cm="1">
        <f t="array" ref="Y96">SUM(Y32)/SUM(-Y35:Y37)</f>
        <v>3.8515605995685629</v>
      </c>
      <c r="Z96" s="90" cm="1">
        <f t="array" ref="Z96">SUM(Z32)/SUM(-Z35:Z37)</f>
        <v>4.338588167423671</v>
      </c>
      <c r="AA96" s="90" cm="1">
        <f t="array" ref="AA96">SUM(AA32)/SUM(-AA35:AA37)</f>
        <v>5.2690836727323802</v>
      </c>
      <c r="AB96" s="90" cm="1">
        <f t="array" ref="AB96">SUM(AB32)/SUM(-AB35:AB37)</f>
        <v>5.2099750697563829</v>
      </c>
      <c r="AC96" s="90" cm="1">
        <f t="array" ref="AC96">SUM(AC32)/SUM(-AC35:AC37)</f>
        <v>5.1005012508473246</v>
      </c>
      <c r="AD96" s="90" cm="1">
        <f t="array" ref="AD96">SUM(AD32)/SUM(-AD35:AD37)</f>
        <v>4.613828311191992</v>
      </c>
      <c r="AE96" s="90" cm="1">
        <f t="array" ref="AE96">SUM(AE32)/SUM(-AE35:AE37)</f>
        <v>4.5462322834705393</v>
      </c>
      <c r="AF96" s="90" cm="1">
        <f t="array" ref="AF96">SUM(AF32)/SUM(-AF35:AF37)</f>
        <v>4.5096541995838866</v>
      </c>
      <c r="AG96" s="90" cm="1">
        <f t="array" ref="AG96">SUM(AG32)/SUM(-AG35:AG37)</f>
        <v>11.122257311001251</v>
      </c>
      <c r="AH96" s="90" cm="1">
        <f t="array" ref="AH96">SUM(AH32)/SUM(-AH35:AH37)</f>
        <v>10.911025052056194</v>
      </c>
      <c r="AI96" s="90" cm="1">
        <f t="array" ref="AI96">SUM(AI32)/SUM(-AI35:AI37)</f>
        <v>10.79811723419701</v>
      </c>
      <c r="AJ96" s="90" cm="1">
        <f t="array" ref="AJ96">SUM(AJ32)/SUM(-AJ35:AJ37)</f>
        <v>10.339794448284643</v>
      </c>
      <c r="AK96" s="90" cm="1">
        <f t="array" ref="AK96">SUM(AK32)/SUM(-AK35:AK37)</f>
        <v>9.6946883555011567</v>
      </c>
    </row>
    <row r="97" spans="2:37" ht="12.75" customHeight="1">
      <c r="B97" s="8" t="s">
        <v>68</v>
      </c>
      <c r="C97" s="90" t="e">
        <f>C88/C85</f>
        <v>#DIV/0!</v>
      </c>
      <c r="D97" s="90" t="e">
        <f>D88/D85</f>
        <v>#DIV/0!</v>
      </c>
      <c r="E97" s="90" t="e">
        <f>E88/E85</f>
        <v>#DIV/0!</v>
      </c>
      <c r="F97" s="90">
        <f>F88/F85</f>
        <v>2.4093861582694411</v>
      </c>
      <c r="G97" s="90">
        <f>G88/G85</f>
        <v>2.5807555740113712</v>
      </c>
      <c r="I97" s="39"/>
      <c r="J97" s="39"/>
      <c r="K97" s="39"/>
      <c r="L97" s="90" t="e">
        <f t="shared" ref="L97:V97" si="155">L88/L85</f>
        <v>#DIV/0!</v>
      </c>
      <c r="M97" s="90" t="e">
        <f t="shared" si="155"/>
        <v>#DIV/0!</v>
      </c>
      <c r="N97" s="90" t="e">
        <f t="shared" si="155"/>
        <v>#DIV/0!</v>
      </c>
      <c r="O97" s="90" t="e">
        <f t="shared" si="155"/>
        <v>#DIV/0!</v>
      </c>
      <c r="P97" s="90">
        <f t="shared" si="155"/>
        <v>2.4093861582694411</v>
      </c>
      <c r="Q97" s="90" t="e">
        <f t="shared" si="155"/>
        <v>#DIV/0!</v>
      </c>
      <c r="R97" s="90" t="e">
        <f t="shared" si="155"/>
        <v>#DIV/0!</v>
      </c>
      <c r="S97" s="90" t="e">
        <f t="shared" si="155"/>
        <v>#DIV/0!</v>
      </c>
      <c r="T97" s="90">
        <f t="shared" si="155"/>
        <v>2.5807555740113712</v>
      </c>
      <c r="U97" s="90" t="e">
        <f t="shared" si="155"/>
        <v>#DIV/0!</v>
      </c>
      <c r="V97" s="90" t="e">
        <f t="shared" si="155"/>
        <v>#DIV/0!</v>
      </c>
      <c r="W97" s="90" t="e">
        <f>W88/W85</f>
        <v>#DIV/0!</v>
      </c>
      <c r="X97" s="90"/>
      <c r="Y97" s="90" t="e">
        <f t="shared" ref="Y97:AI97" si="156">Y88/Y85</f>
        <v>#DIV/0!</v>
      </c>
      <c r="Z97" s="90" t="e">
        <f t="shared" si="156"/>
        <v>#DIV/0!</v>
      </c>
      <c r="AA97" s="90" t="e">
        <f t="shared" si="156"/>
        <v>#DIV/0!</v>
      </c>
      <c r="AB97" s="90" t="e">
        <f t="shared" si="156"/>
        <v>#DIV/0!</v>
      </c>
      <c r="AC97" s="90" t="e">
        <f t="shared" si="156"/>
        <v>#DIV/0!</v>
      </c>
      <c r="AD97" s="90">
        <f t="shared" si="156"/>
        <v>52.470782499999999</v>
      </c>
      <c r="AE97" s="90" t="e">
        <f t="shared" si="156"/>
        <v>#DIV/0!</v>
      </c>
      <c r="AF97" s="90" t="e">
        <f t="shared" si="156"/>
        <v>#DIV/0!</v>
      </c>
      <c r="AG97" s="90" t="e">
        <f t="shared" si="156"/>
        <v>#DIV/0!</v>
      </c>
      <c r="AH97" s="90">
        <f t="shared" si="156"/>
        <v>2.5807555740113712</v>
      </c>
      <c r="AI97" s="90" t="e">
        <f t="shared" si="156"/>
        <v>#DIV/0!</v>
      </c>
      <c r="AJ97" s="90" t="e">
        <f>AJ88/AJ85</f>
        <v>#DIV/0!</v>
      </c>
      <c r="AK97" s="90" t="e">
        <f>AK88/AK85</f>
        <v>#DIV/0!</v>
      </c>
    </row>
    <row r="98" spans="2:37" ht="5.0999999999999996" customHeight="1" thickBot="1">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row>
  </sheetData>
  <mergeCells count="1">
    <mergeCell ref="AM2:AM4"/>
  </mergeCells>
  <dataValidations count="1">
    <dataValidation type="list" allowBlank="1" showInputMessage="1" showErrorMessage="1" sqref="B4" xr:uid="{060857CB-86CD-4220-87C0-9A83C6E53284}">
      <formula1>"$ bns except per share, $ mm except per share,$ in thousands except per share"</formula1>
    </dataValidation>
  </dataValidations>
  <pageMargins left="0.7" right="0.7" top="0.75" bottom="0.75" header="0.3" footer="0.3"/>
  <ignoredErrors>
    <ignoredError sqref="C39:V40 AL40:AM40 H35:H37 H42 AL42:AM42 AL38 AL39 H38 AL41:AM41 H41 C45:G45 C44:G44 C41:G41 C42:G43 C46:G46 I41:W46" formulaRange="1"/>
    <ignoredError sqref="C92:AK97 D12:AK14 C24:AK25 H15 X15:AK15 C18:AK19 H20:H23 X20:AK22 C29:AK30 H26 X26:AK26 C32:AK33 H31 AM28:AM39 X31:AK31 AM11:AM15 H17 AM17:AM26 H28" evalError="1"/>
    <ignoredError sqref="AG45:AK45" formula="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C1C5D-AED5-4BFE-BA26-5AB41D553B0B}">
  <sheetPr>
    <tabColor theme="8" tint="-0.249977111117893"/>
  </sheetPr>
  <dimension ref="A2:T243"/>
  <sheetViews>
    <sheetView showGridLines="0" tabSelected="1" topLeftCell="A146" zoomScale="115" zoomScaleNormal="115" workbookViewId="0">
      <selection activeCell="B2" sqref="B2"/>
    </sheetView>
  </sheetViews>
  <sheetFormatPr defaultColWidth="7.75" defaultRowHeight="12"/>
  <cols>
    <col min="1" max="1" width="1.5" style="8" customWidth="1"/>
    <col min="2" max="2" width="40.875" style="8" bestFit="1" customWidth="1"/>
    <col min="3" max="3" width="8.875" style="8" bestFit="1" customWidth="1"/>
    <col min="4" max="6" width="10" style="8" customWidth="1"/>
    <col min="7" max="7" width="11.375" style="8" bestFit="1" customWidth="1"/>
    <col min="8" max="11" width="10" style="8" customWidth="1"/>
    <col min="12" max="12" width="1.625" style="8" customWidth="1"/>
    <col min="13" max="13" width="10.375" style="8" customWidth="1"/>
    <col min="14" max="16" width="9" style="8" bestFit="1" customWidth="1"/>
    <col min="17" max="18" width="8.25" style="8" bestFit="1" customWidth="1"/>
    <col min="19" max="16384" width="7.75" style="8"/>
  </cols>
  <sheetData>
    <row r="2" spans="1:19">
      <c r="B2" s="1" t="str">
        <f>'Historical Financials'!B2</f>
        <v>Netflix, Inc. (NASDAQ: NFLX)</v>
      </c>
      <c r="C2" s="1"/>
      <c r="D2" s="1"/>
      <c r="E2" s="1"/>
      <c r="F2" s="1"/>
      <c r="G2" s="1"/>
      <c r="H2" s="1"/>
      <c r="I2" s="1"/>
      <c r="J2" s="1"/>
      <c r="K2" s="1"/>
    </row>
    <row r="3" spans="1:19">
      <c r="B3" s="6" t="s">
        <v>411</v>
      </c>
      <c r="C3" s="1"/>
      <c r="D3" s="1"/>
      <c r="E3" s="1"/>
      <c r="F3" s="1"/>
      <c r="G3" s="1"/>
      <c r="H3" s="1"/>
      <c r="I3" s="1"/>
      <c r="J3" s="1"/>
      <c r="K3" s="1"/>
    </row>
    <row r="4" spans="1:19">
      <c r="B4" s="6" t="s">
        <v>402</v>
      </c>
      <c r="C4" s="6"/>
      <c r="D4" s="6"/>
      <c r="E4" s="6"/>
      <c r="F4" s="6"/>
      <c r="G4" s="6"/>
      <c r="H4" s="6"/>
      <c r="I4" s="6"/>
      <c r="J4" s="6"/>
      <c r="K4" s="6"/>
    </row>
    <row r="5" spans="1:19" ht="5.0999999999999996" customHeight="1"/>
    <row r="6" spans="1:19">
      <c r="B6" s="337" t="s">
        <v>95</v>
      </c>
      <c r="C6" s="335" t="s">
        <v>443</v>
      </c>
      <c r="D6" s="180"/>
      <c r="E6" s="180"/>
      <c r="F6" s="180"/>
      <c r="G6" s="180"/>
      <c r="H6" s="180"/>
      <c r="I6" s="179" t="s">
        <v>96</v>
      </c>
      <c r="J6" s="180"/>
      <c r="K6" s="343" t="s">
        <v>97</v>
      </c>
    </row>
    <row r="7" spans="1:19">
      <c r="B7" s="338" t="s">
        <v>98</v>
      </c>
      <c r="C7" s="326" t="s">
        <v>537</v>
      </c>
      <c r="K7" s="333"/>
    </row>
    <row r="8" spans="1:19">
      <c r="B8" s="339" t="s">
        <v>99</v>
      </c>
      <c r="C8" s="342">
        <v>0</v>
      </c>
      <c r="K8" s="333"/>
    </row>
    <row r="9" spans="1:19">
      <c r="B9" s="339" t="s">
        <v>100</v>
      </c>
      <c r="C9" s="327"/>
      <c r="K9" s="333"/>
    </row>
    <row r="10" spans="1:19">
      <c r="B10" s="339" t="s">
        <v>101</v>
      </c>
      <c r="C10" s="328">
        <f ca="1">NOW()</f>
        <v>45986.813304861113</v>
      </c>
      <c r="K10" s="333"/>
      <c r="O10" s="70"/>
    </row>
    <row r="11" spans="1:19">
      <c r="B11" s="338" t="s">
        <v>102</v>
      </c>
      <c r="C11" s="329">
        <f>'Historical Financials'!I8</f>
        <v>45657</v>
      </c>
      <c r="K11" s="333"/>
    </row>
    <row r="12" spans="1:19">
      <c r="B12" s="340" t="s">
        <v>103</v>
      </c>
      <c r="C12" s="331">
        <v>4443.2650000000003</v>
      </c>
      <c r="D12" s="330"/>
      <c r="E12" s="330"/>
      <c r="F12" s="330"/>
      <c r="G12" s="330"/>
      <c r="H12" s="330"/>
      <c r="I12" s="330"/>
      <c r="J12" s="330"/>
      <c r="K12" s="334"/>
    </row>
    <row r="14" spans="1:19">
      <c r="A14" s="341" t="s">
        <v>24</v>
      </c>
      <c r="B14" s="1" t="s">
        <v>405</v>
      </c>
      <c r="C14" s="2" t="s">
        <v>403</v>
      </c>
      <c r="D14" s="2"/>
      <c r="E14" s="2"/>
      <c r="F14" s="2"/>
      <c r="G14" s="2" t="s">
        <v>161</v>
      </c>
      <c r="H14" s="2"/>
      <c r="I14" s="2"/>
      <c r="J14" s="2"/>
      <c r="K14" s="2"/>
    </row>
    <row r="15" spans="1:19">
      <c r="B15" s="6" t="s">
        <v>104</v>
      </c>
      <c r="C15" s="346">
        <f>D15-1</f>
        <v>2021</v>
      </c>
      <c r="D15" s="346">
        <f>E15-1</f>
        <v>2022</v>
      </c>
      <c r="E15" s="346">
        <f>F15-1</f>
        <v>2023</v>
      </c>
      <c r="F15" s="346">
        <f>YEAR(C11)</f>
        <v>2024</v>
      </c>
      <c r="G15" s="376">
        <f>F15+1</f>
        <v>2025</v>
      </c>
      <c r="H15" s="376">
        <f>G15+1</f>
        <v>2026</v>
      </c>
      <c r="I15" s="376">
        <f>H15+1</f>
        <v>2027</v>
      </c>
      <c r="J15" s="376">
        <f>I15+1</f>
        <v>2028</v>
      </c>
      <c r="K15" s="376">
        <f>J15+1</f>
        <v>2029</v>
      </c>
    </row>
    <row r="16" spans="1:19">
      <c r="B16" s="6" t="s">
        <v>105</v>
      </c>
      <c r="C16" s="3">
        <f>EOMONTH(D16,-12)</f>
        <v>44561</v>
      </c>
      <c r="D16" s="3">
        <f>EOMONTH(E16,-12)</f>
        <v>44926</v>
      </c>
      <c r="E16" s="3">
        <f>EOMONTH(F16,-12)</f>
        <v>45291</v>
      </c>
      <c r="F16" s="3">
        <f>C11</f>
        <v>45657</v>
      </c>
      <c r="G16" s="3">
        <f>EOMONTH(F16,12)</f>
        <v>46022</v>
      </c>
      <c r="H16" s="3">
        <f>EOMONTH(G16,12)</f>
        <v>46387</v>
      </c>
      <c r="I16" s="3">
        <f>EOMONTH(H16,12)</f>
        <v>46752</v>
      </c>
      <c r="J16" s="3">
        <f>EOMONTH(I16,12)</f>
        <v>47118</v>
      </c>
      <c r="K16" s="3">
        <f>EOMONTH(J16,12)</f>
        <v>47483</v>
      </c>
      <c r="M16" s="1" t="s">
        <v>404</v>
      </c>
      <c r="N16" s="1"/>
      <c r="O16" s="1"/>
      <c r="P16" s="1"/>
      <c r="Q16" s="1"/>
      <c r="R16" s="1"/>
      <c r="S16" s="1"/>
    </row>
    <row r="17" spans="2:13" ht="5.0999999999999996" customHeight="1">
      <c r="B17" s="99"/>
      <c r="C17" s="99"/>
      <c r="D17" s="100"/>
      <c r="E17" s="101"/>
      <c r="F17" s="101"/>
      <c r="G17" s="102"/>
      <c r="H17" s="103"/>
      <c r="I17" s="103"/>
      <c r="J17" s="101"/>
      <c r="K17" s="101"/>
    </row>
    <row r="18" spans="2:13" ht="12.75" customHeight="1">
      <c r="B18" s="8" t="s">
        <v>549</v>
      </c>
      <c r="C18" s="165" t="e">
        <f>'Revenue Drivers'!#REF!</f>
        <v>#REF!</v>
      </c>
      <c r="D18" s="165" t="e">
        <f>'Revenue Drivers'!#REF!</f>
        <v>#REF!</v>
      </c>
      <c r="E18" s="165" t="e">
        <f>'Revenue Drivers'!#REF!</f>
        <v>#REF!</v>
      </c>
      <c r="F18" s="165" t="e">
        <f>'Revenue Drivers'!#REF!</f>
        <v>#REF!</v>
      </c>
      <c r="G18" s="480" t="e">
        <f>F18*(1+G61)</f>
        <v>#REF!</v>
      </c>
      <c r="H18" s="480" t="e">
        <f>G18*(1+H61)</f>
        <v>#REF!</v>
      </c>
      <c r="I18" s="480" t="e">
        <f>H18*(1+I61)</f>
        <v>#REF!</v>
      </c>
      <c r="J18" s="480" t="e">
        <f>I18*(1+J61)</f>
        <v>#REF!</v>
      </c>
      <c r="K18" s="480" t="e">
        <f>J18*(1+K61)</f>
        <v>#REF!</v>
      </c>
    </row>
    <row r="19" spans="2:13" ht="12.75" customHeight="1">
      <c r="B19" s="8" t="s">
        <v>524</v>
      </c>
      <c r="C19" s="165" t="e">
        <f>'Revenue Drivers'!#REF!</f>
        <v>#REF!</v>
      </c>
      <c r="D19" s="165" t="e">
        <f>'Revenue Drivers'!#REF!</f>
        <v>#REF!</v>
      </c>
      <c r="E19" s="165" t="e">
        <f>'Revenue Drivers'!#REF!</f>
        <v>#REF!</v>
      </c>
      <c r="F19" s="165" t="e">
        <f>'Revenue Drivers'!#REF!</f>
        <v>#REF!</v>
      </c>
      <c r="G19" s="480"/>
      <c r="H19" s="480"/>
      <c r="I19" s="480"/>
      <c r="J19" s="480"/>
      <c r="K19" s="480"/>
    </row>
    <row r="20" spans="2:13" ht="12.75" customHeight="1">
      <c r="B20" s="8" t="s">
        <v>481</v>
      </c>
      <c r="C20" s="165" t="e">
        <f>'Revenue Drivers'!#REF!</f>
        <v>#REF!</v>
      </c>
      <c r="D20" s="165" t="e">
        <f>'Revenue Drivers'!#REF!</f>
        <v>#REF!</v>
      </c>
      <c r="E20" s="165" t="e">
        <f>'Revenue Drivers'!#REF!</f>
        <v>#REF!</v>
      </c>
      <c r="F20" s="165" t="e">
        <f>'Revenue Drivers'!#REF!</f>
        <v>#REF!</v>
      </c>
      <c r="G20" s="480"/>
      <c r="H20" s="480"/>
      <c r="I20" s="480"/>
      <c r="J20" s="480"/>
      <c r="K20" s="480"/>
    </row>
    <row r="21" spans="2:13" ht="12.75" customHeight="1">
      <c r="B21" s="123" t="s">
        <v>547</v>
      </c>
      <c r="C21" s="523" t="e">
        <f t="shared" ref="C21:K21" si="0">SUM(C18:C20)</f>
        <v>#REF!</v>
      </c>
      <c r="D21" s="523" t="e">
        <f t="shared" si="0"/>
        <v>#REF!</v>
      </c>
      <c r="E21" s="523" t="e">
        <f t="shared" si="0"/>
        <v>#REF!</v>
      </c>
      <c r="F21" s="523" t="e">
        <f t="shared" si="0"/>
        <v>#REF!</v>
      </c>
      <c r="G21" s="523" t="e">
        <f t="shared" si="0"/>
        <v>#REF!</v>
      </c>
      <c r="H21" s="523" t="e">
        <f t="shared" si="0"/>
        <v>#REF!</v>
      </c>
      <c r="I21" s="523" t="e">
        <f t="shared" si="0"/>
        <v>#REF!</v>
      </c>
      <c r="J21" s="523" t="e">
        <f t="shared" si="0"/>
        <v>#REF!</v>
      </c>
      <c r="K21" s="523" t="e">
        <f t="shared" si="0"/>
        <v>#REF!</v>
      </c>
    </row>
    <row r="22" spans="2:13" ht="12.75" customHeight="1">
      <c r="C22" s="165"/>
      <c r="D22" s="165"/>
      <c r="E22" s="165"/>
      <c r="F22" s="165"/>
      <c r="G22" s="480"/>
      <c r="H22" s="480"/>
      <c r="I22" s="480"/>
      <c r="J22" s="480"/>
      <c r="K22" s="480"/>
    </row>
    <row r="23" spans="2:13" ht="12.75" customHeight="1">
      <c r="C23" s="165"/>
      <c r="D23" s="165"/>
      <c r="E23" s="165"/>
      <c r="F23" s="165"/>
      <c r="G23" s="480"/>
      <c r="H23" s="480"/>
      <c r="I23" s="480"/>
      <c r="J23" s="480"/>
      <c r="K23" s="480"/>
    </row>
    <row r="24" spans="2:13" ht="12.75" customHeight="1">
      <c r="C24" s="165"/>
      <c r="D24" s="165"/>
      <c r="E24" s="165"/>
      <c r="F24" s="165"/>
      <c r="G24" s="480"/>
      <c r="H24" s="480"/>
      <c r="I24" s="480"/>
      <c r="J24" s="480"/>
      <c r="K24" s="480"/>
    </row>
    <row r="25" spans="2:13" ht="12.75" customHeight="1">
      <c r="C25" s="165"/>
      <c r="D25" s="165"/>
      <c r="E25" s="165"/>
      <c r="F25" s="165"/>
      <c r="G25" s="480"/>
      <c r="H25" s="480"/>
      <c r="I25" s="480"/>
      <c r="J25" s="480"/>
      <c r="K25" s="480"/>
    </row>
    <row r="26" spans="2:13" ht="12.75" customHeight="1">
      <c r="C26" s="165"/>
      <c r="D26" s="165"/>
      <c r="E26" s="165"/>
      <c r="F26" s="165"/>
      <c r="G26" s="480"/>
      <c r="H26" s="480"/>
      <c r="I26" s="480"/>
      <c r="J26" s="480"/>
      <c r="K26" s="480"/>
    </row>
    <row r="27" spans="2:13" ht="12.75" customHeight="1">
      <c r="C27" s="165"/>
      <c r="D27" s="165"/>
      <c r="E27" s="165"/>
      <c r="F27" s="165"/>
      <c r="G27" s="480">
        <f>F27*(1+G66)</f>
        <v>0</v>
      </c>
      <c r="H27" s="480">
        <f>G27*(1+H66)</f>
        <v>0</v>
      </c>
      <c r="I27" s="480">
        <f>H27*(1+I66)</f>
        <v>0</v>
      </c>
      <c r="J27" s="480">
        <f>I27*(1+J66)</f>
        <v>0</v>
      </c>
      <c r="K27" s="480">
        <f>J27*(1+K66)</f>
        <v>0</v>
      </c>
    </row>
    <row r="28" spans="2:13" ht="12.75" customHeight="1">
      <c r="B28" s="177" t="s">
        <v>92</v>
      </c>
      <c r="C28" s="360" t="e">
        <f t="shared" ref="C28:K28" si="1">SUM(C18:C27)</f>
        <v>#REF!</v>
      </c>
      <c r="D28" s="360" t="e">
        <f t="shared" si="1"/>
        <v>#REF!</v>
      </c>
      <c r="E28" s="360" t="e">
        <f t="shared" si="1"/>
        <v>#REF!</v>
      </c>
      <c r="F28" s="360" t="e">
        <f t="shared" si="1"/>
        <v>#REF!</v>
      </c>
      <c r="G28" s="360" t="e">
        <f t="shared" si="1"/>
        <v>#REF!</v>
      </c>
      <c r="H28" s="360" t="e">
        <f t="shared" si="1"/>
        <v>#REF!</v>
      </c>
      <c r="I28" s="360" t="e">
        <f t="shared" si="1"/>
        <v>#REF!</v>
      </c>
      <c r="J28" s="360" t="e">
        <f t="shared" si="1"/>
        <v>#REF!</v>
      </c>
      <c r="K28" s="360" t="e">
        <f t="shared" si="1"/>
        <v>#REF!</v>
      </c>
    </row>
    <row r="29" spans="2:13" ht="12.75" customHeight="1">
      <c r="B29" s="410" t="s">
        <v>45</v>
      </c>
      <c r="C29" s="455"/>
      <c r="D29" s="411" t="e">
        <f>SUM(D28/C28)-1</f>
        <v>#REF!</v>
      </c>
      <c r="E29" s="411" t="e">
        <f t="shared" ref="E29:K29" si="2">SUM(E28/D28)-1</f>
        <v>#REF!</v>
      </c>
      <c r="F29" s="411" t="e">
        <f t="shared" si="2"/>
        <v>#REF!</v>
      </c>
      <c r="G29" s="411" t="e">
        <f t="shared" si="2"/>
        <v>#REF!</v>
      </c>
      <c r="H29" s="411" t="e">
        <f t="shared" si="2"/>
        <v>#REF!</v>
      </c>
      <c r="I29" s="411" t="e">
        <f t="shared" si="2"/>
        <v>#REF!</v>
      </c>
      <c r="J29" s="411" t="e">
        <f t="shared" si="2"/>
        <v>#REF!</v>
      </c>
      <c r="K29" s="411" t="e">
        <f t="shared" si="2"/>
        <v>#REF!</v>
      </c>
    </row>
    <row r="30" spans="2:13" ht="5.0999999999999996" customHeight="1">
      <c r="C30" s="165"/>
      <c r="D30" s="165"/>
      <c r="E30" s="165"/>
      <c r="F30" s="165"/>
      <c r="G30" s="105"/>
      <c r="H30" s="105"/>
      <c r="I30" s="105"/>
      <c r="J30" s="105"/>
      <c r="K30" s="105"/>
    </row>
    <row r="31" spans="2:13" ht="12.75" customHeight="1">
      <c r="B31" s="8" t="s">
        <v>419</v>
      </c>
      <c r="C31" s="165" t="e">
        <f>'Historical Financials'!#REF!</f>
        <v>#REF!</v>
      </c>
      <c r="D31" s="165" t="e">
        <f>'Historical Financials'!#REF!</f>
        <v>#REF!</v>
      </c>
      <c r="E31" s="165" t="e">
        <f>'Historical Financials'!#REF!</f>
        <v>#REF!</v>
      </c>
      <c r="F31" s="165" t="e">
        <f>'Historical Financials'!#REF!</f>
        <v>#REF!</v>
      </c>
      <c r="G31" s="480" t="e">
        <f>+G32-G28</f>
        <v>#REF!</v>
      </c>
      <c r="H31" s="480" t="e">
        <f>+H32-H28</f>
        <v>#REF!</v>
      </c>
      <c r="I31" s="480" t="e">
        <f>+I32-I28</f>
        <v>#REF!</v>
      </c>
      <c r="J31" s="480" t="e">
        <f>+J32-J28</f>
        <v>#REF!</v>
      </c>
      <c r="K31" s="480" t="e">
        <f>+K32-K28</f>
        <v>#REF!</v>
      </c>
      <c r="M31" s="8" t="s">
        <v>106</v>
      </c>
    </row>
    <row r="32" spans="2:13" ht="12.75" customHeight="1">
      <c r="B32" s="177" t="s">
        <v>30</v>
      </c>
      <c r="C32" s="360" t="e">
        <f>+C31+C28</f>
        <v>#REF!</v>
      </c>
      <c r="D32" s="360" t="e">
        <f>+D31+D28</f>
        <v>#REF!</v>
      </c>
      <c r="E32" s="360" t="e">
        <f>+E31+E28</f>
        <v>#REF!</v>
      </c>
      <c r="F32" s="360" t="e">
        <f>+F31+F28</f>
        <v>#REF!</v>
      </c>
      <c r="G32" s="360" t="e">
        <f>G68*G28</f>
        <v>#REF!</v>
      </c>
      <c r="H32" s="360" t="e">
        <f>H68*H28</f>
        <v>#REF!</v>
      </c>
      <c r="I32" s="360" t="e">
        <f>I68*I28</f>
        <v>#REF!</v>
      </c>
      <c r="J32" s="360" t="e">
        <f>J68*J28</f>
        <v>#REF!</v>
      </c>
      <c r="K32" s="360" t="e">
        <f>K68*K28</f>
        <v>#REF!</v>
      </c>
      <c r="M32" s="33" t="s">
        <v>107</v>
      </c>
    </row>
    <row r="33" spans="2:14" ht="12.75" customHeight="1">
      <c r="B33" s="410" t="s">
        <v>417</v>
      </c>
      <c r="C33" s="411" t="e">
        <f>C32/C28</f>
        <v>#REF!</v>
      </c>
      <c r="D33" s="411" t="e">
        <f t="shared" ref="D33:K33" si="3">D32/D28</f>
        <v>#REF!</v>
      </c>
      <c r="E33" s="411" t="e">
        <f t="shared" si="3"/>
        <v>#REF!</v>
      </c>
      <c r="F33" s="411" t="e">
        <f t="shared" si="3"/>
        <v>#REF!</v>
      </c>
      <c r="G33" s="411" t="e">
        <f t="shared" si="3"/>
        <v>#REF!</v>
      </c>
      <c r="H33" s="411" t="e">
        <f t="shared" si="3"/>
        <v>#REF!</v>
      </c>
      <c r="I33" s="411" t="e">
        <f t="shared" si="3"/>
        <v>#REF!</v>
      </c>
      <c r="J33" s="411" t="e">
        <f t="shared" si="3"/>
        <v>#REF!</v>
      </c>
      <c r="K33" s="411" t="e">
        <f t="shared" si="3"/>
        <v>#REF!</v>
      </c>
      <c r="M33" s="33"/>
    </row>
    <row r="34" spans="2:14" ht="5.0999999999999996" customHeight="1">
      <c r="B34" s="38"/>
      <c r="C34" s="106"/>
      <c r="D34" s="106"/>
      <c r="E34" s="106"/>
      <c r="F34" s="106"/>
      <c r="G34" s="106"/>
      <c r="H34" s="106"/>
      <c r="I34" s="106"/>
      <c r="J34" s="106"/>
      <c r="K34" s="106"/>
      <c r="M34" s="33"/>
    </row>
    <row r="35" spans="2:14" ht="12.75" customHeight="1">
      <c r="B35" s="8" t="s">
        <v>426</v>
      </c>
      <c r="C35" s="165"/>
      <c r="D35" s="165"/>
      <c r="E35" s="165"/>
      <c r="F35" s="165"/>
      <c r="G35" s="480" t="e">
        <f>-G69*G18</f>
        <v>#REF!</v>
      </c>
      <c r="H35" s="480" t="e">
        <f>-H69*H18</f>
        <v>#REF!</v>
      </c>
      <c r="I35" s="480" t="e">
        <f>-I69*I18</f>
        <v>#REF!</v>
      </c>
      <c r="J35" s="480" t="e">
        <f>-J69*J18</f>
        <v>#REF!</v>
      </c>
      <c r="K35" s="480" t="e">
        <f>-K69*K18</f>
        <v>#REF!</v>
      </c>
      <c r="M35" s="33" t="s">
        <v>109</v>
      </c>
    </row>
    <row r="36" spans="2:14" ht="12.75" customHeight="1">
      <c r="B36" s="8" t="s">
        <v>427</v>
      </c>
      <c r="C36" s="165"/>
      <c r="D36" s="165"/>
      <c r="E36" s="165"/>
      <c r="F36" s="165"/>
      <c r="G36" s="480" t="e">
        <f>-G18*G70</f>
        <v>#REF!</v>
      </c>
      <c r="H36" s="480" t="e">
        <f>-H18*H70</f>
        <v>#REF!</v>
      </c>
      <c r="I36" s="480" t="e">
        <f>-I18*I70</f>
        <v>#REF!</v>
      </c>
      <c r="J36" s="480" t="e">
        <f>-J18*J70</f>
        <v>#REF!</v>
      </c>
      <c r="K36" s="480" t="e">
        <f>-K18*K70</f>
        <v>#REF!</v>
      </c>
      <c r="M36" s="33" t="s">
        <v>108</v>
      </c>
    </row>
    <row r="37" spans="2:14" ht="12.75" customHeight="1">
      <c r="B37" s="8" t="s">
        <v>457</v>
      </c>
      <c r="C37" s="165"/>
      <c r="D37" s="165"/>
      <c r="E37" s="165"/>
      <c r="F37" s="165"/>
      <c r="G37" s="480" t="e">
        <f>-G27*G71</f>
        <v>#REF!</v>
      </c>
      <c r="H37" s="480" t="e">
        <f>-H27*H71</f>
        <v>#REF!</v>
      </c>
      <c r="I37" s="480" t="e">
        <f>-I27*I71</f>
        <v>#REF!</v>
      </c>
      <c r="J37" s="480" t="e">
        <f>-J27*J71</f>
        <v>#REF!</v>
      </c>
      <c r="K37" s="480" t="e">
        <f>-K27*K71</f>
        <v>#REF!</v>
      </c>
      <c r="M37" s="33" t="s">
        <v>421</v>
      </c>
    </row>
    <row r="38" spans="2:14" ht="12.75" customHeight="1">
      <c r="B38" s="179" t="s">
        <v>110</v>
      </c>
      <c r="C38" s="360" t="e">
        <f>C32+C35+C36+C37</f>
        <v>#REF!</v>
      </c>
      <c r="D38" s="360" t="e">
        <f t="shared" ref="D38:K38" si="4">D32+D35+D36+D37</f>
        <v>#REF!</v>
      </c>
      <c r="E38" s="360" t="e">
        <f t="shared" si="4"/>
        <v>#REF!</v>
      </c>
      <c r="F38" s="360" t="e">
        <f t="shared" si="4"/>
        <v>#REF!</v>
      </c>
      <c r="G38" s="360" t="e">
        <f t="shared" si="4"/>
        <v>#REF!</v>
      </c>
      <c r="H38" s="360" t="e">
        <f t="shared" si="4"/>
        <v>#REF!</v>
      </c>
      <c r="I38" s="360" t="e">
        <f t="shared" si="4"/>
        <v>#REF!</v>
      </c>
      <c r="J38" s="360" t="e">
        <f t="shared" si="4"/>
        <v>#REF!</v>
      </c>
      <c r="K38" s="360" t="e">
        <f t="shared" si="4"/>
        <v>#REF!</v>
      </c>
      <c r="M38" s="38"/>
    </row>
    <row r="39" spans="2:14" ht="12.75" customHeight="1">
      <c r="B39" s="410" t="s">
        <v>417</v>
      </c>
      <c r="C39" s="411" t="e">
        <f>C38/C28</f>
        <v>#REF!</v>
      </c>
      <c r="D39" s="411" t="e">
        <f t="shared" ref="D39:K39" si="5">D38/D28</f>
        <v>#REF!</v>
      </c>
      <c r="E39" s="411" t="e">
        <f t="shared" si="5"/>
        <v>#REF!</v>
      </c>
      <c r="F39" s="411" t="e">
        <f t="shared" si="5"/>
        <v>#REF!</v>
      </c>
      <c r="G39" s="411" t="e">
        <f t="shared" si="5"/>
        <v>#REF!</v>
      </c>
      <c r="H39" s="411" t="e">
        <f t="shared" si="5"/>
        <v>#REF!</v>
      </c>
      <c r="I39" s="411" t="e">
        <f t="shared" si="5"/>
        <v>#REF!</v>
      </c>
      <c r="J39" s="411" t="e">
        <f t="shared" si="5"/>
        <v>#REF!</v>
      </c>
      <c r="K39" s="411" t="e">
        <f t="shared" si="5"/>
        <v>#REF!</v>
      </c>
      <c r="M39" s="38"/>
    </row>
    <row r="40" spans="2:14" ht="5.0999999999999996" customHeight="1">
      <c r="B40" s="38"/>
      <c r="C40" s="106"/>
      <c r="D40" s="106"/>
      <c r="E40" s="106"/>
      <c r="F40" s="106"/>
      <c r="G40" s="106"/>
      <c r="H40" s="106"/>
      <c r="I40" s="106"/>
      <c r="J40" s="106"/>
      <c r="K40" s="106"/>
      <c r="M40" s="33"/>
    </row>
    <row r="41" spans="2:14" ht="12.75" customHeight="1">
      <c r="B41" s="8" t="s">
        <v>422</v>
      </c>
      <c r="C41" s="165"/>
      <c r="D41" s="165"/>
      <c r="E41" s="165"/>
      <c r="F41" s="165"/>
      <c r="G41" s="480"/>
      <c r="H41" s="480"/>
      <c r="I41" s="480"/>
      <c r="J41" s="480"/>
      <c r="K41" s="480"/>
      <c r="M41" s="8" t="s">
        <v>448</v>
      </c>
    </row>
    <row r="42" spans="2:14" ht="12.75" customHeight="1">
      <c r="B42" s="8" t="s">
        <v>207</v>
      </c>
      <c r="C42" s="165"/>
      <c r="D42" s="165"/>
      <c r="E42" s="165"/>
      <c r="F42" s="165"/>
      <c r="G42" s="480"/>
      <c r="H42" s="480"/>
      <c r="I42" s="480"/>
      <c r="J42" s="480"/>
      <c r="K42" s="480"/>
      <c r="M42" s="8" t="s">
        <v>112</v>
      </c>
    </row>
    <row r="43" spans="2:14" ht="12.75" customHeight="1">
      <c r="B43" s="8" t="s">
        <v>418</v>
      </c>
      <c r="C43" s="165"/>
      <c r="D43" s="165"/>
      <c r="E43" s="165"/>
      <c r="F43" s="165"/>
      <c r="G43" s="11">
        <f>F43</f>
        <v>0</v>
      </c>
      <c r="H43" s="11">
        <f>G43</f>
        <v>0</v>
      </c>
      <c r="I43" s="11">
        <f>H43</f>
        <v>0</v>
      </c>
      <c r="J43" s="11">
        <f>I43</f>
        <v>0</v>
      </c>
      <c r="K43" s="11">
        <f>J43</f>
        <v>0</v>
      </c>
      <c r="M43" s="8" t="s">
        <v>113</v>
      </c>
    </row>
    <row r="44" spans="2:14" ht="12.75" customHeight="1">
      <c r="B44" s="179" t="s">
        <v>114</v>
      </c>
      <c r="C44" s="360" t="e">
        <f t="shared" ref="C44:K44" si="6">SUM(C38:C43)</f>
        <v>#REF!</v>
      </c>
      <c r="D44" s="360" t="e">
        <f t="shared" si="6"/>
        <v>#REF!</v>
      </c>
      <c r="E44" s="360" t="e">
        <f t="shared" si="6"/>
        <v>#REF!</v>
      </c>
      <c r="F44" s="360" t="e">
        <f t="shared" si="6"/>
        <v>#REF!</v>
      </c>
      <c r="G44" s="360" t="e">
        <f t="shared" si="6"/>
        <v>#REF!</v>
      </c>
      <c r="H44" s="360" t="e">
        <f t="shared" si="6"/>
        <v>#REF!</v>
      </c>
      <c r="I44" s="360" t="e">
        <f t="shared" si="6"/>
        <v>#REF!</v>
      </c>
      <c r="J44" s="360" t="e">
        <f t="shared" si="6"/>
        <v>#REF!</v>
      </c>
      <c r="K44" s="360" t="e">
        <f t="shared" si="6"/>
        <v>#REF!</v>
      </c>
      <c r="M44" s="38" t="s">
        <v>115</v>
      </c>
      <c r="N44" s="38"/>
    </row>
    <row r="45" spans="2:14" ht="5.0999999999999996" customHeight="1">
      <c r="B45" s="38"/>
      <c r="C45" s="106"/>
      <c r="D45" s="106"/>
      <c r="E45" s="106"/>
      <c r="F45" s="106"/>
      <c r="G45" s="106"/>
      <c r="H45" s="106"/>
      <c r="I45" s="106"/>
      <c r="J45" s="106"/>
      <c r="K45" s="106"/>
      <c r="M45" s="33"/>
    </row>
    <row r="46" spans="2:14" ht="12.75" customHeight="1">
      <c r="B46" s="8" t="s">
        <v>420</v>
      </c>
      <c r="C46" s="165"/>
      <c r="D46" s="165"/>
      <c r="E46" s="165"/>
      <c r="F46" s="165"/>
      <c r="G46" s="480">
        <v>0</v>
      </c>
      <c r="H46" s="480">
        <v>0</v>
      </c>
      <c r="I46" s="480">
        <v>0</v>
      </c>
      <c r="J46" s="480">
        <v>0</v>
      </c>
      <c r="K46" s="480">
        <v>0</v>
      </c>
      <c r="M46" s="8" t="s">
        <v>116</v>
      </c>
    </row>
    <row r="47" spans="2:14" ht="12.75" customHeight="1">
      <c r="B47" s="177" t="s">
        <v>17</v>
      </c>
      <c r="C47" s="360" t="e">
        <f t="shared" ref="C47:K47" si="7">SUM(C44:C46)</f>
        <v>#REF!</v>
      </c>
      <c r="D47" s="360" t="e">
        <f t="shared" si="7"/>
        <v>#REF!</v>
      </c>
      <c r="E47" s="360" t="e">
        <f t="shared" si="7"/>
        <v>#REF!</v>
      </c>
      <c r="F47" s="360" t="e">
        <f t="shared" si="7"/>
        <v>#REF!</v>
      </c>
      <c r="G47" s="360" t="e">
        <f t="shared" si="7"/>
        <v>#REF!</v>
      </c>
      <c r="H47" s="360" t="e">
        <f t="shared" si="7"/>
        <v>#REF!</v>
      </c>
      <c r="I47" s="360" t="e">
        <f t="shared" si="7"/>
        <v>#REF!</v>
      </c>
      <c r="J47" s="360" t="e">
        <f t="shared" si="7"/>
        <v>#REF!</v>
      </c>
      <c r="K47" s="360" t="e">
        <f t="shared" si="7"/>
        <v>#REF!</v>
      </c>
      <c r="M47" s="38" t="s">
        <v>117</v>
      </c>
    </row>
    <row r="48" spans="2:14" ht="12.75" customHeight="1">
      <c r="B48" s="410" t="s">
        <v>417</v>
      </c>
      <c r="C48" s="411" t="e">
        <f t="shared" ref="C48:K48" si="8">C47/C28</f>
        <v>#REF!</v>
      </c>
      <c r="D48" s="411" t="e">
        <f t="shared" si="8"/>
        <v>#REF!</v>
      </c>
      <c r="E48" s="411" t="e">
        <f t="shared" si="8"/>
        <v>#REF!</v>
      </c>
      <c r="F48" s="411" t="e">
        <f t="shared" si="8"/>
        <v>#REF!</v>
      </c>
      <c r="G48" s="411" t="e">
        <f t="shared" si="8"/>
        <v>#REF!</v>
      </c>
      <c r="H48" s="411" t="e">
        <f t="shared" si="8"/>
        <v>#REF!</v>
      </c>
      <c r="I48" s="411" t="e">
        <f t="shared" si="8"/>
        <v>#REF!</v>
      </c>
      <c r="J48" s="411" t="e">
        <f t="shared" si="8"/>
        <v>#REF!</v>
      </c>
      <c r="K48" s="411" t="e">
        <f t="shared" si="8"/>
        <v>#REF!</v>
      </c>
      <c r="M48" s="38"/>
    </row>
    <row r="49" spans="2:20" ht="5.0999999999999996" customHeight="1">
      <c r="B49" s="38"/>
      <c r="C49" s="106"/>
      <c r="D49" s="106"/>
      <c r="E49" s="106"/>
      <c r="F49" s="106"/>
      <c r="G49" s="106"/>
      <c r="H49" s="106"/>
      <c r="I49" s="106"/>
      <c r="J49" s="106"/>
      <c r="K49" s="106"/>
      <c r="M49" s="33"/>
    </row>
    <row r="50" spans="2:20" ht="12.75" customHeight="1">
      <c r="B50" s="107" t="s">
        <v>460</v>
      </c>
      <c r="C50" s="165"/>
      <c r="D50" s="165"/>
      <c r="E50" s="165"/>
      <c r="F50" s="165"/>
      <c r="G50" s="70"/>
      <c r="H50" s="70"/>
      <c r="I50" s="70"/>
      <c r="J50" s="70"/>
      <c r="K50" s="70"/>
      <c r="M50" s="8" t="s">
        <v>119</v>
      </c>
    </row>
    <row r="51" spans="2:20" ht="12.75" customHeight="1">
      <c r="B51" s="177" t="s">
        <v>11</v>
      </c>
      <c r="C51" s="360" t="e">
        <f t="shared" ref="C51:K51" si="9">C38+C50</f>
        <v>#REF!</v>
      </c>
      <c r="D51" s="360" t="e">
        <f t="shared" si="9"/>
        <v>#REF!</v>
      </c>
      <c r="E51" s="360" t="e">
        <f t="shared" si="9"/>
        <v>#REF!</v>
      </c>
      <c r="F51" s="360" t="e">
        <f t="shared" si="9"/>
        <v>#REF!</v>
      </c>
      <c r="G51" s="360" t="e">
        <f t="shared" si="9"/>
        <v>#REF!</v>
      </c>
      <c r="H51" s="360" t="e">
        <f t="shared" si="9"/>
        <v>#REF!</v>
      </c>
      <c r="I51" s="360" t="e">
        <f t="shared" si="9"/>
        <v>#REF!</v>
      </c>
      <c r="J51" s="360" t="e">
        <f t="shared" si="9"/>
        <v>#REF!</v>
      </c>
      <c r="K51" s="360" t="e">
        <f t="shared" si="9"/>
        <v>#REF!</v>
      </c>
      <c r="M51" s="38" t="s">
        <v>120</v>
      </c>
    </row>
    <row r="52" spans="2:20" ht="12.75" customHeight="1">
      <c r="B52" s="410" t="s">
        <v>417</v>
      </c>
      <c r="C52" s="411" t="e">
        <f t="shared" ref="C52:K52" si="10">C51/C28</f>
        <v>#REF!</v>
      </c>
      <c r="D52" s="411" t="e">
        <f t="shared" si="10"/>
        <v>#REF!</v>
      </c>
      <c r="E52" s="411" t="e">
        <f t="shared" si="10"/>
        <v>#REF!</v>
      </c>
      <c r="F52" s="411" t="e">
        <f t="shared" si="10"/>
        <v>#REF!</v>
      </c>
      <c r="G52" s="411" t="e">
        <f t="shared" si="10"/>
        <v>#REF!</v>
      </c>
      <c r="H52" s="411" t="e">
        <f t="shared" si="10"/>
        <v>#REF!</v>
      </c>
      <c r="I52" s="411" t="e">
        <f t="shared" si="10"/>
        <v>#REF!</v>
      </c>
      <c r="J52" s="411" t="e">
        <f t="shared" si="10"/>
        <v>#REF!</v>
      </c>
      <c r="K52" s="411" t="e">
        <f t="shared" si="10"/>
        <v>#REF!</v>
      </c>
      <c r="M52" s="38"/>
    </row>
    <row r="53" spans="2:20" ht="5.0999999999999996" customHeight="1">
      <c r="B53" s="38"/>
      <c r="C53" s="106"/>
      <c r="D53" s="106"/>
      <c r="E53" s="106"/>
      <c r="F53" s="106"/>
      <c r="G53" s="106"/>
      <c r="H53" s="106"/>
      <c r="I53" s="106"/>
      <c r="J53" s="106"/>
      <c r="K53" s="106"/>
      <c r="M53" s="33"/>
    </row>
    <row r="54" spans="2:20" ht="12.75" customHeight="1">
      <c r="B54" s="107" t="s">
        <v>461</v>
      </c>
      <c r="C54" s="165"/>
      <c r="D54" s="165"/>
      <c r="E54" s="165"/>
      <c r="F54" s="165"/>
      <c r="G54" s="70">
        <f>+(F54*G60)+F54</f>
        <v>0</v>
      </c>
      <c r="H54" s="70">
        <f>+(G54*H60)+G54</f>
        <v>0</v>
      </c>
      <c r="I54" s="70">
        <f>+(H54*I60)+H54</f>
        <v>0</v>
      </c>
      <c r="J54" s="70">
        <f>+(I54*J60)+I54</f>
        <v>0</v>
      </c>
      <c r="K54" s="70">
        <f>+(J54*K60)+J54</f>
        <v>0</v>
      </c>
      <c r="M54" s="8" t="s">
        <v>447</v>
      </c>
    </row>
    <row r="55" spans="2:20" ht="12.75" customHeight="1">
      <c r="B55" s="357" t="s">
        <v>12</v>
      </c>
      <c r="C55" s="358" t="e">
        <f t="shared" ref="C55:K55" si="11">SUM(C51:C54)</f>
        <v>#REF!</v>
      </c>
      <c r="D55" s="358" t="e">
        <f t="shared" si="11"/>
        <v>#REF!</v>
      </c>
      <c r="E55" s="358" t="e">
        <f t="shared" si="11"/>
        <v>#REF!</v>
      </c>
      <c r="F55" s="358" t="e">
        <f t="shared" si="11"/>
        <v>#REF!</v>
      </c>
      <c r="G55" s="359" t="e">
        <f t="shared" si="11"/>
        <v>#REF!</v>
      </c>
      <c r="H55" s="359" t="e">
        <f t="shared" si="11"/>
        <v>#REF!</v>
      </c>
      <c r="I55" s="359" t="e">
        <f t="shared" si="11"/>
        <v>#REF!</v>
      </c>
      <c r="J55" s="359" t="e">
        <f t="shared" si="11"/>
        <v>#REF!</v>
      </c>
      <c r="K55" s="359" t="e">
        <f t="shared" si="11"/>
        <v>#REF!</v>
      </c>
      <c r="M55" s="38" t="s">
        <v>122</v>
      </c>
    </row>
    <row r="56" spans="2:20" ht="12.75" customHeight="1">
      <c r="B56" s="410" t="s">
        <v>417</v>
      </c>
      <c r="C56" s="411" t="e">
        <f t="shared" ref="C56:K56" si="12">C55/C28</f>
        <v>#REF!</v>
      </c>
      <c r="D56" s="411" t="e">
        <f t="shared" si="12"/>
        <v>#REF!</v>
      </c>
      <c r="E56" s="411" t="e">
        <f t="shared" si="12"/>
        <v>#REF!</v>
      </c>
      <c r="F56" s="411" t="e">
        <f t="shared" si="12"/>
        <v>#REF!</v>
      </c>
      <c r="G56" s="411" t="e">
        <f t="shared" si="12"/>
        <v>#REF!</v>
      </c>
      <c r="H56" s="411" t="e">
        <f t="shared" si="12"/>
        <v>#REF!</v>
      </c>
      <c r="I56" s="411" t="e">
        <f t="shared" si="12"/>
        <v>#REF!</v>
      </c>
      <c r="J56" s="411" t="e">
        <f t="shared" si="12"/>
        <v>#REF!</v>
      </c>
      <c r="K56" s="411" t="e">
        <f t="shared" si="12"/>
        <v>#REF!</v>
      </c>
      <c r="M56" s="38"/>
    </row>
    <row r="57" spans="2:20">
      <c r="B57" s="65"/>
      <c r="G57" s="109"/>
    </row>
    <row r="58" spans="2:20">
      <c r="B58" s="351" t="s">
        <v>123</v>
      </c>
      <c r="C58" s="349"/>
      <c r="D58" s="349"/>
      <c r="E58" s="349"/>
      <c r="F58" s="349"/>
      <c r="G58" s="349"/>
      <c r="H58" s="349"/>
      <c r="I58" s="349"/>
      <c r="J58" s="349"/>
      <c r="K58" s="350"/>
    </row>
    <row r="59" spans="2:20" ht="5.0999999999999996" customHeight="1">
      <c r="B59" s="354"/>
      <c r="C59" s="352"/>
      <c r="D59" s="352"/>
      <c r="E59" s="352"/>
      <c r="F59" s="352"/>
      <c r="G59" s="352"/>
      <c r="H59" s="352"/>
      <c r="I59" s="352"/>
      <c r="J59" s="352"/>
      <c r="K59" s="353"/>
    </row>
    <row r="60" spans="2:20">
      <c r="B60" s="414" t="s">
        <v>124</v>
      </c>
      <c r="C60" s="111"/>
      <c r="D60" s="111" t="e">
        <f>D28/C28-1</f>
        <v>#REF!</v>
      </c>
      <c r="E60" s="111" t="e">
        <f>E28/D28-1</f>
        <v>#REF!</v>
      </c>
      <c r="F60" s="111" t="e">
        <f>F28/E28-1</f>
        <v>#REF!</v>
      </c>
      <c r="G60" s="409"/>
      <c r="H60" s="409"/>
      <c r="I60" s="409"/>
      <c r="J60" s="409"/>
      <c r="K60" s="409"/>
      <c r="M60" s="8" t="s">
        <v>446</v>
      </c>
      <c r="O60" s="112"/>
      <c r="P60" s="112"/>
      <c r="Q60" s="112"/>
      <c r="R60" s="112"/>
      <c r="S60" s="112"/>
      <c r="T60" s="112"/>
    </row>
    <row r="61" spans="2:20">
      <c r="B61" s="408" t="s">
        <v>549</v>
      </c>
      <c r="C61" s="111"/>
      <c r="D61" s="479" t="e">
        <f>SUM(D18/C18)-1</f>
        <v>#REF!</v>
      </c>
      <c r="E61" s="479" t="e">
        <f>SUM(E18/D18)-1</f>
        <v>#REF!</v>
      </c>
      <c r="F61" s="479" t="e">
        <f>SUM(F18/E18)-1</f>
        <v>#REF!</v>
      </c>
      <c r="G61" s="409"/>
      <c r="H61" s="409"/>
      <c r="I61" s="409"/>
      <c r="J61" s="409"/>
      <c r="K61" s="409"/>
      <c r="M61" s="8" t="s">
        <v>446</v>
      </c>
      <c r="O61" s="112"/>
      <c r="P61" s="112"/>
      <c r="Q61" s="112"/>
      <c r="R61" s="112"/>
      <c r="S61" s="112"/>
      <c r="T61" s="112"/>
    </row>
    <row r="62" spans="2:20">
      <c r="B62" s="408"/>
      <c r="C62" s="111"/>
      <c r="D62" s="479"/>
      <c r="E62" s="479"/>
      <c r="F62" s="479"/>
      <c r="G62" s="409"/>
      <c r="H62" s="409"/>
      <c r="I62" s="409"/>
      <c r="J62" s="409"/>
      <c r="K62" s="409"/>
      <c r="O62" s="112"/>
      <c r="P62" s="112"/>
      <c r="Q62" s="112"/>
      <c r="R62" s="112"/>
      <c r="S62" s="112"/>
      <c r="T62" s="112"/>
    </row>
    <row r="63" spans="2:20">
      <c r="B63" s="408"/>
      <c r="C63" s="111"/>
      <c r="D63" s="479"/>
      <c r="E63" s="479"/>
      <c r="F63" s="479"/>
      <c r="G63" s="409"/>
      <c r="H63" s="409"/>
      <c r="I63" s="409"/>
      <c r="J63" s="409"/>
      <c r="K63" s="409"/>
      <c r="O63" s="112"/>
      <c r="P63" s="112"/>
      <c r="Q63" s="112"/>
      <c r="R63" s="112"/>
      <c r="S63" s="112"/>
      <c r="T63" s="112"/>
    </row>
    <row r="64" spans="2:20">
      <c r="B64" s="408"/>
      <c r="C64" s="111"/>
      <c r="D64" s="479"/>
      <c r="E64" s="479"/>
      <c r="F64" s="479"/>
      <c r="G64" s="409"/>
      <c r="H64" s="409"/>
      <c r="I64" s="409"/>
      <c r="J64" s="409"/>
      <c r="K64" s="409"/>
      <c r="O64" s="112"/>
      <c r="P64" s="112"/>
      <c r="Q64" s="112"/>
      <c r="R64" s="112"/>
      <c r="S64" s="112"/>
      <c r="T64" s="112"/>
    </row>
    <row r="65" spans="1:20">
      <c r="B65" s="408"/>
      <c r="C65" s="111"/>
      <c r="D65" s="479"/>
      <c r="E65" s="479"/>
      <c r="F65" s="479"/>
      <c r="G65" s="409"/>
      <c r="H65" s="409"/>
      <c r="I65" s="409"/>
      <c r="J65" s="409"/>
      <c r="K65" s="409"/>
      <c r="O65" s="112"/>
      <c r="P65" s="112"/>
      <c r="Q65" s="112"/>
      <c r="R65" s="112"/>
      <c r="S65" s="112"/>
      <c r="T65" s="112"/>
    </row>
    <row r="66" spans="1:20">
      <c r="B66" s="408" t="s">
        <v>444</v>
      </c>
      <c r="C66" s="111"/>
      <c r="D66" s="479" t="e">
        <f>SUM(D27/C27)-1</f>
        <v>#DIV/0!</v>
      </c>
      <c r="E66" s="479" t="e">
        <f>SUM(E27/D27)-1</f>
        <v>#DIV/0!</v>
      </c>
      <c r="F66" s="479" t="e">
        <f>SUM(F27/E27)-1</f>
        <v>#DIV/0!</v>
      </c>
      <c r="G66" s="409"/>
      <c r="H66" s="409"/>
      <c r="I66" s="409"/>
      <c r="J66" s="409"/>
      <c r="K66" s="409"/>
      <c r="M66" s="8" t="s">
        <v>446</v>
      </c>
      <c r="O66" s="112"/>
      <c r="P66" s="112"/>
      <c r="Q66" s="112"/>
      <c r="R66" s="112"/>
      <c r="S66" s="112"/>
      <c r="T66" s="112"/>
    </row>
    <row r="67" spans="1:20" ht="5.0999999999999996" customHeight="1">
      <c r="B67" s="347"/>
      <c r="C67" s="111"/>
      <c r="D67" s="111"/>
      <c r="E67" s="111"/>
      <c r="F67" s="111"/>
      <c r="G67" s="111"/>
      <c r="H67" s="111"/>
      <c r="I67" s="111"/>
      <c r="J67" s="111"/>
      <c r="K67" s="348"/>
      <c r="O67" s="112"/>
      <c r="P67" s="112"/>
      <c r="Q67" s="112"/>
      <c r="R67" s="112"/>
      <c r="S67" s="112"/>
      <c r="T67" s="112"/>
    </row>
    <row r="68" spans="1:20">
      <c r="B68" s="347" t="s">
        <v>125</v>
      </c>
      <c r="C68" s="111" t="e">
        <f>C32/C28</f>
        <v>#REF!</v>
      </c>
      <c r="D68" s="111" t="e">
        <f>D32/D28</f>
        <v>#REF!</v>
      </c>
      <c r="E68" s="111" t="e">
        <f>E32/E28</f>
        <v>#REF!</v>
      </c>
      <c r="F68" s="111" t="e">
        <f>F32/F28</f>
        <v>#REF!</v>
      </c>
      <c r="G68" s="409"/>
      <c r="H68" s="409"/>
      <c r="I68" s="409"/>
      <c r="J68" s="409"/>
      <c r="K68" s="409"/>
      <c r="M68" s="8" t="s">
        <v>565</v>
      </c>
      <c r="O68" s="112"/>
      <c r="P68" s="112"/>
      <c r="Q68" s="112"/>
      <c r="R68" s="112"/>
      <c r="S68" s="112"/>
      <c r="T68" s="112"/>
    </row>
    <row r="69" spans="1:20">
      <c r="B69" s="347" t="s">
        <v>126</v>
      </c>
      <c r="C69" s="111" t="e">
        <f>-C35/C18</f>
        <v>#REF!</v>
      </c>
      <c r="D69" s="111" t="e">
        <f>-D35/D18</f>
        <v>#REF!</v>
      </c>
      <c r="E69" s="111" t="e">
        <f>-E35/E18</f>
        <v>#REF!</v>
      </c>
      <c r="F69" s="111" t="e">
        <f>-F35/F18</f>
        <v>#REF!</v>
      </c>
      <c r="G69" s="409"/>
      <c r="H69" s="409"/>
      <c r="I69" s="409"/>
      <c r="J69" s="409"/>
      <c r="K69" s="409"/>
      <c r="M69" s="8" t="s">
        <v>446</v>
      </c>
      <c r="O69" s="112"/>
      <c r="P69" s="112"/>
      <c r="Q69" s="112"/>
      <c r="R69" s="112"/>
      <c r="S69" s="112"/>
      <c r="T69" s="112"/>
    </row>
    <row r="70" spans="1:20">
      <c r="B70" s="347" t="s">
        <v>127</v>
      </c>
      <c r="C70" s="111" t="e">
        <f>-C36/C18</f>
        <v>#REF!</v>
      </c>
      <c r="D70" s="111" t="e">
        <f>-D36/D18</f>
        <v>#REF!</v>
      </c>
      <c r="E70" s="111" t="e">
        <f>-E36/E18</f>
        <v>#REF!</v>
      </c>
      <c r="F70" s="111" t="e">
        <f>-F36/F18</f>
        <v>#REF!</v>
      </c>
      <c r="G70" s="409"/>
      <c r="H70" s="409"/>
      <c r="I70" s="409"/>
      <c r="J70" s="409"/>
      <c r="K70" s="409"/>
      <c r="M70" s="8" t="s">
        <v>446</v>
      </c>
      <c r="O70" s="112"/>
      <c r="P70" s="112"/>
      <c r="Q70" s="112"/>
      <c r="R70" s="112"/>
      <c r="S70" s="112"/>
      <c r="T70" s="112"/>
    </row>
    <row r="71" spans="1:20">
      <c r="B71" s="347" t="s">
        <v>128</v>
      </c>
      <c r="C71" s="111" t="e">
        <f>-(C46/C44)</f>
        <v>#REF!</v>
      </c>
      <c r="D71" s="111" t="e">
        <f>-(D46/D44)</f>
        <v>#REF!</v>
      </c>
      <c r="E71" s="111" t="e">
        <f>-(E46/E44)</f>
        <v>#REF!</v>
      </c>
      <c r="F71" s="111" t="e">
        <f>-(F46/F44)</f>
        <v>#REF!</v>
      </c>
      <c r="G71" s="481" t="e">
        <f>F71</f>
        <v>#REF!</v>
      </c>
      <c r="H71" s="481" t="e">
        <f>G71</f>
        <v>#REF!</v>
      </c>
      <c r="I71" s="481" t="e">
        <f>H71</f>
        <v>#REF!</v>
      </c>
      <c r="J71" s="481" t="e">
        <f>I71</f>
        <v>#REF!</v>
      </c>
      <c r="K71" s="481" t="e">
        <f>J71</f>
        <v>#REF!</v>
      </c>
      <c r="M71" s="8" t="s">
        <v>462</v>
      </c>
      <c r="O71" s="112"/>
      <c r="P71" s="112"/>
      <c r="Q71" s="112"/>
      <c r="R71" s="112"/>
      <c r="S71" s="112"/>
      <c r="T71" s="112"/>
    </row>
    <row r="72" spans="1:20" ht="5.0999999999999996" customHeight="1">
      <c r="B72" s="65"/>
      <c r="C72" s="65"/>
      <c r="G72" s="109"/>
    </row>
    <row r="73" spans="1:20">
      <c r="B73" s="347" t="s">
        <v>423</v>
      </c>
      <c r="C73" s="111"/>
      <c r="D73" s="111" t="e">
        <f>D50/C50-1</f>
        <v>#DIV/0!</v>
      </c>
      <c r="E73" s="111" t="e">
        <f>E50/D50-1</f>
        <v>#DIV/0!</v>
      </c>
      <c r="F73" s="111" t="e">
        <f>F50/E50-1</f>
        <v>#DIV/0!</v>
      </c>
      <c r="G73" s="409"/>
      <c r="H73" s="409"/>
      <c r="I73" s="409"/>
      <c r="J73" s="409"/>
      <c r="K73" s="409"/>
      <c r="M73" s="8" t="s">
        <v>446</v>
      </c>
    </row>
    <row r="74" spans="1:20">
      <c r="B74" s="347" t="s">
        <v>424</v>
      </c>
      <c r="C74" s="111"/>
      <c r="D74" s="111" t="e">
        <f>D54/C54-1</f>
        <v>#DIV/0!</v>
      </c>
      <c r="E74" s="111" t="e">
        <f>E54/D54-1</f>
        <v>#DIV/0!</v>
      </c>
      <c r="F74" s="111" t="e">
        <f>F54/E54-1</f>
        <v>#DIV/0!</v>
      </c>
      <c r="G74" s="409"/>
      <c r="H74" s="409"/>
      <c r="I74" s="409"/>
      <c r="J74" s="409"/>
      <c r="K74" s="409"/>
      <c r="M74" s="8" t="s">
        <v>446</v>
      </c>
    </row>
    <row r="75" spans="1:20">
      <c r="B75" s="65"/>
      <c r="C75" s="65"/>
      <c r="G75" s="109"/>
    </row>
    <row r="76" spans="1:20">
      <c r="A76" s="341" t="s">
        <v>24</v>
      </c>
      <c r="B76" s="377" t="s">
        <v>406</v>
      </c>
      <c r="C76" s="383" t="s">
        <v>403</v>
      </c>
      <c r="D76" s="383"/>
      <c r="E76" s="383"/>
      <c r="F76" s="383"/>
      <c r="G76" s="383" t="s">
        <v>161</v>
      </c>
      <c r="H76" s="383"/>
      <c r="I76" s="383"/>
      <c r="J76" s="383"/>
      <c r="K76" s="383"/>
    </row>
    <row r="77" spans="1:20">
      <c r="B77" s="378" t="str">
        <f t="shared" ref="B77:K77" si="13">B15</f>
        <v xml:space="preserve">Fiscal year  </v>
      </c>
      <c r="C77" s="379">
        <f t="shared" si="13"/>
        <v>2021</v>
      </c>
      <c r="D77" s="379">
        <f t="shared" si="13"/>
        <v>2022</v>
      </c>
      <c r="E77" s="379">
        <f t="shared" si="13"/>
        <v>2023</v>
      </c>
      <c r="F77" s="379">
        <f t="shared" si="13"/>
        <v>2024</v>
      </c>
      <c r="G77" s="380">
        <f t="shared" si="13"/>
        <v>2025</v>
      </c>
      <c r="H77" s="380">
        <f t="shared" si="13"/>
        <v>2026</v>
      </c>
      <c r="I77" s="380">
        <f t="shared" si="13"/>
        <v>2027</v>
      </c>
      <c r="J77" s="380">
        <f t="shared" si="13"/>
        <v>2028</v>
      </c>
      <c r="K77" s="380">
        <f t="shared" si="13"/>
        <v>2029</v>
      </c>
    </row>
    <row r="78" spans="1:20">
      <c r="B78" s="378" t="str">
        <f t="shared" ref="B78:K78" si="14">B16</f>
        <v>Fiscal year end date</v>
      </c>
      <c r="C78" s="381">
        <f t="shared" si="14"/>
        <v>44561</v>
      </c>
      <c r="D78" s="381">
        <f t="shared" si="14"/>
        <v>44926</v>
      </c>
      <c r="E78" s="381">
        <f t="shared" si="14"/>
        <v>45291</v>
      </c>
      <c r="F78" s="381">
        <f t="shared" si="14"/>
        <v>45657</v>
      </c>
      <c r="G78" s="381">
        <f t="shared" si="14"/>
        <v>46022</v>
      </c>
      <c r="H78" s="381">
        <f t="shared" si="14"/>
        <v>46387</v>
      </c>
      <c r="I78" s="381">
        <f t="shared" si="14"/>
        <v>46752</v>
      </c>
      <c r="J78" s="381">
        <f t="shared" si="14"/>
        <v>47118</v>
      </c>
      <c r="K78" s="381">
        <f t="shared" si="14"/>
        <v>47483</v>
      </c>
    </row>
    <row r="79" spans="1:20" ht="5.0999999999999996" customHeight="1">
      <c r="B79" s="355"/>
      <c r="C79" s="356"/>
      <c r="D79" s="356"/>
      <c r="E79" s="356"/>
      <c r="F79" s="356"/>
      <c r="G79" s="356"/>
      <c r="H79" s="356"/>
      <c r="I79" s="356"/>
      <c r="J79" s="356"/>
      <c r="K79" s="356"/>
    </row>
    <row r="80" spans="1:20" ht="12.75" customHeight="1">
      <c r="B80" s="8" t="s">
        <v>129</v>
      </c>
      <c r="C80" s="363"/>
      <c r="D80" s="363"/>
      <c r="E80" s="363"/>
      <c r="F80" s="363"/>
      <c r="G80" s="362" t="e">
        <f>+F80+G125</f>
        <v>#REF!</v>
      </c>
      <c r="H80" s="362" t="e">
        <f>+G80+H125</f>
        <v>#REF!</v>
      </c>
      <c r="I80" s="362" t="e">
        <f>+H80+I125</f>
        <v>#REF!</v>
      </c>
      <c r="J80" s="362" t="e">
        <f>+I80+J125</f>
        <v>#REF!</v>
      </c>
      <c r="K80" s="362" t="e">
        <f>+J80+K125</f>
        <v>#REF!</v>
      </c>
      <c r="M80" s="8" t="s">
        <v>130</v>
      </c>
    </row>
    <row r="81" spans="2:14" ht="12.75" customHeight="1">
      <c r="B81" s="8" t="s">
        <v>14</v>
      </c>
      <c r="C81" s="363"/>
      <c r="D81" s="363"/>
      <c r="E81" s="363"/>
      <c r="F81" s="363"/>
      <c r="G81" s="362">
        <f>F81*(1+G60)</f>
        <v>0</v>
      </c>
      <c r="H81" s="362">
        <f>G81*(1+H60)</f>
        <v>0</v>
      </c>
      <c r="I81" s="362">
        <f>H81*(1+I60)</f>
        <v>0</v>
      </c>
      <c r="J81" s="362">
        <f>I81*(1+J60)</f>
        <v>0</v>
      </c>
      <c r="K81" s="362">
        <f>J81*(1+K60)</f>
        <v>0</v>
      </c>
      <c r="M81" s="8" t="s">
        <v>131</v>
      </c>
    </row>
    <row r="82" spans="2:14" ht="12.75" customHeight="1">
      <c r="B82" s="8" t="s">
        <v>15</v>
      </c>
      <c r="C82" s="363"/>
      <c r="D82" s="363"/>
      <c r="E82" s="363"/>
      <c r="F82" s="363"/>
      <c r="G82" s="362" t="e">
        <f>F82*G31/F31</f>
        <v>#REF!</v>
      </c>
      <c r="H82" s="362" t="e">
        <f>G82*H31/G31</f>
        <v>#REF!</v>
      </c>
      <c r="I82" s="362" t="e">
        <f>H82*I31/H31</f>
        <v>#REF!</v>
      </c>
      <c r="J82" s="362" t="e">
        <f>I82*J31/I31</f>
        <v>#REF!</v>
      </c>
      <c r="K82" s="362" t="e">
        <f>J82*K31/J31</f>
        <v>#REF!</v>
      </c>
      <c r="M82" s="8" t="s">
        <v>132</v>
      </c>
    </row>
    <row r="83" spans="2:14" ht="12.75" customHeight="1">
      <c r="B83" s="8" t="s">
        <v>20</v>
      </c>
      <c r="C83" s="363"/>
      <c r="D83" s="363"/>
      <c r="E83" s="363"/>
      <c r="F83" s="363"/>
      <c r="G83" s="362">
        <f>F83*(1+G60)</f>
        <v>0</v>
      </c>
      <c r="H83" s="362">
        <f>G83*(1+H60)</f>
        <v>0</v>
      </c>
      <c r="I83" s="362">
        <f>H83*(1+I60)</f>
        <v>0</v>
      </c>
      <c r="J83" s="362">
        <f>I83*(1+J60)</f>
        <v>0</v>
      </c>
      <c r="K83" s="362">
        <f>J83*(1+K60)</f>
        <v>0</v>
      </c>
      <c r="M83" s="8" t="s">
        <v>131</v>
      </c>
      <c r="N83" s="70"/>
    </row>
    <row r="84" spans="2:14" ht="12.75" customHeight="1">
      <c r="B84" s="8" t="s">
        <v>133</v>
      </c>
      <c r="C84" s="363"/>
      <c r="D84" s="363"/>
      <c r="E84" s="363"/>
      <c r="F84" s="363"/>
      <c r="G84" s="362"/>
      <c r="H84" s="362"/>
      <c r="I84" s="362"/>
      <c r="J84" s="362"/>
      <c r="K84" s="362"/>
      <c r="M84" s="8" t="s">
        <v>134</v>
      </c>
    </row>
    <row r="85" spans="2:14" ht="12.75" customHeight="1">
      <c r="B85" s="8" t="s">
        <v>135</v>
      </c>
      <c r="C85" s="363"/>
      <c r="D85" s="363"/>
      <c r="E85" s="363"/>
      <c r="F85" s="363"/>
      <c r="G85" s="362">
        <f>F85*(1+G60)</f>
        <v>0</v>
      </c>
      <c r="H85" s="362">
        <f>G85*(1+H60)</f>
        <v>0</v>
      </c>
      <c r="I85" s="362">
        <f>H85*(1+I60)</f>
        <v>0</v>
      </c>
      <c r="J85" s="362">
        <f>I85*(1+J60)</f>
        <v>0</v>
      </c>
      <c r="K85" s="362">
        <f>J85*(1+K60)</f>
        <v>0</v>
      </c>
      <c r="M85" s="8" t="s">
        <v>131</v>
      </c>
    </row>
    <row r="86" spans="2:14" ht="12.75" customHeight="1">
      <c r="B86" s="357" t="s">
        <v>29</v>
      </c>
      <c r="C86" s="358">
        <f>SUM(C80:C85)</f>
        <v>0</v>
      </c>
      <c r="D86" s="358">
        <f>SUM(D80:D85)</f>
        <v>0</v>
      </c>
      <c r="E86" s="358">
        <f>SUM(E80:E85)</f>
        <v>0</v>
      </c>
      <c r="F86" s="358">
        <f t="shared" ref="F86:K86" si="15">SUM(F80:F85)</f>
        <v>0</v>
      </c>
      <c r="G86" s="359" t="e">
        <f t="shared" si="15"/>
        <v>#REF!</v>
      </c>
      <c r="H86" s="359" t="e">
        <f t="shared" si="15"/>
        <v>#REF!</v>
      </c>
      <c r="I86" s="359" t="e">
        <f t="shared" si="15"/>
        <v>#REF!</v>
      </c>
      <c r="J86" s="359" t="e">
        <f t="shared" si="15"/>
        <v>#REF!</v>
      </c>
      <c r="K86" s="359" t="e">
        <f t="shared" si="15"/>
        <v>#REF!</v>
      </c>
    </row>
    <row r="87" spans="2:14" ht="5.0999999999999996" customHeight="1">
      <c r="B87" s="107"/>
      <c r="C87" s="107"/>
      <c r="D87" s="70"/>
      <c r="E87" s="70"/>
      <c r="F87" s="70"/>
      <c r="G87" s="70"/>
      <c r="H87" s="70"/>
      <c r="I87" s="70"/>
      <c r="J87" s="70"/>
      <c r="K87" s="70"/>
    </row>
    <row r="88" spans="2:14" ht="12.75" customHeight="1">
      <c r="B88" s="107" t="s">
        <v>16</v>
      </c>
      <c r="C88" s="363"/>
      <c r="D88" s="363"/>
      <c r="E88" s="363"/>
      <c r="F88" s="363"/>
      <c r="G88" s="362" t="e">
        <f>F88*G31/F31</f>
        <v>#REF!</v>
      </c>
      <c r="H88" s="362" t="e">
        <f>G88*H31/G31</f>
        <v>#REF!</v>
      </c>
      <c r="I88" s="362" t="e">
        <f>H88*I31/H31</f>
        <v>#REF!</v>
      </c>
      <c r="J88" s="362" t="e">
        <f>I88*J31/I31</f>
        <v>#REF!</v>
      </c>
      <c r="K88" s="362" t="e">
        <f>J88*K31/J31</f>
        <v>#REF!</v>
      </c>
      <c r="M88" s="8" t="s">
        <v>132</v>
      </c>
    </row>
    <row r="89" spans="2:14" ht="12.75" customHeight="1">
      <c r="B89" s="107" t="s">
        <v>136</v>
      </c>
      <c r="C89" s="363"/>
      <c r="D89" s="363"/>
      <c r="E89" s="363"/>
      <c r="F89" s="363"/>
      <c r="G89" s="362">
        <f>F89*(1+G60)</f>
        <v>0</v>
      </c>
      <c r="H89" s="362">
        <f>G89*(1+H60)</f>
        <v>0</v>
      </c>
      <c r="I89" s="362">
        <f>H89*(1+I60)</f>
        <v>0</v>
      </c>
      <c r="J89" s="362">
        <f>I89*(1+J60)</f>
        <v>0</v>
      </c>
      <c r="K89" s="362">
        <f>J89*(1+K60)</f>
        <v>0</v>
      </c>
      <c r="M89" s="8" t="s">
        <v>131</v>
      </c>
    </row>
    <row r="90" spans="2:14" ht="12.75" customHeight="1">
      <c r="B90" s="107" t="s">
        <v>137</v>
      </c>
      <c r="C90" s="363"/>
      <c r="D90" s="363"/>
      <c r="E90" s="363"/>
      <c r="F90" s="363"/>
      <c r="G90" s="362">
        <f>F90*(1+G60)</f>
        <v>0</v>
      </c>
      <c r="H90" s="362">
        <f>G90*(1+H60)</f>
        <v>0</v>
      </c>
      <c r="I90" s="362">
        <f>H90*(1+I60)</f>
        <v>0</v>
      </c>
      <c r="J90" s="362">
        <f>I90*(1+J60)</f>
        <v>0</v>
      </c>
      <c r="K90" s="362">
        <f>J90*(1+K60)</f>
        <v>0</v>
      </c>
      <c r="M90" s="8" t="s">
        <v>131</v>
      </c>
      <c r="N90" s="70"/>
    </row>
    <row r="91" spans="2:14" ht="12.75" customHeight="1">
      <c r="B91" s="107" t="s">
        <v>138</v>
      </c>
      <c r="C91" s="363"/>
      <c r="D91" s="363"/>
      <c r="E91" s="363"/>
      <c r="F91" s="363"/>
      <c r="G91" s="362" t="e">
        <f>G175</f>
        <v>#REF!</v>
      </c>
      <c r="H91" s="362" t="e">
        <f>H175</f>
        <v>#REF!</v>
      </c>
      <c r="I91" s="362" t="e">
        <f>I175</f>
        <v>#REF!</v>
      </c>
      <c r="J91" s="362" t="e">
        <f>J175</f>
        <v>#REF!</v>
      </c>
      <c r="K91" s="362" t="e">
        <f>K175</f>
        <v>#REF!</v>
      </c>
      <c r="M91" s="8" t="s">
        <v>139</v>
      </c>
    </row>
    <row r="92" spans="2:14" ht="12.75" customHeight="1">
      <c r="B92" s="107" t="s">
        <v>140</v>
      </c>
      <c r="C92" s="363"/>
      <c r="D92" s="363"/>
      <c r="E92" s="363"/>
      <c r="F92" s="363"/>
      <c r="G92" s="362">
        <f>F92</f>
        <v>0</v>
      </c>
      <c r="H92" s="362">
        <f>G92</f>
        <v>0</v>
      </c>
      <c r="I92" s="362">
        <f>H92</f>
        <v>0</v>
      </c>
      <c r="J92" s="362">
        <f>I92</f>
        <v>0</v>
      </c>
      <c r="K92" s="362">
        <f>J92</f>
        <v>0</v>
      </c>
      <c r="M92" s="8" t="s">
        <v>445</v>
      </c>
    </row>
    <row r="93" spans="2:14" ht="12.75" customHeight="1">
      <c r="B93" s="107" t="s">
        <v>141</v>
      </c>
      <c r="C93" s="363"/>
      <c r="D93" s="363"/>
      <c r="E93" s="363"/>
      <c r="F93" s="363"/>
      <c r="G93" s="362">
        <f>F93*(1+G60)</f>
        <v>0</v>
      </c>
      <c r="H93" s="362">
        <f>G93*(1+H60)</f>
        <v>0</v>
      </c>
      <c r="I93" s="362">
        <f>H93*(1+I60)</f>
        <v>0</v>
      </c>
      <c r="J93" s="362">
        <f>I93*(1+J60)</f>
        <v>0</v>
      </c>
      <c r="K93" s="362">
        <f>J93*(1+K60)</f>
        <v>0</v>
      </c>
      <c r="M93" s="8" t="s">
        <v>131</v>
      </c>
    </row>
    <row r="94" spans="2:14" ht="12.75" customHeight="1">
      <c r="B94" s="357" t="s">
        <v>142</v>
      </c>
      <c r="C94" s="358">
        <f>SUM(C88:C93)</f>
        <v>0</v>
      </c>
      <c r="D94" s="358">
        <f>SUM(D88:D93)</f>
        <v>0</v>
      </c>
      <c r="E94" s="358">
        <f>SUM(E88:E93)</f>
        <v>0</v>
      </c>
      <c r="F94" s="358">
        <f t="shared" ref="F94:K94" si="16">SUM(F88:F93)</f>
        <v>0</v>
      </c>
      <c r="G94" s="359" t="e">
        <f t="shared" si="16"/>
        <v>#REF!</v>
      </c>
      <c r="H94" s="359" t="e">
        <f t="shared" si="16"/>
        <v>#REF!</v>
      </c>
      <c r="I94" s="359" t="e">
        <f t="shared" si="16"/>
        <v>#REF!</v>
      </c>
      <c r="J94" s="359" t="e">
        <f t="shared" si="16"/>
        <v>#REF!</v>
      </c>
      <c r="K94" s="359" t="e">
        <f t="shared" si="16"/>
        <v>#REF!</v>
      </c>
    </row>
    <row r="95" spans="2:14" ht="5.0999999999999996" customHeight="1">
      <c r="B95" s="108"/>
      <c r="C95" s="108"/>
      <c r="D95" s="106"/>
      <c r="E95" s="106"/>
      <c r="F95" s="106"/>
      <c r="G95" s="70"/>
      <c r="H95" s="70"/>
      <c r="I95" s="70"/>
      <c r="J95" s="70"/>
      <c r="K95" s="70"/>
    </row>
    <row r="96" spans="2:14" ht="12.75" customHeight="1">
      <c r="B96" s="107" t="s">
        <v>26</v>
      </c>
      <c r="C96" s="363"/>
      <c r="D96" s="363"/>
      <c r="E96" s="363"/>
      <c r="F96" s="363"/>
      <c r="G96" s="362">
        <f>F96+G54</f>
        <v>0</v>
      </c>
      <c r="H96" s="362">
        <f>G96+H54</f>
        <v>0</v>
      </c>
      <c r="I96" s="362">
        <f>H96+I54</f>
        <v>0</v>
      </c>
      <c r="J96" s="362">
        <f>I96+J54</f>
        <v>0</v>
      </c>
      <c r="K96" s="362">
        <f>J96+K54</f>
        <v>0</v>
      </c>
      <c r="M96" s="8" t="s">
        <v>143</v>
      </c>
    </row>
    <row r="97" spans="1:14" ht="12.75" customHeight="1">
      <c r="B97" s="107" t="s">
        <v>144</v>
      </c>
      <c r="C97" s="363"/>
      <c r="D97" s="363"/>
      <c r="E97" s="363"/>
      <c r="F97" s="363"/>
      <c r="G97" s="362"/>
      <c r="H97" s="362"/>
      <c r="I97" s="362"/>
      <c r="J97" s="362"/>
      <c r="K97" s="362"/>
      <c r="M97" s="8" t="s">
        <v>145</v>
      </c>
      <c r="N97" s="70"/>
    </row>
    <row r="98" spans="1:14" ht="12.75" customHeight="1">
      <c r="B98" s="107" t="s">
        <v>146</v>
      </c>
      <c r="C98" s="363"/>
      <c r="D98" s="363"/>
      <c r="E98" s="363"/>
      <c r="F98" s="363"/>
      <c r="G98" s="362">
        <f>F98</f>
        <v>0</v>
      </c>
      <c r="H98" s="362">
        <f>G98</f>
        <v>0</v>
      </c>
      <c r="I98" s="362">
        <f>H98</f>
        <v>0</v>
      </c>
      <c r="J98" s="362">
        <f>I98</f>
        <v>0</v>
      </c>
      <c r="K98" s="362">
        <f>J98</f>
        <v>0</v>
      </c>
      <c r="M98" s="8" t="s">
        <v>445</v>
      </c>
    </row>
    <row r="99" spans="1:14" ht="12.75" customHeight="1">
      <c r="B99" s="357" t="s">
        <v>147</v>
      </c>
      <c r="C99" s="358">
        <f t="shared" ref="C99:K99" si="17">SUM(C96:C98)</f>
        <v>0</v>
      </c>
      <c r="D99" s="358">
        <f t="shared" si="17"/>
        <v>0</v>
      </c>
      <c r="E99" s="358">
        <f t="shared" si="17"/>
        <v>0</v>
      </c>
      <c r="F99" s="358">
        <f t="shared" si="17"/>
        <v>0</v>
      </c>
      <c r="G99" s="359">
        <f t="shared" si="17"/>
        <v>0</v>
      </c>
      <c r="H99" s="359">
        <f t="shared" si="17"/>
        <v>0</v>
      </c>
      <c r="I99" s="359">
        <f t="shared" si="17"/>
        <v>0</v>
      </c>
      <c r="J99" s="359">
        <f t="shared" si="17"/>
        <v>0</v>
      </c>
      <c r="K99" s="359">
        <f t="shared" si="17"/>
        <v>0</v>
      </c>
    </row>
    <row r="100" spans="1:14">
      <c r="B100" s="458" t="s">
        <v>148</v>
      </c>
      <c r="C100" s="457">
        <f t="shared" ref="C100:K100" si="18">ROUND(C86-C94-C99,3)</f>
        <v>0</v>
      </c>
      <c r="D100" s="457">
        <f t="shared" si="18"/>
        <v>0</v>
      </c>
      <c r="E100" s="457">
        <f t="shared" si="18"/>
        <v>0</v>
      </c>
      <c r="F100" s="457">
        <f t="shared" si="18"/>
        <v>0</v>
      </c>
      <c r="G100" s="457" t="e">
        <f t="shared" si="18"/>
        <v>#REF!</v>
      </c>
      <c r="H100" s="457" t="e">
        <f t="shared" si="18"/>
        <v>#REF!</v>
      </c>
      <c r="I100" s="457" t="e">
        <f t="shared" si="18"/>
        <v>#REF!</v>
      </c>
      <c r="J100" s="457" t="e">
        <f t="shared" si="18"/>
        <v>#REF!</v>
      </c>
      <c r="K100" s="457" t="e">
        <f t="shared" si="18"/>
        <v>#REF!</v>
      </c>
    </row>
    <row r="101" spans="1:14">
      <c r="E101" s="70"/>
      <c r="F101" s="70"/>
      <c r="H101" s="70"/>
      <c r="I101" s="70"/>
      <c r="J101" s="70"/>
      <c r="K101" s="70"/>
    </row>
    <row r="102" spans="1:14">
      <c r="A102" s="341" t="s">
        <v>24</v>
      </c>
      <c r="B102" s="390" t="s">
        <v>19</v>
      </c>
      <c r="C102" s="394"/>
      <c r="D102" s="394"/>
      <c r="E102" s="394"/>
      <c r="F102" s="394"/>
      <c r="G102" s="391" t="s">
        <v>161</v>
      </c>
      <c r="H102" s="391"/>
      <c r="I102" s="391"/>
      <c r="J102" s="391"/>
      <c r="K102" s="391"/>
    </row>
    <row r="103" spans="1:14">
      <c r="B103" s="392" t="str">
        <f>B15</f>
        <v xml:space="preserve">Fiscal year  </v>
      </c>
      <c r="C103" s="394"/>
      <c r="D103" s="394"/>
      <c r="E103" s="394"/>
      <c r="F103" s="394"/>
      <c r="G103" s="393">
        <f t="shared" ref="G103:K104" si="19">G15</f>
        <v>2025</v>
      </c>
      <c r="H103" s="393">
        <f t="shared" si="19"/>
        <v>2026</v>
      </c>
      <c r="I103" s="393">
        <f t="shared" si="19"/>
        <v>2027</v>
      </c>
      <c r="J103" s="393">
        <f t="shared" si="19"/>
        <v>2028</v>
      </c>
      <c r="K103" s="393">
        <f t="shared" si="19"/>
        <v>2029</v>
      </c>
    </row>
    <row r="104" spans="1:14">
      <c r="B104" s="392" t="str">
        <f>B16</f>
        <v>Fiscal year end date</v>
      </c>
      <c r="C104" s="394"/>
      <c r="D104" s="394"/>
      <c r="E104" s="394"/>
      <c r="F104" s="394"/>
      <c r="G104" s="394">
        <f t="shared" si="19"/>
        <v>46022</v>
      </c>
      <c r="H104" s="394">
        <f t="shared" si="19"/>
        <v>46387</v>
      </c>
      <c r="I104" s="394">
        <f t="shared" si="19"/>
        <v>46752</v>
      </c>
      <c r="J104" s="394">
        <f t="shared" si="19"/>
        <v>47118</v>
      </c>
      <c r="K104" s="394">
        <f t="shared" si="19"/>
        <v>47483</v>
      </c>
    </row>
    <row r="105" spans="1:14" ht="5.0999999999999996" customHeight="1"/>
    <row r="106" spans="1:14" ht="12.75" customHeight="1">
      <c r="B106" s="8" t="s">
        <v>17</v>
      </c>
      <c r="C106" s="361"/>
      <c r="D106" s="361"/>
      <c r="E106" s="361"/>
      <c r="F106" s="361"/>
      <c r="G106" s="361" t="e">
        <f>G47</f>
        <v>#REF!</v>
      </c>
      <c r="H106" s="361" t="e">
        <f>H47</f>
        <v>#REF!</v>
      </c>
      <c r="I106" s="361" t="e">
        <f>I47</f>
        <v>#REF!</v>
      </c>
      <c r="J106" s="361" t="e">
        <f>J47</f>
        <v>#REF!</v>
      </c>
      <c r="K106" s="361" t="e">
        <f>K47</f>
        <v>#REF!</v>
      </c>
      <c r="M106" s="8" t="s">
        <v>149</v>
      </c>
    </row>
    <row r="107" spans="1:14" ht="12.75" customHeight="1">
      <c r="B107" s="8" t="s">
        <v>73</v>
      </c>
      <c r="C107" s="361"/>
      <c r="D107" s="361"/>
      <c r="E107" s="361"/>
      <c r="F107" s="361"/>
      <c r="G107" s="361">
        <f>G50</f>
        <v>0</v>
      </c>
      <c r="H107" s="361">
        <f>H50</f>
        <v>0</v>
      </c>
      <c r="I107" s="361">
        <f>I50</f>
        <v>0</v>
      </c>
      <c r="J107" s="361">
        <f>J50</f>
        <v>0</v>
      </c>
      <c r="K107" s="361">
        <f>K50</f>
        <v>0</v>
      </c>
      <c r="M107" s="8" t="s">
        <v>149</v>
      </c>
    </row>
    <row r="108" spans="1:14" ht="12.75" customHeight="1">
      <c r="B108" s="8" t="s">
        <v>121</v>
      </c>
      <c r="C108" s="361"/>
      <c r="D108" s="361"/>
      <c r="E108" s="361"/>
      <c r="F108" s="361"/>
      <c r="G108" s="361">
        <f>G54</f>
        <v>0</v>
      </c>
      <c r="H108" s="361">
        <f>H54</f>
        <v>0</v>
      </c>
      <c r="I108" s="361">
        <f>I54</f>
        <v>0</v>
      </c>
      <c r="J108" s="361">
        <f>J54</f>
        <v>0</v>
      </c>
      <c r="K108" s="361">
        <f>K54</f>
        <v>0</v>
      </c>
    </row>
    <row r="109" spans="1:14" ht="12.75" customHeight="1">
      <c r="B109" s="8" t="s">
        <v>150</v>
      </c>
      <c r="C109" s="361"/>
      <c r="D109" s="361"/>
      <c r="E109" s="361"/>
      <c r="F109" s="361"/>
      <c r="G109" s="361" t="e">
        <f>SUM(F81:F83)-SUM(G81:G83)</f>
        <v>#REF!</v>
      </c>
      <c r="H109" s="361" t="e">
        <f>SUM(G81:G83)-SUM(H81:H83)</f>
        <v>#REF!</v>
      </c>
      <c r="I109" s="361" t="e">
        <f>SUM(H81:H83)-SUM(I81:I83)</f>
        <v>#REF!</v>
      </c>
      <c r="J109" s="361" t="e">
        <f>SUM(I81:I83)-SUM(J81:J83)</f>
        <v>#REF!</v>
      </c>
      <c r="K109" s="361" t="e">
        <f>SUM(J81:J83)-SUM(K81:K83)</f>
        <v>#REF!</v>
      </c>
    </row>
    <row r="110" spans="1:14" ht="12.75" customHeight="1">
      <c r="B110" s="8" t="s">
        <v>151</v>
      </c>
      <c r="C110" s="361"/>
      <c r="D110" s="361"/>
      <c r="E110" s="361"/>
      <c r="F110" s="361"/>
      <c r="G110" s="361" t="e">
        <f>SUM(G88:G90)-SUM(F88:F90)</f>
        <v>#REF!</v>
      </c>
      <c r="H110" s="361" t="e">
        <f>SUM(H88:H90)-SUM(G88:G90)</f>
        <v>#REF!</v>
      </c>
      <c r="I110" s="361" t="e">
        <f>SUM(I88:I90)-SUM(H88:H90)</f>
        <v>#REF!</v>
      </c>
      <c r="J110" s="361" t="e">
        <f>SUM(J88:J90)-SUM(I88:I90)</f>
        <v>#REF!</v>
      </c>
      <c r="K110" s="361" t="e">
        <f>SUM(K88:K90)-SUM(J88:J90)</f>
        <v>#REF!</v>
      </c>
    </row>
    <row r="111" spans="1:14" ht="12.75" customHeight="1">
      <c r="B111" s="8" t="s">
        <v>135</v>
      </c>
      <c r="C111" s="361"/>
      <c r="D111" s="361"/>
      <c r="E111" s="361"/>
      <c r="F111" s="361"/>
      <c r="G111" s="361" t="e">
        <f>-G151</f>
        <v>#REF!</v>
      </c>
      <c r="H111" s="361" t="e">
        <f>-H151</f>
        <v>#REF!</v>
      </c>
      <c r="I111" s="361" t="e">
        <f>-I151</f>
        <v>#REF!</v>
      </c>
      <c r="J111" s="361" t="e">
        <f>-J151</f>
        <v>#REF!</v>
      </c>
      <c r="K111" s="361" t="e">
        <f>-K151</f>
        <v>#REF!</v>
      </c>
      <c r="M111" s="8" t="s">
        <v>152</v>
      </c>
    </row>
    <row r="112" spans="1:14" ht="12.75" customHeight="1">
      <c r="B112" s="8" t="s">
        <v>141</v>
      </c>
      <c r="C112" s="361"/>
      <c r="D112" s="361"/>
      <c r="E112" s="361"/>
      <c r="F112" s="361"/>
      <c r="G112" s="361">
        <f>G93-F93</f>
        <v>0</v>
      </c>
      <c r="H112" s="361">
        <f>H93-G93</f>
        <v>0</v>
      </c>
      <c r="I112" s="361">
        <f>I93-H93</f>
        <v>0</v>
      </c>
      <c r="J112" s="361">
        <f>J93-I93</f>
        <v>0</v>
      </c>
      <c r="K112" s="361">
        <f>K93-J93</f>
        <v>0</v>
      </c>
      <c r="M112" s="38"/>
    </row>
    <row r="113" spans="1:13" ht="12.75" customHeight="1">
      <c r="B113" s="179" t="s">
        <v>407</v>
      </c>
      <c r="C113" s="182"/>
      <c r="D113" s="182"/>
      <c r="E113" s="182"/>
      <c r="F113" s="182"/>
      <c r="G113" s="182" t="e">
        <f>SUM(G106:G112)</f>
        <v>#REF!</v>
      </c>
      <c r="H113" s="182" t="e">
        <f>SUM(H106:H112)</f>
        <v>#REF!</v>
      </c>
      <c r="I113" s="182" t="e">
        <f>SUM(I106:I112)</f>
        <v>#REF!</v>
      </c>
      <c r="J113" s="182" t="e">
        <f>SUM(J106:J112)</f>
        <v>#REF!</v>
      </c>
      <c r="K113" s="182" t="e">
        <f>SUM(K106:K112)</f>
        <v>#REF!</v>
      </c>
    </row>
    <row r="114" spans="1:13" ht="12.75" customHeight="1">
      <c r="G114" s="70"/>
      <c r="H114" s="70"/>
      <c r="I114" s="70"/>
      <c r="J114" s="70"/>
      <c r="K114" s="70"/>
    </row>
    <row r="115" spans="1:13" ht="12.75" customHeight="1">
      <c r="B115" s="8" t="s">
        <v>247</v>
      </c>
      <c r="C115" s="362"/>
      <c r="D115" s="362"/>
      <c r="E115" s="362"/>
      <c r="F115" s="362"/>
      <c r="G115" s="362">
        <f>-(G136)</f>
        <v>0</v>
      </c>
      <c r="H115" s="362">
        <f>-(H136)</f>
        <v>0</v>
      </c>
      <c r="I115" s="362">
        <f>-(I136)</f>
        <v>0</v>
      </c>
      <c r="J115" s="362">
        <f>-(J136)</f>
        <v>0</v>
      </c>
      <c r="K115" s="362">
        <f>-(K136)</f>
        <v>0</v>
      </c>
      <c r="M115" s="8" t="s">
        <v>134</v>
      </c>
    </row>
    <row r="116" spans="1:13" ht="12.75" customHeight="1">
      <c r="B116" s="179" t="s">
        <v>408</v>
      </c>
      <c r="C116" s="182"/>
      <c r="D116" s="182"/>
      <c r="E116" s="182"/>
      <c r="F116" s="182"/>
      <c r="G116" s="182">
        <f>IFERROR(G115,"NA")</f>
        <v>0</v>
      </c>
      <c r="H116" s="182">
        <f>IFERROR(H115,"NA")</f>
        <v>0</v>
      </c>
      <c r="I116" s="182">
        <f>IFERROR(I115,"NA")</f>
        <v>0</v>
      </c>
      <c r="J116" s="182">
        <f>IFERROR(J115,"NA")</f>
        <v>0</v>
      </c>
      <c r="K116" s="182">
        <f>IFERROR(K115,"NA")</f>
        <v>0</v>
      </c>
    </row>
    <row r="117" spans="1:13" ht="12.75" customHeight="1">
      <c r="G117" s="70"/>
      <c r="H117" s="70"/>
      <c r="I117" s="70"/>
      <c r="J117" s="70"/>
      <c r="K117" s="70"/>
    </row>
    <row r="118" spans="1:13" ht="12.75" customHeight="1">
      <c r="B118" s="8" t="s">
        <v>154</v>
      </c>
      <c r="C118" s="362"/>
      <c r="D118" s="362"/>
      <c r="E118" s="362"/>
      <c r="F118" s="362"/>
      <c r="G118" s="362">
        <f>G92-F92</f>
        <v>0</v>
      </c>
      <c r="H118" s="362">
        <f>H92-G92</f>
        <v>0</v>
      </c>
      <c r="I118" s="362">
        <f>I92-H92</f>
        <v>0</v>
      </c>
      <c r="J118" s="362">
        <f>J92-I92</f>
        <v>0</v>
      </c>
      <c r="K118" s="362">
        <f>K92-J92</f>
        <v>0</v>
      </c>
    </row>
    <row r="119" spans="1:13" ht="12.75" customHeight="1">
      <c r="B119" s="8" t="s">
        <v>155</v>
      </c>
      <c r="C119" s="362"/>
      <c r="D119" s="362"/>
      <c r="E119" s="362"/>
      <c r="F119" s="362"/>
      <c r="G119" s="362" t="e">
        <f>G91-F91</f>
        <v>#REF!</v>
      </c>
      <c r="H119" s="362" t="e">
        <f>H91-G91</f>
        <v>#REF!</v>
      </c>
      <c r="I119" s="362" t="e">
        <f>I91-H91</f>
        <v>#REF!</v>
      </c>
      <c r="J119" s="362" t="e">
        <f>J91-I91</f>
        <v>#REF!</v>
      </c>
      <c r="K119" s="362" t="e">
        <f>K91-J91</f>
        <v>#REF!</v>
      </c>
      <c r="M119" s="8" t="s">
        <v>156</v>
      </c>
    </row>
    <row r="120" spans="1:13" ht="12.75" customHeight="1">
      <c r="B120" s="8" t="s">
        <v>157</v>
      </c>
      <c r="C120" s="362"/>
      <c r="D120" s="362"/>
      <c r="E120" s="362"/>
      <c r="F120" s="362"/>
      <c r="G120" s="362">
        <f>G158</f>
        <v>0</v>
      </c>
      <c r="H120" s="362">
        <f>H158</f>
        <v>0</v>
      </c>
      <c r="I120" s="362">
        <f>I158</f>
        <v>0</v>
      </c>
      <c r="J120" s="362">
        <f>J158</f>
        <v>0</v>
      </c>
      <c r="K120" s="362">
        <f>K158</f>
        <v>0</v>
      </c>
      <c r="M120" s="8" t="s">
        <v>145</v>
      </c>
    </row>
    <row r="121" spans="1:13" ht="12.75" customHeight="1">
      <c r="B121" s="8" t="s">
        <v>158</v>
      </c>
      <c r="C121" s="362"/>
      <c r="D121" s="362"/>
      <c r="E121" s="362"/>
      <c r="F121" s="362"/>
      <c r="G121" s="362" t="e">
        <f>G157</f>
        <v>#REF!</v>
      </c>
      <c r="H121" s="362" t="e">
        <f t="shared" ref="H121:K122" si="20">H157</f>
        <v>#REF!</v>
      </c>
      <c r="I121" s="362" t="e">
        <f t="shared" si="20"/>
        <v>#REF!</v>
      </c>
      <c r="J121" s="362" t="e">
        <f t="shared" si="20"/>
        <v>#REF!</v>
      </c>
      <c r="K121" s="362" t="e">
        <f t="shared" si="20"/>
        <v>#REF!</v>
      </c>
      <c r="M121" s="8" t="s">
        <v>145</v>
      </c>
    </row>
    <row r="122" spans="1:13" ht="12.75" customHeight="1">
      <c r="B122" s="8" t="s">
        <v>158</v>
      </c>
      <c r="C122" s="362"/>
      <c r="D122" s="362"/>
      <c r="E122" s="362"/>
      <c r="F122" s="362"/>
      <c r="G122" s="362">
        <f>G158</f>
        <v>0</v>
      </c>
      <c r="H122" s="362">
        <f t="shared" si="20"/>
        <v>0</v>
      </c>
      <c r="I122" s="362">
        <f t="shared" si="20"/>
        <v>0</v>
      </c>
      <c r="J122" s="362">
        <f t="shared" si="20"/>
        <v>0</v>
      </c>
      <c r="K122" s="362">
        <f t="shared" si="20"/>
        <v>0</v>
      </c>
      <c r="M122" s="8" t="s">
        <v>145</v>
      </c>
    </row>
    <row r="123" spans="1:13" ht="12.75" customHeight="1">
      <c r="B123" s="179" t="s">
        <v>409</v>
      </c>
      <c r="C123" s="182"/>
      <c r="D123" s="182"/>
      <c r="E123" s="182"/>
      <c r="F123" s="182"/>
      <c r="G123" s="182" t="e">
        <f>SUM(G118:G121)</f>
        <v>#REF!</v>
      </c>
      <c r="H123" s="182" t="e">
        <f>SUM(H118:H121)</f>
        <v>#REF!</v>
      </c>
      <c r="I123" s="182" t="e">
        <f>SUM(I118:I121)</f>
        <v>#REF!</v>
      </c>
      <c r="J123" s="182" t="e">
        <f>SUM(J118:J121)</f>
        <v>#REF!</v>
      </c>
      <c r="K123" s="182" t="e">
        <f>SUM(K118:K121)</f>
        <v>#REF!</v>
      </c>
    </row>
    <row r="124" spans="1:13" ht="5.0999999999999996" customHeight="1">
      <c r="G124" s="70"/>
      <c r="H124" s="70"/>
      <c r="I124" s="70"/>
      <c r="J124" s="70"/>
      <c r="K124" s="70"/>
    </row>
    <row r="125" spans="1:13" ht="12.75" customHeight="1">
      <c r="B125" s="38" t="s">
        <v>159</v>
      </c>
      <c r="C125" s="48"/>
      <c r="D125" s="48"/>
      <c r="E125" s="48"/>
      <c r="F125" s="48"/>
      <c r="G125" s="48" t="e">
        <f>G113+G116+G123</f>
        <v>#REF!</v>
      </c>
      <c r="H125" s="48" t="e">
        <f>H113+H116+H123</f>
        <v>#REF!</v>
      </c>
      <c r="I125" s="48" t="e">
        <f>I113+I116+I123</f>
        <v>#REF!</v>
      </c>
      <c r="J125" s="48" t="e">
        <f>J113+J116+J123</f>
        <v>#REF!</v>
      </c>
      <c r="K125" s="48" t="e">
        <f>K113+K116+K123</f>
        <v>#REF!</v>
      </c>
    </row>
    <row r="127" spans="1:13">
      <c r="A127" s="8" t="s">
        <v>24</v>
      </c>
      <c r="B127" s="366" t="s">
        <v>410</v>
      </c>
      <c r="C127" s="367" t="s">
        <v>403</v>
      </c>
      <c r="D127" s="367"/>
      <c r="E127" s="367"/>
      <c r="F127" s="367"/>
      <c r="G127" s="367" t="s">
        <v>161</v>
      </c>
      <c r="H127" s="367"/>
      <c r="I127" s="367"/>
      <c r="J127" s="367"/>
      <c r="K127" s="367"/>
    </row>
    <row r="128" spans="1:13">
      <c r="B128" s="368" t="s">
        <v>104</v>
      </c>
      <c r="C128" s="395">
        <v>2021</v>
      </c>
      <c r="D128" s="395">
        <v>2022</v>
      </c>
      <c r="E128" s="395">
        <v>2023</v>
      </c>
      <c r="F128" s="395">
        <v>2024</v>
      </c>
      <c r="G128" s="396">
        <v>2025</v>
      </c>
      <c r="H128" s="396">
        <v>2026</v>
      </c>
      <c r="I128" s="396">
        <v>2027</v>
      </c>
      <c r="J128" s="396">
        <v>2028</v>
      </c>
      <c r="K128" s="396">
        <v>2029</v>
      </c>
    </row>
    <row r="129" spans="1:17">
      <c r="B129" s="368" t="s">
        <v>105</v>
      </c>
      <c r="C129" s="369">
        <v>44469</v>
      </c>
      <c r="D129" s="369">
        <v>44834</v>
      </c>
      <c r="E129" s="369">
        <v>45199</v>
      </c>
      <c r="F129" s="369">
        <v>45559</v>
      </c>
      <c r="G129" s="369">
        <v>45930</v>
      </c>
      <c r="H129" s="369">
        <v>46295</v>
      </c>
      <c r="I129" s="369">
        <v>46660</v>
      </c>
      <c r="J129" s="369">
        <v>47026</v>
      </c>
      <c r="K129" s="369">
        <v>47391</v>
      </c>
    </row>
    <row r="131" spans="1:17">
      <c r="A131" s="341" t="s">
        <v>24</v>
      </c>
      <c r="B131" s="97" t="s">
        <v>160</v>
      </c>
      <c r="C131" s="97"/>
      <c r="D131" s="98"/>
      <c r="E131" s="98"/>
      <c r="F131" s="98"/>
      <c r="G131" s="98"/>
      <c r="H131" s="98"/>
      <c r="I131" s="98"/>
      <c r="J131" s="98"/>
      <c r="K131" s="98"/>
    </row>
    <row r="132" spans="1:17" hidden="1">
      <c r="B132" s="113" t="str">
        <f>B15</f>
        <v xml:space="preserve">Fiscal year  </v>
      </c>
      <c r="C132" s="113"/>
      <c r="D132" s="114">
        <f t="shared" ref="D132:K133" si="21">D15</f>
        <v>2022</v>
      </c>
      <c r="E132" s="114">
        <f t="shared" si="21"/>
        <v>2023</v>
      </c>
      <c r="F132" s="114">
        <f t="shared" si="21"/>
        <v>2024</v>
      </c>
      <c r="G132" s="115">
        <f t="shared" si="21"/>
        <v>2025</v>
      </c>
      <c r="H132" s="115">
        <f t="shared" si="21"/>
        <v>2026</v>
      </c>
      <c r="I132" s="115">
        <f t="shared" si="21"/>
        <v>2027</v>
      </c>
      <c r="J132" s="115">
        <f t="shared" si="21"/>
        <v>2028</v>
      </c>
      <c r="K132" s="115">
        <f t="shared" si="21"/>
        <v>2029</v>
      </c>
    </row>
    <row r="133" spans="1:17" hidden="1">
      <c r="B133" s="98" t="str">
        <f>B16</f>
        <v>Fiscal year end date</v>
      </c>
      <c r="C133" s="98"/>
      <c r="D133" s="116">
        <f t="shared" si="21"/>
        <v>44926</v>
      </c>
      <c r="E133" s="116">
        <f t="shared" si="21"/>
        <v>45291</v>
      </c>
      <c r="F133" s="116">
        <f t="shared" si="21"/>
        <v>45657</v>
      </c>
      <c r="G133" s="116">
        <f t="shared" si="21"/>
        <v>46022</v>
      </c>
      <c r="H133" s="116">
        <f t="shared" si="21"/>
        <v>46387</v>
      </c>
      <c r="I133" s="116">
        <f t="shared" si="21"/>
        <v>46752</v>
      </c>
      <c r="J133" s="116">
        <f t="shared" si="21"/>
        <v>47118</v>
      </c>
      <c r="K133" s="116">
        <f t="shared" si="21"/>
        <v>47483</v>
      </c>
    </row>
    <row r="134" spans="1:17" hidden="1">
      <c r="B134" s="38"/>
      <c r="C134" s="38"/>
      <c r="G134" s="118" t="s">
        <v>161</v>
      </c>
      <c r="H134" s="118"/>
      <c r="I134" s="118"/>
      <c r="J134" s="118"/>
      <c r="K134" s="118"/>
    </row>
    <row r="135" spans="1:17">
      <c r="B135" s="107" t="s">
        <v>162</v>
      </c>
      <c r="C135" s="107"/>
      <c r="D135" s="70">
        <f t="shared" ref="D135:K135" si="22">C138</f>
        <v>0</v>
      </c>
      <c r="E135" s="70">
        <f t="shared" si="22"/>
        <v>0</v>
      </c>
      <c r="F135" s="70">
        <f t="shared" si="22"/>
        <v>0</v>
      </c>
      <c r="G135" s="183">
        <f t="shared" si="22"/>
        <v>0</v>
      </c>
      <c r="H135" s="183" t="e">
        <f t="shared" si="22"/>
        <v>#DIV/0!</v>
      </c>
      <c r="I135" s="183" t="e">
        <f t="shared" si="22"/>
        <v>#DIV/0!</v>
      </c>
      <c r="J135" s="183" t="e">
        <f t="shared" si="22"/>
        <v>#DIV/0!</v>
      </c>
      <c r="K135" s="183" t="e">
        <f t="shared" si="22"/>
        <v>#DIV/0!</v>
      </c>
      <c r="M135" s="8" t="s">
        <v>163</v>
      </c>
    </row>
    <row r="136" spans="1:17">
      <c r="B136" s="119" t="s">
        <v>164</v>
      </c>
      <c r="C136" s="165"/>
      <c r="D136" s="165"/>
      <c r="E136" s="165"/>
      <c r="F136" s="165"/>
      <c r="G136" s="415"/>
      <c r="H136" s="415"/>
      <c r="I136" s="415"/>
      <c r="J136" s="415"/>
      <c r="K136" s="415"/>
      <c r="M136" s="8" t="s">
        <v>165</v>
      </c>
    </row>
    <row r="137" spans="1:17">
      <c r="B137" s="120" t="s">
        <v>166</v>
      </c>
      <c r="C137" s="121"/>
      <c r="D137" s="121"/>
      <c r="E137" s="121"/>
      <c r="F137" s="121"/>
      <c r="G137" s="192" t="e">
        <f>-(G140*G136)</f>
        <v>#DIV/0!</v>
      </c>
      <c r="H137" s="192" t="e">
        <f>-(H140*H136)</f>
        <v>#DIV/0!</v>
      </c>
      <c r="I137" s="192" t="e">
        <f>-(I140*I136)</f>
        <v>#DIV/0!</v>
      </c>
      <c r="J137" s="192" t="e">
        <f>-(J140*J136)</f>
        <v>#DIV/0!</v>
      </c>
      <c r="K137" s="192" t="e">
        <f>-(K140*K136)</f>
        <v>#DIV/0!</v>
      </c>
      <c r="M137" s="8" t="s">
        <v>167</v>
      </c>
    </row>
    <row r="138" spans="1:17">
      <c r="B138" s="123" t="s">
        <v>168</v>
      </c>
      <c r="C138" s="48">
        <f>C84</f>
        <v>0</v>
      </c>
      <c r="D138" s="48">
        <f>D84</f>
        <v>0</v>
      </c>
      <c r="E138" s="48">
        <f>E84</f>
        <v>0</v>
      </c>
      <c r="F138" s="48">
        <f>F84</f>
        <v>0</v>
      </c>
      <c r="G138" s="48" t="e">
        <f>SUM(G135:G137)</f>
        <v>#DIV/0!</v>
      </c>
      <c r="H138" s="48" t="e">
        <f>SUM(H135:H137)</f>
        <v>#DIV/0!</v>
      </c>
      <c r="I138" s="48" t="e">
        <f>SUM(I135:I137)</f>
        <v>#DIV/0!</v>
      </c>
      <c r="J138" s="48" t="e">
        <f>SUM(J135:J137)</f>
        <v>#DIV/0!</v>
      </c>
      <c r="K138" s="48" t="e">
        <f>SUM(K135:K137)</f>
        <v>#DIV/0!</v>
      </c>
      <c r="M138" s="8" t="s">
        <v>169</v>
      </c>
    </row>
    <row r="139" spans="1:17" ht="5.0999999999999996" customHeight="1">
      <c r="B139" s="107"/>
      <c r="C139" s="107"/>
      <c r="M139" s="110"/>
    </row>
    <row r="140" spans="1:17">
      <c r="B140" s="107" t="s">
        <v>170</v>
      </c>
      <c r="C140" s="124" t="e">
        <f>-(C137/C136)</f>
        <v>#DIV/0!</v>
      </c>
      <c r="D140" s="124" t="e">
        <f>-(D137/D136)</f>
        <v>#DIV/0!</v>
      </c>
      <c r="E140" s="124" t="e">
        <f>-(E137/E136)</f>
        <v>#DIV/0!</v>
      </c>
      <c r="F140" s="124" t="e">
        <f>-(F137/F136)</f>
        <v>#DIV/0!</v>
      </c>
      <c r="G140" s="189" t="e">
        <f>AVERAGE(D140:F140)</f>
        <v>#DIV/0!</v>
      </c>
      <c r="H140" s="189" t="e">
        <f>G140+$C$141</f>
        <v>#DIV/0!</v>
      </c>
      <c r="I140" s="189" t="e">
        <f>H140+$C$141</f>
        <v>#DIV/0!</v>
      </c>
      <c r="J140" s="189" t="e">
        <f>I140+$C$141</f>
        <v>#DIV/0!</v>
      </c>
      <c r="K140" s="189" t="e">
        <f>J140+$C$141</f>
        <v>#DIV/0!</v>
      </c>
      <c r="M140" s="125"/>
      <c r="N140" s="110"/>
      <c r="O140" s="126"/>
      <c r="P140" s="126"/>
      <c r="Q140" s="126"/>
    </row>
    <row r="141" spans="1:17">
      <c r="B141" s="410" t="s">
        <v>428</v>
      </c>
      <c r="C141" s="456">
        <v>0.02</v>
      </c>
      <c r="D141" s="124"/>
      <c r="E141" s="124"/>
      <c r="F141" s="124"/>
      <c r="G141" s="111"/>
      <c r="H141" s="111"/>
      <c r="I141" s="111"/>
      <c r="J141" s="111"/>
      <c r="K141" s="111"/>
      <c r="M141" s="125"/>
      <c r="N141" s="110"/>
      <c r="O141" s="126"/>
      <c r="P141" s="126"/>
      <c r="Q141" s="126"/>
    </row>
    <row r="142" spans="1:17">
      <c r="B142" s="107"/>
      <c r="C142" s="107"/>
      <c r="D142" s="124"/>
      <c r="E142" s="124"/>
      <c r="F142" s="124"/>
      <c r="G142" s="111"/>
      <c r="H142" s="111"/>
      <c r="I142" s="111"/>
      <c r="J142" s="111"/>
      <c r="K142" s="111"/>
      <c r="O142" s="126"/>
      <c r="P142" s="126"/>
      <c r="Q142" s="126"/>
    </row>
    <row r="143" spans="1:17">
      <c r="A143" s="341" t="s">
        <v>24</v>
      </c>
      <c r="B143" s="127" t="s">
        <v>415</v>
      </c>
      <c r="C143" s="127"/>
      <c r="D143" s="128"/>
      <c r="E143" s="128"/>
      <c r="F143" s="128"/>
      <c r="G143" s="129"/>
      <c r="H143" s="129"/>
      <c r="I143" s="129"/>
      <c r="J143" s="129"/>
      <c r="K143" s="129"/>
      <c r="O143" s="126"/>
      <c r="P143" s="126"/>
      <c r="Q143" s="126"/>
    </row>
    <row r="144" spans="1:17">
      <c r="B144" s="107" t="s">
        <v>244</v>
      </c>
      <c r="C144" s="70">
        <f>C146+C137</f>
        <v>0</v>
      </c>
      <c r="D144" s="70">
        <f>D146+D137</f>
        <v>0</v>
      </c>
      <c r="E144" s="70">
        <f>E146+E137</f>
        <v>0</v>
      </c>
      <c r="F144" s="70">
        <f>F146+F137</f>
        <v>0</v>
      </c>
      <c r="G144" s="188" t="e">
        <f>G145*G18</f>
        <v>#REF!</v>
      </c>
      <c r="H144" s="188" t="e">
        <f>H145*H18</f>
        <v>#REF!</v>
      </c>
      <c r="I144" s="188" t="e">
        <f>I145*I18</f>
        <v>#REF!</v>
      </c>
      <c r="J144" s="188" t="e">
        <f>J145*J18</f>
        <v>#REF!</v>
      </c>
      <c r="K144" s="188" t="e">
        <f>K145*K18</f>
        <v>#REF!</v>
      </c>
      <c r="M144" s="8" t="s">
        <v>171</v>
      </c>
      <c r="O144" s="126"/>
      <c r="P144" s="126"/>
      <c r="Q144" s="126"/>
    </row>
    <row r="145" spans="1:13">
      <c r="B145" s="65" t="s">
        <v>172</v>
      </c>
      <c r="C145" s="130" t="e">
        <f>C144/C18</f>
        <v>#REF!</v>
      </c>
      <c r="D145" s="130" t="e">
        <f>D144/D18</f>
        <v>#REF!</v>
      </c>
      <c r="E145" s="130" t="e">
        <f>E144/E18</f>
        <v>#REF!</v>
      </c>
      <c r="F145" s="130" t="e">
        <f>F144/F18</f>
        <v>#REF!</v>
      </c>
      <c r="G145" s="189" t="e">
        <f>F145</f>
        <v>#REF!</v>
      </c>
      <c r="H145" s="189" t="e">
        <f>G145</f>
        <v>#REF!</v>
      </c>
      <c r="I145" s="189" t="e">
        <f>H145</f>
        <v>#REF!</v>
      </c>
      <c r="J145" s="189" t="e">
        <f>I145</f>
        <v>#REF!</v>
      </c>
      <c r="K145" s="189" t="e">
        <f>J145</f>
        <v>#REF!</v>
      </c>
      <c r="M145" s="8" t="s">
        <v>449</v>
      </c>
    </row>
    <row r="146" spans="1:13">
      <c r="B146" s="108" t="s">
        <v>173</v>
      </c>
      <c r="C146" s="48">
        <f>C50</f>
        <v>0</v>
      </c>
      <c r="D146" s="48">
        <f>D50</f>
        <v>0</v>
      </c>
      <c r="E146" s="48">
        <f>E50</f>
        <v>0</v>
      </c>
      <c r="F146" s="48">
        <f>F50</f>
        <v>0</v>
      </c>
      <c r="G146" s="190" t="e">
        <f>-G137+G144</f>
        <v>#DIV/0!</v>
      </c>
      <c r="H146" s="190" t="e">
        <f>-H137+H144</f>
        <v>#DIV/0!</v>
      </c>
      <c r="I146" s="190" t="e">
        <f>-I137+I144</f>
        <v>#DIV/0!</v>
      </c>
      <c r="J146" s="190" t="e">
        <f>-J137+J144</f>
        <v>#DIV/0!</v>
      </c>
      <c r="K146" s="190" t="e">
        <f>-K137+K144</f>
        <v>#DIV/0!</v>
      </c>
      <c r="M146" s="8" t="s">
        <v>174</v>
      </c>
    </row>
    <row r="147" spans="1:13">
      <c r="B147" s="107"/>
      <c r="C147" s="107"/>
      <c r="D147" s="70"/>
      <c r="E147" s="70"/>
      <c r="F147" s="70"/>
      <c r="H147" s="70"/>
      <c r="I147" s="70"/>
      <c r="J147" s="70"/>
      <c r="K147" s="70"/>
    </row>
    <row r="148" spans="1:13">
      <c r="A148" s="341" t="s">
        <v>24</v>
      </c>
      <c r="B148" s="131" t="s">
        <v>175</v>
      </c>
      <c r="C148" s="131"/>
      <c r="D148" s="98"/>
      <c r="E148" s="98"/>
      <c r="F148" s="98"/>
      <c r="H148" s="70"/>
      <c r="I148" s="70"/>
      <c r="J148" s="70"/>
      <c r="K148" s="70"/>
    </row>
    <row r="149" spans="1:13">
      <c r="B149" s="107" t="s">
        <v>162</v>
      </c>
      <c r="C149" s="107"/>
      <c r="D149" s="132"/>
      <c r="E149" s="132"/>
      <c r="F149" s="132"/>
      <c r="G149" s="186">
        <f>F152</f>
        <v>0</v>
      </c>
      <c r="H149" s="186">
        <f>G152</f>
        <v>0</v>
      </c>
      <c r="I149" s="186">
        <f>H152</f>
        <v>0</v>
      </c>
      <c r="J149" s="186">
        <f>I152</f>
        <v>0</v>
      </c>
      <c r="K149" s="186">
        <f>J152</f>
        <v>0</v>
      </c>
      <c r="M149" s="8" t="s">
        <v>163</v>
      </c>
    </row>
    <row r="150" spans="1:13">
      <c r="B150" s="65" t="s">
        <v>176</v>
      </c>
      <c r="C150" s="65"/>
      <c r="D150" s="70"/>
      <c r="E150" s="70"/>
      <c r="F150" s="70"/>
      <c r="G150" s="183" t="e">
        <f>-(G144)</f>
        <v>#REF!</v>
      </c>
      <c r="H150" s="183" t="e">
        <f>-(H144)</f>
        <v>#REF!</v>
      </c>
      <c r="I150" s="183" t="e">
        <f>-(I144)</f>
        <v>#REF!</v>
      </c>
      <c r="J150" s="183" t="e">
        <f>-(J144)</f>
        <v>#REF!</v>
      </c>
      <c r="K150" s="183" t="e">
        <f>-(K144)</f>
        <v>#REF!</v>
      </c>
      <c r="M150" s="8" t="s">
        <v>177</v>
      </c>
    </row>
    <row r="151" spans="1:13">
      <c r="B151" s="133" t="s">
        <v>178</v>
      </c>
      <c r="C151" s="133"/>
      <c r="D151" s="135"/>
      <c r="E151" s="135"/>
      <c r="F151" s="135"/>
      <c r="G151" s="187" t="e">
        <f>G152-G150-G149</f>
        <v>#REF!</v>
      </c>
      <c r="H151" s="187" t="e">
        <f>H152-H150-H149</f>
        <v>#REF!</v>
      </c>
      <c r="I151" s="187" t="e">
        <f>I152-I150-I149</f>
        <v>#REF!</v>
      </c>
      <c r="J151" s="187" t="e">
        <f>J152-J150-J149</f>
        <v>#REF!</v>
      </c>
      <c r="K151" s="187" t="e">
        <f>K152-K150-K149</f>
        <v>#REF!</v>
      </c>
      <c r="M151" s="8" t="s">
        <v>450</v>
      </c>
    </row>
    <row r="152" spans="1:13">
      <c r="B152" s="123" t="s">
        <v>168</v>
      </c>
      <c r="C152" s="48"/>
      <c r="D152" s="48">
        <f t="shared" ref="D152:K152" si="23">D85</f>
        <v>0</v>
      </c>
      <c r="E152" s="48">
        <f t="shared" si="23"/>
        <v>0</v>
      </c>
      <c r="F152" s="48">
        <f t="shared" si="23"/>
        <v>0</v>
      </c>
      <c r="G152" s="48">
        <f t="shared" si="23"/>
        <v>0</v>
      </c>
      <c r="H152" s="48">
        <f t="shared" si="23"/>
        <v>0</v>
      </c>
      <c r="I152" s="48">
        <f t="shared" si="23"/>
        <v>0</v>
      </c>
      <c r="J152" s="48">
        <f t="shared" si="23"/>
        <v>0</v>
      </c>
      <c r="K152" s="48">
        <f t="shared" si="23"/>
        <v>0</v>
      </c>
      <c r="M152" s="8" t="s">
        <v>179</v>
      </c>
    </row>
    <row r="153" spans="1:13">
      <c r="B153" s="65"/>
      <c r="C153" s="65"/>
      <c r="E153" s="70"/>
      <c r="F153" s="70"/>
      <c r="H153" s="70"/>
      <c r="I153" s="70"/>
      <c r="J153" s="70"/>
      <c r="K153" s="70"/>
    </row>
    <row r="154" spans="1:13">
      <c r="A154" s="341" t="s">
        <v>24</v>
      </c>
      <c r="B154" s="136" t="s">
        <v>180</v>
      </c>
      <c r="C154" s="136"/>
      <c r="D154" s="131"/>
      <c r="E154" s="131"/>
      <c r="F154" s="131"/>
      <c r="G154" s="98"/>
      <c r="H154" s="98"/>
      <c r="I154" s="98"/>
      <c r="J154" s="98"/>
      <c r="K154" s="98"/>
    </row>
    <row r="155" spans="1:13">
      <c r="B155" s="107" t="s">
        <v>162</v>
      </c>
      <c r="C155" s="107"/>
      <c r="D155" s="70"/>
      <c r="E155" s="70"/>
      <c r="F155" s="70"/>
      <c r="G155" s="183">
        <f>F159</f>
        <v>0</v>
      </c>
      <c r="H155" s="183" t="e">
        <f>G159</f>
        <v>#REF!</v>
      </c>
      <c r="I155" s="183" t="e">
        <f>H159</f>
        <v>#REF!</v>
      </c>
      <c r="J155" s="183" t="e">
        <f>I159</f>
        <v>#REF!</v>
      </c>
      <c r="K155" s="183" t="e">
        <f>J159</f>
        <v>#REF!</v>
      </c>
      <c r="M155" s="8" t="s">
        <v>163</v>
      </c>
    </row>
    <row r="156" spans="1:13">
      <c r="B156" s="65" t="s">
        <v>181</v>
      </c>
      <c r="C156" s="105"/>
      <c r="D156" s="105"/>
      <c r="E156" s="105"/>
      <c r="F156" s="105" t="e">
        <f t="shared" ref="F156:K156" si="24">F47</f>
        <v>#REF!</v>
      </c>
      <c r="G156" s="183" t="e">
        <f t="shared" si="24"/>
        <v>#REF!</v>
      </c>
      <c r="H156" s="183" t="e">
        <f t="shared" si="24"/>
        <v>#REF!</v>
      </c>
      <c r="I156" s="183" t="e">
        <f t="shared" si="24"/>
        <v>#REF!</v>
      </c>
      <c r="J156" s="183" t="e">
        <f t="shared" si="24"/>
        <v>#REF!</v>
      </c>
      <c r="K156" s="183" t="e">
        <f t="shared" si="24"/>
        <v>#REF!</v>
      </c>
      <c r="M156" s="8" t="s">
        <v>182</v>
      </c>
    </row>
    <row r="157" spans="1:13">
      <c r="B157" s="65" t="s">
        <v>183</v>
      </c>
      <c r="C157" s="165"/>
      <c r="D157" s="165"/>
      <c r="E157" s="165"/>
      <c r="F157" s="165"/>
      <c r="G157" s="183" t="e">
        <f>G156*F157/F156</f>
        <v>#REF!</v>
      </c>
      <c r="H157" s="183" t="e">
        <f>H156*G157/G156</f>
        <v>#REF!</v>
      </c>
      <c r="I157" s="183" t="e">
        <f>I156*H157/H156</f>
        <v>#REF!</v>
      </c>
      <c r="J157" s="183" t="e">
        <f>J156*I157/I156</f>
        <v>#REF!</v>
      </c>
      <c r="K157" s="183" t="e">
        <f>K156*J157/J156</f>
        <v>#REF!</v>
      </c>
      <c r="M157" s="8" t="s">
        <v>451</v>
      </c>
    </row>
    <row r="158" spans="1:13">
      <c r="B158" s="133" t="s">
        <v>184</v>
      </c>
      <c r="C158" s="165"/>
      <c r="D158" s="165"/>
      <c r="E158" s="165"/>
      <c r="F158" s="165"/>
      <c r="G158" s="192">
        <f>F158</f>
        <v>0</v>
      </c>
      <c r="H158" s="192">
        <f>G158</f>
        <v>0</v>
      </c>
      <c r="I158" s="192">
        <f>H158</f>
        <v>0</v>
      </c>
      <c r="J158" s="192">
        <f>I158</f>
        <v>0</v>
      </c>
      <c r="K158" s="192">
        <f>J158</f>
        <v>0</v>
      </c>
      <c r="M158" s="8" t="s">
        <v>452</v>
      </c>
    </row>
    <row r="159" spans="1:13">
      <c r="B159" s="123" t="s">
        <v>168</v>
      </c>
      <c r="C159" s="178"/>
      <c r="D159" s="182"/>
      <c r="E159" s="182"/>
      <c r="F159" s="182">
        <f>F97</f>
        <v>0</v>
      </c>
      <c r="G159" s="48" t="e">
        <f>SUM(G155:G158)</f>
        <v>#REF!</v>
      </c>
      <c r="H159" s="48" t="e">
        <f>SUM(H155:H158)</f>
        <v>#REF!</v>
      </c>
      <c r="I159" s="48" t="e">
        <f>SUM(I155:I158)</f>
        <v>#REF!</v>
      </c>
      <c r="J159" s="48" t="e">
        <f>SUM(J155:J158)</f>
        <v>#REF!</v>
      </c>
      <c r="K159" s="48" t="e">
        <f>SUM(K155:K158)</f>
        <v>#REF!</v>
      </c>
      <c r="M159" s="8" t="s">
        <v>185</v>
      </c>
    </row>
    <row r="160" spans="1:13">
      <c r="E160" s="117"/>
      <c r="F160" s="117"/>
    </row>
    <row r="161" spans="1:19">
      <c r="A161" s="341" t="s">
        <v>24</v>
      </c>
      <c r="B161" s="97" t="s">
        <v>186</v>
      </c>
      <c r="C161" s="97"/>
      <c r="D161" s="98"/>
      <c r="E161" s="98"/>
      <c r="F161" s="98"/>
      <c r="G161" s="98"/>
      <c r="H161" s="98"/>
      <c r="I161" s="98"/>
      <c r="J161" s="98"/>
      <c r="K161" s="98"/>
      <c r="O161" s="126"/>
      <c r="P161" s="126"/>
    </row>
    <row r="162" spans="1:19" hidden="1">
      <c r="B162" s="113" t="str">
        <f>B15</f>
        <v xml:space="preserve">Fiscal year  </v>
      </c>
      <c r="C162" s="113"/>
      <c r="D162" s="114">
        <f t="shared" ref="D162:K163" si="25">D15</f>
        <v>2022</v>
      </c>
      <c r="E162" s="114">
        <f t="shared" si="25"/>
        <v>2023</v>
      </c>
      <c r="F162" s="114">
        <f t="shared" si="25"/>
        <v>2024</v>
      </c>
      <c r="G162" s="115">
        <f t="shared" si="25"/>
        <v>2025</v>
      </c>
      <c r="H162" s="115">
        <f t="shared" si="25"/>
        <v>2026</v>
      </c>
      <c r="I162" s="115">
        <f t="shared" si="25"/>
        <v>2027</v>
      </c>
      <c r="J162" s="115">
        <f t="shared" si="25"/>
        <v>2028</v>
      </c>
      <c r="K162" s="115">
        <f t="shared" si="25"/>
        <v>2029</v>
      </c>
      <c r="O162" s="126"/>
      <c r="P162" s="126"/>
    </row>
    <row r="163" spans="1:19" hidden="1">
      <c r="B163" s="98" t="str">
        <f>B16</f>
        <v>Fiscal year end date</v>
      </c>
      <c r="C163" s="98"/>
      <c r="D163" s="116">
        <f t="shared" si="25"/>
        <v>44926</v>
      </c>
      <c r="E163" s="116">
        <f t="shared" si="25"/>
        <v>45291</v>
      </c>
      <c r="F163" s="116">
        <f t="shared" si="25"/>
        <v>45657</v>
      </c>
      <c r="G163" s="116">
        <f t="shared" si="25"/>
        <v>46022</v>
      </c>
      <c r="H163" s="116">
        <f t="shared" si="25"/>
        <v>46387</v>
      </c>
      <c r="I163" s="116">
        <f t="shared" si="25"/>
        <v>46752</v>
      </c>
      <c r="J163" s="116">
        <f t="shared" si="25"/>
        <v>47118</v>
      </c>
      <c r="K163" s="116">
        <f t="shared" si="25"/>
        <v>47483</v>
      </c>
      <c r="O163" s="126"/>
      <c r="P163" s="126"/>
    </row>
    <row r="164" spans="1:19" hidden="1">
      <c r="B164" s="38"/>
      <c r="C164" s="38"/>
      <c r="O164" s="126"/>
      <c r="P164" s="126"/>
    </row>
    <row r="165" spans="1:19">
      <c r="B165" s="110" t="s">
        <v>187</v>
      </c>
      <c r="C165" s="110"/>
      <c r="O165" s="126"/>
      <c r="P165" s="126"/>
      <c r="Q165" s="126"/>
    </row>
    <row r="166" spans="1:19">
      <c r="B166" s="65" t="s">
        <v>188</v>
      </c>
      <c r="C166" s="65"/>
      <c r="G166" s="183">
        <f>F80</f>
        <v>0</v>
      </c>
      <c r="H166" s="183" t="e">
        <f>G80</f>
        <v>#REF!</v>
      </c>
      <c r="I166" s="183" t="e">
        <f>H80</f>
        <v>#REF!</v>
      </c>
      <c r="J166" s="183" t="e">
        <f>I80</f>
        <v>#REF!</v>
      </c>
      <c r="K166" s="183" t="e">
        <f>J80</f>
        <v>#REF!</v>
      </c>
      <c r="M166" s="8" t="s">
        <v>189</v>
      </c>
      <c r="O166" s="126"/>
      <c r="P166" s="126"/>
    </row>
    <row r="167" spans="1:19">
      <c r="B167" s="65" t="s">
        <v>190</v>
      </c>
      <c r="C167" s="65"/>
      <c r="G167" s="191"/>
      <c r="H167" s="191"/>
      <c r="I167" s="191"/>
      <c r="J167" s="191"/>
      <c r="K167" s="191"/>
      <c r="M167" s="8" t="s">
        <v>453</v>
      </c>
      <c r="O167" s="126"/>
      <c r="P167" s="126"/>
    </row>
    <row r="168" spans="1:19">
      <c r="B168" s="133" t="s">
        <v>191</v>
      </c>
      <c r="C168" s="133"/>
      <c r="D168" s="134"/>
      <c r="E168" s="134"/>
      <c r="F168" s="134"/>
      <c r="G168" s="192" t="e">
        <f>SUM(G113,G116,G118,G120,G121)</f>
        <v>#REF!</v>
      </c>
      <c r="H168" s="192" t="e">
        <f>SUM(H113,H116,H118,H120,H121)</f>
        <v>#REF!</v>
      </c>
      <c r="I168" s="192" t="e">
        <f>SUM(I113,I116,I118,I120,I121)</f>
        <v>#REF!</v>
      </c>
      <c r="J168" s="192" t="e">
        <f>SUM(J113,J116,J118,J120,J121)</f>
        <v>#REF!</v>
      </c>
      <c r="K168" s="192" t="e">
        <f>SUM(K113,K116,K118,K120,K121)</f>
        <v>#REF!</v>
      </c>
      <c r="M168" s="8" t="s">
        <v>245</v>
      </c>
    </row>
    <row r="169" spans="1:19">
      <c r="B169" s="123" t="s">
        <v>192</v>
      </c>
      <c r="C169" s="123"/>
      <c r="G169" s="48" t="e">
        <f>SUM(G166:G168)</f>
        <v>#REF!</v>
      </c>
      <c r="H169" s="48" t="e">
        <f>SUM(H166:H168)</f>
        <v>#REF!</v>
      </c>
      <c r="I169" s="48" t="e">
        <f>SUM(I166:I168)</f>
        <v>#REF!</v>
      </c>
      <c r="J169" s="48" t="e">
        <f>SUM(J166:J168)</f>
        <v>#REF!</v>
      </c>
      <c r="K169" s="48" t="e">
        <f>SUM(K166:K168)</f>
        <v>#REF!</v>
      </c>
    </row>
    <row r="171" spans="1:19">
      <c r="B171" s="38" t="s">
        <v>193</v>
      </c>
      <c r="C171" s="38"/>
    </row>
    <row r="172" spans="1:19">
      <c r="B172" s="65" t="s">
        <v>162</v>
      </c>
      <c r="C172" s="65"/>
      <c r="G172" s="183">
        <f>F175</f>
        <v>0</v>
      </c>
      <c r="H172" s="183" t="e">
        <f>G175</f>
        <v>#REF!</v>
      </c>
      <c r="I172" s="183" t="e">
        <f>H175</f>
        <v>#REF!</v>
      </c>
      <c r="J172" s="183" t="e">
        <f>I175</f>
        <v>#REF!</v>
      </c>
      <c r="K172" s="183" t="e">
        <f>J175</f>
        <v>#REF!</v>
      </c>
      <c r="M172" s="8" t="s">
        <v>163</v>
      </c>
    </row>
    <row r="173" spans="1:19">
      <c r="B173" s="119" t="s">
        <v>194</v>
      </c>
      <c r="C173" s="119"/>
      <c r="G173" s="183" t="e">
        <f>-MIN(G169,G172)</f>
        <v>#REF!</v>
      </c>
      <c r="H173" s="183" t="e">
        <f>-MIN(H169,H172)</f>
        <v>#REF!</v>
      </c>
      <c r="I173" s="183" t="e">
        <f>-MIN(I169,I172)</f>
        <v>#REF!</v>
      </c>
      <c r="J173" s="183" t="e">
        <f>-MIN(J169,J172)</f>
        <v>#REF!</v>
      </c>
      <c r="K173" s="183" t="e">
        <f>-MIN(K169,K172)</f>
        <v>#REF!</v>
      </c>
      <c r="M173" s="8" t="s">
        <v>195</v>
      </c>
    </row>
    <row r="174" spans="1:19">
      <c r="B174" s="120" t="s">
        <v>196</v>
      </c>
      <c r="C174" s="120"/>
      <c r="D174" s="134"/>
      <c r="E174" s="134"/>
      <c r="F174" s="134"/>
      <c r="G174" s="193"/>
      <c r="H174" s="193"/>
      <c r="I174" s="193"/>
      <c r="J174" s="193"/>
      <c r="K174" s="193"/>
      <c r="M174" s="8" t="s">
        <v>453</v>
      </c>
    </row>
    <row r="175" spans="1:19">
      <c r="B175" s="65" t="s">
        <v>168</v>
      </c>
      <c r="C175" s="122"/>
      <c r="D175" s="122">
        <f>D91</f>
        <v>0</v>
      </c>
      <c r="E175" s="122">
        <f>E91</f>
        <v>0</v>
      </c>
      <c r="F175" s="122">
        <f>F91</f>
        <v>0</v>
      </c>
      <c r="G175" s="137" t="e">
        <f>SUM(G172:G174)</f>
        <v>#REF!</v>
      </c>
      <c r="H175" s="137" t="e">
        <f>SUM(H172:H174)</f>
        <v>#REF!</v>
      </c>
      <c r="I175" s="137" t="e">
        <f>SUM(I172:I174)</f>
        <v>#REF!</v>
      </c>
      <c r="J175" s="137" t="e">
        <f>SUM(J172:J174)</f>
        <v>#REF!</v>
      </c>
      <c r="K175" s="137" t="e">
        <f>SUM(K172:K174)</f>
        <v>#REF!</v>
      </c>
    </row>
    <row r="176" spans="1:19">
      <c r="B176" s="91" t="s">
        <v>197</v>
      </c>
      <c r="C176" s="92"/>
      <c r="D176" s="138"/>
      <c r="E176" s="138"/>
      <c r="F176" s="139"/>
      <c r="G176" s="140" t="e">
        <f>IF(G175&lt;0,"Negative Debt","OK")</f>
        <v>#REF!</v>
      </c>
      <c r="H176" s="140" t="e">
        <f>IF(H175&lt;0,"Negative Debt","OK")</f>
        <v>#REF!</v>
      </c>
      <c r="I176" s="140" t="e">
        <f>IF(I175&lt;0,"Negative Debt","OK")</f>
        <v>#REF!</v>
      </c>
      <c r="J176" s="140" t="e">
        <f>IF(J175&lt;0,"Negative Debt","OK")</f>
        <v>#REF!</v>
      </c>
      <c r="K176" s="140" t="e">
        <f>IF(K175&lt;0,"Negative Debt","OK")</f>
        <v>#REF!</v>
      </c>
      <c r="S176" s="117"/>
    </row>
    <row r="177" spans="1:19">
      <c r="D177" s="70"/>
      <c r="E177" s="70"/>
      <c r="F177" s="93"/>
      <c r="G177" s="141"/>
      <c r="H177" s="141"/>
      <c r="I177" s="141"/>
      <c r="J177" s="141"/>
      <c r="K177" s="141"/>
      <c r="S177" s="117"/>
    </row>
    <row r="178" spans="1:19">
      <c r="A178" s="341" t="s">
        <v>24</v>
      </c>
      <c r="B178" s="97" t="s">
        <v>198</v>
      </c>
      <c r="C178" s="97"/>
      <c r="D178" s="128"/>
      <c r="E178" s="128"/>
      <c r="F178" s="128"/>
      <c r="G178" s="142"/>
      <c r="H178" s="142"/>
      <c r="I178" s="142"/>
      <c r="J178" s="142"/>
      <c r="K178" s="142"/>
      <c r="R178" s="143"/>
    </row>
    <row r="179" spans="1:19" hidden="1">
      <c r="B179" s="113" t="str">
        <f>B15</f>
        <v xml:space="preserve">Fiscal year  </v>
      </c>
      <c r="C179" s="113"/>
      <c r="D179" s="114">
        <f t="shared" ref="D179:K180" si="26">D15</f>
        <v>2022</v>
      </c>
      <c r="E179" s="114">
        <f t="shared" si="26"/>
        <v>2023</v>
      </c>
      <c r="F179" s="114">
        <f t="shared" si="26"/>
        <v>2024</v>
      </c>
      <c r="G179" s="115">
        <f t="shared" si="26"/>
        <v>2025</v>
      </c>
      <c r="H179" s="115">
        <f t="shared" si="26"/>
        <v>2026</v>
      </c>
      <c r="I179" s="115">
        <f t="shared" si="26"/>
        <v>2027</v>
      </c>
      <c r="J179" s="115">
        <f t="shared" si="26"/>
        <v>2028</v>
      </c>
      <c r="K179" s="115">
        <f t="shared" si="26"/>
        <v>2029</v>
      </c>
      <c r="R179" s="143"/>
      <c r="S179" s="117"/>
    </row>
    <row r="180" spans="1:19" hidden="1">
      <c r="B180" s="98" t="str">
        <f>B16</f>
        <v>Fiscal year end date</v>
      </c>
      <c r="C180" s="98"/>
      <c r="D180" s="116">
        <f t="shared" si="26"/>
        <v>44926</v>
      </c>
      <c r="E180" s="116">
        <f t="shared" si="26"/>
        <v>45291</v>
      </c>
      <c r="F180" s="116">
        <f t="shared" si="26"/>
        <v>45657</v>
      </c>
      <c r="G180" s="116">
        <f t="shared" si="26"/>
        <v>46022</v>
      </c>
      <c r="H180" s="116">
        <f t="shared" si="26"/>
        <v>46387</v>
      </c>
      <c r="I180" s="116">
        <f t="shared" si="26"/>
        <v>46752</v>
      </c>
      <c r="J180" s="116">
        <f t="shared" si="26"/>
        <v>47118</v>
      </c>
      <c r="K180" s="116">
        <f t="shared" si="26"/>
        <v>47483</v>
      </c>
      <c r="R180" s="143"/>
    </row>
    <row r="181" spans="1:19" ht="5.0999999999999996" customHeight="1">
      <c r="B181" s="65"/>
      <c r="C181" s="65"/>
      <c r="D181" s="70"/>
      <c r="E181" s="70"/>
      <c r="F181" s="70"/>
      <c r="G181" s="144"/>
      <c r="H181" s="144"/>
      <c r="I181" s="144"/>
      <c r="J181" s="144"/>
      <c r="K181" s="144"/>
      <c r="R181" s="143"/>
    </row>
    <row r="182" spans="1:19">
      <c r="B182" s="107" t="s">
        <v>199</v>
      </c>
      <c r="C182" s="70">
        <f>-(C42)</f>
        <v>0</v>
      </c>
      <c r="D182" s="70">
        <f>-(D42)</f>
        <v>0</v>
      </c>
      <c r="E182" s="70">
        <f>-(E42)</f>
        <v>0</v>
      </c>
      <c r="F182" s="70">
        <f>-(F42)</f>
        <v>0</v>
      </c>
      <c r="G182" s="183" t="e">
        <f>G187+G192</f>
        <v>#DIV/0!</v>
      </c>
      <c r="H182" s="183" t="e">
        <f>H187+H192</f>
        <v>#DIV/0!</v>
      </c>
      <c r="I182" s="183" t="e">
        <f>I187+I192</f>
        <v>#DIV/0!</v>
      </c>
      <c r="J182" s="183" t="e">
        <f>J187+J192</f>
        <v>#DIV/0!</v>
      </c>
      <c r="K182" s="183" t="e">
        <f>K187+K192</f>
        <v>#DIV/0!</v>
      </c>
      <c r="M182" s="8" t="s">
        <v>200</v>
      </c>
      <c r="R182" s="117"/>
    </row>
    <row r="183" spans="1:19" ht="5.0999999999999996" customHeight="1">
      <c r="B183" s="145"/>
      <c r="C183" s="145"/>
      <c r="R183" s="117"/>
    </row>
    <row r="184" spans="1:19">
      <c r="B184" s="146" t="s">
        <v>201</v>
      </c>
      <c r="C184" s="146"/>
      <c r="R184" s="117"/>
    </row>
    <row r="185" spans="1:19">
      <c r="B185" s="65" t="s">
        <v>202</v>
      </c>
      <c r="C185" s="151"/>
      <c r="D185" s="147"/>
      <c r="E185" s="147"/>
      <c r="F185" s="147"/>
      <c r="G185" s="194">
        <f>F185</f>
        <v>0</v>
      </c>
      <c r="H185" s="194">
        <f>G185</f>
        <v>0</v>
      </c>
      <c r="I185" s="194">
        <f>H185</f>
        <v>0</v>
      </c>
      <c r="J185" s="194">
        <f>I185</f>
        <v>0</v>
      </c>
      <c r="K185" s="194">
        <f>J185</f>
        <v>0</v>
      </c>
      <c r="M185" s="8" t="s">
        <v>113</v>
      </c>
    </row>
    <row r="186" spans="1:19">
      <c r="B186" s="65" t="s">
        <v>203</v>
      </c>
      <c r="C186" s="133"/>
      <c r="D186" s="122">
        <f t="shared" ref="D186:K186" si="27">D91</f>
        <v>0</v>
      </c>
      <c r="E186" s="122">
        <f t="shared" si="27"/>
        <v>0</v>
      </c>
      <c r="F186" s="122">
        <f t="shared" si="27"/>
        <v>0</v>
      </c>
      <c r="G186" s="183" t="e">
        <f t="shared" si="27"/>
        <v>#REF!</v>
      </c>
      <c r="H186" s="183" t="e">
        <f t="shared" si="27"/>
        <v>#REF!</v>
      </c>
      <c r="I186" s="183" t="e">
        <f t="shared" si="27"/>
        <v>#REF!</v>
      </c>
      <c r="J186" s="183" t="e">
        <f t="shared" si="27"/>
        <v>#REF!</v>
      </c>
      <c r="K186" s="183" t="e">
        <f t="shared" si="27"/>
        <v>#REF!</v>
      </c>
      <c r="M186" s="8" t="s">
        <v>204</v>
      </c>
    </row>
    <row r="187" spans="1:19">
      <c r="B187" s="148" t="s">
        <v>205</v>
      </c>
      <c r="C187" s="48"/>
      <c r="D187" s="48">
        <f>AVERAGE(C186:D186)*D185</f>
        <v>0</v>
      </c>
      <c r="E187" s="48">
        <f>AVERAGE(D186:E186)*E185</f>
        <v>0</v>
      </c>
      <c r="F187" s="48">
        <f>AVERAGE(E186:F186)*F185</f>
        <v>0</v>
      </c>
      <c r="G187" s="149">
        <f>IF($C$8=1,AVERAGE(F186,G186)*G185,0)</f>
        <v>0</v>
      </c>
      <c r="H187" s="149">
        <f>IF($C$8=1,AVERAGE(G186,H186)*H185,0)</f>
        <v>0</v>
      </c>
      <c r="I187" s="149">
        <f>IF($C$8=1,AVERAGE(H186,I186)*I185,0)</f>
        <v>0</v>
      </c>
      <c r="J187" s="149">
        <f>IF($C$8=1,AVERAGE(I186,J186)*J185,0)</f>
        <v>0</v>
      </c>
      <c r="K187" s="149">
        <f>IF($C$8=1,AVERAGE(J186,K186)*K185,0)</f>
        <v>0</v>
      </c>
      <c r="M187" s="8" t="s">
        <v>206</v>
      </c>
    </row>
    <row r="188" spans="1:19" ht="5.0999999999999996" customHeight="1">
      <c r="B188" s="150"/>
      <c r="C188" s="150"/>
      <c r="D188" s="70"/>
      <c r="E188" s="70"/>
      <c r="F188" s="70"/>
    </row>
    <row r="189" spans="1:19">
      <c r="B189" s="146" t="s">
        <v>154</v>
      </c>
      <c r="C189" s="146"/>
      <c r="D189" s="70"/>
      <c r="E189" s="70"/>
      <c r="F189" s="70"/>
    </row>
    <row r="190" spans="1:19">
      <c r="B190" s="65" t="s">
        <v>203</v>
      </c>
      <c r="C190" s="70">
        <f t="shared" ref="C190:K190" si="28">C92</f>
        <v>0</v>
      </c>
      <c r="D190" s="70">
        <f t="shared" si="28"/>
        <v>0</v>
      </c>
      <c r="E190" s="70">
        <f t="shared" si="28"/>
        <v>0</v>
      </c>
      <c r="F190" s="70">
        <f t="shared" si="28"/>
        <v>0</v>
      </c>
      <c r="G190" s="183">
        <f t="shared" si="28"/>
        <v>0</v>
      </c>
      <c r="H190" s="183">
        <f t="shared" si="28"/>
        <v>0</v>
      </c>
      <c r="I190" s="183">
        <f t="shared" si="28"/>
        <v>0</v>
      </c>
      <c r="J190" s="183">
        <f t="shared" si="28"/>
        <v>0</v>
      </c>
      <c r="K190" s="183">
        <f t="shared" si="28"/>
        <v>0</v>
      </c>
      <c r="M190" s="8" t="s">
        <v>156</v>
      </c>
    </row>
    <row r="191" spans="1:19">
      <c r="B191" s="65" t="s">
        <v>202</v>
      </c>
      <c r="C191" s="65"/>
      <c r="D191" s="130" t="e">
        <f>D192/AVERAGE(C190:D190)</f>
        <v>#DIV/0!</v>
      </c>
      <c r="E191" s="130" t="e">
        <f>E192/AVERAGE(D190:E190)</f>
        <v>#DIV/0!</v>
      </c>
      <c r="F191" s="130" t="e">
        <f>F192/AVERAGE(E190:F190)</f>
        <v>#DIV/0!</v>
      </c>
      <c r="G191" s="195" t="e">
        <f>AVERAGE(D191:F191)</f>
        <v>#DIV/0!</v>
      </c>
      <c r="H191" s="195" t="e">
        <f>G191</f>
        <v>#DIV/0!</v>
      </c>
      <c r="I191" s="195" t="e">
        <f>H191</f>
        <v>#DIV/0!</v>
      </c>
      <c r="J191" s="195" t="e">
        <f>I191</f>
        <v>#DIV/0!</v>
      </c>
      <c r="K191" s="195" t="e">
        <f>J191</f>
        <v>#DIV/0!</v>
      </c>
      <c r="M191" s="8" t="s">
        <v>113</v>
      </c>
      <c r="R191" s="143"/>
    </row>
    <row r="192" spans="1:19">
      <c r="B192" s="185" t="s">
        <v>207</v>
      </c>
      <c r="C192" s="185"/>
      <c r="D192" s="182">
        <f>D182-D187</f>
        <v>0</v>
      </c>
      <c r="E192" s="182">
        <f>E182-E187</f>
        <v>0</v>
      </c>
      <c r="F192" s="182">
        <f>F182-F187</f>
        <v>0</v>
      </c>
      <c r="G192" s="178" t="e">
        <f>G191*AVERAGE(F190:G190)</f>
        <v>#DIV/0!</v>
      </c>
      <c r="H192" s="178" t="e">
        <f>H191*AVERAGE(G190:H190)</f>
        <v>#DIV/0!</v>
      </c>
      <c r="I192" s="178" t="e">
        <f>I191*AVERAGE(H190:I190)</f>
        <v>#DIV/0!</v>
      </c>
      <c r="J192" s="178" t="e">
        <f>J191*AVERAGE(I190:J190)</f>
        <v>#DIV/0!</v>
      </c>
      <c r="K192" s="178" t="e">
        <f>K191*AVERAGE(J190:K190)</f>
        <v>#DIV/0!</v>
      </c>
      <c r="M192" s="8" t="s">
        <v>208</v>
      </c>
    </row>
    <row r="193" spans="1:13" ht="5.0999999999999996" customHeight="1">
      <c r="E193" s="70"/>
    </row>
    <row r="194" spans="1:13">
      <c r="B194" s="145" t="s">
        <v>209</v>
      </c>
      <c r="C194" s="145"/>
      <c r="E194" s="70"/>
      <c r="F194" s="70"/>
    </row>
    <row r="195" spans="1:13">
      <c r="B195" s="65" t="s">
        <v>210</v>
      </c>
      <c r="C195" s="151"/>
      <c r="D195" s="147"/>
      <c r="E195" s="147"/>
      <c r="F195" s="147"/>
      <c r="G195" s="196">
        <f>F195</f>
        <v>0</v>
      </c>
      <c r="H195" s="196">
        <f>G195</f>
        <v>0</v>
      </c>
      <c r="I195" s="196">
        <f>H195</f>
        <v>0</v>
      </c>
      <c r="J195" s="196">
        <f>I195</f>
        <v>0</v>
      </c>
      <c r="K195" s="196">
        <f>J195</f>
        <v>0</v>
      </c>
      <c r="M195" s="8" t="s">
        <v>113</v>
      </c>
    </row>
    <row r="196" spans="1:13">
      <c r="B196" s="65" t="s">
        <v>111</v>
      </c>
      <c r="C196" s="70">
        <f>C41</f>
        <v>0</v>
      </c>
      <c r="D196" s="70">
        <f>D41</f>
        <v>0</v>
      </c>
      <c r="E196" s="70">
        <f>E41</f>
        <v>0</v>
      </c>
      <c r="F196" s="70">
        <f>F41</f>
        <v>0</v>
      </c>
      <c r="G196" s="188">
        <f>IF($C$8=1,AVERAGE(F80,G80)*G195,0)</f>
        <v>0</v>
      </c>
      <c r="H196" s="188">
        <f>IF($C$8=1,AVERAGE(G80,H80)*H195,0)</f>
        <v>0</v>
      </c>
      <c r="I196" s="188">
        <f>IF($C$8=1,AVERAGE(H80,I80)*I195,0)</f>
        <v>0</v>
      </c>
      <c r="J196" s="188">
        <f>IF($C$8=1,AVERAGE(I80,J80)*J195,0)</f>
        <v>0</v>
      </c>
      <c r="K196" s="188">
        <f>IF($C$8=1,AVERAGE(J80,K80)*K195,0)</f>
        <v>0</v>
      </c>
      <c r="M196" s="8" t="s">
        <v>211</v>
      </c>
    </row>
    <row r="197" spans="1:13">
      <c r="B197" s="153"/>
      <c r="C197" s="153"/>
      <c r="D197" s="130"/>
      <c r="E197" s="130"/>
      <c r="F197" s="130"/>
      <c r="G197" s="130"/>
      <c r="H197" s="130"/>
    </row>
    <row r="198" spans="1:13">
      <c r="A198" s="341" t="s">
        <v>24</v>
      </c>
      <c r="B198" s="97" t="s">
        <v>212</v>
      </c>
      <c r="C198" s="97"/>
      <c r="D198" s="97"/>
      <c r="E198" s="97"/>
      <c r="F198" s="97"/>
      <c r="G198" s="97"/>
      <c r="H198" s="97"/>
      <c r="I198" s="97"/>
      <c r="J198" s="97"/>
      <c r="K198" s="97"/>
    </row>
    <row r="199" spans="1:13" hidden="1">
      <c r="B199" s="113"/>
      <c r="C199" s="114">
        <f t="shared" ref="C199:K199" si="29">C15</f>
        <v>2021</v>
      </c>
      <c r="D199" s="114">
        <f t="shared" si="29"/>
        <v>2022</v>
      </c>
      <c r="E199" s="114">
        <f t="shared" si="29"/>
        <v>2023</v>
      </c>
      <c r="F199" s="115">
        <f t="shared" si="29"/>
        <v>2024</v>
      </c>
      <c r="G199" s="115">
        <f t="shared" si="29"/>
        <v>2025</v>
      </c>
      <c r="H199" s="115">
        <f t="shared" si="29"/>
        <v>2026</v>
      </c>
      <c r="I199" s="115">
        <f t="shared" si="29"/>
        <v>2027</v>
      </c>
      <c r="J199" s="115">
        <f t="shared" si="29"/>
        <v>2028</v>
      </c>
      <c r="K199" s="115">
        <f t="shared" si="29"/>
        <v>2029</v>
      </c>
    </row>
    <row r="200" spans="1:13" hidden="1">
      <c r="B200" s="98"/>
      <c r="C200" s="116">
        <f t="shared" ref="C200:K200" si="30">C16</f>
        <v>44561</v>
      </c>
      <c r="D200" s="116">
        <f t="shared" si="30"/>
        <v>44926</v>
      </c>
      <c r="E200" s="116">
        <f t="shared" si="30"/>
        <v>45291</v>
      </c>
      <c r="F200" s="116">
        <f t="shared" si="30"/>
        <v>45657</v>
      </c>
      <c r="G200" s="116">
        <f t="shared" si="30"/>
        <v>46022</v>
      </c>
      <c r="H200" s="116">
        <f t="shared" si="30"/>
        <v>46387</v>
      </c>
      <c r="I200" s="116">
        <f t="shared" si="30"/>
        <v>46752</v>
      </c>
      <c r="J200" s="116">
        <f t="shared" si="30"/>
        <v>47118</v>
      </c>
      <c r="K200" s="116">
        <f t="shared" si="30"/>
        <v>47483</v>
      </c>
    </row>
    <row r="201" spans="1:13" ht="5.0999999999999996" customHeight="1">
      <c r="F201" s="112"/>
      <c r="G201" s="112"/>
      <c r="H201" s="112"/>
      <c r="I201" s="111"/>
      <c r="J201" s="111"/>
    </row>
    <row r="202" spans="1:13">
      <c r="B202" s="8" t="s">
        <v>17</v>
      </c>
      <c r="C202" s="70" t="e">
        <f t="shared" ref="C202:K202" si="31">C47</f>
        <v>#REF!</v>
      </c>
      <c r="D202" s="70" t="e">
        <f t="shared" si="31"/>
        <v>#REF!</v>
      </c>
      <c r="E202" s="70" t="e">
        <f t="shared" si="31"/>
        <v>#REF!</v>
      </c>
      <c r="F202" s="70" t="e">
        <f t="shared" si="31"/>
        <v>#REF!</v>
      </c>
      <c r="G202" s="70" t="e">
        <f t="shared" si="31"/>
        <v>#REF!</v>
      </c>
      <c r="H202" s="70" t="e">
        <f t="shared" si="31"/>
        <v>#REF!</v>
      </c>
      <c r="I202" s="70" t="e">
        <f t="shared" si="31"/>
        <v>#REF!</v>
      </c>
      <c r="J202" s="70" t="e">
        <f t="shared" si="31"/>
        <v>#REF!</v>
      </c>
      <c r="K202" s="70" t="e">
        <f t="shared" si="31"/>
        <v>#REF!</v>
      </c>
      <c r="M202" s="8" t="s">
        <v>213</v>
      </c>
    </row>
    <row r="203" spans="1:13">
      <c r="B203" s="8" t="s">
        <v>214</v>
      </c>
      <c r="C203" s="165">
        <f>'Historical Financials'!F35</f>
        <v>0</v>
      </c>
      <c r="D203" s="165">
        <f>'Historical Financials'!G35</f>
        <v>0</v>
      </c>
      <c r="E203" s="165">
        <f>'Historical Financials'!H35</f>
        <v>0</v>
      </c>
      <c r="F203" s="165">
        <f>'Historical Financials'!I35</f>
        <v>0</v>
      </c>
      <c r="G203" s="70" t="e">
        <f>F203+(-G209+G210)/G211</f>
        <v>#DIV/0!</v>
      </c>
      <c r="H203" s="70" t="e">
        <f>G203+(-H209+H210)/H211</f>
        <v>#DIV/0!</v>
      </c>
      <c r="I203" s="70" t="e">
        <f>H203+(-I209+I210)/I211</f>
        <v>#DIV/0!</v>
      </c>
      <c r="J203" s="70" t="e">
        <f>I203+(-J209+J210)/J211</f>
        <v>#DIV/0!</v>
      </c>
      <c r="K203" s="70" t="e">
        <f>J203+(-K209+K210)/K211</f>
        <v>#DIV/0!</v>
      </c>
      <c r="M203" s="8" t="s">
        <v>215</v>
      </c>
    </row>
    <row r="204" spans="1:13">
      <c r="B204" s="416" t="s">
        <v>88</v>
      </c>
      <c r="C204" s="417" t="e">
        <f t="shared" ref="C204:K204" si="32">C202/C203</f>
        <v>#REF!</v>
      </c>
      <c r="D204" s="417" t="e">
        <f t="shared" si="32"/>
        <v>#REF!</v>
      </c>
      <c r="E204" s="417" t="e">
        <f t="shared" si="32"/>
        <v>#REF!</v>
      </c>
      <c r="F204" s="417" t="e">
        <f t="shared" si="32"/>
        <v>#REF!</v>
      </c>
      <c r="G204" s="417" t="e">
        <f t="shared" si="32"/>
        <v>#REF!</v>
      </c>
      <c r="H204" s="417" t="e">
        <f t="shared" si="32"/>
        <v>#REF!</v>
      </c>
      <c r="I204" s="417" t="e">
        <f t="shared" si="32"/>
        <v>#REF!</v>
      </c>
      <c r="J204" s="417" t="e">
        <f t="shared" si="32"/>
        <v>#REF!</v>
      </c>
      <c r="K204" s="417" t="e">
        <f t="shared" si="32"/>
        <v>#REF!</v>
      </c>
      <c r="M204" s="8" t="s">
        <v>216</v>
      </c>
    </row>
    <row r="205" spans="1:13">
      <c r="D205" s="104"/>
      <c r="E205" s="104"/>
      <c r="F205" s="104"/>
      <c r="G205" s="70"/>
    </row>
    <row r="206" spans="1:13">
      <c r="B206" s="8" t="s">
        <v>217</v>
      </c>
      <c r="C206" s="165" t="e">
        <f>'Historical Financials'!#REF!</f>
        <v>#REF!</v>
      </c>
      <c r="D206" s="165" t="e">
        <f>'Historical Financials'!#REF!</f>
        <v>#REF!</v>
      </c>
      <c r="E206" s="165" t="e">
        <f>'Historical Financials'!#REF!</f>
        <v>#REF!</v>
      </c>
      <c r="F206" s="165" t="e">
        <f>'Historical Financials'!#REF!</f>
        <v>#REF!</v>
      </c>
      <c r="G206" s="70" t="e">
        <f>G203+F206-F203</f>
        <v>#DIV/0!</v>
      </c>
      <c r="H206" s="70" t="e">
        <f>H203+G206-G203</f>
        <v>#DIV/0!</v>
      </c>
      <c r="I206" s="70" t="e">
        <f>I203+H206-H203</f>
        <v>#DIV/0!</v>
      </c>
      <c r="J206" s="70" t="e">
        <f>J203+I206-I203</f>
        <v>#DIV/0!</v>
      </c>
      <c r="K206" s="70" t="e">
        <f>K203+J206-J203</f>
        <v>#DIV/0!</v>
      </c>
      <c r="M206" s="8" t="s">
        <v>218</v>
      </c>
    </row>
    <row r="207" spans="1:13">
      <c r="B207" s="416" t="s">
        <v>90</v>
      </c>
      <c r="C207" s="417" t="e">
        <f t="shared" ref="C207:K207" si="33">C202/C206</f>
        <v>#REF!</v>
      </c>
      <c r="D207" s="417" t="e">
        <f t="shared" si="33"/>
        <v>#REF!</v>
      </c>
      <c r="E207" s="417" t="e">
        <f t="shared" si="33"/>
        <v>#REF!</v>
      </c>
      <c r="F207" s="417" t="e">
        <f t="shared" si="33"/>
        <v>#REF!</v>
      </c>
      <c r="G207" s="417" t="e">
        <f t="shared" si="33"/>
        <v>#REF!</v>
      </c>
      <c r="H207" s="417" t="e">
        <f t="shared" si="33"/>
        <v>#REF!</v>
      </c>
      <c r="I207" s="417" t="e">
        <f t="shared" si="33"/>
        <v>#REF!</v>
      </c>
      <c r="J207" s="417" t="e">
        <f t="shared" si="33"/>
        <v>#REF!</v>
      </c>
      <c r="K207" s="417" t="e">
        <f t="shared" si="33"/>
        <v>#REF!</v>
      </c>
      <c r="M207" s="8" t="s">
        <v>219</v>
      </c>
    </row>
    <row r="208" spans="1:13">
      <c r="G208" s="154"/>
    </row>
    <row r="209" spans="1:13">
      <c r="B209" s="8" t="s">
        <v>220</v>
      </c>
      <c r="G209" s="70">
        <f>-(G120)</f>
        <v>0</v>
      </c>
      <c r="H209" s="70">
        <f>-(H120)</f>
        <v>0</v>
      </c>
      <c r="I209" s="70">
        <f>-(I120)</f>
        <v>0</v>
      </c>
      <c r="J209" s="70">
        <f>-(J120)</f>
        <v>0</v>
      </c>
      <c r="K209" s="70">
        <f>-(K120)</f>
        <v>0</v>
      </c>
      <c r="M209" s="8" t="s">
        <v>221</v>
      </c>
    </row>
    <row r="210" spans="1:13">
      <c r="B210" s="8" t="s">
        <v>222</v>
      </c>
      <c r="G210" s="105">
        <f>G54</f>
        <v>0</v>
      </c>
      <c r="H210" s="105">
        <f>H54</f>
        <v>0</v>
      </c>
      <c r="I210" s="105">
        <f>I54</f>
        <v>0</v>
      </c>
      <c r="J210" s="105">
        <f>J54</f>
        <v>0</v>
      </c>
      <c r="K210" s="105">
        <f>K54</f>
        <v>0</v>
      </c>
      <c r="M210" s="8" t="s">
        <v>223</v>
      </c>
    </row>
    <row r="211" spans="1:13">
      <c r="B211" s="8" t="s">
        <v>224</v>
      </c>
      <c r="G211" s="184">
        <f>C9</f>
        <v>0</v>
      </c>
      <c r="H211" s="154" t="e">
        <f>G211*(1+H212)</f>
        <v>#REF!</v>
      </c>
      <c r="I211" s="154" t="e">
        <f>H211*(1+I212)</f>
        <v>#REF!</v>
      </c>
      <c r="J211" s="154" t="e">
        <f>I211*(1+J212)</f>
        <v>#REF!</v>
      </c>
      <c r="K211" s="154" t="e">
        <f>J211*(1+K212)</f>
        <v>#REF!</v>
      </c>
      <c r="M211" s="8" t="s">
        <v>225</v>
      </c>
    </row>
    <row r="212" spans="1:13">
      <c r="B212" s="8" t="s">
        <v>226</v>
      </c>
      <c r="H212" s="155" t="e">
        <f>H202/G202-1</f>
        <v>#REF!</v>
      </c>
      <c r="I212" s="155" t="e">
        <f>I202/H202-1</f>
        <v>#REF!</v>
      </c>
      <c r="J212" s="155" t="e">
        <f>J202/I202-1</f>
        <v>#REF!</v>
      </c>
      <c r="K212" s="155" t="e">
        <f>K202/J202-1</f>
        <v>#REF!</v>
      </c>
      <c r="M212" s="8" t="s">
        <v>454</v>
      </c>
    </row>
    <row r="213" spans="1:13">
      <c r="M213" s="110" t="s">
        <v>227</v>
      </c>
    </row>
    <row r="214" spans="1:13">
      <c r="B214" s="38" t="s">
        <v>228</v>
      </c>
      <c r="D214" s="38"/>
      <c r="E214" s="38"/>
      <c r="F214" s="156" t="s">
        <v>229</v>
      </c>
      <c r="G214" s="157">
        <f>C12</f>
        <v>4443.2650000000003</v>
      </c>
      <c r="H214" s="48" t="e">
        <f>G216</f>
        <v>#DIV/0!</v>
      </c>
      <c r="I214" s="48" t="e">
        <f>H216</f>
        <v>#DIV/0!</v>
      </c>
      <c r="J214" s="48" t="e">
        <f>I216</f>
        <v>#DIV/0!</v>
      </c>
      <c r="K214" s="48" t="e">
        <f>J216</f>
        <v>#DIV/0!</v>
      </c>
      <c r="M214" s="8" t="s">
        <v>230</v>
      </c>
    </row>
    <row r="215" spans="1:13">
      <c r="B215" s="8" t="s">
        <v>231</v>
      </c>
      <c r="G215" s="70" t="e">
        <f>(-G209+G210)/G211</f>
        <v>#DIV/0!</v>
      </c>
      <c r="H215" s="70" t="e">
        <f>(-H209+H210)/H211</f>
        <v>#REF!</v>
      </c>
      <c r="I215" s="70" t="e">
        <f>(-I209+I210)/I211</f>
        <v>#REF!</v>
      </c>
      <c r="J215" s="70" t="e">
        <f>(-J209+J210)/J211</f>
        <v>#REF!</v>
      </c>
      <c r="K215" s="70" t="e">
        <f>(-K209+K210)/K211</f>
        <v>#REF!</v>
      </c>
      <c r="M215" s="8" t="s">
        <v>232</v>
      </c>
    </row>
    <row r="216" spans="1:13">
      <c r="B216" s="8" t="s">
        <v>233</v>
      </c>
      <c r="G216" s="70" t="e">
        <f>SUM(G214:G215)</f>
        <v>#DIV/0!</v>
      </c>
      <c r="H216" s="70" t="e">
        <f>SUM(H214:H215)</f>
        <v>#DIV/0!</v>
      </c>
      <c r="I216" s="70" t="e">
        <f>SUM(I214:I215)</f>
        <v>#DIV/0!</v>
      </c>
      <c r="J216" s="70" t="e">
        <f>SUM(J214:J215)</f>
        <v>#DIV/0!</v>
      </c>
      <c r="K216" s="70" t="e">
        <f>SUM(K214:K215)</f>
        <v>#DIV/0!</v>
      </c>
      <c r="M216" s="8" t="s">
        <v>234</v>
      </c>
    </row>
    <row r="217" spans="1:13">
      <c r="B217" s="38" t="s">
        <v>235</v>
      </c>
      <c r="D217" s="38"/>
      <c r="E217" s="38"/>
      <c r="F217" s="38"/>
      <c r="G217" s="48" t="e">
        <f>AVERAGE(G216,G214)</f>
        <v>#DIV/0!</v>
      </c>
      <c r="H217" s="48" t="e">
        <f>AVERAGE(H216,H214)</f>
        <v>#DIV/0!</v>
      </c>
      <c r="I217" s="48" t="e">
        <f>AVERAGE(I216,I214)</f>
        <v>#DIV/0!</v>
      </c>
      <c r="J217" s="48" t="e">
        <f>AVERAGE(J216,J214)</f>
        <v>#DIV/0!</v>
      </c>
      <c r="K217" s="48" t="e">
        <f>AVERAGE(K216,K214)</f>
        <v>#DIV/0!</v>
      </c>
      <c r="M217" s="8" t="s">
        <v>236</v>
      </c>
    </row>
    <row r="218" spans="1:13">
      <c r="M218" s="110"/>
    </row>
    <row r="219" spans="1:13">
      <c r="A219" s="341" t="s">
        <v>24</v>
      </c>
      <c r="B219" s="97" t="s">
        <v>237</v>
      </c>
      <c r="C219" s="97"/>
      <c r="D219" s="97"/>
      <c r="E219" s="97"/>
      <c r="F219" s="97"/>
      <c r="G219" s="97"/>
      <c r="H219" s="97"/>
      <c r="I219" s="97"/>
      <c r="J219" s="97"/>
      <c r="K219" s="97"/>
    </row>
    <row r="220" spans="1:13" ht="5.0999999999999996" customHeight="1" thickBot="1"/>
    <row r="221" spans="1:13" ht="12.75" thickBot="1">
      <c r="B221" s="8" t="s">
        <v>238</v>
      </c>
      <c r="C221" s="158" t="str">
        <f>K6</f>
        <v>Base case</v>
      </c>
      <c r="F221" s="94" t="s">
        <v>239</v>
      </c>
      <c r="G221" s="115">
        <f t="shared" ref="G221:K222" si="34">G15</f>
        <v>2025</v>
      </c>
      <c r="H221" s="115">
        <f t="shared" si="34"/>
        <v>2026</v>
      </c>
      <c r="I221" s="115">
        <f t="shared" si="34"/>
        <v>2027</v>
      </c>
      <c r="J221" s="115">
        <f t="shared" si="34"/>
        <v>2028</v>
      </c>
      <c r="K221" s="115">
        <f t="shared" si="34"/>
        <v>2029</v>
      </c>
    </row>
    <row r="222" spans="1:13">
      <c r="F222" s="95" t="s">
        <v>240</v>
      </c>
      <c r="G222" s="116">
        <f t="shared" si="34"/>
        <v>46022</v>
      </c>
      <c r="H222" s="116">
        <f t="shared" si="34"/>
        <v>46387</v>
      </c>
      <c r="I222" s="116">
        <f t="shared" si="34"/>
        <v>46752</v>
      </c>
      <c r="J222" s="116">
        <f t="shared" si="34"/>
        <v>47118</v>
      </c>
      <c r="K222" s="116">
        <f t="shared" si="34"/>
        <v>47483</v>
      </c>
    </row>
    <row r="223" spans="1:13">
      <c r="B223" s="65" t="s">
        <v>124</v>
      </c>
      <c r="F223" s="159" t="str">
        <f t="shared" ref="F223:K226" ca="1" si="35">OFFSET(F$228,MATCH($K$6,$B$229:$B$231,0)+MATCH($B223,$B$228:$B$243,0)-1,0)</f>
        <v>NM</v>
      </c>
      <c r="G223" s="124">
        <f t="shared" ca="1" si="35"/>
        <v>0.06</v>
      </c>
      <c r="H223" s="124">
        <f t="shared" ca="1" si="35"/>
        <v>6.9000000000000006E-2</v>
      </c>
      <c r="I223" s="124">
        <f t="shared" ca="1" si="35"/>
        <v>6.9000000000000006E-2</v>
      </c>
      <c r="J223" s="124">
        <f t="shared" ca="1" si="35"/>
        <v>6.9000000000000006E-2</v>
      </c>
      <c r="K223" s="124">
        <f t="shared" ca="1" si="35"/>
        <v>6.9000000000000006E-2</v>
      </c>
    </row>
    <row r="224" spans="1:13">
      <c r="B224" s="65" t="s">
        <v>125</v>
      </c>
      <c r="F224" s="159" t="str">
        <f t="shared" ca="1" si="35"/>
        <v>NM</v>
      </c>
      <c r="G224" s="124">
        <f t="shared" ca="1" si="35"/>
        <v>0.378</v>
      </c>
      <c r="H224" s="124">
        <f t="shared" ca="1" si="35"/>
        <v>0.378</v>
      </c>
      <c r="I224" s="124">
        <f t="shared" ca="1" si="35"/>
        <v>0.378</v>
      </c>
      <c r="J224" s="124">
        <f t="shared" ca="1" si="35"/>
        <v>0.378</v>
      </c>
      <c r="K224" s="124">
        <f t="shared" ca="1" si="35"/>
        <v>0.378</v>
      </c>
    </row>
    <row r="225" spans="2:11">
      <c r="B225" s="65" t="s">
        <v>126</v>
      </c>
      <c r="F225" s="159" t="str">
        <f t="shared" ca="1" si="35"/>
        <v>NM</v>
      </c>
      <c r="G225" s="124">
        <f t="shared" ca="1" si="35"/>
        <v>6.2E-2</v>
      </c>
      <c r="H225" s="124">
        <f t="shared" ca="1" si="35"/>
        <v>6.2E-2</v>
      </c>
      <c r="I225" s="124">
        <f t="shared" ca="1" si="35"/>
        <v>6.2E-2</v>
      </c>
      <c r="J225" s="124">
        <f t="shared" ca="1" si="35"/>
        <v>6.2E-2</v>
      </c>
      <c r="K225" s="124">
        <f t="shared" ca="1" si="35"/>
        <v>6.2E-2</v>
      </c>
    </row>
    <row r="226" spans="2:11">
      <c r="B226" s="65" t="s">
        <v>127</v>
      </c>
      <c r="F226" s="159" t="str">
        <f t="shared" ca="1" si="35"/>
        <v>NM</v>
      </c>
      <c r="G226" s="124">
        <f t="shared" ca="1" si="35"/>
        <v>7.0000000000000007E-2</v>
      </c>
      <c r="H226" s="124">
        <f t="shared" ca="1" si="35"/>
        <v>7.0000000000000007E-2</v>
      </c>
      <c r="I226" s="124">
        <f t="shared" ca="1" si="35"/>
        <v>7.0000000000000007E-2</v>
      </c>
      <c r="J226" s="124">
        <f t="shared" ca="1" si="35"/>
        <v>7.0000000000000007E-2</v>
      </c>
      <c r="K226" s="124">
        <f t="shared" ca="1" si="35"/>
        <v>7.0000000000000007E-2</v>
      </c>
    </row>
    <row r="227" spans="2:11">
      <c r="F227" s="160"/>
    </row>
    <row r="228" spans="2:11">
      <c r="B228" s="123" t="s">
        <v>124</v>
      </c>
      <c r="F228" s="160"/>
    </row>
    <row r="229" spans="2:11">
      <c r="B229" s="150" t="s">
        <v>241</v>
      </c>
      <c r="F229" s="161">
        <v>2.5000000000000001E-2</v>
      </c>
      <c r="G229" s="111">
        <f>G230+$F$229</f>
        <v>8.4999999999999992E-2</v>
      </c>
      <c r="H229" s="111">
        <f>H230+$F$229</f>
        <v>9.4E-2</v>
      </c>
      <c r="I229" s="111">
        <f>I230+$F$229</f>
        <v>9.4E-2</v>
      </c>
      <c r="J229" s="111">
        <f>J230+$F$229</f>
        <v>9.4E-2</v>
      </c>
      <c r="K229" s="111">
        <f>K230+$F$229</f>
        <v>9.4E-2</v>
      </c>
    </row>
    <row r="230" spans="2:11">
      <c r="B230" s="150" t="s">
        <v>97</v>
      </c>
      <c r="F230" s="162" t="s">
        <v>242</v>
      </c>
      <c r="G230" s="112">
        <v>0.06</v>
      </c>
      <c r="H230" s="112">
        <v>6.9000000000000006E-2</v>
      </c>
      <c r="I230" s="112">
        <f>H230</f>
        <v>6.9000000000000006E-2</v>
      </c>
      <c r="J230" s="112">
        <f>I230</f>
        <v>6.9000000000000006E-2</v>
      </c>
      <c r="K230" s="112">
        <f>J230</f>
        <v>6.9000000000000006E-2</v>
      </c>
    </row>
    <row r="231" spans="2:11">
      <c r="B231" s="150" t="s">
        <v>243</v>
      </c>
      <c r="F231" s="161">
        <v>-2.5000000000000001E-2</v>
      </c>
      <c r="G231" s="111">
        <f>G230+$F$231</f>
        <v>3.4999999999999996E-2</v>
      </c>
      <c r="H231" s="111">
        <f>H230+$F$231</f>
        <v>4.4000000000000004E-2</v>
      </c>
      <c r="I231" s="111">
        <f>I230+$F$231</f>
        <v>4.4000000000000004E-2</v>
      </c>
      <c r="J231" s="111">
        <f>J230+$F$231</f>
        <v>4.4000000000000004E-2</v>
      </c>
      <c r="K231" s="111">
        <f>K230+$F$231</f>
        <v>4.4000000000000004E-2</v>
      </c>
    </row>
    <row r="232" spans="2:11">
      <c r="B232" s="123" t="s">
        <v>125</v>
      </c>
      <c r="F232" s="162"/>
      <c r="G232" s="112"/>
      <c r="H232" s="112"/>
      <c r="I232" s="112"/>
      <c r="J232" s="112"/>
      <c r="K232" s="112"/>
    </row>
    <row r="233" spans="2:11">
      <c r="B233" s="150" t="s">
        <v>241</v>
      </c>
      <c r="F233" s="161">
        <v>0.01</v>
      </c>
      <c r="G233" s="111">
        <f>G234+$F$233</f>
        <v>0.38800000000000001</v>
      </c>
      <c r="H233" s="111">
        <f>H234+$F$233</f>
        <v>0.38800000000000001</v>
      </c>
      <c r="I233" s="111">
        <f>I234+$F$233</f>
        <v>0.38800000000000001</v>
      </c>
      <c r="J233" s="111">
        <f>J234+$F$233</f>
        <v>0.38800000000000001</v>
      </c>
      <c r="K233" s="111">
        <f>K234+$F$233</f>
        <v>0.38800000000000001</v>
      </c>
    </row>
    <row r="234" spans="2:11">
      <c r="B234" s="150" t="s">
        <v>97</v>
      </c>
      <c r="F234" s="162" t="s">
        <v>242</v>
      </c>
      <c r="G234" s="112">
        <v>0.378</v>
      </c>
      <c r="H234" s="112">
        <v>0.378</v>
      </c>
      <c r="I234" s="112">
        <v>0.378</v>
      </c>
      <c r="J234" s="112">
        <v>0.378</v>
      </c>
      <c r="K234" s="112">
        <v>0.378</v>
      </c>
    </row>
    <row r="235" spans="2:11">
      <c r="B235" s="150" t="s">
        <v>243</v>
      </c>
      <c r="F235" s="161">
        <v>-0.01</v>
      </c>
      <c r="G235" s="111">
        <f>G234+$F$235</f>
        <v>0.36799999999999999</v>
      </c>
      <c r="H235" s="111">
        <f>H234+$F$235</f>
        <v>0.36799999999999999</v>
      </c>
      <c r="I235" s="111">
        <f>I234+$F$235</f>
        <v>0.36799999999999999</v>
      </c>
      <c r="J235" s="111">
        <f>J234+$F$235</f>
        <v>0.36799999999999999</v>
      </c>
      <c r="K235" s="111">
        <f>K234+$F$235</f>
        <v>0.36799999999999999</v>
      </c>
    </row>
    <row r="236" spans="2:11">
      <c r="B236" s="123" t="s">
        <v>126</v>
      </c>
      <c r="F236" s="162"/>
      <c r="G236" s="163"/>
      <c r="H236" s="163"/>
      <c r="I236" s="163"/>
      <c r="J236" s="163"/>
      <c r="K236" s="163"/>
    </row>
    <row r="237" spans="2:11">
      <c r="B237" s="150" t="s">
        <v>241</v>
      </c>
      <c r="F237" s="161">
        <v>-0.01</v>
      </c>
      <c r="G237" s="111">
        <f>G238+$F$237</f>
        <v>5.1999999999999998E-2</v>
      </c>
      <c r="H237" s="111">
        <f>H238+$F$237</f>
        <v>5.1999999999999998E-2</v>
      </c>
      <c r="I237" s="111">
        <f>I238+$F$237</f>
        <v>5.1999999999999998E-2</v>
      </c>
      <c r="J237" s="111">
        <f>J238+$F$237</f>
        <v>5.1999999999999998E-2</v>
      </c>
      <c r="K237" s="111">
        <f>K238+$F$237</f>
        <v>5.1999999999999998E-2</v>
      </c>
    </row>
    <row r="238" spans="2:11">
      <c r="B238" s="150" t="s">
        <v>97</v>
      </c>
      <c r="F238" s="162" t="s">
        <v>242</v>
      </c>
      <c r="G238" s="112">
        <v>6.2E-2</v>
      </c>
      <c r="H238" s="112">
        <v>6.2E-2</v>
      </c>
      <c r="I238" s="112">
        <v>6.2E-2</v>
      </c>
      <c r="J238" s="112">
        <v>6.2E-2</v>
      </c>
      <c r="K238" s="112">
        <v>6.2E-2</v>
      </c>
    </row>
    <row r="239" spans="2:11">
      <c r="B239" s="150" t="s">
        <v>243</v>
      </c>
      <c r="F239" s="161">
        <v>0.01</v>
      </c>
      <c r="G239" s="111">
        <f>G238+$F$239</f>
        <v>7.1999999999999995E-2</v>
      </c>
      <c r="H239" s="111">
        <f>H238+$F$239</f>
        <v>7.1999999999999995E-2</v>
      </c>
      <c r="I239" s="111">
        <f>I238+$F$239</f>
        <v>7.1999999999999995E-2</v>
      </c>
      <c r="J239" s="111">
        <f>J238+$F$239</f>
        <v>7.1999999999999995E-2</v>
      </c>
      <c r="K239" s="111">
        <f>K238+$F$239</f>
        <v>7.1999999999999995E-2</v>
      </c>
    </row>
    <row r="240" spans="2:11">
      <c r="B240" s="123" t="s">
        <v>127</v>
      </c>
      <c r="F240" s="162"/>
      <c r="G240" s="163"/>
      <c r="H240" s="163"/>
      <c r="I240" s="163"/>
      <c r="J240" s="163"/>
      <c r="K240" s="163"/>
    </row>
    <row r="241" spans="2:11">
      <c r="B241" s="150" t="s">
        <v>241</v>
      </c>
      <c r="F241" s="161">
        <v>-0.01</v>
      </c>
      <c r="G241" s="111">
        <f>G242+$F$241</f>
        <v>6.0000000000000005E-2</v>
      </c>
      <c r="H241" s="111">
        <f>H242+$F$241</f>
        <v>6.0000000000000005E-2</v>
      </c>
      <c r="I241" s="111">
        <f>I242+$F$241</f>
        <v>6.0000000000000005E-2</v>
      </c>
      <c r="J241" s="111">
        <f>J242+$F$241</f>
        <v>6.0000000000000005E-2</v>
      </c>
      <c r="K241" s="111">
        <f>K242+$F$241</f>
        <v>6.0000000000000005E-2</v>
      </c>
    </row>
    <row r="242" spans="2:11">
      <c r="B242" s="150" t="s">
        <v>97</v>
      </c>
      <c r="F242" s="162" t="s">
        <v>242</v>
      </c>
      <c r="G242" s="112">
        <v>7.0000000000000007E-2</v>
      </c>
      <c r="H242" s="112">
        <v>7.0000000000000007E-2</v>
      </c>
      <c r="I242" s="112">
        <v>7.0000000000000007E-2</v>
      </c>
      <c r="J242" s="112">
        <v>7.0000000000000007E-2</v>
      </c>
      <c r="K242" s="112">
        <v>7.0000000000000007E-2</v>
      </c>
    </row>
    <row r="243" spans="2:11" ht="12.75" thickBot="1">
      <c r="B243" s="150" t="s">
        <v>243</v>
      </c>
      <c r="F243" s="164">
        <v>0.01</v>
      </c>
      <c r="G243" s="111">
        <f>G242+$F$243</f>
        <v>0.08</v>
      </c>
      <c r="H243" s="111">
        <f>H242+$F$243</f>
        <v>0.08</v>
      </c>
      <c r="I243" s="111">
        <f>I242+$F$243</f>
        <v>0.08</v>
      </c>
      <c r="J243" s="111">
        <f>J242+$F$243</f>
        <v>0.08</v>
      </c>
      <c r="K243" s="111">
        <f>K242+$F$243</f>
        <v>0.08</v>
      </c>
    </row>
  </sheetData>
  <conditionalFormatting sqref="B226">
    <cfRule type="expression" dxfId="4" priority="1">
      <formula>#REF!=$B226</formula>
    </cfRule>
  </conditionalFormatting>
  <conditionalFormatting sqref="B240">
    <cfRule type="expression" dxfId="3" priority="2">
      <formula>#REF!=$B240</formula>
    </cfRule>
  </conditionalFormatting>
  <conditionalFormatting sqref="B70:C70">
    <cfRule type="expression" dxfId="2" priority="3">
      <formula>#REF!=$B70</formula>
    </cfRule>
  </conditionalFormatting>
  <dataValidations disablePrompts="1" count="3">
    <dataValidation type="list" allowBlank="1" showInputMessage="1" showErrorMessage="1" sqref="K6" xr:uid="{316BE8D0-5F80-4150-9F8E-D688FDB5F6FA}">
      <formula1>$B$229:$B$231</formula1>
    </dataValidation>
    <dataValidation type="list" allowBlank="1" showInputMessage="1" showErrorMessage="1" sqref="C8" xr:uid="{8FB3E4E8-6631-4284-8CF7-9D27DFB216D8}">
      <formula1>"0,1"</formula1>
    </dataValidation>
    <dataValidation type="list" allowBlank="1" showInputMessage="1" showErrorMessage="1" sqref="B4" xr:uid="{546FCFF0-46AD-42A0-9C58-8911EAA87FA4}">
      <formula1>"$ bns except per share, $ mm except per share,$ in thousands except per share"</formula1>
    </dataValidation>
  </dataValidations>
  <pageMargins left="0.7" right="0.7" top="0.75" bottom="0.75" header="0.3" footer="0.3"/>
  <ignoredErrors>
    <ignoredError sqref="G107:K108 G86:K87 H156:K156 G92:K95 H91:K91 G203:K207 H100:K100 G98:K99 B155:B159 G158:K158 H159:K159 G155:K155 G157:K157 F156 G113:K113 H109:K112 H96:K96 G44:K44 C28:K30 C45:K52 C44:F44 C55:K55 D72:F74 C68:C71 D66:F71 C56:K56 B57:K59 B56 B60:C60 G66:K71 B68:B71 C32:K43 G31:K31 B66:C67 C61 G60:K61 D60:F61 G89:K90 G88:J88" evalError="1"/>
  </ignoredErrors>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79C42-13A4-4B46-993E-E6AAC91FB0B6}">
  <dimension ref="A2:U209"/>
  <sheetViews>
    <sheetView showGridLines="0" zoomScale="130" zoomScaleNormal="130" workbookViewId="0">
      <selection activeCell="L63" sqref="L63"/>
    </sheetView>
  </sheetViews>
  <sheetFormatPr defaultRowHeight="12"/>
  <cols>
    <col min="1" max="1" width="1.625" style="8" customWidth="1"/>
    <col min="2" max="2" width="31.75" style="8" bestFit="1" customWidth="1"/>
    <col min="3" max="3" width="9.5" style="8" bestFit="1" customWidth="1"/>
    <col min="4" max="8" width="8.625" style="8" bestFit="1" customWidth="1"/>
    <col min="9" max="9" width="2" style="8" customWidth="1"/>
    <col min="10" max="10" width="8.875" style="8" customWidth="1"/>
    <col min="11" max="11" width="1.125" style="8" customWidth="1"/>
    <col min="12" max="17" width="8.625" style="8" bestFit="1" customWidth="1"/>
    <col min="18" max="18" width="1.625" style="8" customWidth="1"/>
    <col min="19" max="19" width="8.625" style="8" bestFit="1" customWidth="1"/>
    <col min="20" max="20" width="1.625" style="8" customWidth="1"/>
    <col min="21" max="25" width="7.875" style="8" bestFit="1" customWidth="1"/>
    <col min="26" max="16384" width="9" style="8"/>
  </cols>
  <sheetData>
    <row r="2" spans="2:19">
      <c r="B2" s="1" t="str">
        <f>'Historical Financials'!B2</f>
        <v>Netflix, Inc. (NASDAQ: NFLX)</v>
      </c>
      <c r="C2" s="1"/>
      <c r="D2" s="1"/>
      <c r="E2" s="1"/>
      <c r="F2" s="1"/>
      <c r="G2" s="1"/>
      <c r="H2" s="1"/>
      <c r="I2" s="1"/>
      <c r="J2" s="1"/>
      <c r="K2" s="1"/>
      <c r="L2" s="1"/>
      <c r="M2" s="1"/>
      <c r="N2" s="1"/>
      <c r="O2" s="1"/>
      <c r="P2" s="1"/>
      <c r="Q2" s="1"/>
      <c r="R2" s="1"/>
      <c r="S2" s="1"/>
    </row>
    <row r="3" spans="2:19">
      <c r="B3" s="6" t="s">
        <v>411</v>
      </c>
      <c r="C3" s="1"/>
      <c r="D3" s="1"/>
      <c r="E3" s="1"/>
      <c r="F3" s="1"/>
      <c r="G3" s="1"/>
      <c r="H3" s="1"/>
      <c r="I3" s="1"/>
      <c r="J3" s="1"/>
      <c r="K3" s="1"/>
      <c r="L3" s="1"/>
      <c r="M3" s="1"/>
      <c r="N3" s="1"/>
      <c r="O3" s="1"/>
      <c r="P3" s="1"/>
      <c r="Q3" s="1"/>
      <c r="R3" s="1"/>
      <c r="S3" s="1"/>
    </row>
    <row r="4" spans="2:19">
      <c r="B4" s="6" t="s">
        <v>402</v>
      </c>
      <c r="C4" s="6"/>
      <c r="D4" s="6"/>
      <c r="E4" s="6"/>
      <c r="F4" s="6"/>
      <c r="G4" s="6"/>
      <c r="H4" s="6"/>
      <c r="I4" s="6"/>
      <c r="J4" s="6"/>
      <c r="K4" s="6"/>
      <c r="L4" s="6"/>
      <c r="M4" s="6"/>
      <c r="N4" s="6"/>
      <c r="O4" s="6"/>
      <c r="P4" s="6"/>
      <c r="Q4" s="6"/>
      <c r="R4" s="6"/>
      <c r="S4" s="6"/>
    </row>
    <row r="5" spans="2:19" ht="5.0999999999999996" customHeight="1"/>
    <row r="6" spans="2:19">
      <c r="B6" s="337" t="s">
        <v>95</v>
      </c>
      <c r="C6" s="335" t="s">
        <v>579</v>
      </c>
      <c r="D6" s="180"/>
      <c r="E6" s="180"/>
      <c r="F6" s="180"/>
      <c r="G6" s="180"/>
      <c r="H6" s="180"/>
      <c r="I6" s="180"/>
      <c r="J6" s="180"/>
      <c r="K6" s="180"/>
      <c r="L6" s="180"/>
      <c r="M6" s="180"/>
      <c r="N6" s="180"/>
      <c r="O6" s="179" t="s">
        <v>96</v>
      </c>
      <c r="P6" s="180"/>
      <c r="Q6" s="343" t="s">
        <v>97</v>
      </c>
      <c r="R6" s="180"/>
      <c r="S6" s="336"/>
    </row>
    <row r="7" spans="2:19">
      <c r="B7" s="338" t="s">
        <v>98</v>
      </c>
      <c r="C7" s="326" t="s">
        <v>537</v>
      </c>
      <c r="S7" s="333"/>
    </row>
    <row r="8" spans="2:19">
      <c r="B8" s="339" t="s">
        <v>99</v>
      </c>
      <c r="C8" s="342">
        <v>0</v>
      </c>
      <c r="S8" s="333"/>
    </row>
    <row r="9" spans="2:19">
      <c r="B9" s="339" t="s">
        <v>100</v>
      </c>
      <c r="C9" s="327"/>
      <c r="S9" s="333"/>
    </row>
    <row r="10" spans="2:19">
      <c r="B10" s="339" t="s">
        <v>101</v>
      </c>
      <c r="C10" s="328"/>
      <c r="S10" s="333"/>
    </row>
    <row r="11" spans="2:19">
      <c r="B11" s="338" t="s">
        <v>102</v>
      </c>
      <c r="C11" s="329"/>
      <c r="S11" s="333"/>
    </row>
    <row r="12" spans="2:19">
      <c r="B12" s="340" t="s">
        <v>103</v>
      </c>
      <c r="C12" s="331"/>
      <c r="D12" s="330"/>
      <c r="E12" s="330"/>
      <c r="F12" s="330"/>
      <c r="G12" s="330"/>
      <c r="H12" s="330"/>
      <c r="I12" s="330"/>
      <c r="J12" s="330"/>
      <c r="K12" s="330"/>
      <c r="L12" s="330"/>
      <c r="M12" s="330"/>
      <c r="N12" s="330"/>
      <c r="O12" s="330"/>
      <c r="P12" s="330"/>
      <c r="Q12" s="330"/>
      <c r="R12" s="330"/>
      <c r="S12" s="334"/>
    </row>
    <row r="13" spans="2:19" ht="5.0999999999999996" customHeight="1"/>
    <row r="14" spans="2:19">
      <c r="B14" s="1" t="s">
        <v>405</v>
      </c>
      <c r="C14" s="2" t="s">
        <v>403</v>
      </c>
      <c r="D14" s="2"/>
      <c r="E14" s="2"/>
      <c r="F14" s="2"/>
      <c r="G14" s="2"/>
      <c r="H14" s="2"/>
      <c r="I14" s="1"/>
      <c r="J14" s="2" t="s">
        <v>538</v>
      </c>
      <c r="K14" s="1"/>
      <c r="L14" s="2" t="s">
        <v>161</v>
      </c>
      <c r="M14" s="517"/>
      <c r="N14" s="517"/>
      <c r="O14" s="517"/>
      <c r="P14" s="517"/>
      <c r="Q14" s="2"/>
      <c r="R14" s="371"/>
      <c r="S14" s="2" t="s">
        <v>538</v>
      </c>
    </row>
    <row r="15" spans="2:19">
      <c r="B15" s="6" t="s">
        <v>104</v>
      </c>
      <c r="C15" s="518">
        <v>2019</v>
      </c>
      <c r="D15" s="518">
        <v>2020</v>
      </c>
      <c r="E15" s="518">
        <v>2021</v>
      </c>
      <c r="F15" s="518">
        <v>2022</v>
      </c>
      <c r="G15" s="518">
        <v>2023</v>
      </c>
      <c r="H15" s="518">
        <v>2024</v>
      </c>
      <c r="I15" s="6"/>
      <c r="J15" s="346" t="s">
        <v>540</v>
      </c>
      <c r="K15" s="6"/>
      <c r="L15" s="519">
        <f>H15+1</f>
        <v>2025</v>
      </c>
      <c r="M15" s="519">
        <f>+L15+1</f>
        <v>2026</v>
      </c>
      <c r="N15" s="519">
        <f>+M15+1</f>
        <v>2027</v>
      </c>
      <c r="O15" s="519">
        <f>+N15+1</f>
        <v>2028</v>
      </c>
      <c r="P15" s="519">
        <f>+O15+1</f>
        <v>2029</v>
      </c>
      <c r="Q15" s="519">
        <f>+P15+1</f>
        <v>2030</v>
      </c>
      <c r="R15" s="346"/>
      <c r="S15" s="346" t="s">
        <v>541</v>
      </c>
    </row>
    <row r="16" spans="2:19">
      <c r="B16" s="6" t="s">
        <v>105</v>
      </c>
      <c r="C16" s="520">
        <v>43830</v>
      </c>
      <c r="D16" s="520">
        <v>44196</v>
      </c>
      <c r="E16" s="520">
        <v>44561</v>
      </c>
      <c r="F16" s="520">
        <v>44926</v>
      </c>
      <c r="G16" s="520">
        <v>45291</v>
      </c>
      <c r="H16" s="520">
        <v>45657</v>
      </c>
      <c r="I16" s="6"/>
      <c r="J16" s="3">
        <f>H16</f>
        <v>45657</v>
      </c>
      <c r="K16" s="6"/>
      <c r="L16" s="520">
        <f>EOMONTH(H16,12)</f>
        <v>46022</v>
      </c>
      <c r="M16" s="520">
        <f>EOMONTH(L16,12)</f>
        <v>46387</v>
      </c>
      <c r="N16" s="520">
        <f>EOMONTH(M16,12)</f>
        <v>46752</v>
      </c>
      <c r="O16" s="520">
        <f>EOMONTH(N16,12)</f>
        <v>47118</v>
      </c>
      <c r="P16" s="520">
        <f>EOMONTH(O16,12)</f>
        <v>47483</v>
      </c>
      <c r="Q16" s="520">
        <f>EOMONTH(P16,12)</f>
        <v>47848</v>
      </c>
      <c r="R16" s="3"/>
      <c r="S16" s="3">
        <f>Q16</f>
        <v>47848</v>
      </c>
    </row>
    <row r="17" spans="2:19" ht="5.0999999999999996" customHeight="1"/>
    <row r="18" spans="2:19">
      <c r="B18" s="8" t="s">
        <v>549</v>
      </c>
      <c r="C18" s="165"/>
      <c r="D18" s="165"/>
      <c r="E18" s="165"/>
      <c r="F18" s="165"/>
      <c r="G18" s="165"/>
      <c r="H18" s="165"/>
      <c r="J18" s="521" t="e">
        <f t="shared" ref="J18:J29" si="0">((H18/C18)^(1/COUNT(D18:H18))-1)</f>
        <v>#DIV/0!</v>
      </c>
      <c r="L18" s="165"/>
      <c r="M18" s="165"/>
      <c r="N18" s="165"/>
      <c r="O18" s="522"/>
      <c r="P18" s="522"/>
      <c r="Q18" s="522"/>
      <c r="S18" s="521" t="e">
        <f>((Q18/L18)^(1/COUNT(L18:Q18))-1)</f>
        <v>#DIV/0!</v>
      </c>
    </row>
    <row r="19" spans="2:19">
      <c r="B19" s="8" t="s">
        <v>524</v>
      </c>
      <c r="C19" s="165"/>
      <c r="D19" s="165"/>
      <c r="E19" s="165"/>
      <c r="F19" s="165"/>
      <c r="G19" s="165"/>
      <c r="H19" s="165"/>
      <c r="J19" s="521" t="e">
        <f t="shared" si="0"/>
        <v>#DIV/0!</v>
      </c>
      <c r="L19" s="165"/>
      <c r="M19" s="165"/>
      <c r="N19" s="165"/>
      <c r="O19" s="522"/>
      <c r="P19" s="522"/>
      <c r="Q19" s="522"/>
      <c r="S19" s="521" t="e">
        <f>((Q19/L19)^(1/COUNT(L19:Q19))-1)</f>
        <v>#DIV/0!</v>
      </c>
    </row>
    <row r="20" spans="2:19">
      <c r="B20" s="8" t="s">
        <v>481</v>
      </c>
      <c r="C20" s="165"/>
      <c r="D20" s="165"/>
      <c r="E20" s="165"/>
      <c r="F20" s="165"/>
      <c r="G20" s="165"/>
      <c r="H20" s="165"/>
      <c r="J20" s="521" t="e">
        <f t="shared" si="0"/>
        <v>#DIV/0!</v>
      </c>
      <c r="L20" s="165"/>
      <c r="M20" s="165"/>
      <c r="N20" s="165"/>
      <c r="O20" s="522"/>
      <c r="P20" s="522"/>
      <c r="Q20" s="522"/>
      <c r="S20" s="521" t="e">
        <f>((Q20/L20)^(1/COUNT(L20:Q20))-1)</f>
        <v>#DIV/0!</v>
      </c>
    </row>
    <row r="21" spans="2:19">
      <c r="B21" s="123" t="s">
        <v>547</v>
      </c>
      <c r="C21" s="523">
        <f t="shared" ref="C21:H21" si="1">SUM(C18:C20)</f>
        <v>0</v>
      </c>
      <c r="D21" s="523">
        <f t="shared" si="1"/>
        <v>0</v>
      </c>
      <c r="E21" s="523">
        <f t="shared" si="1"/>
        <v>0</v>
      </c>
      <c r="F21" s="523">
        <f t="shared" si="1"/>
        <v>0</v>
      </c>
      <c r="G21" s="523">
        <f t="shared" si="1"/>
        <v>0</v>
      </c>
      <c r="H21" s="523">
        <f t="shared" si="1"/>
        <v>0</v>
      </c>
      <c r="J21" s="524" t="e">
        <f t="shared" si="0"/>
        <v>#DIV/0!</v>
      </c>
      <c r="L21" s="523">
        <f t="shared" ref="L21:Q21" si="2">SUM(L18:L20)</f>
        <v>0</v>
      </c>
      <c r="M21" s="523">
        <f t="shared" si="2"/>
        <v>0</v>
      </c>
      <c r="N21" s="523">
        <f t="shared" si="2"/>
        <v>0</v>
      </c>
      <c r="O21" s="523">
        <f t="shared" si="2"/>
        <v>0</v>
      </c>
      <c r="P21" s="523">
        <f t="shared" si="2"/>
        <v>0</v>
      </c>
      <c r="Q21" s="523">
        <f t="shared" si="2"/>
        <v>0</v>
      </c>
      <c r="S21" s="524" t="e">
        <f>((Q21/L21)^(1/COUNT(L21:Q21))-1)</f>
        <v>#DIV/0!</v>
      </c>
    </row>
    <row r="22" spans="2:19" ht="5.0999999999999996" customHeight="1">
      <c r="C22" s="165"/>
      <c r="D22" s="165"/>
      <c r="E22" s="165"/>
      <c r="F22" s="165"/>
      <c r="G22" s="165"/>
      <c r="H22" s="165"/>
      <c r="J22" s="521"/>
      <c r="L22" s="522"/>
      <c r="M22" s="522"/>
      <c r="N22" s="522"/>
      <c r="O22" s="522"/>
      <c r="P22" s="522"/>
      <c r="Q22" s="522"/>
      <c r="S22" s="521"/>
    </row>
    <row r="23" spans="2:19">
      <c r="B23" s="8" t="s">
        <v>482</v>
      </c>
      <c r="C23" s="165"/>
      <c r="D23" s="165"/>
      <c r="E23" s="165"/>
      <c r="F23" s="165"/>
      <c r="G23" s="165"/>
      <c r="H23" s="165"/>
      <c r="J23" s="521" t="e">
        <f t="shared" si="0"/>
        <v>#DIV/0!</v>
      </c>
      <c r="L23" s="165"/>
      <c r="M23" s="165"/>
      <c r="N23" s="165"/>
      <c r="O23" s="165"/>
      <c r="P23" s="165"/>
      <c r="Q23" s="165"/>
      <c r="S23" s="521" t="e">
        <f>((Q23/L23)^(1/COUNT(L23:Q23))-1)</f>
        <v>#DIV/0!</v>
      </c>
    </row>
    <row r="24" spans="2:19">
      <c r="B24" s="123" t="s">
        <v>486</v>
      </c>
      <c r="C24" s="523">
        <f t="shared" ref="C24:H24" si="3">+C23+C21</f>
        <v>0</v>
      </c>
      <c r="D24" s="523">
        <f t="shared" si="3"/>
        <v>0</v>
      </c>
      <c r="E24" s="523">
        <f t="shared" si="3"/>
        <v>0</v>
      </c>
      <c r="F24" s="523">
        <f t="shared" si="3"/>
        <v>0</v>
      </c>
      <c r="G24" s="523">
        <f t="shared" si="3"/>
        <v>0</v>
      </c>
      <c r="H24" s="523">
        <f t="shared" si="3"/>
        <v>0</v>
      </c>
      <c r="J24" s="524" t="e">
        <f t="shared" si="0"/>
        <v>#DIV/0!</v>
      </c>
      <c r="L24" s="523">
        <f t="shared" ref="L24:Q24" si="4">+L23+L21</f>
        <v>0</v>
      </c>
      <c r="M24" s="523">
        <f t="shared" si="4"/>
        <v>0</v>
      </c>
      <c r="N24" s="523">
        <f t="shared" si="4"/>
        <v>0</v>
      </c>
      <c r="O24" s="523">
        <f t="shared" si="4"/>
        <v>0</v>
      </c>
      <c r="P24" s="523">
        <f t="shared" si="4"/>
        <v>0</v>
      </c>
      <c r="Q24" s="523">
        <f t="shared" si="4"/>
        <v>0</v>
      </c>
      <c r="S24" s="524" t="e">
        <f>((Q24/L24)^(1/COUNT(L24:Q24))-1)</f>
        <v>#DIV/0!</v>
      </c>
    </row>
    <row r="25" spans="2:19" ht="5.0999999999999996" customHeight="1">
      <c r="C25" s="165"/>
      <c r="D25" s="165"/>
      <c r="E25" s="165"/>
      <c r="F25" s="165"/>
      <c r="G25" s="165"/>
      <c r="H25" s="165"/>
      <c r="J25" s="521"/>
      <c r="L25" s="522"/>
      <c r="M25" s="522"/>
      <c r="N25" s="522"/>
      <c r="O25" s="522"/>
      <c r="P25" s="522"/>
      <c r="Q25" s="522"/>
      <c r="S25" s="521"/>
    </row>
    <row r="26" spans="2:19">
      <c r="B26" s="8" t="s">
        <v>483</v>
      </c>
      <c r="C26" s="165"/>
      <c r="D26" s="165"/>
      <c r="E26" s="165"/>
      <c r="F26" s="165"/>
      <c r="G26" s="165"/>
      <c r="H26" s="165"/>
      <c r="J26" s="521" t="e">
        <f t="shared" si="0"/>
        <v>#DIV/0!</v>
      </c>
      <c r="L26" s="165"/>
      <c r="M26" s="165"/>
      <c r="N26" s="165"/>
      <c r="O26" s="522"/>
      <c r="P26" s="522"/>
      <c r="Q26" s="522"/>
      <c r="S26" s="521" t="e">
        <f>((Q26/L26)^(1/COUNT(L26:Q26))-1)</f>
        <v>#DIV/0!</v>
      </c>
    </row>
    <row r="27" spans="2:19">
      <c r="B27" s="8" t="s">
        <v>484</v>
      </c>
      <c r="C27" s="165"/>
      <c r="D27" s="165"/>
      <c r="E27" s="165"/>
      <c r="F27" s="165"/>
      <c r="G27" s="165"/>
      <c r="H27" s="165"/>
      <c r="J27" s="521" t="e">
        <f t="shared" si="0"/>
        <v>#DIV/0!</v>
      </c>
      <c r="L27" s="165"/>
      <c r="M27" s="165"/>
      <c r="N27" s="165"/>
      <c r="O27" s="165"/>
      <c r="P27" s="165"/>
      <c r="Q27" s="165"/>
      <c r="S27" s="521" t="e">
        <f>((Q27/L27)^(1/COUNT(L27:Q27))-1)</f>
        <v>#DIV/0!</v>
      </c>
    </row>
    <row r="28" spans="2:19">
      <c r="B28" s="8" t="s">
        <v>485</v>
      </c>
      <c r="C28" s="165"/>
      <c r="D28" s="165"/>
      <c r="E28" s="165"/>
      <c r="F28" s="165"/>
      <c r="G28" s="165"/>
      <c r="H28" s="165"/>
      <c r="J28" s="521" t="e">
        <f t="shared" si="0"/>
        <v>#DIV/0!</v>
      </c>
      <c r="L28" s="522"/>
      <c r="M28" s="522"/>
      <c r="N28" s="522"/>
      <c r="O28" s="522"/>
      <c r="P28" s="522"/>
      <c r="Q28" s="522"/>
      <c r="S28" s="521" t="e">
        <f>((Q28/L28)^(1/COUNT(L28:Q28))-1)</f>
        <v>#DIV/0!</v>
      </c>
    </row>
    <row r="29" spans="2:19">
      <c r="B29" s="38" t="s">
        <v>13</v>
      </c>
      <c r="C29" s="523">
        <f t="shared" ref="C29:H29" si="5">SUM(C26:C28)+C24</f>
        <v>0</v>
      </c>
      <c r="D29" s="523">
        <f t="shared" si="5"/>
        <v>0</v>
      </c>
      <c r="E29" s="523">
        <f t="shared" si="5"/>
        <v>0</v>
      </c>
      <c r="F29" s="523">
        <f t="shared" si="5"/>
        <v>0</v>
      </c>
      <c r="G29" s="523">
        <f t="shared" si="5"/>
        <v>0</v>
      </c>
      <c r="H29" s="523">
        <f t="shared" si="5"/>
        <v>0</v>
      </c>
      <c r="I29" s="38"/>
      <c r="J29" s="524" t="e">
        <f t="shared" si="0"/>
        <v>#DIV/0!</v>
      </c>
      <c r="K29" s="38"/>
      <c r="L29" s="523">
        <f t="shared" ref="L29:Q29" si="6">SUM(L26:L28)+L24</f>
        <v>0</v>
      </c>
      <c r="M29" s="523">
        <f t="shared" si="6"/>
        <v>0</v>
      </c>
      <c r="N29" s="523">
        <f t="shared" si="6"/>
        <v>0</v>
      </c>
      <c r="O29" s="523">
        <f t="shared" si="6"/>
        <v>0</v>
      </c>
      <c r="P29" s="523">
        <f t="shared" si="6"/>
        <v>0</v>
      </c>
      <c r="Q29" s="523">
        <f t="shared" si="6"/>
        <v>0</v>
      </c>
      <c r="S29" s="524" t="e">
        <f>((Q29/L29)^(1/COUNT(L29:Q29))-1)</f>
        <v>#DIV/0!</v>
      </c>
    </row>
    <row r="30" spans="2:19" ht="5.0999999999999996" customHeight="1">
      <c r="C30" s="165"/>
      <c r="D30" s="165"/>
      <c r="E30" s="165"/>
      <c r="F30" s="165"/>
      <c r="G30" s="165"/>
      <c r="H30" s="165"/>
      <c r="L30" s="165"/>
      <c r="M30" s="165"/>
      <c r="N30" s="165"/>
      <c r="O30" s="165"/>
      <c r="P30" s="165"/>
      <c r="Q30" s="165"/>
      <c r="S30" s="521"/>
    </row>
    <row r="31" spans="2:19">
      <c r="B31" s="8" t="s">
        <v>542</v>
      </c>
      <c r="C31" s="165"/>
      <c r="D31" s="165"/>
      <c r="E31" s="165"/>
      <c r="F31" s="165"/>
      <c r="G31" s="165"/>
      <c r="H31" s="165"/>
      <c r="J31" s="521" t="e">
        <f>((H31/C31)^(1/COUNT(D31:H31))-1)</f>
        <v>#DIV/0!</v>
      </c>
      <c r="L31" s="522"/>
      <c r="M31" s="522"/>
      <c r="N31" s="522"/>
      <c r="O31" s="522"/>
      <c r="P31" s="522"/>
      <c r="Q31" s="522"/>
      <c r="S31" s="521" t="e">
        <f>((Q31/L31)^(1/COUNT(L31:Q31))-1)</f>
        <v>#DIV/0!</v>
      </c>
    </row>
    <row r="32" spans="2:19">
      <c r="B32" s="38" t="s">
        <v>30</v>
      </c>
      <c r="C32" s="523">
        <f t="shared" ref="C32:H32" si="7">+C31+C29</f>
        <v>0</v>
      </c>
      <c r="D32" s="523">
        <f t="shared" si="7"/>
        <v>0</v>
      </c>
      <c r="E32" s="523">
        <f t="shared" si="7"/>
        <v>0</v>
      </c>
      <c r="F32" s="523">
        <f t="shared" si="7"/>
        <v>0</v>
      </c>
      <c r="G32" s="523">
        <f t="shared" si="7"/>
        <v>0</v>
      </c>
      <c r="H32" s="523">
        <f t="shared" si="7"/>
        <v>0</v>
      </c>
      <c r="I32" s="38"/>
      <c r="J32" s="524" t="e">
        <f>((H32/C32)^(1/COUNT(D32:H32))-1)</f>
        <v>#DIV/0!</v>
      </c>
      <c r="K32" s="38"/>
      <c r="L32" s="523" t="e">
        <f t="shared" ref="L32:Q32" si="8">+L29*L66</f>
        <v>#DIV/0!</v>
      </c>
      <c r="M32" s="523" t="e">
        <f t="shared" si="8"/>
        <v>#DIV/0!</v>
      </c>
      <c r="N32" s="523">
        <f t="shared" si="8"/>
        <v>0</v>
      </c>
      <c r="O32" s="523">
        <f t="shared" si="8"/>
        <v>0</v>
      </c>
      <c r="P32" s="523">
        <f t="shared" si="8"/>
        <v>0</v>
      </c>
      <c r="Q32" s="523">
        <f t="shared" si="8"/>
        <v>0</v>
      </c>
      <c r="S32" s="524" t="e">
        <f>((Q32/L32)^(1/COUNT(L32:Q32))-1)</f>
        <v>#DIV/0!</v>
      </c>
    </row>
    <row r="33" spans="2:21" ht="5.0999999999999996" customHeight="1">
      <c r="C33" s="70"/>
      <c r="D33" s="70"/>
      <c r="E33" s="70"/>
      <c r="F33" s="70"/>
      <c r="G33" s="70"/>
      <c r="H33" s="70"/>
      <c r="L33" s="70"/>
      <c r="M33" s="70"/>
      <c r="N33" s="70"/>
      <c r="O33" s="70"/>
      <c r="P33" s="70"/>
      <c r="Q33" s="70"/>
      <c r="S33" s="521"/>
    </row>
    <row r="34" spans="2:21">
      <c r="B34" s="8" t="s">
        <v>427</v>
      </c>
      <c r="C34" s="165"/>
      <c r="D34" s="165"/>
      <c r="E34" s="165"/>
      <c r="F34" s="165"/>
      <c r="G34" s="165"/>
      <c r="H34" s="165"/>
      <c r="J34" s="521" t="e">
        <f t="shared" ref="J34:J48" si="9">((H34/C34)^(1/COUNT(D34:H34))-1)</f>
        <v>#DIV/0!</v>
      </c>
      <c r="L34" s="522"/>
      <c r="M34" s="522"/>
      <c r="N34" s="522"/>
      <c r="O34" s="522"/>
      <c r="P34" s="522"/>
      <c r="Q34" s="522"/>
      <c r="S34" s="521" t="e">
        <f>((Q34/L34)^(1/COUNT(L34:Q34))-1)</f>
        <v>#DIV/0!</v>
      </c>
    </row>
    <row r="35" spans="2:21">
      <c r="B35" s="8" t="s">
        <v>463</v>
      </c>
      <c r="C35" s="165"/>
      <c r="D35" s="165"/>
      <c r="E35" s="165"/>
      <c r="F35" s="165"/>
      <c r="G35" s="165"/>
      <c r="H35" s="165"/>
      <c r="J35" s="521" t="e">
        <f t="shared" si="9"/>
        <v>#DIV/0!</v>
      </c>
      <c r="L35" s="522"/>
      <c r="M35" s="522"/>
      <c r="N35" s="522"/>
      <c r="O35" s="522"/>
      <c r="P35" s="522"/>
      <c r="Q35" s="522"/>
      <c r="S35" s="521" t="e">
        <f>((Q35/L35)^(1/COUNT(L35:Q35))-1)</f>
        <v>#DIV/0!</v>
      </c>
    </row>
    <row r="36" spans="2:21">
      <c r="B36" s="8" t="s">
        <v>464</v>
      </c>
      <c r="C36" s="165"/>
      <c r="D36" s="165"/>
      <c r="E36" s="165"/>
      <c r="F36" s="165"/>
      <c r="G36" s="165"/>
      <c r="H36" s="165"/>
      <c r="J36" s="521" t="e">
        <f t="shared" si="9"/>
        <v>#DIV/0!</v>
      </c>
      <c r="L36" s="522"/>
      <c r="M36" s="522"/>
      <c r="N36" s="522"/>
      <c r="O36" s="522"/>
      <c r="P36" s="522"/>
      <c r="Q36" s="522"/>
      <c r="S36" s="521" t="e">
        <f>((Q36/L36)^(1/COUNT(L36:Q36))-1)</f>
        <v>#DIV/0!</v>
      </c>
    </row>
    <row r="37" spans="2:21">
      <c r="B37" s="38" t="s">
        <v>110</v>
      </c>
      <c r="C37" s="523">
        <f t="shared" ref="C37:H37" si="10">SUM(C34:C36)+C32</f>
        <v>0</v>
      </c>
      <c r="D37" s="523">
        <f t="shared" si="10"/>
        <v>0</v>
      </c>
      <c r="E37" s="523">
        <f t="shared" si="10"/>
        <v>0</v>
      </c>
      <c r="F37" s="523">
        <f t="shared" si="10"/>
        <v>0</v>
      </c>
      <c r="G37" s="523">
        <f t="shared" si="10"/>
        <v>0</v>
      </c>
      <c r="H37" s="523">
        <f t="shared" si="10"/>
        <v>0</v>
      </c>
      <c r="I37" s="38"/>
      <c r="J37" s="524" t="e">
        <f t="shared" si="9"/>
        <v>#DIV/0!</v>
      </c>
      <c r="K37" s="38"/>
      <c r="L37" s="523" t="e">
        <f t="shared" ref="L37:Q37" si="11">SUM(L34:L36)+L32</f>
        <v>#DIV/0!</v>
      </c>
      <c r="M37" s="523" t="e">
        <f t="shared" si="11"/>
        <v>#DIV/0!</v>
      </c>
      <c r="N37" s="523">
        <f t="shared" si="11"/>
        <v>0</v>
      </c>
      <c r="O37" s="523">
        <f t="shared" si="11"/>
        <v>0</v>
      </c>
      <c r="P37" s="523">
        <f t="shared" si="11"/>
        <v>0</v>
      </c>
      <c r="Q37" s="523">
        <f t="shared" si="11"/>
        <v>0</v>
      </c>
      <c r="S37" s="524" t="e">
        <f>((Q37/L37)^(1/COUNT(L37:Q37))-1)</f>
        <v>#DIV/0!</v>
      </c>
    </row>
    <row r="38" spans="2:21" ht="5.0999999999999996" customHeight="1"/>
    <row r="39" spans="2:21">
      <c r="B39" s="8" t="s">
        <v>465</v>
      </c>
      <c r="C39" s="165"/>
      <c r="D39" s="165"/>
      <c r="E39" s="165"/>
      <c r="F39" s="165"/>
      <c r="G39" s="165"/>
      <c r="H39" s="165"/>
      <c r="J39" s="521" t="e">
        <f t="shared" si="9"/>
        <v>#DIV/0!</v>
      </c>
      <c r="L39" s="564"/>
      <c r="M39" s="564"/>
      <c r="N39" s="564"/>
      <c r="O39" s="564"/>
      <c r="P39" s="564"/>
      <c r="Q39" s="564"/>
      <c r="S39" s="521" t="e">
        <f>((Q39/L39)^(1/COUNT(L39:Q39))-1)</f>
        <v>#DIV/0!</v>
      </c>
      <c r="U39" s="8" t="s">
        <v>448</v>
      </c>
    </row>
    <row r="40" spans="2:21">
      <c r="B40" s="8" t="s">
        <v>429</v>
      </c>
      <c r="C40" s="165"/>
      <c r="D40" s="165"/>
      <c r="E40" s="165"/>
      <c r="F40" s="165"/>
      <c r="G40" s="165"/>
      <c r="H40" s="165"/>
      <c r="J40" s="521" t="e">
        <f t="shared" si="9"/>
        <v>#DIV/0!</v>
      </c>
      <c r="L40" s="564"/>
      <c r="M40" s="564"/>
      <c r="N40" s="564"/>
      <c r="O40" s="564"/>
      <c r="P40" s="564"/>
      <c r="Q40" s="564"/>
      <c r="S40" s="521" t="e">
        <f>((Q40/L40)^(1/COUNT(L40:Q40))-1)</f>
        <v>#DIV/0!</v>
      </c>
      <c r="U40" s="8" t="s">
        <v>112</v>
      </c>
    </row>
    <row r="41" spans="2:21">
      <c r="B41" s="8" t="s">
        <v>525</v>
      </c>
      <c r="C41" s="165"/>
      <c r="D41" s="165"/>
      <c r="E41" s="165"/>
      <c r="F41" s="165"/>
      <c r="G41" s="165"/>
      <c r="H41" s="165"/>
      <c r="J41" s="521" t="e">
        <f t="shared" si="9"/>
        <v>#DIV/0!</v>
      </c>
      <c r="L41" s="522"/>
      <c r="M41" s="522"/>
      <c r="N41" s="522"/>
      <c r="O41" s="522"/>
      <c r="P41" s="522"/>
      <c r="Q41" s="522"/>
      <c r="S41" s="521" t="e">
        <f>((Q41/L41)^(1/COUNT(L41:Q41))-1)</f>
        <v>#DIV/0!</v>
      </c>
      <c r="U41" s="8" t="s">
        <v>113</v>
      </c>
    </row>
    <row r="42" spans="2:21">
      <c r="B42" s="38" t="s">
        <v>114</v>
      </c>
      <c r="C42" s="523">
        <f t="shared" ref="C42:H42" si="12">SUM(C39:C41)+C37</f>
        <v>0</v>
      </c>
      <c r="D42" s="523">
        <f t="shared" si="12"/>
        <v>0</v>
      </c>
      <c r="E42" s="523">
        <f t="shared" si="12"/>
        <v>0</v>
      </c>
      <c r="F42" s="523">
        <f t="shared" si="12"/>
        <v>0</v>
      </c>
      <c r="G42" s="523">
        <f t="shared" si="12"/>
        <v>0</v>
      </c>
      <c r="H42" s="523">
        <f t="shared" si="12"/>
        <v>0</v>
      </c>
      <c r="I42" s="38"/>
      <c r="J42" s="524" t="e">
        <f t="shared" si="9"/>
        <v>#DIV/0!</v>
      </c>
      <c r="K42" s="38"/>
      <c r="L42" s="523" t="e">
        <f t="shared" ref="L42:Q42" si="13">SUM(L39:L41)+L37</f>
        <v>#DIV/0!</v>
      </c>
      <c r="M42" s="523" t="e">
        <f t="shared" si="13"/>
        <v>#DIV/0!</v>
      </c>
      <c r="N42" s="523">
        <f t="shared" si="13"/>
        <v>0</v>
      </c>
      <c r="O42" s="523">
        <f t="shared" si="13"/>
        <v>0</v>
      </c>
      <c r="P42" s="523">
        <f t="shared" si="13"/>
        <v>0</v>
      </c>
      <c r="Q42" s="523">
        <f t="shared" si="13"/>
        <v>0</v>
      </c>
      <c r="S42" s="524" t="e">
        <f>((Q42/L42)^(1/COUNT(L42:Q42))-1)</f>
        <v>#DIV/0!</v>
      </c>
    </row>
    <row r="43" spans="2:21" ht="5.0999999999999996" customHeight="1">
      <c r="B43" s="38"/>
      <c r="C43" s="38"/>
      <c r="D43" s="38"/>
      <c r="E43" s="38"/>
      <c r="F43" s="38"/>
      <c r="G43" s="38"/>
      <c r="H43" s="38"/>
      <c r="I43" s="38"/>
      <c r="J43" s="38"/>
      <c r="K43" s="38"/>
      <c r="L43" s="38"/>
      <c r="M43" s="38"/>
      <c r="N43" s="38"/>
      <c r="O43" s="38"/>
      <c r="P43" s="38"/>
      <c r="Q43" s="38"/>
      <c r="S43" s="526"/>
    </row>
    <row r="44" spans="2:21">
      <c r="B44" s="8" t="s">
        <v>420</v>
      </c>
      <c r="C44" s="165"/>
      <c r="D44" s="165"/>
      <c r="E44" s="165"/>
      <c r="F44" s="165"/>
      <c r="G44" s="165"/>
      <c r="H44" s="165"/>
      <c r="J44" s="521" t="e">
        <f t="shared" si="9"/>
        <v>#DIV/0!</v>
      </c>
      <c r="L44" s="522"/>
      <c r="M44" s="522"/>
      <c r="N44" s="522"/>
      <c r="O44" s="522"/>
      <c r="P44" s="522"/>
      <c r="Q44" s="522"/>
      <c r="S44" s="521" t="e">
        <f>((Q44/L44)^(1/COUNT(L44:Q44))-1)</f>
        <v>#DIV/0!</v>
      </c>
    </row>
    <row r="45" spans="2:21">
      <c r="B45" s="38" t="s">
        <v>17</v>
      </c>
      <c r="C45" s="523">
        <f t="shared" ref="C45:H45" si="14">+C42+C44</f>
        <v>0</v>
      </c>
      <c r="D45" s="523">
        <f t="shared" si="14"/>
        <v>0</v>
      </c>
      <c r="E45" s="523">
        <f t="shared" si="14"/>
        <v>0</v>
      </c>
      <c r="F45" s="523">
        <f t="shared" si="14"/>
        <v>0</v>
      </c>
      <c r="G45" s="523">
        <f t="shared" si="14"/>
        <v>0</v>
      </c>
      <c r="H45" s="523">
        <f t="shared" si="14"/>
        <v>0</v>
      </c>
      <c r="I45" s="38"/>
      <c r="J45" s="524" t="e">
        <f t="shared" si="9"/>
        <v>#DIV/0!</v>
      </c>
      <c r="K45" s="38"/>
      <c r="L45" s="523" t="e">
        <f t="shared" ref="L45:Q45" si="15">+L42+L44</f>
        <v>#DIV/0!</v>
      </c>
      <c r="M45" s="523" t="e">
        <f t="shared" si="15"/>
        <v>#DIV/0!</v>
      </c>
      <c r="N45" s="523">
        <f t="shared" si="15"/>
        <v>0</v>
      </c>
      <c r="O45" s="523">
        <f t="shared" si="15"/>
        <v>0</v>
      </c>
      <c r="P45" s="523">
        <f t="shared" si="15"/>
        <v>0</v>
      </c>
      <c r="Q45" s="523">
        <f t="shared" si="15"/>
        <v>0</v>
      </c>
      <c r="S45" s="524" t="e">
        <f>((Q45/L45)^(1/COUNT(L45:Q45))-1)</f>
        <v>#DIV/0!</v>
      </c>
    </row>
    <row r="46" spans="2:21" ht="5.0999999999999996" customHeight="1">
      <c r="B46" s="38"/>
      <c r="C46" s="48"/>
      <c r="D46" s="48"/>
      <c r="E46" s="48"/>
      <c r="F46" s="48"/>
      <c r="G46" s="48"/>
      <c r="H46" s="48"/>
      <c r="I46" s="38"/>
      <c r="J46" s="38"/>
      <c r="K46" s="38"/>
      <c r="L46" s="48"/>
      <c r="M46" s="48"/>
      <c r="N46" s="48"/>
      <c r="O46" s="48"/>
      <c r="P46" s="48"/>
      <c r="Q46" s="48"/>
      <c r="S46" s="525"/>
    </row>
    <row r="47" spans="2:21">
      <c r="B47" s="8" t="s">
        <v>543</v>
      </c>
      <c r="C47" s="165"/>
      <c r="D47" s="165"/>
      <c r="E47" s="165"/>
      <c r="F47" s="165"/>
      <c r="G47" s="165"/>
      <c r="H47" s="165"/>
      <c r="J47" s="521" t="e">
        <f t="shared" si="9"/>
        <v>#DIV/0!</v>
      </c>
      <c r="L47" s="564"/>
      <c r="M47" s="564"/>
      <c r="N47" s="564"/>
      <c r="O47" s="564"/>
      <c r="P47" s="564"/>
      <c r="Q47" s="564"/>
      <c r="S47" s="521" t="e">
        <f>((Q47/L47)^(1/COUNT(L47:Q47))-1)</f>
        <v>#DIV/0!</v>
      </c>
      <c r="U47" s="8" t="s">
        <v>119</v>
      </c>
    </row>
    <row r="48" spans="2:21">
      <c r="B48" s="38" t="s">
        <v>11</v>
      </c>
      <c r="C48" s="523">
        <f t="shared" ref="C48:H48" si="16">+C37+C47</f>
        <v>0</v>
      </c>
      <c r="D48" s="523">
        <f t="shared" si="16"/>
        <v>0</v>
      </c>
      <c r="E48" s="523">
        <f t="shared" si="16"/>
        <v>0</v>
      </c>
      <c r="F48" s="523">
        <f t="shared" si="16"/>
        <v>0</v>
      </c>
      <c r="G48" s="523">
        <f t="shared" si="16"/>
        <v>0</v>
      </c>
      <c r="H48" s="523">
        <f t="shared" si="16"/>
        <v>0</v>
      </c>
      <c r="I48" s="38"/>
      <c r="J48" s="524" t="e">
        <f t="shared" si="9"/>
        <v>#DIV/0!</v>
      </c>
      <c r="K48" s="38"/>
      <c r="L48" s="523" t="e">
        <f t="shared" ref="L48:Q48" si="17">+L37+L47</f>
        <v>#DIV/0!</v>
      </c>
      <c r="M48" s="523" t="e">
        <f t="shared" si="17"/>
        <v>#DIV/0!</v>
      </c>
      <c r="N48" s="523">
        <f t="shared" si="17"/>
        <v>0</v>
      </c>
      <c r="O48" s="523">
        <f t="shared" si="17"/>
        <v>0</v>
      </c>
      <c r="P48" s="523">
        <f t="shared" si="17"/>
        <v>0</v>
      </c>
      <c r="Q48" s="523">
        <f t="shared" si="17"/>
        <v>0</v>
      </c>
      <c r="S48" s="521" t="e">
        <f>((Q48/L48)^(1/COUNT(L48:Q48))-1)</f>
        <v>#DIV/0!</v>
      </c>
    </row>
    <row r="49" spans="2:19" ht="5.0999999999999996" customHeight="1">
      <c r="B49" s="38"/>
      <c r="C49" s="48"/>
      <c r="D49" s="48"/>
      <c r="E49" s="48"/>
      <c r="F49" s="48"/>
      <c r="G49" s="48"/>
      <c r="H49" s="48"/>
      <c r="I49" s="38"/>
      <c r="J49" s="524"/>
      <c r="K49" s="38"/>
      <c r="L49" s="48"/>
      <c r="M49" s="48"/>
      <c r="N49" s="48"/>
      <c r="O49" s="48"/>
      <c r="P49" s="48"/>
      <c r="Q49" s="48"/>
      <c r="S49" s="524"/>
    </row>
    <row r="50" spans="2:19">
      <c r="B50" s="8" t="s">
        <v>544</v>
      </c>
      <c r="C50" s="165"/>
      <c r="D50" s="165"/>
      <c r="E50" s="165"/>
      <c r="F50" s="165"/>
      <c r="G50" s="165"/>
      <c r="H50" s="165"/>
      <c r="J50" s="521" t="e">
        <f>((H50/C50)^(1/COUNT(D50:H50))-1)</f>
        <v>#DIV/0!</v>
      </c>
      <c r="L50" s="522"/>
      <c r="M50" s="522"/>
      <c r="N50" s="522"/>
      <c r="O50" s="522"/>
      <c r="P50" s="522"/>
      <c r="Q50" s="522"/>
      <c r="S50" s="521" t="e">
        <f>((Q50/L50)^(1/COUNT(L50:Q50))-1)</f>
        <v>#DIV/0!</v>
      </c>
    </row>
    <row r="51" spans="2:19">
      <c r="B51" s="38" t="s">
        <v>53</v>
      </c>
      <c r="C51" s="523">
        <f t="shared" ref="C51:H51" si="18">+C48+C50</f>
        <v>0</v>
      </c>
      <c r="D51" s="523">
        <f t="shared" si="18"/>
        <v>0</v>
      </c>
      <c r="E51" s="523">
        <f t="shared" si="18"/>
        <v>0</v>
      </c>
      <c r="F51" s="523">
        <f t="shared" si="18"/>
        <v>0</v>
      </c>
      <c r="G51" s="523">
        <f t="shared" si="18"/>
        <v>0</v>
      </c>
      <c r="H51" s="523">
        <f t="shared" si="18"/>
        <v>0</v>
      </c>
      <c r="I51" s="38"/>
      <c r="J51" s="524" t="e">
        <f>((H51/C51)^(1/COUNT(D51:H51))-1)</f>
        <v>#DIV/0!</v>
      </c>
      <c r="K51" s="38"/>
      <c r="L51" s="523" t="e">
        <f t="shared" ref="L51:Q51" si="19">+L48+L50</f>
        <v>#DIV/0!</v>
      </c>
      <c r="M51" s="523" t="e">
        <f t="shared" si="19"/>
        <v>#DIV/0!</v>
      </c>
      <c r="N51" s="523">
        <f t="shared" si="19"/>
        <v>0</v>
      </c>
      <c r="O51" s="523">
        <f t="shared" si="19"/>
        <v>0</v>
      </c>
      <c r="P51" s="523">
        <f t="shared" si="19"/>
        <v>0</v>
      </c>
      <c r="Q51" s="523">
        <f t="shared" si="19"/>
        <v>0</v>
      </c>
      <c r="S51" s="521" t="e">
        <f>((Q51/L51)^(1/COUNT(L51:Q51))-1)</f>
        <v>#DIV/0!</v>
      </c>
    </row>
    <row r="52" spans="2:19" ht="5.0999999999999996" customHeight="1"/>
    <row r="53" spans="2:19">
      <c r="B53" s="351" t="s">
        <v>123</v>
      </c>
      <c r="C53" s="548"/>
      <c r="D53" s="548"/>
      <c r="E53" s="548"/>
      <c r="F53" s="548"/>
      <c r="G53" s="548"/>
      <c r="H53" s="548"/>
      <c r="I53" s="548"/>
      <c r="J53" s="548"/>
      <c r="K53" s="548"/>
      <c r="L53" s="548"/>
      <c r="M53" s="548"/>
      <c r="N53" s="548"/>
      <c r="O53" s="548"/>
      <c r="P53" s="548"/>
      <c r="Q53" s="548"/>
    </row>
    <row r="54" spans="2:19" ht="5.0999999999999996" customHeight="1">
      <c r="B54" s="354"/>
      <c r="Q54" s="333"/>
    </row>
    <row r="55" spans="2:19">
      <c r="B55" s="414" t="s">
        <v>124</v>
      </c>
      <c r="Q55" s="333"/>
    </row>
    <row r="56" spans="2:19">
      <c r="B56" s="565" t="s">
        <v>584</v>
      </c>
      <c r="D56" s="555" t="e">
        <f>SUM(D29/C29)-1</f>
        <v>#DIV/0!</v>
      </c>
      <c r="E56" s="555" t="e">
        <f>SUM(E29/D29)-1</f>
        <v>#DIV/0!</v>
      </c>
      <c r="F56" s="555" t="e">
        <f>SUM(F29/E29)-1</f>
        <v>#DIV/0!</v>
      </c>
      <c r="G56" s="555" t="e">
        <f>SUM(G29/F29)-1</f>
        <v>#DIV/0!</v>
      </c>
      <c r="H56" s="555" t="e">
        <f>SUM(H29/G29)-1</f>
        <v>#DIV/0!</v>
      </c>
      <c r="L56" s="555" t="e">
        <f>SUM(L29/H29)-1</f>
        <v>#DIV/0!</v>
      </c>
      <c r="M56" s="555" t="e">
        <f>SUM(M29/L29)-1</f>
        <v>#DIV/0!</v>
      </c>
      <c r="N56" s="555" t="e">
        <f>SUM(N29/M29)-1</f>
        <v>#DIV/0!</v>
      </c>
      <c r="O56" s="555" t="e">
        <f>SUM(O29/N29)-1</f>
        <v>#DIV/0!</v>
      </c>
      <c r="P56" s="555" t="e">
        <f>SUM(P29/O29)-1</f>
        <v>#DIV/0!</v>
      </c>
      <c r="Q56" s="559" t="e">
        <f>SUM(Q29/P29)-1</f>
        <v>#DIV/0!</v>
      </c>
    </row>
    <row r="57" spans="2:19">
      <c r="B57" s="408" t="s">
        <v>549</v>
      </c>
      <c r="D57" s="555" t="e">
        <f t="shared" ref="D57:H59" si="20">SUM(D18/C18)-1</f>
        <v>#DIV/0!</v>
      </c>
      <c r="E57" s="555" t="e">
        <f t="shared" si="20"/>
        <v>#DIV/0!</v>
      </c>
      <c r="F57" s="555" t="e">
        <f t="shared" si="20"/>
        <v>#DIV/0!</v>
      </c>
      <c r="G57" s="555" t="e">
        <f t="shared" si="20"/>
        <v>#DIV/0!</v>
      </c>
      <c r="H57" s="555" t="e">
        <f t="shared" si="20"/>
        <v>#DIV/0!</v>
      </c>
      <c r="L57" s="555" t="e">
        <f>SUM(L18/H18)-1</f>
        <v>#DIV/0!</v>
      </c>
      <c r="M57" s="555" t="e">
        <f t="shared" ref="M57:N60" si="21">SUM(M18/L18)-1</f>
        <v>#DIV/0!</v>
      </c>
      <c r="N57" s="555" t="e">
        <f t="shared" si="21"/>
        <v>#DIV/0!</v>
      </c>
      <c r="O57" s="556">
        <v>0.08</v>
      </c>
      <c r="P57" s="556">
        <v>0.08</v>
      </c>
      <c r="Q57" s="558">
        <v>0.08</v>
      </c>
    </row>
    <row r="58" spans="2:19">
      <c r="B58" s="408" t="s">
        <v>524</v>
      </c>
      <c r="D58" s="555" t="e">
        <f t="shared" si="20"/>
        <v>#DIV/0!</v>
      </c>
      <c r="E58" s="555" t="e">
        <f t="shared" si="20"/>
        <v>#DIV/0!</v>
      </c>
      <c r="F58" s="555" t="e">
        <f t="shared" si="20"/>
        <v>#DIV/0!</v>
      </c>
      <c r="G58" s="555" t="e">
        <f t="shared" si="20"/>
        <v>#DIV/0!</v>
      </c>
      <c r="H58" s="555" t="e">
        <f t="shared" si="20"/>
        <v>#DIV/0!</v>
      </c>
      <c r="L58" s="555" t="e">
        <f>SUM(L19/H19)-1</f>
        <v>#DIV/0!</v>
      </c>
      <c r="M58" s="555" t="e">
        <f t="shared" si="21"/>
        <v>#DIV/0!</v>
      </c>
      <c r="N58" s="555" t="e">
        <f t="shared" si="21"/>
        <v>#DIV/0!</v>
      </c>
      <c r="O58" s="556">
        <v>0.11</v>
      </c>
      <c r="P58" s="556">
        <v>0.1</v>
      </c>
      <c r="Q58" s="558">
        <v>0.09</v>
      </c>
    </row>
    <row r="59" spans="2:19">
      <c r="B59" s="408" t="s">
        <v>481</v>
      </c>
      <c r="D59" s="555" t="e">
        <f t="shared" si="20"/>
        <v>#DIV/0!</v>
      </c>
      <c r="E59" s="555" t="e">
        <f t="shared" si="20"/>
        <v>#DIV/0!</v>
      </c>
      <c r="F59" s="555" t="e">
        <f t="shared" si="20"/>
        <v>#DIV/0!</v>
      </c>
      <c r="G59" s="555" t="e">
        <f t="shared" si="20"/>
        <v>#DIV/0!</v>
      </c>
      <c r="H59" s="555" t="e">
        <f t="shared" si="20"/>
        <v>#DIV/0!</v>
      </c>
      <c r="L59" s="555" t="e">
        <f>SUM(L20/H20)-1</f>
        <v>#DIV/0!</v>
      </c>
      <c r="M59" s="555" t="e">
        <f t="shared" si="21"/>
        <v>#DIV/0!</v>
      </c>
      <c r="N59" s="555" t="e">
        <f t="shared" si="21"/>
        <v>#DIV/0!</v>
      </c>
      <c r="O59" s="556" t="e">
        <f>AVERAGE(L59:N59)</f>
        <v>#DIV/0!</v>
      </c>
      <c r="P59" s="556" t="e">
        <f>AVERAGE(M59:O59)</f>
        <v>#DIV/0!</v>
      </c>
      <c r="Q59" s="558" t="e">
        <f>AVERAGE(N59:P59)</f>
        <v>#DIV/0!</v>
      </c>
    </row>
    <row r="60" spans="2:19">
      <c r="B60" s="408" t="s">
        <v>482</v>
      </c>
      <c r="D60" s="555" t="e">
        <f>SUM(D23/C23)-1</f>
        <v>#DIV/0!</v>
      </c>
      <c r="E60" s="555" t="e">
        <f>SUM(E23/D23)-1</f>
        <v>#DIV/0!</v>
      </c>
      <c r="F60" s="555" t="e">
        <f>SUM(F23/E23)-1</f>
        <v>#DIV/0!</v>
      </c>
      <c r="G60" s="555" t="e">
        <f>SUM(G23/F23)-1</f>
        <v>#DIV/0!</v>
      </c>
      <c r="H60" s="555" t="e">
        <f>SUM(H23/G23)-1</f>
        <v>#DIV/0!</v>
      </c>
      <c r="L60" s="555" t="e">
        <f>SUM(L21/H21)-1</f>
        <v>#DIV/0!</v>
      </c>
      <c r="M60" s="555" t="e">
        <f t="shared" si="21"/>
        <v>#DIV/0!</v>
      </c>
      <c r="N60" s="555" t="e">
        <f t="shared" si="21"/>
        <v>#DIV/0!</v>
      </c>
      <c r="O60" s="555" t="e">
        <f>SUM(O21/N21)-1</f>
        <v>#DIV/0!</v>
      </c>
      <c r="P60" s="555" t="e">
        <f>SUM(P21/O21)-1</f>
        <v>#DIV/0!</v>
      </c>
      <c r="Q60" s="559" t="e">
        <f>SUM(Q21/P21)-1</f>
        <v>#DIV/0!</v>
      </c>
    </row>
    <row r="61" spans="2:19">
      <c r="B61" s="408" t="s">
        <v>483</v>
      </c>
      <c r="D61" s="555" t="e">
        <f t="shared" ref="D61:H63" si="22">SUM(D26/C26)-1</f>
        <v>#DIV/0!</v>
      </c>
      <c r="E61" s="555" t="e">
        <f t="shared" si="22"/>
        <v>#DIV/0!</v>
      </c>
      <c r="F61" s="555" t="e">
        <f t="shared" si="22"/>
        <v>#DIV/0!</v>
      </c>
      <c r="G61" s="555" t="e">
        <f t="shared" si="22"/>
        <v>#DIV/0!</v>
      </c>
      <c r="H61" s="555" t="e">
        <f t="shared" si="22"/>
        <v>#DIV/0!</v>
      </c>
      <c r="L61" s="555" t="e">
        <f>SUM(L23/H23)-1</f>
        <v>#DIV/0!</v>
      </c>
      <c r="M61" s="555" t="e">
        <f>SUM(M23/L23)-1</f>
        <v>#DIV/0!</v>
      </c>
      <c r="N61" s="555" t="e">
        <f>SUM(N23/M23)-1</f>
        <v>#DIV/0!</v>
      </c>
      <c r="O61" s="556" t="e">
        <f>N61</f>
        <v>#DIV/0!</v>
      </c>
      <c r="P61" s="556" t="e">
        <f>O61</f>
        <v>#DIV/0!</v>
      </c>
      <c r="Q61" s="558" t="e">
        <f>P61</f>
        <v>#DIV/0!</v>
      </c>
    </row>
    <row r="62" spans="2:19">
      <c r="B62" s="408" t="s">
        <v>484</v>
      </c>
      <c r="D62" s="555" t="e">
        <f t="shared" si="22"/>
        <v>#DIV/0!</v>
      </c>
      <c r="E62" s="555" t="e">
        <f t="shared" si="22"/>
        <v>#DIV/0!</v>
      </c>
      <c r="F62" s="555" t="e">
        <f t="shared" si="22"/>
        <v>#DIV/0!</v>
      </c>
      <c r="G62" s="555" t="e">
        <f t="shared" si="22"/>
        <v>#DIV/0!</v>
      </c>
      <c r="H62" s="555" t="e">
        <f t="shared" si="22"/>
        <v>#DIV/0!</v>
      </c>
      <c r="L62" s="555" t="e">
        <f>SUM(L23/H27)-1</f>
        <v>#DIV/0!</v>
      </c>
      <c r="M62" s="555" t="e">
        <f>SUM(M23/L23)-1</f>
        <v>#DIV/0!</v>
      </c>
      <c r="N62" s="555" t="e">
        <f>SUM(N23/M23)-1</f>
        <v>#DIV/0!</v>
      </c>
      <c r="O62" s="555" t="e">
        <f>SUM(O23/N23)-1</f>
        <v>#DIV/0!</v>
      </c>
      <c r="P62" s="555" t="e">
        <f>SUM(P23/O23)-1</f>
        <v>#DIV/0!</v>
      </c>
      <c r="Q62" s="559">
        <v>0.03</v>
      </c>
    </row>
    <row r="63" spans="2:19">
      <c r="B63" s="408" t="s">
        <v>485</v>
      </c>
      <c r="D63" s="555" t="e">
        <f t="shared" si="22"/>
        <v>#DIV/0!</v>
      </c>
      <c r="E63" s="555" t="e">
        <f t="shared" si="22"/>
        <v>#DIV/0!</v>
      </c>
      <c r="F63" s="555" t="e">
        <f t="shared" si="22"/>
        <v>#DIV/0!</v>
      </c>
      <c r="G63" s="555" t="e">
        <f t="shared" si="22"/>
        <v>#DIV/0!</v>
      </c>
      <c r="H63" s="555" t="e">
        <f t="shared" si="22"/>
        <v>#DIV/0!</v>
      </c>
      <c r="L63" s="556">
        <v>0</v>
      </c>
      <c r="M63" s="556">
        <v>0</v>
      </c>
      <c r="N63" s="556">
        <v>0</v>
      </c>
      <c r="O63" s="556">
        <v>0</v>
      </c>
      <c r="P63" s="556">
        <v>0</v>
      </c>
      <c r="Q63" s="558">
        <v>0</v>
      </c>
    </row>
    <row r="64" spans="2:19">
      <c r="B64" s="414"/>
      <c r="Q64" s="333"/>
    </row>
    <row r="65" spans="1:19">
      <c r="B65" s="414" t="s">
        <v>568</v>
      </c>
      <c r="Q65" s="333"/>
    </row>
    <row r="66" spans="1:19">
      <c r="B66" s="408" t="s">
        <v>569</v>
      </c>
      <c r="C66" s="555" t="e">
        <f t="shared" ref="C66:H66" si="23">C32/C24</f>
        <v>#DIV/0!</v>
      </c>
      <c r="D66" s="555" t="e">
        <f t="shared" si="23"/>
        <v>#DIV/0!</v>
      </c>
      <c r="E66" s="555" t="e">
        <f t="shared" si="23"/>
        <v>#DIV/0!</v>
      </c>
      <c r="F66" s="555" t="e">
        <f t="shared" si="23"/>
        <v>#DIV/0!</v>
      </c>
      <c r="G66" s="555" t="e">
        <f t="shared" si="23"/>
        <v>#DIV/0!</v>
      </c>
      <c r="H66" s="555" t="e">
        <f t="shared" si="23"/>
        <v>#DIV/0!</v>
      </c>
      <c r="L66" s="555" t="e">
        <f>H66</f>
        <v>#DIV/0!</v>
      </c>
      <c r="M66" s="555" t="e">
        <f>L66</f>
        <v>#DIV/0!</v>
      </c>
      <c r="N66" s="557">
        <f>Drivers!E185</f>
        <v>0.68188305865483911</v>
      </c>
      <c r="O66" s="557">
        <f>Drivers!F185</f>
        <v>0.68188305865483911</v>
      </c>
      <c r="P66" s="557">
        <f>Drivers!G185</f>
        <v>0.68188305865483911</v>
      </c>
      <c r="Q66" s="560">
        <f>Drivers!H185</f>
        <v>0.68188305865483911</v>
      </c>
      <c r="S66" s="8" t="s">
        <v>565</v>
      </c>
    </row>
    <row r="67" spans="1:19">
      <c r="B67" s="408" t="s">
        <v>559</v>
      </c>
      <c r="C67" s="555" t="e">
        <f t="shared" ref="C67:H67" si="24">C37/C29</f>
        <v>#DIV/0!</v>
      </c>
      <c r="D67" s="555" t="e">
        <f t="shared" si="24"/>
        <v>#DIV/0!</v>
      </c>
      <c r="E67" s="555" t="e">
        <f t="shared" si="24"/>
        <v>#DIV/0!</v>
      </c>
      <c r="F67" s="555" t="e">
        <f t="shared" si="24"/>
        <v>#DIV/0!</v>
      </c>
      <c r="G67" s="555" t="e">
        <f t="shared" si="24"/>
        <v>#DIV/0!</v>
      </c>
      <c r="H67" s="555" t="e">
        <f t="shared" si="24"/>
        <v>#DIV/0!</v>
      </c>
      <c r="L67" s="555" t="e">
        <f t="shared" ref="L67:Q67" si="25">L37/L29</f>
        <v>#DIV/0!</v>
      </c>
      <c r="M67" s="555" t="e">
        <f t="shared" si="25"/>
        <v>#DIV/0!</v>
      </c>
      <c r="N67" s="555" t="e">
        <f t="shared" si="25"/>
        <v>#DIV/0!</v>
      </c>
      <c r="O67" s="555" t="e">
        <f t="shared" si="25"/>
        <v>#DIV/0!</v>
      </c>
      <c r="P67" s="555" t="e">
        <f t="shared" si="25"/>
        <v>#DIV/0!</v>
      </c>
      <c r="Q67" s="559" t="e">
        <f t="shared" si="25"/>
        <v>#DIV/0!</v>
      </c>
    </row>
    <row r="68" spans="1:19">
      <c r="B68" s="408" t="s">
        <v>546</v>
      </c>
      <c r="C68" s="555" t="e">
        <f t="shared" ref="C68:H68" si="26">-C44/C42</f>
        <v>#DIV/0!</v>
      </c>
      <c r="D68" s="555" t="e">
        <f t="shared" si="26"/>
        <v>#DIV/0!</v>
      </c>
      <c r="E68" s="555" t="e">
        <f t="shared" si="26"/>
        <v>#DIV/0!</v>
      </c>
      <c r="F68" s="555" t="e">
        <f t="shared" si="26"/>
        <v>#DIV/0!</v>
      </c>
      <c r="G68" s="555" t="e">
        <f t="shared" si="26"/>
        <v>#DIV/0!</v>
      </c>
      <c r="H68" s="555" t="e">
        <f t="shared" si="26"/>
        <v>#DIV/0!</v>
      </c>
      <c r="L68" s="555" t="e">
        <f>H68</f>
        <v>#DIV/0!</v>
      </c>
      <c r="M68" s="557">
        <f>Drivers!D136</f>
        <v>0.16866666666666666</v>
      </c>
      <c r="N68" s="557">
        <f>Drivers!E136</f>
        <v>0.17033333333333334</v>
      </c>
      <c r="O68" s="557">
        <f>Drivers!F136</f>
        <v>0.17033333333333334</v>
      </c>
      <c r="P68" s="557">
        <f>Drivers!G136</f>
        <v>0.17033333333333334</v>
      </c>
      <c r="Q68" s="560">
        <f>Drivers!H136</f>
        <v>0.17033333333333334</v>
      </c>
      <c r="S68" s="8" t="s">
        <v>578</v>
      </c>
    </row>
    <row r="69" spans="1:19">
      <c r="B69" s="408" t="s">
        <v>574</v>
      </c>
      <c r="C69" s="555" t="e">
        <f t="shared" ref="C69:H69" si="27">C48/C29</f>
        <v>#DIV/0!</v>
      </c>
      <c r="D69" s="555" t="e">
        <f t="shared" si="27"/>
        <v>#DIV/0!</v>
      </c>
      <c r="E69" s="555" t="e">
        <f t="shared" si="27"/>
        <v>#DIV/0!</v>
      </c>
      <c r="F69" s="555" t="e">
        <f t="shared" si="27"/>
        <v>#DIV/0!</v>
      </c>
      <c r="G69" s="555" t="e">
        <f t="shared" si="27"/>
        <v>#DIV/0!</v>
      </c>
      <c r="H69" s="555" t="e">
        <f t="shared" si="27"/>
        <v>#DIV/0!</v>
      </c>
      <c r="L69" s="557"/>
      <c r="Q69" s="333"/>
      <c r="S69" s="8" t="s">
        <v>578</v>
      </c>
    </row>
    <row r="70" spans="1:19">
      <c r="B70" s="408" t="s">
        <v>575</v>
      </c>
      <c r="C70" s="555" t="e">
        <f t="shared" ref="C70:H70" si="28">C51/C29</f>
        <v>#DIV/0!</v>
      </c>
      <c r="D70" s="555" t="e">
        <f t="shared" si="28"/>
        <v>#DIV/0!</v>
      </c>
      <c r="E70" s="555" t="e">
        <f t="shared" si="28"/>
        <v>#DIV/0!</v>
      </c>
      <c r="F70" s="555" t="e">
        <f t="shared" si="28"/>
        <v>#DIV/0!</v>
      </c>
      <c r="G70" s="555" t="e">
        <f t="shared" si="28"/>
        <v>#DIV/0!</v>
      </c>
      <c r="H70" s="555" t="e">
        <f t="shared" si="28"/>
        <v>#DIV/0!</v>
      </c>
      <c r="L70" s="555" t="e">
        <f t="shared" ref="L70:Q70" si="29">L51/L29</f>
        <v>#DIV/0!</v>
      </c>
      <c r="M70" s="555" t="e">
        <f t="shared" si="29"/>
        <v>#DIV/0!</v>
      </c>
      <c r="N70" s="555" t="e">
        <f t="shared" si="29"/>
        <v>#DIV/0!</v>
      </c>
      <c r="O70" s="555" t="e">
        <f t="shared" si="29"/>
        <v>#DIV/0!</v>
      </c>
      <c r="P70" s="555" t="e">
        <f t="shared" si="29"/>
        <v>#DIV/0!</v>
      </c>
      <c r="Q70" s="559" t="e">
        <f t="shared" si="29"/>
        <v>#DIV/0!</v>
      </c>
      <c r="S70" s="8" t="s">
        <v>578</v>
      </c>
    </row>
    <row r="71" spans="1:19">
      <c r="B71" s="408"/>
      <c r="C71" s="555"/>
      <c r="D71" s="555"/>
      <c r="E71" s="555"/>
      <c r="F71" s="555"/>
      <c r="G71" s="555"/>
      <c r="H71" s="555"/>
      <c r="Q71" s="333"/>
    </row>
    <row r="72" spans="1:19">
      <c r="B72" s="414" t="s">
        <v>573</v>
      </c>
      <c r="C72" s="555"/>
      <c r="D72" s="555"/>
      <c r="E72" s="555"/>
      <c r="F72" s="555"/>
      <c r="G72" s="555"/>
      <c r="H72" s="555"/>
      <c r="Q72" s="333"/>
    </row>
    <row r="73" spans="1:19">
      <c r="B73" s="408" t="s">
        <v>570</v>
      </c>
      <c r="C73" s="555" t="e">
        <f t="shared" ref="C73:H73" si="30">-C34/C29</f>
        <v>#DIV/0!</v>
      </c>
      <c r="D73" s="555" t="e">
        <f t="shared" si="30"/>
        <v>#DIV/0!</v>
      </c>
      <c r="E73" s="555" t="e">
        <f t="shared" si="30"/>
        <v>#DIV/0!</v>
      </c>
      <c r="F73" s="555" t="e">
        <f t="shared" si="30"/>
        <v>#DIV/0!</v>
      </c>
      <c r="G73" s="555" t="e">
        <f t="shared" si="30"/>
        <v>#DIV/0!</v>
      </c>
      <c r="H73" s="555" t="e">
        <f t="shared" si="30"/>
        <v>#DIV/0!</v>
      </c>
      <c r="L73" s="555" t="e">
        <f>H73</f>
        <v>#DIV/0!</v>
      </c>
      <c r="M73" s="557">
        <f>Drivers!D107</f>
        <v>0.18599543099615734</v>
      </c>
      <c r="N73" s="557">
        <f>Drivers!E107</f>
        <v>0.16363690348057802</v>
      </c>
      <c r="O73" s="557">
        <f>Drivers!F107</f>
        <v>0.14688959199816276</v>
      </c>
      <c r="P73" s="557">
        <f>Drivers!G107</f>
        <v>0.13818683916325081</v>
      </c>
      <c r="Q73" s="559">
        <f>P73</f>
        <v>0.13818683916325081</v>
      </c>
    </row>
    <row r="74" spans="1:19">
      <c r="B74" s="408" t="s">
        <v>571</v>
      </c>
      <c r="C74" s="555" t="e">
        <f t="shared" ref="C74:H74" si="31">-C35/C29</f>
        <v>#DIV/0!</v>
      </c>
      <c r="D74" s="555" t="e">
        <f t="shared" si="31"/>
        <v>#DIV/0!</v>
      </c>
      <c r="E74" s="555" t="e">
        <f t="shared" si="31"/>
        <v>#DIV/0!</v>
      </c>
      <c r="F74" s="555" t="e">
        <f t="shared" si="31"/>
        <v>#DIV/0!</v>
      </c>
      <c r="G74" s="555" t="e">
        <f t="shared" si="31"/>
        <v>#DIV/0!</v>
      </c>
      <c r="H74" s="555" t="e">
        <f t="shared" si="31"/>
        <v>#DIV/0!</v>
      </c>
      <c r="L74" s="557">
        <f>Drivers!C118</f>
        <v>8.1950394026401391E-2</v>
      </c>
      <c r="M74" s="557">
        <f>Drivers!D118</f>
        <v>7.3305516942493237E-2</v>
      </c>
      <c r="N74" s="557">
        <f>Drivers!E118</f>
        <v>6.8958619369037147E-2</v>
      </c>
      <c r="O74" s="557">
        <f>Drivers!F118</f>
        <v>6.8958619369037147E-2</v>
      </c>
      <c r="P74" s="557">
        <f>Drivers!G118</f>
        <v>6.8958619369037147E-2</v>
      </c>
      <c r="Q74" s="560">
        <f>Drivers!H118</f>
        <v>6.8958619369037147E-2</v>
      </c>
    </row>
    <row r="75" spans="1:19">
      <c r="B75" s="408" t="s">
        <v>572</v>
      </c>
      <c r="C75" s="555" t="e">
        <f t="shared" ref="C75:H75" si="32">-C36/C29</f>
        <v>#DIV/0!</v>
      </c>
      <c r="D75" s="555" t="e">
        <f t="shared" si="32"/>
        <v>#DIV/0!</v>
      </c>
      <c r="E75" s="555" t="e">
        <f t="shared" si="32"/>
        <v>#DIV/0!</v>
      </c>
      <c r="F75" s="555" t="e">
        <f t="shared" si="32"/>
        <v>#DIV/0!</v>
      </c>
      <c r="G75" s="555" t="e">
        <f t="shared" si="32"/>
        <v>#DIV/0!</v>
      </c>
      <c r="H75" s="555" t="e">
        <f t="shared" si="32"/>
        <v>#DIV/0!</v>
      </c>
      <c r="L75" s="557">
        <f>Drivers!C126</f>
        <v>6.0782011162370551E-2</v>
      </c>
      <c r="M75" s="557">
        <f>Drivers!D126</f>
        <v>4.1976927013277793E-2</v>
      </c>
      <c r="N75" s="555">
        <f>M75</f>
        <v>4.1976927013277793E-2</v>
      </c>
      <c r="O75" s="555">
        <f>N75</f>
        <v>4.1976927013277793E-2</v>
      </c>
      <c r="P75" s="555">
        <f>O75</f>
        <v>4.1976927013277793E-2</v>
      </c>
      <c r="Q75" s="559">
        <f>P75</f>
        <v>4.1976927013277793E-2</v>
      </c>
    </row>
    <row r="76" spans="1:19">
      <c r="B76" s="408" t="s">
        <v>576</v>
      </c>
      <c r="C76" s="555" t="e">
        <f t="shared" ref="C76:H76" si="33">C47/C29</f>
        <v>#DIV/0!</v>
      </c>
      <c r="D76" s="555" t="e">
        <f t="shared" si="33"/>
        <v>#DIV/0!</v>
      </c>
      <c r="E76" s="555" t="e">
        <f t="shared" si="33"/>
        <v>#DIV/0!</v>
      </c>
      <c r="F76" s="555" t="e">
        <f t="shared" si="33"/>
        <v>#DIV/0!</v>
      </c>
      <c r="G76" s="555" t="e">
        <f t="shared" si="33"/>
        <v>#DIV/0!</v>
      </c>
      <c r="H76" s="555" t="e">
        <f t="shared" si="33"/>
        <v>#DIV/0!</v>
      </c>
      <c r="L76" s="555" t="e">
        <f t="shared" ref="L76:Q76" si="34">L47/L29</f>
        <v>#DIV/0!</v>
      </c>
      <c r="M76" s="555" t="e">
        <f t="shared" si="34"/>
        <v>#DIV/0!</v>
      </c>
      <c r="N76" s="555" t="e">
        <f t="shared" si="34"/>
        <v>#DIV/0!</v>
      </c>
      <c r="O76" s="555" t="e">
        <f t="shared" si="34"/>
        <v>#DIV/0!</v>
      </c>
      <c r="P76" s="555" t="e">
        <f t="shared" si="34"/>
        <v>#DIV/0!</v>
      </c>
      <c r="Q76" s="559" t="e">
        <f t="shared" si="34"/>
        <v>#DIV/0!</v>
      </c>
    </row>
    <row r="77" spans="1:19">
      <c r="B77" s="554" t="s">
        <v>577</v>
      </c>
      <c r="C77" s="561" t="e">
        <f t="shared" ref="C77:H77" si="35">C50/C29</f>
        <v>#DIV/0!</v>
      </c>
      <c r="D77" s="561" t="e">
        <f t="shared" si="35"/>
        <v>#DIV/0!</v>
      </c>
      <c r="E77" s="561" t="e">
        <f t="shared" si="35"/>
        <v>#DIV/0!</v>
      </c>
      <c r="F77" s="561" t="e">
        <f t="shared" si="35"/>
        <v>#DIV/0!</v>
      </c>
      <c r="G77" s="561" t="e">
        <f t="shared" si="35"/>
        <v>#DIV/0!</v>
      </c>
      <c r="H77" s="561" t="e">
        <f t="shared" si="35"/>
        <v>#DIV/0!</v>
      </c>
      <c r="I77" s="330"/>
      <c r="J77" s="330"/>
      <c r="K77" s="330"/>
      <c r="L77" s="561" t="e">
        <f t="shared" ref="L77:Q77" si="36">L50/L29</f>
        <v>#DIV/0!</v>
      </c>
      <c r="M77" s="561" t="e">
        <f t="shared" si="36"/>
        <v>#DIV/0!</v>
      </c>
      <c r="N77" s="561" t="e">
        <f t="shared" si="36"/>
        <v>#DIV/0!</v>
      </c>
      <c r="O77" s="561" t="e">
        <f t="shared" si="36"/>
        <v>#DIV/0!</v>
      </c>
      <c r="P77" s="561" t="e">
        <f t="shared" si="36"/>
        <v>#DIV/0!</v>
      </c>
      <c r="Q77" s="562" t="e">
        <f t="shared" si="36"/>
        <v>#DIV/0!</v>
      </c>
    </row>
    <row r="79" spans="1:19">
      <c r="A79" s="341" t="s">
        <v>24</v>
      </c>
      <c r="B79" s="377" t="s">
        <v>406</v>
      </c>
      <c r="C79" s="383" t="s">
        <v>403</v>
      </c>
      <c r="D79" s="383"/>
      <c r="E79" s="383"/>
      <c r="F79" s="383"/>
      <c r="G79" s="383"/>
      <c r="H79" s="383"/>
      <c r="I79" s="383"/>
      <c r="J79" s="380"/>
      <c r="K79" s="563" t="s">
        <v>161</v>
      </c>
      <c r="L79" s="383"/>
      <c r="M79" s="383"/>
      <c r="N79" s="383"/>
      <c r="O79" s="383"/>
      <c r="P79" s="383"/>
      <c r="Q79" s="383"/>
    </row>
    <row r="80" spans="1:19">
      <c r="B80" s="378" t="str">
        <f t="shared" ref="B80:H81" si="37">B15</f>
        <v xml:space="preserve">Fiscal year  </v>
      </c>
      <c r="C80" s="379">
        <f t="shared" si="37"/>
        <v>2019</v>
      </c>
      <c r="D80" s="379">
        <f t="shared" si="37"/>
        <v>2020</v>
      </c>
      <c r="E80" s="379">
        <f t="shared" si="37"/>
        <v>2021</v>
      </c>
      <c r="F80" s="379">
        <f t="shared" si="37"/>
        <v>2022</v>
      </c>
      <c r="G80" s="379">
        <f t="shared" si="37"/>
        <v>2023</v>
      </c>
      <c r="H80" s="379">
        <f t="shared" si="37"/>
        <v>2024</v>
      </c>
      <c r="I80" s="380"/>
      <c r="J80" s="380"/>
      <c r="K80" s="380">
        <f>K20</f>
        <v>0</v>
      </c>
      <c r="L80" s="380">
        <f t="shared" ref="L80:Q81" si="38">L15</f>
        <v>2025</v>
      </c>
      <c r="M80" s="380">
        <f t="shared" si="38"/>
        <v>2026</v>
      </c>
      <c r="N80" s="380">
        <f t="shared" si="38"/>
        <v>2027</v>
      </c>
      <c r="O80" s="380">
        <f t="shared" si="38"/>
        <v>2028</v>
      </c>
      <c r="P80" s="380">
        <f t="shared" si="38"/>
        <v>2029</v>
      </c>
      <c r="Q80" s="380">
        <f t="shared" si="38"/>
        <v>2030</v>
      </c>
    </row>
    <row r="81" spans="2:19">
      <c r="B81" s="378" t="str">
        <f t="shared" si="37"/>
        <v>Fiscal year end date</v>
      </c>
      <c r="C81" s="381">
        <f t="shared" si="37"/>
        <v>43830</v>
      </c>
      <c r="D81" s="381">
        <f t="shared" si="37"/>
        <v>44196</v>
      </c>
      <c r="E81" s="381">
        <f t="shared" si="37"/>
        <v>44561</v>
      </c>
      <c r="F81" s="381">
        <f t="shared" si="37"/>
        <v>44926</v>
      </c>
      <c r="G81" s="381">
        <f t="shared" si="37"/>
        <v>45291</v>
      </c>
      <c r="H81" s="381">
        <f t="shared" si="37"/>
        <v>45657</v>
      </c>
      <c r="I81" s="381"/>
      <c r="J81" s="381"/>
      <c r="K81" s="381">
        <f>K21</f>
        <v>0</v>
      </c>
      <c r="L81" s="381">
        <f t="shared" si="38"/>
        <v>46022</v>
      </c>
      <c r="M81" s="381">
        <f t="shared" si="38"/>
        <v>46387</v>
      </c>
      <c r="N81" s="381">
        <f t="shared" si="38"/>
        <v>46752</v>
      </c>
      <c r="O81" s="381">
        <f t="shared" si="38"/>
        <v>47118</v>
      </c>
      <c r="P81" s="381">
        <f t="shared" si="38"/>
        <v>47483</v>
      </c>
      <c r="Q81" s="381">
        <f t="shared" si="38"/>
        <v>47848</v>
      </c>
    </row>
    <row r="82" spans="2:19" ht="5.0999999999999996" customHeight="1"/>
    <row r="83" spans="2:19">
      <c r="B83" s="529" t="s">
        <v>439</v>
      </c>
    </row>
    <row r="84" spans="2:19">
      <c r="B84" s="8" t="s">
        <v>437</v>
      </c>
      <c r="C84" s="176"/>
      <c r="D84" s="176"/>
      <c r="E84" s="176"/>
      <c r="F84" s="176"/>
      <c r="G84" s="176"/>
      <c r="H84" s="176"/>
      <c r="L84" s="568" t="e">
        <f t="shared" ref="L84:Q84" si="39">L146</f>
        <v>#DIV/0!</v>
      </c>
      <c r="M84" s="568" t="e">
        <f t="shared" si="39"/>
        <v>#DIV/0!</v>
      </c>
      <c r="N84" s="568" t="e">
        <f t="shared" si="39"/>
        <v>#DIV/0!</v>
      </c>
      <c r="O84" s="568" t="e">
        <f t="shared" si="39"/>
        <v>#DIV/0!</v>
      </c>
      <c r="P84" s="568" t="e">
        <f t="shared" si="39"/>
        <v>#DIV/0!</v>
      </c>
      <c r="Q84" s="568" t="e">
        <f t="shared" si="39"/>
        <v>#DIV/0!</v>
      </c>
      <c r="S84" s="8" t="s">
        <v>130</v>
      </c>
    </row>
    <row r="85" spans="2:19">
      <c r="B85" s="8" t="s">
        <v>528</v>
      </c>
      <c r="C85" s="176"/>
      <c r="D85" s="176"/>
      <c r="E85" s="176"/>
      <c r="F85" s="176"/>
      <c r="G85" s="176"/>
      <c r="H85" s="176"/>
      <c r="L85" s="11">
        <f>H85</f>
        <v>0</v>
      </c>
      <c r="M85" s="11">
        <f>L85</f>
        <v>0</v>
      </c>
      <c r="N85" s="11">
        <f>M85</f>
        <v>0</v>
      </c>
      <c r="O85" s="11">
        <f>N85</f>
        <v>0</v>
      </c>
      <c r="P85" s="11">
        <f>O85</f>
        <v>0</v>
      </c>
      <c r="Q85" s="11">
        <f>P85</f>
        <v>0</v>
      </c>
    </row>
    <row r="86" spans="2:19">
      <c r="B86" s="8" t="s">
        <v>438</v>
      </c>
      <c r="C86" s="176"/>
      <c r="D86" s="176"/>
      <c r="E86" s="176"/>
      <c r="F86" s="176"/>
      <c r="G86" s="176"/>
      <c r="H86" s="176"/>
      <c r="L86" s="566" t="e">
        <f>(H86*L56)+H86</f>
        <v>#DIV/0!</v>
      </c>
      <c r="M86" s="566" t="e">
        <f>(L86*M56)+L86</f>
        <v>#DIV/0!</v>
      </c>
      <c r="N86" s="566" t="e">
        <f>(M86*N56)+M86</f>
        <v>#DIV/0!</v>
      </c>
      <c r="O86" s="566" t="e">
        <f>(N86*O56)+N86</f>
        <v>#DIV/0!</v>
      </c>
      <c r="P86" s="566" t="e">
        <f>(O86*P56)+O86</f>
        <v>#DIV/0!</v>
      </c>
      <c r="Q86" s="566" t="e">
        <f>(P86*Q56)+P86</f>
        <v>#DIV/0!</v>
      </c>
      <c r="S86" s="8" t="s">
        <v>583</v>
      </c>
    </row>
    <row r="87" spans="2:19">
      <c r="B87" s="8" t="s">
        <v>466</v>
      </c>
      <c r="C87" s="176"/>
      <c r="D87" s="176"/>
      <c r="E87" s="176"/>
      <c r="F87" s="176"/>
      <c r="G87" s="176"/>
      <c r="H87" s="176"/>
      <c r="L87" s="566" t="e">
        <f>(H87*L56)+H87</f>
        <v>#DIV/0!</v>
      </c>
      <c r="M87" s="566" t="e">
        <f>(L87*M56)+L87</f>
        <v>#DIV/0!</v>
      </c>
      <c r="N87" s="566" t="e">
        <f>(M87*N56)+M87</f>
        <v>#DIV/0!</v>
      </c>
      <c r="O87" s="566" t="e">
        <f>(N87*O56)+N87</f>
        <v>#DIV/0!</v>
      </c>
      <c r="P87" s="566" t="e">
        <f>(O87*P56)+O87</f>
        <v>#DIV/0!</v>
      </c>
      <c r="Q87" s="566" t="e">
        <f>(P87*Q56)+P87</f>
        <v>#DIV/0!</v>
      </c>
      <c r="S87" s="8" t="s">
        <v>583</v>
      </c>
    </row>
    <row r="88" spans="2:19">
      <c r="B88" s="123" t="s">
        <v>28</v>
      </c>
      <c r="C88" s="182">
        <f t="shared" ref="C88:H88" si="40">SUM(C84:C87)</f>
        <v>0</v>
      </c>
      <c r="D88" s="182">
        <f t="shared" si="40"/>
        <v>0</v>
      </c>
      <c r="E88" s="182">
        <f t="shared" si="40"/>
        <v>0</v>
      </c>
      <c r="F88" s="182">
        <f t="shared" si="40"/>
        <v>0</v>
      </c>
      <c r="G88" s="182">
        <f t="shared" si="40"/>
        <v>0</v>
      </c>
      <c r="H88" s="182">
        <f t="shared" si="40"/>
        <v>0</v>
      </c>
      <c r="L88" s="182" t="e">
        <f t="shared" ref="L88:Q88" si="41">SUM(L84:L87)</f>
        <v>#DIV/0!</v>
      </c>
      <c r="M88" s="182" t="e">
        <f t="shared" si="41"/>
        <v>#DIV/0!</v>
      </c>
      <c r="N88" s="182" t="e">
        <f t="shared" si="41"/>
        <v>#DIV/0!</v>
      </c>
      <c r="O88" s="182" t="e">
        <f t="shared" si="41"/>
        <v>#DIV/0!</v>
      </c>
      <c r="P88" s="182" t="e">
        <f t="shared" si="41"/>
        <v>#DIV/0!</v>
      </c>
      <c r="Q88" s="182" t="e">
        <f t="shared" si="41"/>
        <v>#DIV/0!</v>
      </c>
    </row>
    <row r="89" spans="2:19">
      <c r="B89" s="38"/>
    </row>
    <row r="90" spans="2:19">
      <c r="B90" s="529" t="s">
        <v>440</v>
      </c>
    </row>
    <row r="91" spans="2:19">
      <c r="B91" s="8" t="s">
        <v>472</v>
      </c>
      <c r="C91" s="176"/>
      <c r="D91" s="176"/>
      <c r="E91" s="176"/>
      <c r="F91" s="176"/>
      <c r="G91" s="176"/>
      <c r="H91" s="176"/>
      <c r="L91" s="11">
        <f>H91</f>
        <v>0</v>
      </c>
      <c r="M91" s="11">
        <f>L91</f>
        <v>0</v>
      </c>
      <c r="N91" s="11">
        <f t="shared" ref="N91:Q95" si="42">M91</f>
        <v>0</v>
      </c>
      <c r="O91" s="11">
        <f t="shared" si="42"/>
        <v>0</v>
      </c>
      <c r="P91" s="11">
        <f t="shared" si="42"/>
        <v>0</v>
      </c>
      <c r="Q91" s="11">
        <f t="shared" si="42"/>
        <v>0</v>
      </c>
      <c r="S91" s="8" t="s">
        <v>590</v>
      </c>
    </row>
    <row r="92" spans="2:19">
      <c r="B92" s="8" t="s">
        <v>471</v>
      </c>
      <c r="C92" s="176"/>
      <c r="D92" s="176"/>
      <c r="E92" s="176"/>
      <c r="F92" s="176"/>
      <c r="G92" s="176"/>
      <c r="H92" s="176"/>
      <c r="L92" s="11">
        <f>H92</f>
        <v>0</v>
      </c>
      <c r="M92" s="11">
        <f>L92</f>
        <v>0</v>
      </c>
      <c r="N92" s="11">
        <f t="shared" si="42"/>
        <v>0</v>
      </c>
      <c r="O92" s="11">
        <f t="shared" si="42"/>
        <v>0</v>
      </c>
      <c r="P92" s="11">
        <f t="shared" si="42"/>
        <v>0</v>
      </c>
      <c r="Q92" s="11">
        <f t="shared" si="42"/>
        <v>0</v>
      </c>
      <c r="S92" s="8" t="s">
        <v>590</v>
      </c>
    </row>
    <row r="93" spans="2:19">
      <c r="B93" s="8" t="s">
        <v>470</v>
      </c>
      <c r="C93" s="176"/>
      <c r="D93" s="176"/>
      <c r="E93" s="176"/>
      <c r="F93" s="176"/>
      <c r="G93" s="176"/>
      <c r="H93" s="176"/>
      <c r="L93" s="567"/>
      <c r="M93" s="567"/>
      <c r="N93" s="567"/>
      <c r="O93" s="567"/>
      <c r="P93" s="567"/>
      <c r="Q93" s="567"/>
      <c r="S93" s="8" t="s">
        <v>134</v>
      </c>
    </row>
    <row r="94" spans="2:19">
      <c r="B94" s="8" t="s">
        <v>469</v>
      </c>
      <c r="C94" s="176"/>
      <c r="D94" s="176"/>
      <c r="E94" s="176"/>
      <c r="F94" s="176"/>
      <c r="G94" s="176"/>
      <c r="H94" s="176"/>
      <c r="L94" s="11">
        <f>H94</f>
        <v>0</v>
      </c>
      <c r="M94" s="11">
        <f>L94</f>
        <v>0</v>
      </c>
      <c r="N94" s="11">
        <f t="shared" si="42"/>
        <v>0</v>
      </c>
      <c r="O94" s="11">
        <f t="shared" si="42"/>
        <v>0</v>
      </c>
      <c r="P94" s="11">
        <f t="shared" si="42"/>
        <v>0</v>
      </c>
      <c r="Q94" s="11">
        <f t="shared" si="42"/>
        <v>0</v>
      </c>
      <c r="S94" s="8" t="s">
        <v>582</v>
      </c>
    </row>
    <row r="95" spans="2:19">
      <c r="B95" s="8" t="s">
        <v>467</v>
      </c>
      <c r="C95" s="176"/>
      <c r="D95" s="176"/>
      <c r="E95" s="176"/>
      <c r="F95" s="176"/>
      <c r="G95" s="176"/>
      <c r="H95" s="176"/>
      <c r="L95" s="11">
        <f>H95</f>
        <v>0</v>
      </c>
      <c r="M95" s="11">
        <f>L95</f>
        <v>0</v>
      </c>
      <c r="N95" s="11">
        <f t="shared" si="42"/>
        <v>0</v>
      </c>
      <c r="O95" s="11">
        <f t="shared" si="42"/>
        <v>0</v>
      </c>
      <c r="P95" s="11">
        <f t="shared" si="42"/>
        <v>0</v>
      </c>
      <c r="Q95" s="11">
        <f t="shared" si="42"/>
        <v>0</v>
      </c>
      <c r="S95" s="8" t="s">
        <v>582</v>
      </c>
    </row>
    <row r="96" spans="2:19">
      <c r="B96" s="8" t="s">
        <v>468</v>
      </c>
      <c r="C96" s="176"/>
      <c r="D96" s="176"/>
      <c r="E96" s="176"/>
      <c r="F96" s="176"/>
      <c r="G96" s="176"/>
      <c r="H96" s="176"/>
      <c r="L96" s="566" t="e">
        <f>(H96*L56)+H96</f>
        <v>#DIV/0!</v>
      </c>
      <c r="M96" s="566" t="e">
        <f>(L96*M56)+L96</f>
        <v>#DIV/0!</v>
      </c>
      <c r="N96" s="566" t="e">
        <f>(M96*N56)+M96</f>
        <v>#DIV/0!</v>
      </c>
      <c r="O96" s="566" t="e">
        <f>(N96*O56)+N96</f>
        <v>#DIV/0!</v>
      </c>
      <c r="P96" s="566" t="e">
        <f>(O96*P56)+O96</f>
        <v>#DIV/0!</v>
      </c>
      <c r="Q96" s="566" t="e">
        <f>(P96*Q56)+P96</f>
        <v>#DIV/0!</v>
      </c>
      <c r="S96" s="8" t="s">
        <v>583</v>
      </c>
    </row>
    <row r="97" spans="2:19">
      <c r="B97" s="123" t="s">
        <v>29</v>
      </c>
      <c r="C97" s="182">
        <f t="shared" ref="C97:H97" si="43">SUM(C88+SUM(C91:C96))</f>
        <v>0</v>
      </c>
      <c r="D97" s="182">
        <f t="shared" si="43"/>
        <v>0</v>
      </c>
      <c r="E97" s="182">
        <f t="shared" si="43"/>
        <v>0</v>
      </c>
      <c r="F97" s="182">
        <f t="shared" si="43"/>
        <v>0</v>
      </c>
      <c r="G97" s="182">
        <f t="shared" si="43"/>
        <v>0</v>
      </c>
      <c r="H97" s="182">
        <f t="shared" si="43"/>
        <v>0</v>
      </c>
      <c r="L97" s="182" t="e">
        <f t="shared" ref="L97:Q97" si="44">SUM(L88+SUM(L91:L96))</f>
        <v>#DIV/0!</v>
      </c>
      <c r="M97" s="182" t="e">
        <f t="shared" si="44"/>
        <v>#DIV/0!</v>
      </c>
      <c r="N97" s="182" t="e">
        <f t="shared" si="44"/>
        <v>#DIV/0!</v>
      </c>
      <c r="O97" s="182" t="e">
        <f t="shared" si="44"/>
        <v>#DIV/0!</v>
      </c>
      <c r="P97" s="182" t="e">
        <f t="shared" si="44"/>
        <v>#DIV/0!</v>
      </c>
      <c r="Q97" s="182" t="e">
        <f t="shared" si="44"/>
        <v>#DIV/0!</v>
      </c>
    </row>
    <row r="98" spans="2:19">
      <c r="B98" s="38"/>
    </row>
    <row r="99" spans="2:19">
      <c r="B99" s="529" t="s">
        <v>65</v>
      </c>
    </row>
    <row r="100" spans="2:19">
      <c r="B100" s="8" t="s">
        <v>64</v>
      </c>
      <c r="C100" s="176"/>
      <c r="D100" s="176"/>
      <c r="E100" s="176"/>
      <c r="F100" s="176"/>
      <c r="G100" s="176"/>
      <c r="H100" s="176"/>
      <c r="L100" s="566" t="e">
        <f>H100*L31/H31</f>
        <v>#DIV/0!</v>
      </c>
      <c r="M100" s="566" t="e">
        <f>L100*M31/L31</f>
        <v>#DIV/0!</v>
      </c>
      <c r="N100" s="566" t="e">
        <f>M100*N31/M31</f>
        <v>#DIV/0!</v>
      </c>
      <c r="O100" s="566" t="e">
        <f>N100*O31/N31</f>
        <v>#DIV/0!</v>
      </c>
      <c r="P100" s="566" t="e">
        <f>O100*P31/O31</f>
        <v>#DIV/0!</v>
      </c>
      <c r="Q100" s="566" t="e">
        <f>P100*Q31/P31</f>
        <v>#DIV/0!</v>
      </c>
      <c r="S100" s="8" t="s">
        <v>132</v>
      </c>
    </row>
    <row r="101" spans="2:19">
      <c r="B101" s="8" t="s">
        <v>491</v>
      </c>
      <c r="C101" s="176"/>
      <c r="D101" s="176"/>
      <c r="E101" s="176"/>
      <c r="F101" s="176"/>
      <c r="G101" s="176"/>
      <c r="H101" s="176"/>
      <c r="L101" s="11">
        <f>H101</f>
        <v>0</v>
      </c>
      <c r="M101" s="11">
        <f>L101</f>
        <v>0</v>
      </c>
      <c r="N101" s="11">
        <f t="shared" ref="N101:Q102" si="45">M101</f>
        <v>0</v>
      </c>
      <c r="O101" s="11">
        <f t="shared" si="45"/>
        <v>0</v>
      </c>
      <c r="P101" s="11">
        <f t="shared" si="45"/>
        <v>0</v>
      </c>
      <c r="Q101" s="11">
        <f t="shared" si="45"/>
        <v>0</v>
      </c>
      <c r="S101" s="8" t="s">
        <v>590</v>
      </c>
    </row>
    <row r="102" spans="2:19">
      <c r="B102" s="8" t="s">
        <v>441</v>
      </c>
      <c r="C102" s="176"/>
      <c r="D102" s="176"/>
      <c r="E102" s="176"/>
      <c r="F102" s="176"/>
      <c r="G102" s="176"/>
      <c r="H102" s="176"/>
      <c r="L102" s="11">
        <f>H102</f>
        <v>0</v>
      </c>
      <c r="M102" s="11">
        <f>L102</f>
        <v>0</v>
      </c>
      <c r="N102" s="11">
        <f t="shared" si="45"/>
        <v>0</v>
      </c>
      <c r="O102" s="11">
        <f t="shared" si="45"/>
        <v>0</v>
      </c>
      <c r="P102" s="11">
        <f t="shared" si="45"/>
        <v>0</v>
      </c>
      <c r="Q102" s="11">
        <f t="shared" si="45"/>
        <v>0</v>
      </c>
      <c r="S102" s="8" t="s">
        <v>590</v>
      </c>
    </row>
    <row r="103" spans="2:19">
      <c r="B103" s="8" t="s">
        <v>490</v>
      </c>
      <c r="C103" s="176"/>
      <c r="D103" s="176"/>
      <c r="E103" s="176"/>
      <c r="F103" s="176"/>
      <c r="G103" s="176"/>
      <c r="H103" s="176"/>
      <c r="L103" s="566" t="e">
        <f>(H103*L56)+H103</f>
        <v>#DIV/0!</v>
      </c>
      <c r="M103" s="566" t="e">
        <f>(L103*M56)+L103</f>
        <v>#DIV/0!</v>
      </c>
      <c r="N103" s="566" t="e">
        <f>(M103*N56)+M103</f>
        <v>#DIV/0!</v>
      </c>
      <c r="O103" s="566" t="e">
        <f>(N103*O56)+N103</f>
        <v>#DIV/0!</v>
      </c>
      <c r="P103" s="566" t="e">
        <f>(O103*P56)+O103</f>
        <v>#DIV/0!</v>
      </c>
      <c r="Q103" s="566" t="e">
        <f>(P103*Q56)+P103</f>
        <v>#DIV/0!</v>
      </c>
      <c r="S103" s="8" t="s">
        <v>590</v>
      </c>
    </row>
    <row r="104" spans="2:19">
      <c r="B104" s="8" t="s">
        <v>494</v>
      </c>
      <c r="C104" s="176"/>
      <c r="D104" s="176"/>
      <c r="E104" s="176"/>
      <c r="F104" s="176"/>
      <c r="G104" s="176"/>
      <c r="H104" s="176"/>
      <c r="L104" s="566" t="e">
        <f>(H104*L56)+H104</f>
        <v>#DIV/0!</v>
      </c>
      <c r="M104" s="566" t="e">
        <f>(L104*M56)+L104</f>
        <v>#DIV/0!</v>
      </c>
      <c r="N104" s="566" t="e">
        <f>(M104*N56)+M104</f>
        <v>#DIV/0!</v>
      </c>
      <c r="O104" s="566" t="e">
        <f>(N104*O56)+N104</f>
        <v>#DIV/0!</v>
      </c>
      <c r="P104" s="566" t="e">
        <f>(O104*P56)+O104</f>
        <v>#DIV/0!</v>
      </c>
      <c r="Q104" s="566" t="e">
        <f>(P104*Q56)+P104</f>
        <v>#DIV/0!</v>
      </c>
      <c r="S104" s="8" t="s">
        <v>583</v>
      </c>
    </row>
    <row r="105" spans="2:19">
      <c r="B105" s="123" t="s">
        <v>25</v>
      </c>
      <c r="C105" s="182">
        <f t="shared" ref="C105:H105" si="46">SUM(C100:C104)</f>
        <v>0</v>
      </c>
      <c r="D105" s="182">
        <f t="shared" si="46"/>
        <v>0</v>
      </c>
      <c r="E105" s="182">
        <f t="shared" si="46"/>
        <v>0</v>
      </c>
      <c r="F105" s="182">
        <f t="shared" si="46"/>
        <v>0</v>
      </c>
      <c r="G105" s="182">
        <f t="shared" si="46"/>
        <v>0</v>
      </c>
      <c r="H105" s="182">
        <f t="shared" si="46"/>
        <v>0</v>
      </c>
      <c r="L105" s="182" t="e">
        <f t="shared" ref="L105:Q105" si="47">SUM(L100:L104)</f>
        <v>#DIV/0!</v>
      </c>
      <c r="M105" s="182" t="e">
        <f t="shared" si="47"/>
        <v>#DIV/0!</v>
      </c>
      <c r="N105" s="182" t="e">
        <f t="shared" si="47"/>
        <v>#DIV/0!</v>
      </c>
      <c r="O105" s="182" t="e">
        <f t="shared" si="47"/>
        <v>#DIV/0!</v>
      </c>
      <c r="P105" s="182" t="e">
        <f t="shared" si="47"/>
        <v>#DIV/0!</v>
      </c>
      <c r="Q105" s="182" t="e">
        <f t="shared" si="47"/>
        <v>#DIV/0!</v>
      </c>
    </row>
    <row r="106" spans="2:19">
      <c r="B106" s="38"/>
    </row>
    <row r="107" spans="2:19">
      <c r="B107" s="529" t="s">
        <v>442</v>
      </c>
    </row>
    <row r="108" spans="2:19">
      <c r="B108" s="8" t="s">
        <v>492</v>
      </c>
      <c r="C108" s="176"/>
      <c r="D108" s="176"/>
      <c r="E108" s="176"/>
      <c r="F108" s="176"/>
      <c r="G108" s="176"/>
      <c r="H108" s="176"/>
      <c r="L108" s="11">
        <f>H108</f>
        <v>0</v>
      </c>
      <c r="M108" s="11">
        <f>L108</f>
        <v>0</v>
      </c>
      <c r="N108" s="11">
        <f t="shared" ref="N108:Q111" si="48">M108</f>
        <v>0</v>
      </c>
      <c r="O108" s="11">
        <f t="shared" si="48"/>
        <v>0</v>
      </c>
      <c r="P108" s="11">
        <f t="shared" si="48"/>
        <v>0</v>
      </c>
      <c r="Q108" s="11">
        <f t="shared" si="48"/>
        <v>0</v>
      </c>
      <c r="S108" s="8" t="s">
        <v>590</v>
      </c>
    </row>
    <row r="109" spans="2:19">
      <c r="B109" s="8" t="s">
        <v>138</v>
      </c>
      <c r="C109" s="567"/>
      <c r="D109" s="567"/>
      <c r="E109" s="567"/>
      <c r="F109" s="567"/>
      <c r="G109" s="567"/>
      <c r="H109" s="567"/>
      <c r="L109" s="567"/>
      <c r="M109" s="567"/>
      <c r="N109" s="567"/>
      <c r="O109" s="567"/>
      <c r="P109" s="567"/>
      <c r="Q109" s="567"/>
      <c r="S109" s="8" t="s">
        <v>139</v>
      </c>
    </row>
    <row r="110" spans="2:19">
      <c r="B110" s="8" t="s">
        <v>474</v>
      </c>
      <c r="C110" s="176"/>
      <c r="D110" s="176"/>
      <c r="E110" s="176"/>
      <c r="F110" s="176"/>
      <c r="G110" s="176"/>
      <c r="H110" s="176"/>
      <c r="L110" s="11">
        <f>H110</f>
        <v>0</v>
      </c>
      <c r="M110" s="11">
        <f>L110</f>
        <v>0</v>
      </c>
      <c r="N110" s="11">
        <f t="shared" si="48"/>
        <v>0</v>
      </c>
      <c r="O110" s="11">
        <f t="shared" si="48"/>
        <v>0</v>
      </c>
      <c r="P110" s="11">
        <f t="shared" si="48"/>
        <v>0</v>
      </c>
      <c r="Q110" s="11">
        <f t="shared" si="48"/>
        <v>0</v>
      </c>
      <c r="S110" s="8" t="s">
        <v>590</v>
      </c>
    </row>
    <row r="111" spans="2:19">
      <c r="B111" s="8" t="s">
        <v>529</v>
      </c>
      <c r="C111" s="176"/>
      <c r="D111" s="176"/>
      <c r="E111" s="176"/>
      <c r="F111" s="176"/>
      <c r="G111" s="176"/>
      <c r="H111" s="176"/>
      <c r="L111" s="11">
        <f>H111</f>
        <v>0</v>
      </c>
      <c r="M111" s="11">
        <f>L111</f>
        <v>0</v>
      </c>
      <c r="N111" s="11">
        <f t="shared" si="48"/>
        <v>0</v>
      </c>
      <c r="O111" s="11">
        <f t="shared" si="48"/>
        <v>0</v>
      </c>
      <c r="P111" s="11">
        <f t="shared" si="48"/>
        <v>0</v>
      </c>
      <c r="Q111" s="11">
        <f t="shared" si="48"/>
        <v>0</v>
      </c>
      <c r="S111" s="8" t="s">
        <v>590</v>
      </c>
    </row>
    <row r="112" spans="2:19">
      <c r="B112" s="8" t="s">
        <v>473</v>
      </c>
      <c r="C112" s="176"/>
      <c r="D112" s="176"/>
      <c r="E112" s="176"/>
      <c r="F112" s="176"/>
      <c r="G112" s="176"/>
      <c r="H112" s="176"/>
      <c r="L112" s="566" t="e">
        <f>(H112*L56)+H112</f>
        <v>#DIV/0!</v>
      </c>
      <c r="M112" s="566" t="e">
        <f>(L112*M56)+L112</f>
        <v>#DIV/0!</v>
      </c>
      <c r="N112" s="566" t="e">
        <f>(M112*N56)+M112</f>
        <v>#DIV/0!</v>
      </c>
      <c r="O112" s="566" t="e">
        <f>(N112*O56)+N112</f>
        <v>#DIV/0!</v>
      </c>
      <c r="P112" s="566" t="e">
        <f>(O112*P56)+O112</f>
        <v>#DIV/0!</v>
      </c>
      <c r="Q112" s="566" t="e">
        <f>(P112*Q56)+P112</f>
        <v>#DIV/0!</v>
      </c>
      <c r="S112" s="8" t="s">
        <v>583</v>
      </c>
    </row>
    <row r="113" spans="1:19">
      <c r="B113" s="123" t="s">
        <v>23</v>
      </c>
      <c r="C113" s="182">
        <f t="shared" ref="C113:H113" si="49">SUM(C105+SUM(C108:C112))</f>
        <v>0</v>
      </c>
      <c r="D113" s="182">
        <f t="shared" si="49"/>
        <v>0</v>
      </c>
      <c r="E113" s="182">
        <f t="shared" si="49"/>
        <v>0</v>
      </c>
      <c r="F113" s="182">
        <f t="shared" si="49"/>
        <v>0</v>
      </c>
      <c r="G113" s="182">
        <f t="shared" si="49"/>
        <v>0</v>
      </c>
      <c r="H113" s="182">
        <f t="shared" si="49"/>
        <v>0</v>
      </c>
      <c r="L113" s="182" t="e">
        <f t="shared" ref="L113:Q113" si="50">SUM(L105+SUM(L108:L112))</f>
        <v>#DIV/0!</v>
      </c>
      <c r="M113" s="182" t="e">
        <f t="shared" si="50"/>
        <v>#DIV/0!</v>
      </c>
      <c r="N113" s="182" t="e">
        <f t="shared" si="50"/>
        <v>#DIV/0!</v>
      </c>
      <c r="O113" s="182" t="e">
        <f t="shared" si="50"/>
        <v>#DIV/0!</v>
      </c>
      <c r="P113" s="182" t="e">
        <f t="shared" si="50"/>
        <v>#DIV/0!</v>
      </c>
      <c r="Q113" s="182" t="e">
        <f t="shared" si="50"/>
        <v>#DIV/0!</v>
      </c>
    </row>
    <row r="114" spans="1:19">
      <c r="B114" s="38"/>
    </row>
    <row r="115" spans="1:19">
      <c r="B115" s="529" t="s">
        <v>580</v>
      </c>
    </row>
    <row r="116" spans="1:19">
      <c r="B116" s="8" t="s">
        <v>475</v>
      </c>
      <c r="C116" s="176"/>
      <c r="D116" s="176"/>
      <c r="E116" s="176"/>
      <c r="F116" s="176"/>
      <c r="G116" s="176"/>
      <c r="H116" s="176"/>
      <c r="L116" s="11">
        <f>H116</f>
        <v>0</v>
      </c>
      <c r="M116" s="11">
        <f>L116</f>
        <v>0</v>
      </c>
      <c r="N116" s="11">
        <f t="shared" ref="N116:Q118" si="51">M116</f>
        <v>0</v>
      </c>
      <c r="O116" s="11">
        <f t="shared" si="51"/>
        <v>0</v>
      </c>
      <c r="P116" s="11">
        <f t="shared" si="51"/>
        <v>0</v>
      </c>
      <c r="Q116" s="11">
        <f t="shared" si="51"/>
        <v>0</v>
      </c>
      <c r="S116" s="8" t="s">
        <v>590</v>
      </c>
    </row>
    <row r="117" spans="1:19">
      <c r="B117" s="8" t="s">
        <v>488</v>
      </c>
      <c r="C117" s="176"/>
      <c r="D117" s="176"/>
      <c r="E117" s="176"/>
      <c r="F117" s="176"/>
      <c r="G117" s="176"/>
      <c r="H117" s="176"/>
      <c r="L117" s="566" t="e">
        <f>(H117*L61)+H117</f>
        <v>#DIV/0!</v>
      </c>
      <c r="M117" s="566" t="e">
        <f>(L117*M61)+L117</f>
        <v>#DIV/0!</v>
      </c>
      <c r="N117" s="566" t="e">
        <f>(M117*N61)+M117</f>
        <v>#DIV/0!</v>
      </c>
      <c r="O117" s="566" t="e">
        <f>(N117*O61)+N117</f>
        <v>#DIV/0!</v>
      </c>
      <c r="P117" s="566" t="e">
        <f>(O117*P61)+O117</f>
        <v>#DIV/0!</v>
      </c>
      <c r="Q117" s="566" t="e">
        <f>(P117*Q61)+P117</f>
        <v>#DIV/0!</v>
      </c>
      <c r="S117" s="8" t="s">
        <v>143</v>
      </c>
    </row>
    <row r="118" spans="1:19">
      <c r="B118" s="8" t="s">
        <v>477</v>
      </c>
      <c r="C118" s="176"/>
      <c r="D118" s="176"/>
      <c r="E118" s="176"/>
      <c r="F118" s="176"/>
      <c r="G118" s="176"/>
      <c r="H118" s="176"/>
      <c r="L118" s="11">
        <f>H118</f>
        <v>0</v>
      </c>
      <c r="M118" s="11">
        <f>L118</f>
        <v>0</v>
      </c>
      <c r="N118" s="11">
        <f t="shared" si="51"/>
        <v>0</v>
      </c>
      <c r="O118" s="11">
        <f t="shared" si="51"/>
        <v>0</v>
      </c>
      <c r="P118" s="11">
        <f t="shared" si="51"/>
        <v>0</v>
      </c>
      <c r="Q118" s="11">
        <f t="shared" si="51"/>
        <v>0</v>
      </c>
      <c r="S118" s="8" t="s">
        <v>590</v>
      </c>
    </row>
    <row r="119" spans="1:19">
      <c r="B119" s="8" t="s">
        <v>476</v>
      </c>
      <c r="C119" s="176"/>
      <c r="D119" s="176"/>
      <c r="E119" s="176"/>
      <c r="F119" s="176"/>
      <c r="G119" s="176"/>
      <c r="H119" s="176"/>
      <c r="L119" s="531"/>
      <c r="M119" s="531"/>
      <c r="N119" s="531"/>
      <c r="O119" s="531"/>
      <c r="P119" s="531"/>
      <c r="Q119" s="531"/>
      <c r="S119" s="8" t="s">
        <v>145</v>
      </c>
    </row>
    <row r="120" spans="1:19">
      <c r="B120" s="123" t="s">
        <v>581</v>
      </c>
      <c r="C120" s="182">
        <f t="shared" ref="C120:H120" si="52">SUM(C116:C119)</f>
        <v>0</v>
      </c>
      <c r="D120" s="182">
        <f t="shared" si="52"/>
        <v>0</v>
      </c>
      <c r="E120" s="182">
        <f t="shared" si="52"/>
        <v>0</v>
      </c>
      <c r="F120" s="182">
        <f t="shared" si="52"/>
        <v>0</v>
      </c>
      <c r="G120" s="182">
        <f t="shared" si="52"/>
        <v>0</v>
      </c>
      <c r="H120" s="182">
        <f t="shared" si="52"/>
        <v>0</v>
      </c>
      <c r="L120" s="182" t="e">
        <f t="shared" ref="L120:Q120" si="53">SUM(L116:L119)</f>
        <v>#DIV/0!</v>
      </c>
      <c r="M120" s="182" t="e">
        <f t="shared" si="53"/>
        <v>#DIV/0!</v>
      </c>
      <c r="N120" s="182" t="e">
        <f t="shared" si="53"/>
        <v>#DIV/0!</v>
      </c>
      <c r="O120" s="182" t="e">
        <f t="shared" si="53"/>
        <v>#DIV/0!</v>
      </c>
      <c r="P120" s="182" t="e">
        <f t="shared" si="53"/>
        <v>#DIV/0!</v>
      </c>
      <c r="Q120" s="182" t="e">
        <f t="shared" si="53"/>
        <v>#DIV/0!</v>
      </c>
    </row>
    <row r="121" spans="1:19" ht="5.0999999999999996" customHeight="1">
      <c r="B121" s="38"/>
    </row>
    <row r="122" spans="1:19">
      <c r="B122" s="458" t="s">
        <v>148</v>
      </c>
      <c r="C122" s="457">
        <f t="shared" ref="C122:H122" si="54">+C120+C113-C97</f>
        <v>0</v>
      </c>
      <c r="D122" s="457">
        <f t="shared" si="54"/>
        <v>0</v>
      </c>
      <c r="E122" s="457">
        <f t="shared" si="54"/>
        <v>0</v>
      </c>
      <c r="F122" s="457">
        <f t="shared" si="54"/>
        <v>0</v>
      </c>
      <c r="G122" s="457">
        <f t="shared" si="54"/>
        <v>0</v>
      </c>
      <c r="H122" s="457">
        <f t="shared" si="54"/>
        <v>0</v>
      </c>
      <c r="L122" s="457" t="e">
        <f t="shared" ref="L122:Q122" si="55">+L120+L113-L97</f>
        <v>#DIV/0!</v>
      </c>
      <c r="M122" s="457" t="e">
        <f t="shared" si="55"/>
        <v>#DIV/0!</v>
      </c>
      <c r="N122" s="457" t="e">
        <f t="shared" si="55"/>
        <v>#DIV/0!</v>
      </c>
      <c r="O122" s="457" t="e">
        <f t="shared" si="55"/>
        <v>#DIV/0!</v>
      </c>
      <c r="P122" s="457" t="e">
        <f t="shared" si="55"/>
        <v>#DIV/0!</v>
      </c>
      <c r="Q122" s="457" t="e">
        <f t="shared" si="55"/>
        <v>#DIV/0!</v>
      </c>
    </row>
    <row r="123" spans="1:19">
      <c r="B123" s="38"/>
    </row>
    <row r="124" spans="1:19">
      <c r="A124" s="8" t="s">
        <v>24</v>
      </c>
      <c r="B124" s="390" t="s">
        <v>19</v>
      </c>
      <c r="C124" s="394"/>
      <c r="D124" s="394"/>
      <c r="E124" s="394"/>
      <c r="F124" s="394"/>
      <c r="G124" s="394"/>
      <c r="H124" s="394"/>
      <c r="I124" s="394"/>
      <c r="J124" s="394"/>
      <c r="K124" s="394"/>
      <c r="L124" s="391" t="s">
        <v>161</v>
      </c>
      <c r="M124" s="391"/>
      <c r="N124" s="391"/>
      <c r="O124" s="391"/>
      <c r="P124" s="391"/>
      <c r="Q124" s="391"/>
    </row>
    <row r="125" spans="1:19">
      <c r="B125" s="392" t="str">
        <f>B15</f>
        <v xml:space="preserve">Fiscal year  </v>
      </c>
      <c r="C125" s="394"/>
      <c r="D125" s="394"/>
      <c r="E125" s="394"/>
      <c r="F125" s="394"/>
      <c r="G125" s="394"/>
      <c r="H125" s="394"/>
      <c r="I125" s="394"/>
      <c r="J125" s="394"/>
      <c r="K125" s="394"/>
      <c r="L125" s="393">
        <f t="shared" ref="L125:Q126" si="56">L80</f>
        <v>2025</v>
      </c>
      <c r="M125" s="393">
        <f t="shared" si="56"/>
        <v>2026</v>
      </c>
      <c r="N125" s="393">
        <f t="shared" si="56"/>
        <v>2027</v>
      </c>
      <c r="O125" s="393">
        <f t="shared" si="56"/>
        <v>2028</v>
      </c>
      <c r="P125" s="393">
        <f t="shared" si="56"/>
        <v>2029</v>
      </c>
      <c r="Q125" s="393">
        <f t="shared" si="56"/>
        <v>2030</v>
      </c>
    </row>
    <row r="126" spans="1:19">
      <c r="B126" s="392" t="str">
        <f>B16</f>
        <v>Fiscal year end date</v>
      </c>
      <c r="C126" s="394"/>
      <c r="D126" s="394"/>
      <c r="E126" s="394"/>
      <c r="F126" s="394"/>
      <c r="G126" s="394"/>
      <c r="H126" s="394"/>
      <c r="I126" s="394"/>
      <c r="J126" s="394"/>
      <c r="K126" s="394"/>
      <c r="L126" s="394">
        <f t="shared" si="56"/>
        <v>46022</v>
      </c>
      <c r="M126" s="394">
        <f t="shared" si="56"/>
        <v>46387</v>
      </c>
      <c r="N126" s="394">
        <f t="shared" si="56"/>
        <v>46752</v>
      </c>
      <c r="O126" s="394">
        <f t="shared" si="56"/>
        <v>47118</v>
      </c>
      <c r="P126" s="394">
        <f t="shared" si="56"/>
        <v>47483</v>
      </c>
      <c r="Q126" s="394">
        <f t="shared" si="56"/>
        <v>47848</v>
      </c>
    </row>
    <row r="127" spans="1:19" ht="5.0999999999999996" customHeight="1"/>
    <row r="128" spans="1:19">
      <c r="B128" s="8" t="s">
        <v>17</v>
      </c>
      <c r="L128" s="11" t="e">
        <f t="shared" ref="L128:Q128" si="57">L45</f>
        <v>#DIV/0!</v>
      </c>
      <c r="M128" s="11" t="e">
        <f t="shared" si="57"/>
        <v>#DIV/0!</v>
      </c>
      <c r="N128" s="11">
        <f t="shared" si="57"/>
        <v>0</v>
      </c>
      <c r="O128" s="11">
        <f t="shared" si="57"/>
        <v>0</v>
      </c>
      <c r="P128" s="11">
        <f t="shared" si="57"/>
        <v>0</v>
      </c>
      <c r="Q128" s="11">
        <f t="shared" si="57"/>
        <v>0</v>
      </c>
      <c r="S128" s="8" t="s">
        <v>149</v>
      </c>
    </row>
    <row r="129" spans="2:19">
      <c r="B129" s="8" t="s">
        <v>73</v>
      </c>
      <c r="L129" s="568"/>
      <c r="M129" s="568"/>
      <c r="N129" s="568"/>
      <c r="O129" s="568"/>
      <c r="P129" s="568"/>
      <c r="Q129" s="568"/>
      <c r="S129" s="8" t="s">
        <v>149</v>
      </c>
    </row>
    <row r="130" spans="2:19">
      <c r="B130" s="8" t="s">
        <v>121</v>
      </c>
      <c r="L130" s="11">
        <f t="shared" ref="L130:Q130" si="58">L50</f>
        <v>0</v>
      </c>
      <c r="M130" s="11">
        <f t="shared" si="58"/>
        <v>0</v>
      </c>
      <c r="N130" s="11">
        <f t="shared" si="58"/>
        <v>0</v>
      </c>
      <c r="O130" s="11">
        <f t="shared" si="58"/>
        <v>0</v>
      </c>
      <c r="P130" s="11">
        <f t="shared" si="58"/>
        <v>0</v>
      </c>
      <c r="Q130" s="11">
        <f t="shared" si="58"/>
        <v>0</v>
      </c>
      <c r="S130" s="8" t="s">
        <v>149</v>
      </c>
    </row>
    <row r="131" spans="2:19">
      <c r="B131" s="8" t="s">
        <v>150</v>
      </c>
      <c r="L131" s="11" t="e">
        <f>SUM(H86:H87)-SUM(L86:L87)</f>
        <v>#DIV/0!</v>
      </c>
      <c r="M131" s="11" t="e">
        <f>SUM(L86:L87)-SUM(M86:M87)</f>
        <v>#DIV/0!</v>
      </c>
      <c r="N131" s="11" t="e">
        <f>SUM(M86:M87)-SUM(N86:N87)</f>
        <v>#DIV/0!</v>
      </c>
      <c r="O131" s="11" t="e">
        <f>SUM(N86:N87)-SUM(O86:O87)</f>
        <v>#DIV/0!</v>
      </c>
      <c r="P131" s="11" t="e">
        <f>SUM(O86:O87)-SUM(P86:P87)</f>
        <v>#DIV/0!</v>
      </c>
      <c r="Q131" s="11" t="e">
        <f>SUM(P86:P87)-SUM(Q86:Q87)</f>
        <v>#DIV/0!</v>
      </c>
    </row>
    <row r="132" spans="2:19">
      <c r="B132" s="8" t="s">
        <v>151</v>
      </c>
      <c r="L132" s="11" t="e">
        <f>SUM(L100:L104)-SUM(H100:H104)</f>
        <v>#DIV/0!</v>
      </c>
      <c r="M132" s="11" t="e">
        <f>SUM(M100:M104)-SUM(L100:L104)</f>
        <v>#DIV/0!</v>
      </c>
      <c r="N132" s="11" t="e">
        <f>SUM(N100:N104)-SUM(M100:M104)</f>
        <v>#DIV/0!</v>
      </c>
      <c r="O132" s="11" t="e">
        <f>SUM(O100:O104)-SUM(N100:N104)</f>
        <v>#DIV/0!</v>
      </c>
      <c r="P132" s="11" t="e">
        <f>SUM(P100:P104)-SUM(O100:O104)</f>
        <v>#DIV/0!</v>
      </c>
      <c r="Q132" s="11" t="e">
        <f>SUM(Q100:Q104)-SUM(P100:P104)</f>
        <v>#DIV/0!</v>
      </c>
    </row>
    <row r="133" spans="2:19">
      <c r="B133" s="8" t="s">
        <v>135</v>
      </c>
      <c r="L133" s="568"/>
      <c r="M133" s="568"/>
      <c r="N133" s="568"/>
      <c r="O133" s="568"/>
      <c r="P133" s="568"/>
      <c r="Q133" s="568"/>
      <c r="S133" s="8" t="s">
        <v>152</v>
      </c>
    </row>
    <row r="134" spans="2:19">
      <c r="B134" s="8" t="s">
        <v>141</v>
      </c>
      <c r="L134" s="11" t="e">
        <f>SUM(L110:L112)-SUM(H110:H112)</f>
        <v>#DIV/0!</v>
      </c>
      <c r="M134" s="11" t="e">
        <f>SUM(M110:M112)-SUM(L110:L112)</f>
        <v>#DIV/0!</v>
      </c>
      <c r="N134" s="11" t="e">
        <f>SUM(N110:N112)-SUM(M110:M112)</f>
        <v>#DIV/0!</v>
      </c>
      <c r="O134" s="11" t="e">
        <f>SUM(O110:O112)-SUM(N110:N112)</f>
        <v>#DIV/0!</v>
      </c>
      <c r="P134" s="11" t="e">
        <f>SUM(P110:P112)-SUM(O110:O112)</f>
        <v>#DIV/0!</v>
      </c>
      <c r="Q134" s="11" t="e">
        <f>SUM(Q110:Q112)-SUM(P110:P112)</f>
        <v>#DIV/0!</v>
      </c>
    </row>
    <row r="135" spans="2:19">
      <c r="B135" s="38" t="s">
        <v>407</v>
      </c>
      <c r="C135" s="180"/>
      <c r="D135" s="180"/>
      <c r="E135" s="180"/>
      <c r="F135" s="180"/>
      <c r="G135" s="180"/>
      <c r="H135" s="180"/>
      <c r="I135" s="180"/>
      <c r="J135" s="180"/>
      <c r="K135" s="180"/>
      <c r="L135" s="570" t="e">
        <f t="shared" ref="L135:Q135" si="59">SUM(L128:L134)</f>
        <v>#DIV/0!</v>
      </c>
      <c r="M135" s="570" t="e">
        <f t="shared" si="59"/>
        <v>#DIV/0!</v>
      </c>
      <c r="N135" s="570" t="e">
        <f t="shared" si="59"/>
        <v>#DIV/0!</v>
      </c>
      <c r="O135" s="570" t="e">
        <f t="shared" si="59"/>
        <v>#DIV/0!</v>
      </c>
      <c r="P135" s="570" t="e">
        <f t="shared" si="59"/>
        <v>#DIV/0!</v>
      </c>
      <c r="Q135" s="570" t="e">
        <f t="shared" si="59"/>
        <v>#DIV/0!</v>
      </c>
    </row>
    <row r="137" spans="2:19">
      <c r="B137" s="8" t="s">
        <v>247</v>
      </c>
      <c r="L137" s="568"/>
      <c r="M137" s="568"/>
      <c r="N137" s="568"/>
      <c r="O137" s="568"/>
      <c r="P137" s="568"/>
      <c r="Q137" s="568"/>
    </row>
    <row r="138" spans="2:19">
      <c r="B138" s="38" t="s">
        <v>408</v>
      </c>
      <c r="C138" s="180"/>
      <c r="D138" s="180"/>
      <c r="E138" s="180"/>
      <c r="F138" s="180"/>
      <c r="G138" s="180"/>
      <c r="H138" s="180"/>
      <c r="I138" s="180"/>
      <c r="J138" s="180"/>
      <c r="K138" s="180"/>
      <c r="L138" s="570">
        <f t="shared" ref="L138:Q138" si="60">+L137</f>
        <v>0</v>
      </c>
      <c r="M138" s="570">
        <f t="shared" si="60"/>
        <v>0</v>
      </c>
      <c r="N138" s="570">
        <f t="shared" si="60"/>
        <v>0</v>
      </c>
      <c r="O138" s="570">
        <f t="shared" si="60"/>
        <v>0</v>
      </c>
      <c r="P138" s="570">
        <f t="shared" si="60"/>
        <v>0</v>
      </c>
      <c r="Q138" s="570">
        <f t="shared" si="60"/>
        <v>0</v>
      </c>
    </row>
    <row r="140" spans="2:19">
      <c r="B140" s="8" t="s">
        <v>154</v>
      </c>
      <c r="L140" s="11">
        <f>L108-H108</f>
        <v>0</v>
      </c>
      <c r="M140" s="11">
        <f>M108-L108</f>
        <v>0</v>
      </c>
      <c r="N140" s="11">
        <f>N108-M108</f>
        <v>0</v>
      </c>
      <c r="O140" s="11">
        <f>O108-N108</f>
        <v>0</v>
      </c>
      <c r="P140" s="11">
        <f>P108-O108</f>
        <v>0</v>
      </c>
      <c r="Q140" s="11">
        <f>Q108-P108</f>
        <v>0</v>
      </c>
      <c r="S140" s="8" t="s">
        <v>156</v>
      </c>
    </row>
    <row r="141" spans="2:19">
      <c r="B141" s="8" t="s">
        <v>155</v>
      </c>
      <c r="L141" s="568"/>
      <c r="M141" s="568"/>
      <c r="N141" s="568"/>
      <c r="O141" s="568"/>
      <c r="P141" s="568"/>
      <c r="Q141" s="568"/>
      <c r="S141" s="8" t="s">
        <v>145</v>
      </c>
    </row>
    <row r="142" spans="2:19">
      <c r="B142" s="8" t="s">
        <v>157</v>
      </c>
      <c r="L142" s="568"/>
      <c r="M142" s="568"/>
      <c r="N142" s="568"/>
      <c r="O142" s="568"/>
      <c r="P142" s="568"/>
      <c r="Q142" s="568"/>
      <c r="S142" s="8" t="s">
        <v>145</v>
      </c>
    </row>
    <row r="143" spans="2:19">
      <c r="B143" s="8" t="s">
        <v>158</v>
      </c>
      <c r="L143" s="568"/>
      <c r="M143" s="568"/>
      <c r="N143" s="568"/>
      <c r="O143" s="568"/>
      <c r="P143" s="568"/>
      <c r="Q143" s="568"/>
      <c r="S143" s="8" t="s">
        <v>145</v>
      </c>
    </row>
    <row r="144" spans="2:19">
      <c r="B144" s="38" t="s">
        <v>408</v>
      </c>
      <c r="C144" s="180"/>
      <c r="D144" s="180"/>
      <c r="E144" s="180"/>
      <c r="F144" s="180"/>
      <c r="G144" s="180"/>
      <c r="H144" s="180"/>
      <c r="I144" s="180"/>
      <c r="J144" s="180"/>
      <c r="K144" s="180"/>
      <c r="L144" s="569">
        <f t="shared" ref="L144:Q144" si="61">SUM(L140:L143)</f>
        <v>0</v>
      </c>
      <c r="M144" s="569">
        <f t="shared" si="61"/>
        <v>0</v>
      </c>
      <c r="N144" s="569">
        <f t="shared" si="61"/>
        <v>0</v>
      </c>
      <c r="O144" s="569">
        <f t="shared" si="61"/>
        <v>0</v>
      </c>
      <c r="P144" s="569">
        <f t="shared" si="61"/>
        <v>0</v>
      </c>
      <c r="Q144" s="569">
        <f t="shared" si="61"/>
        <v>0</v>
      </c>
    </row>
    <row r="146" spans="1:19">
      <c r="B146" s="38" t="s">
        <v>585</v>
      </c>
      <c r="L146" s="571" t="e">
        <f t="shared" ref="L146:Q146" si="62">+L144+L138+L135</f>
        <v>#DIV/0!</v>
      </c>
      <c r="M146" s="571" t="e">
        <f t="shared" si="62"/>
        <v>#DIV/0!</v>
      </c>
      <c r="N146" s="571" t="e">
        <f t="shared" si="62"/>
        <v>#DIV/0!</v>
      </c>
      <c r="O146" s="571" t="e">
        <f t="shared" si="62"/>
        <v>#DIV/0!</v>
      </c>
      <c r="P146" s="571" t="e">
        <f t="shared" si="62"/>
        <v>#DIV/0!</v>
      </c>
      <c r="Q146" s="571" t="e">
        <f t="shared" si="62"/>
        <v>#DIV/0!</v>
      </c>
    </row>
    <row r="148" spans="1:19">
      <c r="A148" s="8" t="s">
        <v>24</v>
      </c>
      <c r="B148" s="366" t="s">
        <v>410</v>
      </c>
      <c r="C148" s="367" t="s">
        <v>403</v>
      </c>
      <c r="D148" s="367"/>
      <c r="E148" s="367"/>
      <c r="F148" s="367"/>
      <c r="G148" s="367"/>
      <c r="H148" s="367"/>
      <c r="I148" s="369"/>
      <c r="J148" s="369"/>
      <c r="K148" s="369"/>
      <c r="L148" s="367" t="s">
        <v>161</v>
      </c>
      <c r="M148" s="367"/>
      <c r="N148" s="367"/>
      <c r="O148" s="367"/>
      <c r="P148" s="367"/>
      <c r="Q148" s="367"/>
    </row>
    <row r="149" spans="1:19">
      <c r="B149" s="368" t="s">
        <v>104</v>
      </c>
      <c r="C149" s="395">
        <f t="shared" ref="C149:H150" si="63">C80</f>
        <v>2019</v>
      </c>
      <c r="D149" s="395">
        <f t="shared" si="63"/>
        <v>2020</v>
      </c>
      <c r="E149" s="395">
        <f t="shared" si="63"/>
        <v>2021</v>
      </c>
      <c r="F149" s="395">
        <f t="shared" si="63"/>
        <v>2022</v>
      </c>
      <c r="G149" s="395">
        <f t="shared" si="63"/>
        <v>2023</v>
      </c>
      <c r="H149" s="395">
        <f t="shared" si="63"/>
        <v>2024</v>
      </c>
      <c r="I149" s="369"/>
      <c r="J149" s="369"/>
      <c r="K149" s="369"/>
      <c r="L149" s="396">
        <f t="shared" ref="L149:Q149" si="64">L80</f>
        <v>2025</v>
      </c>
      <c r="M149" s="396">
        <f t="shared" si="64"/>
        <v>2026</v>
      </c>
      <c r="N149" s="396">
        <f t="shared" si="64"/>
        <v>2027</v>
      </c>
      <c r="O149" s="396">
        <f t="shared" si="64"/>
        <v>2028</v>
      </c>
      <c r="P149" s="396">
        <f t="shared" si="64"/>
        <v>2029</v>
      </c>
      <c r="Q149" s="396">
        <f t="shared" si="64"/>
        <v>2030</v>
      </c>
    </row>
    <row r="150" spans="1:19">
      <c r="B150" s="368" t="s">
        <v>105</v>
      </c>
      <c r="C150" s="369">
        <f t="shared" si="63"/>
        <v>43830</v>
      </c>
      <c r="D150" s="369">
        <f t="shared" si="63"/>
        <v>44196</v>
      </c>
      <c r="E150" s="369">
        <f t="shared" si="63"/>
        <v>44561</v>
      </c>
      <c r="F150" s="369">
        <f t="shared" si="63"/>
        <v>44926</v>
      </c>
      <c r="G150" s="369">
        <f t="shared" si="63"/>
        <v>45291</v>
      </c>
      <c r="H150" s="369">
        <f t="shared" si="63"/>
        <v>45657</v>
      </c>
      <c r="I150" s="369"/>
      <c r="J150" s="369"/>
      <c r="K150" s="369"/>
      <c r="L150" s="369">
        <f t="shared" ref="L150:Q150" si="65">L81</f>
        <v>46022</v>
      </c>
      <c r="M150" s="369">
        <f t="shared" si="65"/>
        <v>46387</v>
      </c>
      <c r="N150" s="369">
        <f t="shared" si="65"/>
        <v>46752</v>
      </c>
      <c r="O150" s="369">
        <f t="shared" si="65"/>
        <v>47118</v>
      </c>
      <c r="P150" s="369">
        <f t="shared" si="65"/>
        <v>47483</v>
      </c>
      <c r="Q150" s="369">
        <f t="shared" si="65"/>
        <v>47848</v>
      </c>
    </row>
    <row r="151" spans="1:19" ht="5.0999999999999996" customHeight="1"/>
    <row r="152" spans="1:19">
      <c r="B152" s="37" t="s">
        <v>160</v>
      </c>
      <c r="C152" s="572"/>
      <c r="D152" s="572"/>
      <c r="E152" s="572"/>
      <c r="F152" s="572"/>
      <c r="G152" s="572"/>
      <c r="H152" s="572"/>
      <c r="I152" s="572"/>
      <c r="J152" s="572"/>
      <c r="K152" s="572"/>
      <c r="L152" s="572"/>
      <c r="M152" s="572"/>
      <c r="N152" s="572"/>
      <c r="O152" s="572"/>
      <c r="P152" s="572"/>
      <c r="Q152" s="572"/>
    </row>
    <row r="153" spans="1:19">
      <c r="B153" s="38" t="s">
        <v>586</v>
      </c>
      <c r="C153" s="176">
        <f>'Historical Financials'!C51</f>
        <v>910843</v>
      </c>
      <c r="D153" s="571">
        <f>C156</f>
        <v>0</v>
      </c>
      <c r="E153" s="571">
        <f>D156</f>
        <v>0</v>
      </c>
      <c r="F153" s="571">
        <f>E156</f>
        <v>0</v>
      </c>
      <c r="G153" s="571">
        <f>F156</f>
        <v>0</v>
      </c>
      <c r="H153" s="571">
        <f>G156</f>
        <v>0</v>
      </c>
      <c r="L153" s="571">
        <f>'Historical Financials'!AC51</f>
        <v>7494132</v>
      </c>
      <c r="M153" s="571">
        <f>L156</f>
        <v>7405522.0677165566</v>
      </c>
      <c r="N153" s="571">
        <f>M156</f>
        <v>7320584.4554331135</v>
      </c>
      <c r="O153" s="571">
        <f>N156</f>
        <v>7239319.1631496707</v>
      </c>
      <c r="P153" s="571">
        <f>O156</f>
        <v>7161726.1908662273</v>
      </c>
      <c r="Q153" s="571">
        <f>P156</f>
        <v>7087805.5385827841</v>
      </c>
    </row>
    <row r="154" spans="1:19">
      <c r="B154" s="65" t="s">
        <v>164</v>
      </c>
      <c r="C154" s="176">
        <f>'Historical Financials'!D103</f>
        <v>-253035</v>
      </c>
      <c r="D154" s="176">
        <f>'Historical Financials'!E103</f>
        <v>-497923</v>
      </c>
      <c r="E154" s="176">
        <f>'Historical Financials'!F103</f>
        <v>-524585</v>
      </c>
      <c r="F154" s="176">
        <f>'Historical Financials'!G103</f>
        <v>-407729</v>
      </c>
      <c r="G154" s="176">
        <f>'Historical Financials'!H103</f>
        <v>-348552</v>
      </c>
      <c r="H154" s="176">
        <f>'Historical Financials'!I103</f>
        <v>-439538</v>
      </c>
      <c r="L154" s="88">
        <v>-91808</v>
      </c>
      <c r="M154" s="88">
        <f>L154</f>
        <v>-91808</v>
      </c>
      <c r="N154" s="88">
        <f>M154</f>
        <v>-91808</v>
      </c>
      <c r="O154" s="469">
        <f>N154</f>
        <v>-91808</v>
      </c>
      <c r="P154" s="469">
        <f>O154</f>
        <v>-91808</v>
      </c>
      <c r="Q154" s="469">
        <f>P154</f>
        <v>-91808</v>
      </c>
      <c r="S154" s="8" t="s">
        <v>578</v>
      </c>
    </row>
    <row r="155" spans="1:19">
      <c r="B155" s="65" t="s">
        <v>166</v>
      </c>
      <c r="C155" s="89">
        <v>10856</v>
      </c>
      <c r="D155" s="89">
        <v>12905</v>
      </c>
      <c r="E155" s="89">
        <v>11555</v>
      </c>
      <c r="F155" s="89">
        <v>13475</v>
      </c>
      <c r="G155" s="89">
        <v>11946</v>
      </c>
      <c r="H155" s="89">
        <v>15311</v>
      </c>
      <c r="L155" s="566">
        <f t="shared" ref="L155:Q155" si="66">-(L158*L154)</f>
        <v>3198.06771655693</v>
      </c>
      <c r="M155" s="566">
        <f t="shared" si="66"/>
        <v>6870.3877165569302</v>
      </c>
      <c r="N155" s="566">
        <f t="shared" si="66"/>
        <v>10542.70771655693</v>
      </c>
      <c r="O155" s="566">
        <f t="shared" si="66"/>
        <v>14215.027716556931</v>
      </c>
      <c r="P155" s="566">
        <f t="shared" si="66"/>
        <v>17887.347716556931</v>
      </c>
      <c r="Q155" s="566">
        <f t="shared" si="66"/>
        <v>21559.667716556934</v>
      </c>
      <c r="S155" s="8" t="s">
        <v>588</v>
      </c>
    </row>
    <row r="156" spans="1:19">
      <c r="B156" s="573" t="s">
        <v>587</v>
      </c>
      <c r="C156" s="576">
        <f t="shared" ref="C156:H156" si="67">C93</f>
        <v>0</v>
      </c>
      <c r="D156" s="576">
        <f t="shared" si="67"/>
        <v>0</v>
      </c>
      <c r="E156" s="576">
        <f t="shared" si="67"/>
        <v>0</v>
      </c>
      <c r="F156" s="576">
        <f t="shared" si="67"/>
        <v>0</v>
      </c>
      <c r="G156" s="576">
        <f t="shared" si="67"/>
        <v>0</v>
      </c>
      <c r="H156" s="576">
        <f t="shared" si="67"/>
        <v>0</v>
      </c>
      <c r="I156" s="574"/>
      <c r="J156" s="574"/>
      <c r="K156" s="574"/>
      <c r="L156" s="576">
        <f t="shared" ref="L156:Q156" si="68">SUM(L153:L155)</f>
        <v>7405522.0677165566</v>
      </c>
      <c r="M156" s="576">
        <f t="shared" si="68"/>
        <v>7320584.4554331135</v>
      </c>
      <c r="N156" s="576">
        <f t="shared" si="68"/>
        <v>7239319.1631496707</v>
      </c>
      <c r="O156" s="576">
        <f t="shared" si="68"/>
        <v>7161726.1908662273</v>
      </c>
      <c r="P156" s="576">
        <f t="shared" si="68"/>
        <v>7087805.5385827841</v>
      </c>
      <c r="Q156" s="576">
        <f t="shared" si="68"/>
        <v>7017557.2062993413</v>
      </c>
    </row>
    <row r="158" spans="1:19">
      <c r="B158" s="8" t="s">
        <v>170</v>
      </c>
      <c r="C158" s="124">
        <f t="shared" ref="C158:H158" si="69">-(C155/C154)</f>
        <v>4.2903155689924317E-2</v>
      </c>
      <c r="D158" s="124">
        <f t="shared" si="69"/>
        <v>2.5917661967814299E-2</v>
      </c>
      <c r="E158" s="124">
        <f t="shared" si="69"/>
        <v>2.2026935577647091E-2</v>
      </c>
      <c r="F158" s="124">
        <f t="shared" si="69"/>
        <v>3.3048912390337699E-2</v>
      </c>
      <c r="G158" s="124">
        <f t="shared" si="69"/>
        <v>3.4273221786132339E-2</v>
      </c>
      <c r="H158" s="124">
        <f t="shared" si="69"/>
        <v>3.4834303291183012E-2</v>
      </c>
      <c r="L158" s="124">
        <f>H158</f>
        <v>3.4834303291183012E-2</v>
      </c>
      <c r="M158" s="124">
        <f>SUM(L158+$C$159)</f>
        <v>7.4834303291183013E-2</v>
      </c>
      <c r="N158" s="124">
        <f>SUM(M158+$C$159)</f>
        <v>0.11483430329118302</v>
      </c>
      <c r="O158" s="124">
        <f>SUM(N158+$C$159)</f>
        <v>0.15483430329118303</v>
      </c>
      <c r="P158" s="124">
        <f>SUM(O158+$C$159)</f>
        <v>0.19483430329118304</v>
      </c>
      <c r="Q158" s="124">
        <f>SUM(P158+$C$159)</f>
        <v>0.23483430329118304</v>
      </c>
    </row>
    <row r="159" spans="1:19">
      <c r="B159" s="530" t="s">
        <v>428</v>
      </c>
      <c r="C159" s="456">
        <v>0.04</v>
      </c>
    </row>
    <row r="161" spans="2:19">
      <c r="B161" s="37" t="s">
        <v>599</v>
      </c>
    </row>
    <row r="162" spans="2:19">
      <c r="B162" s="8" t="s">
        <v>600</v>
      </c>
      <c r="H162" s="89"/>
    </row>
    <row r="165" spans="2:19">
      <c r="J165" s="584" t="s">
        <v>602</v>
      </c>
    </row>
    <row r="166" spans="2:19">
      <c r="B166" s="8" t="s">
        <v>601</v>
      </c>
      <c r="C166" s="89">
        <v>11400</v>
      </c>
      <c r="D166" s="89">
        <v>29800</v>
      </c>
      <c r="E166" s="89">
        <v>51000</v>
      </c>
      <c r="F166" s="89">
        <v>64300</v>
      </c>
      <c r="G166" s="89">
        <v>74100</v>
      </c>
      <c r="H166" s="89">
        <v>93200</v>
      </c>
      <c r="J166" s="89">
        <v>155000</v>
      </c>
      <c r="L166" s="586">
        <f>(J166*J168)+J166</f>
        <v>226300</v>
      </c>
    </row>
    <row r="167" spans="2:19">
      <c r="B167" s="530" t="s">
        <v>45</v>
      </c>
      <c r="D167" s="583">
        <f>SUM(D166/C166)-1</f>
        <v>1.6140350877192984</v>
      </c>
      <c r="E167" s="583">
        <f t="shared" ref="E167:J167" si="70">SUM(E166/D166)-1</f>
        <v>0.71140939597315445</v>
      </c>
      <c r="F167" s="583">
        <f t="shared" si="70"/>
        <v>0.26078431372549016</v>
      </c>
      <c r="G167" s="583">
        <f t="shared" si="70"/>
        <v>0.15241057542768277</v>
      </c>
      <c r="H167" s="583">
        <f t="shared" si="70"/>
        <v>0.25775978407557365</v>
      </c>
      <c r="J167" s="585">
        <v>0.79</v>
      </c>
    </row>
    <row r="168" spans="2:19">
      <c r="B168" s="530" t="s">
        <v>46</v>
      </c>
      <c r="J168" s="585">
        <v>0.46</v>
      </c>
    </row>
    <row r="170" spans="2:19">
      <c r="B170" s="37" t="s">
        <v>415</v>
      </c>
      <c r="C170" s="572"/>
      <c r="D170" s="572"/>
      <c r="E170" s="572"/>
      <c r="F170" s="572"/>
      <c r="G170" s="572"/>
      <c r="H170" s="572"/>
      <c r="I170" s="572"/>
      <c r="J170" s="572"/>
      <c r="K170" s="572"/>
      <c r="L170" s="572"/>
      <c r="M170" s="572"/>
      <c r="N170" s="572"/>
      <c r="O170" s="572"/>
      <c r="P170" s="572"/>
      <c r="Q170" s="572"/>
    </row>
    <row r="171" spans="2:19">
      <c r="B171" s="107" t="s">
        <v>244</v>
      </c>
      <c r="C171" s="70">
        <f t="shared" ref="C171:H171" si="71">C173+C155</f>
        <v>10856</v>
      </c>
      <c r="D171" s="70">
        <f t="shared" si="71"/>
        <v>12905</v>
      </c>
      <c r="E171" s="70">
        <f t="shared" si="71"/>
        <v>11555</v>
      </c>
      <c r="F171" s="70">
        <f t="shared" si="71"/>
        <v>13475</v>
      </c>
      <c r="G171" s="70">
        <f t="shared" si="71"/>
        <v>11946</v>
      </c>
      <c r="H171" s="70">
        <f t="shared" si="71"/>
        <v>15311</v>
      </c>
      <c r="L171" s="11" t="e">
        <f t="shared" ref="L171:Q171" ca="1" si="72">L172*L29</f>
        <v>#DIV/0!</v>
      </c>
      <c r="M171" s="11" t="e">
        <f t="shared" ca="1" si="72"/>
        <v>#DIV/0!</v>
      </c>
      <c r="N171" s="11" t="e">
        <f t="shared" ca="1" si="72"/>
        <v>#DIV/0!</v>
      </c>
      <c r="O171" s="11" t="e">
        <f t="shared" ca="1" si="72"/>
        <v>#DIV/0!</v>
      </c>
      <c r="P171" s="11" t="e">
        <f t="shared" ca="1" si="72"/>
        <v>#DIV/0!</v>
      </c>
      <c r="Q171" s="11" t="e">
        <f t="shared" ca="1" si="72"/>
        <v>#DIV/0!</v>
      </c>
      <c r="S171" s="8" t="s">
        <v>171</v>
      </c>
    </row>
    <row r="172" spans="2:19">
      <c r="B172" s="65" t="s">
        <v>172</v>
      </c>
      <c r="C172" s="264" t="e">
        <f t="shared" ref="C172:H172" si="73">C171/C29</f>
        <v>#DIV/0!</v>
      </c>
      <c r="D172" s="264" t="e">
        <f t="shared" si="73"/>
        <v>#DIV/0!</v>
      </c>
      <c r="E172" s="264" t="e">
        <f t="shared" si="73"/>
        <v>#DIV/0!</v>
      </c>
      <c r="F172" s="264" t="e">
        <f t="shared" si="73"/>
        <v>#DIV/0!</v>
      </c>
      <c r="G172" s="264" t="e">
        <f t="shared" si="73"/>
        <v>#DIV/0!</v>
      </c>
      <c r="H172" s="264" t="e">
        <f t="shared" si="73"/>
        <v>#DIV/0!</v>
      </c>
      <c r="L172" s="264" t="e">
        <f t="shared" ref="L172:Q172" ca="1" si="74">L171/L29</f>
        <v>#DIV/0!</v>
      </c>
      <c r="M172" s="264" t="e">
        <f t="shared" ca="1" si="74"/>
        <v>#DIV/0!</v>
      </c>
      <c r="N172" s="264" t="e">
        <f t="shared" ca="1" si="74"/>
        <v>#DIV/0!</v>
      </c>
      <c r="O172" s="264" t="e">
        <f t="shared" ca="1" si="74"/>
        <v>#DIV/0!</v>
      </c>
      <c r="P172" s="264" t="e">
        <f t="shared" ca="1" si="74"/>
        <v>#DIV/0!</v>
      </c>
      <c r="Q172" s="264" t="e">
        <f t="shared" ca="1" si="74"/>
        <v>#DIV/0!</v>
      </c>
      <c r="S172" s="8" t="s">
        <v>589</v>
      </c>
    </row>
    <row r="173" spans="2:19">
      <c r="B173" s="577" t="s">
        <v>173</v>
      </c>
      <c r="C173" s="523">
        <f t="shared" ref="C173:H173" si="75">C47</f>
        <v>0</v>
      </c>
      <c r="D173" s="523">
        <f t="shared" si="75"/>
        <v>0</v>
      </c>
      <c r="E173" s="523">
        <f t="shared" si="75"/>
        <v>0</v>
      </c>
      <c r="F173" s="523">
        <f t="shared" si="75"/>
        <v>0</v>
      </c>
      <c r="G173" s="523">
        <f t="shared" si="75"/>
        <v>0</v>
      </c>
      <c r="H173" s="523">
        <f t="shared" si="75"/>
        <v>0</v>
      </c>
      <c r="I173" s="574"/>
      <c r="J173" s="574"/>
      <c r="K173" s="574"/>
      <c r="L173" s="523" t="e">
        <f t="shared" ref="L173:Q173" ca="1" si="76">-L155+L171</f>
        <v>#DIV/0!</v>
      </c>
      <c r="M173" s="523" t="e">
        <f t="shared" ca="1" si="76"/>
        <v>#DIV/0!</v>
      </c>
      <c r="N173" s="523" t="e">
        <f t="shared" ca="1" si="76"/>
        <v>#DIV/0!</v>
      </c>
      <c r="O173" s="523" t="e">
        <f t="shared" ca="1" si="76"/>
        <v>#DIV/0!</v>
      </c>
      <c r="P173" s="523" t="e">
        <f t="shared" ca="1" si="76"/>
        <v>#DIV/0!</v>
      </c>
      <c r="Q173" s="523" t="e">
        <f t="shared" ca="1" si="76"/>
        <v>#DIV/0!</v>
      </c>
      <c r="S173" s="8" t="s">
        <v>174</v>
      </c>
    </row>
    <row r="175" spans="2:19">
      <c r="B175" s="575" t="s">
        <v>591</v>
      </c>
      <c r="C175" s="572"/>
      <c r="D175" s="572"/>
      <c r="E175" s="572"/>
      <c r="F175" s="572"/>
      <c r="G175" s="572"/>
      <c r="H175" s="572"/>
      <c r="I175" s="572"/>
      <c r="J175" s="572"/>
      <c r="K175" s="572"/>
      <c r="L175" s="572"/>
      <c r="M175" s="572"/>
      <c r="N175" s="572"/>
      <c r="O175" s="572"/>
      <c r="P175" s="572"/>
      <c r="Q175" s="572"/>
    </row>
    <row r="176" spans="2:19">
      <c r="B176" s="8" t="s">
        <v>592</v>
      </c>
    </row>
    <row r="177" spans="2:17">
      <c r="B177" s="65" t="s">
        <v>593</v>
      </c>
      <c r="G177" s="89">
        <v>166667</v>
      </c>
      <c r="H177" s="89">
        <v>199829</v>
      </c>
    </row>
    <row r="178" spans="2:17">
      <c r="B178" s="65" t="s">
        <v>594</v>
      </c>
      <c r="G178" s="89"/>
      <c r="H178" s="89"/>
    </row>
    <row r="179" spans="2:17">
      <c r="B179" s="65" t="s">
        <v>595</v>
      </c>
      <c r="G179" s="89">
        <v>-67458</v>
      </c>
      <c r="H179" s="89">
        <v>-79390</v>
      </c>
    </row>
    <row r="180" spans="2:17">
      <c r="B180" s="65" t="s">
        <v>596</v>
      </c>
    </row>
    <row r="181" spans="2:17">
      <c r="B181" s="65"/>
    </row>
    <row r="182" spans="2:17">
      <c r="B182" s="8" t="s">
        <v>597</v>
      </c>
    </row>
    <row r="183" spans="2:17">
      <c r="B183" s="8" t="s">
        <v>598</v>
      </c>
    </row>
    <row r="185" spans="2:17">
      <c r="B185" s="37" t="s">
        <v>175</v>
      </c>
      <c r="C185" s="572"/>
      <c r="D185" s="572"/>
      <c r="E185" s="572"/>
      <c r="F185" s="572"/>
      <c r="G185" s="572"/>
      <c r="H185" s="572"/>
      <c r="I185" s="572"/>
      <c r="J185" s="572"/>
      <c r="K185" s="572"/>
      <c r="L185" s="572"/>
      <c r="M185" s="572"/>
      <c r="N185" s="572"/>
      <c r="O185" s="572"/>
      <c r="P185" s="572"/>
      <c r="Q185" s="572"/>
    </row>
    <row r="186" spans="2:17">
      <c r="B186" s="8" t="s">
        <v>162</v>
      </c>
    </row>
    <row r="187" spans="2:17">
      <c r="B187" s="65" t="s">
        <v>176</v>
      </c>
    </row>
    <row r="188" spans="2:17">
      <c r="B188" s="65" t="s">
        <v>178</v>
      </c>
    </row>
    <row r="189" spans="2:17">
      <c r="B189" s="573" t="s">
        <v>168</v>
      </c>
      <c r="C189" s="574"/>
      <c r="D189" s="574"/>
      <c r="E189" s="574"/>
      <c r="F189" s="574"/>
      <c r="G189" s="574"/>
      <c r="H189" s="574"/>
      <c r="I189" s="574"/>
      <c r="J189" s="574"/>
      <c r="K189" s="574"/>
      <c r="L189" s="573">
        <f t="shared" ref="L189:Q189" si="77">SUM(L186:L188)</f>
        <v>0</v>
      </c>
      <c r="M189" s="573">
        <f t="shared" si="77"/>
        <v>0</v>
      </c>
      <c r="N189" s="573">
        <f t="shared" si="77"/>
        <v>0</v>
      </c>
      <c r="O189" s="573">
        <f t="shared" si="77"/>
        <v>0</v>
      </c>
      <c r="P189" s="573">
        <f t="shared" si="77"/>
        <v>0</v>
      </c>
      <c r="Q189" s="573">
        <f t="shared" si="77"/>
        <v>0</v>
      </c>
    </row>
    <row r="191" spans="2:17">
      <c r="B191" s="37" t="s">
        <v>180</v>
      </c>
      <c r="C191" s="572"/>
      <c r="D191" s="572"/>
      <c r="E191" s="572"/>
      <c r="F191" s="572"/>
      <c r="G191" s="572"/>
      <c r="H191" s="572"/>
      <c r="I191" s="572"/>
      <c r="J191" s="572"/>
      <c r="K191" s="572"/>
      <c r="L191" s="572"/>
      <c r="M191" s="572"/>
      <c r="N191" s="572"/>
      <c r="O191" s="572"/>
      <c r="P191" s="572"/>
      <c r="Q191" s="572"/>
    </row>
    <row r="192" spans="2:17">
      <c r="B192" s="8" t="s">
        <v>162</v>
      </c>
      <c r="L192" s="8">
        <f t="shared" ref="L192:Q192" si="78">J196</f>
        <v>0</v>
      </c>
      <c r="M192" s="8">
        <f t="shared" si="78"/>
        <v>0</v>
      </c>
      <c r="N192" s="8">
        <f t="shared" si="78"/>
        <v>0</v>
      </c>
      <c r="O192" s="8">
        <f t="shared" si="78"/>
        <v>0</v>
      </c>
      <c r="P192" s="8">
        <f t="shared" si="78"/>
        <v>0</v>
      </c>
      <c r="Q192" s="8">
        <f t="shared" si="78"/>
        <v>0</v>
      </c>
    </row>
    <row r="193" spans="2:17">
      <c r="B193" s="65" t="s">
        <v>181</v>
      </c>
    </row>
    <row r="194" spans="2:17">
      <c r="B194" s="65" t="s">
        <v>183</v>
      </c>
    </row>
    <row r="195" spans="2:17">
      <c r="B195" s="65" t="s">
        <v>184</v>
      </c>
    </row>
    <row r="196" spans="2:17">
      <c r="B196" s="573" t="s">
        <v>168</v>
      </c>
      <c r="C196" s="573">
        <f t="shared" ref="C196:H196" si="79">SUM(C192:C195)</f>
        <v>0</v>
      </c>
      <c r="D196" s="573">
        <f t="shared" si="79"/>
        <v>0</v>
      </c>
      <c r="E196" s="573">
        <f t="shared" si="79"/>
        <v>0</v>
      </c>
      <c r="F196" s="573">
        <f t="shared" si="79"/>
        <v>0</v>
      </c>
      <c r="G196" s="573">
        <f t="shared" si="79"/>
        <v>0</v>
      </c>
      <c r="H196" s="573">
        <f t="shared" si="79"/>
        <v>0</v>
      </c>
      <c r="I196" s="573"/>
      <c r="J196" s="573"/>
      <c r="K196" s="574"/>
      <c r="L196" s="573">
        <f t="shared" ref="L196:Q196" si="80">SUM(L192:L195)</f>
        <v>0</v>
      </c>
      <c r="M196" s="573">
        <f t="shared" si="80"/>
        <v>0</v>
      </c>
      <c r="N196" s="573">
        <f t="shared" si="80"/>
        <v>0</v>
      </c>
      <c r="O196" s="573">
        <f t="shared" si="80"/>
        <v>0</v>
      </c>
      <c r="P196" s="573">
        <f t="shared" si="80"/>
        <v>0</v>
      </c>
      <c r="Q196" s="573">
        <f t="shared" si="80"/>
        <v>0</v>
      </c>
    </row>
    <row r="198" spans="2:17">
      <c r="B198" s="37" t="s">
        <v>186</v>
      </c>
      <c r="C198" s="572"/>
      <c r="D198" s="572"/>
      <c r="E198" s="572"/>
      <c r="F198" s="572"/>
      <c r="G198" s="572"/>
      <c r="H198" s="572"/>
      <c r="I198" s="572"/>
      <c r="J198" s="572"/>
      <c r="K198" s="572"/>
      <c r="L198" s="572"/>
      <c r="M198" s="572"/>
      <c r="N198" s="572"/>
      <c r="O198" s="572"/>
      <c r="P198" s="572"/>
      <c r="Q198" s="572"/>
    </row>
    <row r="199" spans="2:17">
      <c r="B199" s="8" t="s">
        <v>187</v>
      </c>
    </row>
    <row r="200" spans="2:17">
      <c r="B200" s="8" t="s">
        <v>188</v>
      </c>
    </row>
    <row r="201" spans="2:17">
      <c r="B201" s="8" t="s">
        <v>190</v>
      </c>
    </row>
    <row r="202" spans="2:17">
      <c r="B202" s="8" t="s">
        <v>191</v>
      </c>
    </row>
    <row r="203" spans="2:17">
      <c r="B203" s="573" t="s">
        <v>192</v>
      </c>
      <c r="C203" s="573"/>
      <c r="D203" s="573"/>
      <c r="E203" s="573"/>
      <c r="F203" s="573"/>
      <c r="G203" s="573"/>
      <c r="H203" s="573"/>
      <c r="I203" s="573"/>
      <c r="J203" s="573"/>
      <c r="K203" s="573"/>
      <c r="L203" s="573">
        <f t="shared" ref="L203:Q203" si="81">SUM(L199:L202)</f>
        <v>0</v>
      </c>
      <c r="M203" s="573">
        <f t="shared" si="81"/>
        <v>0</v>
      </c>
      <c r="N203" s="573">
        <f t="shared" si="81"/>
        <v>0</v>
      </c>
      <c r="O203" s="573">
        <f t="shared" si="81"/>
        <v>0</v>
      </c>
      <c r="P203" s="573">
        <f t="shared" si="81"/>
        <v>0</v>
      </c>
      <c r="Q203" s="573">
        <f t="shared" si="81"/>
        <v>0</v>
      </c>
    </row>
    <row r="205" spans="2:17">
      <c r="B205" s="38" t="s">
        <v>193</v>
      </c>
    </row>
    <row r="206" spans="2:17">
      <c r="B206" s="8" t="s">
        <v>162</v>
      </c>
    </row>
    <row r="207" spans="2:17">
      <c r="B207" s="8" t="s">
        <v>194</v>
      </c>
    </row>
    <row r="208" spans="2:17">
      <c r="B208" s="8" t="s">
        <v>196</v>
      </c>
    </row>
    <row r="209" spans="2:18">
      <c r="B209" s="573" t="s">
        <v>168</v>
      </c>
      <c r="C209" s="574"/>
      <c r="D209" s="574"/>
      <c r="E209" s="574"/>
      <c r="F209" s="574"/>
      <c r="G209" s="574"/>
      <c r="H209" s="574"/>
      <c r="I209" s="574"/>
      <c r="J209" s="574"/>
      <c r="K209" s="574"/>
      <c r="L209" s="573">
        <f t="shared" ref="L209:Q209" si="82">SUM(L206:L208)</f>
        <v>0</v>
      </c>
      <c r="M209" s="573">
        <f t="shared" si="82"/>
        <v>0</v>
      </c>
      <c r="N209" s="573">
        <f t="shared" si="82"/>
        <v>0</v>
      </c>
      <c r="O209" s="573">
        <f t="shared" si="82"/>
        <v>0</v>
      </c>
      <c r="P209" s="573">
        <f t="shared" si="82"/>
        <v>0</v>
      </c>
      <c r="Q209" s="573">
        <f t="shared" si="82"/>
        <v>0</v>
      </c>
      <c r="R209" s="574"/>
    </row>
  </sheetData>
  <dataValidations disablePrompts="1" count="3">
    <dataValidation type="list" allowBlank="1" showInputMessage="1" showErrorMessage="1" sqref="B16 I16 K16 B4" xr:uid="{EF325E0D-2959-4F33-A913-4DCCBA8C8945}">
      <formula1>"$ bns except per share, $ mm except per share,$ in thousands except per share"</formula1>
    </dataValidation>
    <dataValidation type="list" allowBlank="1" showInputMessage="1" showErrorMessage="1" sqref="C8" xr:uid="{6F8F92C4-A37F-4862-A69E-B43619D28F64}">
      <formula1>"0,1"</formula1>
    </dataValidation>
    <dataValidation type="list" allowBlank="1" showInputMessage="1" showErrorMessage="1" sqref="Q6" xr:uid="{F4A81998-27CA-4597-9CD0-03B15C6DA47B}">
      <formula1>$B$248:$B$250</formula1>
    </dataValidation>
  </dataValidations>
  <pageMargins left="0.7" right="0.7" top="0.75" bottom="0.75" header="0.3" footer="0.3"/>
  <ignoredErrors>
    <ignoredError sqref="M61:Q61 L73:Q74 L116:Q117" formula="1"/>
    <ignoredError sqref="J30:R30 K18 J18:J21 J26:K28 R26:R28 R18 J38:R38 J36:K36 R36 J33:R33 J31:K31 R31 J43:R43 J39:K41 R39:R41 J46:R46 J44:K44 R44 R34 J34:K34 J49:R49 J47:K47 R47 J51:R51 J50:K50 R50 J29:K29 J32:K32 J37:R37 J42:R42 J45:R45 J48:R48 S49 S46 S43 S33 S38 S22 S30 S18:S21 S31:S32 S23:S29 S39:S42 S34:S37 S44:S45 S47:S48 S50:S51 R29 R32 C158:H158" evalError="1"/>
  </ignoredErrors>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B2:Q136"/>
  <sheetViews>
    <sheetView showGridLines="0" zoomScale="160" zoomScaleNormal="160" workbookViewId="0">
      <selection activeCell="C16" sqref="C16"/>
    </sheetView>
  </sheetViews>
  <sheetFormatPr defaultColWidth="8" defaultRowHeight="12"/>
  <cols>
    <col min="1" max="1" width="1.25" style="8" customWidth="1"/>
    <col min="2" max="2" width="47.625" style="8" customWidth="1"/>
    <col min="3" max="3" width="11.75" style="8" customWidth="1"/>
    <col min="4" max="9" width="11.125" style="8" customWidth="1"/>
    <col min="10" max="10" width="1.5" style="8" customWidth="1"/>
    <col min="11" max="11" width="10.625" style="8" bestFit="1" customWidth="1"/>
    <col min="12" max="16" width="8.25" style="8" customWidth="1"/>
    <col min="17" max="16384" width="8" style="8"/>
  </cols>
  <sheetData>
    <row r="2" spans="2:10">
      <c r="B2" s="1" t="str">
        <f>'Historical Financials'!B2</f>
        <v>Netflix, Inc. (NASDAQ: NFLX)</v>
      </c>
      <c r="C2" s="1"/>
      <c r="D2" s="1"/>
      <c r="E2" s="1"/>
      <c r="F2" s="1"/>
      <c r="G2" s="1"/>
      <c r="H2" s="1"/>
      <c r="I2" s="1"/>
    </row>
    <row r="3" spans="2:10">
      <c r="B3" s="6" t="s">
        <v>316</v>
      </c>
      <c r="C3" s="1"/>
      <c r="D3" s="1"/>
      <c r="E3" s="1"/>
      <c r="F3" s="1"/>
      <c r="G3" s="1"/>
      <c r="H3" s="1"/>
      <c r="I3" s="1"/>
    </row>
    <row r="4" spans="2:10">
      <c r="B4" s="6" t="s">
        <v>416</v>
      </c>
      <c r="C4" s="1"/>
      <c r="D4" s="1"/>
      <c r="E4" s="1"/>
      <c r="F4" s="1"/>
      <c r="G4" s="1"/>
      <c r="H4" s="1"/>
      <c r="I4" s="1"/>
    </row>
    <row r="5" spans="2:10" ht="5.0999999999999996" customHeight="1"/>
    <row r="6" spans="2:10">
      <c r="B6" s="404" t="s">
        <v>317</v>
      </c>
      <c r="C6" s="405">
        <f>'Historical Financials'!I8</f>
        <v>45657</v>
      </c>
      <c r="D6" s="180"/>
      <c r="E6" s="180"/>
      <c r="F6" s="180" t="s">
        <v>318</v>
      </c>
      <c r="G6" s="180"/>
      <c r="H6" s="406"/>
      <c r="I6" s="336" t="s">
        <v>319</v>
      </c>
    </row>
    <row r="7" spans="2:10">
      <c r="B7" s="172" t="s">
        <v>320</v>
      </c>
      <c r="C7" s="398">
        <f>EOMONTH(C6,12)</f>
        <v>46022</v>
      </c>
      <c r="F7" s="8" t="s">
        <v>321</v>
      </c>
      <c r="H7" s="399"/>
      <c r="I7" s="333" t="s">
        <v>322</v>
      </c>
    </row>
    <row r="8" spans="2:10">
      <c r="B8" s="172" t="s">
        <v>323</v>
      </c>
      <c r="C8" s="397"/>
      <c r="F8" s="8" t="s">
        <v>324</v>
      </c>
      <c r="H8" s="243"/>
      <c r="I8" s="333"/>
      <c r="J8" s="244"/>
    </row>
    <row r="9" spans="2:10">
      <c r="B9" s="172" t="s">
        <v>325</v>
      </c>
      <c r="C9" s="397">
        <v>45956</v>
      </c>
      <c r="F9" s="8" t="s">
        <v>326</v>
      </c>
      <c r="H9" s="400">
        <v>1</v>
      </c>
      <c r="I9" s="403"/>
      <c r="J9" s="244"/>
    </row>
    <row r="10" spans="2:10">
      <c r="B10" s="332" t="s">
        <v>327</v>
      </c>
      <c r="C10" s="401">
        <f>YEARFRAC(C9,C7)</f>
        <v>0.18055555555555555</v>
      </c>
      <c r="D10" s="330"/>
      <c r="E10" s="330"/>
      <c r="F10" s="330" t="s">
        <v>328</v>
      </c>
      <c r="G10" s="330"/>
      <c r="H10" s="402" t="str">
        <f>'3-Statement Model'!K6</f>
        <v>Base case</v>
      </c>
      <c r="I10" s="334"/>
    </row>
    <row r="11" spans="2:10">
      <c r="D11" s="246"/>
    </row>
    <row r="12" spans="2:10">
      <c r="B12" s="423" t="s">
        <v>329</v>
      </c>
      <c r="C12" s="371"/>
      <c r="D12" s="371"/>
      <c r="E12" s="371"/>
      <c r="F12" s="371"/>
      <c r="G12" s="371"/>
      <c r="H12" s="371"/>
      <c r="I12" s="371"/>
    </row>
    <row r="13" spans="2:10" ht="17.25" customHeight="1">
      <c r="C13" s="247" t="s">
        <v>10</v>
      </c>
      <c r="D13" s="247" t="s">
        <v>330</v>
      </c>
      <c r="E13" s="451" t="s">
        <v>331</v>
      </c>
      <c r="F13" s="247"/>
      <c r="G13" s="247"/>
      <c r="H13" s="247"/>
      <c r="I13" s="247"/>
    </row>
    <row r="14" spans="2:10">
      <c r="B14" s="99" t="s">
        <v>332</v>
      </c>
      <c r="C14" s="248">
        <f>C9</f>
        <v>45956</v>
      </c>
      <c r="D14" s="249">
        <f>C6</f>
        <v>45657</v>
      </c>
      <c r="E14" s="250">
        <f>EOMONTH(D14,12)</f>
        <v>46022</v>
      </c>
      <c r="F14" s="251">
        <f>EOMONTH(E14,12)</f>
        <v>46387</v>
      </c>
      <c r="G14" s="251">
        <f>EOMONTH(F14,12)</f>
        <v>46752</v>
      </c>
      <c r="H14" s="251">
        <f>EOMONTH(G14,12)</f>
        <v>47118</v>
      </c>
      <c r="I14" s="251">
        <f>EOMONTH(H14,12)</f>
        <v>47483</v>
      </c>
    </row>
    <row r="15" spans="2:10" ht="5.0999999999999996" customHeight="1">
      <c r="B15" s="99"/>
      <c r="D15" s="252"/>
      <c r="E15" s="253"/>
      <c r="F15" s="253"/>
      <c r="G15" s="253"/>
      <c r="H15" s="253"/>
      <c r="I15" s="253"/>
    </row>
    <row r="16" spans="2:10">
      <c r="B16" s="8" t="s">
        <v>31</v>
      </c>
      <c r="C16" s="255"/>
      <c r="D16" s="445"/>
      <c r="E16" s="254"/>
      <c r="F16" s="254"/>
      <c r="G16" s="254"/>
      <c r="H16" s="254"/>
      <c r="I16" s="254"/>
    </row>
    <row r="17" spans="2:13">
      <c r="B17" s="65" t="s">
        <v>333</v>
      </c>
      <c r="D17" s="446"/>
      <c r="E17" s="245" t="e">
        <f>SUM(E16/D16)-1</f>
        <v>#DIV/0!</v>
      </c>
      <c r="F17" s="245" t="e">
        <f>SUM(F16/E16)-1</f>
        <v>#DIV/0!</v>
      </c>
      <c r="G17" s="245" t="e">
        <f>SUM(G16/F16)-1</f>
        <v>#DIV/0!</v>
      </c>
      <c r="H17" s="245" t="e">
        <f>SUM(H16/G16)-1</f>
        <v>#DIV/0!</v>
      </c>
      <c r="I17" s="245" t="e">
        <f>SUM(I16/H16)-1</f>
        <v>#DIV/0!</v>
      </c>
    </row>
    <row r="18" spans="2:13">
      <c r="B18" s="8" t="s">
        <v>11</v>
      </c>
      <c r="C18" s="255"/>
      <c r="D18" s="445"/>
      <c r="E18" s="254"/>
      <c r="F18" s="254"/>
      <c r="G18" s="254"/>
      <c r="H18" s="254"/>
      <c r="I18" s="254"/>
    </row>
    <row r="19" spans="2:13">
      <c r="B19" s="65" t="s">
        <v>334</v>
      </c>
      <c r="D19" s="447" t="e">
        <f t="shared" ref="D19:I19" si="0">D18/D16</f>
        <v>#DIV/0!</v>
      </c>
      <c r="E19" s="245" t="e">
        <f t="shared" si="0"/>
        <v>#DIV/0!</v>
      </c>
      <c r="F19" s="245" t="e">
        <f t="shared" si="0"/>
        <v>#DIV/0!</v>
      </c>
      <c r="G19" s="245" t="e">
        <f t="shared" si="0"/>
        <v>#DIV/0!</v>
      </c>
      <c r="H19" s="245" t="e">
        <f t="shared" si="0"/>
        <v>#DIV/0!</v>
      </c>
      <c r="I19" s="245" t="e">
        <f t="shared" si="0"/>
        <v>#DIV/0!</v>
      </c>
    </row>
    <row r="20" spans="2:13">
      <c r="B20" s="8" t="s">
        <v>32</v>
      </c>
      <c r="C20" s="255"/>
      <c r="D20" s="445"/>
      <c r="E20" s="254"/>
      <c r="F20" s="254"/>
      <c r="G20" s="254"/>
      <c r="H20" s="254"/>
      <c r="I20" s="254"/>
    </row>
    <row r="21" spans="2:13">
      <c r="B21" s="65" t="s">
        <v>334</v>
      </c>
      <c r="D21" s="447" t="e">
        <f t="shared" ref="D21:I21" si="1">D20/D16</f>
        <v>#DIV/0!</v>
      </c>
      <c r="E21" s="245" t="e">
        <f t="shared" si="1"/>
        <v>#DIV/0!</v>
      </c>
      <c r="F21" s="245" t="e">
        <f t="shared" si="1"/>
        <v>#DIV/0!</v>
      </c>
      <c r="G21" s="245" t="e">
        <f t="shared" si="1"/>
        <v>#DIV/0!</v>
      </c>
      <c r="H21" s="245" t="e">
        <f t="shared" si="1"/>
        <v>#DIV/0!</v>
      </c>
      <c r="I21" s="245" t="e">
        <f t="shared" si="1"/>
        <v>#DIV/0!</v>
      </c>
    </row>
    <row r="22" spans="2:13" ht="5.0999999999999996" customHeight="1">
      <c r="B22" s="65"/>
      <c r="D22" s="445"/>
      <c r="E22" s="254"/>
      <c r="F22" s="254"/>
      <c r="G22" s="254"/>
      <c r="H22" s="254"/>
      <c r="I22" s="254"/>
    </row>
    <row r="23" spans="2:13">
      <c r="B23" s="8" t="s">
        <v>335</v>
      </c>
      <c r="D23" s="448"/>
      <c r="E23" s="255">
        <f>+E20*E24</f>
        <v>0</v>
      </c>
      <c r="F23" s="255">
        <f>+F20*F24</f>
        <v>0</v>
      </c>
      <c r="G23" s="255">
        <f>+G20*G24</f>
        <v>0</v>
      </c>
      <c r="H23" s="255">
        <f>+H20*H24</f>
        <v>0</v>
      </c>
      <c r="I23" s="255">
        <f>+I20*I24</f>
        <v>0</v>
      </c>
    </row>
    <row r="24" spans="2:13" s="344" customFormat="1" ht="15" customHeight="1">
      <c r="B24" s="412" t="s">
        <v>128</v>
      </c>
      <c r="D24" s="475" t="e">
        <f>D23/D20</f>
        <v>#DIV/0!</v>
      </c>
      <c r="E24" s="449"/>
      <c r="F24" s="450"/>
      <c r="G24" s="450"/>
      <c r="H24" s="450"/>
      <c r="I24" s="450"/>
    </row>
    <row r="25" spans="2:13">
      <c r="B25" s="431" t="s">
        <v>336</v>
      </c>
      <c r="C25" s="431"/>
      <c r="D25" s="453">
        <f>+D23+D20</f>
        <v>0</v>
      </c>
      <c r="E25" s="454">
        <f>E20*(1-E24)</f>
        <v>0</v>
      </c>
      <c r="F25" s="454">
        <f>F20*(1-F24)</f>
        <v>0</v>
      </c>
      <c r="G25" s="454">
        <f>G20*(1-G24)</f>
        <v>0</v>
      </c>
      <c r="H25" s="454">
        <f>H20*(1-H24)</f>
        <v>0</v>
      </c>
      <c r="I25" s="454">
        <f>I20*(1-I24)</f>
        <v>0</v>
      </c>
    </row>
    <row r="26" spans="2:13" ht="5.0999999999999996" customHeight="1">
      <c r="D26" s="255"/>
      <c r="E26" s="255"/>
      <c r="F26" s="255"/>
      <c r="G26" s="255"/>
      <c r="H26" s="255"/>
      <c r="I26" s="255"/>
    </row>
    <row r="27" spans="2:13">
      <c r="B27" s="8" t="s">
        <v>118</v>
      </c>
      <c r="D27" s="254">
        <f>'3-Statement Model'!F50</f>
        <v>0</v>
      </c>
      <c r="E27" s="254"/>
      <c r="F27" s="254"/>
      <c r="G27" s="254"/>
      <c r="H27" s="254"/>
      <c r="I27" s="254"/>
      <c r="M27" s="256"/>
    </row>
    <row r="28" spans="2:13">
      <c r="B28" s="8" t="s">
        <v>337</v>
      </c>
      <c r="D28" s="255"/>
      <c r="E28" s="255">
        <f>D34-E34</f>
        <v>0</v>
      </c>
      <c r="F28" s="255">
        <f>E34-F34</f>
        <v>0</v>
      </c>
      <c r="G28" s="255">
        <f>F34-G34</f>
        <v>0</v>
      </c>
      <c r="H28" s="255">
        <f>G34-H34</f>
        <v>0</v>
      </c>
      <c r="I28" s="255">
        <f>H34-I34</f>
        <v>0</v>
      </c>
      <c r="M28" s="256"/>
    </row>
    <row r="29" spans="2:13">
      <c r="B29" s="8" t="s">
        <v>153</v>
      </c>
      <c r="D29" s="254"/>
      <c r="E29" s="254"/>
      <c r="F29" s="254"/>
      <c r="G29" s="254"/>
      <c r="H29" s="254"/>
      <c r="I29" s="254"/>
      <c r="M29" s="256"/>
    </row>
    <row r="30" spans="2:13">
      <c r="B30" s="65" t="s">
        <v>172</v>
      </c>
      <c r="D30" s="254"/>
      <c r="E30" s="245" t="e">
        <f>E29/E16</f>
        <v>#DIV/0!</v>
      </c>
      <c r="F30" s="245" t="e">
        <f>F29/F16</f>
        <v>#DIV/0!</v>
      </c>
      <c r="G30" s="245" t="e">
        <f>G29/G16</f>
        <v>#DIV/0!</v>
      </c>
      <c r="H30" s="245" t="e">
        <f>H29/H16</f>
        <v>#DIV/0!</v>
      </c>
      <c r="I30" s="245" t="e">
        <f>I29/I16</f>
        <v>#DIV/0!</v>
      </c>
      <c r="M30" s="256"/>
    </row>
    <row r="31" spans="2:13" ht="5.0999999999999996" customHeight="1">
      <c r="D31" s="254"/>
      <c r="E31" s="254"/>
      <c r="F31" s="254"/>
      <c r="G31" s="254"/>
      <c r="H31" s="254"/>
      <c r="I31" s="254"/>
      <c r="M31" s="256"/>
    </row>
    <row r="32" spans="2:13">
      <c r="B32" s="416" t="s">
        <v>338</v>
      </c>
      <c r="C32" s="416"/>
      <c r="D32" s="452"/>
      <c r="E32" s="452">
        <f>+E25+E27+E28+E29</f>
        <v>0</v>
      </c>
      <c r="F32" s="452">
        <f>+F25+F27+F28+F29</f>
        <v>0</v>
      </c>
      <c r="G32" s="452">
        <f>+G25+G27+G28+G29</f>
        <v>0</v>
      </c>
      <c r="H32" s="452">
        <f>+H25+H27+H28+H29</f>
        <v>0</v>
      </c>
      <c r="I32" s="452">
        <f>+I25+I27+I28+I29</f>
        <v>0</v>
      </c>
      <c r="M32" s="257"/>
    </row>
    <row r="33" spans="2:13" ht="5.0999999999999996" customHeight="1">
      <c r="D33" s="254"/>
      <c r="M33" s="256"/>
    </row>
    <row r="34" spans="2:13">
      <c r="B34" s="8" t="s">
        <v>339</v>
      </c>
      <c r="D34" s="254"/>
      <c r="E34" s="254"/>
      <c r="F34" s="254"/>
      <c r="G34" s="254"/>
      <c r="H34" s="254"/>
      <c r="I34" s="254"/>
    </row>
    <row r="35" spans="2:13" ht="15" customHeight="1">
      <c r="B35" s="65" t="s">
        <v>172</v>
      </c>
      <c r="D35" s="245"/>
      <c r="E35" s="245" t="e">
        <f>+E34/E16</f>
        <v>#DIV/0!</v>
      </c>
      <c r="F35" s="245" t="e">
        <f>+F34/F16</f>
        <v>#DIV/0!</v>
      </c>
      <c r="G35" s="245" t="e">
        <f>+G34/G16</f>
        <v>#DIV/0!</v>
      </c>
      <c r="H35" s="245" t="e">
        <f>+H34/H16</f>
        <v>#DIV/0!</v>
      </c>
      <c r="I35" s="245" t="e">
        <f>+I34/I16</f>
        <v>#DIV/0!</v>
      </c>
      <c r="J35" s="254"/>
    </row>
    <row r="36" spans="2:13" ht="5.0999999999999996" customHeight="1">
      <c r="D36" s="254"/>
      <c r="E36" s="245"/>
      <c r="F36" s="245"/>
      <c r="G36" s="245"/>
      <c r="H36" s="245"/>
      <c r="I36" s="245"/>
      <c r="J36" s="254"/>
      <c r="K36" s="105"/>
      <c r="M36" s="245"/>
    </row>
    <row r="37" spans="2:13">
      <c r="B37" s="423" t="str">
        <f>"Present value of UFCF on "&amp;TEXT(C9,"mmm dd, yyyy")&amp;" valuation date"</f>
        <v>Present value of UFCF on Oct 26, 2025 valuation date</v>
      </c>
      <c r="C37" s="371"/>
      <c r="D37" s="371"/>
      <c r="E37" s="371"/>
      <c r="F37" s="371"/>
      <c r="G37" s="371"/>
      <c r="H37" s="371"/>
      <c r="I37" s="371"/>
      <c r="J37" s="254"/>
    </row>
    <row r="38" spans="2:13" ht="5.0999999999999996" customHeight="1">
      <c r="B38" s="437"/>
      <c r="C38" s="438"/>
      <c r="D38" s="438"/>
      <c r="E38" s="438"/>
      <c r="F38" s="438"/>
      <c r="G38" s="438"/>
      <c r="H38" s="438"/>
      <c r="I38" s="438"/>
      <c r="J38" s="254"/>
    </row>
    <row r="39" spans="2:13" ht="14.25">
      <c r="B39" s="38"/>
      <c r="D39" s="439" t="s">
        <v>340</v>
      </c>
      <c r="E39" s="439" t="s">
        <v>341</v>
      </c>
      <c r="F39" s="440" t="s">
        <v>342</v>
      </c>
      <c r="G39" s="440" t="s">
        <v>343</v>
      </c>
      <c r="H39" s="440" t="s">
        <v>344</v>
      </c>
      <c r="I39" s="440" t="s">
        <v>345</v>
      </c>
      <c r="J39" s="254"/>
    </row>
    <row r="40" spans="2:13">
      <c r="B40" s="8" t="s">
        <v>346</v>
      </c>
      <c r="D40" s="441">
        <f>C9</f>
        <v>45956</v>
      </c>
      <c r="E40" s="258">
        <f>IF($H$9=1,AVERAGE(E14,D40),E14)</f>
        <v>45989</v>
      </c>
      <c r="F40" s="258">
        <f>IF($H$9=1,AVERAGE(F14,E14),F14)</f>
        <v>46204.5</v>
      </c>
      <c r="G40" s="258">
        <f>IF($H$9=1,AVERAGE(G14,F14),G14)</f>
        <v>46569.5</v>
      </c>
      <c r="H40" s="258">
        <f>IF($H$9=1,AVERAGE(H14,G14),H14)</f>
        <v>46935</v>
      </c>
      <c r="I40" s="258">
        <f>IF($H$9=1,AVERAGE(I14,H14),I14)</f>
        <v>47300.5</v>
      </c>
      <c r="J40" s="254"/>
    </row>
    <row r="41" spans="2:13">
      <c r="B41" s="8" t="s">
        <v>347</v>
      </c>
      <c r="C41" s="259">
        <f>C10</f>
        <v>0.18055555555555555</v>
      </c>
      <c r="D41" s="256"/>
      <c r="E41" s="255">
        <f>E32*C41</f>
        <v>0</v>
      </c>
      <c r="F41" s="255">
        <f>F32</f>
        <v>0</v>
      </c>
      <c r="G41" s="255">
        <f>G32</f>
        <v>0</v>
      </c>
      <c r="H41" s="255">
        <f>H32</f>
        <v>0</v>
      </c>
      <c r="I41" s="255">
        <f>I32</f>
        <v>0</v>
      </c>
      <c r="J41" s="255"/>
      <c r="K41" s="8" t="s">
        <v>348</v>
      </c>
    </row>
    <row r="42" spans="2:13" s="344" customFormat="1">
      <c r="B42" s="434" t="s">
        <v>349</v>
      </c>
      <c r="C42" s="435"/>
      <c r="D42" s="436"/>
      <c r="E42" s="436">
        <f>E41/(1+$H$6)^((E40-$C$9)/365)</f>
        <v>0</v>
      </c>
      <c r="F42" s="436">
        <f>F41/(1+$H$6)^((F40-$C$9)/365)</f>
        <v>0</v>
      </c>
      <c r="G42" s="436">
        <f>G41/(1+$H$6)^((G40-$C$9)/365)</f>
        <v>0</v>
      </c>
      <c r="H42" s="436">
        <f>H41/(1+$H$6)^((H40-$C$9)/365)</f>
        <v>0</v>
      </c>
      <c r="I42" s="436">
        <f>I41/(1+$H$6)^((I40-$C$9)/365)</f>
        <v>0</v>
      </c>
      <c r="J42" s="433"/>
    </row>
    <row r="44" spans="2:13">
      <c r="B44" s="423" t="s">
        <v>350</v>
      </c>
      <c r="C44" s="371"/>
      <c r="E44" s="430" t="s">
        <v>351</v>
      </c>
      <c r="F44" s="371"/>
      <c r="G44" s="371"/>
      <c r="H44" s="371"/>
      <c r="I44" s="371"/>
    </row>
    <row r="45" spans="2:13" ht="5.0999999999999996" customHeight="1">
      <c r="B45" s="437"/>
      <c r="C45" s="438"/>
      <c r="E45" s="442"/>
      <c r="F45" s="438"/>
      <c r="G45" s="438"/>
      <c r="H45" s="438"/>
      <c r="I45" s="438"/>
    </row>
    <row r="46" spans="2:13">
      <c r="B46" s="8" t="s">
        <v>352</v>
      </c>
      <c r="C46" s="125"/>
      <c r="E46" s="8" t="s">
        <v>353</v>
      </c>
      <c r="I46" s="256">
        <f>I18</f>
        <v>0</v>
      </c>
      <c r="J46" s="256"/>
    </row>
    <row r="47" spans="2:13">
      <c r="B47" s="260" t="str">
        <f>YEAR(I14)&amp;" FCF x (1+g)"</f>
        <v>2029 FCF x (1+g)</v>
      </c>
      <c r="C47" s="256">
        <f>I41*(1+C46)</f>
        <v>0</v>
      </c>
      <c r="E47" s="8" t="s">
        <v>354</v>
      </c>
      <c r="I47" s="261"/>
      <c r="J47" s="261"/>
    </row>
    <row r="48" spans="2:13">
      <c r="B48" s="8" t="str">
        <f>"Terminal value in "&amp;YEAR(I14)</f>
        <v>Terminal value in 2029</v>
      </c>
      <c r="C48" s="256" t="e">
        <f>C47/(H6-C46)</f>
        <v>#DIV/0!</v>
      </c>
      <c r="E48" s="8" t="str">
        <f>"Terminal value in "&amp;YEAR(I14)</f>
        <v>Terminal value in 2029</v>
      </c>
      <c r="I48" s="256">
        <f>I46*I47</f>
        <v>0</v>
      </c>
      <c r="J48" s="256"/>
    </row>
    <row r="49" spans="2:10">
      <c r="B49" s="8" t="s">
        <v>355</v>
      </c>
      <c r="C49" s="256" t="e">
        <f>C48/(1+H6)^((I40-$D$40)/365)</f>
        <v>#DIV/0!</v>
      </c>
      <c r="E49" s="8" t="s">
        <v>355</v>
      </c>
      <c r="I49" s="256">
        <f>I48/(1+H6)^((I40-D40)/365)</f>
        <v>0</v>
      </c>
      <c r="J49" s="256"/>
    </row>
    <row r="50" spans="2:10">
      <c r="B50" s="8" t="s">
        <v>356</v>
      </c>
      <c r="C50" s="255">
        <f>SUM(E42:I42)</f>
        <v>0</v>
      </c>
      <c r="E50" s="8" t="s">
        <v>356</v>
      </c>
      <c r="I50" s="256">
        <f>C50</f>
        <v>0</v>
      </c>
      <c r="J50" s="256"/>
    </row>
    <row r="51" spans="2:10">
      <c r="B51" s="431" t="s">
        <v>357</v>
      </c>
      <c r="C51" s="432" t="e">
        <f>C50+C49</f>
        <v>#DIV/0!</v>
      </c>
      <c r="E51" s="431" t="s">
        <v>358</v>
      </c>
      <c r="F51" s="181"/>
      <c r="G51" s="181"/>
      <c r="H51" s="181"/>
      <c r="I51" s="432">
        <f>SUM(I49:I50)</f>
        <v>0</v>
      </c>
      <c r="J51" s="262"/>
    </row>
    <row r="52" spans="2:10" ht="5.0999999999999996" customHeight="1"/>
    <row r="53" spans="2:10">
      <c r="B53" s="263" t="s">
        <v>359</v>
      </c>
      <c r="C53" s="264" t="e">
        <f>C49/$C$51</f>
        <v>#DIV/0!</v>
      </c>
      <c r="E53" s="263" t="s">
        <v>359</v>
      </c>
      <c r="I53" s="264" t="e">
        <f>+I49/I51</f>
        <v>#DIV/0!</v>
      </c>
      <c r="J53" s="264"/>
    </row>
    <row r="54" spans="2:10">
      <c r="B54" s="263" t="s">
        <v>360</v>
      </c>
      <c r="C54" s="264" t="e">
        <f>1-C53</f>
        <v>#DIV/0!</v>
      </c>
      <c r="E54" s="263" t="s">
        <v>361</v>
      </c>
      <c r="G54" s="265"/>
      <c r="I54" s="130" t="e">
        <f>1-I53</f>
        <v>#DIV/0!</v>
      </c>
      <c r="J54" s="130"/>
    </row>
    <row r="55" spans="2:10">
      <c r="B55" s="263" t="s">
        <v>362</v>
      </c>
      <c r="C55" s="266" t="e">
        <f>(C48/I18)</f>
        <v>#DIV/0!</v>
      </c>
      <c r="E55" s="8" t="s">
        <v>363</v>
      </c>
      <c r="I55" s="267" t="e">
        <f>(H6-I41/I48)/(1+I41/I48)</f>
        <v>#DIV/0!</v>
      </c>
      <c r="J55" s="267"/>
    </row>
    <row r="56" spans="2:10">
      <c r="B56" s="263"/>
      <c r="C56" s="99"/>
      <c r="D56" s="266"/>
      <c r="I56" s="267"/>
      <c r="J56" s="267"/>
    </row>
    <row r="57" spans="2:10">
      <c r="B57" s="423" t="s">
        <v>364</v>
      </c>
      <c r="C57" s="371"/>
      <c r="E57" s="430" t="s">
        <v>365</v>
      </c>
      <c r="F57" s="371"/>
      <c r="G57" s="423"/>
      <c r="H57" s="371"/>
      <c r="I57" s="423"/>
    </row>
    <row r="58" spans="2:10">
      <c r="B58" s="8" t="s">
        <v>366</v>
      </c>
      <c r="C58" s="243"/>
    </row>
    <row r="59" spans="2:10">
      <c r="B59" s="107" t="s">
        <v>367</v>
      </c>
      <c r="C59" s="258"/>
      <c r="G59" s="110" t="s">
        <v>366</v>
      </c>
      <c r="H59" s="268" t="s">
        <v>368</v>
      </c>
      <c r="I59" s="268" t="s">
        <v>369</v>
      </c>
    </row>
    <row r="60" spans="2:10">
      <c r="B60" s="269" t="s">
        <v>370</v>
      </c>
      <c r="C60" s="270"/>
      <c r="E60" s="344" t="s">
        <v>87</v>
      </c>
      <c r="G60" s="243"/>
      <c r="H60" s="243"/>
      <c r="I60" s="271"/>
      <c r="J60" s="271"/>
    </row>
    <row r="61" spans="2:10">
      <c r="B61" s="65" t="s">
        <v>21</v>
      </c>
      <c r="C61" s="165"/>
      <c r="E61" s="345" t="s">
        <v>371</v>
      </c>
      <c r="G61" s="243"/>
      <c r="H61" s="243"/>
      <c r="I61" s="271"/>
      <c r="J61" s="205"/>
    </row>
    <row r="62" spans="2:10">
      <c r="B62" s="65" t="s">
        <v>372</v>
      </c>
      <c r="C62" s="229"/>
      <c r="E62" s="345" t="s">
        <v>373</v>
      </c>
      <c r="G62" s="243"/>
      <c r="H62" s="243"/>
      <c r="I62" s="418"/>
    </row>
    <row r="63" spans="2:10">
      <c r="B63" s="65" t="s">
        <v>374</v>
      </c>
      <c r="C63" s="229"/>
      <c r="E63" s="344" t="s">
        <v>372</v>
      </c>
      <c r="G63" s="243"/>
      <c r="H63" s="243"/>
      <c r="I63" s="429"/>
    </row>
    <row r="64" spans="2:10">
      <c r="B64" s="272" t="s">
        <v>375</v>
      </c>
      <c r="C64" s="104"/>
      <c r="E64" s="344" t="s">
        <v>376</v>
      </c>
      <c r="G64" s="243"/>
      <c r="H64" s="243"/>
      <c r="I64" s="429"/>
    </row>
    <row r="65" spans="2:10">
      <c r="B65" s="269" t="s">
        <v>377</v>
      </c>
      <c r="E65" s="177" t="s">
        <v>378</v>
      </c>
      <c r="F65" s="180"/>
      <c r="G65" s="180"/>
      <c r="H65" s="180"/>
      <c r="I65" s="324">
        <f>SUM(I60:I64)</f>
        <v>0</v>
      </c>
      <c r="J65" s="235"/>
    </row>
    <row r="66" spans="2:10">
      <c r="B66" s="273" t="s">
        <v>379</v>
      </c>
      <c r="C66" s="165"/>
      <c r="J66" s="223"/>
    </row>
    <row r="67" spans="2:10">
      <c r="B67" s="273" t="s">
        <v>380</v>
      </c>
      <c r="C67" s="104"/>
      <c r="J67" s="223"/>
    </row>
    <row r="68" spans="2:10">
      <c r="B68" s="434" t="s">
        <v>364</v>
      </c>
      <c r="C68" s="443">
        <f>SUM(C61:C64)-SUM(C66:C67)</f>
        <v>0</v>
      </c>
    </row>
    <row r="70" spans="2:10">
      <c r="B70" s="423" t="s">
        <v>381</v>
      </c>
      <c r="C70" s="371"/>
      <c r="D70" s="423"/>
    </row>
    <row r="71" spans="2:10" ht="5.0999999999999996" customHeight="1">
      <c r="B71" s="437"/>
      <c r="C71" s="438"/>
      <c r="D71" s="437"/>
    </row>
    <row r="72" spans="2:10" ht="14.25">
      <c r="C72" s="426" t="s">
        <v>35</v>
      </c>
      <c r="D72" s="426" t="s">
        <v>11</v>
      </c>
    </row>
    <row r="73" spans="2:10">
      <c r="B73" s="8" t="s">
        <v>382</v>
      </c>
      <c r="C73" s="274" t="e">
        <f>C51</f>
        <v>#DIV/0!</v>
      </c>
      <c r="D73" s="274">
        <f>I51</f>
        <v>0</v>
      </c>
    </row>
    <row r="74" spans="2:10">
      <c r="B74" s="8" t="s">
        <v>364</v>
      </c>
      <c r="C74" s="275">
        <f>$C$68</f>
        <v>0</v>
      </c>
      <c r="D74" s="275">
        <f>C74</f>
        <v>0</v>
      </c>
    </row>
    <row r="75" spans="2:10">
      <c r="B75" s="8" t="s">
        <v>383</v>
      </c>
      <c r="C75" s="276" t="e">
        <f>C73-C74</f>
        <v>#DIV/0!</v>
      </c>
      <c r="D75" s="276">
        <f>D73-D74</f>
        <v>0</v>
      </c>
    </row>
    <row r="76" spans="2:10">
      <c r="B76" s="8" t="s">
        <v>365</v>
      </c>
      <c r="C76" s="276">
        <f>$I$65</f>
        <v>0</v>
      </c>
      <c r="D76" s="276">
        <f>C76</f>
        <v>0</v>
      </c>
    </row>
    <row r="77" spans="2:10">
      <c r="B77" s="416" t="s">
        <v>384</v>
      </c>
      <c r="C77" s="444" t="e">
        <f>C75/C76</f>
        <v>#DIV/0!</v>
      </c>
      <c r="D77" s="444" t="e">
        <f>D75/D76</f>
        <v>#DIV/0!</v>
      </c>
    </row>
    <row r="79" spans="2:10" ht="14.25">
      <c r="C79" s="247" t="s">
        <v>385</v>
      </c>
      <c r="D79" s="247"/>
    </row>
    <row r="80" spans="2:10">
      <c r="B80" s="110"/>
      <c r="C80" s="268" t="s">
        <v>35</v>
      </c>
      <c r="D80" s="268" t="s">
        <v>11</v>
      </c>
    </row>
    <row r="81" spans="2:17">
      <c r="B81" s="8" t="s">
        <v>386</v>
      </c>
      <c r="C81" s="277" t="e">
        <f>C$73/$C$16</f>
        <v>#DIV/0!</v>
      </c>
      <c r="D81" s="277" t="e">
        <f>D$73/$C$16</f>
        <v>#DIV/0!</v>
      </c>
    </row>
    <row r="82" spans="2:17">
      <c r="B82" s="8" t="s">
        <v>387</v>
      </c>
      <c r="C82" s="278" t="e">
        <f>C73/$C$18</f>
        <v>#DIV/0!</v>
      </c>
      <c r="D82" s="278" t="e">
        <f>D73/$C$18</f>
        <v>#DIV/0!</v>
      </c>
    </row>
    <row r="83" spans="2:17">
      <c r="B83" s="255" t="s">
        <v>388</v>
      </c>
      <c r="C83" s="278" t="e">
        <f>C73/$C$20</f>
        <v>#DIV/0!</v>
      </c>
      <c r="D83" s="278" t="e">
        <f>D73/$C$20</f>
        <v>#DIV/0!</v>
      </c>
    </row>
    <row r="84" spans="2:17" ht="14.25">
      <c r="B84" s="255"/>
      <c r="C84" s="247" t="s">
        <v>389</v>
      </c>
      <c r="D84" s="247"/>
      <c r="E84" s="279"/>
      <c r="F84" s="279"/>
    </row>
    <row r="85" spans="2:17">
      <c r="B85" s="110"/>
      <c r="C85" s="268" t="s">
        <v>35</v>
      </c>
      <c r="D85" s="268" t="s">
        <v>11</v>
      </c>
      <c r="E85" s="279"/>
      <c r="F85" s="279"/>
    </row>
    <row r="86" spans="2:17">
      <c r="B86" s="8" t="s">
        <v>386</v>
      </c>
      <c r="C86" s="280" t="e">
        <f>C73/$E$16</f>
        <v>#DIV/0!</v>
      </c>
      <c r="D86" s="280" t="e">
        <f>D73/$E$16</f>
        <v>#DIV/0!</v>
      </c>
      <c r="E86" s="279"/>
      <c r="F86" s="279"/>
    </row>
    <row r="87" spans="2:17">
      <c r="B87" s="8" t="s">
        <v>387</v>
      </c>
      <c r="C87" s="279" t="e">
        <f>C73/$E$18</f>
        <v>#DIV/0!</v>
      </c>
      <c r="D87" s="279" t="e">
        <f>D73/$E$18</f>
        <v>#DIV/0!</v>
      </c>
      <c r="E87" s="279"/>
      <c r="F87" s="279"/>
    </row>
    <row r="88" spans="2:17">
      <c r="B88" s="255" t="s">
        <v>388</v>
      </c>
      <c r="C88" s="279" t="e">
        <f>C73/$E$20</f>
        <v>#DIV/0!</v>
      </c>
      <c r="D88" s="279" t="e">
        <f>D73/$E$20</f>
        <v>#DIV/0!</v>
      </c>
      <c r="E88" s="279"/>
      <c r="F88" s="279"/>
    </row>
    <row r="90" spans="2:17">
      <c r="B90" s="237" t="s">
        <v>390</v>
      </c>
      <c r="C90" s="237"/>
      <c r="D90" s="237"/>
      <c r="E90" s="237"/>
      <c r="F90" s="237"/>
      <c r="G90" s="237"/>
      <c r="H90" s="237"/>
      <c r="I90" s="237"/>
      <c r="J90" s="237"/>
      <c r="K90" s="237"/>
      <c r="L90" s="237"/>
      <c r="M90" s="237"/>
      <c r="N90" s="237"/>
      <c r="O90" s="237"/>
      <c r="P90" s="237"/>
      <c r="Q90" s="237"/>
    </row>
    <row r="91" spans="2:17">
      <c r="B91" s="38"/>
    </row>
    <row r="92" spans="2:17" ht="17.25" customHeight="1">
      <c r="B92" s="281"/>
      <c r="C92" s="38"/>
      <c r="D92" s="282" t="s">
        <v>384</v>
      </c>
      <c r="E92" s="247"/>
      <c r="F92" s="247"/>
      <c r="G92" s="247"/>
      <c r="H92" s="247"/>
      <c r="I92" s="247"/>
      <c r="J92" s="283"/>
      <c r="L92" s="282" t="s">
        <v>391</v>
      </c>
      <c r="M92" s="247"/>
      <c r="N92" s="247"/>
      <c r="O92" s="247"/>
      <c r="P92" s="247"/>
      <c r="Q92" s="247"/>
    </row>
    <row r="93" spans="2:17" ht="15" customHeight="1">
      <c r="B93" s="281"/>
      <c r="D93" s="107"/>
      <c r="E93" s="212" t="s">
        <v>392</v>
      </c>
      <c r="F93" s="212"/>
      <c r="G93" s="212"/>
      <c r="H93" s="212"/>
      <c r="I93" s="212"/>
      <c r="J93" s="284"/>
      <c r="L93" s="107"/>
      <c r="M93" s="212"/>
      <c r="N93" s="212"/>
      <c r="O93" s="212"/>
      <c r="P93" s="212"/>
      <c r="Q93" s="212"/>
    </row>
    <row r="94" spans="2:17" ht="15" customHeight="1">
      <c r="B94" s="281"/>
      <c r="C94" s="156"/>
      <c r="D94" s="285" t="e">
        <f>C77</f>
        <v>#DIV/0!</v>
      </c>
      <c r="E94" s="286">
        <f>F94-0.005</f>
        <v>1.9999999999999997E-2</v>
      </c>
      <c r="F94" s="287">
        <f>G94-0.005</f>
        <v>2.4999999999999998E-2</v>
      </c>
      <c r="G94" s="288">
        <v>0.03</v>
      </c>
      <c r="H94" s="287">
        <f>G94+0.005</f>
        <v>3.4999999999999996E-2</v>
      </c>
      <c r="I94" s="287">
        <f>H94+0.005</f>
        <v>3.9999999999999994E-2</v>
      </c>
      <c r="J94" s="289"/>
      <c r="L94" s="290" t="e">
        <f>C82</f>
        <v>#DIV/0!</v>
      </c>
      <c r="M94" s="287">
        <f>N94-0.005</f>
        <v>1.9999999999999997E-2</v>
      </c>
      <c r="N94" s="287">
        <f>O94-0.005</f>
        <v>2.4999999999999998E-2</v>
      </c>
      <c r="O94" s="288">
        <v>0.03</v>
      </c>
      <c r="P94" s="287">
        <f>O94+0.005</f>
        <v>3.4999999999999996E-2</v>
      </c>
      <c r="Q94" s="291">
        <f>P94+0.005</f>
        <v>3.9999999999999994E-2</v>
      </c>
    </row>
    <row r="95" spans="2:17" ht="15" customHeight="1">
      <c r="B95" s="281"/>
      <c r="D95" s="292">
        <f>D96+0.01</f>
        <v>0.10999999999999999</v>
      </c>
      <c r="E95" s="293">
        <v>20.680633001583054</v>
      </c>
      <c r="F95" s="293">
        <v>20.680633001583054</v>
      </c>
      <c r="G95" s="293">
        <v>20.680633001583054</v>
      </c>
      <c r="H95" s="293">
        <v>20.680633001583054</v>
      </c>
      <c r="I95" s="293">
        <v>20.680633001583054</v>
      </c>
      <c r="J95" s="294"/>
      <c r="L95" s="292">
        <f>L96+0.01</f>
        <v>0.10999999999999999</v>
      </c>
      <c r="M95" s="295" t="e">
        <v>#DIV/0!</v>
      </c>
      <c r="N95" s="295" t="e">
        <v>#DIV/0!</v>
      </c>
      <c r="O95" s="295" t="e">
        <v>#DIV/0!</v>
      </c>
      <c r="P95" s="295" t="e">
        <v>#DIV/0!</v>
      </c>
      <c r="Q95" s="295" t="e">
        <v>#DIV/0!</v>
      </c>
    </row>
    <row r="96" spans="2:17" ht="15" customHeight="1">
      <c r="B96" s="281"/>
      <c r="D96" s="292">
        <f>D97+0.01</f>
        <v>9.9999999999999992E-2</v>
      </c>
      <c r="E96" s="293">
        <v>20.680633001583054</v>
      </c>
      <c r="F96" s="293">
        <v>20.680633001583054</v>
      </c>
      <c r="G96" s="293">
        <v>20.680633001583054</v>
      </c>
      <c r="H96" s="293">
        <v>20.680633001583054</v>
      </c>
      <c r="I96" s="293">
        <v>20.680633001583054</v>
      </c>
      <c r="J96" s="294"/>
      <c r="L96" s="292">
        <f>L97+0.01</f>
        <v>9.9999999999999992E-2</v>
      </c>
      <c r="M96" s="295" t="e">
        <v>#DIV/0!</v>
      </c>
      <c r="N96" s="295" t="e">
        <v>#DIV/0!</v>
      </c>
      <c r="O96" s="295" t="e">
        <v>#DIV/0!</v>
      </c>
      <c r="P96" s="295" t="e">
        <v>#DIV/0!</v>
      </c>
      <c r="Q96" s="295" t="e">
        <v>#DIV/0!</v>
      </c>
    </row>
    <row r="97" spans="2:17" ht="15" customHeight="1">
      <c r="B97" s="281"/>
      <c r="C97" s="156" t="s">
        <v>393</v>
      </c>
      <c r="D97" s="296">
        <v>0.09</v>
      </c>
      <c r="E97" s="293">
        <v>20.680633001583054</v>
      </c>
      <c r="F97" s="293">
        <v>20.680633001583054</v>
      </c>
      <c r="G97" s="293">
        <v>20.680633001583054</v>
      </c>
      <c r="H97" s="293">
        <v>20.680633001583054</v>
      </c>
      <c r="I97" s="293">
        <v>20.680633001583054</v>
      </c>
      <c r="J97" s="294"/>
      <c r="K97" s="156" t="s">
        <v>393</v>
      </c>
      <c r="L97" s="296">
        <v>0.09</v>
      </c>
      <c r="M97" s="295" t="e">
        <v>#DIV/0!</v>
      </c>
      <c r="N97" s="295" t="e">
        <v>#DIV/0!</v>
      </c>
      <c r="O97" s="295" t="e">
        <v>#DIV/0!</v>
      </c>
      <c r="P97" s="295" t="e">
        <v>#DIV/0!</v>
      </c>
      <c r="Q97" s="295" t="e">
        <v>#DIV/0!</v>
      </c>
    </row>
    <row r="98" spans="2:17" ht="15" customHeight="1">
      <c r="B98" s="281"/>
      <c r="D98" s="292">
        <f>D97-0.01</f>
        <v>0.08</v>
      </c>
      <c r="E98" s="293">
        <v>20.680633001583054</v>
      </c>
      <c r="F98" s="293">
        <v>20.680633001583054</v>
      </c>
      <c r="G98" s="293">
        <v>20.680633001583054</v>
      </c>
      <c r="H98" s="293">
        <v>20.680633001583054</v>
      </c>
      <c r="I98" s="293">
        <v>20.680633001583054</v>
      </c>
      <c r="J98" s="294"/>
      <c r="L98" s="292">
        <f>L97-0.01</f>
        <v>0.08</v>
      </c>
      <c r="M98" s="295" t="e">
        <v>#DIV/0!</v>
      </c>
      <c r="N98" s="295" t="e">
        <v>#DIV/0!</v>
      </c>
      <c r="O98" s="295" t="e">
        <v>#DIV/0!</v>
      </c>
      <c r="P98" s="295" t="e">
        <v>#DIV/0!</v>
      </c>
      <c r="Q98" s="295" t="e">
        <v>#DIV/0!</v>
      </c>
    </row>
    <row r="99" spans="2:17" ht="15" customHeight="1">
      <c r="B99" s="297" t="s">
        <v>394</v>
      </c>
      <c r="D99" s="298">
        <f>D98-0.01</f>
        <v>7.0000000000000007E-2</v>
      </c>
      <c r="E99" s="293">
        <v>20.680633001583054</v>
      </c>
      <c r="F99" s="293">
        <v>20.680633001583054</v>
      </c>
      <c r="G99" s="293">
        <v>20.680633001583054</v>
      </c>
      <c r="H99" s="293">
        <v>20.680633001583054</v>
      </c>
      <c r="I99" s="293">
        <v>20.680633001583054</v>
      </c>
      <c r="J99" s="294"/>
      <c r="L99" s="298">
        <f>L98-0.01</f>
        <v>7.0000000000000007E-2</v>
      </c>
      <c r="M99" s="295" t="e">
        <v>#DIV/0!</v>
      </c>
      <c r="N99" s="295" t="e">
        <v>#DIV/0!</v>
      </c>
      <c r="O99" s="295" t="e">
        <v>#DIV/0!</v>
      </c>
      <c r="P99" s="295" t="e">
        <v>#DIV/0!</v>
      </c>
      <c r="Q99" s="295" t="e">
        <v>#DIV/0!</v>
      </c>
    </row>
    <row r="100" spans="2:17" ht="15" customHeight="1">
      <c r="B100" s="297" t="s">
        <v>395</v>
      </c>
      <c r="E100" s="299"/>
      <c r="F100" s="299"/>
      <c r="G100" s="299"/>
      <c r="H100" s="299"/>
      <c r="I100" s="299"/>
      <c r="J100" s="300"/>
    </row>
    <row r="101" spans="2:17" ht="17.25" customHeight="1">
      <c r="B101" s="281"/>
      <c r="D101" s="282" t="s">
        <v>384</v>
      </c>
      <c r="E101" s="247"/>
      <c r="F101" s="247"/>
      <c r="G101" s="247"/>
      <c r="H101" s="247"/>
      <c r="I101" s="247"/>
      <c r="J101" s="283"/>
      <c r="L101" s="282" t="s">
        <v>391</v>
      </c>
      <c r="M101" s="247"/>
      <c r="N101" s="247"/>
      <c r="O101" s="247"/>
      <c r="P101" s="247"/>
      <c r="Q101" s="247"/>
    </row>
    <row r="102" spans="2:17" ht="15" customHeight="1">
      <c r="B102" s="281"/>
      <c r="E102" s="212" t="s">
        <v>396</v>
      </c>
      <c r="F102" s="212"/>
      <c r="G102" s="212"/>
      <c r="H102" s="212"/>
      <c r="I102" s="212"/>
      <c r="J102" s="284"/>
      <c r="M102" s="212" t="s">
        <v>396</v>
      </c>
      <c r="N102" s="212"/>
      <c r="O102" s="212"/>
      <c r="P102" s="212"/>
      <c r="Q102" s="212"/>
    </row>
    <row r="103" spans="2:17" ht="15" customHeight="1">
      <c r="B103" s="281"/>
      <c r="D103" s="301" t="e">
        <f>D77</f>
        <v>#DIV/0!</v>
      </c>
      <c r="E103" s="302">
        <f>F103-1</f>
        <v>11</v>
      </c>
      <c r="F103" s="302">
        <f>G103-1</f>
        <v>12</v>
      </c>
      <c r="G103" s="303">
        <v>13</v>
      </c>
      <c r="H103" s="302">
        <f>G103+1</f>
        <v>14</v>
      </c>
      <c r="I103" s="302">
        <f>H103+1</f>
        <v>15</v>
      </c>
      <c r="J103" s="304"/>
      <c r="L103" s="290" t="e">
        <f>D82</f>
        <v>#DIV/0!</v>
      </c>
      <c r="M103" s="302">
        <f>N103-1</f>
        <v>11</v>
      </c>
      <c r="N103" s="302">
        <f>O103-1</f>
        <v>12</v>
      </c>
      <c r="O103" s="303">
        <v>13</v>
      </c>
      <c r="P103" s="302">
        <f>O103+1</f>
        <v>14</v>
      </c>
      <c r="Q103" s="305">
        <f>P103+1</f>
        <v>15</v>
      </c>
    </row>
    <row r="104" spans="2:17" ht="15" customHeight="1">
      <c r="B104" s="281"/>
      <c r="D104" s="292">
        <f>D105+0.01</f>
        <v>0.10999999999999999</v>
      </c>
      <c r="E104" s="293">
        <v>20.680633001583054</v>
      </c>
      <c r="F104" s="293">
        <v>20.680633001583054</v>
      </c>
      <c r="G104" s="293">
        <v>20.680633001583054</v>
      </c>
      <c r="H104" s="293">
        <v>20.680633001583054</v>
      </c>
      <c r="I104" s="293">
        <v>20.680633001583054</v>
      </c>
      <c r="J104" s="294"/>
      <c r="L104" s="292">
        <f>L105+0.01</f>
        <v>0.10999999999999999</v>
      </c>
      <c r="M104" s="295" t="e">
        <v>#DIV/0!</v>
      </c>
      <c r="N104" s="295" t="e">
        <v>#DIV/0!</v>
      </c>
      <c r="O104" s="295" t="e">
        <v>#DIV/0!</v>
      </c>
      <c r="P104" s="295" t="e">
        <v>#DIV/0!</v>
      </c>
      <c r="Q104" s="295" t="e">
        <v>#DIV/0!</v>
      </c>
    </row>
    <row r="105" spans="2:17" ht="15" customHeight="1">
      <c r="B105" s="281"/>
      <c r="D105" s="292">
        <f>D106+0.01</f>
        <v>9.9999999999999992E-2</v>
      </c>
      <c r="E105" s="293">
        <v>20.680633001583054</v>
      </c>
      <c r="F105" s="293">
        <v>20.680633001583054</v>
      </c>
      <c r="G105" s="293">
        <v>20.680633001583054</v>
      </c>
      <c r="H105" s="293">
        <v>20.680633001583054</v>
      </c>
      <c r="I105" s="293">
        <v>20.680633001583054</v>
      </c>
      <c r="J105" s="294"/>
      <c r="L105" s="292">
        <f>L106+0.01</f>
        <v>9.9999999999999992E-2</v>
      </c>
      <c r="M105" s="295" t="e">
        <v>#DIV/0!</v>
      </c>
      <c r="N105" s="295" t="e">
        <v>#DIV/0!</v>
      </c>
      <c r="O105" s="295" t="e">
        <v>#DIV/0!</v>
      </c>
      <c r="P105" s="295" t="e">
        <v>#DIV/0!</v>
      </c>
      <c r="Q105" s="295" t="e">
        <v>#DIV/0!</v>
      </c>
    </row>
    <row r="106" spans="2:17" ht="15" customHeight="1">
      <c r="B106" s="281"/>
      <c r="C106" s="156" t="s">
        <v>393</v>
      </c>
      <c r="D106" s="296">
        <v>0.09</v>
      </c>
      <c r="E106" s="293">
        <v>20.680633001583054</v>
      </c>
      <c r="F106" s="293">
        <v>20.680633001583054</v>
      </c>
      <c r="G106" s="293">
        <v>20.680633001583054</v>
      </c>
      <c r="H106" s="293">
        <v>20.680633001583054</v>
      </c>
      <c r="I106" s="293">
        <v>20.680633001583054</v>
      </c>
      <c r="J106" s="294"/>
      <c r="K106" s="156" t="s">
        <v>393</v>
      </c>
      <c r="L106" s="296">
        <v>0.09</v>
      </c>
      <c r="M106" s="295" t="e">
        <v>#DIV/0!</v>
      </c>
      <c r="N106" s="295" t="e">
        <v>#DIV/0!</v>
      </c>
      <c r="O106" s="295" t="e">
        <v>#DIV/0!</v>
      </c>
      <c r="P106" s="295" t="e">
        <v>#DIV/0!</v>
      </c>
      <c r="Q106" s="295" t="e">
        <v>#DIV/0!</v>
      </c>
    </row>
    <row r="107" spans="2:17" ht="15" customHeight="1">
      <c r="B107" s="281"/>
      <c r="D107" s="292">
        <f>D106-0.01</f>
        <v>0.08</v>
      </c>
      <c r="E107" s="293">
        <v>20.680633001583054</v>
      </c>
      <c r="F107" s="293">
        <v>20.680633001583054</v>
      </c>
      <c r="G107" s="293">
        <v>20.680633001583054</v>
      </c>
      <c r="H107" s="293">
        <v>20.680633001583054</v>
      </c>
      <c r="I107" s="293">
        <v>20.680633001583054</v>
      </c>
      <c r="J107" s="294"/>
      <c r="L107" s="292">
        <f>L106-0.01</f>
        <v>0.08</v>
      </c>
      <c r="M107" s="295" t="e">
        <v>#DIV/0!</v>
      </c>
      <c r="N107" s="295" t="e">
        <v>#DIV/0!</v>
      </c>
      <c r="O107" s="295" t="e">
        <v>#DIV/0!</v>
      </c>
      <c r="P107" s="295" t="e">
        <v>#DIV/0!</v>
      </c>
      <c r="Q107" s="295" t="e">
        <v>#DIV/0!</v>
      </c>
    </row>
    <row r="108" spans="2:17" ht="15" customHeight="1">
      <c r="B108" s="281"/>
      <c r="D108" s="298">
        <f>D107-0.01</f>
        <v>7.0000000000000007E-2</v>
      </c>
      <c r="E108" s="293">
        <v>20.680633001583054</v>
      </c>
      <c r="F108" s="293">
        <v>20.680633001583054</v>
      </c>
      <c r="G108" s="293">
        <v>20.680633001583054</v>
      </c>
      <c r="H108" s="293">
        <v>20.680633001583054</v>
      </c>
      <c r="I108" s="293">
        <v>20.680633001583054</v>
      </c>
      <c r="J108" s="294"/>
      <c r="L108" s="298">
        <f>L107-0.01</f>
        <v>7.0000000000000007E-2</v>
      </c>
      <c r="M108" s="295" t="e">
        <v>#DIV/0!</v>
      </c>
      <c r="N108" s="295" t="e">
        <v>#DIV/0!</v>
      </c>
      <c r="O108" s="295" t="e">
        <v>#DIV/0!</v>
      </c>
      <c r="P108" s="295" t="e">
        <v>#DIV/0!</v>
      </c>
      <c r="Q108" s="295" t="e">
        <v>#DIV/0!</v>
      </c>
    </row>
    <row r="109" spans="2:17">
      <c r="J109" s="306"/>
    </row>
    <row r="110" spans="2:17">
      <c r="B110" s="307" t="s">
        <v>397</v>
      </c>
      <c r="C110" s="307"/>
      <c r="D110" s="307"/>
      <c r="E110" s="307"/>
      <c r="G110" s="307" t="s">
        <v>398</v>
      </c>
      <c r="H110" s="307"/>
      <c r="I110" s="307"/>
      <c r="J110" s="308"/>
      <c r="K110" s="307"/>
      <c r="L110" s="307"/>
      <c r="M110" s="307"/>
      <c r="N110" s="307"/>
      <c r="O110" s="307"/>
      <c r="P110" s="307"/>
    </row>
    <row r="111" spans="2:17">
      <c r="J111" s="306"/>
    </row>
    <row r="112" spans="2:17">
      <c r="J112" s="306"/>
    </row>
    <row r="113" spans="10:13">
      <c r="J113" s="306"/>
    </row>
    <row r="114" spans="10:13">
      <c r="J114" s="306"/>
    </row>
    <row r="115" spans="10:13">
      <c r="J115" s="306"/>
    </row>
    <row r="116" spans="10:13">
      <c r="J116" s="306"/>
    </row>
    <row r="117" spans="10:13">
      <c r="J117" s="306"/>
    </row>
    <row r="118" spans="10:13">
      <c r="J118" s="306"/>
    </row>
    <row r="119" spans="10:13">
      <c r="J119" s="306"/>
    </row>
    <row r="120" spans="10:13">
      <c r="J120" s="306"/>
    </row>
    <row r="121" spans="10:13">
      <c r="J121" s="306"/>
    </row>
    <row r="122" spans="10:13">
      <c r="J122" s="306"/>
    </row>
    <row r="123" spans="10:13">
      <c r="J123" s="306"/>
    </row>
    <row r="124" spans="10:13">
      <c r="J124" s="306"/>
      <c r="M124" s="309"/>
    </row>
    <row r="125" spans="10:13">
      <c r="J125" s="306"/>
    </row>
    <row r="126" spans="10:13">
      <c r="J126" s="306"/>
    </row>
    <row r="127" spans="10:13">
      <c r="J127" s="306"/>
    </row>
    <row r="128" spans="10:13">
      <c r="J128" s="306"/>
    </row>
    <row r="129" spans="2:17">
      <c r="J129" s="306"/>
    </row>
    <row r="130" spans="2:17">
      <c r="J130" s="306"/>
    </row>
    <row r="131" spans="2:17">
      <c r="B131" s="310"/>
      <c r="C131" s="311" t="s">
        <v>399</v>
      </c>
      <c r="D131" s="311" t="s">
        <v>400</v>
      </c>
      <c r="E131" s="312" t="s">
        <v>246</v>
      </c>
      <c r="G131" s="310"/>
      <c r="H131" s="204"/>
      <c r="I131" s="204"/>
      <c r="J131" s="313"/>
      <c r="K131" s="204"/>
      <c r="L131" s="204"/>
      <c r="M131" s="204"/>
      <c r="N131" s="204"/>
      <c r="O131" s="311" t="s">
        <v>399</v>
      </c>
      <c r="P131" s="311" t="s">
        <v>400</v>
      </c>
      <c r="Q131" s="312" t="s">
        <v>246</v>
      </c>
    </row>
    <row r="132" spans="2:17">
      <c r="B132" s="314" t="str">
        <f>"DCF Value at "&amp;TEXT(E103,"0.0x")&amp;"-"&amp;TEXT(I103,"0.0x")&amp;" Exit EBITDA Range at "&amp;TEXT(D106,"0.0%")&amp;" WACC"</f>
        <v>DCF Value at 11.0x-15.0x Exit EBITDA Range at 9.0% WACC</v>
      </c>
      <c r="C132" s="232">
        <f>E106</f>
        <v>20.680633001583054</v>
      </c>
      <c r="D132" s="232">
        <f>E132-C132</f>
        <v>0</v>
      </c>
      <c r="E132" s="315">
        <f>I106</f>
        <v>20.680633001583054</v>
      </c>
      <c r="G132" s="314" t="str">
        <f>"LTM EBITDA Purchase Multiple at "&amp;TEXT(M94,"0.0%")&amp;"-"&amp;TEXT(Q94,"0.0%")&amp;" Perpetuity Growth at "&amp;TEXT(L97,"0.0%")&amp;" WACC"</f>
        <v>LTM EBITDA Purchase Multiple at 2.0%-4.0% Perpetuity Growth at 9.0% WACC</v>
      </c>
      <c r="J132" s="306"/>
      <c r="O132" s="239" t="e">
        <f>M97</f>
        <v>#DIV/0!</v>
      </c>
      <c r="P132" s="239" t="e">
        <f>Q132-O132</f>
        <v>#DIV/0!</v>
      </c>
      <c r="Q132" s="316" t="e">
        <f>Q97</f>
        <v>#DIV/0!</v>
      </c>
    </row>
    <row r="133" spans="2:17">
      <c r="B133" s="317" t="str">
        <f>"DCF Value at "&amp;TEXT(E94,"0.0%")&amp;"-"&amp;TEXT(I94,"0.0%")&amp;" Perpetuity Range at "&amp;TEXT(D106,"0.0%")&amp;" WACC"</f>
        <v>DCF Value at 2.0%-4.0% Perpetuity Range at 9.0% WACC</v>
      </c>
      <c r="C133" s="232">
        <f>E97</f>
        <v>20.680633001583054</v>
      </c>
      <c r="D133" s="232">
        <f>E133-C133</f>
        <v>0</v>
      </c>
      <c r="E133" s="315">
        <f>I97</f>
        <v>20.680633001583054</v>
      </c>
      <c r="G133" s="317" t="e">
        <f>"LTM EBITDA Purchase Multiple at "&amp;TEXT(M106,"0.0x")&amp;"-"&amp;TEXT(Q106,"0.0x")&amp;" Exit EBITDA Multiple at "&amp;TEXT(L106,"0.0%")&amp;" WACC"</f>
        <v>#DIV/0!</v>
      </c>
      <c r="J133" s="306"/>
      <c r="O133" s="239" t="e">
        <f>M106</f>
        <v>#DIV/0!</v>
      </c>
      <c r="P133" s="239" t="e">
        <f>Q133-O133</f>
        <v>#DIV/0!</v>
      </c>
      <c r="Q133" s="316" t="e">
        <f>Q106</f>
        <v>#DIV/0!</v>
      </c>
    </row>
    <row r="134" spans="2:17">
      <c r="B134" s="318" t="s">
        <v>401</v>
      </c>
      <c r="C134" s="319">
        <v>169.5</v>
      </c>
      <c r="D134" s="320">
        <f>E134-C134</f>
        <v>158.35000000000002</v>
      </c>
      <c r="E134" s="321">
        <v>327.85</v>
      </c>
      <c r="G134" s="318" t="str">
        <f>"LTM EBITDA Purchase Multiple at "&amp;TEXT(L108,"0.0%")&amp;"-"&amp;TEXT(L104,"0.0%")&amp;" WACC at "&amp;TEXT(O103,"0.0x")&amp;" Exit EBITDA"</f>
        <v>LTM EBITDA Purchase Multiple at 7.0%-11.0% WACC at 13.0x Exit EBITDA</v>
      </c>
      <c r="H134" s="98"/>
      <c r="I134" s="98"/>
      <c r="J134" s="322"/>
      <c r="K134" s="98"/>
      <c r="L134" s="98"/>
      <c r="M134" s="98"/>
      <c r="N134" s="98"/>
      <c r="O134" s="320" t="e">
        <f>O104</f>
        <v>#DIV/0!</v>
      </c>
      <c r="P134" s="320" t="e">
        <f>Q134-O134</f>
        <v>#DIV/0!</v>
      </c>
      <c r="Q134" s="323" t="e">
        <f>O108</f>
        <v>#DIV/0!</v>
      </c>
    </row>
    <row r="135" spans="2:17">
      <c r="J135" s="306"/>
    </row>
    <row r="136" spans="2:17">
      <c r="J136" s="306"/>
    </row>
  </sheetData>
  <conditionalFormatting sqref="E95:J99 E104:J108">
    <cfRule type="cellIs" dxfId="1" priority="4" operator="lessThan">
      <formula>#REF!</formula>
    </cfRule>
  </conditionalFormatting>
  <dataValidations count="1">
    <dataValidation type="list" allowBlank="1" showInputMessage="1" showErrorMessage="1" sqref="H9" xr:uid="{2A47C13B-7E3B-42F4-BD39-D0A796599366}">
      <formula1>"0,1"</formula1>
    </dataValidation>
  </dataValidations>
  <pageMargins left="0.7" right="0.7" top="0.75" bottom="0.75" header="0.3" footer="0.3"/>
  <ignoredErrors>
    <ignoredError sqref="D75" formula="1"/>
    <ignoredError sqref="D17:I24" evalError="1"/>
  </ignoredErrors>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9222F-360D-4DA1-BCF5-0231D11F1122}">
  <sheetPr>
    <tabColor rgb="FFFF0000"/>
  </sheetPr>
  <dimension ref="B2:I49"/>
  <sheetViews>
    <sheetView showGridLines="0" zoomScale="115" zoomScaleNormal="115" workbookViewId="0">
      <selection activeCell="B3" sqref="B3"/>
    </sheetView>
  </sheetViews>
  <sheetFormatPr defaultColWidth="8" defaultRowHeight="12"/>
  <cols>
    <col min="1" max="1" width="1.25" style="8" customWidth="1"/>
    <col min="2" max="2" width="44" style="8" customWidth="1"/>
    <col min="3" max="3" width="11.75" style="8" customWidth="1"/>
    <col min="4" max="9" width="11.125" style="8" customWidth="1"/>
    <col min="10" max="10" width="1.5" style="8" customWidth="1"/>
    <col min="11" max="11" width="9.625" style="8" bestFit="1" customWidth="1"/>
    <col min="12" max="16" width="8.25" style="8" customWidth="1"/>
    <col min="17" max="16384" width="8" style="8"/>
  </cols>
  <sheetData>
    <row r="2" spans="2:9">
      <c r="B2" s="1" t="str">
        <f>'Historical Financials'!B2</f>
        <v>Netflix, Inc. (NASDAQ: NFLX)</v>
      </c>
      <c r="C2" s="6"/>
      <c r="D2" s="6"/>
      <c r="E2" s="6"/>
      <c r="F2" s="6"/>
      <c r="G2" s="6"/>
      <c r="H2" s="6"/>
      <c r="I2" s="6"/>
    </row>
    <row r="3" spans="2:9">
      <c r="B3" s="6" t="s">
        <v>251</v>
      </c>
      <c r="C3" s="6"/>
      <c r="D3" s="6"/>
      <c r="E3" s="6"/>
      <c r="F3" s="6"/>
      <c r="G3" s="6"/>
      <c r="H3" s="6"/>
      <c r="I3" s="6"/>
    </row>
    <row r="4" spans="2:9">
      <c r="B4" s="6" t="s">
        <v>416</v>
      </c>
      <c r="C4" s="6"/>
      <c r="D4" s="6"/>
      <c r="E4" s="6"/>
      <c r="F4" s="6"/>
      <c r="G4" s="6"/>
      <c r="H4" s="6"/>
      <c r="I4" s="6"/>
    </row>
    <row r="5" spans="2:9" ht="5.0999999999999996" customHeight="1"/>
    <row r="6" spans="2:9">
      <c r="B6" s="197" t="s">
        <v>252</v>
      </c>
      <c r="C6" s="198"/>
      <c r="D6" s="96"/>
      <c r="E6" s="110" t="s">
        <v>253</v>
      </c>
      <c r="F6" s="199"/>
    </row>
    <row r="7" spans="2:9" ht="5.0999999999999996" customHeight="1">
      <c r="E7" s="110"/>
    </row>
    <row r="8" spans="2:9">
      <c r="B8" s="8" t="s">
        <v>254</v>
      </c>
      <c r="C8" s="151"/>
      <c r="E8" s="8" t="s">
        <v>455</v>
      </c>
    </row>
    <row r="9" spans="2:9">
      <c r="B9" s="8" t="s">
        <v>128</v>
      </c>
      <c r="C9" s="206"/>
      <c r="E9" s="8" t="s">
        <v>255</v>
      </c>
    </row>
    <row r="10" spans="2:9">
      <c r="B10" s="8" t="s">
        <v>256</v>
      </c>
      <c r="C10" s="152">
        <f>C8*(1-C9)</f>
        <v>0</v>
      </c>
      <c r="E10" s="8" t="s">
        <v>257</v>
      </c>
    </row>
    <row r="12" spans="2:9">
      <c r="B12" s="8" t="s">
        <v>258</v>
      </c>
      <c r="C12" s="151"/>
      <c r="E12" s="8" t="s">
        <v>259</v>
      </c>
    </row>
    <row r="13" spans="2:9">
      <c r="B13" s="8" t="s">
        <v>27</v>
      </c>
      <c r="C13" s="207">
        <f>IF(C34="Observed",C36,C37)</f>
        <v>0</v>
      </c>
      <c r="E13" s="8" t="s">
        <v>260</v>
      </c>
    </row>
    <row r="14" spans="2:9">
      <c r="B14" s="8" t="s">
        <v>261</v>
      </c>
      <c r="C14" s="151"/>
      <c r="E14" s="8" t="s">
        <v>456</v>
      </c>
    </row>
    <row r="15" spans="2:9">
      <c r="B15" s="8" t="s">
        <v>262</v>
      </c>
      <c r="C15" s="200">
        <f>C12+C13*C14</f>
        <v>0</v>
      </c>
      <c r="E15" s="8" t="s">
        <v>263</v>
      </c>
    </row>
    <row r="17" spans="2:6">
      <c r="B17" s="97" t="s">
        <v>264</v>
      </c>
      <c r="C17" s="98"/>
      <c r="D17" s="98"/>
      <c r="E17" s="98"/>
      <c r="F17" s="38"/>
    </row>
    <row r="18" spans="2:6">
      <c r="B18" s="38"/>
      <c r="C18" s="156"/>
      <c r="D18" s="156" t="s">
        <v>265</v>
      </c>
      <c r="F18" s="38"/>
    </row>
    <row r="19" spans="2:6" ht="14.25">
      <c r="C19" s="201" t="s">
        <v>266</v>
      </c>
      <c r="D19" s="201" t="s">
        <v>267</v>
      </c>
      <c r="E19" s="201" t="s">
        <v>268</v>
      </c>
    </row>
    <row r="20" spans="2:6">
      <c r="B20" s="8" t="s">
        <v>269</v>
      </c>
      <c r="C20" s="208"/>
      <c r="D20" s="209"/>
      <c r="E20" s="124" t="e">
        <f>IF(D20,D20,C20/(C20+C21))</f>
        <v>#DIV/0!</v>
      </c>
    </row>
    <row r="21" spans="2:6">
      <c r="B21" s="8" t="s">
        <v>21</v>
      </c>
      <c r="C21" s="208">
        <f>DCF!C61</f>
        <v>0</v>
      </c>
      <c r="D21" s="155">
        <f>1-D20</f>
        <v>1</v>
      </c>
      <c r="E21" s="124" t="e">
        <f>1-E20</f>
        <v>#DIV/0!</v>
      </c>
    </row>
    <row r="23" spans="2:6">
      <c r="B23" s="202" t="s">
        <v>270</v>
      </c>
      <c r="C23" s="203"/>
      <c r="D23" s="204"/>
      <c r="E23" s="210" t="e">
        <f>C10*E21+C15*E20</f>
        <v>#DIV/0!</v>
      </c>
    </row>
    <row r="24" spans="2:6">
      <c r="B24" s="38"/>
      <c r="C24" s="211"/>
    </row>
    <row r="25" spans="2:6">
      <c r="B25" s="97" t="s">
        <v>271</v>
      </c>
      <c r="C25" s="98"/>
      <c r="D25" s="98"/>
      <c r="E25" s="98"/>
      <c r="F25" s="98"/>
    </row>
    <row r="26" spans="2:6">
      <c r="D26" s="212" t="s">
        <v>33</v>
      </c>
      <c r="E26" s="213"/>
      <c r="F26" s="212"/>
    </row>
    <row r="27" spans="2:6">
      <c r="C27" s="214" t="e">
        <f>E23</f>
        <v>#DIV/0!</v>
      </c>
      <c r="D27" s="215">
        <f>E27-0.1</f>
        <v>-0.1</v>
      </c>
      <c r="E27" s="216"/>
      <c r="F27" s="217">
        <f>E27+0.1</f>
        <v>0.1</v>
      </c>
    </row>
    <row r="28" spans="2:6">
      <c r="C28" s="218">
        <f>C29-0.005</f>
        <v>-0.01</v>
      </c>
      <c r="D28" s="219">
        <v>6.1013495196213796E-2</v>
      </c>
      <c r="E28" s="130">
        <v>6.590882572582199E-2</v>
      </c>
      <c r="F28" s="130">
        <v>7.080415625543017E-2</v>
      </c>
    </row>
    <row r="29" spans="2:6">
      <c r="B29" s="156" t="s">
        <v>272</v>
      </c>
      <c r="C29" s="218">
        <f>C30-0.005</f>
        <v>-5.0000000000000001E-3</v>
      </c>
      <c r="D29" s="130">
        <v>6.6447312084078877E-2</v>
      </c>
      <c r="E29" s="130">
        <v>7.1886568228087977E-2</v>
      </c>
      <c r="F29" s="130">
        <v>7.7325824372097077E-2</v>
      </c>
    </row>
    <row r="30" spans="2:6">
      <c r="B30" s="156" t="s">
        <v>273</v>
      </c>
      <c r="C30" s="220"/>
      <c r="D30" s="130">
        <v>7.1881128971943958E-2</v>
      </c>
      <c r="E30" s="130">
        <v>7.7864310730353978E-2</v>
      </c>
      <c r="F30" s="130">
        <v>8.3847492488763983E-2</v>
      </c>
    </row>
    <row r="31" spans="2:6">
      <c r="B31" s="156" t="s">
        <v>274</v>
      </c>
      <c r="C31" s="218">
        <f>C30+0.005</f>
        <v>5.0000000000000001E-3</v>
      </c>
      <c r="D31" s="130">
        <v>7.7314945859809053E-2</v>
      </c>
      <c r="E31" s="130">
        <v>8.3842053232619965E-2</v>
      </c>
      <c r="F31" s="130">
        <v>9.0369160605430876E-2</v>
      </c>
    </row>
    <row r="32" spans="2:6">
      <c r="C32" s="218">
        <f>C31+0.005</f>
        <v>0.01</v>
      </c>
      <c r="D32" s="130">
        <v>8.2748762747674148E-2</v>
      </c>
      <c r="E32" s="130">
        <v>8.9819795734885952E-2</v>
      </c>
      <c r="F32" s="130">
        <v>9.6890828722097783E-2</v>
      </c>
    </row>
    <row r="33" spans="2:9">
      <c r="C33" s="221"/>
      <c r="D33" s="130"/>
      <c r="E33" s="130"/>
      <c r="F33" s="130"/>
    </row>
    <row r="34" spans="2:9">
      <c r="B34" s="8" t="s">
        <v>275</v>
      </c>
      <c r="C34" s="222" t="s">
        <v>276</v>
      </c>
    </row>
    <row r="36" spans="2:9">
      <c r="B36" s="65" t="s">
        <v>276</v>
      </c>
      <c r="C36" s="205"/>
      <c r="D36" s="8" t="s">
        <v>260</v>
      </c>
    </row>
    <row r="37" spans="2:9">
      <c r="B37" s="65" t="s">
        <v>277</v>
      </c>
      <c r="C37" s="223" t="e">
        <f>C48</f>
        <v>#DIV/0!</v>
      </c>
      <c r="D37" s="8" t="s">
        <v>278</v>
      </c>
    </row>
    <row r="39" spans="2:9">
      <c r="B39" s="97" t="s">
        <v>277</v>
      </c>
      <c r="C39" s="97"/>
      <c r="D39" s="98"/>
      <c r="E39" s="98"/>
      <c r="F39" s="98"/>
      <c r="G39" s="98"/>
      <c r="H39" s="98"/>
      <c r="I39" s="98"/>
    </row>
    <row r="40" spans="2:9">
      <c r="H40" s="5"/>
    </row>
    <row r="41" spans="2:9" ht="12.75" thickBot="1">
      <c r="C41" s="224" t="s">
        <v>283</v>
      </c>
      <c r="D41" s="224" t="s">
        <v>279</v>
      </c>
      <c r="E41" s="224" t="s">
        <v>280</v>
      </c>
      <c r="F41" s="224" t="s">
        <v>281</v>
      </c>
      <c r="G41" s="225" t="s">
        <v>36</v>
      </c>
      <c r="H41" s="224" t="s">
        <v>128</v>
      </c>
      <c r="I41" s="224" t="s">
        <v>284</v>
      </c>
    </row>
    <row r="42" spans="2:9">
      <c r="B42" s="226"/>
      <c r="C42" s="205"/>
      <c r="D42" s="227"/>
      <c r="E42" s="104"/>
      <c r="F42" s="70">
        <f>D42*E42</f>
        <v>0</v>
      </c>
      <c r="G42" s="104"/>
      <c r="H42" s="112"/>
      <c r="I42" s="223" t="e">
        <f>C42/(1+(1-H42)*(G42)/F42)</f>
        <v>#DIV/0!</v>
      </c>
    </row>
    <row r="43" spans="2:9">
      <c r="B43" s="226"/>
      <c r="C43" s="205"/>
      <c r="D43" s="227"/>
      <c r="E43" s="104"/>
      <c r="F43" s="70">
        <f>D43*E43</f>
        <v>0</v>
      </c>
      <c r="G43" s="104"/>
      <c r="H43" s="112"/>
      <c r="I43" s="223" t="e">
        <f>C43/(1+(1-H43)*(G43)/F43)</f>
        <v>#DIV/0!</v>
      </c>
    </row>
    <row r="44" spans="2:9">
      <c r="B44" s="226"/>
      <c r="C44" s="205"/>
      <c r="D44" s="227"/>
      <c r="E44" s="104"/>
      <c r="F44" s="70">
        <f>D44*E44</f>
        <v>0</v>
      </c>
      <c r="G44" s="104"/>
      <c r="H44" s="112"/>
      <c r="I44" s="223" t="e">
        <f>C44/(1+(1-H44)*(G44)/F44)</f>
        <v>#DIV/0!</v>
      </c>
    </row>
    <row r="45" spans="2:9">
      <c r="B45" s="226"/>
      <c r="C45" s="207">
        <f>C36</f>
        <v>0</v>
      </c>
      <c r="D45" s="228"/>
      <c r="E45" s="229"/>
      <c r="F45" s="105">
        <f>C20</f>
        <v>0</v>
      </c>
      <c r="G45" s="105">
        <f>C21</f>
        <v>0</v>
      </c>
      <c r="H45" s="230">
        <f>C9</f>
        <v>0</v>
      </c>
      <c r="I45" s="223" t="e">
        <f>C45/(1+(1-H45)*(G45)/F45)</f>
        <v>#DIV/0!</v>
      </c>
    </row>
    <row r="46" spans="2:9">
      <c r="C46" s="223"/>
      <c r="F46" s="70"/>
      <c r="G46" s="70"/>
      <c r="H46" s="70"/>
      <c r="I46" s="124"/>
    </row>
    <row r="47" spans="2:9">
      <c r="B47" s="8" t="s">
        <v>282</v>
      </c>
      <c r="C47" s="223" t="e">
        <f>AVERAGE(I42:I45)</f>
        <v>#DIV/0!</v>
      </c>
    </row>
    <row r="48" spans="2:9">
      <c r="B48" s="38" t="str">
        <f>B45&amp;" beta"</f>
        <v xml:space="preserve"> beta</v>
      </c>
      <c r="C48" s="231" t="e">
        <f>C47*(1+(1-H45)*(G45)/F45)</f>
        <v>#DIV/0!</v>
      </c>
    </row>
    <row r="49" spans="3:3">
      <c r="C49" s="232"/>
    </row>
  </sheetData>
  <conditionalFormatting sqref="B24:C26">
    <cfRule type="expression" dxfId="0" priority="1">
      <formula>#REF!="Industry"</formula>
    </cfRule>
  </conditionalFormatting>
  <dataValidations count="1">
    <dataValidation type="list" allowBlank="1" showInputMessage="1" showErrorMessage="1" sqref="C34" xr:uid="{5969403F-F59B-4DD9-94A4-15D44B9BB601}">
      <formula1>"Industry, Observed"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3F7DF-9DD1-4366-B49E-51C45A044389}">
  <sheetPr>
    <tabColor theme="5" tint="-0.249977111117893"/>
  </sheetPr>
  <dimension ref="A2:G44"/>
  <sheetViews>
    <sheetView showGridLines="0" zoomScale="130" zoomScaleNormal="130" workbookViewId="0">
      <selection activeCell="B3" sqref="B3"/>
    </sheetView>
  </sheetViews>
  <sheetFormatPr defaultColWidth="7.625" defaultRowHeight="12"/>
  <cols>
    <col min="1" max="1" width="1.25" style="8" customWidth="1"/>
    <col min="2" max="2" width="52.875" style="8" bestFit="1" customWidth="1"/>
    <col min="3" max="3" width="10" style="8" bestFit="1" customWidth="1"/>
    <col min="4" max="4" width="9.125" style="8" bestFit="1" customWidth="1"/>
    <col min="5" max="5" width="9.75" style="8" customWidth="1"/>
    <col min="6" max="6" width="8.75" style="8" bestFit="1" customWidth="1"/>
    <col min="7" max="7" width="9.75" style="8" bestFit="1" customWidth="1"/>
    <col min="8" max="16384" width="7.625" style="8"/>
  </cols>
  <sheetData>
    <row r="2" spans="1:5">
      <c r="B2" s="1" t="str">
        <f>'Historical Financials'!B2</f>
        <v>Netflix, Inc. (NASDAQ: NFLX)</v>
      </c>
      <c r="C2" s="6"/>
      <c r="D2" s="6"/>
      <c r="E2" s="6"/>
    </row>
    <row r="3" spans="1:5">
      <c r="B3" s="6" t="s">
        <v>285</v>
      </c>
      <c r="C3" s="6"/>
      <c r="D3" s="6"/>
      <c r="E3" s="6"/>
    </row>
    <row r="4" spans="1:5">
      <c r="B4" s="6" t="s">
        <v>416</v>
      </c>
      <c r="C4" s="6"/>
      <c r="D4" s="6"/>
      <c r="E4" s="6"/>
    </row>
    <row r="5" spans="1:5" ht="5.0999999999999996" customHeight="1"/>
    <row r="6" spans="1:5">
      <c r="B6" s="419" t="s">
        <v>286</v>
      </c>
      <c r="C6" s="420"/>
      <c r="D6" s="420"/>
      <c r="E6" s="421">
        <f>DCF!H7</f>
        <v>0</v>
      </c>
    </row>
    <row r="7" spans="1:5" ht="5.0999999999999996" customHeight="1"/>
    <row r="8" spans="1:5">
      <c r="B8" s="38"/>
    </row>
    <row r="9" spans="1:5">
      <c r="A9" s="8" t="s">
        <v>24</v>
      </c>
      <c r="B9" s="423" t="s">
        <v>287</v>
      </c>
      <c r="C9" s="422" t="s">
        <v>288</v>
      </c>
      <c r="D9" s="422" t="s">
        <v>289</v>
      </c>
      <c r="E9" s="422" t="s">
        <v>290</v>
      </c>
    </row>
    <row r="10" spans="1:5">
      <c r="B10" s="424" t="s">
        <v>425</v>
      </c>
      <c r="C10" s="413" t="s">
        <v>291</v>
      </c>
      <c r="D10" s="413" t="s">
        <v>292</v>
      </c>
      <c r="E10" s="413" t="s">
        <v>291</v>
      </c>
    </row>
    <row r="11" spans="1:5" ht="5.0999999999999996" customHeight="1">
      <c r="B11" s="51"/>
      <c r="C11" s="425"/>
      <c r="D11" s="426"/>
      <c r="E11" s="426"/>
    </row>
    <row r="12" spans="1:5">
      <c r="B12" s="8" t="s">
        <v>293</v>
      </c>
      <c r="C12" s="205"/>
      <c r="D12" s="233"/>
      <c r="E12" s="207">
        <f>IF(D12&lt;=$E$6,C12,0)</f>
        <v>0</v>
      </c>
    </row>
    <row r="13" spans="1:5">
      <c r="B13" s="8" t="s">
        <v>294</v>
      </c>
      <c r="C13" s="205"/>
      <c r="D13" s="233"/>
      <c r="E13" s="207">
        <f t="shared" ref="E13:E18" si="0">IF(D13&lt;=$E$6,C13,0)</f>
        <v>0</v>
      </c>
    </row>
    <row r="14" spans="1:5">
      <c r="B14" s="8" t="s">
        <v>295</v>
      </c>
      <c r="C14" s="205"/>
      <c r="D14" s="233"/>
      <c r="E14" s="207">
        <f t="shared" si="0"/>
        <v>0</v>
      </c>
    </row>
    <row r="15" spans="1:5">
      <c r="B15" s="8" t="s">
        <v>296</v>
      </c>
      <c r="C15" s="205"/>
      <c r="D15" s="233"/>
      <c r="E15" s="207">
        <f t="shared" si="0"/>
        <v>0</v>
      </c>
    </row>
    <row r="16" spans="1:5">
      <c r="B16" s="8" t="s">
        <v>297</v>
      </c>
      <c r="C16" s="205"/>
      <c r="D16" s="233"/>
      <c r="E16" s="207">
        <f t="shared" si="0"/>
        <v>0</v>
      </c>
    </row>
    <row r="17" spans="1:7">
      <c r="B17" s="8" t="s">
        <v>298</v>
      </c>
      <c r="C17" s="205"/>
      <c r="D17" s="233"/>
      <c r="E17" s="207">
        <f t="shared" si="0"/>
        <v>0</v>
      </c>
    </row>
    <row r="18" spans="1:7" ht="14.25">
      <c r="B18" s="8" t="s">
        <v>299</v>
      </c>
      <c r="C18" s="234"/>
      <c r="D18" s="233"/>
      <c r="E18" s="207">
        <f t="shared" si="0"/>
        <v>0</v>
      </c>
    </row>
    <row r="19" spans="1:7">
      <c r="B19" s="416" t="s">
        <v>300</v>
      </c>
      <c r="C19" s="427">
        <f>SUM(C12:C18)</f>
        <v>0</v>
      </c>
      <c r="D19" s="427"/>
      <c r="E19" s="427">
        <f>SUM(E12:E18)</f>
        <v>0</v>
      </c>
    </row>
    <row r="20" spans="1:7" ht="5.0999999999999996" customHeight="1">
      <c r="C20" s="205"/>
      <c r="D20" s="235"/>
      <c r="E20" s="223"/>
    </row>
    <row r="21" spans="1:7">
      <c r="B21" s="107" t="s">
        <v>301</v>
      </c>
      <c r="C21" s="70"/>
      <c r="E21" s="207">
        <f>SUMPRODUCT(D12:D18,E12:E18)</f>
        <v>0</v>
      </c>
    </row>
    <row r="22" spans="1:7" ht="14.25">
      <c r="B22" s="107" t="s">
        <v>302</v>
      </c>
      <c r="E22" s="236" t="e">
        <f>-(E21/E6)</f>
        <v>#DIV/0!</v>
      </c>
    </row>
    <row r="23" spans="1:7">
      <c r="B23" s="416" t="s">
        <v>303</v>
      </c>
      <c r="C23" s="427"/>
      <c r="D23" s="427"/>
      <c r="E23" s="427" t="e">
        <f>E19+E22</f>
        <v>#DIV/0!</v>
      </c>
    </row>
    <row r="24" spans="1:7">
      <c r="B24" s="38"/>
      <c r="C24" s="38"/>
      <c r="D24" s="38"/>
      <c r="E24" s="231"/>
    </row>
    <row r="25" spans="1:7">
      <c r="A25" s="8" t="s">
        <v>24</v>
      </c>
      <c r="B25" s="423" t="s">
        <v>304</v>
      </c>
      <c r="C25" s="423"/>
      <c r="D25" s="423"/>
      <c r="E25" s="423"/>
    </row>
    <row r="26" spans="1:7" ht="5.0999999999999996" customHeight="1">
      <c r="E26" s="38"/>
    </row>
    <row r="27" spans="1:7">
      <c r="B27" s="108" t="s">
        <v>305</v>
      </c>
    </row>
    <row r="28" spans="1:7">
      <c r="B28" s="8" t="s">
        <v>306</v>
      </c>
      <c r="E28" s="104"/>
    </row>
    <row r="29" spans="1:7">
      <c r="B29" s="8" t="s">
        <v>307</v>
      </c>
      <c r="E29" s="227"/>
    </row>
    <row r="30" spans="1:7">
      <c r="B30" s="8" t="s">
        <v>308</v>
      </c>
      <c r="E30" s="238" t="e">
        <f>E28/E31</f>
        <v>#DIV/0!</v>
      </c>
    </row>
    <row r="31" spans="1:7">
      <c r="B31" s="8" t="s">
        <v>309</v>
      </c>
      <c r="E31" s="239">
        <f>E29*E28/1000</f>
        <v>0</v>
      </c>
      <c r="G31" s="240"/>
    </row>
    <row r="32" spans="1:7" ht="5.0999999999999996" customHeight="1"/>
    <row r="33" spans="2:7">
      <c r="B33" s="416" t="s">
        <v>310</v>
      </c>
      <c r="C33" s="416"/>
      <c r="D33" s="428"/>
      <c r="E33" s="427" t="e">
        <f>IF(E30&lt;E6,E31,0)</f>
        <v>#DIV/0!</v>
      </c>
    </row>
    <row r="34" spans="2:7">
      <c r="B34" s="99" t="s">
        <v>311</v>
      </c>
      <c r="C34" s="99"/>
      <c r="E34" s="241" t="e">
        <f>IF(E33&gt;0,-E28,0)</f>
        <v>#DIV/0!</v>
      </c>
    </row>
    <row r="35" spans="2:7" ht="5.0999999999999996" customHeight="1"/>
    <row r="36" spans="2:7">
      <c r="B36" s="108" t="s">
        <v>312</v>
      </c>
    </row>
    <row r="37" spans="2:7">
      <c r="B37" s="8" t="s">
        <v>313</v>
      </c>
      <c r="E37" s="104"/>
    </row>
    <row r="38" spans="2:7">
      <c r="B38" s="8" t="s">
        <v>314</v>
      </c>
      <c r="E38" s="205"/>
    </row>
    <row r="39" spans="2:7">
      <c r="B39" s="8" t="s">
        <v>315</v>
      </c>
      <c r="E39" s="227"/>
    </row>
    <row r="40" spans="2:7">
      <c r="B40" s="8" t="s">
        <v>309</v>
      </c>
      <c r="E40" s="207">
        <f>E38*E39</f>
        <v>0</v>
      </c>
      <c r="G40" s="240"/>
    </row>
    <row r="41" spans="2:7">
      <c r="B41" s="8" t="s">
        <v>308</v>
      </c>
      <c r="E41" s="242" t="e">
        <f>E37/E40</f>
        <v>#DIV/0!</v>
      </c>
    </row>
    <row r="42" spans="2:7" ht="5.0999999999999996" customHeight="1">
      <c r="E42" s="242"/>
    </row>
    <row r="43" spans="2:7">
      <c r="B43" s="416" t="s">
        <v>310</v>
      </c>
      <c r="C43" s="416"/>
      <c r="D43" s="428"/>
      <c r="E43" s="427" t="e">
        <f>IF(E41&lt;E6,E40,0)</f>
        <v>#DIV/0!</v>
      </c>
    </row>
    <row r="44" spans="2:7">
      <c r="B44" s="99" t="s">
        <v>311</v>
      </c>
      <c r="E44" s="105" t="e">
        <f>IF(E43&gt;0,-E37,0)</f>
        <v>#DIV/0!</v>
      </c>
    </row>
  </sheetData>
  <pageMargins left="0.7" right="0.7" top="0.75" bottom="0.75" header="0.3" footer="0.3"/>
  <ignoredErrors>
    <ignoredError sqref="E22:E44" evalError="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E1BCF-328F-49A3-BB6D-CBB452391CB1}">
  <dimension ref="A2:J185"/>
  <sheetViews>
    <sheetView showGridLines="0" zoomScale="145" zoomScaleNormal="145" workbookViewId="0">
      <selection activeCell="D14" sqref="D14"/>
    </sheetView>
  </sheetViews>
  <sheetFormatPr defaultRowHeight="12"/>
  <cols>
    <col min="1" max="1" width="1.625" style="8" customWidth="1"/>
    <col min="2" max="2" width="20.75" style="8" bestFit="1" customWidth="1"/>
    <col min="3" max="3" width="7.875" style="8" bestFit="1" customWidth="1"/>
    <col min="4" max="4" width="8" style="8" bestFit="1" customWidth="1"/>
    <col min="5" max="8" width="7.875" style="8" bestFit="1" customWidth="1"/>
    <col min="9" max="9" width="1.625" style="8" customWidth="1"/>
    <col min="10" max="16384" width="9" style="8"/>
  </cols>
  <sheetData>
    <row r="2" spans="1:10">
      <c r="B2" s="527" t="str">
        <f>'Historical Financials'!B2</f>
        <v>Netflix, Inc. (NASDAQ: NFLX)</v>
      </c>
      <c r="C2" s="2" t="s">
        <v>161</v>
      </c>
      <c r="D2" s="517"/>
      <c r="E2" s="517"/>
      <c r="F2" s="517"/>
      <c r="G2" s="517"/>
      <c r="H2" s="2"/>
      <c r="I2" s="346"/>
      <c r="J2" s="2" t="s">
        <v>538</v>
      </c>
    </row>
    <row r="3" spans="1:10">
      <c r="B3" s="528" t="s">
        <v>539</v>
      </c>
      <c r="C3" s="519">
        <v>2025</v>
      </c>
      <c r="D3" s="519">
        <v>2026</v>
      </c>
      <c r="E3" s="519">
        <v>2027</v>
      </c>
      <c r="F3" s="519">
        <v>2028</v>
      </c>
      <c r="G3" s="519">
        <v>2029</v>
      </c>
      <c r="H3" s="519">
        <v>2030</v>
      </c>
      <c r="I3" s="346"/>
      <c r="J3" s="346" t="s">
        <v>541</v>
      </c>
    </row>
    <row r="4" spans="1:10">
      <c r="B4" s="528" t="s">
        <v>402</v>
      </c>
      <c r="C4" s="520">
        <v>45930</v>
      </c>
      <c r="D4" s="520">
        <v>46295</v>
      </c>
      <c r="E4" s="520">
        <v>46660</v>
      </c>
      <c r="F4" s="520">
        <v>47026</v>
      </c>
      <c r="G4" s="520">
        <v>47391</v>
      </c>
      <c r="H4" s="520">
        <v>47756</v>
      </c>
      <c r="I4" s="3"/>
      <c r="J4" s="3">
        <f>H4</f>
        <v>47756</v>
      </c>
    </row>
    <row r="5" spans="1:10" ht="5.0999999999999996" customHeight="1"/>
    <row r="6" spans="1:10">
      <c r="A6" s="8" t="s">
        <v>24</v>
      </c>
      <c r="B6" s="527" t="s">
        <v>561</v>
      </c>
      <c r="C6" s="527"/>
      <c r="D6" s="527"/>
      <c r="E6" s="527"/>
      <c r="F6" s="527"/>
      <c r="G6" s="527"/>
      <c r="H6" s="527"/>
      <c r="I6" s="527"/>
      <c r="J6" s="527"/>
    </row>
    <row r="7" spans="1:10" ht="5.0999999999999996" customHeight="1"/>
    <row r="8" spans="1:10">
      <c r="B8" s="529" t="s">
        <v>13</v>
      </c>
    </row>
    <row r="9" spans="1:10">
      <c r="B9" s="8" t="s">
        <v>552</v>
      </c>
      <c r="C9" s="534">
        <v>392268</v>
      </c>
      <c r="D9" s="534">
        <v>436585</v>
      </c>
      <c r="E9" s="534">
        <v>480338</v>
      </c>
      <c r="F9" s="534">
        <v>538306</v>
      </c>
      <c r="G9" s="534">
        <v>588380</v>
      </c>
      <c r="H9" s="534">
        <v>645069</v>
      </c>
      <c r="J9" s="524">
        <f>((H9/C9)^(1/COUNT(D9:H9))-1)</f>
        <v>0.10459903142793725</v>
      </c>
    </row>
    <row r="10" spans="1:10">
      <c r="B10" s="532" t="s">
        <v>550</v>
      </c>
      <c r="C10" s="535">
        <v>0.12</v>
      </c>
      <c r="D10" s="536">
        <f>SUM(D9/C9)-1</f>
        <v>0.11297633250736738</v>
      </c>
      <c r="E10" s="536">
        <f>SUM(E9/D9)-1</f>
        <v>0.10021645269535151</v>
      </c>
      <c r="F10" s="536">
        <f>SUM(F9/E9)-1</f>
        <v>0.12068168664565371</v>
      </c>
      <c r="G10" s="536">
        <f>SUM(G9/F9)-1</f>
        <v>9.3021441336340382E-2</v>
      </c>
      <c r="H10" s="536">
        <f>SUM(H9/G9)-1</f>
        <v>9.6347598490771347E-2</v>
      </c>
    </row>
    <row r="11" spans="1:10" ht="5.0999999999999996" customHeight="1"/>
    <row r="12" spans="1:10">
      <c r="B12" s="8" t="s">
        <v>548</v>
      </c>
      <c r="C12" s="534">
        <v>399831</v>
      </c>
      <c r="D12" s="534">
        <v>453850</v>
      </c>
      <c r="E12" s="534">
        <v>511170</v>
      </c>
      <c r="F12" s="537">
        <f>E12</f>
        <v>511170</v>
      </c>
      <c r="G12" s="537">
        <f>F12</f>
        <v>511170</v>
      </c>
      <c r="H12" s="537">
        <f>G12</f>
        <v>511170</v>
      </c>
      <c r="J12" s="524">
        <f>((H12/C12)^(1/COUNT(D12:H12))-1)</f>
        <v>5.0359043188543229E-2</v>
      </c>
    </row>
    <row r="13" spans="1:10">
      <c r="B13" s="532" t="s">
        <v>550</v>
      </c>
      <c r="C13" s="531"/>
      <c r="D13" s="536">
        <f>SUM(D12/C12)-1</f>
        <v>0.13510458168576234</v>
      </c>
      <c r="E13" s="536">
        <f>SUM(E12/D12)-1</f>
        <v>0.12629723476919685</v>
      </c>
      <c r="F13" s="536">
        <f>SUM(F12/E12)-1</f>
        <v>0</v>
      </c>
      <c r="G13" s="536">
        <f>SUM(G12/F12)-1</f>
        <v>0</v>
      </c>
      <c r="H13" s="536">
        <f>SUM(H12/G12)-1</f>
        <v>0</v>
      </c>
    </row>
    <row r="14" spans="1:10" ht="5.0999999999999996" customHeight="1"/>
    <row r="15" spans="1:10">
      <c r="B15" s="8" t="s">
        <v>545</v>
      </c>
      <c r="C15" s="534">
        <v>340967</v>
      </c>
      <c r="D15" s="534">
        <v>397318</v>
      </c>
      <c r="E15" s="534">
        <v>456109</v>
      </c>
      <c r="F15" s="537">
        <f>E15</f>
        <v>456109</v>
      </c>
      <c r="G15" s="537">
        <f>F15</f>
        <v>456109</v>
      </c>
      <c r="H15" s="537">
        <f>G15</f>
        <v>456109</v>
      </c>
      <c r="J15" s="524">
        <f>((H15/C15)^(1/COUNT(D15:H15))-1)</f>
        <v>5.9915537691517029E-2</v>
      </c>
    </row>
    <row r="16" spans="1:10">
      <c r="B16" s="532" t="s">
        <v>550</v>
      </c>
      <c r="C16" s="531"/>
      <c r="D16" s="536">
        <f>SUM(D15/C15)-1</f>
        <v>0.16526819310959717</v>
      </c>
      <c r="E16" s="536">
        <f>SUM(E15/D15)-1</f>
        <v>0.14796963641214345</v>
      </c>
      <c r="F16" s="536">
        <f>SUM(F15/E15)-1</f>
        <v>0</v>
      </c>
      <c r="G16" s="536">
        <f>SUM(G15/F15)-1</f>
        <v>0</v>
      </c>
      <c r="H16" s="536">
        <f>SUM(H15/G15)-1</f>
        <v>0</v>
      </c>
    </row>
    <row r="17" spans="1:10" ht="5.0999999999999996" customHeight="1"/>
    <row r="18" spans="1:10">
      <c r="B18" s="8" t="s">
        <v>556</v>
      </c>
      <c r="C18" s="534">
        <v>400013.8</v>
      </c>
      <c r="D18" s="534">
        <v>455990.6</v>
      </c>
      <c r="E18" s="537">
        <f>D18</f>
        <v>455990.6</v>
      </c>
      <c r="F18" s="537">
        <f>E18</f>
        <v>455990.6</v>
      </c>
      <c r="G18" s="537">
        <f>F18</f>
        <v>455990.6</v>
      </c>
      <c r="H18" s="537">
        <f>G18</f>
        <v>455990.6</v>
      </c>
      <c r="J18" s="524">
        <f>((H18/C18)^(1/COUNT(D18:H18))-1)</f>
        <v>2.6540724397008608E-2</v>
      </c>
    </row>
    <row r="19" spans="1:10">
      <c r="B19" s="532" t="s">
        <v>550</v>
      </c>
      <c r="C19" s="531"/>
      <c r="D19" s="536">
        <f>SUM(D18/C18)-1</f>
        <v>0.13993717216756019</v>
      </c>
      <c r="E19" s="536">
        <f>SUM(E18/D18)-1</f>
        <v>0</v>
      </c>
      <c r="F19" s="536">
        <f>SUM(F18/E18)-1</f>
        <v>0</v>
      </c>
      <c r="G19" s="536">
        <f>SUM(G18/F18)-1</f>
        <v>0</v>
      </c>
      <c r="H19" s="536">
        <f>SUM(H18/G18)-1</f>
        <v>0</v>
      </c>
    </row>
    <row r="21" spans="1:10" ht="5.0999999999999996" customHeight="1"/>
    <row r="22" spans="1:10">
      <c r="A22" s="8" t="s">
        <v>24</v>
      </c>
      <c r="B22" s="527" t="s">
        <v>560</v>
      </c>
      <c r="C22" s="527"/>
      <c r="D22" s="527"/>
      <c r="E22" s="527"/>
      <c r="F22" s="527"/>
      <c r="G22" s="527"/>
      <c r="H22" s="527"/>
      <c r="I22" s="527"/>
      <c r="J22" s="527"/>
    </row>
    <row r="23" spans="1:10" ht="5.0999999999999996" customHeight="1"/>
    <row r="24" spans="1:10">
      <c r="B24" s="529" t="s">
        <v>549</v>
      </c>
    </row>
    <row r="25" spans="1:10">
      <c r="B25" s="8" t="s">
        <v>552</v>
      </c>
      <c r="C25" s="534">
        <v>217892</v>
      </c>
      <c r="D25" s="534">
        <v>234234</v>
      </c>
      <c r="E25" s="534">
        <v>245946</v>
      </c>
      <c r="F25" s="534">
        <v>270541</v>
      </c>
      <c r="G25" s="534">
        <v>284068</v>
      </c>
      <c r="H25" s="534">
        <v>298271</v>
      </c>
      <c r="J25" s="524">
        <f>((H25/C25)^(1/COUNT(D25:H25))-1)</f>
        <v>6.4814481707963445E-2</v>
      </c>
    </row>
    <row r="26" spans="1:10">
      <c r="B26" s="532" t="s">
        <v>550</v>
      </c>
      <c r="C26" s="535">
        <v>0.1</v>
      </c>
      <c r="D26" s="536">
        <f>SUM(D25/C25)-1</f>
        <v>7.5000458942962478E-2</v>
      </c>
      <c r="E26" s="536">
        <f>SUM(E25/D25)-1</f>
        <v>5.0001280770511469E-2</v>
      </c>
      <c r="F26" s="536">
        <f>SUM(F25/E25)-1</f>
        <v>0.10000162637326904</v>
      </c>
      <c r="G26" s="536">
        <f>SUM(G25/F25)-1</f>
        <v>4.9999815185129082E-2</v>
      </c>
      <c r="H26" s="536">
        <f>SUM(H25/G25)-1</f>
        <v>4.9998591886449617E-2</v>
      </c>
    </row>
    <row r="27" spans="1:10" ht="5.0999999999999996" customHeight="1"/>
    <row r="28" spans="1:10">
      <c r="B28" s="8" t="s">
        <v>548</v>
      </c>
      <c r="C28" s="534">
        <v>222548</v>
      </c>
      <c r="D28" s="534">
        <v>246413</v>
      </c>
      <c r="E28" s="534">
        <v>270484</v>
      </c>
      <c r="F28" s="537">
        <f>E28</f>
        <v>270484</v>
      </c>
      <c r="G28" s="537">
        <f>F28</f>
        <v>270484</v>
      </c>
      <c r="H28" s="537">
        <f>G28</f>
        <v>270484</v>
      </c>
      <c r="J28" s="524">
        <f>((H28/C28)^(1/COUNT(D28:H28))-1)</f>
        <v>3.9785069265479311E-2</v>
      </c>
    </row>
    <row r="29" spans="1:10">
      <c r="B29" s="532" t="s">
        <v>550</v>
      </c>
      <c r="C29" s="531"/>
      <c r="D29" s="536">
        <f>SUM(D28/C28)-1</f>
        <v>0.10723529306037349</v>
      </c>
      <c r="E29" s="536">
        <f>SUM(E28/D28)-1</f>
        <v>9.7685592886738837E-2</v>
      </c>
      <c r="F29" s="536">
        <f>SUM(F28/E28)-1</f>
        <v>0</v>
      </c>
      <c r="G29" s="536">
        <f>SUM(G28/F28)-1</f>
        <v>0</v>
      </c>
      <c r="H29" s="536">
        <f>SUM(H28/G28)-1</f>
        <v>0</v>
      </c>
    </row>
    <row r="30" spans="1:10" ht="5.0999999999999996" customHeight="1"/>
    <row r="31" spans="1:10">
      <c r="B31" s="8" t="s">
        <v>545</v>
      </c>
      <c r="C31" s="534">
        <v>222950.58486480196</v>
      </c>
      <c r="D31" s="534">
        <v>249936.41572613319</v>
      </c>
      <c r="E31" s="534">
        <v>276281.11170055071</v>
      </c>
      <c r="F31" s="537">
        <f>E31</f>
        <v>276281.11170055071</v>
      </c>
      <c r="G31" s="537">
        <f>F31</f>
        <v>276281.11170055071</v>
      </c>
      <c r="H31" s="537">
        <f>G31</f>
        <v>276281.11170055071</v>
      </c>
      <c r="J31" s="524">
        <f>((H31/C31)^(1/COUNT(D31:H31))-1)</f>
        <v>4.382697475523667E-2</v>
      </c>
    </row>
    <row r="32" spans="1:10">
      <c r="B32" s="532" t="s">
        <v>550</v>
      </c>
      <c r="C32" s="531"/>
      <c r="D32" s="536">
        <f>SUM(D31/C31)-1</f>
        <v>0.12103951589853668</v>
      </c>
      <c r="E32" s="536">
        <f>SUM(E31/D31)-1</f>
        <v>0.10540559244989978</v>
      </c>
      <c r="F32" s="536">
        <f>SUM(F31/E31)-1</f>
        <v>0</v>
      </c>
      <c r="G32" s="536">
        <f>SUM(G31/F31)-1</f>
        <v>0</v>
      </c>
      <c r="H32" s="536">
        <f>SUM(H31/G31)-1</f>
        <v>0</v>
      </c>
    </row>
    <row r="33" spans="2:10" ht="5.0999999999999996" customHeight="1"/>
    <row r="34" spans="2:10">
      <c r="B34" s="545" t="s">
        <v>566</v>
      </c>
      <c r="C34" s="546">
        <f t="shared" ref="C34:H34" si="0">MEDIAN(C25,C28,C31)</f>
        <v>222548</v>
      </c>
      <c r="D34" s="546">
        <f t="shared" si="0"/>
        <v>246413</v>
      </c>
      <c r="E34" s="546">
        <f t="shared" si="0"/>
        <v>270484</v>
      </c>
      <c r="F34" s="546">
        <f t="shared" si="0"/>
        <v>270541</v>
      </c>
      <c r="G34" s="546">
        <f t="shared" si="0"/>
        <v>276281.11170055071</v>
      </c>
      <c r="H34" s="547">
        <f t="shared" si="0"/>
        <v>276281.11170055071</v>
      </c>
    </row>
    <row r="35" spans="2:10">
      <c r="B35" s="542" t="s">
        <v>567</v>
      </c>
      <c r="C35" s="543">
        <f t="shared" ref="C35:H35" si="1">AVERAGE(C31,C28,C25)</f>
        <v>221130.19495493398</v>
      </c>
      <c r="D35" s="543">
        <f t="shared" si="1"/>
        <v>243527.80524204439</v>
      </c>
      <c r="E35" s="543">
        <f t="shared" si="1"/>
        <v>264237.03723351686</v>
      </c>
      <c r="F35" s="543">
        <f t="shared" si="1"/>
        <v>272435.37056685024</v>
      </c>
      <c r="G35" s="543">
        <f t="shared" si="1"/>
        <v>276944.37056685024</v>
      </c>
      <c r="H35" s="544">
        <f t="shared" si="1"/>
        <v>281678.70390018355</v>
      </c>
    </row>
    <row r="37" spans="2:10">
      <c r="B37" s="529" t="s">
        <v>524</v>
      </c>
    </row>
    <row r="38" spans="2:10">
      <c r="B38" s="8" t="s">
        <v>552</v>
      </c>
      <c r="C38" s="534">
        <v>41569</v>
      </c>
      <c r="D38" s="534">
        <v>47804</v>
      </c>
      <c r="E38" s="534">
        <v>54975</v>
      </c>
      <c r="F38" s="534">
        <v>60473</v>
      </c>
      <c r="G38" s="534">
        <v>66520</v>
      </c>
      <c r="H38" s="534">
        <v>73172</v>
      </c>
      <c r="J38" s="524">
        <f>((H38/C38)^(1/COUNT(D38:H38))-1)</f>
        <v>0.11973452660347017</v>
      </c>
    </row>
    <row r="39" spans="2:10">
      <c r="B39" s="532" t="s">
        <v>550</v>
      </c>
      <c r="C39" s="535">
        <v>0.1</v>
      </c>
      <c r="D39" s="536">
        <f>SUM(D38/C38)-1</f>
        <v>0.14999158026413917</v>
      </c>
      <c r="E39" s="536">
        <f>SUM(E38/D38)-1</f>
        <v>0.15000836750062763</v>
      </c>
      <c r="F39" s="536">
        <f>SUM(F38/E38)-1</f>
        <v>0.10000909504320155</v>
      </c>
      <c r="G39" s="536">
        <f>SUM(G38/F38)-1</f>
        <v>9.9995039108362382E-2</v>
      </c>
      <c r="H39" s="536">
        <f>SUM(H38/G38)-1</f>
        <v>0.10000000000000009</v>
      </c>
    </row>
    <row r="40" spans="2:10" ht="5.0999999999999996" customHeight="1"/>
    <row r="41" spans="2:10">
      <c r="B41" s="8" t="s">
        <v>548</v>
      </c>
      <c r="C41" s="534">
        <v>40824</v>
      </c>
      <c r="D41" s="534">
        <v>45900</v>
      </c>
      <c r="E41" s="534">
        <v>51291</v>
      </c>
      <c r="F41" s="537">
        <f>E41</f>
        <v>51291</v>
      </c>
      <c r="G41" s="537">
        <f>F41</f>
        <v>51291</v>
      </c>
      <c r="H41" s="537">
        <f>G41</f>
        <v>51291</v>
      </c>
      <c r="J41" s="524">
        <f>((H41/C41)^(1/COUNT(D41:H41))-1)</f>
        <v>4.6706984659502293E-2</v>
      </c>
    </row>
    <row r="42" spans="2:10">
      <c r="B42" s="532" t="s">
        <v>550</v>
      </c>
      <c r="C42" s="535"/>
      <c r="D42" s="536">
        <f>SUM(D41/C41)-1</f>
        <v>0.12433862433862441</v>
      </c>
      <c r="E42" s="536">
        <f>SUM(E41/D41)-1</f>
        <v>0.11745098039215685</v>
      </c>
      <c r="F42" s="536">
        <f>SUM(F41/E41)-1</f>
        <v>0</v>
      </c>
      <c r="G42" s="536">
        <f>SUM(G41/F41)-1</f>
        <v>0</v>
      </c>
      <c r="H42" s="536">
        <f>SUM(H41/G41)-1</f>
        <v>0</v>
      </c>
    </row>
    <row r="43" spans="2:10" ht="5.0999999999999996" customHeight="1"/>
    <row r="44" spans="2:10">
      <c r="B44" s="8" t="s">
        <v>545</v>
      </c>
      <c r="C44" s="534">
        <v>40818.49</v>
      </c>
      <c r="D44" s="534">
        <v>46200.823699999994</v>
      </c>
      <c r="E44" s="534">
        <v>51611.192806999999</v>
      </c>
      <c r="F44" s="537">
        <f>E44</f>
        <v>51611.192806999999</v>
      </c>
      <c r="G44" s="537">
        <f>F44</f>
        <v>51611.192806999999</v>
      </c>
      <c r="H44" s="537">
        <f>G44</f>
        <v>51611.192806999999</v>
      </c>
      <c r="J44" s="524">
        <f>((H44/C44)^(1/COUNT(D44:H44))-1)</f>
        <v>4.8038875088015853E-2</v>
      </c>
    </row>
    <row r="45" spans="2:10">
      <c r="B45" s="532" t="s">
        <v>550</v>
      </c>
      <c r="C45" s="531"/>
      <c r="D45" s="536">
        <f>SUM(D44/C44)-1</f>
        <v>0.13186018640081976</v>
      </c>
      <c r="E45" s="536">
        <f>SUM(E44/D44)-1</f>
        <v>0.11710546855466575</v>
      </c>
      <c r="F45" s="536">
        <f>SUM(F44/E44)-1</f>
        <v>0</v>
      </c>
      <c r="G45" s="536">
        <f>SUM(G44/F44)-1</f>
        <v>0</v>
      </c>
      <c r="H45" s="536">
        <f>SUM(H44/G44)-1</f>
        <v>0</v>
      </c>
    </row>
    <row r="46" spans="2:10" ht="5.0999999999999996" customHeight="1"/>
    <row r="47" spans="2:10">
      <c r="B47" s="545" t="s">
        <v>566</v>
      </c>
      <c r="C47" s="546">
        <f t="shared" ref="C47:H47" si="2">MEDIAN(C38,C41,C44)</f>
        <v>40824</v>
      </c>
      <c r="D47" s="546">
        <f t="shared" si="2"/>
        <v>46200.823699999994</v>
      </c>
      <c r="E47" s="546">
        <f t="shared" si="2"/>
        <v>51611.192806999999</v>
      </c>
      <c r="F47" s="546">
        <f t="shared" si="2"/>
        <v>51611.192806999999</v>
      </c>
      <c r="G47" s="546">
        <f t="shared" si="2"/>
        <v>51611.192806999999</v>
      </c>
      <c r="H47" s="547">
        <f t="shared" si="2"/>
        <v>51611.192806999999</v>
      </c>
    </row>
    <row r="48" spans="2:10">
      <c r="B48" s="542" t="s">
        <v>567</v>
      </c>
      <c r="C48" s="543">
        <f t="shared" ref="C48:H48" si="3">AVERAGE(C44,C41,C38)</f>
        <v>41070.496666666666</v>
      </c>
      <c r="D48" s="543">
        <f t="shared" si="3"/>
        <v>46634.941233333338</v>
      </c>
      <c r="E48" s="543">
        <f t="shared" si="3"/>
        <v>52625.730935666674</v>
      </c>
      <c r="F48" s="543">
        <f t="shared" si="3"/>
        <v>54458.397602333338</v>
      </c>
      <c r="G48" s="543">
        <f t="shared" si="3"/>
        <v>56474.064269000002</v>
      </c>
      <c r="H48" s="544">
        <f t="shared" si="3"/>
        <v>58691.397602333338</v>
      </c>
    </row>
    <row r="50" spans="2:10">
      <c r="B50" s="529" t="s">
        <v>551</v>
      </c>
    </row>
    <row r="51" spans="2:10">
      <c r="B51" s="8" t="s">
        <v>552</v>
      </c>
      <c r="C51" s="534">
        <v>29308</v>
      </c>
      <c r="D51" s="534">
        <v>30040</v>
      </c>
      <c r="E51" s="534">
        <v>30791</v>
      </c>
      <c r="F51" s="534">
        <v>31561</v>
      </c>
      <c r="G51" s="534">
        <v>32350</v>
      </c>
      <c r="H51" s="534">
        <v>33159</v>
      </c>
      <c r="J51" s="524">
        <f>((H51/C51)^(1/COUNT(D51:H51))-1)</f>
        <v>2.4998071720021109E-2</v>
      </c>
    </row>
    <row r="52" spans="2:10">
      <c r="B52" s="532" t="s">
        <v>550</v>
      </c>
      <c r="C52" s="535">
        <v>-0.03</v>
      </c>
      <c r="D52" s="536">
        <f>SUM(D51/C51)-1</f>
        <v>2.497611573631775E-2</v>
      </c>
      <c r="E52" s="536">
        <f>SUM(E51/D51)-1</f>
        <v>2.4999999999999911E-2</v>
      </c>
      <c r="F52" s="536">
        <f>SUM(F51/E51)-1</f>
        <v>2.5007307330064066E-2</v>
      </c>
      <c r="G52" s="536">
        <f>SUM(G51/F51)-1</f>
        <v>2.4999207883146912E-2</v>
      </c>
      <c r="H52" s="536">
        <f>SUM(H51/G51)-1</f>
        <v>2.5007727975270511E-2</v>
      </c>
    </row>
    <row r="53" spans="2:10" ht="5.0999999999999996" customHeight="1"/>
    <row r="54" spans="2:10">
      <c r="B54" s="8" t="s">
        <v>548</v>
      </c>
      <c r="C54" s="534">
        <v>29843</v>
      </c>
      <c r="D54" s="534">
        <v>29174</v>
      </c>
      <c r="E54" s="534">
        <v>28591</v>
      </c>
      <c r="F54" s="537">
        <f>E54</f>
        <v>28591</v>
      </c>
      <c r="G54" s="537">
        <f>F54</f>
        <v>28591</v>
      </c>
      <c r="H54" s="537">
        <f>G54</f>
        <v>28591</v>
      </c>
      <c r="J54" s="524">
        <f>((H54/C54)^(1/COUNT(D54:H54))-1)</f>
        <v>-8.5350327201241249E-3</v>
      </c>
    </row>
    <row r="55" spans="2:10">
      <c r="B55" s="532" t="s">
        <v>550</v>
      </c>
      <c r="C55" s="535"/>
      <c r="D55" s="536">
        <f>SUM(D54/C54)-1</f>
        <v>-2.241731729383778E-2</v>
      </c>
      <c r="E55" s="536">
        <f>SUM(E54/D54)-1</f>
        <v>-1.9983546993898704E-2</v>
      </c>
      <c r="F55" s="536">
        <f>SUM(F54/E54)-1</f>
        <v>0</v>
      </c>
      <c r="G55" s="536">
        <f>SUM(G54/F54)-1</f>
        <v>0</v>
      </c>
      <c r="H55" s="536">
        <f>SUM(H54/G54)-1</f>
        <v>0</v>
      </c>
    </row>
    <row r="56" spans="2:10" ht="5.0999999999999996" customHeight="1"/>
    <row r="57" spans="2:10">
      <c r="B57" s="8" t="s">
        <v>545</v>
      </c>
      <c r="C57" s="534">
        <v>29745.690000000002</v>
      </c>
      <c r="D57" s="534">
        <v>29405.674999999999</v>
      </c>
      <c r="E57" s="534">
        <v>29422.535319999999</v>
      </c>
      <c r="F57" s="537">
        <f>E57</f>
        <v>29422.535319999999</v>
      </c>
      <c r="G57" s="537">
        <f>F57</f>
        <v>29422.535319999999</v>
      </c>
      <c r="H57" s="537">
        <f>G57</f>
        <v>29422.535319999999</v>
      </c>
      <c r="J57" s="524">
        <f>((H57/C57)^(1/COUNT(D57:H57))-1)</f>
        <v>-2.1822872085013323E-3</v>
      </c>
    </row>
    <row r="58" spans="2:10">
      <c r="B58" s="532" t="s">
        <v>550</v>
      </c>
      <c r="C58" s="531"/>
      <c r="D58" s="536">
        <f>SUM(D57/C57)-1</f>
        <v>-1.1430731645492243E-2</v>
      </c>
      <c r="E58" s="536">
        <f>SUM(E57/D57)-1</f>
        <v>5.7336959617493299E-4</v>
      </c>
      <c r="F58" s="536">
        <f>SUM(F57/E57)-1</f>
        <v>0</v>
      </c>
      <c r="G58" s="536">
        <f>SUM(G57/F57)-1</f>
        <v>0</v>
      </c>
      <c r="H58" s="536">
        <f>SUM(H57/G57)-1</f>
        <v>0</v>
      </c>
    </row>
    <row r="59" spans="2:10" ht="5.0999999999999996" customHeight="1"/>
    <row r="60" spans="2:10">
      <c r="B60" s="545" t="s">
        <v>566</v>
      </c>
      <c r="C60" s="546">
        <f t="shared" ref="C60:H60" si="4">MEDIAN(C51,C54,C57)</f>
        <v>29745.690000000002</v>
      </c>
      <c r="D60" s="546">
        <f t="shared" si="4"/>
        <v>29405.674999999999</v>
      </c>
      <c r="E60" s="546">
        <f t="shared" si="4"/>
        <v>29422.535319999999</v>
      </c>
      <c r="F60" s="546">
        <f t="shared" si="4"/>
        <v>29422.535319999999</v>
      </c>
      <c r="G60" s="546">
        <f t="shared" si="4"/>
        <v>29422.535319999999</v>
      </c>
      <c r="H60" s="547">
        <f t="shared" si="4"/>
        <v>29422.535319999999</v>
      </c>
    </row>
    <row r="61" spans="2:10">
      <c r="B61" s="542" t="s">
        <v>567</v>
      </c>
      <c r="C61" s="543">
        <f t="shared" ref="C61:H61" si="5">AVERAGE(C57,C54,C51)</f>
        <v>29632.23</v>
      </c>
      <c r="D61" s="543">
        <f t="shared" si="5"/>
        <v>29539.891666666666</v>
      </c>
      <c r="E61" s="543">
        <f t="shared" si="5"/>
        <v>29601.511773333332</v>
      </c>
      <c r="F61" s="543">
        <f t="shared" si="5"/>
        <v>29858.17844</v>
      </c>
      <c r="G61" s="543">
        <f t="shared" si="5"/>
        <v>30121.17844</v>
      </c>
      <c r="H61" s="544">
        <f t="shared" si="5"/>
        <v>30390.845106666664</v>
      </c>
    </row>
    <row r="63" spans="2:10">
      <c r="B63" s="529" t="s">
        <v>553</v>
      </c>
    </row>
    <row r="64" spans="2:10">
      <c r="B64" s="8" t="s">
        <v>552</v>
      </c>
      <c r="C64" s="534">
        <v>45181</v>
      </c>
      <c r="D64" s="534">
        <v>50602</v>
      </c>
      <c r="E64" s="534">
        <v>56675</v>
      </c>
      <c r="F64" s="534">
        <v>63476</v>
      </c>
      <c r="G64" s="534">
        <v>71093</v>
      </c>
      <c r="H64" s="534">
        <v>79624</v>
      </c>
      <c r="J64" s="524">
        <f>((H64/C64)^(1/COUNT(D64:H64))-1)</f>
        <v>0.11999898839996237</v>
      </c>
    </row>
    <row r="65" spans="2:10">
      <c r="B65" s="532" t="s">
        <v>550</v>
      </c>
      <c r="C65" s="535">
        <v>0.12</v>
      </c>
      <c r="D65" s="536">
        <f>SUM(D64/C64)-1</f>
        <v>0.1199840640977401</v>
      </c>
      <c r="E65" s="536">
        <f>SUM(E64/D64)-1</f>
        <v>0.12001501916920287</v>
      </c>
      <c r="F65" s="536">
        <f>SUM(F64/E64)-1</f>
        <v>0.12000000000000011</v>
      </c>
      <c r="G65" s="536">
        <f>SUM(G64/F64)-1</f>
        <v>0.11999810952170908</v>
      </c>
      <c r="H65" s="536">
        <f>SUM(H64/G64)-1</f>
        <v>0.11999774942680719</v>
      </c>
    </row>
    <row r="66" spans="2:10" ht="5.0999999999999996" customHeight="1"/>
    <row r="67" spans="2:10">
      <c r="B67" s="8" t="s">
        <v>548</v>
      </c>
      <c r="C67" s="534">
        <v>47953</v>
      </c>
      <c r="D67" s="534">
        <v>55417</v>
      </c>
      <c r="E67" s="534">
        <v>60959</v>
      </c>
      <c r="F67" s="537">
        <f>E67</f>
        <v>60959</v>
      </c>
      <c r="G67" s="537">
        <f>F67</f>
        <v>60959</v>
      </c>
      <c r="H67" s="537">
        <f>G67</f>
        <v>60959</v>
      </c>
      <c r="J67" s="524">
        <f>((H67/C67)^(1/COUNT(D67:H67))-1)</f>
        <v>4.9166488551483534E-2</v>
      </c>
    </row>
    <row r="68" spans="2:10">
      <c r="B68" s="532" t="s">
        <v>550</v>
      </c>
      <c r="C68" s="531"/>
      <c r="D68" s="536">
        <f>SUM(D67/C67)-1</f>
        <v>0.15565240965111671</v>
      </c>
      <c r="E68" s="536">
        <f>SUM(E67/D67)-1</f>
        <v>0.10000541350127223</v>
      </c>
      <c r="F68" s="536">
        <f>SUM(F67/E67)-1</f>
        <v>0</v>
      </c>
      <c r="G68" s="536">
        <f>SUM(G67/F67)-1</f>
        <v>0</v>
      </c>
      <c r="H68" s="536">
        <f>SUM(H67/G67)-1</f>
        <v>0</v>
      </c>
    </row>
    <row r="69" spans="2:10" ht="5.0999999999999996" customHeight="1"/>
    <row r="70" spans="2:10">
      <c r="B70" s="8" t="s">
        <v>545</v>
      </c>
      <c r="C70" s="534">
        <v>48305.524595185052</v>
      </c>
      <c r="D70" s="534">
        <v>56084.429580378186</v>
      </c>
      <c r="E70" s="534">
        <v>62992.282620713035</v>
      </c>
      <c r="F70" s="537">
        <f>E70</f>
        <v>62992.282620713035</v>
      </c>
      <c r="G70" s="537">
        <f>F70</f>
        <v>62992.282620713035</v>
      </c>
      <c r="H70" s="537">
        <f>G70</f>
        <v>62992.282620713035</v>
      </c>
      <c r="J70" s="524">
        <f>((H70/C70)^(1/COUNT(D70:H70))-1)</f>
        <v>5.4527982825901322E-2</v>
      </c>
    </row>
    <row r="71" spans="2:10">
      <c r="B71" s="532" t="s">
        <v>550</v>
      </c>
      <c r="C71" s="531"/>
      <c r="D71" s="536">
        <f>SUM(D70/C70)-1</f>
        <v>0.16103551406143946</v>
      </c>
      <c r="E71" s="536">
        <f>SUM(E70/D70)-1</f>
        <v>0.12316882050899292</v>
      </c>
      <c r="F71" s="536">
        <f>SUM(F70/E70)-1</f>
        <v>0</v>
      </c>
      <c r="G71" s="536">
        <f>SUM(G70/F70)-1</f>
        <v>0</v>
      </c>
      <c r="H71" s="536">
        <f>SUM(H70/G70)-1</f>
        <v>0</v>
      </c>
    </row>
    <row r="72" spans="2:10" ht="5.0999999999999996" customHeight="1"/>
    <row r="73" spans="2:10">
      <c r="B73" s="545" t="s">
        <v>566</v>
      </c>
      <c r="C73" s="546">
        <f t="shared" ref="C73:H73" si="6">MEDIAN(C64,C67,C70)</f>
        <v>47953</v>
      </c>
      <c r="D73" s="546">
        <f t="shared" si="6"/>
        <v>55417</v>
      </c>
      <c r="E73" s="546">
        <f t="shared" si="6"/>
        <v>60959</v>
      </c>
      <c r="F73" s="546">
        <f t="shared" si="6"/>
        <v>62992.282620713035</v>
      </c>
      <c r="G73" s="546">
        <f t="shared" si="6"/>
        <v>62992.282620713035</v>
      </c>
      <c r="H73" s="547">
        <f t="shared" si="6"/>
        <v>62992.282620713035</v>
      </c>
    </row>
    <row r="74" spans="2:10">
      <c r="B74" s="542" t="s">
        <v>567</v>
      </c>
      <c r="C74" s="543">
        <f t="shared" ref="C74:H74" si="7">AVERAGE(C70,C67,C64)</f>
        <v>47146.508198395022</v>
      </c>
      <c r="D74" s="543">
        <f t="shared" si="7"/>
        <v>54034.476526792721</v>
      </c>
      <c r="E74" s="543">
        <f t="shared" si="7"/>
        <v>60208.760873571009</v>
      </c>
      <c r="F74" s="543">
        <f t="shared" si="7"/>
        <v>62475.760873571009</v>
      </c>
      <c r="G74" s="543">
        <f t="shared" si="7"/>
        <v>65014.760873571009</v>
      </c>
      <c r="H74" s="544">
        <f t="shared" si="7"/>
        <v>67858.427540237681</v>
      </c>
    </row>
    <row r="76" spans="2:10">
      <c r="B76" s="529" t="s">
        <v>554</v>
      </c>
    </row>
    <row r="77" spans="2:10">
      <c r="B77" s="8" t="s">
        <v>552</v>
      </c>
      <c r="C77" s="534">
        <v>56198</v>
      </c>
      <c r="D77" s="534">
        <v>71652</v>
      </c>
      <c r="E77" s="534">
        <v>89565</v>
      </c>
      <c r="F77" s="534">
        <v>109717</v>
      </c>
      <c r="G77" s="534">
        <v>131661</v>
      </c>
      <c r="H77" s="534">
        <v>157993</v>
      </c>
      <c r="J77" s="524">
        <f>((H77/C77)^(1/COUNT(D77:H77))-1)</f>
        <v>0.22965533151339224</v>
      </c>
    </row>
    <row r="78" spans="2:10">
      <c r="B78" s="532" t="s">
        <v>550</v>
      </c>
      <c r="C78" s="535">
        <v>0.3</v>
      </c>
      <c r="D78" s="536">
        <f>SUM(D77/C77)-1</f>
        <v>0.27499199259760143</v>
      </c>
      <c r="E78" s="536">
        <f>SUM(E77/D77)-1</f>
        <v>0.25</v>
      </c>
      <c r="F78" s="536">
        <f>SUM(F77/E77)-1</f>
        <v>0.22499860436554453</v>
      </c>
      <c r="G78" s="536">
        <f>SUM(G77/F77)-1</f>
        <v>0.2000054686147088</v>
      </c>
      <c r="H78" s="536">
        <f>SUM(H77/G77)-1</f>
        <v>0.19999848094728123</v>
      </c>
    </row>
    <row r="79" spans="2:10" ht="5.0999999999999996" customHeight="1"/>
    <row r="80" spans="2:10">
      <c r="B80" s="8" t="s">
        <v>548</v>
      </c>
      <c r="C80" s="534">
        <v>57095</v>
      </c>
      <c r="D80" s="534">
        <v>75074</v>
      </c>
      <c r="E80" s="534">
        <v>97694</v>
      </c>
      <c r="F80" s="537">
        <f>E80</f>
        <v>97694</v>
      </c>
      <c r="G80" s="537">
        <f>F80</f>
        <v>97694</v>
      </c>
      <c r="H80" s="537">
        <f>G80</f>
        <v>97694</v>
      </c>
      <c r="J80" s="524">
        <f>((H80/C80)^(1/COUNT(D80:H80))-1)</f>
        <v>0.11340703975779687</v>
      </c>
    </row>
    <row r="81" spans="2:10">
      <c r="B81" s="532" t="s">
        <v>550</v>
      </c>
      <c r="C81" s="531"/>
      <c r="D81" s="536">
        <f>SUM(D80/C80)-1</f>
        <v>0.31489622558893071</v>
      </c>
      <c r="E81" s="536">
        <f>SUM(E80/D80)-1</f>
        <v>0.3013027146548739</v>
      </c>
      <c r="F81" s="536">
        <f>SUM(F80/E80)-1</f>
        <v>0</v>
      </c>
      <c r="G81" s="536">
        <f>SUM(G80/F80)-1</f>
        <v>0</v>
      </c>
      <c r="H81" s="536">
        <f>SUM(H80/G80)-1</f>
        <v>0</v>
      </c>
    </row>
    <row r="82" spans="2:10" ht="5.0999999999999996" customHeight="1"/>
    <row r="83" spans="2:10">
      <c r="B83" s="8" t="s">
        <v>545</v>
      </c>
      <c r="C83" s="534">
        <v>57223.607187000533</v>
      </c>
      <c r="D83" s="534">
        <v>78192.918351373257</v>
      </c>
      <c r="E83" s="534">
        <v>103268.99297384921</v>
      </c>
      <c r="F83" s="537">
        <f>E83</f>
        <v>103268.99297384921</v>
      </c>
      <c r="G83" s="537">
        <f>F83</f>
        <v>103268.99297384921</v>
      </c>
      <c r="H83" s="537">
        <f>G83</f>
        <v>103268.99297384921</v>
      </c>
      <c r="J83" s="524">
        <f>((H83/C83)^(1/COUNT(D83:H83))-1)</f>
        <v>0.12532752654147261</v>
      </c>
    </row>
    <row r="84" spans="2:10">
      <c r="B84" s="532" t="s">
        <v>550</v>
      </c>
      <c r="C84" s="531"/>
      <c r="D84" s="536">
        <f>SUM(D83/C83)-1</f>
        <v>0.3664451123440593</v>
      </c>
      <c r="E84" s="536">
        <f>SUM(E83/D83)-1</f>
        <v>0.32069495743581689</v>
      </c>
      <c r="F84" s="536">
        <f>SUM(F83/E83)-1</f>
        <v>0</v>
      </c>
      <c r="G84" s="536">
        <f>SUM(G83/F83)-1</f>
        <v>0</v>
      </c>
      <c r="H84" s="536">
        <f>SUM(H83/G83)-1</f>
        <v>0</v>
      </c>
    </row>
    <row r="85" spans="2:10" ht="5.0999999999999996" customHeight="1"/>
    <row r="86" spans="2:10">
      <c r="B86" s="545" t="s">
        <v>566</v>
      </c>
      <c r="C86" s="546">
        <f t="shared" ref="C86:H86" si="8">MEDIAN(C77,C80,C83)</f>
        <v>57095</v>
      </c>
      <c r="D86" s="546">
        <f t="shared" si="8"/>
        <v>75074</v>
      </c>
      <c r="E86" s="546">
        <f t="shared" si="8"/>
        <v>97694</v>
      </c>
      <c r="F86" s="546">
        <f t="shared" si="8"/>
        <v>103268.99297384921</v>
      </c>
      <c r="G86" s="546">
        <f t="shared" si="8"/>
        <v>103268.99297384921</v>
      </c>
      <c r="H86" s="547">
        <f t="shared" si="8"/>
        <v>103268.99297384921</v>
      </c>
    </row>
    <row r="87" spans="2:10">
      <c r="B87" s="542" t="s">
        <v>567</v>
      </c>
      <c r="C87" s="543">
        <f t="shared" ref="C87:H87" si="9">AVERAGE(C83,C80,C77)</f>
        <v>56838.869062333513</v>
      </c>
      <c r="D87" s="543">
        <f t="shared" si="9"/>
        <v>74972.97278379109</v>
      </c>
      <c r="E87" s="543">
        <f t="shared" si="9"/>
        <v>96842.664324616388</v>
      </c>
      <c r="F87" s="543">
        <f t="shared" si="9"/>
        <v>103559.99765794973</v>
      </c>
      <c r="G87" s="543">
        <f t="shared" si="9"/>
        <v>110874.66432461639</v>
      </c>
      <c r="H87" s="544">
        <f t="shared" si="9"/>
        <v>119651.99765794973</v>
      </c>
    </row>
    <row r="89" spans="2:10">
      <c r="B89" s="529" t="s">
        <v>484</v>
      </c>
    </row>
    <row r="90" spans="2:10">
      <c r="B90" s="8" t="s">
        <v>552</v>
      </c>
      <c r="C90" s="534">
        <v>1730</v>
      </c>
      <c r="D90" s="534">
        <v>1817</v>
      </c>
      <c r="E90" s="534">
        <v>1908</v>
      </c>
      <c r="F90" s="534">
        <v>2003</v>
      </c>
      <c r="G90" s="534">
        <v>2103</v>
      </c>
      <c r="H90" s="534">
        <v>2208</v>
      </c>
      <c r="J90" s="524">
        <f>((H90/C90)^(1/COUNT(D90:H90))-1)</f>
        <v>5.0003128806841879E-2</v>
      </c>
    </row>
    <row r="91" spans="2:10">
      <c r="B91" s="532" t="s">
        <v>550</v>
      </c>
      <c r="C91" s="535">
        <v>0.05</v>
      </c>
      <c r="D91" s="536">
        <f>SUM(D90/C90)-1</f>
        <v>5.028901734104041E-2</v>
      </c>
      <c r="E91" s="536">
        <f>SUM(E90/D90)-1</f>
        <v>5.0082553659879014E-2</v>
      </c>
      <c r="F91" s="536">
        <f>SUM(F90/E90)-1</f>
        <v>4.9790356394129986E-2</v>
      </c>
      <c r="G91" s="536">
        <f>SUM(G90/F90)-1</f>
        <v>4.9925112331502763E-2</v>
      </c>
      <c r="H91" s="536">
        <f>SUM(H90/G90)-1</f>
        <v>4.9928673323823114E-2</v>
      </c>
    </row>
    <row r="92" spans="2:10" ht="5.0999999999999996" customHeight="1"/>
    <row r="93" spans="2:10">
      <c r="B93" s="8" t="s">
        <v>556</v>
      </c>
      <c r="C93" s="534">
        <v>1610.5</v>
      </c>
      <c r="D93" s="534">
        <v>1600.2</v>
      </c>
      <c r="E93" s="534">
        <v>1589.6</v>
      </c>
      <c r="F93" s="534">
        <v>1579</v>
      </c>
      <c r="G93" s="534">
        <v>1568.2</v>
      </c>
      <c r="H93" s="534">
        <v>1557.3</v>
      </c>
      <c r="J93" s="524">
        <f>((H93/C93)^(1/COUNT(D93:H93))-1)</f>
        <v>-6.6957106165597136E-3</v>
      </c>
    </row>
    <row r="94" spans="2:10">
      <c r="B94" s="532" t="s">
        <v>550</v>
      </c>
      <c r="C94" s="535"/>
      <c r="D94" s="536">
        <f>SUM(D93/C93)-1</f>
        <v>-6.3955293387146783E-3</v>
      </c>
      <c r="E94" s="536">
        <f>SUM(E93/D93)-1</f>
        <v>-6.6241719785027353E-3</v>
      </c>
      <c r="F94" s="536">
        <f>SUM(F93/E93)-1</f>
        <v>-6.6683442375440327E-3</v>
      </c>
      <c r="G94" s="536">
        <f>SUM(G93/F93)-1</f>
        <v>-6.8397720075996649E-3</v>
      </c>
      <c r="H94" s="536">
        <f>SUM(H93/G93)-1</f>
        <v>-6.9506440505038292E-3</v>
      </c>
    </row>
    <row r="95" spans="2:10" ht="5.0999999999999996" customHeight="1"/>
    <row r="96" spans="2:10">
      <c r="B96" s="8" t="s">
        <v>545</v>
      </c>
      <c r="C96" s="534">
        <v>1607</v>
      </c>
      <c r="D96" s="534">
        <v>1862.19</v>
      </c>
      <c r="E96" s="534">
        <v>2169.5895</v>
      </c>
      <c r="F96" s="537">
        <f>E96</f>
        <v>2169.5895</v>
      </c>
      <c r="G96" s="537">
        <f>F96</f>
        <v>2169.5895</v>
      </c>
      <c r="H96" s="537">
        <f>G96</f>
        <v>2169.5895</v>
      </c>
      <c r="J96" s="524">
        <f>((H96/C96)^(1/COUNT(D96:H96))-1)</f>
        <v>6.1872414374643192E-2</v>
      </c>
    </row>
    <row r="97" spans="1:10">
      <c r="B97" s="532" t="s">
        <v>550</v>
      </c>
      <c r="C97" s="531"/>
      <c r="D97" s="536">
        <f>SUM(D96/C96)-1</f>
        <v>0.15879900435594285</v>
      </c>
      <c r="E97" s="536">
        <f>SUM(E96/D96)-1</f>
        <v>0.1650741868445218</v>
      </c>
      <c r="F97" s="536">
        <f>SUM(F96/E96)-1</f>
        <v>0</v>
      </c>
      <c r="G97" s="536">
        <f>SUM(G96/F96)-1</f>
        <v>0</v>
      </c>
      <c r="H97" s="536">
        <f>SUM(H96/G96)-1</f>
        <v>0</v>
      </c>
    </row>
    <row r="98" spans="1:10" ht="5.0999999999999996" customHeight="1"/>
    <row r="99" spans="1:10">
      <c r="B99" s="545" t="s">
        <v>566</v>
      </c>
      <c r="C99" s="546">
        <f t="shared" ref="C99:H99" si="10">MEDIAN(C90,C93,C96)</f>
        <v>1610.5</v>
      </c>
      <c r="D99" s="546">
        <f t="shared" si="10"/>
        <v>1817</v>
      </c>
      <c r="E99" s="546">
        <f t="shared" si="10"/>
        <v>1908</v>
      </c>
      <c r="F99" s="546">
        <f t="shared" si="10"/>
        <v>2003</v>
      </c>
      <c r="G99" s="546">
        <f t="shared" si="10"/>
        <v>2103</v>
      </c>
      <c r="H99" s="547">
        <f t="shared" si="10"/>
        <v>2169.5895</v>
      </c>
    </row>
    <row r="100" spans="1:10">
      <c r="B100" s="542" t="s">
        <v>567</v>
      </c>
      <c r="C100" s="543">
        <f t="shared" ref="C100:H100" si="11">AVERAGE(C96,C93,C90)</f>
        <v>1649.1666666666667</v>
      </c>
      <c r="D100" s="543">
        <f t="shared" si="11"/>
        <v>1759.7966666666669</v>
      </c>
      <c r="E100" s="543">
        <f t="shared" si="11"/>
        <v>1889.0631666666668</v>
      </c>
      <c r="F100" s="543">
        <f t="shared" si="11"/>
        <v>1917.1965</v>
      </c>
      <c r="G100" s="543">
        <f t="shared" si="11"/>
        <v>1946.9298333333334</v>
      </c>
      <c r="H100" s="544">
        <f t="shared" si="11"/>
        <v>1978.2965000000002</v>
      </c>
    </row>
    <row r="102" spans="1:10">
      <c r="A102" s="8" t="s">
        <v>24</v>
      </c>
      <c r="B102" s="527" t="s">
        <v>555</v>
      </c>
      <c r="C102" s="527"/>
      <c r="D102" s="527"/>
      <c r="E102" s="527"/>
      <c r="F102" s="527"/>
      <c r="G102" s="527"/>
      <c r="H102" s="527"/>
    </row>
    <row r="103" spans="1:10" ht="5.0999999999999996" customHeight="1"/>
    <row r="104" spans="1:10">
      <c r="B104" s="529" t="s">
        <v>427</v>
      </c>
    </row>
    <row r="105" spans="1:10" ht="5.0999999999999996" customHeight="1"/>
    <row r="106" spans="1:10">
      <c r="B106" s="8" t="s">
        <v>556</v>
      </c>
      <c r="C106" s="534">
        <v>45436.6</v>
      </c>
      <c r="D106" s="534">
        <v>53887.6</v>
      </c>
      <c r="E106" s="534">
        <v>62705.599999999999</v>
      </c>
      <c r="F106" s="534">
        <v>71916.399999999994</v>
      </c>
      <c r="G106" s="534">
        <v>81854.3</v>
      </c>
      <c r="H106" s="534">
        <v>91326</v>
      </c>
      <c r="J106" s="524">
        <f>((H106/C106)^(1/COUNT(D106:H106))-1)</f>
        <v>0.14984081950312755</v>
      </c>
    </row>
    <row r="107" spans="1:10">
      <c r="B107" s="532" t="s">
        <v>417</v>
      </c>
      <c r="C107" s="533">
        <f>C106/C12</f>
        <v>0.11363951269411326</v>
      </c>
      <c r="D107" s="536">
        <f>SUM(D106/C106)-1</f>
        <v>0.18599543099615734</v>
      </c>
      <c r="E107" s="536">
        <f>SUM(E106/D106)-1</f>
        <v>0.16363690348057802</v>
      </c>
      <c r="F107" s="536">
        <f>SUM(F106/E106)-1</f>
        <v>0.14688959199816276</v>
      </c>
      <c r="G107" s="536">
        <f>SUM(G106/F106)-1</f>
        <v>0.13818683916325081</v>
      </c>
      <c r="H107" s="536">
        <f>SUM(H106/G106)-1</f>
        <v>0.11571414085759701</v>
      </c>
    </row>
    <row r="108" spans="1:10" ht="5.0999999999999996" customHeight="1"/>
    <row r="109" spans="1:10">
      <c r="B109" s="8" t="s">
        <v>545</v>
      </c>
      <c r="C109" s="534">
        <v>58498.701291563615</v>
      </c>
      <c r="D109" s="534">
        <v>71087.142410586719</v>
      </c>
      <c r="E109" s="534">
        <v>85430.791385352772</v>
      </c>
      <c r="F109" s="537">
        <f>E109</f>
        <v>85430.791385352772</v>
      </c>
      <c r="G109" s="537">
        <f>F109</f>
        <v>85430.791385352772</v>
      </c>
      <c r="H109" s="537">
        <f>G109</f>
        <v>85430.791385352772</v>
      </c>
      <c r="J109" s="524">
        <f>((H109/C109)^(1/COUNT(D109:H109))-1)</f>
        <v>7.8682519771555715E-2</v>
      </c>
    </row>
    <row r="110" spans="1:10">
      <c r="B110" s="532" t="s">
        <v>417</v>
      </c>
      <c r="C110" s="533">
        <f t="shared" ref="C110:H110" si="12">C109/C15</f>
        <v>0.17156704693288094</v>
      </c>
      <c r="D110" s="533">
        <f t="shared" si="12"/>
        <v>0.17891749784954802</v>
      </c>
      <c r="E110" s="533">
        <f t="shared" si="12"/>
        <v>0.18730345462455855</v>
      </c>
      <c r="F110" s="533">
        <f t="shared" si="12"/>
        <v>0.18730345462455855</v>
      </c>
      <c r="G110" s="533">
        <f t="shared" si="12"/>
        <v>0.18730345462455855</v>
      </c>
      <c r="H110" s="533">
        <f t="shared" si="12"/>
        <v>0.18730345462455855</v>
      </c>
    </row>
    <row r="112" spans="1:10">
      <c r="B112" s="529" t="s">
        <v>463</v>
      </c>
    </row>
    <row r="113" spans="1:10" ht="5.0999999999999996" customHeight="1"/>
    <row r="114" spans="1:10">
      <c r="B114" s="8" t="s">
        <v>556</v>
      </c>
      <c r="C114" s="534">
        <v>25366.1</v>
      </c>
      <c r="D114" s="534">
        <v>27423</v>
      </c>
      <c r="E114" s="534">
        <v>30107.8</v>
      </c>
      <c r="F114" s="534">
        <v>32586.799999999999</v>
      </c>
      <c r="G114" s="534">
        <v>35177.800000000003</v>
      </c>
      <c r="H114" s="534">
        <v>37566.300000000003</v>
      </c>
      <c r="J114" s="524">
        <f>((H114/C114)^(1/COUNT(D114:H114))-1)</f>
        <v>8.1705267180309349E-2</v>
      </c>
    </row>
    <row r="115" spans="1:10">
      <c r="B115" s="532" t="s">
        <v>417</v>
      </c>
      <c r="C115" s="531"/>
      <c r="D115" s="536">
        <f>SUM(D114/C114)-1</f>
        <v>8.1088539428607609E-2</v>
      </c>
      <c r="E115" s="536">
        <f>SUM(E114/D114)-1</f>
        <v>9.7903219924880602E-2</v>
      </c>
      <c r="F115" s="536">
        <f>SUM(F114/E114)-1</f>
        <v>8.2337467367260331E-2</v>
      </c>
      <c r="G115" s="536">
        <f>SUM(G114/F114)-1</f>
        <v>7.9510722132888345E-2</v>
      </c>
      <c r="H115" s="536">
        <f>SUM(H114/G114)-1</f>
        <v>6.7897935629857464E-2</v>
      </c>
    </row>
    <row r="116" spans="1:10" ht="5.0999999999999996" customHeight="1"/>
    <row r="117" spans="1:10">
      <c r="B117" s="8" t="s">
        <v>545</v>
      </c>
      <c r="C117" s="534">
        <v>27942.38</v>
      </c>
      <c r="D117" s="534">
        <v>29125.601380557528</v>
      </c>
      <c r="E117" s="534">
        <v>31452.646921792162</v>
      </c>
      <c r="F117" s="537">
        <f>E117</f>
        <v>31452.646921792162</v>
      </c>
      <c r="G117" s="537">
        <f>F117</f>
        <v>31452.646921792162</v>
      </c>
      <c r="H117" s="537">
        <f>G117</f>
        <v>31452.646921792162</v>
      </c>
      <c r="J117" s="524">
        <f>((H117/C117)^(1/COUNT(D117:H117))-1)</f>
        <v>2.3950025235067729E-2</v>
      </c>
    </row>
    <row r="118" spans="1:10">
      <c r="B118" s="532" t="s">
        <v>417</v>
      </c>
      <c r="C118" s="533">
        <f t="shared" ref="C118:H118" si="13">C117/C15</f>
        <v>8.1950394026401391E-2</v>
      </c>
      <c r="D118" s="533">
        <f t="shared" si="13"/>
        <v>7.3305516942493237E-2</v>
      </c>
      <c r="E118" s="533">
        <f t="shared" si="13"/>
        <v>6.8958619369037147E-2</v>
      </c>
      <c r="F118" s="533">
        <f t="shared" si="13"/>
        <v>6.8958619369037147E-2</v>
      </c>
      <c r="G118" s="533">
        <f t="shared" si="13"/>
        <v>6.8958619369037147E-2</v>
      </c>
      <c r="H118" s="533">
        <f t="shared" si="13"/>
        <v>6.8958619369037147E-2</v>
      </c>
    </row>
    <row r="120" spans="1:10">
      <c r="B120" s="529" t="s">
        <v>464</v>
      </c>
    </row>
    <row r="121" spans="1:10" ht="5.0999999999999996" customHeight="1"/>
    <row r="122" spans="1:10">
      <c r="B122" s="8" t="s">
        <v>556</v>
      </c>
      <c r="C122" s="534">
        <v>16919.099999999999</v>
      </c>
      <c r="D122" s="534">
        <v>14275.9</v>
      </c>
      <c r="E122" s="534">
        <v>15893.4</v>
      </c>
      <c r="F122" s="534">
        <v>17581.7</v>
      </c>
      <c r="G122" s="534">
        <v>19293.7</v>
      </c>
      <c r="H122" s="534">
        <v>20971.8</v>
      </c>
      <c r="J122" s="524">
        <f>((H122/C122)^(1/COUNT(D122:H122))-1)</f>
        <v>4.3882675517841641E-2</v>
      </c>
    </row>
    <row r="123" spans="1:10">
      <c r="B123" s="532" t="s">
        <v>417</v>
      </c>
      <c r="C123" s="533"/>
      <c r="D123" s="536"/>
      <c r="E123" s="536"/>
      <c r="F123" s="536"/>
      <c r="G123" s="536"/>
      <c r="H123" s="536"/>
    </row>
    <row r="124" spans="1:10" ht="5.0999999999999996" customHeight="1"/>
    <row r="125" spans="1:10">
      <c r="B125" s="8" t="s">
        <v>545</v>
      </c>
      <c r="C125" s="534">
        <v>20724.66</v>
      </c>
      <c r="D125" s="534">
        <v>16678.188687061505</v>
      </c>
      <c r="E125" s="534">
        <v>18143.680476645044</v>
      </c>
      <c r="F125" s="537">
        <f>E125</f>
        <v>18143.680476645044</v>
      </c>
      <c r="G125" s="537">
        <f>F125</f>
        <v>18143.680476645044</v>
      </c>
      <c r="H125" s="537">
        <f>G125</f>
        <v>18143.680476645044</v>
      </c>
      <c r="J125" s="524">
        <f>((H125/C125)^(1/COUNT(D125:H125))-1)</f>
        <v>-2.6249721432910489E-2</v>
      </c>
    </row>
    <row r="126" spans="1:10">
      <c r="B126" s="532" t="s">
        <v>417</v>
      </c>
      <c r="C126" s="533">
        <f t="shared" ref="C126:H126" si="14">C125/C15</f>
        <v>6.0782011162370551E-2</v>
      </c>
      <c r="D126" s="533">
        <f t="shared" si="14"/>
        <v>4.1976927013277793E-2</v>
      </c>
      <c r="E126" s="533">
        <f t="shared" si="14"/>
        <v>3.977926433515902E-2</v>
      </c>
      <c r="F126" s="533">
        <f t="shared" si="14"/>
        <v>3.977926433515902E-2</v>
      </c>
      <c r="G126" s="533">
        <f t="shared" si="14"/>
        <v>3.977926433515902E-2</v>
      </c>
      <c r="H126" s="533">
        <f t="shared" si="14"/>
        <v>3.977926433515902E-2</v>
      </c>
    </row>
    <row r="128" spans="1:10">
      <c r="A128" s="8" t="s">
        <v>24</v>
      </c>
      <c r="B128" s="527" t="s">
        <v>557</v>
      </c>
      <c r="C128" s="527"/>
      <c r="D128" s="527"/>
      <c r="E128" s="527"/>
      <c r="F128" s="527"/>
      <c r="G128" s="527"/>
      <c r="H128" s="527"/>
      <c r="I128" s="527"/>
      <c r="J128" s="527"/>
    </row>
    <row r="129" spans="2:10" ht="5.0999999999999996" customHeight="1"/>
    <row r="130" spans="2:10">
      <c r="B130" s="529" t="s">
        <v>546</v>
      </c>
    </row>
    <row r="131" spans="2:10">
      <c r="B131" s="8" t="s">
        <v>552</v>
      </c>
      <c r="C131" s="538">
        <v>0.17</v>
      </c>
      <c r="D131" s="538">
        <v>0.17</v>
      </c>
      <c r="E131" s="538">
        <v>0.17</v>
      </c>
      <c r="F131" s="540">
        <f t="shared" ref="F131:H133" si="15">E131</f>
        <v>0.17</v>
      </c>
      <c r="G131" s="540">
        <f t="shared" si="15"/>
        <v>0.17</v>
      </c>
      <c r="H131" s="540">
        <f t="shared" si="15"/>
        <v>0.17</v>
      </c>
    </row>
    <row r="132" spans="2:10">
      <c r="B132" s="8" t="s">
        <v>548</v>
      </c>
      <c r="C132" s="538">
        <v>0.189</v>
      </c>
      <c r="D132" s="538">
        <v>0.17</v>
      </c>
      <c r="E132" s="538">
        <v>0.17499999999999999</v>
      </c>
      <c r="F132" s="540">
        <f t="shared" si="15"/>
        <v>0.17499999999999999</v>
      </c>
      <c r="G132" s="540">
        <f t="shared" si="15"/>
        <v>0.17499999999999999</v>
      </c>
      <c r="H132" s="540">
        <f t="shared" si="15"/>
        <v>0.17499999999999999</v>
      </c>
    </row>
    <row r="133" spans="2:10">
      <c r="B133" s="8" t="s">
        <v>545</v>
      </c>
      <c r="C133" s="538">
        <v>0.18099999999999999</v>
      </c>
      <c r="D133" s="538">
        <v>0.16600000000000001</v>
      </c>
      <c r="E133" s="538">
        <v>0.16600000000000001</v>
      </c>
      <c r="F133" s="540">
        <f t="shared" si="15"/>
        <v>0.16600000000000001</v>
      </c>
      <c r="G133" s="540">
        <f t="shared" si="15"/>
        <v>0.16600000000000001</v>
      </c>
      <c r="H133" s="540">
        <f t="shared" si="15"/>
        <v>0.16600000000000001</v>
      </c>
    </row>
    <row r="134" spans="2:10" ht="5.0999999999999996" customHeight="1"/>
    <row r="135" spans="2:10">
      <c r="B135" s="545" t="s">
        <v>566</v>
      </c>
      <c r="C135" s="549">
        <f t="shared" ref="C135:H135" si="16">MEDIAN(C131,C132,C133)</f>
        <v>0.18099999999999999</v>
      </c>
      <c r="D135" s="549">
        <f t="shared" si="16"/>
        <v>0.17</v>
      </c>
      <c r="E135" s="549">
        <f t="shared" si="16"/>
        <v>0.17</v>
      </c>
      <c r="F135" s="549">
        <f t="shared" si="16"/>
        <v>0.17</v>
      </c>
      <c r="G135" s="549">
        <f t="shared" si="16"/>
        <v>0.17</v>
      </c>
      <c r="H135" s="550">
        <f t="shared" si="16"/>
        <v>0.17</v>
      </c>
    </row>
    <row r="136" spans="2:10">
      <c r="B136" s="542" t="s">
        <v>567</v>
      </c>
      <c r="C136" s="551">
        <f t="shared" ref="C136:H136" si="17">AVERAGE(C133,C132,C131)</f>
        <v>0.18000000000000002</v>
      </c>
      <c r="D136" s="551">
        <f t="shared" si="17"/>
        <v>0.16866666666666666</v>
      </c>
      <c r="E136" s="551">
        <f t="shared" si="17"/>
        <v>0.17033333333333334</v>
      </c>
      <c r="F136" s="551">
        <f t="shared" si="17"/>
        <v>0.17033333333333334</v>
      </c>
      <c r="G136" s="551">
        <f t="shared" si="17"/>
        <v>0.17033333333333334</v>
      </c>
      <c r="H136" s="552">
        <f t="shared" si="17"/>
        <v>0.17033333333333334</v>
      </c>
    </row>
    <row r="138" spans="2:10">
      <c r="B138" s="529" t="s">
        <v>558</v>
      </c>
    </row>
    <row r="139" spans="2:10">
      <c r="B139" s="8" t="s">
        <v>552</v>
      </c>
      <c r="C139" s="534">
        <v>88260</v>
      </c>
      <c r="D139" s="534">
        <v>109146</v>
      </c>
      <c r="E139" s="534">
        <v>96068</v>
      </c>
      <c r="F139" s="534">
        <v>80746</v>
      </c>
      <c r="G139" s="534">
        <v>88257</v>
      </c>
      <c r="H139" s="534">
        <v>96760</v>
      </c>
      <c r="J139" s="524">
        <f>((H139/C139)^(1/COUNT(D139:H139))-1)</f>
        <v>1.8559461455379678E-2</v>
      </c>
    </row>
    <row r="140" spans="2:10">
      <c r="B140" s="532" t="s">
        <v>550</v>
      </c>
      <c r="C140" s="535"/>
      <c r="D140" s="536">
        <f>SUM(D139/C139)-1</f>
        <v>0.23664174031271235</v>
      </c>
      <c r="E140" s="536">
        <f>SUM(E139/D139)-1</f>
        <v>-0.1198211569823906</v>
      </c>
      <c r="F140" s="536">
        <f>SUM(F139/E139)-1</f>
        <v>-0.1594911937377691</v>
      </c>
      <c r="G140" s="536">
        <f>SUM(G139/F139)-1</f>
        <v>9.3020087682361918E-2</v>
      </c>
      <c r="H140" s="536">
        <f>SUM(H139/G139)-1</f>
        <v>9.6343632799664514E-2</v>
      </c>
    </row>
    <row r="141" spans="2:10">
      <c r="B141" s="532" t="s">
        <v>562</v>
      </c>
      <c r="C141" s="195">
        <f t="shared" ref="C141:H141" si="18">C139/C9</f>
        <v>0.22499923521673956</v>
      </c>
      <c r="D141" s="195">
        <f t="shared" si="18"/>
        <v>0.24999942737382183</v>
      </c>
      <c r="E141" s="195">
        <f t="shared" si="18"/>
        <v>0.20000083274694069</v>
      </c>
      <c r="F141" s="195">
        <f t="shared" si="18"/>
        <v>0.1500001857679461</v>
      </c>
      <c r="G141" s="195">
        <f t="shared" si="18"/>
        <v>0.15</v>
      </c>
      <c r="H141" s="195">
        <f t="shared" si="18"/>
        <v>0.14999945742238427</v>
      </c>
    </row>
    <row r="142" spans="2:10" ht="5.0999999999999996" customHeight="1"/>
    <row r="143" spans="2:10">
      <c r="B143" s="8" t="s">
        <v>548</v>
      </c>
      <c r="C143" s="534">
        <v>92410</v>
      </c>
      <c r="D143" s="534">
        <v>130120</v>
      </c>
      <c r="E143" s="534">
        <v>146581</v>
      </c>
      <c r="F143" s="537">
        <f>E143</f>
        <v>146581</v>
      </c>
      <c r="G143" s="537">
        <f>F143</f>
        <v>146581</v>
      </c>
      <c r="H143" s="537">
        <f>G143</f>
        <v>146581</v>
      </c>
      <c r="J143" s="524">
        <f>((H143/C143)^(1/COUNT(D143:H143))-1)</f>
        <v>9.66593405721623E-2</v>
      </c>
    </row>
    <row r="144" spans="2:10">
      <c r="B144" s="532" t="s">
        <v>550</v>
      </c>
      <c r="C144" s="531"/>
      <c r="D144" s="536">
        <f>SUM(D143/C143)-1</f>
        <v>0.4080727194026621</v>
      </c>
      <c r="E144" s="536">
        <f>SUM(E143/D143)-1</f>
        <v>0.12650630187519218</v>
      </c>
      <c r="F144" s="536">
        <f>SUM(F143/E143)-1</f>
        <v>0</v>
      </c>
      <c r="G144" s="536">
        <f>SUM(G143/F143)-1</f>
        <v>0</v>
      </c>
      <c r="H144" s="536">
        <f>SUM(H143/G143)-1</f>
        <v>0</v>
      </c>
    </row>
    <row r="145" spans="2:10">
      <c r="B145" s="532" t="s">
        <v>562</v>
      </c>
      <c r="C145" s="195">
        <f t="shared" ref="C145:H145" si="19">C143/C12</f>
        <v>0.23112264931933743</v>
      </c>
      <c r="D145" s="195">
        <f t="shared" si="19"/>
        <v>0.28670265506224524</v>
      </c>
      <c r="E145" s="195">
        <f t="shared" si="19"/>
        <v>0.28675587377976014</v>
      </c>
      <c r="F145" s="195">
        <f t="shared" si="19"/>
        <v>0.28675587377976014</v>
      </c>
      <c r="G145" s="195">
        <f t="shared" si="19"/>
        <v>0.28675587377976014</v>
      </c>
      <c r="H145" s="195">
        <f t="shared" si="19"/>
        <v>0.28675587377976014</v>
      </c>
    </row>
    <row r="146" spans="2:10" ht="5.0999999999999996" customHeight="1"/>
    <row r="147" spans="2:10">
      <c r="B147" s="8" t="s">
        <v>545</v>
      </c>
      <c r="C147" s="534">
        <v>92182</v>
      </c>
      <c r="D147" s="534">
        <v>122246</v>
      </c>
      <c r="E147" s="534">
        <v>140364</v>
      </c>
      <c r="F147" s="537">
        <f>E147</f>
        <v>140364</v>
      </c>
      <c r="G147" s="537">
        <f>F147</f>
        <v>140364</v>
      </c>
      <c r="H147" s="537">
        <f>G147</f>
        <v>140364</v>
      </c>
      <c r="J147" s="524">
        <f>((H147/C147)^(1/COUNT(D147:H147))-1)</f>
        <v>8.7732041749459144E-2</v>
      </c>
    </row>
    <row r="148" spans="2:10">
      <c r="B148" s="532" t="s">
        <v>550</v>
      </c>
      <c r="C148" s="531"/>
      <c r="D148" s="536">
        <f>SUM(D147/C147)-1</f>
        <v>0.32613742379206356</v>
      </c>
      <c r="E148" s="536">
        <f>SUM(E147/D147)-1</f>
        <v>0.14820934836313659</v>
      </c>
      <c r="F148" s="536">
        <f>SUM(F147/E147)-1</f>
        <v>0</v>
      </c>
      <c r="G148" s="536">
        <f>SUM(G147/F147)-1</f>
        <v>0</v>
      </c>
      <c r="H148" s="536">
        <f>SUM(H147/G147)-1</f>
        <v>0</v>
      </c>
    </row>
    <row r="150" spans="2:10">
      <c r="B150" s="529" t="s">
        <v>559</v>
      </c>
    </row>
    <row r="151" spans="2:10">
      <c r="B151" s="8" t="s">
        <v>552</v>
      </c>
      <c r="C151" s="539">
        <v>0.34</v>
      </c>
      <c r="D151" s="539">
        <v>0.35</v>
      </c>
      <c r="E151" s="539">
        <v>0.38</v>
      </c>
      <c r="F151" s="539">
        <v>0.4</v>
      </c>
      <c r="G151" s="539">
        <v>0.44</v>
      </c>
      <c r="H151" s="539">
        <v>0.44</v>
      </c>
    </row>
    <row r="152" spans="2:10">
      <c r="B152" s="8" t="s">
        <v>548</v>
      </c>
      <c r="C152" s="539">
        <v>0.32500000000000001</v>
      </c>
      <c r="D152" s="539">
        <v>0.33</v>
      </c>
      <c r="E152" s="539">
        <v>0.32800000000000001</v>
      </c>
      <c r="F152" s="541">
        <f t="shared" ref="F152:H153" si="20">E152</f>
        <v>0.32800000000000001</v>
      </c>
      <c r="G152" s="541">
        <f t="shared" si="20"/>
        <v>0.32800000000000001</v>
      </c>
      <c r="H152" s="541">
        <f t="shared" si="20"/>
        <v>0.32800000000000001</v>
      </c>
    </row>
    <row r="153" spans="2:10">
      <c r="B153" s="8" t="s">
        <v>545</v>
      </c>
      <c r="C153" s="539">
        <v>0.45300000000000001</v>
      </c>
      <c r="D153" s="539">
        <v>0.46700000000000003</v>
      </c>
      <c r="E153" s="539">
        <v>0.45300000000000001</v>
      </c>
      <c r="F153" s="541">
        <f t="shared" si="20"/>
        <v>0.45300000000000001</v>
      </c>
      <c r="G153" s="541">
        <f t="shared" si="20"/>
        <v>0.45300000000000001</v>
      </c>
      <c r="H153" s="541">
        <f t="shared" si="20"/>
        <v>0.45300000000000001</v>
      </c>
    </row>
    <row r="154" spans="2:10" ht="5.0999999999999996" customHeight="1"/>
    <row r="155" spans="2:10">
      <c r="B155" s="545" t="s">
        <v>566</v>
      </c>
      <c r="C155" s="549">
        <f t="shared" ref="C155:H155" si="21">MEDIAN(C151,C152,C153)</f>
        <v>0.34</v>
      </c>
      <c r="D155" s="549">
        <f t="shared" si="21"/>
        <v>0.35</v>
      </c>
      <c r="E155" s="549">
        <f t="shared" si="21"/>
        <v>0.38</v>
      </c>
      <c r="F155" s="549">
        <f t="shared" si="21"/>
        <v>0.4</v>
      </c>
      <c r="G155" s="549">
        <f t="shared" si="21"/>
        <v>0.44</v>
      </c>
      <c r="H155" s="550">
        <f t="shared" si="21"/>
        <v>0.44</v>
      </c>
    </row>
    <row r="156" spans="2:10">
      <c r="B156" s="542" t="s">
        <v>567</v>
      </c>
      <c r="C156" s="551">
        <f t="shared" ref="C156:H156" si="22">AVERAGE(C153,C152,C151)</f>
        <v>0.3726666666666667</v>
      </c>
      <c r="D156" s="551">
        <f t="shared" si="22"/>
        <v>0.38233333333333336</v>
      </c>
      <c r="E156" s="551">
        <f t="shared" si="22"/>
        <v>0.38700000000000001</v>
      </c>
      <c r="F156" s="551">
        <f t="shared" si="22"/>
        <v>0.39366666666666666</v>
      </c>
      <c r="G156" s="551">
        <f t="shared" si="22"/>
        <v>0.40700000000000003</v>
      </c>
      <c r="H156" s="552">
        <f t="shared" si="22"/>
        <v>0.40700000000000003</v>
      </c>
    </row>
    <row r="157" spans="2:10">
      <c r="B157" s="330"/>
      <c r="C157" s="553"/>
      <c r="D157" s="553"/>
      <c r="E157" s="553"/>
      <c r="F157" s="553"/>
      <c r="G157" s="553"/>
      <c r="H157" s="553"/>
    </row>
    <row r="158" spans="2:10">
      <c r="B158" s="529" t="s">
        <v>423</v>
      </c>
    </row>
    <row r="159" spans="2:10">
      <c r="B159" s="8" t="s">
        <v>552</v>
      </c>
      <c r="C159" s="534">
        <v>20455</v>
      </c>
      <c r="D159" s="534">
        <v>22766</v>
      </c>
      <c r="E159" s="534">
        <v>25047</v>
      </c>
      <c r="F159" s="534">
        <v>28070</v>
      </c>
      <c r="G159" s="534">
        <v>30681</v>
      </c>
      <c r="H159" s="534">
        <v>33637</v>
      </c>
    </row>
    <row r="160" spans="2:10">
      <c r="B160" s="532" t="s">
        <v>550</v>
      </c>
      <c r="C160" s="535"/>
      <c r="D160" s="536">
        <f>SUM(D159/C159)-1</f>
        <v>0.11297971156196529</v>
      </c>
      <c r="E160" s="536">
        <f>SUM(E159/D159)-1</f>
        <v>0.10019327066678385</v>
      </c>
      <c r="F160" s="536">
        <f>SUM(F159/E159)-1</f>
        <v>0.12069309697768205</v>
      </c>
      <c r="G160" s="536">
        <f>SUM(G159/F159)-1</f>
        <v>9.3017456359102191E-2</v>
      </c>
      <c r="H160" s="536">
        <f>SUM(H159/G159)-1</f>
        <v>9.6346272937648747E-2</v>
      </c>
    </row>
    <row r="161" spans="2:10" ht="5.0999999999999996" customHeight="1"/>
    <row r="162" spans="2:10">
      <c r="B162" s="8" t="s">
        <v>548</v>
      </c>
      <c r="C162" s="534">
        <v>21138</v>
      </c>
      <c r="D162" s="534">
        <v>32588</v>
      </c>
      <c r="E162" s="534">
        <v>46703</v>
      </c>
      <c r="F162" s="537">
        <f>E162</f>
        <v>46703</v>
      </c>
      <c r="G162" s="537">
        <f>F162</f>
        <v>46703</v>
      </c>
      <c r="H162" s="537">
        <f>G162</f>
        <v>46703</v>
      </c>
      <c r="J162" s="524">
        <f>((H162/C162)^(1/COUNT(D162:H162))-1)</f>
        <v>0.17180724015514337</v>
      </c>
    </row>
    <row r="163" spans="2:10">
      <c r="B163" s="532" t="s">
        <v>550</v>
      </c>
      <c r="C163" s="531"/>
      <c r="D163" s="536">
        <f>SUM(D162/C162)-1</f>
        <v>0.54167849370801391</v>
      </c>
      <c r="E163" s="536">
        <f>SUM(E162/D162)-1</f>
        <v>0.43313489628083968</v>
      </c>
      <c r="F163" s="536">
        <f>SUM(F162/E162)-1</f>
        <v>0</v>
      </c>
      <c r="G163" s="536">
        <f>SUM(G162/F162)-1</f>
        <v>0</v>
      </c>
      <c r="H163" s="536">
        <f>SUM(H162/G162)-1</f>
        <v>0</v>
      </c>
    </row>
    <row r="164" spans="2:10" ht="5.0999999999999996" customHeight="1"/>
    <row r="165" spans="2:10">
      <c r="B165" s="8" t="s">
        <v>545</v>
      </c>
      <c r="C165" s="534">
        <v>21357</v>
      </c>
      <c r="D165" s="534">
        <v>32344</v>
      </c>
      <c r="E165" s="534">
        <v>46534</v>
      </c>
      <c r="F165" s="537">
        <f>E165</f>
        <v>46534</v>
      </c>
      <c r="G165" s="537">
        <f>F165</f>
        <v>46534</v>
      </c>
      <c r="H165" s="537">
        <f>G165</f>
        <v>46534</v>
      </c>
      <c r="J165" s="524">
        <f>((H165/C165)^(1/COUNT(D165:H165))-1)</f>
        <v>0.16854657697167852</v>
      </c>
    </row>
    <row r="166" spans="2:10">
      <c r="B166" s="532" t="s">
        <v>550</v>
      </c>
      <c r="C166" s="531"/>
      <c r="D166" s="536">
        <f>SUM(D165/C165)-1</f>
        <v>0.51444491267500125</v>
      </c>
      <c r="E166" s="536">
        <f>SUM(E165/D165)-1</f>
        <v>0.4387212465990602</v>
      </c>
      <c r="F166" s="536">
        <f>SUM(F165/E165)-1</f>
        <v>0</v>
      </c>
      <c r="G166" s="536">
        <f>SUM(G165/F165)-1</f>
        <v>0</v>
      </c>
      <c r="H166" s="536">
        <f>SUM(H165/G165)-1</f>
        <v>0</v>
      </c>
    </row>
    <row r="168" spans="2:10">
      <c r="B168" s="529" t="s">
        <v>11</v>
      </c>
    </row>
    <row r="169" spans="2:10">
      <c r="B169" s="8" t="s">
        <v>552</v>
      </c>
      <c r="C169" s="534">
        <v>152233</v>
      </c>
      <c r="D169" s="534">
        <v>176980</v>
      </c>
      <c r="E169" s="534">
        <v>207419</v>
      </c>
      <c r="F169" s="534">
        <v>245580</v>
      </c>
      <c r="G169" s="534">
        <v>287724</v>
      </c>
      <c r="H169" s="534">
        <v>314610</v>
      </c>
      <c r="J169" s="524">
        <f>((H169/C169)^(1/COUNT(D169:H169))-1)</f>
        <v>0.15625265600010851</v>
      </c>
    </row>
    <row r="170" spans="2:10">
      <c r="B170" s="532" t="s">
        <v>550</v>
      </c>
      <c r="C170" s="535"/>
      <c r="D170" s="536">
        <f>SUM(D169/C169)-1</f>
        <v>0.16256002312245044</v>
      </c>
      <c r="E170" s="536">
        <f>SUM(E169/D169)-1</f>
        <v>0.17199118544468295</v>
      </c>
      <c r="F170" s="536">
        <f>SUM(F169/E169)-1</f>
        <v>0.18398025253231376</v>
      </c>
      <c r="G170" s="536">
        <f>SUM(G169/F169)-1</f>
        <v>0.17161006596628381</v>
      </c>
      <c r="H170" s="536">
        <f>SUM(H169/G169)-1</f>
        <v>9.3443716895358131E-2</v>
      </c>
    </row>
    <row r="171" spans="2:10" ht="5.0999999999999996" customHeight="1"/>
    <row r="172" spans="2:10">
      <c r="B172" s="8" t="s">
        <v>548</v>
      </c>
      <c r="C172" s="534">
        <v>151269</v>
      </c>
      <c r="D172" s="534">
        <v>182323</v>
      </c>
      <c r="E172" s="534">
        <v>214374</v>
      </c>
      <c r="F172" s="537">
        <f>E172</f>
        <v>214374</v>
      </c>
      <c r="G172" s="537">
        <f>F172</f>
        <v>214374</v>
      </c>
      <c r="H172" s="537">
        <f>G172</f>
        <v>214374</v>
      </c>
      <c r="J172" s="524">
        <f>((H172/C172)^(1/COUNT(D172:H172))-1)</f>
        <v>7.2221311746559769E-2</v>
      </c>
    </row>
    <row r="173" spans="2:10">
      <c r="B173" s="532" t="s">
        <v>550</v>
      </c>
      <c r="C173" s="531"/>
      <c r="D173" s="536">
        <f>SUM(D172/C172)-1</f>
        <v>0.20528991399427521</v>
      </c>
      <c r="E173" s="536">
        <f>SUM(E172/D172)-1</f>
        <v>0.17579241236706289</v>
      </c>
      <c r="F173" s="536">
        <f>SUM(F172/E172)-1</f>
        <v>0</v>
      </c>
      <c r="G173" s="536">
        <f>SUM(G172/F172)-1</f>
        <v>0</v>
      </c>
      <c r="H173" s="536">
        <f>SUM(H172/G172)-1</f>
        <v>0</v>
      </c>
    </row>
    <row r="174" spans="2:10" ht="5.0999999999999996" customHeight="1"/>
    <row r="175" spans="2:10">
      <c r="B175" s="8" t="s">
        <v>545</v>
      </c>
      <c r="C175" s="534">
        <v>175757</v>
      </c>
      <c r="D175" s="534">
        <v>217934</v>
      </c>
      <c r="E175" s="534">
        <v>253132</v>
      </c>
      <c r="F175" s="537">
        <f>E175</f>
        <v>253132</v>
      </c>
      <c r="G175" s="537">
        <f>F175</f>
        <v>253132</v>
      </c>
      <c r="H175" s="537">
        <f>G175</f>
        <v>253132</v>
      </c>
      <c r="J175" s="524">
        <f>((H175/C175)^(1/COUNT(D175:H175))-1)</f>
        <v>7.568938726493446E-2</v>
      </c>
    </row>
    <row r="176" spans="2:10">
      <c r="B176" s="532" t="s">
        <v>550</v>
      </c>
      <c r="C176" s="531"/>
      <c r="D176" s="536">
        <f>SUM(D175/C175)-1</f>
        <v>0.23997337232656446</v>
      </c>
      <c r="E176" s="536">
        <f>SUM(E175/D175)-1</f>
        <v>0.16150761239641365</v>
      </c>
      <c r="F176" s="536">
        <f>SUM(F175/E175)-1</f>
        <v>0</v>
      </c>
      <c r="G176" s="536">
        <f>SUM(G175/F175)-1</f>
        <v>0</v>
      </c>
      <c r="H176" s="536">
        <f>SUM(H175/G175)-1</f>
        <v>0</v>
      </c>
    </row>
    <row r="178" spans="2:10">
      <c r="B178" s="529" t="s">
        <v>563</v>
      </c>
    </row>
    <row r="179" spans="2:10" ht="5.0999999999999996" customHeight="1"/>
    <row r="180" spans="2:10">
      <c r="B180" s="8" t="s">
        <v>548</v>
      </c>
      <c r="C180" s="534"/>
      <c r="D180" s="534"/>
      <c r="E180" s="534"/>
      <c r="F180" s="537">
        <f>E180</f>
        <v>0</v>
      </c>
      <c r="G180" s="537">
        <f>F180</f>
        <v>0</v>
      </c>
      <c r="H180" s="537">
        <f>G180</f>
        <v>0</v>
      </c>
      <c r="J180" s="524" t="e">
        <f>((H180/C180)^(1/COUNT(D180:H180))-1)</f>
        <v>#DIV/0!</v>
      </c>
    </row>
    <row r="181" spans="2:10">
      <c r="B181" s="532" t="s">
        <v>550</v>
      </c>
      <c r="C181" s="531"/>
      <c r="D181" s="536" t="e">
        <f>SUM(D180/C180)-1</f>
        <v>#DIV/0!</v>
      </c>
      <c r="E181" s="536" t="e">
        <f>SUM(E180/D180)-1</f>
        <v>#DIV/0!</v>
      </c>
      <c r="F181" s="536" t="e">
        <f>SUM(F180/E180)-1</f>
        <v>#DIV/0!</v>
      </c>
      <c r="G181" s="536" t="e">
        <f>SUM(G180/F180)-1</f>
        <v>#DIV/0!</v>
      </c>
      <c r="H181" s="536" t="e">
        <f>SUM(H180/G180)-1</f>
        <v>#DIV/0!</v>
      </c>
    </row>
    <row r="182" spans="2:10" ht="5.0999999999999996" customHeight="1"/>
    <row r="183" spans="2:10">
      <c r="B183" s="8" t="s">
        <v>545</v>
      </c>
      <c r="C183" s="534">
        <v>237265</v>
      </c>
      <c r="D183" s="534">
        <v>274639</v>
      </c>
      <c r="E183" s="534">
        <v>311013</v>
      </c>
      <c r="F183" s="537">
        <f>E183</f>
        <v>311013</v>
      </c>
      <c r="G183" s="537">
        <f>F183</f>
        <v>311013</v>
      </c>
      <c r="H183" s="537">
        <f>G183</f>
        <v>311013</v>
      </c>
      <c r="J183" s="524">
        <f>((H183/C183)^(1/COUNT(D183:H183))-1)</f>
        <v>5.5623312924869772E-2</v>
      </c>
    </row>
    <row r="184" spans="2:10">
      <c r="B184" s="532" t="s">
        <v>550</v>
      </c>
      <c r="C184" s="531"/>
      <c r="D184" s="536">
        <f>SUM(D183/C183)-1</f>
        <v>0.15752007249278233</v>
      </c>
      <c r="E184" s="536">
        <f>SUM(E183/D183)-1</f>
        <v>0.132442952384767</v>
      </c>
      <c r="F184" s="536">
        <f>SUM(F183/E183)-1</f>
        <v>0</v>
      </c>
      <c r="G184" s="536">
        <f>SUM(G183/F183)-1</f>
        <v>0</v>
      </c>
      <c r="H184" s="536">
        <f>SUM(H183/G183)-1</f>
        <v>0</v>
      </c>
    </row>
    <row r="185" spans="2:10">
      <c r="B185" s="532" t="s">
        <v>564</v>
      </c>
      <c r="C185" s="195">
        <f t="shared" ref="C185:H185" si="23">C183/C15</f>
        <v>0.69585913006244005</v>
      </c>
      <c r="D185" s="195">
        <f t="shared" si="23"/>
        <v>0.69123221198133489</v>
      </c>
      <c r="E185" s="195">
        <f t="shared" si="23"/>
        <v>0.68188305865483911</v>
      </c>
      <c r="F185" s="195">
        <f t="shared" si="23"/>
        <v>0.68188305865483911</v>
      </c>
      <c r="G185" s="195">
        <f t="shared" si="23"/>
        <v>0.68188305865483911</v>
      </c>
      <c r="H185" s="195">
        <f t="shared" si="23"/>
        <v>0.68188305865483911</v>
      </c>
    </row>
  </sheetData>
  <dataValidations count="1">
    <dataValidation type="list" allowBlank="1" showInputMessage="1" showErrorMessage="1" sqref="B4" xr:uid="{FA3587D4-9496-490C-8B79-32E732BB8D80}">
      <formula1>"$ bns except per share, $ mm except per share,$ in thousands except per share"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b07cb572-0833-4348-88b4-a0fa7ea20e4a</TitusGUID>
  <TitusMetadata xmlns="">eyJucyI6Imh0dHA6XC9cL3d3dy50aXR1cy5jb21cL25zXC9CYW5rIG9mIEFtZXJpY2EiLCJwcm9wcyI6W3sibiI6IkNsYXNzaWZpY2F0aW9uIiwidmFscyI6W3sidmFsdWUiOiJVbmNsYXNzaWZpZWQifV19LHsibiI6IkF1ZGllbmNlIiwidmFscyI6W119LHsibiI6IkNvbmZpZGVudGlhbFR5cGUiLCJ2YWxzIjpbXX1dfQ==</TitusMetadata>
</titus>
</file>

<file path=customXml/itemProps1.xml><?xml version="1.0" encoding="utf-8"?>
<ds:datastoreItem xmlns:ds="http://schemas.openxmlformats.org/officeDocument/2006/customXml" ds:itemID="{AC203626-EEC5-451D-B6D3-0C3E06066648}">
  <ds:schemaRefs>
    <ds:schemaRef ds:uri="http://schemas.titus.com/Titus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Historical Financials</vt:lpstr>
      <vt:lpstr>EPS</vt:lpstr>
      <vt:lpstr>Revenue Drivers</vt:lpstr>
      <vt:lpstr>FCF</vt:lpstr>
      <vt:lpstr>3-Statement Model</vt:lpstr>
      <vt:lpstr>Sheet1</vt:lpstr>
      <vt:lpstr>DCF</vt:lpstr>
      <vt:lpstr>WACC</vt:lpstr>
      <vt:lpstr>Shares</vt:lpstr>
      <vt:lpstr>Drivers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Garcia, Felix</cp:lastModifiedBy>
  <dcterms:created xsi:type="dcterms:W3CDTF">2024-08-10T06:01:52Z</dcterms:created>
  <dcterms:modified xsi:type="dcterms:W3CDTF">2025-11-26T03:31:09Z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b07cb572-0833-4348-88b4-a0fa7ea20e4a</vt:lpwstr>
  </property>
  <property fmtid="{D5CDD505-2E9C-101B-9397-08002B2CF9AE}" pid="3" name="Classification">
    <vt:lpwstr>Unclassified</vt:lpwstr>
  </property>
  <property fmtid="{D5CDD505-2E9C-101B-9397-08002B2CF9AE}" pid="4" name="BAC">
    <vt:lpwstr>B!bac@C</vt:lpwstr>
  </property>
</Properties>
</file>