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9F10B1E6-5509-4677-9A3D-A37ED513AB88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" i="8" l="1"/>
  <c r="V130" i="8"/>
  <c r="U130" i="8"/>
  <c r="S130" i="8"/>
  <c r="N130" i="8"/>
  <c r="Z130" i="8" s="1"/>
  <c r="AB130" i="8" s="1"/>
  <c r="J130" i="8"/>
  <c r="T130" i="8" s="1"/>
  <c r="N96" i="8"/>
  <c r="Y96" i="8" s="1"/>
  <c r="J96" i="8"/>
  <c r="V96" i="8" s="1"/>
  <c r="M132" i="8"/>
  <c r="L132" i="8"/>
  <c r="K132" i="8"/>
  <c r="I132" i="8"/>
  <c r="H132" i="8"/>
  <c r="G132" i="8"/>
  <c r="M119" i="8"/>
  <c r="L119" i="8"/>
  <c r="K119" i="8"/>
  <c r="I119" i="8"/>
  <c r="H119" i="8"/>
  <c r="G119" i="8"/>
  <c r="Q119" i="8"/>
  <c r="P119" i="8"/>
  <c r="O119" i="8"/>
  <c r="N140" i="8"/>
  <c r="J140" i="8"/>
  <c r="N129" i="8"/>
  <c r="Y129" i="8" s="1"/>
  <c r="J129" i="8"/>
  <c r="S129" i="8" s="1"/>
  <c r="N128" i="8"/>
  <c r="Z128" i="8" s="1"/>
  <c r="J128" i="8"/>
  <c r="V128" i="8" s="1"/>
  <c r="N127" i="8"/>
  <c r="Z127" i="8" s="1"/>
  <c r="J127" i="8"/>
  <c r="U127" i="8" s="1"/>
  <c r="N117" i="8"/>
  <c r="Z117" i="8" s="1"/>
  <c r="J117" i="8"/>
  <c r="S117" i="8" s="1"/>
  <c r="N116" i="8"/>
  <c r="Z116" i="8" s="1"/>
  <c r="J116" i="8"/>
  <c r="U116" i="8" s="1"/>
  <c r="N115" i="8"/>
  <c r="Z115" i="8" s="1"/>
  <c r="J115" i="8"/>
  <c r="U115" i="8" s="1"/>
  <c r="N105" i="8"/>
  <c r="Y105" i="8" s="1"/>
  <c r="J105" i="8"/>
  <c r="T105" i="8" s="1"/>
  <c r="N104" i="8"/>
  <c r="Z104" i="8" s="1"/>
  <c r="J104" i="8"/>
  <c r="T104" i="8" s="1"/>
  <c r="N103" i="8"/>
  <c r="W103" i="8" s="1"/>
  <c r="J103" i="8"/>
  <c r="U103" i="8" s="1"/>
  <c r="Z77" i="8"/>
  <c r="Y77" i="8"/>
  <c r="X77" i="8"/>
  <c r="V77" i="8"/>
  <c r="U77" i="8"/>
  <c r="T77" i="8"/>
  <c r="N77" i="8"/>
  <c r="W77" i="8" s="1"/>
  <c r="J77" i="8"/>
  <c r="S77" i="8" s="1"/>
  <c r="Z76" i="8"/>
  <c r="Y76" i="8"/>
  <c r="X76" i="8"/>
  <c r="V76" i="8"/>
  <c r="U76" i="8"/>
  <c r="T76" i="8"/>
  <c r="N76" i="8"/>
  <c r="W76" i="8" s="1"/>
  <c r="J76" i="8"/>
  <c r="S76" i="8" s="1"/>
  <c r="Z75" i="8"/>
  <c r="Y75" i="8"/>
  <c r="X75" i="8"/>
  <c r="V75" i="8"/>
  <c r="U75" i="8"/>
  <c r="T75" i="8"/>
  <c r="N75" i="8"/>
  <c r="W75" i="8" s="1"/>
  <c r="J75" i="8"/>
  <c r="S75" i="8" s="1"/>
  <c r="N8" i="8"/>
  <c r="J8" i="8"/>
  <c r="X130" i="8" l="1"/>
  <c r="W130" i="8"/>
  <c r="Y130" i="8"/>
  <c r="X96" i="8"/>
  <c r="S96" i="8"/>
  <c r="T96" i="8"/>
  <c r="U96" i="8"/>
  <c r="Z96" i="8"/>
  <c r="AB96" i="8" s="1"/>
  <c r="W96" i="8"/>
  <c r="S127" i="8"/>
  <c r="S128" i="8"/>
  <c r="V127" i="8"/>
  <c r="AB127" i="8" s="1"/>
  <c r="AB128" i="8"/>
  <c r="T128" i="8"/>
  <c r="U128" i="8"/>
  <c r="W127" i="8"/>
  <c r="X128" i="8"/>
  <c r="X127" i="8"/>
  <c r="Y127" i="8"/>
  <c r="U129" i="8"/>
  <c r="Z129" i="8"/>
  <c r="W128" i="8"/>
  <c r="T129" i="8"/>
  <c r="T127" i="8"/>
  <c r="Y128" i="8"/>
  <c r="V129" i="8"/>
  <c r="W129" i="8"/>
  <c r="X129" i="8"/>
  <c r="Y115" i="8"/>
  <c r="Y103" i="8"/>
  <c r="T117" i="8"/>
  <c r="U117" i="8"/>
  <c r="W115" i="8"/>
  <c r="W117" i="8"/>
  <c r="V117" i="8"/>
  <c r="AB117" i="8" s="1"/>
  <c r="T116" i="8"/>
  <c r="X117" i="8"/>
  <c r="Y117" i="8"/>
  <c r="V115" i="8"/>
  <c r="AB115" i="8" s="1"/>
  <c r="S116" i="8"/>
  <c r="V116" i="8"/>
  <c r="AB116" i="8" s="1"/>
  <c r="X115" i="8"/>
  <c r="W116" i="8"/>
  <c r="S115" i="8"/>
  <c r="X116" i="8"/>
  <c r="T115" i="8"/>
  <c r="Y116" i="8"/>
  <c r="X103" i="8"/>
  <c r="W104" i="8"/>
  <c r="X104" i="8"/>
  <c r="V103" i="8"/>
  <c r="Y104" i="8"/>
  <c r="S104" i="8"/>
  <c r="S105" i="8"/>
  <c r="U104" i="8"/>
  <c r="U105" i="8"/>
  <c r="S103" i="8"/>
  <c r="V104" i="8"/>
  <c r="AB104" i="8" s="1"/>
  <c r="V105" i="8"/>
  <c r="Z105" i="8"/>
  <c r="Z103" i="8"/>
  <c r="T103" i="8"/>
  <c r="W105" i="8"/>
  <c r="X105" i="8"/>
  <c r="AB76" i="8"/>
  <c r="AB77" i="8"/>
  <c r="AB75" i="8"/>
  <c r="AB129" i="8" l="1"/>
  <c r="AB103" i="8"/>
  <c r="AB105" i="8"/>
  <c r="N62" i="8" l="1"/>
  <c r="N61" i="8"/>
  <c r="N60" i="8"/>
  <c r="N59" i="8"/>
  <c r="J62" i="8"/>
  <c r="J61" i="8"/>
  <c r="J60" i="8"/>
  <c r="J59" i="8"/>
  <c r="N55" i="8"/>
  <c r="N54" i="8"/>
  <c r="N53" i="8"/>
  <c r="N52" i="8"/>
  <c r="N51" i="8"/>
  <c r="J55" i="8"/>
  <c r="J54" i="8"/>
  <c r="J53" i="8"/>
  <c r="J52" i="8"/>
  <c r="J51" i="8"/>
  <c r="N47" i="8"/>
  <c r="N46" i="8"/>
  <c r="N45" i="8"/>
  <c r="N44" i="8"/>
  <c r="J47" i="8"/>
  <c r="J46" i="8"/>
  <c r="J45" i="8"/>
  <c r="J44" i="8"/>
  <c r="N29" i="8"/>
  <c r="J29" i="8"/>
  <c r="N25" i="8"/>
  <c r="N24" i="8"/>
  <c r="N23" i="8"/>
  <c r="J25" i="8"/>
  <c r="J24" i="8"/>
  <c r="J23" i="8"/>
  <c r="N19" i="8"/>
  <c r="N18" i="8"/>
  <c r="N17" i="8"/>
  <c r="J19" i="8"/>
  <c r="J18" i="8"/>
  <c r="J17" i="8"/>
  <c r="N13" i="8" l="1"/>
  <c r="J13" i="8"/>
  <c r="N10" i="8"/>
  <c r="J10" i="8"/>
  <c r="Y140" i="8"/>
  <c r="Z136" i="8" s="1"/>
  <c r="X140" i="8"/>
  <c r="Y136" i="8" s="1"/>
  <c r="W140" i="8"/>
  <c r="V140" i="8"/>
  <c r="W136" i="8" s="1"/>
  <c r="U140" i="8"/>
  <c r="V136" i="8" s="1"/>
  <c r="T140" i="8"/>
  <c r="S140" i="8"/>
  <c r="Y139" i="8"/>
  <c r="X139" i="8"/>
  <c r="V139" i="8"/>
  <c r="U139" i="8"/>
  <c r="T139" i="8"/>
  <c r="Z140" i="8"/>
  <c r="Z139" i="8"/>
  <c r="Y8" i="8"/>
  <c r="X8" i="8"/>
  <c r="V8" i="8"/>
  <c r="U8" i="8"/>
  <c r="T8" i="8"/>
  <c r="Y7" i="8"/>
  <c r="X7" i="8"/>
  <c r="W7" i="8"/>
  <c r="V7" i="8"/>
  <c r="U7" i="8"/>
  <c r="T7" i="8"/>
  <c r="S7" i="8"/>
  <c r="Z74" i="8"/>
  <c r="Y74" i="8"/>
  <c r="X74" i="8"/>
  <c r="V74" i="8"/>
  <c r="U74" i="8"/>
  <c r="T74" i="8"/>
  <c r="Z73" i="8"/>
  <c r="Y73" i="8"/>
  <c r="X73" i="8"/>
  <c r="V73" i="8"/>
  <c r="U73" i="8"/>
  <c r="T73" i="8"/>
  <c r="Z72" i="8"/>
  <c r="Y72" i="8"/>
  <c r="X72" i="8"/>
  <c r="V72" i="8"/>
  <c r="U72" i="8"/>
  <c r="T72" i="8"/>
  <c r="Z71" i="8"/>
  <c r="Y71" i="8"/>
  <c r="X71" i="8"/>
  <c r="V71" i="8"/>
  <c r="U71" i="8"/>
  <c r="T71" i="8"/>
  <c r="Z68" i="8"/>
  <c r="Y68" i="8"/>
  <c r="X68" i="8"/>
  <c r="V68" i="8"/>
  <c r="U68" i="8"/>
  <c r="T68" i="8"/>
  <c r="Z67" i="8"/>
  <c r="Y67" i="8"/>
  <c r="X67" i="8"/>
  <c r="V67" i="8"/>
  <c r="U67" i="8"/>
  <c r="T67" i="8"/>
  <c r="Z66" i="8"/>
  <c r="Y66" i="8"/>
  <c r="X66" i="8"/>
  <c r="V66" i="8"/>
  <c r="U66" i="8"/>
  <c r="T66" i="8"/>
  <c r="Z62" i="8"/>
  <c r="Y62" i="8"/>
  <c r="X62" i="8"/>
  <c r="V62" i="8"/>
  <c r="U62" i="8"/>
  <c r="T62" i="8"/>
  <c r="Z61" i="8"/>
  <c r="Y61" i="8"/>
  <c r="X61" i="8"/>
  <c r="V61" i="8"/>
  <c r="U61" i="8"/>
  <c r="T61" i="8"/>
  <c r="Z60" i="8"/>
  <c r="Y60" i="8"/>
  <c r="X60" i="8"/>
  <c r="V60" i="8"/>
  <c r="U60" i="8"/>
  <c r="T60" i="8"/>
  <c r="Z59" i="8"/>
  <c r="Y59" i="8"/>
  <c r="X59" i="8"/>
  <c r="V59" i="8"/>
  <c r="U59" i="8"/>
  <c r="T59" i="8"/>
  <c r="Z55" i="8"/>
  <c r="Y55" i="8"/>
  <c r="X55" i="8"/>
  <c r="V55" i="8"/>
  <c r="U55" i="8"/>
  <c r="T55" i="8"/>
  <c r="Z54" i="8"/>
  <c r="Y54" i="8"/>
  <c r="X54" i="8"/>
  <c r="V54" i="8"/>
  <c r="U54" i="8"/>
  <c r="T54" i="8"/>
  <c r="Z53" i="8"/>
  <c r="Y53" i="8"/>
  <c r="X53" i="8"/>
  <c r="V53" i="8"/>
  <c r="U53" i="8"/>
  <c r="T53" i="8"/>
  <c r="Z52" i="8"/>
  <c r="Y52" i="8"/>
  <c r="X52" i="8"/>
  <c r="V52" i="8"/>
  <c r="U52" i="8"/>
  <c r="T52" i="8"/>
  <c r="Z51" i="8"/>
  <c r="Y51" i="8"/>
  <c r="X51" i="8"/>
  <c r="V51" i="8"/>
  <c r="U51" i="8"/>
  <c r="T51" i="8"/>
  <c r="Z47" i="8"/>
  <c r="Y47" i="8"/>
  <c r="X47" i="8"/>
  <c r="V47" i="8"/>
  <c r="U47" i="8"/>
  <c r="T47" i="8"/>
  <c r="Z46" i="8"/>
  <c r="Y46" i="8"/>
  <c r="X46" i="8"/>
  <c r="V46" i="8"/>
  <c r="U46" i="8"/>
  <c r="T46" i="8"/>
  <c r="Z45" i="8"/>
  <c r="Y45" i="8"/>
  <c r="X45" i="8"/>
  <c r="V45" i="8"/>
  <c r="U45" i="8"/>
  <c r="T45" i="8"/>
  <c r="Z44" i="8"/>
  <c r="Y44" i="8"/>
  <c r="X44" i="8"/>
  <c r="V44" i="8"/>
  <c r="U44" i="8"/>
  <c r="T44" i="8"/>
  <c r="Z36" i="8"/>
  <c r="Y36" i="8"/>
  <c r="X36" i="8"/>
  <c r="V36" i="8"/>
  <c r="U36" i="8"/>
  <c r="T36" i="8"/>
  <c r="Y33" i="8"/>
  <c r="X33" i="8"/>
  <c r="V33" i="8"/>
  <c r="U33" i="8"/>
  <c r="T33" i="8"/>
  <c r="Z33" i="8"/>
  <c r="Z7" i="8"/>
  <c r="Z8" i="8"/>
  <c r="C11" i="8"/>
  <c r="C14" i="8" s="1"/>
  <c r="C40" i="8"/>
  <c r="C41" i="8"/>
  <c r="C48" i="8"/>
  <c r="C56" i="8" s="1"/>
  <c r="C63" i="8"/>
  <c r="C69" i="8" s="1"/>
  <c r="C78" i="8"/>
  <c r="C85" i="8"/>
  <c r="C86" i="8"/>
  <c r="C119" i="8"/>
  <c r="C132" i="8"/>
  <c r="C137" i="8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S25" i="10"/>
  <c r="AD25" i="10" s="1"/>
  <c r="S24" i="10"/>
  <c r="AE24" i="10" s="1"/>
  <c r="S23" i="10"/>
  <c r="AD23" i="10" s="1"/>
  <c r="S22" i="10"/>
  <c r="S21" i="10"/>
  <c r="AE21" i="10" s="1"/>
  <c r="S20" i="10"/>
  <c r="O25" i="10"/>
  <c r="AA25" i="10" s="1"/>
  <c r="O24" i="10"/>
  <c r="AA24" i="10" s="1"/>
  <c r="O23" i="10"/>
  <c r="AB23" i="10" s="1"/>
  <c r="O22" i="10"/>
  <c r="AA22" i="10" s="1"/>
  <c r="O21" i="10"/>
  <c r="AC21" i="10" s="1"/>
  <c r="O20" i="10"/>
  <c r="AA20" i="10" s="1"/>
  <c r="K25" i="10"/>
  <c r="X25" i="10" s="1"/>
  <c r="K24" i="10"/>
  <c r="Y24" i="10" s="1"/>
  <c r="K23" i="10"/>
  <c r="X23" i="10" s="1"/>
  <c r="K22" i="10"/>
  <c r="Y22" i="10" s="1"/>
  <c r="K21" i="10"/>
  <c r="W21" i="10" s="1"/>
  <c r="K20" i="10"/>
  <c r="Y20" i="10" s="1"/>
  <c r="AE25" i="10"/>
  <c r="W25" i="10"/>
  <c r="V25" i="10"/>
  <c r="W24" i="10"/>
  <c r="V24" i="10"/>
  <c r="Z23" i="10"/>
  <c r="AE22" i="10"/>
  <c r="AD22" i="10"/>
  <c r="AD21" i="10"/>
  <c r="Y21" i="10"/>
  <c r="AE20" i="10"/>
  <c r="AD20" i="10"/>
  <c r="AB20" i="10"/>
  <c r="Y10" i="10"/>
  <c r="W10" i="10"/>
  <c r="V10" i="10"/>
  <c r="Z9" i="10"/>
  <c r="X9" i="10"/>
  <c r="W9" i="10"/>
  <c r="U136" i="8"/>
  <c r="N131" i="8"/>
  <c r="Y131" i="8" s="1"/>
  <c r="J131" i="8"/>
  <c r="V131" i="8" s="1"/>
  <c r="N126" i="8"/>
  <c r="Z126" i="8" s="1"/>
  <c r="J126" i="8"/>
  <c r="V126" i="8" s="1"/>
  <c r="N125" i="8"/>
  <c r="Y125" i="8" s="1"/>
  <c r="J125" i="8"/>
  <c r="V125" i="8" s="1"/>
  <c r="N124" i="8"/>
  <c r="Y124" i="8" s="1"/>
  <c r="J124" i="8"/>
  <c r="V124" i="8" s="1"/>
  <c r="N123" i="8"/>
  <c r="Y123" i="8" s="1"/>
  <c r="J123" i="8"/>
  <c r="S123" i="8" s="1"/>
  <c r="N118" i="8"/>
  <c r="Z118" i="8" s="1"/>
  <c r="J118" i="8"/>
  <c r="V118" i="8" s="1"/>
  <c r="N114" i="8"/>
  <c r="Y114" i="8" s="1"/>
  <c r="J114" i="8"/>
  <c r="V114" i="8" s="1"/>
  <c r="N113" i="8"/>
  <c r="Y113" i="8" s="1"/>
  <c r="J113" i="8"/>
  <c r="V113" i="8" s="1"/>
  <c r="N112" i="8"/>
  <c r="Y112" i="8" s="1"/>
  <c r="J112" i="8"/>
  <c r="S112" i="8" s="1"/>
  <c r="N107" i="8"/>
  <c r="Y107" i="8" s="1"/>
  <c r="J107" i="8"/>
  <c r="V107" i="8" s="1"/>
  <c r="N106" i="8"/>
  <c r="Y106" i="8" s="1"/>
  <c r="J106" i="8"/>
  <c r="V106" i="8" s="1"/>
  <c r="N102" i="8"/>
  <c r="Y102" i="8" s="1"/>
  <c r="J102" i="8"/>
  <c r="V102" i="8" s="1"/>
  <c r="N101" i="8"/>
  <c r="Z101" i="8" s="1"/>
  <c r="J101" i="8"/>
  <c r="V101" i="8" s="1"/>
  <c r="N97" i="8"/>
  <c r="Y97" i="8" s="1"/>
  <c r="J97" i="8"/>
  <c r="V97" i="8" s="1"/>
  <c r="N95" i="8"/>
  <c r="Y95" i="8" s="1"/>
  <c r="J95" i="8"/>
  <c r="V95" i="8" s="1"/>
  <c r="N94" i="8"/>
  <c r="Y94" i="8" s="1"/>
  <c r="J94" i="8"/>
  <c r="V94" i="8" s="1"/>
  <c r="N93" i="8"/>
  <c r="Z93" i="8" s="1"/>
  <c r="J93" i="8"/>
  <c r="V93" i="8" s="1"/>
  <c r="W68" i="8"/>
  <c r="S68" i="8"/>
  <c r="W67" i="8"/>
  <c r="S67" i="8"/>
  <c r="W46" i="8"/>
  <c r="S46" i="8"/>
  <c r="W54" i="8"/>
  <c r="S54" i="8"/>
  <c r="W53" i="8"/>
  <c r="S53" i="8"/>
  <c r="W24" i="8"/>
  <c r="V24" i="8"/>
  <c r="W19" i="8"/>
  <c r="V19" i="8"/>
  <c r="W18" i="8"/>
  <c r="V18" i="8"/>
  <c r="V48" i="11"/>
  <c r="N122" i="8"/>
  <c r="J122" i="8"/>
  <c r="N111" i="8"/>
  <c r="N119" i="8" s="1"/>
  <c r="J111" i="8"/>
  <c r="N74" i="8"/>
  <c r="W74" i="8" s="1"/>
  <c r="J74" i="8"/>
  <c r="S74" i="8" s="1"/>
  <c r="N73" i="8"/>
  <c r="W73" i="8" s="1"/>
  <c r="J73" i="8"/>
  <c r="S73" i="8" s="1"/>
  <c r="N72" i="8"/>
  <c r="W72" i="8" s="1"/>
  <c r="J72" i="8"/>
  <c r="S72" i="8" s="1"/>
  <c r="N71" i="8"/>
  <c r="W71" i="8" s="1"/>
  <c r="J71" i="8"/>
  <c r="S71" i="8" s="1"/>
  <c r="W66" i="8"/>
  <c r="S66" i="8"/>
  <c r="W62" i="8"/>
  <c r="S62" i="8"/>
  <c r="W61" i="8"/>
  <c r="S61" i="8"/>
  <c r="W60" i="8"/>
  <c r="S60" i="8"/>
  <c r="W59" i="8"/>
  <c r="S59" i="8"/>
  <c r="W55" i="8"/>
  <c r="S55" i="8"/>
  <c r="W52" i="8"/>
  <c r="S52" i="8"/>
  <c r="W51" i="8"/>
  <c r="S51" i="8"/>
  <c r="T4" i="11"/>
  <c r="AE4" i="11" s="1"/>
  <c r="T3" i="11"/>
  <c r="AE3" i="11" s="1"/>
  <c r="B34" i="10"/>
  <c r="B33" i="10"/>
  <c r="B32" i="10"/>
  <c r="B31" i="10"/>
  <c r="B30" i="10"/>
  <c r="B29" i="10"/>
  <c r="S9" i="10"/>
  <c r="AD9" i="10" s="1"/>
  <c r="T11" i="10"/>
  <c r="T15" i="10" s="1"/>
  <c r="T4" i="10"/>
  <c r="AE4" i="10" s="1"/>
  <c r="T3" i="10"/>
  <c r="AE3" i="10" s="1"/>
  <c r="Q63" i="8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10" i="10"/>
  <c r="AE10" i="10" s="1"/>
  <c r="S3" i="10"/>
  <c r="AD3" i="10" s="1"/>
  <c r="R11" i="10"/>
  <c r="R15" i="10" s="1"/>
  <c r="R4" i="10"/>
  <c r="AC4" i="10" s="1"/>
  <c r="R3" i="10"/>
  <c r="AC3" i="10" s="1"/>
  <c r="S54" i="11"/>
  <c r="AD54" i="11" s="1"/>
  <c r="S4" i="10"/>
  <c r="AD4" i="10" s="1"/>
  <c r="Q86" i="8"/>
  <c r="Q85" i="8"/>
  <c r="Q78" i="8"/>
  <c r="Q48" i="8"/>
  <c r="Q56" i="8" s="1"/>
  <c r="Q41" i="8"/>
  <c r="Q40" i="8"/>
  <c r="Q11" i="8"/>
  <c r="Q14" i="8" s="1"/>
  <c r="Q20" i="8" s="1"/>
  <c r="O4" i="11"/>
  <c r="Z4" i="11" s="1"/>
  <c r="K4" i="10"/>
  <c r="V4" i="10" s="1"/>
  <c r="J76" i="11"/>
  <c r="N139" i="8"/>
  <c r="W139" i="8" s="1"/>
  <c r="H76" i="11"/>
  <c r="X48" i="11"/>
  <c r="W48" i="11"/>
  <c r="W44" i="11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1" i="10"/>
  <c r="F15" i="10" s="1"/>
  <c r="F4" i="10"/>
  <c r="F3" i="10"/>
  <c r="Q136" i="8"/>
  <c r="P136" i="8"/>
  <c r="N136" i="8"/>
  <c r="M136" i="8"/>
  <c r="L136" i="8"/>
  <c r="J136" i="8"/>
  <c r="S136" i="8" s="1"/>
  <c r="I136" i="8"/>
  <c r="H136" i="8"/>
  <c r="W45" i="8"/>
  <c r="S45" i="8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O10" i="10"/>
  <c r="AC10" i="10" s="1"/>
  <c r="K10" i="10"/>
  <c r="X10" i="10" s="1"/>
  <c r="J119" i="8" l="1"/>
  <c r="V122" i="8"/>
  <c r="J132" i="8"/>
  <c r="Y122" i="8"/>
  <c r="N132" i="8"/>
  <c r="V111" i="8"/>
  <c r="Y111" i="8"/>
  <c r="S111" i="8"/>
  <c r="S122" i="8"/>
  <c r="Z131" i="8"/>
  <c r="AB131" i="8" s="1"/>
  <c r="Z95" i="8"/>
  <c r="AB95" i="8" s="1"/>
  <c r="X18" i="8"/>
  <c r="S97" i="8"/>
  <c r="S101" i="8"/>
  <c r="Z111" i="8"/>
  <c r="Z122" i="8"/>
  <c r="Y18" i="8"/>
  <c r="Z97" i="8"/>
  <c r="AB97" i="8" s="1"/>
  <c r="Z102" i="8"/>
  <c r="AB102" i="8" s="1"/>
  <c r="Z112" i="8"/>
  <c r="Z123" i="8"/>
  <c r="X19" i="8"/>
  <c r="S106" i="8"/>
  <c r="S113" i="8"/>
  <c r="S124" i="8"/>
  <c r="Y19" i="8"/>
  <c r="Z106" i="8"/>
  <c r="AB106" i="8" s="1"/>
  <c r="Z113" i="8"/>
  <c r="AB113" i="8" s="1"/>
  <c r="Z124" i="8"/>
  <c r="AB124" i="8" s="1"/>
  <c r="X24" i="8"/>
  <c r="S93" i="8"/>
  <c r="S107" i="8"/>
  <c r="S114" i="8"/>
  <c r="S125" i="8"/>
  <c r="Y24" i="8"/>
  <c r="Z94" i="8"/>
  <c r="AB94" i="8" s="1"/>
  <c r="Z107" i="8"/>
  <c r="AB107" i="8" s="1"/>
  <c r="Z114" i="8"/>
  <c r="AB114" i="8" s="1"/>
  <c r="Z125" i="8"/>
  <c r="AB125" i="8" s="1"/>
  <c r="S95" i="8"/>
  <c r="S118" i="8"/>
  <c r="S126" i="8"/>
  <c r="Z18" i="8"/>
  <c r="AB18" i="8" s="1"/>
  <c r="Z19" i="8"/>
  <c r="Z24" i="8"/>
  <c r="AB24" i="8" s="1"/>
  <c r="S8" i="8"/>
  <c r="T93" i="8"/>
  <c r="T94" i="8"/>
  <c r="T95" i="8"/>
  <c r="T97" i="8"/>
  <c r="T101" i="8"/>
  <c r="T102" i="8"/>
  <c r="T106" i="8"/>
  <c r="T107" i="8"/>
  <c r="T111" i="8"/>
  <c r="T112" i="8"/>
  <c r="T113" i="8"/>
  <c r="T114" i="8"/>
  <c r="T118" i="8"/>
  <c r="T122" i="8"/>
  <c r="T123" i="8"/>
  <c r="T124" i="8"/>
  <c r="T125" i="8"/>
  <c r="T126" i="8"/>
  <c r="T131" i="8"/>
  <c r="S94" i="8"/>
  <c r="S102" i="8"/>
  <c r="S18" i="8"/>
  <c r="S19" i="8"/>
  <c r="S24" i="8"/>
  <c r="U93" i="8"/>
  <c r="U94" i="8"/>
  <c r="U95" i="8"/>
  <c r="U97" i="8"/>
  <c r="U101" i="8"/>
  <c r="U102" i="8"/>
  <c r="U106" i="8"/>
  <c r="U107" i="8"/>
  <c r="U111" i="8"/>
  <c r="U112" i="8"/>
  <c r="U113" i="8"/>
  <c r="U114" i="8"/>
  <c r="U118" i="8"/>
  <c r="U122" i="8"/>
  <c r="U123" i="8"/>
  <c r="U124" i="8"/>
  <c r="U125" i="8"/>
  <c r="U126" i="8"/>
  <c r="U131" i="8"/>
  <c r="S131" i="8"/>
  <c r="T18" i="8"/>
  <c r="T19" i="8"/>
  <c r="T24" i="8"/>
  <c r="V112" i="8"/>
  <c r="V123" i="8"/>
  <c r="U18" i="8"/>
  <c r="U19" i="8"/>
  <c r="U24" i="8"/>
  <c r="W93" i="8"/>
  <c r="W94" i="8"/>
  <c r="W95" i="8"/>
  <c r="W97" i="8"/>
  <c r="W101" i="8"/>
  <c r="W102" i="8"/>
  <c r="W106" i="8"/>
  <c r="W107" i="8"/>
  <c r="W111" i="8"/>
  <c r="W112" i="8"/>
  <c r="W113" i="8"/>
  <c r="W114" i="8"/>
  <c r="W118" i="8"/>
  <c r="W122" i="8"/>
  <c r="W123" i="8"/>
  <c r="W124" i="8"/>
  <c r="W125" i="8"/>
  <c r="W126" i="8"/>
  <c r="W131" i="8"/>
  <c r="W8" i="8"/>
  <c r="X93" i="8"/>
  <c r="X94" i="8"/>
  <c r="X95" i="8"/>
  <c r="X97" i="8"/>
  <c r="X101" i="8"/>
  <c r="X102" i="8"/>
  <c r="X106" i="8"/>
  <c r="X107" i="8"/>
  <c r="X111" i="8"/>
  <c r="X112" i="8"/>
  <c r="X113" i="8"/>
  <c r="X114" i="8"/>
  <c r="X118" i="8"/>
  <c r="X122" i="8"/>
  <c r="X123" i="8"/>
  <c r="X124" i="8"/>
  <c r="X125" i="8"/>
  <c r="X126" i="8"/>
  <c r="X131" i="8"/>
  <c r="Y93" i="8"/>
  <c r="Y101" i="8"/>
  <c r="Y118" i="8"/>
  <c r="Y126" i="8"/>
  <c r="C79" i="8"/>
  <c r="C81" i="8" s="1"/>
  <c r="C15" i="8"/>
  <c r="C20" i="8"/>
  <c r="O55" i="11"/>
  <c r="Z55" i="11" s="1"/>
  <c r="AB101" i="8"/>
  <c r="K136" i="8"/>
  <c r="K55" i="11"/>
  <c r="V55" i="11" s="1"/>
  <c r="AB126" i="8"/>
  <c r="S55" i="11"/>
  <c r="AD55" i="11" s="1"/>
  <c r="AG21" i="11"/>
  <c r="AG22" i="11"/>
  <c r="AG23" i="11"/>
  <c r="AE48" i="11"/>
  <c r="AD38" i="11"/>
  <c r="X44" i="11"/>
  <c r="V44" i="11"/>
  <c r="Y48" i="11"/>
  <c r="AC22" i="10"/>
  <c r="AA9" i="10"/>
  <c r="Z10" i="10"/>
  <c r="AB9" i="10"/>
  <c r="AA10" i="10"/>
  <c r="AB10" i="10"/>
  <c r="W23" i="10"/>
  <c r="V9" i="10"/>
  <c r="AB21" i="10"/>
  <c r="Y23" i="10"/>
  <c r="Z25" i="10"/>
  <c r="AD10" i="10"/>
  <c r="Z22" i="10"/>
  <c r="V20" i="10"/>
  <c r="AB22" i="10"/>
  <c r="AC23" i="10"/>
  <c r="AE23" i="10"/>
  <c r="AB25" i="10"/>
  <c r="V22" i="10"/>
  <c r="AC25" i="10"/>
  <c r="W22" i="10"/>
  <c r="V23" i="10"/>
  <c r="X22" i="10"/>
  <c r="X21" i="10"/>
  <c r="Z21" i="10"/>
  <c r="AA21" i="10"/>
  <c r="Z24" i="10"/>
  <c r="AB24" i="10"/>
  <c r="AC24" i="10"/>
  <c r="AD24" i="10"/>
  <c r="AC20" i="10"/>
  <c r="AA23" i="10"/>
  <c r="Z20" i="10"/>
  <c r="Y25" i="10"/>
  <c r="W20" i="10"/>
  <c r="X20" i="10"/>
  <c r="V21" i="10"/>
  <c r="X24" i="10"/>
  <c r="AE9" i="10"/>
  <c r="D26" i="10"/>
  <c r="D30" i="10" s="1"/>
  <c r="W11" i="10"/>
  <c r="X11" i="10"/>
  <c r="D33" i="10"/>
  <c r="J26" i="10"/>
  <c r="J34" i="10" s="1"/>
  <c r="D31" i="10"/>
  <c r="N26" i="10"/>
  <c r="N30" i="10" s="1"/>
  <c r="Y11" i="10"/>
  <c r="AD11" i="10"/>
  <c r="T136" i="8"/>
  <c r="AD48" i="11"/>
  <c r="AC48" i="11"/>
  <c r="AD44" i="11"/>
  <c r="AB46" i="8"/>
  <c r="AB67" i="8"/>
  <c r="AB68" i="8"/>
  <c r="AB54" i="8"/>
  <c r="AB53" i="8"/>
  <c r="O4" i="10"/>
  <c r="Z4" i="10" s="1"/>
  <c r="X136" i="8"/>
  <c r="AE28" i="11"/>
  <c r="R76" i="11"/>
  <c r="R79" i="11" s="1"/>
  <c r="R88" i="11" s="1"/>
  <c r="AE37" i="11"/>
  <c r="K4" i="11"/>
  <c r="V4" i="11" s="1"/>
  <c r="Q132" i="8"/>
  <c r="Q69" i="8"/>
  <c r="AE38" i="11"/>
  <c r="AE39" i="11"/>
  <c r="AE76" i="11"/>
  <c r="AE79" i="11" s="1"/>
  <c r="T57" i="11"/>
  <c r="T76" i="11"/>
  <c r="T79" i="11" s="1"/>
  <c r="T88" i="11" s="1"/>
  <c r="M26" i="10"/>
  <c r="M32" i="10" s="1"/>
  <c r="AC11" i="10"/>
  <c r="E26" i="10"/>
  <c r="E32" i="10" s="1"/>
  <c r="I26" i="10"/>
  <c r="I31" i="10" s="1"/>
  <c r="D34" i="10"/>
  <c r="P26" i="10"/>
  <c r="P34" i="10" s="1"/>
  <c r="C26" i="10"/>
  <c r="C29" i="10" s="1"/>
  <c r="T12" i="11"/>
  <c r="T17" i="11" s="1"/>
  <c r="R26" i="10"/>
  <c r="R31" i="10" s="1"/>
  <c r="Q26" i="10"/>
  <c r="Q29" i="10" s="1"/>
  <c r="AD32" i="11"/>
  <c r="T26" i="10"/>
  <c r="T30" i="10" s="1"/>
  <c r="L26" i="10"/>
  <c r="H26" i="10"/>
  <c r="F26" i="10"/>
  <c r="T12" i="10"/>
  <c r="T14" i="10"/>
  <c r="AB57" i="11"/>
  <c r="S75" i="11"/>
  <c r="S4" i="11"/>
  <c r="AD4" i="11" s="1"/>
  <c r="R57" i="11"/>
  <c r="S11" i="10"/>
  <c r="S15" i="10" s="1"/>
  <c r="R12" i="10"/>
  <c r="R14" i="10"/>
  <c r="Q21" i="8"/>
  <c r="Q26" i="8"/>
  <c r="Q15" i="8"/>
  <c r="I76" i="11"/>
  <c r="J139" i="8"/>
  <c r="S139" i="8" s="1"/>
  <c r="H12" i="11"/>
  <c r="H17" i="11" s="1"/>
  <c r="H25" i="11" s="1"/>
  <c r="E12" i="11"/>
  <c r="E17" i="11" s="1"/>
  <c r="F12" i="11"/>
  <c r="F17" i="11" s="1"/>
  <c r="K75" i="11"/>
  <c r="V75" i="11" s="1"/>
  <c r="V76" i="11" s="1"/>
  <c r="O75" i="11"/>
  <c r="Z75" i="11" s="1"/>
  <c r="Z76" i="11" s="1"/>
  <c r="AB45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O136" i="8"/>
  <c r="F12" i="10"/>
  <c r="F14" i="10"/>
  <c r="AB112" i="8" l="1"/>
  <c r="AB123" i="8"/>
  <c r="C21" i="8"/>
  <c r="C26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N31" i="10"/>
  <c r="D32" i="10"/>
  <c r="D29" i="10"/>
  <c r="I29" i="10"/>
  <c r="N34" i="10"/>
  <c r="I34" i="10"/>
  <c r="I33" i="10"/>
  <c r="P12" i="11"/>
  <c r="I30" i="10"/>
  <c r="I32" i="10"/>
  <c r="N12" i="11"/>
  <c r="J32" i="10"/>
  <c r="I12" i="11"/>
  <c r="I17" i="11" s="1"/>
  <c r="I25" i="11" s="1"/>
  <c r="M12" i="11"/>
  <c r="P31" i="10"/>
  <c r="P33" i="10"/>
  <c r="J30" i="10"/>
  <c r="J33" i="10"/>
  <c r="N29" i="10"/>
  <c r="L12" i="11"/>
  <c r="L17" i="11" s="1"/>
  <c r="N32" i="10"/>
  <c r="M29" i="10"/>
  <c r="N33" i="10"/>
  <c r="M31" i="10"/>
  <c r="Z11" i="10"/>
  <c r="AD9" i="11"/>
  <c r="P32" i="10"/>
  <c r="AD7" i="11"/>
  <c r="J29" i="10"/>
  <c r="AD11" i="11"/>
  <c r="Y11" i="11"/>
  <c r="E33" i="10"/>
  <c r="AC8" i="11"/>
  <c r="AC7" i="11"/>
  <c r="E30" i="10"/>
  <c r="R12" i="11"/>
  <c r="R17" i="11" s="1"/>
  <c r="R18" i="11" s="1"/>
  <c r="P30" i="10"/>
  <c r="W7" i="11"/>
  <c r="P29" i="10"/>
  <c r="AA9" i="11"/>
  <c r="AE6" i="11"/>
  <c r="AE10" i="11"/>
  <c r="J31" i="10"/>
  <c r="AB118" i="8"/>
  <c r="AB93" i="8"/>
  <c r="AB19" i="8"/>
  <c r="Q79" i="8"/>
  <c r="Q81" i="8" s="1"/>
  <c r="AA76" i="11"/>
  <c r="AD41" i="11"/>
  <c r="X76" i="11"/>
  <c r="N76" i="11"/>
  <c r="W76" i="11"/>
  <c r="S76" i="11"/>
  <c r="S79" i="11" s="1"/>
  <c r="S88" i="11" s="1"/>
  <c r="S57" i="11"/>
  <c r="F27" i="10"/>
  <c r="F34" i="10"/>
  <c r="F31" i="10"/>
  <c r="M30" i="10"/>
  <c r="E31" i="10"/>
  <c r="F30" i="10"/>
  <c r="V11" i="10"/>
  <c r="E29" i="10"/>
  <c r="AA11" i="10"/>
  <c r="C30" i="10"/>
  <c r="F33" i="10"/>
  <c r="M33" i="10"/>
  <c r="AB11" i="10"/>
  <c r="K26" i="10"/>
  <c r="K30" i="10" s="1"/>
  <c r="F29" i="10"/>
  <c r="E34" i="10"/>
  <c r="M34" i="10"/>
  <c r="F32" i="10"/>
  <c r="C32" i="10"/>
  <c r="C33" i="10"/>
  <c r="C31" i="10"/>
  <c r="C34" i="10"/>
  <c r="S26" i="10"/>
  <c r="S32" i="10" s="1"/>
  <c r="R27" i="10"/>
  <c r="R32" i="10"/>
  <c r="R29" i="10"/>
  <c r="R30" i="10"/>
  <c r="R34" i="10"/>
  <c r="R33" i="10"/>
  <c r="Q32" i="10"/>
  <c r="Q31" i="10"/>
  <c r="Q34" i="10"/>
  <c r="Q30" i="10"/>
  <c r="Q33" i="10"/>
  <c r="T25" i="11"/>
  <c r="T18" i="11"/>
  <c r="L29" i="10"/>
  <c r="L32" i="10"/>
  <c r="L33" i="10"/>
  <c r="L31" i="10"/>
  <c r="L34" i="10"/>
  <c r="L30" i="10"/>
  <c r="T29" i="10"/>
  <c r="T32" i="10"/>
  <c r="T27" i="10"/>
  <c r="T33" i="10"/>
  <c r="T31" i="10"/>
  <c r="T34" i="10"/>
  <c r="H32" i="10"/>
  <c r="H31" i="10"/>
  <c r="H30" i="10"/>
  <c r="H34" i="10"/>
  <c r="H33" i="10"/>
  <c r="H29" i="10"/>
  <c r="O26" i="10"/>
  <c r="S14" i="10"/>
  <c r="Y46" i="11"/>
  <c r="V45" i="11"/>
  <c r="S12" i="10"/>
  <c r="C17" i="11"/>
  <c r="C18" i="11" s="1"/>
  <c r="C13" i="11"/>
  <c r="Q30" i="8"/>
  <c r="Q27" i="8"/>
  <c r="L76" i="11"/>
  <c r="F13" i="11"/>
  <c r="K76" i="11"/>
  <c r="H18" i="11"/>
  <c r="O76" i="11"/>
  <c r="E18" i="11"/>
  <c r="E25" i="11"/>
  <c r="F18" i="11"/>
  <c r="F25" i="11"/>
  <c r="AE88" i="11"/>
  <c r="I18" i="11"/>
  <c r="H29" i="11"/>
  <c r="H26" i="11"/>
  <c r="C30" i="8" l="1"/>
  <c r="C27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K33" i="10"/>
  <c r="I14" i="11"/>
  <c r="M14" i="11"/>
  <c r="J14" i="11"/>
  <c r="J25" i="11"/>
  <c r="J26" i="11" s="1"/>
  <c r="N13" i="11"/>
  <c r="K31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Y26" i="10"/>
  <c r="Y27" i="10" s="1"/>
  <c r="N14" i="11"/>
  <c r="X26" i="10"/>
  <c r="X27" i="10" s="1"/>
  <c r="R13" i="11"/>
  <c r="V26" i="10"/>
  <c r="AB26" i="10"/>
  <c r="R25" i="11"/>
  <c r="R26" i="11" s="1"/>
  <c r="W26" i="10"/>
  <c r="W27" i="10" s="1"/>
  <c r="AA26" i="10"/>
  <c r="AA27" i="10" s="1"/>
  <c r="K34" i="10"/>
  <c r="AG6" i="11"/>
  <c r="K12" i="11"/>
  <c r="L14" i="11" s="1"/>
  <c r="S12" i="11"/>
  <c r="T14" i="11" s="1"/>
  <c r="K29" i="10"/>
  <c r="K32" i="10"/>
  <c r="AB122" i="8"/>
  <c r="S31" i="10"/>
  <c r="S27" i="10"/>
  <c r="S33" i="10"/>
  <c r="S30" i="10"/>
  <c r="S29" i="10"/>
  <c r="S34" i="10"/>
  <c r="T26" i="11"/>
  <c r="T29" i="11"/>
  <c r="O31" i="10"/>
  <c r="O29" i="10"/>
  <c r="O32" i="10"/>
  <c r="O30" i="10"/>
  <c r="O33" i="10"/>
  <c r="O34" i="10"/>
  <c r="Z26" i="10"/>
  <c r="Z27" i="10" s="1"/>
  <c r="AE26" i="10"/>
  <c r="AD26" i="10"/>
  <c r="AD27" i="10" s="1"/>
  <c r="AC26" i="10"/>
  <c r="AC27" i="10" s="1"/>
  <c r="AC45" i="11"/>
  <c r="C25" i="11"/>
  <c r="C29" i="11" s="1"/>
  <c r="C30" i="11" s="1"/>
  <c r="Q34" i="8"/>
  <c r="Q31" i="8"/>
  <c r="Q89" i="8"/>
  <c r="Q108" i="8" s="1"/>
  <c r="Q141" i="8" s="1"/>
  <c r="Z141" i="8" s="1"/>
  <c r="Q37" i="8"/>
  <c r="D25" i="11"/>
  <c r="D29" i="11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C31" i="8" l="1"/>
  <c r="C34" i="8"/>
  <c r="C37" i="8"/>
  <c r="C89" i="8"/>
  <c r="C108" i="8" s="1"/>
  <c r="C141" i="8" s="1"/>
  <c r="C142" i="8" s="1"/>
  <c r="C144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W29" i="10"/>
  <c r="W32" i="10"/>
  <c r="W33" i="10"/>
  <c r="N25" i="11"/>
  <c r="N26" i="11" s="1"/>
  <c r="AA32" i="10"/>
  <c r="Y31" i="10"/>
  <c r="Y32" i="10"/>
  <c r="Y33" i="10"/>
  <c r="Y34" i="10"/>
  <c r="Y29" i="10"/>
  <c r="W34" i="10"/>
  <c r="Y30" i="10"/>
  <c r="W30" i="10"/>
  <c r="AA33" i="10"/>
  <c r="AA30" i="10"/>
  <c r="AA34" i="10"/>
  <c r="S14" i="11"/>
  <c r="W31" i="10"/>
  <c r="AA29" i="10"/>
  <c r="X30" i="10"/>
  <c r="X31" i="10"/>
  <c r="AA31" i="10"/>
  <c r="V33" i="10"/>
  <c r="V27" i="10"/>
  <c r="AB30" i="10"/>
  <c r="AB27" i="10"/>
  <c r="V29" i="10"/>
  <c r="AB32" i="10"/>
  <c r="AB29" i="10"/>
  <c r="AB33" i="10"/>
  <c r="AB34" i="10"/>
  <c r="AB12" i="11"/>
  <c r="AB31" i="10"/>
  <c r="S13" i="11"/>
  <c r="X12" i="11"/>
  <c r="X33" i="10"/>
  <c r="X34" i="10"/>
  <c r="X32" i="10"/>
  <c r="X29" i="10"/>
  <c r="S17" i="11"/>
  <c r="S18" i="11" s="1"/>
  <c r="AA12" i="11"/>
  <c r="V32" i="10"/>
  <c r="R29" i="11"/>
  <c r="R30" i="11" s="1"/>
  <c r="V31" i="10"/>
  <c r="V30" i="10"/>
  <c r="V34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AC29" i="10"/>
  <c r="AE29" i="10"/>
  <c r="T34" i="11"/>
  <c r="T30" i="11"/>
  <c r="AC30" i="10"/>
  <c r="AC32" i="10"/>
  <c r="AC31" i="10"/>
  <c r="AC33" i="10"/>
  <c r="AC34" i="10"/>
  <c r="AD33" i="10"/>
  <c r="AD32" i="10"/>
  <c r="AD31" i="10"/>
  <c r="AD34" i="10"/>
  <c r="AD30" i="10"/>
  <c r="AE34" i="10"/>
  <c r="AE32" i="10"/>
  <c r="AE33" i="10"/>
  <c r="AE31" i="10"/>
  <c r="AE30" i="10"/>
  <c r="AD29" i="10"/>
  <c r="Z29" i="10"/>
  <c r="Z34" i="10"/>
  <c r="Z30" i="10"/>
  <c r="Z32" i="10"/>
  <c r="Z31" i="10"/>
  <c r="Z33" i="10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5" i="10"/>
  <c r="B14" i="10"/>
  <c r="J11" i="10"/>
  <c r="J27" i="10" s="1"/>
  <c r="D11" i="10"/>
  <c r="D27" i="10" s="1"/>
  <c r="P11" i="10"/>
  <c r="P27" i="10" s="1"/>
  <c r="E11" i="10"/>
  <c r="E27" i="10" s="1"/>
  <c r="Q11" i="10"/>
  <c r="Q27" i="10" s="1"/>
  <c r="O11" i="10"/>
  <c r="O27" i="10" s="1"/>
  <c r="N11" i="10"/>
  <c r="N27" i="10" s="1"/>
  <c r="M11" i="10"/>
  <c r="M27" i="10" s="1"/>
  <c r="I11" i="10"/>
  <c r="I27" i="10" s="1"/>
  <c r="C11" i="10"/>
  <c r="C27" i="10" s="1"/>
  <c r="N148" i="8"/>
  <c r="J148" i="8"/>
  <c r="E136" i="8"/>
  <c r="D136" i="8"/>
  <c r="G136" i="8" s="1"/>
  <c r="Y148" i="8" l="1"/>
  <c r="X148" i="8"/>
  <c r="Z148" i="8"/>
  <c r="W148" i="8"/>
  <c r="V148" i="8"/>
  <c r="U148" i="8"/>
  <c r="T148" i="8"/>
  <c r="S148" i="8"/>
  <c r="AB51" i="8"/>
  <c r="AB55" i="8"/>
  <c r="AB59" i="8"/>
  <c r="AB52" i="8"/>
  <c r="AB60" i="8"/>
  <c r="C14" i="10"/>
  <c r="C15" i="10"/>
  <c r="I14" i="10"/>
  <c r="V14" i="10" s="1"/>
  <c r="I15" i="10"/>
  <c r="V15" i="10" s="1"/>
  <c r="E15" i="10"/>
  <c r="E14" i="10"/>
  <c r="M15" i="10"/>
  <c r="Z15" i="10" s="1"/>
  <c r="M14" i="10"/>
  <c r="Z14" i="10" s="1"/>
  <c r="N15" i="10"/>
  <c r="AA15" i="10" s="1"/>
  <c r="N14" i="10"/>
  <c r="AA14" i="10" s="1"/>
  <c r="P14" i="10"/>
  <c r="AC14" i="10" s="1"/>
  <c r="P15" i="10"/>
  <c r="AC15" i="10" s="1"/>
  <c r="D14" i="10"/>
  <c r="D15" i="10"/>
  <c r="O14" i="10"/>
  <c r="AB14" i="10" s="1"/>
  <c r="O15" i="10"/>
  <c r="AB15" i="10" s="1"/>
  <c r="J15" i="10"/>
  <c r="W15" i="10" s="1"/>
  <c r="J14" i="10"/>
  <c r="W14" i="10" s="1"/>
  <c r="Q14" i="10"/>
  <c r="AD14" i="10" s="1"/>
  <c r="Q15" i="10"/>
  <c r="AD15" i="10" s="1"/>
  <c r="AE15" i="10"/>
  <c r="AE14" i="10"/>
  <c r="K11" i="10"/>
  <c r="K27" i="10" s="1"/>
  <c r="AE11" i="10"/>
  <c r="AE27" i="10" s="1"/>
  <c r="H11" i="10"/>
  <c r="H27" i="10" s="1"/>
  <c r="L11" i="10"/>
  <c r="L27" i="10" s="1"/>
  <c r="AC47" i="11" l="1"/>
  <c r="AB47" i="11"/>
  <c r="AA47" i="11"/>
  <c r="Z47" i="11"/>
  <c r="X47" i="11"/>
  <c r="Y47" i="11"/>
  <c r="W47" i="11"/>
  <c r="V47" i="11"/>
  <c r="H15" i="10"/>
  <c r="H14" i="10"/>
  <c r="L15" i="10"/>
  <c r="Y15" i="10" s="1"/>
  <c r="L14" i="10"/>
  <c r="Y14" i="10" s="1"/>
  <c r="K15" i="10"/>
  <c r="X15" i="10" s="1"/>
  <c r="K14" i="10"/>
  <c r="X14" i="10" s="1"/>
  <c r="N147" i="8" l="1"/>
  <c r="J147" i="8"/>
  <c r="W47" i="8"/>
  <c r="S47" i="8"/>
  <c r="AB44" i="8"/>
  <c r="E132" i="8"/>
  <c r="O132" i="8"/>
  <c r="W44" i="8"/>
  <c r="S44" i="8"/>
  <c r="V147" i="8" l="1"/>
  <c r="U147" i="8"/>
  <c r="T147" i="8"/>
  <c r="S147" i="8"/>
  <c r="Y147" i="8"/>
  <c r="X147" i="8"/>
  <c r="W147" i="8"/>
  <c r="Z147" i="8"/>
  <c r="V25" i="8"/>
  <c r="U25" i="8"/>
  <c r="T25" i="8"/>
  <c r="S25" i="8"/>
  <c r="V23" i="8"/>
  <c r="U23" i="8"/>
  <c r="T23" i="8"/>
  <c r="S23" i="8"/>
  <c r="X25" i="8"/>
  <c r="W25" i="8"/>
  <c r="Y25" i="8"/>
  <c r="Z25" i="8"/>
  <c r="W23" i="8"/>
  <c r="Y23" i="8"/>
  <c r="X23" i="8"/>
  <c r="Z23" i="8"/>
  <c r="V29" i="8"/>
  <c r="U29" i="8"/>
  <c r="T29" i="8"/>
  <c r="S29" i="8"/>
  <c r="W29" i="8"/>
  <c r="Y29" i="8"/>
  <c r="X29" i="8"/>
  <c r="Z29" i="8"/>
  <c r="K54" i="11"/>
  <c r="O54" i="11"/>
  <c r="U132" i="8"/>
  <c r="T132" i="8"/>
  <c r="S132" i="8"/>
  <c r="X57" i="11"/>
  <c r="AB73" i="8"/>
  <c r="AB61" i="8"/>
  <c r="AB72" i="8"/>
  <c r="AB66" i="8"/>
  <c r="AB62" i="8"/>
  <c r="AB74" i="8"/>
  <c r="AB71" i="8"/>
  <c r="AB47" i="8"/>
  <c r="P132" i="8"/>
  <c r="D132" i="8"/>
  <c r="J92" i="8"/>
  <c r="AB25" i="8" l="1"/>
  <c r="S92" i="8"/>
  <c r="V92" i="8"/>
  <c r="U92" i="8"/>
  <c r="T92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B29" i="8"/>
  <c r="O57" i="11"/>
  <c r="W57" i="11"/>
  <c r="K57" i="11"/>
  <c r="AB23" i="8"/>
  <c r="J100" i="8"/>
  <c r="V100" i="8" l="1"/>
  <c r="S100" i="8"/>
  <c r="U100" i="8"/>
  <c r="T100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V132" i="8"/>
  <c r="X132" i="8"/>
  <c r="Z132" i="8"/>
  <c r="Y132" i="8"/>
  <c r="W132" i="8"/>
  <c r="Y41" i="11" l="1"/>
  <c r="W41" i="11"/>
  <c r="X41" i="11"/>
  <c r="V41" i="11"/>
  <c r="P78" i="8"/>
  <c r="O78" i="8"/>
  <c r="M78" i="8"/>
  <c r="L78" i="8"/>
  <c r="V79" i="11" s="1"/>
  <c r="V88" i="11" s="1"/>
  <c r="K78" i="8"/>
  <c r="I78" i="8"/>
  <c r="J79" i="11" s="1"/>
  <c r="H78" i="8"/>
  <c r="I79" i="11" s="1"/>
  <c r="G78" i="8"/>
  <c r="H79" i="11" s="1"/>
  <c r="E78" i="8"/>
  <c r="E79" i="11" s="1"/>
  <c r="E88" i="11" s="1"/>
  <c r="D78" i="8"/>
  <c r="D79" i="11" s="1"/>
  <c r="D88" i="11" s="1"/>
  <c r="C79" i="11"/>
  <c r="C88" i="11" s="1"/>
  <c r="N36" i="8"/>
  <c r="W36" i="8" s="1"/>
  <c r="N33" i="8"/>
  <c r="W33" i="8" s="1"/>
  <c r="V13" i="8" l="1"/>
  <c r="U13" i="8"/>
  <c r="T13" i="8"/>
  <c r="S13" i="8"/>
  <c r="V10" i="8"/>
  <c r="U10" i="8"/>
  <c r="T10" i="8"/>
  <c r="S10" i="8"/>
  <c r="X17" i="8"/>
  <c r="W17" i="8"/>
  <c r="Y17" i="8"/>
  <c r="Z17" i="8"/>
  <c r="W10" i="8"/>
  <c r="Z10" i="8"/>
  <c r="X10" i="8"/>
  <c r="Y10" i="8"/>
  <c r="X13" i="8"/>
  <c r="W13" i="8"/>
  <c r="Y13" i="8"/>
  <c r="Z13" i="8"/>
  <c r="V17" i="8"/>
  <c r="U17" i="8"/>
  <c r="T17" i="8"/>
  <c r="S17" i="8"/>
  <c r="AD17" i="1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B33" i="8"/>
  <c r="AB36" i="8"/>
  <c r="S78" i="8"/>
  <c r="U78" i="8"/>
  <c r="V78" i="8"/>
  <c r="W78" i="8"/>
  <c r="Y78" i="8"/>
  <c r="J78" i="8"/>
  <c r="T78" i="8"/>
  <c r="X78" i="8"/>
  <c r="N78" i="8"/>
  <c r="X79" i="11" s="1"/>
  <c r="X88" i="11" s="1"/>
  <c r="Z78" i="8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N100" i="8"/>
  <c r="N92" i="8"/>
  <c r="Z92" i="8" l="1"/>
  <c r="AB92" i="8" s="1"/>
  <c r="Y92" i="8"/>
  <c r="X92" i="8"/>
  <c r="W92" i="8"/>
  <c r="Z100" i="8"/>
  <c r="AB100" i="8" s="1"/>
  <c r="Y100" i="8"/>
  <c r="X100" i="8"/>
  <c r="W100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B111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O63" i="8"/>
  <c r="M63" i="8"/>
  <c r="N11" i="8"/>
  <c r="O12" i="10" s="1"/>
  <c r="J11" i="8"/>
  <c r="K12" i="10" s="1"/>
  <c r="J36" i="8"/>
  <c r="S36" i="8" s="1"/>
  <c r="J33" i="8"/>
  <c r="S33" i="8" s="1"/>
  <c r="L48" i="8"/>
  <c r="L56" i="8" s="1"/>
  <c r="K48" i="8"/>
  <c r="K56" i="8" s="1"/>
  <c r="G48" i="8"/>
  <c r="G56" i="8" s="1"/>
  <c r="P86" i="8"/>
  <c r="O86" i="8"/>
  <c r="N86" i="8"/>
  <c r="M86" i="8"/>
  <c r="L86" i="8"/>
  <c r="K86" i="8"/>
  <c r="J86" i="8"/>
  <c r="I86" i="8"/>
  <c r="H86" i="8"/>
  <c r="G86" i="8"/>
  <c r="P85" i="8"/>
  <c r="O85" i="8"/>
  <c r="N85" i="8"/>
  <c r="M85" i="8"/>
  <c r="L85" i="8"/>
  <c r="K85" i="8"/>
  <c r="J85" i="8"/>
  <c r="I85" i="8"/>
  <c r="H85" i="8"/>
  <c r="G85" i="8"/>
  <c r="H48" i="8"/>
  <c r="H56" i="8" s="1"/>
  <c r="I48" i="8"/>
  <c r="I56" i="8" s="1"/>
  <c r="M48" i="8"/>
  <c r="M56" i="8" s="1"/>
  <c r="O48" i="8"/>
  <c r="O56" i="8" s="1"/>
  <c r="P48" i="8"/>
  <c r="P56" i="8" s="1"/>
  <c r="P41" i="8"/>
  <c r="O41" i="8"/>
  <c r="N41" i="8"/>
  <c r="M41" i="8"/>
  <c r="L41" i="8"/>
  <c r="K41" i="8"/>
  <c r="J41" i="8"/>
  <c r="I41" i="8"/>
  <c r="H41" i="8"/>
  <c r="G41" i="8"/>
  <c r="P40" i="8"/>
  <c r="O40" i="8"/>
  <c r="N40" i="8"/>
  <c r="M40" i="8"/>
  <c r="L40" i="8"/>
  <c r="K40" i="8"/>
  <c r="J40" i="8"/>
  <c r="I40" i="8"/>
  <c r="H40" i="8"/>
  <c r="G40" i="8"/>
  <c r="E41" i="8"/>
  <c r="D41" i="8"/>
  <c r="E40" i="8"/>
  <c r="D40" i="8"/>
  <c r="P11" i="8"/>
  <c r="O11" i="8"/>
  <c r="M11" i="8"/>
  <c r="L11" i="8"/>
  <c r="K11" i="8"/>
  <c r="I11" i="8"/>
  <c r="J12" i="10" s="1"/>
  <c r="H11" i="8"/>
  <c r="I12" i="10" s="1"/>
  <c r="G11" i="8"/>
  <c r="H12" i="10" s="1"/>
  <c r="AB86" i="11" l="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O14" i="8"/>
  <c r="O20" i="8" s="1"/>
  <c r="O26" i="8" s="1"/>
  <c r="P12" i="10"/>
  <c r="P14" i="8"/>
  <c r="P15" i="8" s="1"/>
  <c r="Q12" i="10"/>
  <c r="K14" i="8"/>
  <c r="K20" i="8" s="1"/>
  <c r="L12" i="10"/>
  <c r="M14" i="8"/>
  <c r="M20" i="8" s="1"/>
  <c r="N12" i="10"/>
  <c r="L14" i="8"/>
  <c r="L15" i="8" s="1"/>
  <c r="M12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M69" i="8"/>
  <c r="G14" i="8"/>
  <c r="G20" i="8" s="1"/>
  <c r="H14" i="8"/>
  <c r="H15" i="8" s="1"/>
  <c r="I14" i="8"/>
  <c r="I15" i="8" s="1"/>
  <c r="K63" i="8"/>
  <c r="P63" i="8"/>
  <c r="H63" i="8"/>
  <c r="G63" i="8"/>
  <c r="L63" i="8"/>
  <c r="E63" i="8"/>
  <c r="I63" i="8"/>
  <c r="N14" i="8"/>
  <c r="N15" i="8" s="1"/>
  <c r="J14" i="8"/>
  <c r="J15" i="8" s="1"/>
  <c r="N63" i="8"/>
  <c r="N48" i="8"/>
  <c r="N56" i="8" s="1"/>
  <c r="J48" i="8"/>
  <c r="J56" i="8" s="1"/>
  <c r="J63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P20" i="8"/>
  <c r="P26" i="8" s="1"/>
  <c r="P27" i="8" s="1"/>
  <c r="O15" i="8"/>
  <c r="O21" i="8"/>
  <c r="L20" i="8"/>
  <c r="L26" i="8" s="1"/>
  <c r="L27" i="8" s="1"/>
  <c r="K15" i="8"/>
  <c r="K50" i="11"/>
  <c r="O50" i="11"/>
  <c r="M15" i="8"/>
  <c r="O27" i="8"/>
  <c r="O30" i="8"/>
  <c r="O89" i="8" s="1"/>
  <c r="O108" i="8" s="1"/>
  <c r="AD50" i="11"/>
  <c r="M26" i="8"/>
  <c r="G26" i="8"/>
  <c r="K26" i="8"/>
  <c r="H20" i="8"/>
  <c r="M79" i="8"/>
  <c r="M81" i="8" s="1"/>
  <c r="G21" i="8"/>
  <c r="G15" i="8"/>
  <c r="I20" i="8"/>
  <c r="N69" i="8"/>
  <c r="K69" i="8"/>
  <c r="I69" i="8"/>
  <c r="E69" i="8"/>
  <c r="H69" i="8"/>
  <c r="J69" i="8"/>
  <c r="P69" i="8"/>
  <c r="G69" i="8"/>
  <c r="L69" i="8"/>
  <c r="O69" i="8"/>
  <c r="N20" i="8"/>
  <c r="N26" i="8" s="1"/>
  <c r="J20" i="8"/>
  <c r="J26" i="8" s="1"/>
  <c r="M21" i="8"/>
  <c r="K21" i="8"/>
  <c r="L30" i="8" l="1"/>
  <c r="L89" i="8" s="1"/>
  <c r="L108" i="8" s="1"/>
  <c r="P30" i="8"/>
  <c r="P108" i="8" s="1"/>
  <c r="P141" i="8" s="1"/>
  <c r="Y141" i="8" s="1"/>
  <c r="P21" i="8"/>
  <c r="L21" i="8"/>
  <c r="N27" i="8"/>
  <c r="N30" i="8"/>
  <c r="N89" i="8" s="1"/>
  <c r="N108" i="8" s="1"/>
  <c r="M27" i="8"/>
  <c r="M30" i="8"/>
  <c r="M89" i="8" s="1"/>
  <c r="M108" i="8" s="1"/>
  <c r="K27" i="8"/>
  <c r="K30" i="8"/>
  <c r="K89" i="8" s="1"/>
  <c r="K108" i="8" s="1"/>
  <c r="J27" i="8"/>
  <c r="J30" i="8"/>
  <c r="J89" i="8" s="1"/>
  <c r="J108" i="8" s="1"/>
  <c r="G27" i="8"/>
  <c r="G30" i="8"/>
  <c r="G89" i="8" s="1"/>
  <c r="O37" i="8"/>
  <c r="O31" i="8"/>
  <c r="O34" i="8"/>
  <c r="I26" i="8"/>
  <c r="H26" i="8"/>
  <c r="K79" i="8"/>
  <c r="K81" i="8" s="1"/>
  <c r="H21" i="8"/>
  <c r="I21" i="8"/>
  <c r="J79" i="8"/>
  <c r="J81" i="8" s="1"/>
  <c r="N79" i="8"/>
  <c r="N81" i="8" s="1"/>
  <c r="I79" i="8"/>
  <c r="I81" i="8" s="1"/>
  <c r="H79" i="8"/>
  <c r="H81" i="8" s="1"/>
  <c r="P79" i="8"/>
  <c r="P81" i="8" s="1"/>
  <c r="O79" i="8"/>
  <c r="O81" i="8" s="1"/>
  <c r="L79" i="8"/>
  <c r="L81" i="8" s="1"/>
  <c r="G79" i="8"/>
  <c r="G81" i="8" s="1"/>
  <c r="J21" i="8"/>
  <c r="N21" i="8"/>
  <c r="G108" i="8" l="1"/>
  <c r="G141" i="8" s="1"/>
  <c r="L37" i="8"/>
  <c r="P37" i="8"/>
  <c r="L34" i="8"/>
  <c r="P31" i="8"/>
  <c r="L31" i="8"/>
  <c r="P34" i="8"/>
  <c r="H27" i="8"/>
  <c r="H30" i="8"/>
  <c r="I27" i="8"/>
  <c r="I30" i="8"/>
  <c r="I89" i="8" s="1"/>
  <c r="I108" i="8" s="1"/>
  <c r="G34" i="8"/>
  <c r="G31" i="8"/>
  <c r="G37" i="8"/>
  <c r="K34" i="8"/>
  <c r="K37" i="8"/>
  <c r="K31" i="8"/>
  <c r="M37" i="8"/>
  <c r="M31" i="8"/>
  <c r="M34" i="8"/>
  <c r="N37" i="8"/>
  <c r="N31" i="8"/>
  <c r="N34" i="8"/>
  <c r="J31" i="8"/>
  <c r="J34" i="8"/>
  <c r="J37" i="8"/>
  <c r="O141" i="8"/>
  <c r="X141" i="8" s="1"/>
  <c r="K141" i="8"/>
  <c r="T141" i="8" s="1"/>
  <c r="L141" i="8"/>
  <c r="U141" i="8" s="1"/>
  <c r="M141" i="8"/>
  <c r="V141" i="8" s="1"/>
  <c r="H89" i="8" l="1"/>
  <c r="H108" i="8" s="1"/>
  <c r="I37" i="8"/>
  <c r="I31" i="8"/>
  <c r="I34" i="8"/>
  <c r="H37" i="8"/>
  <c r="H31" i="8"/>
  <c r="H34" i="8"/>
  <c r="H141" i="8" l="1"/>
  <c r="I141" i="8"/>
  <c r="B86" i="8" l="1"/>
  <c r="B85" i="8"/>
  <c r="E86" i="8"/>
  <c r="D86" i="8"/>
  <c r="E85" i="8"/>
  <c r="D85" i="8"/>
  <c r="B41" i="8"/>
  <c r="B40" i="8"/>
  <c r="Z41" i="8"/>
  <c r="Y41" i="8"/>
  <c r="X41" i="8"/>
  <c r="V41" i="8"/>
  <c r="U41" i="8"/>
  <c r="T41" i="8"/>
  <c r="W41" i="8"/>
  <c r="S41" i="8"/>
  <c r="Z40" i="8"/>
  <c r="Y40" i="8"/>
  <c r="X40" i="8"/>
  <c r="W40" i="8"/>
  <c r="V40" i="8"/>
  <c r="U40" i="8"/>
  <c r="T40" i="8"/>
  <c r="S40" i="8"/>
  <c r="S85" i="8" l="1"/>
  <c r="T85" i="8"/>
  <c r="T86" i="8"/>
  <c r="W85" i="8"/>
  <c r="X85" i="8"/>
  <c r="S86" i="8"/>
  <c r="X86" i="8"/>
  <c r="Y86" i="8"/>
  <c r="V85" i="8"/>
  <c r="Y85" i="8"/>
  <c r="V86" i="8"/>
  <c r="U86" i="8"/>
  <c r="Z85" i="8"/>
  <c r="W86" i="8"/>
  <c r="U85" i="8"/>
  <c r="Z86" i="8"/>
  <c r="U11" i="8" l="1"/>
  <c r="Z12" i="10" s="1"/>
  <c r="D48" i="8"/>
  <c r="D56" i="8" s="1"/>
  <c r="E48" i="8"/>
  <c r="E56" i="8" s="1"/>
  <c r="V11" i="8" l="1"/>
  <c r="AA12" i="10" s="1"/>
  <c r="U14" i="8"/>
  <c r="U20" i="8" s="1"/>
  <c r="V48" i="8"/>
  <c r="V56" i="8" s="1"/>
  <c r="T48" i="8"/>
  <c r="T56" i="8" s="1"/>
  <c r="V63" i="8"/>
  <c r="V69" i="8" s="1"/>
  <c r="U63" i="8"/>
  <c r="U69" i="8" s="1"/>
  <c r="S11" i="8"/>
  <c r="X12" i="10" s="1"/>
  <c r="U48" i="8"/>
  <c r="U56" i="8" s="1"/>
  <c r="T11" i="8"/>
  <c r="Y12" i="10" s="1"/>
  <c r="T63" i="8"/>
  <c r="T69" i="8" s="1"/>
  <c r="X48" i="8"/>
  <c r="X56" i="8" s="1"/>
  <c r="X11" i="8"/>
  <c r="AC12" i="10" s="1"/>
  <c r="X63" i="8"/>
  <c r="X69" i="8" s="1"/>
  <c r="Y63" i="8"/>
  <c r="Y69" i="8" s="1"/>
  <c r="W11" i="8"/>
  <c r="AB12" i="10" s="1"/>
  <c r="Y11" i="8"/>
  <c r="AD12" i="10" s="1"/>
  <c r="Y48" i="8"/>
  <c r="Y56" i="8" s="1"/>
  <c r="U26" i="8" l="1"/>
  <c r="U21" i="8"/>
  <c r="T14" i="8"/>
  <c r="T20" i="8" s="1"/>
  <c r="X14" i="8"/>
  <c r="X20" i="8" s="1"/>
  <c r="AB10" i="8"/>
  <c r="V79" i="8"/>
  <c r="V81" i="8" s="1"/>
  <c r="T79" i="8"/>
  <c r="T81" i="8" s="1"/>
  <c r="AB17" i="8"/>
  <c r="U79" i="8"/>
  <c r="U81" i="8" s="1"/>
  <c r="V14" i="8"/>
  <c r="V20" i="8" s="1"/>
  <c r="S14" i="8"/>
  <c r="S20" i="8" s="1"/>
  <c r="U15" i="8"/>
  <c r="AB13" i="8"/>
  <c r="X79" i="8"/>
  <c r="X81" i="8" s="1"/>
  <c r="Y14" i="8"/>
  <c r="Y20" i="8" s="1"/>
  <c r="W14" i="8"/>
  <c r="W20" i="8" s="1"/>
  <c r="Y79" i="8"/>
  <c r="Y81" i="8" s="1"/>
  <c r="U27" i="8" l="1"/>
  <c r="U30" i="8"/>
  <c r="U89" i="8" s="1"/>
  <c r="S26" i="8"/>
  <c r="X26" i="8"/>
  <c r="W26" i="8"/>
  <c r="T26" i="8"/>
  <c r="V26" i="8"/>
  <c r="Y26" i="8"/>
  <c r="T21" i="8"/>
  <c r="S21" i="8"/>
  <c r="V21" i="8"/>
  <c r="X21" i="8"/>
  <c r="W21" i="8"/>
  <c r="Y21" i="8"/>
  <c r="X15" i="8"/>
  <c r="W15" i="8"/>
  <c r="T15" i="8"/>
  <c r="Y15" i="8"/>
  <c r="V15" i="8"/>
  <c r="S15" i="8"/>
  <c r="X27" i="8" l="1"/>
  <c r="X30" i="8"/>
  <c r="X89" i="8" s="1"/>
  <c r="Y27" i="8"/>
  <c r="Y30" i="8"/>
  <c r="Y89" i="8" s="1"/>
  <c r="T27" i="8"/>
  <c r="T30" i="8"/>
  <c r="S27" i="8"/>
  <c r="S30" i="8"/>
  <c r="S89" i="8" s="1"/>
  <c r="V27" i="8"/>
  <c r="V30" i="8"/>
  <c r="V89" i="8" s="1"/>
  <c r="W27" i="8"/>
  <c r="W30" i="8"/>
  <c r="W89" i="8" s="1"/>
  <c r="U31" i="8"/>
  <c r="U34" i="8"/>
  <c r="U37" i="8"/>
  <c r="T31" i="8" l="1"/>
  <c r="T89" i="8"/>
  <c r="T37" i="8"/>
  <c r="T34" i="8"/>
  <c r="X34" i="8"/>
  <c r="X31" i="8"/>
  <c r="X37" i="8"/>
  <c r="V31" i="8"/>
  <c r="V34" i="8"/>
  <c r="V37" i="8"/>
  <c r="S37" i="8"/>
  <c r="S31" i="8"/>
  <c r="S34" i="8"/>
  <c r="Y31" i="8"/>
  <c r="Y34" i="8"/>
  <c r="Y37" i="8"/>
  <c r="W37" i="8"/>
  <c r="W31" i="8"/>
  <c r="W34" i="8"/>
  <c r="S63" i="8" l="1"/>
  <c r="W63" i="8"/>
  <c r="W69" i="8" s="1"/>
  <c r="S69" i="8" l="1"/>
  <c r="S79" i="8" s="1"/>
  <c r="V119" i="8"/>
  <c r="S119" i="8"/>
  <c r="T119" i="8"/>
  <c r="U119" i="8"/>
  <c r="W119" i="8"/>
  <c r="Y119" i="8"/>
  <c r="X119" i="8"/>
  <c r="E11" i="8" l="1"/>
  <c r="E12" i="10" s="1"/>
  <c r="D11" i="8"/>
  <c r="D12" i="10" s="1"/>
  <c r="C12" i="10"/>
  <c r="E119" i="8"/>
  <c r="D119" i="8"/>
  <c r="D63" i="8"/>
  <c r="Z11" i="8"/>
  <c r="AE12" i="10" s="1"/>
  <c r="D69" i="8" l="1"/>
  <c r="AB11" i="8"/>
  <c r="W79" i="8"/>
  <c r="D14" i="8"/>
  <c r="D20" i="8" s="1"/>
  <c r="E14" i="8"/>
  <c r="E20" i="8" s="1"/>
  <c r="Z63" i="8"/>
  <c r="Z69" i="8" s="1"/>
  <c r="AB78" i="8"/>
  <c r="E26" i="8" l="1"/>
  <c r="D26" i="8"/>
  <c r="D21" i="8"/>
  <c r="E21" i="8"/>
  <c r="W48" i="8"/>
  <c r="W56" i="8" s="1"/>
  <c r="W81" i="8" s="1"/>
  <c r="S48" i="8"/>
  <c r="S56" i="8" s="1"/>
  <c r="S81" i="8" s="1"/>
  <c r="D79" i="8"/>
  <c r="D81" i="8" s="1"/>
  <c r="E79" i="8"/>
  <c r="E81" i="8" s="1"/>
  <c r="AB69" i="8"/>
  <c r="AB63" i="8"/>
  <c r="Z48" i="8"/>
  <c r="Z56" i="8" s="1"/>
  <c r="D15" i="8"/>
  <c r="E15" i="8"/>
  <c r="Z14" i="8"/>
  <c r="Z20" i="8" s="1"/>
  <c r="Z26" i="8" s="1"/>
  <c r="Z30" i="8" s="1"/>
  <c r="Z89" i="8" s="1"/>
  <c r="D27" i="8" l="1"/>
  <c r="D30" i="8"/>
  <c r="D89" i="8" s="1"/>
  <c r="D108" i="8" s="1"/>
  <c r="D141" i="8" s="1"/>
  <c r="E27" i="8"/>
  <c r="E30" i="8"/>
  <c r="E89" i="8" s="1"/>
  <c r="E108" i="8" s="1"/>
  <c r="E141" i="8" s="1"/>
  <c r="Z27" i="8"/>
  <c r="AB27" i="8" s="1"/>
  <c r="AB26" i="8"/>
  <c r="J141" i="8"/>
  <c r="S141" i="8" s="1"/>
  <c r="AB20" i="8"/>
  <c r="Z21" i="8"/>
  <c r="AB21" i="8" s="1"/>
  <c r="AB132" i="8"/>
  <c r="Z79" i="8"/>
  <c r="AB56" i="8"/>
  <c r="AB48" i="8"/>
  <c r="AB14" i="8"/>
  <c r="Z119" i="8"/>
  <c r="AB119" i="8" s="1"/>
  <c r="Z15" i="8"/>
  <c r="AB15" i="8" s="1"/>
  <c r="AB79" i="8" l="1"/>
  <c r="Z81" i="8"/>
  <c r="D31" i="8"/>
  <c r="Z34" i="8"/>
  <c r="E34" i="8"/>
  <c r="E37" i="8"/>
  <c r="D37" i="8"/>
  <c r="D34" i="8"/>
  <c r="E31" i="8"/>
  <c r="N141" i="8"/>
  <c r="W141" i="8" s="1"/>
  <c r="AB30" i="8" l="1"/>
  <c r="Z37" i="8"/>
  <c r="Z31" i="8"/>
  <c r="AB31" i="8" s="1"/>
  <c r="V108" i="8"/>
  <c r="W108" i="8"/>
  <c r="S108" i="8" l="1"/>
  <c r="T108" i="8"/>
  <c r="U108" i="8"/>
  <c r="AB34" i="8" l="1"/>
  <c r="AB37" i="8"/>
  <c r="D135" i="8" l="1"/>
  <c r="G135" i="8" s="1"/>
  <c r="D137" i="8" l="1"/>
  <c r="D142" i="8" s="1"/>
  <c r="D144" i="8" s="1"/>
  <c r="E135" i="8" l="1"/>
  <c r="E137" i="8" s="1"/>
  <c r="E142" i="8" s="1"/>
  <c r="E144" i="8" s="1"/>
  <c r="G137" i="8"/>
  <c r="G142" i="8" l="1"/>
  <c r="G144" i="8" s="1"/>
  <c r="H135" i="8" l="1"/>
  <c r="H137" i="8" s="1"/>
  <c r="H142" i="8" s="1"/>
  <c r="H144" i="8" s="1"/>
  <c r="I135" i="8" l="1"/>
  <c r="I137" i="8" s="1"/>
  <c r="I142" i="8" l="1"/>
  <c r="I144" i="8" s="1"/>
  <c r="J135" i="8" l="1"/>
  <c r="S135" i="8" s="1"/>
  <c r="S137" i="8" s="1"/>
  <c r="J137" i="8" l="1"/>
  <c r="J142" i="8" s="1"/>
  <c r="J144" i="8" s="1"/>
  <c r="K135" i="8" l="1"/>
  <c r="K137" i="8" s="1"/>
  <c r="K142" i="8" l="1"/>
  <c r="K144" i="8" s="1"/>
  <c r="L135" i="8" l="1"/>
  <c r="L137" i="8" s="1"/>
  <c r="L142" i="8" l="1"/>
  <c r="L144" i="8" s="1"/>
  <c r="M135" i="8" l="1"/>
  <c r="M137" i="8" s="1"/>
  <c r="M142" i="8" l="1"/>
  <c r="M144" i="8" s="1"/>
  <c r="N135" i="8" l="1"/>
  <c r="N137" i="8" s="1"/>
  <c r="N142" i="8" l="1"/>
  <c r="W12" i="10"/>
  <c r="V12" i="10"/>
  <c r="O135" i="8" l="1"/>
  <c r="O137" i="8" s="1"/>
  <c r="O142" i="8" s="1"/>
  <c r="N144" i="8"/>
  <c r="P135" i="8" l="1"/>
  <c r="P137" i="8" s="1"/>
  <c r="P142" i="8" s="1"/>
  <c r="P144" i="8" s="1"/>
  <c r="O144" i="8"/>
  <c r="Q135" i="8" l="1"/>
  <c r="Q137" i="8" s="1"/>
  <c r="Q142" i="8" s="1"/>
  <c r="Q144" i="8" s="1"/>
  <c r="X108" i="8" l="1"/>
  <c r="Y108" i="8"/>
  <c r="Z108" i="8" l="1"/>
  <c r="AB89" i="8"/>
  <c r="AB108" i="8" l="1"/>
  <c r="S142" i="8" l="1"/>
  <c r="S144" i="8" s="1"/>
  <c r="T135" i="8" l="1"/>
  <c r="T137" i="8" s="1"/>
  <c r="T142" i="8" s="1"/>
  <c r="T144" i="8" s="1"/>
  <c r="U135" i="8" l="1"/>
  <c r="U137" i="8" s="1"/>
  <c r="U142" i="8" s="1"/>
  <c r="U144" i="8" s="1"/>
  <c r="V135" i="8" l="1"/>
  <c r="V137" i="8" s="1"/>
  <c r="V142" i="8" s="1"/>
  <c r="V144" i="8" s="1"/>
  <c r="W135" i="8" l="1"/>
  <c r="W137" i="8" s="1"/>
  <c r="W142" i="8" l="1"/>
  <c r="X135" i="8" l="1"/>
  <c r="X137" i="8" s="1"/>
  <c r="X142" i="8" s="1"/>
  <c r="X144" i="8" s="1"/>
  <c r="W144" i="8"/>
  <c r="Y135" i="8" l="1"/>
  <c r="Y137" i="8" s="1"/>
  <c r="Y142" i="8" s="1"/>
  <c r="Z135" i="8" l="1"/>
  <c r="Z137" i="8" s="1"/>
  <c r="Z142" i="8" s="1"/>
  <c r="Z144" i="8" s="1"/>
  <c r="Y14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<sst xmlns="http://schemas.openxmlformats.org/spreadsheetml/2006/main" count="259" uniqueCount="177">
  <si>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</si>
  <si>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</si>
  <si>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</si>
  <si>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</si>
  <si>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</si>
  <si>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</si>
  <si>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</si>
  <si>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</si>
  <si>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</si>
  <si>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</si>
  <si>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</si>
  <si>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</si>
  <si>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</si>
  <si>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</si>
  <si>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</si>
  <si>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</si>
  <si>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</si>
  <si>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</si>
  <si>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</si>
  <si>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</si>
  <si>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</si>
  <si>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</si>
  <si>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</si>
  <si>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</si>
  <si>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</si>
  <si>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</si>
  <si>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</si>
  <si>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</si>
  <si>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</si>
  <si>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</si>
  <si>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</si>
  <si>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</si>
  <si>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</si>
  <si>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</si>
  <si>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</si>
  <si>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</si>
  <si>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</si>
  <si>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</si>
  <si>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</si>
  <si>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</si>
  <si>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</si>
  <si>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</si>
  <si>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</si>
  <si>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</si>
  <si>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</si>
  <si>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</si>
  <si>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</si>
  <si>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</si>
  <si>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</si>
  <si>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</si>
  <si>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</si>
  <si>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</si>
  <si>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</si>
  <si>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</si>
  <si>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</si>
  <si>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</si>
  <si>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</si>
  <si>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</si>
  <si>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</si>
  <si>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</si>
  <si>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</si>
  <si>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</si>
  <si>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</si>
  <si>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</si>
  <si>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</si>
  <si>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</si>
  <si>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</si>
  <si>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</si>
  <si>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</si>
  <si>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</si>
  <si>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</si>
  <si>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</si>
  <si>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</si>
  <si>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</si>
  <si>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</si>
  <si>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</si>
  <si>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</si>
  <si>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</si>
  <si>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</si>
  <si>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</si>
  <si>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</si>
  <si>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</si>
  <si>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</si>
  <si>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</si>
  <si>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</si>
  <si>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</si>
  <si>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</si>
  <si>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</si>
  <si>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</si>
  <si>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</si>
  <si>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</si>
  <si>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</si>
  <si>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</si>
  <si>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</si>
  <si>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</si>
  <si>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</si>
  <si>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</si>
  <si>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</si>
  <si>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Revenue by product category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</si>
  <si>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</si>
  <si>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</si>
  <si>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</si>
  <si>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</si>
  <si>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</si>
  <si>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</si>
  <si>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</si>
  <si>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</si>
  <si>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</si>
  <si>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</si>
  <si>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</si>
  <si>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XXX</t>
  </si>
  <si>
    <t>Earnings before Taxes</t>
  </si>
  <si>
    <t>Revenue by XXX</t>
  </si>
  <si>
    <t>(+/-) XXX</t>
  </si>
  <si>
    <t>(+) XXX</t>
  </si>
  <si>
    <t>(-) XXX</t>
  </si>
  <si>
    <t>(-) Mandatory Outflows</t>
  </si>
  <si>
    <t>Snap Inc (NASDAQ: SNAP)</t>
  </si>
  <si>
    <t>Research and development</t>
  </si>
  <si>
    <t>Sales and Marketing</t>
  </si>
  <si>
    <t>General and Administrative</t>
  </si>
  <si>
    <t>Interest Income</t>
  </si>
  <si>
    <t>Interest Expenses</t>
  </si>
  <si>
    <t>Other Income</t>
  </si>
  <si>
    <t>Cash and cash equivalents</t>
  </si>
  <si>
    <t>Accounts receivable, net</t>
  </si>
  <si>
    <t>Prepaid expenses and other current assets</t>
  </si>
  <si>
    <t>Marketable Securities</t>
  </si>
  <si>
    <t>Property and equipment, net</t>
  </si>
  <si>
    <t>Goodwill</t>
  </si>
  <si>
    <t>Long-term operating lease Assets</t>
  </si>
  <si>
    <t>Other Non-Current Assets</t>
  </si>
  <si>
    <t>Intangible Assets</t>
  </si>
  <si>
    <t>Accounts payable</t>
  </si>
  <si>
    <t>Accrued liabilities</t>
  </si>
  <si>
    <t>Current portion of long-term debt, net</t>
  </si>
  <si>
    <t>Current Operating Lease Liabilities</t>
  </si>
  <si>
    <t>Long-term debt, net of current portion</t>
  </si>
  <si>
    <t>Long-term operating lease liabilities</t>
  </si>
  <si>
    <t>Other long-term liabilities</t>
  </si>
  <si>
    <t>Class A non-voting common stock</t>
  </si>
  <si>
    <t>Class B voting common stock</t>
  </si>
  <si>
    <t>Class C voting common stock</t>
  </si>
  <si>
    <t>Treasury stock</t>
  </si>
  <si>
    <t xml:space="preserve">Additional paid-in capital	</t>
  </si>
  <si>
    <t xml:space="preserve">Accumulated deficit	</t>
  </si>
  <si>
    <t>Accumulated OCI</t>
  </si>
  <si>
    <t xml:space="preserve">Stock-based compensation	</t>
  </si>
  <si>
    <t xml:space="preserve">Amortization of debt issuance costs	</t>
  </si>
  <si>
    <t xml:space="preserve">Losses (gains) on debt and equity securities, net	</t>
  </si>
  <si>
    <t>Other</t>
  </si>
  <si>
    <t xml:space="preserve">Accounts receivable, net of allowance	</t>
  </si>
  <si>
    <t xml:space="preserve">Prepaid expenses and other current assets	</t>
  </si>
  <si>
    <t xml:space="preserve">Operating lease right-of-use assets	</t>
  </si>
  <si>
    <t xml:space="preserve">Other assets	</t>
  </si>
  <si>
    <t xml:space="preserve">Accounts payable	</t>
  </si>
  <si>
    <t xml:space="preserve">Accrued expenses and other current liabilities	</t>
  </si>
  <si>
    <t xml:space="preserve">Operating lease liabilities	</t>
  </si>
  <si>
    <t xml:space="preserve">Other liabilities	</t>
  </si>
  <si>
    <t xml:space="preserve">Purchases of property and equipment	</t>
  </si>
  <si>
    <t xml:space="preserve">Purchases of strategic investments	</t>
  </si>
  <si>
    <t xml:space="preserve">Sales of strategic investments	</t>
  </si>
  <si>
    <t xml:space="preserve">Cash paid for acquisitions, net of cash acquired	</t>
  </si>
  <si>
    <t xml:space="preserve">Purchases of marketable securities	</t>
  </si>
  <si>
    <t xml:space="preserve">Sales of marketable securities	</t>
  </si>
  <si>
    <t xml:space="preserve">Maturities of marketable securities	</t>
  </si>
  <si>
    <t xml:space="preserve">Proceeds from issuance of convertible notes, net of issuance costs	</t>
  </si>
  <si>
    <t xml:space="preserve">Purchase of capped calls	</t>
  </si>
  <si>
    <t xml:space="preserve">Proceeds from termination of capped calls	</t>
  </si>
  <si>
    <t xml:space="preserve">Proceeds from the exercise of stock options	</t>
  </si>
  <si>
    <t xml:space="preserve">Payments of debt issuance costs	</t>
  </si>
  <si>
    <t xml:space="preserve">Repurchases of Class A non-voting common stock	</t>
  </si>
  <si>
    <t xml:space="preserve">Deferred payments for acquisitions	</t>
  </si>
  <si>
    <t xml:space="preserve">Repurchases of convertible notes	</t>
  </si>
  <si>
    <t xml:space="preserve">Interest paid </t>
  </si>
  <si>
    <t xml:space="preserve">Gain on extinguishment of debt	</t>
  </si>
  <si>
    <t xml:space="preserve">Repayment of convertible notes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</si>
</sst>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1" formatCode="&quot;$&quot;#,##0.000_);\(&quot;$&quot;#,##0.000\)"/>
    <numFmt numFmtId="174" formatCode="_(* #,##0.000_);_(* \(#,##0.000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9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11" fillId="0" borderId="19" xfId="0" applyNumberFormat="1" applyFont="1" applyBorder="1" applyAlignment="1">
      <alignment horizontal="right" vertical="top" wrapText="1"/>
    </xf>
    <xf numFmtId="171" fontId="8" fillId="3" borderId="2" xfId="0" applyNumberFormat="1" applyFont="1" applyFill="1" applyBorder="1" applyAlignment="1">
      <alignment horizontal="right" vertical="top" wrapText="1"/>
    </xf>
    <xf numFmtId="174" fontId="6" fillId="0" borderId="0" xfId="0" applyNumberFormat="1" applyFont="1" applyAlignment="1">
      <alignment horizontal="right" vertical="top" wrapText="1"/>
    </xf>
    <xf numFmtId="5" fontId="6" fillId="0" borderId="0" xfId="0" applyNumberFormat="1" applyFont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B161"/>
  <sheetViews>
    <sheetView showGridLines="0" tabSelected="1" topLeftCell="A4" zoomScaleNormal="100" workbookViewId="0">
      <selection activeCell="C33" sqref="C33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7" width="8" style="5" customWidth="1"/>
    <col min="18" max="18" width="1.5" style="5" customWidth="1"/>
    <col min="19" max="19" width="8.625" style="5" bestFit="1" customWidth="1" outlineLevel="1"/>
    <col min="20" max="20" width="8.625" style="5" customWidth="1" outlineLevel="1"/>
    <col min="21" max="21" width="8.25" style="5" customWidth="1" outlineLevel="1"/>
    <col min="22" max="22" width="8.25" style="5" bestFit="1" customWidth="1"/>
    <col min="23" max="23" width="8.25" style="5" customWidth="1" outlineLevel="1"/>
    <col min="24" max="24" width="8.625" style="5" customWidth="1" outlineLevel="1"/>
    <col min="25" max="25" width="8.25" style="5" customWidth="1" outlineLevel="1"/>
    <col min="26" max="26" width="8.625" style="5" bestFit="1" customWidth="1"/>
    <col min="27" max="27" width="1.25" style="5" customWidth="1"/>
    <col min="28" max="28" width="10.5" style="5" bestFit="1" customWidth="1"/>
    <col min="29" max="29" width="1.375" style="5" customWidth="1"/>
    <col min="30" max="16384" width="9" style="5"/>
  </cols>
  <sheetData>
    <row r="2" spans="1:28" ht="12.75" customHeight="1">
      <c r="B2" s="1" t="s">
        <v>117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3"/>
      <c r="S2" s="86"/>
      <c r="T2" s="86"/>
      <c r="U2" s="86"/>
      <c r="V2" s="86"/>
      <c r="W2" s="86"/>
      <c r="X2" s="86"/>
      <c r="Y2" s="86"/>
      <c r="Z2" s="86"/>
      <c r="AA2" s="3"/>
      <c r="AB2" s="1"/>
    </row>
    <row r="3" spans="1:28" ht="12.75" customHeight="1">
      <c r="B3" s="6" t="s">
        <v>79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3"/>
      <c r="AB3" s="1"/>
    </row>
    <row r="4" spans="1:28" ht="12.75" customHeight="1">
      <c r="B4" s="6" t="s">
        <v>96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1"/>
    </row>
    <row r="6" spans="1:28" ht="12.75" customHeight="1">
      <c r="A6" s="5" t="s">
        <v>18</v>
      </c>
      <c r="B6" s="1" t="s">
        <v>77</v>
      </c>
      <c r="C6" s="2"/>
      <c r="D6" s="2" t="s">
        <v>0</v>
      </c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/>
      <c r="V6" s="2" t="s">
        <v>10</v>
      </c>
      <c r="W6" s="2"/>
      <c r="X6" s="2"/>
      <c r="Y6" s="2"/>
      <c r="Z6" s="2"/>
      <c r="AA6" s="35"/>
      <c r="AB6" s="151" t="s">
        <v>24</v>
      </c>
    </row>
    <row r="7" spans="1:28" ht="12.75" customHeight="1">
      <c r="B7" s="6" t="s">
        <v>80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26</v>
      </c>
      <c r="P7" s="4" t="s">
        <v>27</v>
      </c>
      <c r="Q7" s="4" t="s">
        <v>109</v>
      </c>
      <c r="R7" s="4"/>
      <c r="S7" s="4" t="str">
        <f t="shared" ref="S7:Z8" si="0">J7</f>
        <v>4Q23</v>
      </c>
      <c r="T7" s="4" t="str">
        <f t="shared" si="0"/>
        <v>1Q24</v>
      </c>
      <c r="U7" s="4" t="str">
        <f t="shared" si="0"/>
        <v>2Q24</v>
      </c>
      <c r="V7" s="4" t="str">
        <f t="shared" si="0"/>
        <v>3Q24</v>
      </c>
      <c r="W7" s="4" t="str">
        <f t="shared" si="0"/>
        <v>4Q24</v>
      </c>
      <c r="X7" s="4" t="str">
        <f t="shared" si="0"/>
        <v>1Q25</v>
      </c>
      <c r="Y7" s="4" t="str">
        <f t="shared" si="0"/>
        <v>2Q25</v>
      </c>
      <c r="Z7" s="4" t="str">
        <f t="shared" si="0"/>
        <v>3Q25</v>
      </c>
      <c r="AA7" s="35"/>
      <c r="AB7" s="151"/>
    </row>
    <row r="8" spans="1:28" ht="12.75" customHeight="1">
      <c r="B8" s="6" t="s">
        <v>81</v>
      </c>
      <c r="C8" s="3">
        <v>44926</v>
      </c>
      <c r="D8" s="3">
        <v>45291</v>
      </c>
      <c r="E8" s="3">
        <v>45657</v>
      </c>
      <c r="F8" s="3"/>
      <c r="G8" s="3">
        <v>45016</v>
      </c>
      <c r="H8" s="3">
        <v>45107</v>
      </c>
      <c r="I8" s="3">
        <v>45199</v>
      </c>
      <c r="J8" s="3">
        <f>D8</f>
        <v>45291</v>
      </c>
      <c r="K8" s="3">
        <v>45382</v>
      </c>
      <c r="L8" s="3">
        <v>45473</v>
      </c>
      <c r="M8" s="3">
        <v>45565</v>
      </c>
      <c r="N8" s="3">
        <f>E8</f>
        <v>45657</v>
      </c>
      <c r="O8" s="3">
        <v>45747</v>
      </c>
      <c r="P8" s="3">
        <v>45838</v>
      </c>
      <c r="Q8" s="3">
        <v>45930</v>
      </c>
      <c r="R8" s="3"/>
      <c r="S8" s="3">
        <f t="shared" si="0"/>
        <v>45291</v>
      </c>
      <c r="T8" s="3">
        <f t="shared" si="0"/>
        <v>45382</v>
      </c>
      <c r="U8" s="3">
        <f t="shared" si="0"/>
        <v>45473</v>
      </c>
      <c r="V8" s="3">
        <f t="shared" si="0"/>
        <v>45565</v>
      </c>
      <c r="W8" s="3">
        <f t="shared" si="0"/>
        <v>45657</v>
      </c>
      <c r="X8" s="3">
        <f t="shared" si="0"/>
        <v>45747</v>
      </c>
      <c r="Y8" s="3">
        <f t="shared" si="0"/>
        <v>45838</v>
      </c>
      <c r="Z8" s="3">
        <f t="shared" si="0"/>
        <v>45930</v>
      </c>
      <c r="AA8" s="35"/>
      <c r="AB8" s="151"/>
    </row>
    <row r="9" spans="1:28" ht="5.0999999999999996" customHeight="1">
      <c r="AB9" s="85"/>
    </row>
    <row r="10" spans="1:28" ht="12.75" customHeight="1">
      <c r="B10" s="9" t="s">
        <v>61</v>
      </c>
      <c r="C10" s="81">
        <v>4601.8</v>
      </c>
      <c r="D10" s="81">
        <v>4606.2</v>
      </c>
      <c r="E10" s="81">
        <v>5361.5</v>
      </c>
      <c r="F10" s="11"/>
      <c r="G10" s="81">
        <v>988.60799999999995</v>
      </c>
      <c r="H10" s="81">
        <v>1067.6690000000001</v>
      </c>
      <c r="I10" s="81">
        <v>1188.5509999999999</v>
      </c>
      <c r="J10" s="30">
        <f>SUM(D10-SUM(G10:I10))</f>
        <v>1361.3719999999998</v>
      </c>
      <c r="K10" s="81">
        <v>1194.7729999999999</v>
      </c>
      <c r="L10" s="81">
        <v>1236.768</v>
      </c>
      <c r="M10" s="81">
        <v>1372.5740000000001</v>
      </c>
      <c r="N10" s="30">
        <f>SUM(E10-SUM(K10:M10))</f>
        <v>1557.3849999999998</v>
      </c>
      <c r="O10" s="81">
        <v>1363.2170000000001</v>
      </c>
      <c r="P10" s="81">
        <v>1344.93</v>
      </c>
      <c r="Q10" s="81">
        <v>1506.8389999999999</v>
      </c>
      <c r="R10" s="30"/>
      <c r="S10" s="30">
        <f t="shared" ref="S10:Z10" si="1">SUM(G10:J10)</f>
        <v>4606.2</v>
      </c>
      <c r="T10" s="30">
        <f t="shared" si="1"/>
        <v>4812.3649999999998</v>
      </c>
      <c r="U10" s="30">
        <f t="shared" si="1"/>
        <v>4981.4639999999999</v>
      </c>
      <c r="V10" s="30">
        <f t="shared" si="1"/>
        <v>5165.4869999999992</v>
      </c>
      <c r="W10" s="30">
        <f t="shared" si="1"/>
        <v>5361.5</v>
      </c>
      <c r="X10" s="30">
        <f t="shared" si="1"/>
        <v>5529.9439999999995</v>
      </c>
      <c r="Y10" s="30">
        <f t="shared" si="1"/>
        <v>5638.1059999999998</v>
      </c>
      <c r="Z10" s="30">
        <f t="shared" si="1"/>
        <v>5772.3710000000001</v>
      </c>
      <c r="AA10" s="37"/>
      <c r="AB10" s="68">
        <f>SUM(Z10/V10)-1</f>
        <v>0.11748824457403551</v>
      </c>
    </row>
    <row r="11" spans="1:28" ht="12.75" customHeight="1">
      <c r="B11" s="12" t="s">
        <v>12</v>
      </c>
      <c r="C11" s="13">
        <f t="shared" ref="C11:E11" si="2">+SUM(C10:C10)</f>
        <v>4601.8</v>
      </c>
      <c r="D11" s="13">
        <f t="shared" si="2"/>
        <v>4606.2</v>
      </c>
      <c r="E11" s="13">
        <f t="shared" si="2"/>
        <v>5361.5</v>
      </c>
      <c r="F11" s="11"/>
      <c r="G11" s="13">
        <f t="shared" ref="G11:P11" si="3">+SUM(G10:G10)</f>
        <v>988.60799999999995</v>
      </c>
      <c r="H11" s="13">
        <f t="shared" si="3"/>
        <v>1067.6690000000001</v>
      </c>
      <c r="I11" s="13">
        <f t="shared" si="3"/>
        <v>1188.5509999999999</v>
      </c>
      <c r="J11" s="13">
        <f t="shared" si="3"/>
        <v>1361.3719999999998</v>
      </c>
      <c r="K11" s="13">
        <f t="shared" si="3"/>
        <v>1194.7729999999999</v>
      </c>
      <c r="L11" s="13">
        <f t="shared" si="3"/>
        <v>1236.768</v>
      </c>
      <c r="M11" s="13">
        <f t="shared" si="3"/>
        <v>1372.5740000000001</v>
      </c>
      <c r="N11" s="13">
        <f t="shared" si="3"/>
        <v>1557.3849999999998</v>
      </c>
      <c r="O11" s="13">
        <f t="shared" si="3"/>
        <v>1363.2170000000001</v>
      </c>
      <c r="P11" s="13">
        <f t="shared" si="3"/>
        <v>1344.93</v>
      </c>
      <c r="Q11" s="13">
        <f t="shared" ref="Q11" si="4">+SUM(Q10:Q10)</f>
        <v>1506.8389999999999</v>
      </c>
      <c r="S11" s="13">
        <f t="shared" ref="S11:Z11" si="5">+SUM(S10:S10)</f>
        <v>4606.2</v>
      </c>
      <c r="T11" s="13">
        <f t="shared" si="5"/>
        <v>4812.3649999999998</v>
      </c>
      <c r="U11" s="13">
        <f t="shared" si="5"/>
        <v>4981.4639999999999</v>
      </c>
      <c r="V11" s="13">
        <f t="shared" si="5"/>
        <v>5165.4869999999992</v>
      </c>
      <c r="W11" s="13">
        <f t="shared" si="5"/>
        <v>5361.5</v>
      </c>
      <c r="X11" s="13">
        <f t="shared" si="5"/>
        <v>5529.9439999999995</v>
      </c>
      <c r="Y11" s="13">
        <f t="shared" si="5"/>
        <v>5638.1059999999998</v>
      </c>
      <c r="Z11" s="13">
        <f t="shared" si="5"/>
        <v>5772.3710000000001</v>
      </c>
      <c r="AA11" s="37"/>
      <c r="AB11" s="69">
        <f t="shared" ref="AB11:AB30" si="6">SUM(Z11/V11)-1</f>
        <v>0.11748824457403551</v>
      </c>
    </row>
    <row r="12" spans="1:28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B12" s="68"/>
    </row>
    <row r="13" spans="1:28" ht="12.75" customHeight="1">
      <c r="B13" s="9" t="s">
        <v>13</v>
      </c>
      <c r="C13" s="76">
        <v>-1815.4</v>
      </c>
      <c r="D13" s="76">
        <v>-2114.1999999999998</v>
      </c>
      <c r="E13" s="76">
        <v>-2474.1999999999998</v>
      </c>
      <c r="F13" s="22"/>
      <c r="G13" s="76">
        <v>-439.98599999999999</v>
      </c>
      <c r="H13" s="76">
        <v>-496.87400000000002</v>
      </c>
      <c r="I13" s="76">
        <v>-555.75300000000004</v>
      </c>
      <c r="J13" s="30">
        <f>SUM(D13-SUM(G13:I13))</f>
        <v>-621.58699999999976</v>
      </c>
      <c r="K13" s="76">
        <v>-574.74900000000002</v>
      </c>
      <c r="L13" s="76">
        <v>-588.92100000000005</v>
      </c>
      <c r="M13" s="76">
        <v>-638.90700000000004</v>
      </c>
      <c r="N13" s="30">
        <f>SUM(E13-SUM(K13:M13))</f>
        <v>-671.62299999999959</v>
      </c>
      <c r="O13" s="76">
        <v>-639.57899999999995</v>
      </c>
      <c r="P13" s="76">
        <v>-653.33299999999997</v>
      </c>
      <c r="Q13" s="76">
        <v>-674.22</v>
      </c>
      <c r="S13" s="30">
        <f t="shared" ref="S13:Z13" si="7">SUM(G13:J13)</f>
        <v>-2114.1999999999998</v>
      </c>
      <c r="T13" s="30">
        <f t="shared" si="7"/>
        <v>-2248.9629999999997</v>
      </c>
      <c r="U13" s="30">
        <f t="shared" si="7"/>
        <v>-2341.0099999999998</v>
      </c>
      <c r="V13" s="30">
        <f t="shared" si="7"/>
        <v>-2424.1639999999998</v>
      </c>
      <c r="W13" s="30">
        <f t="shared" si="7"/>
        <v>-2474.1999999999998</v>
      </c>
      <c r="X13" s="30">
        <f t="shared" si="7"/>
        <v>-2539.0299999999997</v>
      </c>
      <c r="Y13" s="30">
        <f t="shared" si="7"/>
        <v>-2603.4419999999996</v>
      </c>
      <c r="Z13" s="30">
        <f t="shared" si="7"/>
        <v>-2638.7549999999992</v>
      </c>
      <c r="AA13" s="11"/>
      <c r="AB13" s="68">
        <f t="shared" si="6"/>
        <v>8.8521651175415217E-2</v>
      </c>
    </row>
    <row r="14" spans="1:28" ht="12.75" customHeight="1">
      <c r="B14" s="23" t="s">
        <v>22</v>
      </c>
      <c r="C14" s="24">
        <f t="shared" ref="C14:E14" si="8">+SUM(C11+SUM(C13:C13))</f>
        <v>2786.4</v>
      </c>
      <c r="D14" s="24">
        <f t="shared" si="8"/>
        <v>2492</v>
      </c>
      <c r="E14" s="24">
        <f t="shared" si="8"/>
        <v>2887.3</v>
      </c>
      <c r="G14" s="24">
        <f t="shared" ref="G14:P14" si="9">+SUM(G11+SUM(G13:G13))</f>
        <v>548.62199999999996</v>
      </c>
      <c r="H14" s="24">
        <f t="shared" si="9"/>
        <v>570.79500000000007</v>
      </c>
      <c r="I14" s="24">
        <f t="shared" si="9"/>
        <v>632.79799999999989</v>
      </c>
      <c r="J14" s="24">
        <f t="shared" si="9"/>
        <v>739.78500000000008</v>
      </c>
      <c r="K14" s="24">
        <f t="shared" si="9"/>
        <v>620.02399999999989</v>
      </c>
      <c r="L14" s="24">
        <f t="shared" si="9"/>
        <v>647.84699999999998</v>
      </c>
      <c r="M14" s="24">
        <f t="shared" si="9"/>
        <v>733.66700000000003</v>
      </c>
      <c r="N14" s="24">
        <f t="shared" si="9"/>
        <v>885.76200000000017</v>
      </c>
      <c r="O14" s="24">
        <f t="shared" si="9"/>
        <v>723.63800000000015</v>
      </c>
      <c r="P14" s="24">
        <f t="shared" si="9"/>
        <v>691.59700000000009</v>
      </c>
      <c r="Q14" s="24">
        <f t="shared" ref="Q14" si="10">+SUM(Q11+SUM(Q13:Q13))</f>
        <v>832.61899999999991</v>
      </c>
      <c r="S14" s="24">
        <f t="shared" ref="S14:Z14" si="11">+SUM(S11+SUM(S13:S13))</f>
        <v>2492</v>
      </c>
      <c r="T14" s="24">
        <f t="shared" si="11"/>
        <v>2563.402</v>
      </c>
      <c r="U14" s="24">
        <f t="shared" si="11"/>
        <v>2640.4540000000002</v>
      </c>
      <c r="V14" s="24">
        <f t="shared" si="11"/>
        <v>2741.3229999999994</v>
      </c>
      <c r="W14" s="24">
        <f t="shared" si="11"/>
        <v>2887.3</v>
      </c>
      <c r="X14" s="24">
        <f t="shared" si="11"/>
        <v>2990.9139999999998</v>
      </c>
      <c r="Y14" s="24">
        <f t="shared" si="11"/>
        <v>3034.6640000000002</v>
      </c>
      <c r="Z14" s="24">
        <f t="shared" si="11"/>
        <v>3133.6160000000009</v>
      </c>
      <c r="AA14" s="39"/>
      <c r="AB14" s="69">
        <f t="shared" si="6"/>
        <v>0.14310353066749215</v>
      </c>
    </row>
    <row r="15" spans="1:28" ht="12.75" customHeight="1">
      <c r="B15" s="14" t="s">
        <v>32</v>
      </c>
      <c r="C15" s="15">
        <f t="shared" ref="C15:E15" si="12">C14/C11</f>
        <v>0.60550219479334177</v>
      </c>
      <c r="D15" s="15">
        <f t="shared" si="12"/>
        <v>0.54100994312014239</v>
      </c>
      <c r="E15" s="15">
        <f t="shared" si="12"/>
        <v>0.53852466660449505</v>
      </c>
      <c r="F15" s="25"/>
      <c r="G15" s="15">
        <f t="shared" ref="G15:P15" si="13">G14/G11</f>
        <v>0.55494392114973778</v>
      </c>
      <c r="H15" s="15">
        <f t="shared" si="13"/>
        <v>0.5346179387057225</v>
      </c>
      <c r="I15" s="15">
        <f t="shared" si="13"/>
        <v>0.53241131428100263</v>
      </c>
      <c r="J15" s="15">
        <f t="shared" si="13"/>
        <v>0.54341135266481178</v>
      </c>
      <c r="K15" s="15">
        <f t="shared" si="13"/>
        <v>0.51894711380320779</v>
      </c>
      <c r="L15" s="15">
        <f t="shared" si="13"/>
        <v>0.52382257626329265</v>
      </c>
      <c r="M15" s="15">
        <f t="shared" si="13"/>
        <v>0.53451908603834841</v>
      </c>
      <c r="N15" s="15">
        <f t="shared" si="13"/>
        <v>0.5687495384891984</v>
      </c>
      <c r="O15" s="15">
        <f t="shared" si="13"/>
        <v>0.53083111492887791</v>
      </c>
      <c r="P15" s="15">
        <f t="shared" si="13"/>
        <v>0.5142252756649045</v>
      </c>
      <c r="Q15" s="15">
        <f t="shared" ref="Q15" si="14">Q14/Q11</f>
        <v>0.55256002797910053</v>
      </c>
      <c r="R15" s="26"/>
      <c r="S15" s="15">
        <f t="shared" ref="S15:Z15" si="15">S14/S11</f>
        <v>0.54100994312014239</v>
      </c>
      <c r="T15" s="15">
        <f t="shared" si="15"/>
        <v>0.53266990346742193</v>
      </c>
      <c r="U15" s="15">
        <f t="shared" si="15"/>
        <v>0.53005582294682851</v>
      </c>
      <c r="V15" s="15">
        <f t="shared" si="15"/>
        <v>0.53069981591280746</v>
      </c>
      <c r="W15" s="15">
        <f t="shared" si="15"/>
        <v>0.53852466660449505</v>
      </c>
      <c r="X15" s="15">
        <f t="shared" si="15"/>
        <v>0.5408579182718668</v>
      </c>
      <c r="Y15" s="15">
        <f t="shared" si="15"/>
        <v>0.53824174288315974</v>
      </c>
      <c r="Z15" s="15">
        <f t="shared" si="15"/>
        <v>0.54286462183390516</v>
      </c>
      <c r="AA15" s="39"/>
      <c r="AB15" s="70">
        <f>SUM(Z15-V15)*1000</f>
        <v>12.164805921097699</v>
      </c>
    </row>
    <row r="16" spans="1:28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39"/>
      <c r="AB16" s="68"/>
    </row>
    <row r="17" spans="2:28" ht="12.75" customHeight="1">
      <c r="B17" s="9" t="s">
        <v>118</v>
      </c>
      <c r="C17" s="76">
        <v>-2109.8000000000002</v>
      </c>
      <c r="D17" s="76">
        <v>-1910.9</v>
      </c>
      <c r="E17" s="76">
        <v>-1691.6999999999998</v>
      </c>
      <c r="F17" s="30"/>
      <c r="G17" s="76">
        <v>-455.11200000000002</v>
      </c>
      <c r="H17" s="76">
        <v>-477.66300000000001</v>
      </c>
      <c r="I17" s="76">
        <v>-494.6</v>
      </c>
      <c r="J17" s="30">
        <f t="shared" ref="J17:J19" si="16">SUM(D17-SUM(G17:I17))</f>
        <v>-483.52500000000009</v>
      </c>
      <c r="K17" s="76">
        <v>-449.75900000000001</v>
      </c>
      <c r="L17" s="76">
        <v>-406.19600000000003</v>
      </c>
      <c r="M17" s="76">
        <v>-412.791</v>
      </c>
      <c r="N17" s="30">
        <f t="shared" ref="N17:N19" si="17">SUM(E17-SUM(K17:M17))</f>
        <v>-422.95399999999972</v>
      </c>
      <c r="O17" s="76">
        <v>-424.16500000000002</v>
      </c>
      <c r="P17" s="76">
        <v>-443.32499999999999</v>
      </c>
      <c r="Q17" s="76">
        <v>-453.41800000000001</v>
      </c>
      <c r="S17" s="30">
        <f t="shared" ref="S17:Z19" si="18">SUM(G17:J17)</f>
        <v>-1910.9</v>
      </c>
      <c r="T17" s="30">
        <f t="shared" si="18"/>
        <v>-1905.547</v>
      </c>
      <c r="U17" s="30">
        <f t="shared" si="18"/>
        <v>-1834.08</v>
      </c>
      <c r="V17" s="30">
        <f t="shared" si="18"/>
        <v>-1752.271</v>
      </c>
      <c r="W17" s="30">
        <f t="shared" si="18"/>
        <v>-1691.6999999999998</v>
      </c>
      <c r="X17" s="30">
        <f t="shared" si="18"/>
        <v>-1666.1059999999998</v>
      </c>
      <c r="Y17" s="30">
        <f t="shared" si="18"/>
        <v>-1703.2349999999997</v>
      </c>
      <c r="Z17" s="30">
        <f t="shared" si="18"/>
        <v>-1743.8619999999996</v>
      </c>
      <c r="AA17" s="11"/>
      <c r="AB17" s="68">
        <f t="shared" si="6"/>
        <v>-4.7989152362849508E-3</v>
      </c>
    </row>
    <row r="18" spans="2:28" ht="12.75" customHeight="1">
      <c r="B18" s="9" t="s">
        <v>119</v>
      </c>
      <c r="C18" s="76">
        <v>-1118.8000000000002</v>
      </c>
      <c r="D18" s="76">
        <v>-1121.9999999999998</v>
      </c>
      <c r="E18" s="76">
        <v>-1063.6999999999998</v>
      </c>
      <c r="F18" s="30"/>
      <c r="G18" s="76">
        <v>-268.43299999999999</v>
      </c>
      <c r="H18" s="76">
        <v>-280.59699999999998</v>
      </c>
      <c r="I18" s="76">
        <v>-297.19999999999993</v>
      </c>
      <c r="J18" s="30">
        <f t="shared" si="16"/>
        <v>-275.76999999999987</v>
      </c>
      <c r="K18" s="76">
        <v>-276.03399999999999</v>
      </c>
      <c r="L18" s="76">
        <v>-266.32</v>
      </c>
      <c r="M18" s="76">
        <v>-273.10700000000003</v>
      </c>
      <c r="N18" s="30">
        <f t="shared" si="17"/>
        <v>-248.23899999999981</v>
      </c>
      <c r="O18" s="76">
        <v>-257.95699999999999</v>
      </c>
      <c r="P18" s="76">
        <v>-257.85300000000001</v>
      </c>
      <c r="Q18" s="76">
        <v>-256.21499999999997</v>
      </c>
      <c r="S18" s="30">
        <f t="shared" si="18"/>
        <v>-1121.9999999999998</v>
      </c>
      <c r="T18" s="30">
        <f t="shared" si="18"/>
        <v>-1129.6009999999997</v>
      </c>
      <c r="U18" s="30">
        <f t="shared" si="18"/>
        <v>-1115.3239999999998</v>
      </c>
      <c r="V18" s="30">
        <f t="shared" si="18"/>
        <v>-1091.2309999999998</v>
      </c>
      <c r="W18" s="30">
        <f t="shared" si="18"/>
        <v>-1063.6999999999998</v>
      </c>
      <c r="X18" s="30">
        <f t="shared" si="18"/>
        <v>-1045.6229999999998</v>
      </c>
      <c r="Y18" s="30">
        <f t="shared" si="18"/>
        <v>-1037.1559999999997</v>
      </c>
      <c r="Z18" s="30">
        <f t="shared" si="18"/>
        <v>-1020.2639999999997</v>
      </c>
      <c r="AA18" s="11"/>
      <c r="AB18" s="68">
        <f t="shared" ref="AB18:AB19" si="19">SUM(Z18/V18)-1</f>
        <v>-6.5033892915432268E-2</v>
      </c>
    </row>
    <row r="19" spans="2:28" ht="12.75" customHeight="1">
      <c r="B19" s="9" t="s">
        <v>120</v>
      </c>
      <c r="C19" s="76">
        <v>-953.3</v>
      </c>
      <c r="D19" s="76">
        <v>-857.5</v>
      </c>
      <c r="E19" s="76">
        <v>-919.09999999999991</v>
      </c>
      <c r="F19" s="30"/>
      <c r="G19" s="76">
        <v>-190.34100000000001</v>
      </c>
      <c r="H19" s="76">
        <v>-216.874</v>
      </c>
      <c r="I19" s="76">
        <v>-221.1</v>
      </c>
      <c r="J19" s="30">
        <f t="shared" si="16"/>
        <v>-229.18499999999995</v>
      </c>
      <c r="K19" s="76">
        <v>-227.46299999999999</v>
      </c>
      <c r="L19" s="76">
        <v>-229.30600000000001</v>
      </c>
      <c r="M19" s="76">
        <v>-220.97900000000001</v>
      </c>
      <c r="N19" s="30">
        <f t="shared" si="17"/>
        <v>-241.35199999999986</v>
      </c>
      <c r="O19" s="76">
        <v>-235.36199999999999</v>
      </c>
      <c r="P19" s="76">
        <v>-250.095</v>
      </c>
      <c r="Q19" s="76">
        <v>-251.34800000000001</v>
      </c>
      <c r="S19" s="30">
        <f t="shared" si="18"/>
        <v>-857.5</v>
      </c>
      <c r="T19" s="30">
        <f t="shared" si="18"/>
        <v>-894.62199999999984</v>
      </c>
      <c r="U19" s="30">
        <f t="shared" si="18"/>
        <v>-907.05399999999997</v>
      </c>
      <c r="V19" s="30">
        <f t="shared" si="18"/>
        <v>-906.93299999999999</v>
      </c>
      <c r="W19" s="30">
        <f t="shared" si="18"/>
        <v>-919.09999999999991</v>
      </c>
      <c r="X19" s="30">
        <f t="shared" si="18"/>
        <v>-926.99899999999991</v>
      </c>
      <c r="Y19" s="30">
        <f t="shared" si="18"/>
        <v>-947.7879999999999</v>
      </c>
      <c r="Z19" s="30">
        <f t="shared" si="18"/>
        <v>-978.15699999999993</v>
      </c>
      <c r="AA19" s="11"/>
      <c r="AB19" s="68">
        <f t="shared" si="19"/>
        <v>7.8532813339022844E-2</v>
      </c>
    </row>
    <row r="20" spans="2:28" ht="12.75" customHeight="1">
      <c r="B20" s="23" t="s">
        <v>82</v>
      </c>
      <c r="C20" s="24">
        <f>+SUM(C14+SUM(C17:C19))</f>
        <v>-1395.5000000000005</v>
      </c>
      <c r="D20" s="24">
        <f>+SUM(D14+SUM(D17:D19))</f>
        <v>-1398.3999999999996</v>
      </c>
      <c r="E20" s="24">
        <f>+SUM(E14+SUM(E17:E19))</f>
        <v>-787.19999999999936</v>
      </c>
      <c r="F20" s="30"/>
      <c r="G20" s="24">
        <f t="shared" ref="G20:Q20" si="20">+SUM(G14+SUM(G17:G19))</f>
        <v>-365.26400000000012</v>
      </c>
      <c r="H20" s="24">
        <f t="shared" si="20"/>
        <v>-404.33899999999994</v>
      </c>
      <c r="I20" s="24">
        <f t="shared" si="20"/>
        <v>-380.10200000000009</v>
      </c>
      <c r="J20" s="24">
        <f t="shared" si="20"/>
        <v>-248.69499999999982</v>
      </c>
      <c r="K20" s="24">
        <f t="shared" si="20"/>
        <v>-333.23200000000008</v>
      </c>
      <c r="L20" s="24">
        <f t="shared" si="20"/>
        <v>-253.97500000000014</v>
      </c>
      <c r="M20" s="24">
        <f t="shared" si="20"/>
        <v>-173.21000000000004</v>
      </c>
      <c r="N20" s="24">
        <f t="shared" si="20"/>
        <v>-26.78299999999922</v>
      </c>
      <c r="O20" s="24">
        <f t="shared" si="20"/>
        <v>-193.84599999999989</v>
      </c>
      <c r="P20" s="24">
        <f t="shared" si="20"/>
        <v>-259.67599999999993</v>
      </c>
      <c r="Q20" s="24">
        <f t="shared" si="20"/>
        <v>-128.36200000000008</v>
      </c>
      <c r="S20" s="24">
        <f t="shared" ref="S20:Z20" si="21">+SUM(S14+SUM(S17:S19))</f>
        <v>-1398.3999999999996</v>
      </c>
      <c r="T20" s="24">
        <f t="shared" si="21"/>
        <v>-1366.3679999999995</v>
      </c>
      <c r="U20" s="24">
        <f t="shared" si="21"/>
        <v>-1216.0039999999995</v>
      </c>
      <c r="V20" s="24">
        <f t="shared" si="21"/>
        <v>-1009.1120000000001</v>
      </c>
      <c r="W20" s="24">
        <f t="shared" si="21"/>
        <v>-787.19999999999936</v>
      </c>
      <c r="X20" s="24">
        <f t="shared" si="21"/>
        <v>-647.8139999999994</v>
      </c>
      <c r="Y20" s="24">
        <f t="shared" si="21"/>
        <v>-653.51499999999942</v>
      </c>
      <c r="Z20" s="24">
        <f t="shared" si="21"/>
        <v>-608.66699999999855</v>
      </c>
      <c r="AA20" s="11"/>
      <c r="AB20" s="69">
        <f t="shared" si="6"/>
        <v>-0.39682909330183513</v>
      </c>
    </row>
    <row r="21" spans="2:28" ht="12.75" customHeight="1">
      <c r="B21" s="14" t="s">
        <v>34</v>
      </c>
      <c r="C21" s="15">
        <f>C20/C11</f>
        <v>-0.30325090182102665</v>
      </c>
      <c r="D21" s="15">
        <f>D20/D11</f>
        <v>-0.30359081238330937</v>
      </c>
      <c r="E21" s="15">
        <f>E20/E11</f>
        <v>-0.14682458267275936</v>
      </c>
      <c r="F21" s="30"/>
      <c r="G21" s="15">
        <f t="shared" ref="G21:Q21" si="22">G20/G11</f>
        <v>-0.36947303683563165</v>
      </c>
      <c r="H21" s="15">
        <f t="shared" si="22"/>
        <v>-0.37871194162235666</v>
      </c>
      <c r="I21" s="15">
        <f t="shared" si="22"/>
        <v>-0.31980285238075618</v>
      </c>
      <c r="J21" s="15">
        <f t="shared" si="22"/>
        <v>-0.18267967902968466</v>
      </c>
      <c r="K21" s="15">
        <f t="shared" si="22"/>
        <v>-0.27890821101581648</v>
      </c>
      <c r="L21" s="15">
        <f t="shared" si="22"/>
        <v>-0.20535379311237043</v>
      </c>
      <c r="M21" s="15">
        <f t="shared" si="22"/>
        <v>-0.12619356042005753</v>
      </c>
      <c r="N21" s="15">
        <f t="shared" si="22"/>
        <v>-1.7197417465815597E-2</v>
      </c>
      <c r="O21" s="15">
        <f t="shared" si="22"/>
        <v>-0.14219746379336518</v>
      </c>
      <c r="P21" s="15">
        <f t="shared" si="22"/>
        <v>-0.1930777066464425</v>
      </c>
      <c r="Q21" s="15">
        <f t="shared" si="22"/>
        <v>-8.5186274047857863E-2</v>
      </c>
      <c r="S21" s="15">
        <f t="shared" ref="S21:Z21" si="23">S20/S11</f>
        <v>-0.30359081238330937</v>
      </c>
      <c r="T21" s="15">
        <f t="shared" si="23"/>
        <v>-0.28392858812662786</v>
      </c>
      <c r="U21" s="15">
        <f t="shared" si="23"/>
        <v>-0.24410574883207015</v>
      </c>
      <c r="V21" s="15">
        <f t="shared" si="23"/>
        <v>-0.19535660432404539</v>
      </c>
      <c r="W21" s="15">
        <f t="shared" si="23"/>
        <v>-0.14682458267275936</v>
      </c>
      <c r="X21" s="15">
        <f t="shared" si="23"/>
        <v>-0.11714657508285789</v>
      </c>
      <c r="Y21" s="15">
        <f t="shared" si="23"/>
        <v>-0.11591037841431137</v>
      </c>
      <c r="Z21" s="15">
        <f t="shared" si="23"/>
        <v>-0.10544488564577685</v>
      </c>
      <c r="AA21" s="11"/>
      <c r="AB21" s="70">
        <f>SUM(Z21-V21)*1000</f>
        <v>89.911718678268542</v>
      </c>
    </row>
    <row r="22" spans="2:28" ht="5.0999999999999996" customHeight="1">
      <c r="B22" s="14"/>
      <c r="C22" s="15"/>
      <c r="D22" s="15"/>
      <c r="E22" s="15"/>
      <c r="F22" s="30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S22" s="30"/>
      <c r="T22" s="30"/>
      <c r="U22" s="30"/>
      <c r="V22" s="30"/>
      <c r="W22" s="30"/>
      <c r="X22" s="30"/>
      <c r="Y22" s="30"/>
      <c r="Z22" s="30"/>
      <c r="AA22" s="11"/>
      <c r="AB22" s="68"/>
    </row>
    <row r="23" spans="2:28" ht="12.75" customHeight="1">
      <c r="B23" s="9" t="s">
        <v>121</v>
      </c>
      <c r="C23" s="76">
        <v>58.597000000000001</v>
      </c>
      <c r="D23" s="76">
        <v>168.39400000000001</v>
      </c>
      <c r="E23" s="76">
        <v>153.46600000000001</v>
      </c>
      <c r="F23" s="30"/>
      <c r="G23" s="76">
        <v>37.948</v>
      </c>
      <c r="H23" s="76">
        <v>43.143999999999998</v>
      </c>
      <c r="I23" s="76">
        <v>43.838999999999999</v>
      </c>
      <c r="J23" s="30">
        <f t="shared" ref="J23:J25" si="24">SUM(D23-SUM(G23:I23))</f>
        <v>43.463000000000008</v>
      </c>
      <c r="K23" s="76">
        <v>39.898000000000003</v>
      </c>
      <c r="L23" s="76">
        <v>36.462000000000003</v>
      </c>
      <c r="M23" s="76">
        <v>38.533000000000001</v>
      </c>
      <c r="N23" s="30">
        <f t="shared" ref="N23:N25" si="25">SUM(E23-SUM(K23:M23))</f>
        <v>38.572999999999993</v>
      </c>
      <c r="O23" s="76">
        <v>37.018000000000001</v>
      </c>
      <c r="P23" s="76">
        <v>33.198999999999998</v>
      </c>
      <c r="Q23" s="76">
        <v>32.255000000000003</v>
      </c>
      <c r="R23" s="76"/>
      <c r="S23" s="30">
        <f t="shared" ref="S23:Z25" si="26">SUM(G23:J23)</f>
        <v>168.39400000000001</v>
      </c>
      <c r="T23" s="30">
        <f t="shared" si="26"/>
        <v>170.34400000000002</v>
      </c>
      <c r="U23" s="30">
        <f t="shared" si="26"/>
        <v>163.66200000000003</v>
      </c>
      <c r="V23" s="30">
        <f t="shared" si="26"/>
        <v>158.35600000000002</v>
      </c>
      <c r="W23" s="30">
        <f t="shared" si="26"/>
        <v>153.46600000000001</v>
      </c>
      <c r="X23" s="30">
        <f t="shared" si="26"/>
        <v>150.58600000000001</v>
      </c>
      <c r="Y23" s="30">
        <f t="shared" si="26"/>
        <v>147.32299999999998</v>
      </c>
      <c r="Z23" s="30">
        <f t="shared" si="26"/>
        <v>141.04499999999999</v>
      </c>
      <c r="AA23" s="11"/>
      <c r="AB23" s="68">
        <f t="shared" si="6"/>
        <v>-0.10931698198994688</v>
      </c>
    </row>
    <row r="24" spans="2:28" ht="12.75" customHeight="1">
      <c r="B24" s="9" t="s">
        <v>122</v>
      </c>
      <c r="C24" s="76">
        <v>-21.459</v>
      </c>
      <c r="D24" s="76">
        <v>-22.024000000000001</v>
      </c>
      <c r="E24" s="76">
        <v>-21.552</v>
      </c>
      <c r="F24" s="30"/>
      <c r="G24" s="76">
        <v>-5.8849999999999998</v>
      </c>
      <c r="H24" s="76">
        <v>-5.343</v>
      </c>
      <c r="I24" s="76">
        <v>-5.5209999999999999</v>
      </c>
      <c r="J24" s="30">
        <f t="shared" si="24"/>
        <v>-5.2750000000000021</v>
      </c>
      <c r="K24" s="76">
        <v>-4.7430000000000003</v>
      </c>
      <c r="L24" s="76">
        <v>-5.1130000000000004</v>
      </c>
      <c r="M24" s="76">
        <v>-5.883</v>
      </c>
      <c r="N24" s="30">
        <f t="shared" si="25"/>
        <v>-5.8129999999999988</v>
      </c>
      <c r="O24" s="76">
        <v>-23.399000000000001</v>
      </c>
      <c r="P24" s="76">
        <v>-27.606999999999999</v>
      </c>
      <c r="Q24" s="76">
        <v>-34.494</v>
      </c>
      <c r="S24" s="30">
        <f t="shared" si="26"/>
        <v>-22.024000000000001</v>
      </c>
      <c r="T24" s="30">
        <f t="shared" si="26"/>
        <v>-20.882000000000005</v>
      </c>
      <c r="U24" s="30">
        <f t="shared" si="26"/>
        <v>-20.652000000000005</v>
      </c>
      <c r="V24" s="30">
        <f t="shared" si="26"/>
        <v>-21.014000000000003</v>
      </c>
      <c r="W24" s="30">
        <f t="shared" si="26"/>
        <v>-21.552</v>
      </c>
      <c r="X24" s="30">
        <f t="shared" si="26"/>
        <v>-40.207999999999998</v>
      </c>
      <c r="Y24" s="30">
        <f t="shared" si="26"/>
        <v>-62.701999999999998</v>
      </c>
      <c r="Z24" s="30">
        <f t="shared" si="26"/>
        <v>-91.313000000000002</v>
      </c>
      <c r="AA24" s="11"/>
      <c r="AB24" s="68">
        <f t="shared" ref="AB24" si="27">SUM(Z24/V24)-1</f>
        <v>3.3453412011040253</v>
      </c>
    </row>
    <row r="25" spans="2:28" ht="12.75" customHeight="1">
      <c r="B25" s="9" t="s">
        <v>123</v>
      </c>
      <c r="C25" s="76">
        <v>-42.529000000000003</v>
      </c>
      <c r="D25" s="76">
        <v>-42.414000000000001</v>
      </c>
      <c r="E25" s="76">
        <v>-16.846</v>
      </c>
      <c r="F25" s="76"/>
      <c r="G25" s="76">
        <v>11.372</v>
      </c>
      <c r="H25" s="76">
        <v>1.323</v>
      </c>
      <c r="I25" s="76">
        <v>-20.661999999999999</v>
      </c>
      <c r="J25" s="30">
        <f t="shared" si="24"/>
        <v>-34.447000000000003</v>
      </c>
      <c r="K25" s="76">
        <v>-8.1000000000000003E-2</v>
      </c>
      <c r="L25" s="76">
        <v>-20.792000000000002</v>
      </c>
      <c r="M25" s="76">
        <v>-4.3550000000000004</v>
      </c>
      <c r="N25" s="30">
        <f t="shared" si="25"/>
        <v>8.3820000000000014</v>
      </c>
      <c r="O25" s="76">
        <v>49.069000000000003</v>
      </c>
      <c r="P25" s="76">
        <v>-0.82299999999999995</v>
      </c>
      <c r="Q25" s="76">
        <v>27.57</v>
      </c>
      <c r="S25" s="30">
        <f t="shared" si="26"/>
        <v>-42.414000000000001</v>
      </c>
      <c r="T25" s="30">
        <f t="shared" si="26"/>
        <v>-53.867000000000004</v>
      </c>
      <c r="U25" s="30">
        <f t="shared" si="26"/>
        <v>-75.981999999999999</v>
      </c>
      <c r="V25" s="30">
        <f t="shared" si="26"/>
        <v>-59.675000000000011</v>
      </c>
      <c r="W25" s="30">
        <f t="shared" si="26"/>
        <v>-16.846</v>
      </c>
      <c r="X25" s="30">
        <f t="shared" si="26"/>
        <v>32.304000000000002</v>
      </c>
      <c r="Y25" s="30">
        <f t="shared" si="26"/>
        <v>52.273000000000003</v>
      </c>
      <c r="Z25" s="30">
        <f t="shared" si="26"/>
        <v>84.198000000000008</v>
      </c>
      <c r="AA25" s="11"/>
      <c r="AB25" s="68">
        <f t="shared" si="6"/>
        <v>-2.4109426057813153</v>
      </c>
    </row>
    <row r="26" spans="2:28" ht="12.75" customHeight="1">
      <c r="B26" s="23" t="s">
        <v>111</v>
      </c>
      <c r="C26" s="24">
        <f>SUM(C23:C25)+C20</f>
        <v>-1400.8910000000005</v>
      </c>
      <c r="D26" s="24">
        <f>SUM(D23:D25)+D20</f>
        <v>-1294.4439999999997</v>
      </c>
      <c r="E26" s="24">
        <f>SUM(E23:E25)+E20</f>
        <v>-672.13199999999938</v>
      </c>
      <c r="F26" s="30"/>
      <c r="G26" s="24">
        <f t="shared" ref="G26:Q26" si="28">SUM(G23:G25)+G20</f>
        <v>-321.82900000000012</v>
      </c>
      <c r="H26" s="24">
        <f t="shared" si="28"/>
        <v>-365.21499999999992</v>
      </c>
      <c r="I26" s="24">
        <f t="shared" si="28"/>
        <v>-362.44600000000008</v>
      </c>
      <c r="J26" s="24">
        <f t="shared" si="28"/>
        <v>-244.95399999999984</v>
      </c>
      <c r="K26" s="24">
        <f t="shared" si="28"/>
        <v>-298.15800000000007</v>
      </c>
      <c r="L26" s="24">
        <f t="shared" si="28"/>
        <v>-243.41800000000012</v>
      </c>
      <c r="M26" s="24">
        <f t="shared" si="28"/>
        <v>-144.91500000000005</v>
      </c>
      <c r="N26" s="24">
        <f t="shared" si="28"/>
        <v>14.359000000000776</v>
      </c>
      <c r="O26" s="24">
        <f t="shared" si="28"/>
        <v>-131.1579999999999</v>
      </c>
      <c r="P26" s="24">
        <f t="shared" si="28"/>
        <v>-254.90699999999993</v>
      </c>
      <c r="Q26" s="24">
        <f t="shared" si="28"/>
        <v>-103.03100000000008</v>
      </c>
      <c r="S26" s="24">
        <f t="shared" ref="S26:Z26" si="29">SUM(S23:S25)+S20</f>
        <v>-1294.4439999999997</v>
      </c>
      <c r="T26" s="24">
        <f t="shared" si="29"/>
        <v>-1270.7729999999995</v>
      </c>
      <c r="U26" s="24">
        <f t="shared" si="29"/>
        <v>-1148.9759999999994</v>
      </c>
      <c r="V26" s="24">
        <f t="shared" si="29"/>
        <v>-931.44500000000005</v>
      </c>
      <c r="W26" s="24">
        <f t="shared" si="29"/>
        <v>-672.13199999999938</v>
      </c>
      <c r="X26" s="24">
        <f t="shared" si="29"/>
        <v>-505.13199999999938</v>
      </c>
      <c r="Y26" s="24">
        <f t="shared" si="29"/>
        <v>-516.62099999999941</v>
      </c>
      <c r="Z26" s="24">
        <f t="shared" si="29"/>
        <v>-474.73699999999855</v>
      </c>
      <c r="AA26" s="11"/>
      <c r="AB26" s="68">
        <f t="shared" si="6"/>
        <v>-0.49032202652867474</v>
      </c>
    </row>
    <row r="27" spans="2:28" ht="12.75" customHeight="1">
      <c r="B27" s="14" t="s">
        <v>83</v>
      </c>
      <c r="C27" s="15">
        <f>C26/C11</f>
        <v>-0.30442239993046211</v>
      </c>
      <c r="D27" s="15">
        <f>D26/D11</f>
        <v>-0.28102210064695404</v>
      </c>
      <c r="E27" s="15">
        <f>E26/E11</f>
        <v>-0.12536267835493786</v>
      </c>
      <c r="F27" s="25"/>
      <c r="G27" s="15">
        <f t="shared" ref="G27:Q27" si="30">G26/G11</f>
        <v>-0.32553752346734005</v>
      </c>
      <c r="H27" s="15">
        <f t="shared" si="30"/>
        <v>-0.34206762582785477</v>
      </c>
      <c r="I27" s="15">
        <f t="shared" si="30"/>
        <v>-0.30494778936705291</v>
      </c>
      <c r="J27" s="15">
        <f t="shared" si="30"/>
        <v>-0.1799317159453844</v>
      </c>
      <c r="K27" s="15">
        <f t="shared" si="30"/>
        <v>-0.24955200695027432</v>
      </c>
      <c r="L27" s="15">
        <f t="shared" si="30"/>
        <v>-0.19681783487282992</v>
      </c>
      <c r="M27" s="15">
        <f t="shared" si="30"/>
        <v>-0.10557900703350059</v>
      </c>
      <c r="N27" s="15">
        <f t="shared" si="30"/>
        <v>9.2199424034524399E-3</v>
      </c>
      <c r="O27" s="15">
        <f t="shared" si="30"/>
        <v>-9.6212121767847589E-2</v>
      </c>
      <c r="P27" s="15">
        <f t="shared" si="30"/>
        <v>-0.18953179719390595</v>
      </c>
      <c r="Q27" s="15">
        <f t="shared" si="30"/>
        <v>-6.8375586243785882E-2</v>
      </c>
      <c r="S27" s="15">
        <f t="shared" ref="S27:Z27" si="31">S26/S11</f>
        <v>-0.28102210064695404</v>
      </c>
      <c r="T27" s="15">
        <f t="shared" si="31"/>
        <v>-0.26406413478611857</v>
      </c>
      <c r="U27" s="15">
        <f t="shared" si="31"/>
        <v>-0.2306502666685937</v>
      </c>
      <c r="V27" s="15">
        <f t="shared" si="31"/>
        <v>-0.18032084874088353</v>
      </c>
      <c r="W27" s="15">
        <f t="shared" si="31"/>
        <v>-0.12536267835493786</v>
      </c>
      <c r="X27" s="15">
        <f t="shared" si="31"/>
        <v>-9.1344867145128308E-2</v>
      </c>
      <c r="Y27" s="15">
        <f t="shared" si="31"/>
        <v>-9.1630238949037046E-2</v>
      </c>
      <c r="Z27" s="15">
        <f t="shared" si="31"/>
        <v>-8.2242981263678058E-2</v>
      </c>
      <c r="AA27" s="40"/>
      <c r="AB27" s="70">
        <f>SUM(Z27-V27)*1000</f>
        <v>98.077867477205473</v>
      </c>
    </row>
    <row r="28" spans="2:28" ht="5.0999999999999996" customHeight="1">
      <c r="B28" s="9"/>
      <c r="C28" s="76"/>
      <c r="D28" s="76"/>
      <c r="E28" s="76"/>
      <c r="F28" s="30"/>
      <c r="G28" s="76"/>
      <c r="H28" s="76"/>
      <c r="I28" s="76"/>
      <c r="J28" s="30"/>
      <c r="K28" s="76"/>
      <c r="L28" s="76"/>
      <c r="M28" s="76"/>
      <c r="N28" s="30"/>
      <c r="O28" s="76"/>
      <c r="P28" s="76"/>
      <c r="Q28" s="76"/>
      <c r="S28" s="30"/>
      <c r="T28" s="30"/>
      <c r="U28" s="30"/>
      <c r="V28" s="30"/>
      <c r="W28" s="30"/>
      <c r="X28" s="30"/>
      <c r="Y28" s="30"/>
      <c r="Z28" s="30"/>
      <c r="AA28" s="11"/>
      <c r="AB28" s="68"/>
    </row>
    <row r="29" spans="2:28" ht="12.75" customHeight="1">
      <c r="B29" s="9" t="s">
        <v>88</v>
      </c>
      <c r="C29" s="76">
        <v>-28.9</v>
      </c>
      <c r="D29" s="76">
        <v>-28</v>
      </c>
      <c r="E29" s="76">
        <v>-25.6</v>
      </c>
      <c r="F29" s="30"/>
      <c r="G29" s="76">
        <v>-6.8449999999999998</v>
      </c>
      <c r="H29" s="76">
        <v>-12.093</v>
      </c>
      <c r="I29" s="76">
        <v>-5.8</v>
      </c>
      <c r="J29" s="30">
        <f t="shared" ref="J29" si="32">SUM(D29-SUM(G29:I29))</f>
        <v>-3.2620000000000005</v>
      </c>
      <c r="K29" s="76">
        <v>-6.9320000000000004</v>
      </c>
      <c r="L29" s="76">
        <v>-5.202</v>
      </c>
      <c r="M29" s="76">
        <v>-8.3320000000000007</v>
      </c>
      <c r="N29" s="30">
        <f t="shared" ref="N29" si="33">SUM(E29-SUM(K29:M29))</f>
        <v>-5.1340000000000003</v>
      </c>
      <c r="O29" s="76">
        <v>-8.4290000000000003</v>
      </c>
      <c r="P29" s="76">
        <v>-7.6630000000000003</v>
      </c>
      <c r="Q29" s="76">
        <v>-0.51</v>
      </c>
      <c r="S29" s="30">
        <f t="shared" ref="S29:Z29" si="34">SUM(G29:J29)</f>
        <v>-28</v>
      </c>
      <c r="T29" s="30">
        <f t="shared" si="34"/>
        <v>-28.087000000000003</v>
      </c>
      <c r="U29" s="30">
        <f t="shared" si="34"/>
        <v>-21.196000000000002</v>
      </c>
      <c r="V29" s="30">
        <f t="shared" si="34"/>
        <v>-23.728000000000002</v>
      </c>
      <c r="W29" s="30">
        <f t="shared" si="34"/>
        <v>-25.6</v>
      </c>
      <c r="X29" s="30">
        <f t="shared" si="34"/>
        <v>-27.097000000000001</v>
      </c>
      <c r="Y29" s="30">
        <f t="shared" si="34"/>
        <v>-29.558000000000003</v>
      </c>
      <c r="Z29" s="30">
        <f t="shared" si="34"/>
        <v>-21.736000000000001</v>
      </c>
      <c r="AA29" s="11"/>
      <c r="AB29" s="68">
        <f t="shared" si="6"/>
        <v>-8.3951449763991937E-2</v>
      </c>
    </row>
    <row r="30" spans="2:28" ht="12.75" customHeight="1">
      <c r="B30" s="12" t="s">
        <v>51</v>
      </c>
      <c r="C30" s="13">
        <f>SUM(C26+SUM(C29:C29))</f>
        <v>-1429.7910000000006</v>
      </c>
      <c r="D30" s="13">
        <f>SUM(D26+SUM(D29:D29))</f>
        <v>-1322.4439999999997</v>
      </c>
      <c r="E30" s="13">
        <f>SUM(E26+SUM(E29:E29))</f>
        <v>-697.7319999999994</v>
      </c>
      <c r="G30" s="13">
        <f t="shared" ref="G30:Q30" si="35">SUM(G26+SUM(G29:G29))</f>
        <v>-328.67400000000015</v>
      </c>
      <c r="H30" s="13">
        <f t="shared" si="35"/>
        <v>-377.30799999999994</v>
      </c>
      <c r="I30" s="13">
        <f t="shared" si="35"/>
        <v>-368.24600000000009</v>
      </c>
      <c r="J30" s="13">
        <f t="shared" si="35"/>
        <v>-248.21599999999984</v>
      </c>
      <c r="K30" s="13">
        <f t="shared" si="35"/>
        <v>-305.09000000000009</v>
      </c>
      <c r="L30" s="13">
        <f t="shared" si="35"/>
        <v>-248.62000000000012</v>
      </c>
      <c r="M30" s="13">
        <f t="shared" si="35"/>
        <v>-153.24700000000004</v>
      </c>
      <c r="N30" s="13">
        <f t="shared" si="35"/>
        <v>9.2250000000007759</v>
      </c>
      <c r="O30" s="13">
        <f t="shared" si="35"/>
        <v>-139.5869999999999</v>
      </c>
      <c r="P30" s="13">
        <f t="shared" si="35"/>
        <v>-262.56999999999994</v>
      </c>
      <c r="Q30" s="13">
        <f t="shared" si="35"/>
        <v>-103.54100000000008</v>
      </c>
      <c r="S30" s="13">
        <f t="shared" ref="S30:Z30" si="36">SUM(S26+SUM(S29:S29))</f>
        <v>-1322.4439999999997</v>
      </c>
      <c r="T30" s="13">
        <f t="shared" si="36"/>
        <v>-1298.8599999999994</v>
      </c>
      <c r="U30" s="13">
        <f t="shared" si="36"/>
        <v>-1170.1719999999993</v>
      </c>
      <c r="V30" s="13">
        <f t="shared" si="36"/>
        <v>-955.173</v>
      </c>
      <c r="W30" s="13">
        <f t="shared" si="36"/>
        <v>-697.7319999999994</v>
      </c>
      <c r="X30" s="13">
        <f t="shared" si="36"/>
        <v>-532.22899999999936</v>
      </c>
      <c r="Y30" s="13">
        <f t="shared" si="36"/>
        <v>-546.17899999999941</v>
      </c>
      <c r="Z30" s="13">
        <f t="shared" si="36"/>
        <v>-496.47299999999854</v>
      </c>
      <c r="AA30" s="39"/>
      <c r="AB30" s="69">
        <f t="shared" si="6"/>
        <v>-0.48022714209886741</v>
      </c>
    </row>
    <row r="31" spans="2:28" ht="12.75" customHeight="1">
      <c r="B31" s="14" t="s">
        <v>65</v>
      </c>
      <c r="C31" s="15">
        <f>C30/C11</f>
        <v>-0.31070255117562706</v>
      </c>
      <c r="D31" s="15">
        <f>D30/D11</f>
        <v>-0.28710086405279833</v>
      </c>
      <c r="E31" s="15">
        <f>E30/E11</f>
        <v>-0.13013746153128777</v>
      </c>
      <c r="F31" s="25"/>
      <c r="G31" s="15">
        <f t="shared" ref="G31:Q31" si="37">G30/G11</f>
        <v>-0.33246140027189763</v>
      </c>
      <c r="H31" s="15">
        <f t="shared" si="37"/>
        <v>-0.35339416991595701</v>
      </c>
      <c r="I31" s="15">
        <f t="shared" si="37"/>
        <v>-0.30982768093249691</v>
      </c>
      <c r="J31" s="15">
        <f t="shared" si="37"/>
        <v>-0.18232782810282558</v>
      </c>
      <c r="K31" s="15">
        <f t="shared" si="37"/>
        <v>-0.25535394589599875</v>
      </c>
      <c r="L31" s="15">
        <f t="shared" si="37"/>
        <v>-0.20102395922274841</v>
      </c>
      <c r="M31" s="15">
        <f t="shared" si="37"/>
        <v>-0.11164935369604848</v>
      </c>
      <c r="N31" s="15">
        <f t="shared" si="37"/>
        <v>5.9233908121631949E-3</v>
      </c>
      <c r="O31" s="15">
        <f t="shared" si="37"/>
        <v>-0.10239528996484044</v>
      </c>
      <c r="P31" s="15">
        <f t="shared" si="37"/>
        <v>-0.19522949149769872</v>
      </c>
      <c r="Q31" s="15">
        <f t="shared" si="37"/>
        <v>-6.8714043106131495E-2</v>
      </c>
      <c r="S31" s="15">
        <f t="shared" ref="S31:Z31" si="38">S30/S11</f>
        <v>-0.28710086405279833</v>
      </c>
      <c r="T31" s="15">
        <f t="shared" si="38"/>
        <v>-0.2699005582494261</v>
      </c>
      <c r="U31" s="15">
        <f t="shared" si="38"/>
        <v>-0.23490524070835389</v>
      </c>
      <c r="V31" s="15">
        <f t="shared" si="38"/>
        <v>-0.18491441368451805</v>
      </c>
      <c r="W31" s="15">
        <f t="shared" si="38"/>
        <v>-0.13013746153128777</v>
      </c>
      <c r="X31" s="15">
        <f t="shared" si="38"/>
        <v>-9.6244916765883953E-2</v>
      </c>
      <c r="Y31" s="15">
        <f t="shared" si="38"/>
        <v>-9.6872779617836108E-2</v>
      </c>
      <c r="Z31" s="15">
        <f t="shared" si="38"/>
        <v>-8.6008504997339655E-2</v>
      </c>
      <c r="AA31" s="40"/>
      <c r="AB31" s="70">
        <f>SUM(Z31-V31)*1000</f>
        <v>98.905908687178396</v>
      </c>
    </row>
    <row r="32" spans="2:28" ht="5.0999999999999996" customHeight="1">
      <c r="B32" s="14"/>
      <c r="C32" s="15"/>
      <c r="D32" s="15"/>
      <c r="E32" s="15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6"/>
      <c r="S32" s="15"/>
      <c r="T32" s="15"/>
      <c r="U32" s="15"/>
      <c r="V32" s="15"/>
      <c r="W32" s="15"/>
      <c r="X32" s="15"/>
      <c r="Y32" s="15"/>
      <c r="Z32" s="15"/>
      <c r="AA32" s="40"/>
      <c r="AB32" s="70"/>
    </row>
    <row r="33" spans="1:28" ht="12.75" customHeight="1">
      <c r="B33" s="41" t="s">
        <v>66</v>
      </c>
      <c r="C33" s="76">
        <v>1608.3040000000001</v>
      </c>
      <c r="D33" s="76">
        <v>1612.5039999999999</v>
      </c>
      <c r="E33" s="76">
        <v>1659.1469999999999</v>
      </c>
      <c r="F33" s="25"/>
      <c r="G33" s="76">
        <v>1581.37</v>
      </c>
      <c r="H33" s="76">
        <v>1603.172</v>
      </c>
      <c r="I33" s="76">
        <v>1625.9169999999999</v>
      </c>
      <c r="J33" s="30">
        <f>D33</f>
        <v>1612.5039999999999</v>
      </c>
      <c r="K33" s="76">
        <v>1647.3869999999999</v>
      </c>
      <c r="L33" s="76">
        <v>1644.7360000000001</v>
      </c>
      <c r="M33" s="76">
        <v>1663.011</v>
      </c>
      <c r="N33" s="30">
        <f>E33</f>
        <v>1659.1469999999999</v>
      </c>
      <c r="O33" s="76">
        <v>1696.3530000000001</v>
      </c>
      <c r="P33" s="76">
        <v>1674.854</v>
      </c>
      <c r="Q33" s="76">
        <v>1696.5419999999999</v>
      </c>
      <c r="R33" s="30"/>
      <c r="S33" s="30">
        <f t="shared" ref="S33:Z33" si="39">J33</f>
        <v>1612.5039999999999</v>
      </c>
      <c r="T33" s="30">
        <f t="shared" si="39"/>
        <v>1647.3869999999999</v>
      </c>
      <c r="U33" s="30">
        <f t="shared" si="39"/>
        <v>1644.7360000000001</v>
      </c>
      <c r="V33" s="30">
        <f t="shared" si="39"/>
        <v>1663.011</v>
      </c>
      <c r="W33" s="30">
        <f t="shared" si="39"/>
        <v>1659.1469999999999</v>
      </c>
      <c r="X33" s="30">
        <f t="shared" si="39"/>
        <v>1696.3530000000001</v>
      </c>
      <c r="Y33" s="30">
        <f t="shared" si="39"/>
        <v>1674.854</v>
      </c>
      <c r="Z33" s="30">
        <f t="shared" si="39"/>
        <v>1696.5419999999999</v>
      </c>
      <c r="AA33" s="40"/>
      <c r="AB33" s="68">
        <f t="shared" ref="AB33" si="40">SUM(Z33/V33)-1</f>
        <v>2.0162825140663587E-2</v>
      </c>
    </row>
    <row r="34" spans="1:28" ht="12.75" customHeight="1">
      <c r="B34" s="12" t="s">
        <v>67</v>
      </c>
      <c r="C34" s="71">
        <f t="shared" ref="C34:E34" si="41">C30/C33</f>
        <v>-0.88900543678309607</v>
      </c>
      <c r="D34" s="71">
        <f t="shared" si="41"/>
        <v>-0.82011827567559514</v>
      </c>
      <c r="E34" s="71">
        <f t="shared" si="41"/>
        <v>-0.4205365769277824</v>
      </c>
      <c r="F34" s="11"/>
      <c r="G34" s="71">
        <f t="shared" ref="G34:P34" si="42">G30/G33</f>
        <v>-0.20784130216204946</v>
      </c>
      <c r="H34" s="71">
        <f t="shared" si="42"/>
        <v>-0.23535091680742923</v>
      </c>
      <c r="I34" s="71">
        <f t="shared" si="42"/>
        <v>-0.2264851157838931</v>
      </c>
      <c r="J34" s="71">
        <f t="shared" si="42"/>
        <v>-0.15393202125390068</v>
      </c>
      <c r="K34" s="71">
        <f t="shared" si="42"/>
        <v>-0.18519631392016575</v>
      </c>
      <c r="L34" s="71">
        <f t="shared" si="42"/>
        <v>-0.15116103739445122</v>
      </c>
      <c r="M34" s="71">
        <f t="shared" si="42"/>
        <v>-9.2150322517409719E-2</v>
      </c>
      <c r="N34" s="71">
        <f t="shared" si="42"/>
        <v>5.5600859959972059E-3</v>
      </c>
      <c r="O34" s="71">
        <f t="shared" si="42"/>
        <v>-8.22865288062095E-2</v>
      </c>
      <c r="P34" s="71">
        <f t="shared" si="42"/>
        <v>-0.15677187384691438</v>
      </c>
      <c r="Q34" s="71">
        <f t="shared" ref="Q34" si="43">Q30/Q33</f>
        <v>-6.1030614037259373E-2</v>
      </c>
      <c r="R34" s="30"/>
      <c r="S34" s="71">
        <f t="shared" ref="S34:Z34" si="44">S30/S33</f>
        <v>-0.82011827567559514</v>
      </c>
      <c r="T34" s="71">
        <f t="shared" si="44"/>
        <v>-0.78843647546083551</v>
      </c>
      <c r="U34" s="71">
        <f t="shared" si="44"/>
        <v>-0.71146494027004903</v>
      </c>
      <c r="V34" s="71">
        <f t="shared" si="44"/>
        <v>-0.57436360914028828</v>
      </c>
      <c r="W34" s="71">
        <f t="shared" si="44"/>
        <v>-0.4205365769277824</v>
      </c>
      <c r="X34" s="71">
        <f t="shared" si="44"/>
        <v>-0.31374896616447129</v>
      </c>
      <c r="Y34" s="71">
        <f t="shared" si="44"/>
        <v>-0.32610543963832034</v>
      </c>
      <c r="Z34" s="71">
        <f t="shared" si="44"/>
        <v>-0.29263820170676502</v>
      </c>
      <c r="AA34" s="33"/>
      <c r="AB34" s="69">
        <f>SUM(Z34/V34)-1</f>
        <v>-0.49050009950179807</v>
      </c>
    </row>
    <row r="35" spans="1:28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6"/>
      <c r="S35" s="15"/>
      <c r="T35" s="15"/>
      <c r="U35" s="15"/>
      <c r="V35" s="15"/>
      <c r="W35" s="15"/>
      <c r="X35" s="15"/>
      <c r="Y35" s="15"/>
      <c r="Z35" s="15"/>
      <c r="AA35" s="40"/>
      <c r="AB35" s="70"/>
    </row>
    <row r="36" spans="1:28" ht="12.75" customHeight="1">
      <c r="B36" s="41" t="s">
        <v>68</v>
      </c>
      <c r="C36" s="76">
        <v>1608.3040000000001</v>
      </c>
      <c r="D36" s="76">
        <v>1612.5039999999999</v>
      </c>
      <c r="E36" s="76">
        <v>1659.1469999999999</v>
      </c>
      <c r="F36" s="25"/>
      <c r="G36" s="76">
        <v>1581.37</v>
      </c>
      <c r="H36" s="76">
        <v>1603.172</v>
      </c>
      <c r="I36" s="76">
        <v>1625.9169999999999</v>
      </c>
      <c r="J36" s="30">
        <f>D36</f>
        <v>1612.5039999999999</v>
      </c>
      <c r="K36" s="76">
        <v>1647.3869999999999</v>
      </c>
      <c r="L36" s="76">
        <v>1644.7360000000001</v>
      </c>
      <c r="M36" s="76">
        <v>1663.011</v>
      </c>
      <c r="N36" s="30">
        <f>E36</f>
        <v>1659.1469999999999</v>
      </c>
      <c r="O36" s="76">
        <v>1696.3530000000001</v>
      </c>
      <c r="P36" s="76">
        <v>1674.854</v>
      </c>
      <c r="Q36" s="76">
        <v>1696.5419999999999</v>
      </c>
      <c r="R36" s="30"/>
      <c r="S36" s="30">
        <f t="shared" ref="S36" si="45">J36</f>
        <v>1612.5039999999999</v>
      </c>
      <c r="T36" s="30">
        <f t="shared" ref="T36" si="46">K36</f>
        <v>1647.3869999999999</v>
      </c>
      <c r="U36" s="30">
        <f t="shared" ref="U36" si="47">L36</f>
        <v>1644.7360000000001</v>
      </c>
      <c r="V36" s="30">
        <f t="shared" ref="V36" si="48">M36</f>
        <v>1663.011</v>
      </c>
      <c r="W36" s="30">
        <f t="shared" ref="W36" si="49">N36</f>
        <v>1659.1469999999999</v>
      </c>
      <c r="X36" s="30">
        <f t="shared" ref="X36" si="50">O36</f>
        <v>1696.3530000000001</v>
      </c>
      <c r="Y36" s="30">
        <f t="shared" ref="Y36" si="51">P36</f>
        <v>1674.854</v>
      </c>
      <c r="Z36" s="30">
        <f>Q36</f>
        <v>1696.5419999999999</v>
      </c>
      <c r="AA36" s="40"/>
      <c r="AB36" s="68">
        <f t="shared" ref="AB36" si="52">SUM(Z36/V36)-1</f>
        <v>2.0162825140663587E-2</v>
      </c>
    </row>
    <row r="37" spans="1:28" ht="12.75" customHeight="1">
      <c r="B37" s="12" t="s">
        <v>69</v>
      </c>
      <c r="C37" s="71">
        <f t="shared" ref="C37:E37" si="53">C30/C36</f>
        <v>-0.88900543678309607</v>
      </c>
      <c r="D37" s="71">
        <f t="shared" si="53"/>
        <v>-0.82011827567559514</v>
      </c>
      <c r="E37" s="71">
        <f t="shared" si="53"/>
        <v>-0.4205365769277824</v>
      </c>
      <c r="F37" s="25"/>
      <c r="G37" s="71">
        <f t="shared" ref="G37:P37" si="54">G30/G36</f>
        <v>-0.20784130216204946</v>
      </c>
      <c r="H37" s="71">
        <f t="shared" si="54"/>
        <v>-0.23535091680742923</v>
      </c>
      <c r="I37" s="71">
        <f t="shared" si="54"/>
        <v>-0.2264851157838931</v>
      </c>
      <c r="J37" s="71">
        <f t="shared" si="54"/>
        <v>-0.15393202125390068</v>
      </c>
      <c r="K37" s="71">
        <f t="shared" si="54"/>
        <v>-0.18519631392016575</v>
      </c>
      <c r="L37" s="71">
        <f t="shared" si="54"/>
        <v>-0.15116103739445122</v>
      </c>
      <c r="M37" s="71">
        <f t="shared" si="54"/>
        <v>-9.2150322517409719E-2</v>
      </c>
      <c r="N37" s="71">
        <f t="shared" si="54"/>
        <v>5.5600859959972059E-3</v>
      </c>
      <c r="O37" s="71">
        <f t="shared" si="54"/>
        <v>-8.22865288062095E-2</v>
      </c>
      <c r="P37" s="71">
        <f t="shared" si="54"/>
        <v>-0.15677187384691438</v>
      </c>
      <c r="Q37" s="71">
        <f t="shared" ref="Q37" si="55">Q30/Q36</f>
        <v>-6.1030614037259373E-2</v>
      </c>
      <c r="R37" s="30"/>
      <c r="S37" s="71">
        <f t="shared" ref="S37:Z37" si="56">S30/S36</f>
        <v>-0.82011827567559514</v>
      </c>
      <c r="T37" s="71">
        <f t="shared" si="56"/>
        <v>-0.78843647546083551</v>
      </c>
      <c r="U37" s="71">
        <f t="shared" si="56"/>
        <v>-0.71146494027004903</v>
      </c>
      <c r="V37" s="71">
        <f t="shared" si="56"/>
        <v>-0.57436360914028828</v>
      </c>
      <c r="W37" s="71">
        <f t="shared" si="56"/>
        <v>-0.4205365769277824</v>
      </c>
      <c r="X37" s="71">
        <f t="shared" si="56"/>
        <v>-0.31374896616447129</v>
      </c>
      <c r="Y37" s="71">
        <f t="shared" si="56"/>
        <v>-0.32610543963832034</v>
      </c>
      <c r="Z37" s="71">
        <f t="shared" si="56"/>
        <v>-0.29263820170676502</v>
      </c>
      <c r="AA37" s="33"/>
      <c r="AB37" s="69">
        <f>SUM(Z37/V37)-1</f>
        <v>-0.49050009950179807</v>
      </c>
    </row>
    <row r="38" spans="1:28">
      <c r="B38" s="14"/>
      <c r="C38" s="15"/>
      <c r="D38" s="15"/>
      <c r="E38" s="76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76"/>
      <c r="R38" s="26"/>
      <c r="S38" s="15"/>
      <c r="T38" s="15"/>
      <c r="U38" s="15"/>
      <c r="V38" s="15"/>
      <c r="W38" s="15"/>
      <c r="X38" s="15"/>
      <c r="Y38" s="15"/>
      <c r="Z38" s="15"/>
      <c r="AA38" s="40"/>
    </row>
    <row r="39" spans="1:28" ht="12.75" customHeight="1">
      <c r="A39" s="5" t="s">
        <v>18</v>
      </c>
      <c r="B39" s="91" t="s">
        <v>78</v>
      </c>
      <c r="C39" s="92" t="s">
        <v>0</v>
      </c>
      <c r="D39" s="92"/>
      <c r="E39" s="92"/>
      <c r="F39" s="93"/>
      <c r="G39" s="92"/>
      <c r="H39" s="92"/>
      <c r="I39" s="92"/>
      <c r="J39" s="92"/>
      <c r="K39" s="92"/>
      <c r="L39" s="92"/>
      <c r="M39" s="92" t="s">
        <v>1</v>
      </c>
      <c r="N39" s="92"/>
      <c r="O39" s="92"/>
      <c r="P39" s="92"/>
      <c r="Q39" s="92"/>
      <c r="R39" s="91"/>
      <c r="S39" s="92"/>
      <c r="T39" s="92"/>
      <c r="U39" s="92"/>
      <c r="V39" s="92" t="s">
        <v>10</v>
      </c>
      <c r="W39" s="92"/>
      <c r="X39" s="92"/>
      <c r="Y39" s="92"/>
      <c r="Z39" s="92"/>
      <c r="AA39" s="93"/>
      <c r="AB39" s="152" t="s">
        <v>24</v>
      </c>
    </row>
    <row r="40" spans="1:28" ht="12.75" customHeight="1">
      <c r="B40" s="95" t="str">
        <f t="shared" ref="B40:E41" si="57">B7</f>
        <v>Fiscal Period</v>
      </c>
      <c r="C40" s="94">
        <f t="shared" si="57"/>
        <v>2022</v>
      </c>
      <c r="D40" s="94">
        <f t="shared" si="57"/>
        <v>2023</v>
      </c>
      <c r="E40" s="94">
        <f t="shared" si="57"/>
        <v>2024</v>
      </c>
      <c r="F40" s="93"/>
      <c r="G40" s="94" t="str">
        <f t="shared" ref="G40:Q40" si="58">G7</f>
        <v>1Q23</v>
      </c>
      <c r="H40" s="94" t="str">
        <f t="shared" si="58"/>
        <v>2Q23</v>
      </c>
      <c r="I40" s="94" t="str">
        <f t="shared" si="58"/>
        <v>3Q23</v>
      </c>
      <c r="J40" s="94" t="str">
        <f t="shared" si="58"/>
        <v>4Q23</v>
      </c>
      <c r="K40" s="94" t="str">
        <f t="shared" si="58"/>
        <v>1Q24</v>
      </c>
      <c r="L40" s="94" t="str">
        <f t="shared" si="58"/>
        <v>2Q24</v>
      </c>
      <c r="M40" s="94" t="str">
        <f t="shared" si="58"/>
        <v>3Q24</v>
      </c>
      <c r="N40" s="94" t="str">
        <f t="shared" si="58"/>
        <v>4Q24</v>
      </c>
      <c r="O40" s="94" t="str">
        <f t="shared" si="58"/>
        <v>1Q25</v>
      </c>
      <c r="P40" s="94" t="str">
        <f t="shared" si="58"/>
        <v>2Q25</v>
      </c>
      <c r="Q40" s="94" t="str">
        <f t="shared" si="58"/>
        <v>3Q25</v>
      </c>
      <c r="R40" s="96"/>
      <c r="S40" s="94" t="str">
        <f t="shared" ref="S40:Z41" si="59">S7</f>
        <v>4Q23</v>
      </c>
      <c r="T40" s="94" t="str">
        <f t="shared" si="59"/>
        <v>1Q24</v>
      </c>
      <c r="U40" s="94" t="str">
        <f t="shared" si="59"/>
        <v>2Q24</v>
      </c>
      <c r="V40" s="94" t="str">
        <f t="shared" si="59"/>
        <v>3Q24</v>
      </c>
      <c r="W40" s="94" t="str">
        <f t="shared" si="59"/>
        <v>4Q24</v>
      </c>
      <c r="X40" s="94" t="str">
        <f t="shared" si="59"/>
        <v>1Q25</v>
      </c>
      <c r="Y40" s="94" t="str">
        <f t="shared" si="59"/>
        <v>2Q25</v>
      </c>
      <c r="Z40" s="94" t="str">
        <f t="shared" si="59"/>
        <v>3Q25</v>
      </c>
      <c r="AA40" s="93"/>
      <c r="AB40" s="152"/>
    </row>
    <row r="41" spans="1:28" ht="12.75" customHeight="1">
      <c r="B41" s="95" t="str">
        <f t="shared" si="57"/>
        <v>Fiscal Period End Date</v>
      </c>
      <c r="C41" s="97">
        <f t="shared" si="57"/>
        <v>44926</v>
      </c>
      <c r="D41" s="97">
        <f t="shared" si="57"/>
        <v>45291</v>
      </c>
      <c r="E41" s="97">
        <f t="shared" si="57"/>
        <v>45657</v>
      </c>
      <c r="F41" s="93"/>
      <c r="G41" s="97">
        <f t="shared" ref="G41:Q41" si="60">G8</f>
        <v>45016</v>
      </c>
      <c r="H41" s="97">
        <f t="shared" si="60"/>
        <v>45107</v>
      </c>
      <c r="I41" s="97">
        <f t="shared" si="60"/>
        <v>45199</v>
      </c>
      <c r="J41" s="97">
        <f t="shared" si="60"/>
        <v>45291</v>
      </c>
      <c r="K41" s="97">
        <f t="shared" si="60"/>
        <v>45382</v>
      </c>
      <c r="L41" s="97">
        <f t="shared" si="60"/>
        <v>45473</v>
      </c>
      <c r="M41" s="97">
        <f t="shared" si="60"/>
        <v>45565</v>
      </c>
      <c r="N41" s="97">
        <f t="shared" si="60"/>
        <v>45657</v>
      </c>
      <c r="O41" s="97">
        <f t="shared" si="60"/>
        <v>45747</v>
      </c>
      <c r="P41" s="97">
        <f t="shared" si="60"/>
        <v>45838</v>
      </c>
      <c r="Q41" s="97">
        <f t="shared" si="60"/>
        <v>45930</v>
      </c>
      <c r="R41" s="98"/>
      <c r="S41" s="97">
        <f t="shared" si="59"/>
        <v>45291</v>
      </c>
      <c r="T41" s="97">
        <f t="shared" si="59"/>
        <v>45382</v>
      </c>
      <c r="U41" s="97">
        <f t="shared" si="59"/>
        <v>45473</v>
      </c>
      <c r="V41" s="97">
        <f t="shared" si="59"/>
        <v>45565</v>
      </c>
      <c r="W41" s="97">
        <f t="shared" si="59"/>
        <v>45657</v>
      </c>
      <c r="X41" s="97">
        <f t="shared" si="59"/>
        <v>45747</v>
      </c>
      <c r="Y41" s="97">
        <f t="shared" si="59"/>
        <v>45838</v>
      </c>
      <c r="Z41" s="97">
        <f t="shared" si="59"/>
        <v>45930</v>
      </c>
      <c r="AA41" s="93"/>
      <c r="AB41" s="152"/>
    </row>
    <row r="42" spans="1:28" ht="5.0999999999999996" customHeight="1">
      <c r="B42" s="43"/>
      <c r="C42" s="44"/>
      <c r="D42" s="44"/>
      <c r="E42" s="44"/>
    </row>
    <row r="43" spans="1:28">
      <c r="B43" s="72" t="s">
        <v>84</v>
      </c>
      <c r="C43" s="44"/>
      <c r="D43" s="44"/>
      <c r="E43" s="44"/>
    </row>
    <row r="44" spans="1:28" ht="12.75" customHeight="1">
      <c r="B44" s="9" t="s">
        <v>124</v>
      </c>
      <c r="C44" s="105">
        <v>1423.1210000000001</v>
      </c>
      <c r="D44" s="105">
        <v>1780.4</v>
      </c>
      <c r="E44" s="105">
        <v>1046.5</v>
      </c>
      <c r="G44" s="105">
        <v>1578.52</v>
      </c>
      <c r="H44" s="105">
        <v>1228.6199999999999</v>
      </c>
      <c r="I44" s="105">
        <v>1199.3599999999999</v>
      </c>
      <c r="J44" s="82">
        <f t="shared" ref="J44:J47" si="61">D44</f>
        <v>1780.4</v>
      </c>
      <c r="K44" s="105">
        <v>1060.3900000000001</v>
      </c>
      <c r="L44" s="105">
        <v>1060.55</v>
      </c>
      <c r="M44" s="105">
        <v>964.96</v>
      </c>
      <c r="N44" s="82">
        <f t="shared" ref="N44:N47" si="62">E44</f>
        <v>1046.5</v>
      </c>
      <c r="O44" s="105">
        <v>911.22699999999998</v>
      </c>
      <c r="P44" s="105">
        <v>925.97299999999996</v>
      </c>
      <c r="Q44" s="105">
        <v>953.31700000000001</v>
      </c>
      <c r="R44" s="82"/>
      <c r="S44" s="30">
        <f t="shared" ref="S44:S47" si="63">J44</f>
        <v>1780.4</v>
      </c>
      <c r="T44" s="30">
        <f t="shared" ref="T44:T47" si="64">K44</f>
        <v>1060.3900000000001</v>
      </c>
      <c r="U44" s="30">
        <f t="shared" ref="U44:U47" si="65">L44</f>
        <v>1060.55</v>
      </c>
      <c r="V44" s="30">
        <f t="shared" ref="V44:V47" si="66">M44</f>
        <v>964.96</v>
      </c>
      <c r="W44" s="30">
        <f t="shared" ref="W44:W47" si="67">N44</f>
        <v>1046.5</v>
      </c>
      <c r="X44" s="30">
        <f t="shared" ref="X44:X47" si="68">O44</f>
        <v>911.22699999999998</v>
      </c>
      <c r="Y44" s="30">
        <f t="shared" ref="Y44:Y47" si="69">P44</f>
        <v>925.97299999999996</v>
      </c>
      <c r="Z44" s="30">
        <f t="shared" ref="Z44:Z47" si="70">Q44</f>
        <v>953.31700000000001</v>
      </c>
      <c r="AA44" s="11"/>
      <c r="AB44" s="68">
        <f t="shared" ref="AB44:AB47" si="71">SUM(Z44/V44)-1</f>
        <v>-1.2065785110263683E-2</v>
      </c>
    </row>
    <row r="45" spans="1:28" ht="12.75" customHeight="1">
      <c r="B45" s="9" t="s">
        <v>127</v>
      </c>
      <c r="C45" s="105">
        <v>2516</v>
      </c>
      <c r="D45" s="105">
        <v>1763.68</v>
      </c>
      <c r="E45" s="105">
        <v>2329.7449999999999</v>
      </c>
      <c r="G45" s="105">
        <v>2524.9</v>
      </c>
      <c r="H45" s="105">
        <v>2460.64</v>
      </c>
      <c r="I45" s="105">
        <v>2414.13</v>
      </c>
      <c r="J45" s="82">
        <f t="shared" si="61"/>
        <v>1763.68</v>
      </c>
      <c r="K45" s="105">
        <v>1850.62</v>
      </c>
      <c r="L45" s="105">
        <v>2020.72</v>
      </c>
      <c r="M45" s="105">
        <v>2227</v>
      </c>
      <c r="N45" s="82">
        <f t="shared" si="62"/>
        <v>2329.7449999999999</v>
      </c>
      <c r="O45" s="105">
        <v>2295.66</v>
      </c>
      <c r="P45" s="105">
        <v>1967</v>
      </c>
      <c r="Q45" s="105">
        <v>2040.06</v>
      </c>
      <c r="R45" s="82"/>
      <c r="S45" s="30">
        <f t="shared" si="63"/>
        <v>1763.68</v>
      </c>
      <c r="T45" s="30">
        <f t="shared" si="64"/>
        <v>1850.62</v>
      </c>
      <c r="U45" s="30">
        <f t="shared" si="65"/>
        <v>2020.72</v>
      </c>
      <c r="V45" s="30">
        <f t="shared" si="66"/>
        <v>2227</v>
      </c>
      <c r="W45" s="30">
        <f t="shared" si="67"/>
        <v>2329.7449999999999</v>
      </c>
      <c r="X45" s="30">
        <f t="shared" si="68"/>
        <v>2295.66</v>
      </c>
      <c r="Y45" s="30">
        <f t="shared" si="69"/>
        <v>1967</v>
      </c>
      <c r="Z45" s="30">
        <f t="shared" si="70"/>
        <v>2040.06</v>
      </c>
      <c r="AA45" s="11"/>
      <c r="AB45" s="68">
        <f t="shared" si="71"/>
        <v>-8.3942523574315198E-2</v>
      </c>
    </row>
    <row r="46" spans="1:28" ht="12.75" customHeight="1">
      <c r="B46" s="9" t="s">
        <v>125</v>
      </c>
      <c r="C46" s="105">
        <v>1183.0899999999999</v>
      </c>
      <c r="D46" s="105">
        <v>1278.1759999999999</v>
      </c>
      <c r="E46" s="105">
        <v>1348.472</v>
      </c>
      <c r="G46" s="105">
        <v>892.51099999999997</v>
      </c>
      <c r="H46" s="105">
        <v>996.08</v>
      </c>
      <c r="I46" s="105">
        <v>1116.51</v>
      </c>
      <c r="J46" s="82">
        <f t="shared" si="61"/>
        <v>1278.1759999999999</v>
      </c>
      <c r="K46" s="105">
        <v>1108.3499999999999</v>
      </c>
      <c r="L46" s="105">
        <v>1141.8489999999999</v>
      </c>
      <c r="M46" s="105">
        <v>1195.7</v>
      </c>
      <c r="N46" s="82">
        <f t="shared" si="62"/>
        <v>1348.472</v>
      </c>
      <c r="O46" s="105">
        <v>1157.6099999999999</v>
      </c>
      <c r="P46" s="105">
        <v>1164.8699999999999</v>
      </c>
      <c r="Q46" s="105">
        <v>1248.01</v>
      </c>
      <c r="R46" s="82"/>
      <c r="S46" s="30">
        <f t="shared" si="63"/>
        <v>1278.1759999999999</v>
      </c>
      <c r="T46" s="30">
        <f t="shared" si="64"/>
        <v>1108.3499999999999</v>
      </c>
      <c r="U46" s="30">
        <f t="shared" si="65"/>
        <v>1141.8489999999999</v>
      </c>
      <c r="V46" s="30">
        <f t="shared" si="66"/>
        <v>1195.7</v>
      </c>
      <c r="W46" s="30">
        <f t="shared" si="67"/>
        <v>1348.472</v>
      </c>
      <c r="X46" s="30">
        <f t="shared" si="68"/>
        <v>1157.6099999999999</v>
      </c>
      <c r="Y46" s="30">
        <f t="shared" si="69"/>
        <v>1164.8699999999999</v>
      </c>
      <c r="Z46" s="30">
        <f t="shared" si="70"/>
        <v>1248.01</v>
      </c>
      <c r="AA46" s="11"/>
      <c r="AB46" s="68">
        <f t="shared" ref="AB46" si="72">SUM(Z46/V46)-1</f>
        <v>4.3748431880906491E-2</v>
      </c>
    </row>
    <row r="47" spans="1:28" ht="12.75" customHeight="1">
      <c r="B47" s="9" t="s">
        <v>126</v>
      </c>
      <c r="C47" s="105">
        <v>134.43</v>
      </c>
      <c r="D47" s="105">
        <v>153.58699999999999</v>
      </c>
      <c r="E47" s="105">
        <v>182</v>
      </c>
      <c r="G47" s="105">
        <v>146.97300000000001</v>
      </c>
      <c r="H47" s="105">
        <v>154.16999999999999</v>
      </c>
      <c r="I47" s="105">
        <v>144.25</v>
      </c>
      <c r="J47" s="82">
        <f t="shared" si="61"/>
        <v>153.58699999999999</v>
      </c>
      <c r="K47" s="105">
        <v>167.38</v>
      </c>
      <c r="L47" s="105">
        <v>198.07</v>
      </c>
      <c r="M47" s="105">
        <v>200.9</v>
      </c>
      <c r="N47" s="82">
        <f t="shared" si="62"/>
        <v>182</v>
      </c>
      <c r="O47" s="105">
        <v>212.53</v>
      </c>
      <c r="P47" s="105">
        <v>226.25</v>
      </c>
      <c r="Q47" s="105">
        <v>235.09899999999999</v>
      </c>
      <c r="R47" s="82"/>
      <c r="S47" s="30">
        <f t="shared" si="63"/>
        <v>153.58699999999999</v>
      </c>
      <c r="T47" s="30">
        <f t="shared" si="64"/>
        <v>167.38</v>
      </c>
      <c r="U47" s="30">
        <f t="shared" si="65"/>
        <v>198.07</v>
      </c>
      <c r="V47" s="30">
        <f t="shared" si="66"/>
        <v>200.9</v>
      </c>
      <c r="W47" s="30">
        <f t="shared" si="67"/>
        <v>182</v>
      </c>
      <c r="X47" s="30">
        <f t="shared" si="68"/>
        <v>212.53</v>
      </c>
      <c r="Y47" s="30">
        <f t="shared" si="69"/>
        <v>226.25</v>
      </c>
      <c r="Z47" s="30">
        <f t="shared" si="70"/>
        <v>235.09899999999999</v>
      </c>
      <c r="AA47" s="11"/>
      <c r="AB47" s="68">
        <f t="shared" si="71"/>
        <v>0.17022896963663503</v>
      </c>
    </row>
    <row r="48" spans="1:28" ht="12.75" customHeight="1">
      <c r="B48" s="23" t="s">
        <v>20</v>
      </c>
      <c r="C48" s="24">
        <f>SUM(C44:C47)</f>
        <v>5256.6410000000005</v>
      </c>
      <c r="D48" s="24">
        <f>SUM(D44:D47)</f>
        <v>4975.8429999999989</v>
      </c>
      <c r="E48" s="24">
        <f>SUM(E44:E47)</f>
        <v>4906.7169999999996</v>
      </c>
      <c r="F48" s="45"/>
      <c r="G48" s="24">
        <f t="shared" ref="G48:Q48" si="73">SUM(G44:G47)</f>
        <v>5142.9040000000005</v>
      </c>
      <c r="H48" s="24">
        <f t="shared" si="73"/>
        <v>4839.51</v>
      </c>
      <c r="I48" s="24">
        <f t="shared" si="73"/>
        <v>4874.25</v>
      </c>
      <c r="J48" s="24">
        <f t="shared" si="73"/>
        <v>4975.8429999999989</v>
      </c>
      <c r="K48" s="24">
        <f t="shared" si="73"/>
        <v>4186.74</v>
      </c>
      <c r="L48" s="24">
        <f t="shared" si="73"/>
        <v>4421.1889999999994</v>
      </c>
      <c r="M48" s="24">
        <f t="shared" si="73"/>
        <v>4588.5599999999995</v>
      </c>
      <c r="N48" s="24">
        <f t="shared" si="73"/>
        <v>4906.7169999999996</v>
      </c>
      <c r="O48" s="24">
        <f t="shared" si="73"/>
        <v>4577.0269999999991</v>
      </c>
      <c r="P48" s="24">
        <f t="shared" si="73"/>
        <v>4284.0929999999998</v>
      </c>
      <c r="Q48" s="24">
        <f t="shared" si="73"/>
        <v>4476.4859999999999</v>
      </c>
      <c r="R48" s="45"/>
      <c r="S48" s="24">
        <f t="shared" ref="S48:Z48" si="74">SUM(S44:S47)</f>
        <v>4975.8429999999989</v>
      </c>
      <c r="T48" s="24">
        <f t="shared" si="74"/>
        <v>4186.74</v>
      </c>
      <c r="U48" s="24">
        <f t="shared" si="74"/>
        <v>4421.1889999999994</v>
      </c>
      <c r="V48" s="24">
        <f t="shared" si="74"/>
        <v>4588.5599999999995</v>
      </c>
      <c r="W48" s="24">
        <f t="shared" si="74"/>
        <v>4906.7169999999996</v>
      </c>
      <c r="X48" s="24">
        <f t="shared" si="74"/>
        <v>4577.0269999999991</v>
      </c>
      <c r="Y48" s="24">
        <f t="shared" si="74"/>
        <v>4284.0929999999998</v>
      </c>
      <c r="Z48" s="24">
        <f t="shared" si="74"/>
        <v>4476.4859999999999</v>
      </c>
      <c r="AA48" s="39"/>
      <c r="AB48" s="69">
        <f>SUM(Z48/V48)-1</f>
        <v>-2.4424656101260434E-2</v>
      </c>
    </row>
    <row r="49" spans="2:28" ht="5.0999999999999996" customHeight="1">
      <c r="B49" s="23"/>
      <c r="C49" s="46"/>
      <c r="D49" s="38"/>
      <c r="E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S49" s="39"/>
      <c r="T49" s="39"/>
      <c r="U49" s="39"/>
      <c r="V49" s="39"/>
      <c r="W49" s="39"/>
      <c r="X49" s="39"/>
      <c r="Y49" s="39"/>
      <c r="Z49" s="39"/>
      <c r="AA49" s="39"/>
      <c r="AB49" s="36"/>
    </row>
    <row r="50" spans="2:28" ht="12.75" customHeight="1">
      <c r="B50" s="72" t="s">
        <v>85</v>
      </c>
      <c r="C50" s="76"/>
      <c r="D50" s="76"/>
      <c r="E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S50" s="30"/>
      <c r="T50" s="30"/>
      <c r="U50" s="30"/>
      <c r="V50" s="30"/>
      <c r="W50" s="30"/>
      <c r="X50" s="30"/>
      <c r="Y50" s="30"/>
      <c r="Z50" s="30"/>
      <c r="AA50" s="11"/>
      <c r="AB50" s="68"/>
    </row>
    <row r="51" spans="2:28" ht="12.75" customHeight="1">
      <c r="B51" s="9" t="s">
        <v>128</v>
      </c>
      <c r="C51" s="76">
        <v>271.77</v>
      </c>
      <c r="D51" s="76">
        <v>410.32600000000002</v>
      </c>
      <c r="E51" s="76">
        <v>489.09</v>
      </c>
      <c r="G51" s="105">
        <v>303.02</v>
      </c>
      <c r="H51" s="105">
        <v>330.01</v>
      </c>
      <c r="I51" s="105">
        <v>377.32</v>
      </c>
      <c r="J51" s="82">
        <f t="shared" ref="J51:J55" si="75">D51</f>
        <v>410.32600000000002</v>
      </c>
      <c r="K51" s="105">
        <v>426.363</v>
      </c>
      <c r="L51" s="105">
        <v>444.48500000000001</v>
      </c>
      <c r="M51" s="105">
        <v>466.39</v>
      </c>
      <c r="N51" s="82">
        <f t="shared" ref="N51:N55" si="76">E51</f>
        <v>489.09</v>
      </c>
      <c r="O51" s="105">
        <v>501.35300000000001</v>
      </c>
      <c r="P51" s="105">
        <v>544.226</v>
      </c>
      <c r="Q51" s="105">
        <v>557.41800000000001</v>
      </c>
      <c r="S51" s="30">
        <f t="shared" ref="S51:S55" si="77">J51</f>
        <v>410.32600000000002</v>
      </c>
      <c r="T51" s="30">
        <f t="shared" ref="T51:T55" si="78">K51</f>
        <v>426.363</v>
      </c>
      <c r="U51" s="30">
        <f t="shared" ref="U51:U55" si="79">L51</f>
        <v>444.48500000000001</v>
      </c>
      <c r="V51" s="30">
        <f t="shared" ref="V51:V55" si="80">M51</f>
        <v>466.39</v>
      </c>
      <c r="W51" s="30">
        <f t="shared" ref="W51:W55" si="81">N51</f>
        <v>489.09</v>
      </c>
      <c r="X51" s="30">
        <f t="shared" ref="X51:X55" si="82">O51</f>
        <v>501.35300000000001</v>
      </c>
      <c r="Y51" s="30">
        <f t="shared" ref="Y51:Y55" si="83">P51</f>
        <v>544.226</v>
      </c>
      <c r="Z51" s="30">
        <f t="shared" ref="Z51:Z55" si="84">Q51</f>
        <v>557.41800000000001</v>
      </c>
      <c r="AA51" s="11"/>
      <c r="AB51" s="68">
        <f t="shared" ref="AB51:AB55" si="85">SUM(Z51/V51)-1</f>
        <v>0.19517571131456513</v>
      </c>
    </row>
    <row r="52" spans="2:28" ht="12.75" customHeight="1">
      <c r="B52" s="9" t="s">
        <v>130</v>
      </c>
      <c r="C52" s="76">
        <v>370.95</v>
      </c>
      <c r="D52" s="76">
        <v>516.86</v>
      </c>
      <c r="E52" s="76">
        <v>530.44000000000005</v>
      </c>
      <c r="G52" s="105">
        <v>355.06</v>
      </c>
      <c r="H52" s="105">
        <v>348.97</v>
      </c>
      <c r="I52" s="105">
        <v>344.68</v>
      </c>
      <c r="J52" s="82">
        <f t="shared" si="75"/>
        <v>516.86</v>
      </c>
      <c r="K52" s="105">
        <v>511.1</v>
      </c>
      <c r="L52" s="105">
        <v>521.1</v>
      </c>
      <c r="M52" s="105">
        <v>516.95899999999995</v>
      </c>
      <c r="N52" s="82">
        <f t="shared" si="76"/>
        <v>530.44000000000005</v>
      </c>
      <c r="O52" s="105">
        <v>528.27</v>
      </c>
      <c r="P52" s="105">
        <v>534.08399999999995</v>
      </c>
      <c r="Q52" s="105">
        <v>520.18700000000001</v>
      </c>
      <c r="S52" s="30">
        <f t="shared" si="77"/>
        <v>516.86</v>
      </c>
      <c r="T52" s="30">
        <f t="shared" si="78"/>
        <v>511.1</v>
      </c>
      <c r="U52" s="30">
        <f t="shared" si="79"/>
        <v>521.1</v>
      </c>
      <c r="V52" s="30">
        <f t="shared" si="80"/>
        <v>516.95899999999995</v>
      </c>
      <c r="W52" s="30">
        <f t="shared" si="81"/>
        <v>530.44000000000005</v>
      </c>
      <c r="X52" s="30">
        <f t="shared" si="82"/>
        <v>528.27</v>
      </c>
      <c r="Y52" s="30">
        <f t="shared" si="83"/>
        <v>534.08399999999995</v>
      </c>
      <c r="Z52" s="30">
        <f t="shared" si="84"/>
        <v>520.18700000000001</v>
      </c>
      <c r="AA52" s="11"/>
      <c r="AB52" s="68">
        <f t="shared" si="85"/>
        <v>6.2442089217908947E-3</v>
      </c>
    </row>
    <row r="53" spans="2:28" ht="12.75" customHeight="1">
      <c r="B53" s="9" t="s">
        <v>132</v>
      </c>
      <c r="C53" s="76">
        <v>204.48</v>
      </c>
      <c r="D53" s="76">
        <v>146.30000000000001</v>
      </c>
      <c r="E53" s="76">
        <v>86.363</v>
      </c>
      <c r="G53" s="105">
        <v>186.72</v>
      </c>
      <c r="H53" s="105">
        <v>202.67099999999999</v>
      </c>
      <c r="I53" s="105">
        <v>183.86</v>
      </c>
      <c r="J53" s="82">
        <f t="shared" si="75"/>
        <v>146.30000000000001</v>
      </c>
      <c r="K53" s="105">
        <v>127.658</v>
      </c>
      <c r="L53" s="105">
        <v>112.80800000000001</v>
      </c>
      <c r="M53" s="105">
        <v>98.92</v>
      </c>
      <c r="N53" s="82">
        <f t="shared" si="76"/>
        <v>86.363</v>
      </c>
      <c r="O53" s="105">
        <v>74.822000000000003</v>
      </c>
      <c r="P53" s="105">
        <v>88.790999999999997</v>
      </c>
      <c r="Q53" s="105">
        <v>77.257000000000005</v>
      </c>
      <c r="S53" s="30">
        <f t="shared" si="77"/>
        <v>146.30000000000001</v>
      </c>
      <c r="T53" s="30">
        <f t="shared" si="78"/>
        <v>127.658</v>
      </c>
      <c r="U53" s="30">
        <f t="shared" si="79"/>
        <v>112.80800000000001</v>
      </c>
      <c r="V53" s="30">
        <f t="shared" si="80"/>
        <v>98.92</v>
      </c>
      <c r="W53" s="30">
        <f t="shared" si="81"/>
        <v>86.363</v>
      </c>
      <c r="X53" s="30">
        <f t="shared" si="82"/>
        <v>74.822000000000003</v>
      </c>
      <c r="Y53" s="30">
        <f t="shared" si="83"/>
        <v>88.790999999999997</v>
      </c>
      <c r="Z53" s="30">
        <f t="shared" si="84"/>
        <v>77.257000000000005</v>
      </c>
      <c r="AA53" s="11"/>
      <c r="AB53" s="68">
        <f t="shared" ref="AB53:AB54" si="86">SUM(Z53/V53)-1</f>
        <v>-0.21899514759401528</v>
      </c>
    </row>
    <row r="54" spans="2:28" ht="12.75" customHeight="1">
      <c r="B54" s="9" t="s">
        <v>129</v>
      </c>
      <c r="C54" s="76">
        <v>1646.12</v>
      </c>
      <c r="D54" s="76">
        <v>1691.827</v>
      </c>
      <c r="E54" s="76">
        <v>1689.78</v>
      </c>
      <c r="G54" s="105">
        <v>1649.09</v>
      </c>
      <c r="H54" s="105">
        <v>1692.06</v>
      </c>
      <c r="I54" s="105">
        <v>1691.54</v>
      </c>
      <c r="J54" s="82">
        <f t="shared" si="75"/>
        <v>1691.827</v>
      </c>
      <c r="K54" s="105">
        <v>1691.52</v>
      </c>
      <c r="L54" s="105">
        <v>1691.31</v>
      </c>
      <c r="M54" s="105">
        <v>1693.94</v>
      </c>
      <c r="N54" s="82">
        <f t="shared" si="76"/>
        <v>1689.78</v>
      </c>
      <c r="O54" s="105">
        <v>1691.87</v>
      </c>
      <c r="P54" s="105">
        <v>1720.83</v>
      </c>
      <c r="Q54" s="105">
        <v>1720.586</v>
      </c>
      <c r="S54" s="30">
        <f t="shared" si="77"/>
        <v>1691.827</v>
      </c>
      <c r="T54" s="30">
        <f t="shared" si="78"/>
        <v>1691.52</v>
      </c>
      <c r="U54" s="30">
        <f t="shared" si="79"/>
        <v>1691.31</v>
      </c>
      <c r="V54" s="30">
        <f t="shared" si="80"/>
        <v>1693.94</v>
      </c>
      <c r="W54" s="30">
        <f t="shared" si="81"/>
        <v>1689.78</v>
      </c>
      <c r="X54" s="30">
        <f t="shared" si="82"/>
        <v>1691.87</v>
      </c>
      <c r="Y54" s="30">
        <f t="shared" si="83"/>
        <v>1720.83</v>
      </c>
      <c r="Z54" s="30">
        <f t="shared" si="84"/>
        <v>1720.586</v>
      </c>
      <c r="AA54" s="11"/>
      <c r="AB54" s="68">
        <f t="shared" si="86"/>
        <v>1.5730191151988926E-2</v>
      </c>
    </row>
    <row r="55" spans="2:28" ht="12.75" customHeight="1">
      <c r="B55" s="9" t="s">
        <v>131</v>
      </c>
      <c r="C55" s="76">
        <v>279.56</v>
      </c>
      <c r="D55" s="76">
        <v>226.59700000000001</v>
      </c>
      <c r="E55" s="76">
        <v>233.91</v>
      </c>
      <c r="G55" s="105">
        <v>251.56899999999999</v>
      </c>
      <c r="H55" s="105">
        <v>252.97300000000001</v>
      </c>
      <c r="I55" s="105">
        <v>251.23</v>
      </c>
      <c r="J55" s="82">
        <f t="shared" si="75"/>
        <v>226.59700000000001</v>
      </c>
      <c r="K55" s="105">
        <v>223.982</v>
      </c>
      <c r="L55" s="105">
        <v>229.131</v>
      </c>
      <c r="M55" s="105">
        <v>226.46299999999999</v>
      </c>
      <c r="N55" s="82">
        <f t="shared" si="76"/>
        <v>233.91</v>
      </c>
      <c r="O55" s="105">
        <v>215.84800000000001</v>
      </c>
      <c r="P55" s="105">
        <v>226.88</v>
      </c>
      <c r="Q55" s="105">
        <v>226.01499999999999</v>
      </c>
      <c r="S55" s="30">
        <f t="shared" si="77"/>
        <v>226.59700000000001</v>
      </c>
      <c r="T55" s="30">
        <f t="shared" si="78"/>
        <v>223.982</v>
      </c>
      <c r="U55" s="30">
        <f t="shared" si="79"/>
        <v>229.131</v>
      </c>
      <c r="V55" s="30">
        <f t="shared" si="80"/>
        <v>226.46299999999999</v>
      </c>
      <c r="W55" s="30">
        <f t="shared" si="81"/>
        <v>233.91</v>
      </c>
      <c r="X55" s="30">
        <f t="shared" si="82"/>
        <v>215.84800000000001</v>
      </c>
      <c r="Y55" s="30">
        <f t="shared" si="83"/>
        <v>226.88</v>
      </c>
      <c r="Z55" s="30">
        <f t="shared" si="84"/>
        <v>226.01499999999999</v>
      </c>
      <c r="AA55" s="11"/>
      <c r="AB55" s="68">
        <f t="shared" si="85"/>
        <v>-1.9782481023390419E-3</v>
      </c>
    </row>
    <row r="56" spans="2:28" ht="12.75" customHeight="1">
      <c r="B56" s="12" t="s">
        <v>21</v>
      </c>
      <c r="C56" s="13">
        <f>SUM(C51:C55)+C48</f>
        <v>8029.5210000000006</v>
      </c>
      <c r="D56" s="13">
        <f>SUM(D51:D55)+D48</f>
        <v>7967.7529999999988</v>
      </c>
      <c r="E56" s="13">
        <f>SUM(E51:E55)+E48</f>
        <v>7936.2999999999993</v>
      </c>
      <c r="G56" s="13">
        <f t="shared" ref="G56:Q56" si="87">SUM(G51:G55)+G48</f>
        <v>7888.3630000000003</v>
      </c>
      <c r="H56" s="13">
        <f t="shared" si="87"/>
        <v>7666.1940000000004</v>
      </c>
      <c r="I56" s="13">
        <f t="shared" si="87"/>
        <v>7722.88</v>
      </c>
      <c r="J56" s="13">
        <f t="shared" si="87"/>
        <v>7967.7529999999988</v>
      </c>
      <c r="K56" s="13">
        <f t="shared" si="87"/>
        <v>7167.3629999999994</v>
      </c>
      <c r="L56" s="13">
        <f t="shared" si="87"/>
        <v>7420.0229999999992</v>
      </c>
      <c r="M56" s="13">
        <f t="shared" si="87"/>
        <v>7591.232</v>
      </c>
      <c r="N56" s="13">
        <f t="shared" si="87"/>
        <v>7936.2999999999993</v>
      </c>
      <c r="O56" s="13">
        <f t="shared" si="87"/>
        <v>7589.1899999999987</v>
      </c>
      <c r="P56" s="13">
        <f t="shared" si="87"/>
        <v>7398.9039999999995</v>
      </c>
      <c r="Q56" s="13">
        <f t="shared" si="87"/>
        <v>7577.9490000000005</v>
      </c>
      <c r="S56" s="13">
        <f t="shared" ref="S56:Z56" si="88">SUM(S51:S55)+S48</f>
        <v>7967.7529999999988</v>
      </c>
      <c r="T56" s="13">
        <f t="shared" si="88"/>
        <v>7167.3629999999994</v>
      </c>
      <c r="U56" s="13">
        <f t="shared" si="88"/>
        <v>7420.0229999999992</v>
      </c>
      <c r="V56" s="13">
        <f t="shared" si="88"/>
        <v>7591.232</v>
      </c>
      <c r="W56" s="13">
        <f t="shared" si="88"/>
        <v>7936.2999999999993</v>
      </c>
      <c r="X56" s="13">
        <f t="shared" si="88"/>
        <v>7589.1899999999987</v>
      </c>
      <c r="Y56" s="13">
        <f t="shared" si="88"/>
        <v>7398.9039999999995</v>
      </c>
      <c r="Z56" s="13">
        <f t="shared" si="88"/>
        <v>7577.9490000000005</v>
      </c>
      <c r="AA56" s="39"/>
      <c r="AB56" s="69">
        <f>SUM(Z56/V56)-1</f>
        <v>-1.7497818535909815E-3</v>
      </c>
    </row>
    <row r="57" spans="2:28" ht="12.75" customHeight="1">
      <c r="B57" s="23"/>
      <c r="C57" s="47"/>
      <c r="D57" s="38"/>
      <c r="E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S57" s="39"/>
      <c r="T57" s="39"/>
      <c r="U57" s="39"/>
      <c r="V57" s="39"/>
      <c r="W57" s="39"/>
      <c r="X57" s="39"/>
      <c r="Y57" s="39"/>
      <c r="Z57" s="39"/>
      <c r="AA57" s="39"/>
      <c r="AB57" s="36"/>
    </row>
    <row r="58" spans="2:28" ht="12.75" customHeight="1">
      <c r="B58" s="72" t="s">
        <v>47</v>
      </c>
      <c r="C58" s="47"/>
      <c r="D58" s="38"/>
      <c r="E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S58" s="39"/>
      <c r="T58" s="39"/>
      <c r="U58" s="39"/>
      <c r="V58" s="39"/>
      <c r="W58" s="39"/>
      <c r="X58" s="39"/>
      <c r="Y58" s="39"/>
      <c r="Z58" s="39"/>
      <c r="AA58" s="39"/>
      <c r="AB58" s="36"/>
    </row>
    <row r="59" spans="2:28" ht="12.75" customHeight="1">
      <c r="B59" s="9" t="s">
        <v>133</v>
      </c>
      <c r="C59" s="76">
        <v>181.774</v>
      </c>
      <c r="D59" s="76">
        <v>278.96100000000001</v>
      </c>
      <c r="E59" s="76">
        <v>173.197</v>
      </c>
      <c r="G59" s="105">
        <v>141.80000000000001</v>
      </c>
      <c r="H59" s="105">
        <v>163.60400000000001</v>
      </c>
      <c r="I59" s="105">
        <v>128.54599999999999</v>
      </c>
      <c r="J59" s="82">
        <f t="shared" ref="J59:J62" si="89">D59</f>
        <v>278.96100000000001</v>
      </c>
      <c r="K59" s="105">
        <v>246.21700000000001</v>
      </c>
      <c r="L59" s="105">
        <v>179.58600000000001</v>
      </c>
      <c r="M59" s="105">
        <v>157.471</v>
      </c>
      <c r="N59" s="82">
        <f t="shared" ref="N59:N62" si="90">E59</f>
        <v>173.197</v>
      </c>
      <c r="O59" s="105">
        <v>209.44499999999999</v>
      </c>
      <c r="P59" s="105">
        <v>116.85</v>
      </c>
      <c r="Q59" s="105">
        <v>153.68299999999999</v>
      </c>
      <c r="S59" s="30">
        <f t="shared" ref="S59:S62" si="91">J59</f>
        <v>278.96100000000001</v>
      </c>
      <c r="T59" s="30">
        <f t="shared" ref="T59:T62" si="92">K59</f>
        <v>246.21700000000001</v>
      </c>
      <c r="U59" s="30">
        <f t="shared" ref="U59:U62" si="93">L59</f>
        <v>179.58600000000001</v>
      </c>
      <c r="V59" s="30">
        <f t="shared" ref="V59:V62" si="94">M59</f>
        <v>157.471</v>
      </c>
      <c r="W59" s="30">
        <f t="shared" ref="W59:W62" si="95">N59</f>
        <v>173.197</v>
      </c>
      <c r="X59" s="30">
        <f t="shared" ref="X59:X62" si="96">O59</f>
        <v>209.44499999999999</v>
      </c>
      <c r="Y59" s="30">
        <f t="shared" ref="Y59:Y62" si="97">P59</f>
        <v>116.85</v>
      </c>
      <c r="Z59" s="30">
        <f t="shared" ref="Z59:Z62" si="98">Q59</f>
        <v>153.68299999999999</v>
      </c>
      <c r="AA59" s="11"/>
      <c r="AB59" s="68">
        <f t="shared" ref="AB59:AB60" si="99">SUM(Z59/V59)-1</f>
        <v>-2.405522286643258E-2</v>
      </c>
    </row>
    <row r="60" spans="2:28" ht="12.75" customHeight="1">
      <c r="B60" s="9" t="s">
        <v>136</v>
      </c>
      <c r="C60" s="76">
        <v>46.48</v>
      </c>
      <c r="D60" s="76">
        <v>49.320999999999998</v>
      </c>
      <c r="E60" s="76">
        <v>24.885000000000002</v>
      </c>
      <c r="G60" s="105">
        <v>50.786999999999999</v>
      </c>
      <c r="H60" s="105">
        <v>57.893000000000001</v>
      </c>
      <c r="I60" s="105">
        <v>62.11</v>
      </c>
      <c r="J60" s="82">
        <f t="shared" si="89"/>
        <v>49.320999999999998</v>
      </c>
      <c r="K60" s="105">
        <v>36.649000000000001</v>
      </c>
      <c r="L60" s="105">
        <v>21.27</v>
      </c>
      <c r="M60" s="105">
        <v>21.311</v>
      </c>
      <c r="N60" s="82">
        <f t="shared" si="90"/>
        <v>24.885000000000002</v>
      </c>
      <c r="O60" s="105">
        <v>22.501000000000001</v>
      </c>
      <c r="P60" s="105">
        <v>32.155999999999999</v>
      </c>
      <c r="Q60" s="105">
        <v>43.468000000000004</v>
      </c>
      <c r="S60" s="30">
        <f t="shared" si="91"/>
        <v>49.320999999999998</v>
      </c>
      <c r="T60" s="30">
        <f t="shared" si="92"/>
        <v>36.649000000000001</v>
      </c>
      <c r="U60" s="30">
        <f t="shared" si="93"/>
        <v>21.27</v>
      </c>
      <c r="V60" s="30">
        <f t="shared" si="94"/>
        <v>21.311</v>
      </c>
      <c r="W60" s="30">
        <f t="shared" si="95"/>
        <v>24.885000000000002</v>
      </c>
      <c r="X60" s="30">
        <f t="shared" si="96"/>
        <v>22.501000000000001</v>
      </c>
      <c r="Y60" s="30">
        <f t="shared" si="97"/>
        <v>32.155999999999999</v>
      </c>
      <c r="Z60" s="30">
        <f t="shared" si="98"/>
        <v>43.468000000000004</v>
      </c>
      <c r="AA60" s="11"/>
      <c r="AB60" s="68">
        <f t="shared" si="99"/>
        <v>1.0396978086434236</v>
      </c>
    </row>
    <row r="61" spans="2:28" ht="12.75" customHeight="1">
      <c r="B61" s="104" t="s">
        <v>134</v>
      </c>
      <c r="C61" s="76">
        <v>987.34</v>
      </c>
      <c r="D61" s="76">
        <v>805.83600000000001</v>
      </c>
      <c r="E61" s="76">
        <v>1009.254</v>
      </c>
      <c r="G61" s="105">
        <v>898.89700000000005</v>
      </c>
      <c r="H61" s="105">
        <v>716.16</v>
      </c>
      <c r="I61" s="105">
        <v>818.91499999999996</v>
      </c>
      <c r="J61" s="82">
        <f t="shared" si="89"/>
        <v>805.83600000000001</v>
      </c>
      <c r="K61" s="105">
        <v>829.57899999999995</v>
      </c>
      <c r="L61" s="105">
        <v>875.11900000000003</v>
      </c>
      <c r="M61" s="105">
        <v>921.39300000000003</v>
      </c>
      <c r="N61" s="82">
        <f t="shared" si="90"/>
        <v>1009.254</v>
      </c>
      <c r="O61" s="105">
        <v>796.25800000000004</v>
      </c>
      <c r="P61" s="105">
        <v>954.01</v>
      </c>
      <c r="Q61" s="105">
        <v>976.54700000000003</v>
      </c>
      <c r="S61" s="30">
        <f t="shared" si="91"/>
        <v>805.83600000000001</v>
      </c>
      <c r="T61" s="30">
        <f t="shared" si="92"/>
        <v>829.57899999999995</v>
      </c>
      <c r="U61" s="30">
        <f t="shared" si="93"/>
        <v>875.11900000000003</v>
      </c>
      <c r="V61" s="30">
        <f t="shared" si="94"/>
        <v>921.39300000000003</v>
      </c>
      <c r="W61" s="30">
        <f t="shared" si="95"/>
        <v>1009.254</v>
      </c>
      <c r="X61" s="30">
        <f t="shared" si="96"/>
        <v>796.25800000000004</v>
      </c>
      <c r="Y61" s="30">
        <f t="shared" si="97"/>
        <v>954.01</v>
      </c>
      <c r="Z61" s="30">
        <f t="shared" si="98"/>
        <v>976.54700000000003</v>
      </c>
      <c r="AA61" s="11"/>
      <c r="AB61" s="68">
        <f t="shared" ref="AB61:AB62" si="100">SUM(Z61/V61)-1</f>
        <v>5.9859365113474894E-2</v>
      </c>
    </row>
    <row r="62" spans="2:28" ht="12.75" customHeight="1">
      <c r="B62" s="9" t="s">
        <v>135</v>
      </c>
      <c r="C62" s="76">
        <v>0</v>
      </c>
      <c r="D62" s="76">
        <v>0</v>
      </c>
      <c r="E62" s="76">
        <v>36.212000000000003</v>
      </c>
      <c r="G62" s="105">
        <v>0</v>
      </c>
      <c r="H62" s="105">
        <v>0</v>
      </c>
      <c r="I62" s="105">
        <v>0</v>
      </c>
      <c r="J62" s="82">
        <f t="shared" si="89"/>
        <v>0</v>
      </c>
      <c r="K62" s="105">
        <v>0</v>
      </c>
      <c r="L62" s="105">
        <v>36.17</v>
      </c>
      <c r="M62" s="105">
        <v>36.191000000000003</v>
      </c>
      <c r="N62" s="82">
        <f t="shared" si="90"/>
        <v>36.212000000000003</v>
      </c>
      <c r="O62" s="105">
        <v>36.232999999999997</v>
      </c>
      <c r="P62" s="105">
        <v>0</v>
      </c>
      <c r="Q62" s="105">
        <v>46.951000000000001</v>
      </c>
      <c r="S62" s="30">
        <f t="shared" si="91"/>
        <v>0</v>
      </c>
      <c r="T62" s="30">
        <f t="shared" si="92"/>
        <v>0</v>
      </c>
      <c r="U62" s="30">
        <f t="shared" si="93"/>
        <v>36.17</v>
      </c>
      <c r="V62" s="30">
        <f t="shared" si="94"/>
        <v>36.191000000000003</v>
      </c>
      <c r="W62" s="30">
        <f t="shared" si="95"/>
        <v>36.212000000000003</v>
      </c>
      <c r="X62" s="30">
        <f t="shared" si="96"/>
        <v>36.232999999999997</v>
      </c>
      <c r="Y62" s="30">
        <f t="shared" si="97"/>
        <v>0</v>
      </c>
      <c r="Z62" s="30">
        <f t="shared" si="98"/>
        <v>46.951000000000001</v>
      </c>
      <c r="AA62" s="11"/>
      <c r="AB62" s="68">
        <f t="shared" si="100"/>
        <v>0.29731148628111947</v>
      </c>
    </row>
    <row r="63" spans="2:28" ht="12.75" customHeight="1">
      <c r="B63" s="23" t="s">
        <v>19</v>
      </c>
      <c r="C63" s="24">
        <f>SUM(C59:C62)</f>
        <v>1215.5940000000001</v>
      </c>
      <c r="D63" s="24">
        <f>SUM(D59:D62)</f>
        <v>1134.1179999999999</v>
      </c>
      <c r="E63" s="24">
        <f>SUM(E59:E62)</f>
        <v>1243.548</v>
      </c>
      <c r="G63" s="24">
        <f t="shared" ref="G63:Q63" si="101">SUM(G59:G62)</f>
        <v>1091.4840000000002</v>
      </c>
      <c r="H63" s="24">
        <f t="shared" si="101"/>
        <v>937.65699999999993</v>
      </c>
      <c r="I63" s="24">
        <f t="shared" si="101"/>
        <v>1009.5709999999999</v>
      </c>
      <c r="J63" s="24">
        <f t="shared" si="101"/>
        <v>1134.1179999999999</v>
      </c>
      <c r="K63" s="24">
        <f t="shared" si="101"/>
        <v>1112.4449999999999</v>
      </c>
      <c r="L63" s="24">
        <f t="shared" si="101"/>
        <v>1112.1450000000002</v>
      </c>
      <c r="M63" s="24">
        <f t="shared" si="101"/>
        <v>1136.366</v>
      </c>
      <c r="N63" s="24">
        <f t="shared" si="101"/>
        <v>1243.548</v>
      </c>
      <c r="O63" s="24">
        <f t="shared" si="101"/>
        <v>1064.4369999999999</v>
      </c>
      <c r="P63" s="24">
        <f t="shared" si="101"/>
        <v>1103.0160000000001</v>
      </c>
      <c r="Q63" s="24">
        <f t="shared" si="101"/>
        <v>1220.6490000000001</v>
      </c>
      <c r="R63" s="45"/>
      <c r="S63" s="24">
        <f t="shared" ref="S63:Z63" si="102">SUM(S59:S62)</f>
        <v>1134.1179999999999</v>
      </c>
      <c r="T63" s="24">
        <f t="shared" si="102"/>
        <v>1112.4449999999999</v>
      </c>
      <c r="U63" s="24">
        <f t="shared" si="102"/>
        <v>1112.1450000000002</v>
      </c>
      <c r="V63" s="24">
        <f t="shared" si="102"/>
        <v>1136.366</v>
      </c>
      <c r="W63" s="24">
        <f t="shared" si="102"/>
        <v>1243.548</v>
      </c>
      <c r="X63" s="24">
        <f t="shared" si="102"/>
        <v>1064.4369999999999</v>
      </c>
      <c r="Y63" s="24">
        <f t="shared" si="102"/>
        <v>1103.0160000000001</v>
      </c>
      <c r="Z63" s="24">
        <f t="shared" si="102"/>
        <v>1220.6490000000001</v>
      </c>
      <c r="AA63" s="39"/>
      <c r="AB63" s="69">
        <f>SUM(Z63/V63)-1</f>
        <v>7.4168885728717715E-2</v>
      </c>
    </row>
    <row r="64" spans="2:28" ht="5.0999999999999996" customHeight="1">
      <c r="B64" s="23"/>
      <c r="C64" s="47"/>
      <c r="D64" s="38"/>
      <c r="E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S64" s="39"/>
      <c r="T64" s="39"/>
      <c r="U64" s="39"/>
      <c r="V64" s="39"/>
      <c r="W64" s="39"/>
      <c r="X64" s="39"/>
      <c r="Y64" s="39"/>
      <c r="Z64" s="39"/>
      <c r="AA64" s="39"/>
      <c r="AB64" s="36"/>
    </row>
    <row r="65" spans="2:28">
      <c r="B65" s="72" t="s">
        <v>86</v>
      </c>
      <c r="C65" s="47"/>
      <c r="D65" s="38"/>
      <c r="E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S65" s="39"/>
      <c r="T65" s="39"/>
      <c r="U65" s="39"/>
      <c r="V65" s="39"/>
      <c r="W65" s="39"/>
      <c r="X65" s="39"/>
      <c r="Y65" s="39"/>
      <c r="Z65" s="39"/>
      <c r="AA65" s="39"/>
      <c r="AB65" s="36"/>
    </row>
    <row r="66" spans="2:28" ht="12.75" customHeight="1">
      <c r="B66" s="104" t="s">
        <v>137</v>
      </c>
      <c r="C66" s="76">
        <v>3742.52</v>
      </c>
      <c r="D66" s="76">
        <v>3749.4</v>
      </c>
      <c r="E66" s="76">
        <v>3607.7</v>
      </c>
      <c r="G66" s="105">
        <v>3744.23</v>
      </c>
      <c r="H66" s="105">
        <v>3745.9560000000001</v>
      </c>
      <c r="I66" s="105">
        <v>3747.6770000000001</v>
      </c>
      <c r="J66" s="82">
        <v>3749.4</v>
      </c>
      <c r="K66" s="105">
        <v>3301.4659999999999</v>
      </c>
      <c r="L66" s="105">
        <v>3602.56</v>
      </c>
      <c r="M66" s="105">
        <v>3605.1370000000002</v>
      </c>
      <c r="N66" s="82">
        <v>3607.7</v>
      </c>
      <c r="O66" s="105">
        <v>3576.692</v>
      </c>
      <c r="P66" s="105">
        <v>3575.97</v>
      </c>
      <c r="Q66" s="105">
        <v>3490.9380000000001</v>
      </c>
      <c r="S66" s="30">
        <f t="shared" ref="S66:S68" si="103">J66</f>
        <v>3749.4</v>
      </c>
      <c r="T66" s="30">
        <f t="shared" ref="T66:T68" si="104">K66</f>
        <v>3301.4659999999999</v>
      </c>
      <c r="U66" s="30">
        <f t="shared" ref="U66:U68" si="105">L66</f>
        <v>3602.56</v>
      </c>
      <c r="V66" s="30">
        <f t="shared" ref="V66:V68" si="106">M66</f>
        <v>3605.1370000000002</v>
      </c>
      <c r="W66" s="30">
        <f t="shared" ref="W66:W68" si="107">N66</f>
        <v>3607.7</v>
      </c>
      <c r="X66" s="30">
        <f t="shared" ref="X66:X68" si="108">O66</f>
        <v>3576.692</v>
      </c>
      <c r="Y66" s="30">
        <f t="shared" ref="Y66:Y68" si="109">P66</f>
        <v>3575.97</v>
      </c>
      <c r="Z66" s="30">
        <f t="shared" ref="Z66:Z68" si="110">Q66</f>
        <v>3490.9380000000001</v>
      </c>
      <c r="AA66" s="39"/>
      <c r="AB66" s="68">
        <f t="shared" ref="AB66" si="111">SUM(Z66/V66)-1</f>
        <v>-3.1676743491301451E-2</v>
      </c>
    </row>
    <row r="67" spans="2:28" ht="12.75" customHeight="1">
      <c r="B67" s="104" t="s">
        <v>138</v>
      </c>
      <c r="C67" s="76">
        <v>386.27</v>
      </c>
      <c r="D67" s="76">
        <v>546.279</v>
      </c>
      <c r="E67" s="76">
        <v>575.08000000000004</v>
      </c>
      <c r="G67" s="105">
        <v>368.52600000000001</v>
      </c>
      <c r="H67" s="105">
        <v>356.92899999999997</v>
      </c>
      <c r="I67" s="105">
        <v>346.50799999999998</v>
      </c>
      <c r="J67" s="82">
        <v>546.279</v>
      </c>
      <c r="K67" s="105">
        <v>553.74099999999999</v>
      </c>
      <c r="L67" s="105">
        <v>579.89</v>
      </c>
      <c r="M67" s="105">
        <v>577.91200000000003</v>
      </c>
      <c r="N67" s="82">
        <v>575.08000000000004</v>
      </c>
      <c r="O67" s="105">
        <v>575.42700000000002</v>
      </c>
      <c r="P67" s="105">
        <v>583.86</v>
      </c>
      <c r="Q67" s="105">
        <v>572.24</v>
      </c>
      <c r="S67" s="30">
        <f t="shared" si="103"/>
        <v>546.279</v>
      </c>
      <c r="T67" s="30">
        <f t="shared" si="104"/>
        <v>553.74099999999999</v>
      </c>
      <c r="U67" s="30">
        <f t="shared" si="105"/>
        <v>579.89</v>
      </c>
      <c r="V67" s="30">
        <f t="shared" si="106"/>
        <v>577.91200000000003</v>
      </c>
      <c r="W67" s="30">
        <f t="shared" si="107"/>
        <v>575.08000000000004</v>
      </c>
      <c r="X67" s="30">
        <f t="shared" si="108"/>
        <v>575.42700000000002</v>
      </c>
      <c r="Y67" s="30">
        <f t="shared" si="109"/>
        <v>583.86</v>
      </c>
      <c r="Z67" s="30">
        <f t="shared" si="110"/>
        <v>572.24</v>
      </c>
      <c r="AA67" s="39"/>
      <c r="AB67" s="68">
        <f t="shared" ref="AB67:AB68" si="112">SUM(Z67/V67)-1</f>
        <v>-9.8146430598430312E-3</v>
      </c>
    </row>
    <row r="68" spans="2:28" ht="12.75" customHeight="1">
      <c r="B68" s="104" t="s">
        <v>139</v>
      </c>
      <c r="C68" s="76">
        <v>104.45</v>
      </c>
      <c r="D68" s="76">
        <v>123.849</v>
      </c>
      <c r="E68" s="76">
        <v>59.24</v>
      </c>
      <c r="G68" s="105">
        <v>105.703</v>
      </c>
      <c r="H68" s="105">
        <v>120.714</v>
      </c>
      <c r="I68" s="105">
        <v>126.127</v>
      </c>
      <c r="J68" s="82">
        <v>123.849</v>
      </c>
      <c r="K68" s="105">
        <v>68.400999999999996</v>
      </c>
      <c r="L68" s="105">
        <v>58.7</v>
      </c>
      <c r="M68" s="105">
        <v>61.927</v>
      </c>
      <c r="N68" s="82">
        <v>59.24</v>
      </c>
      <c r="O68" s="105">
        <v>61.308999999999997</v>
      </c>
      <c r="P68" s="105">
        <v>66.77</v>
      </c>
      <c r="Q68" s="105">
        <v>66.772999999999996</v>
      </c>
      <c r="S68" s="30">
        <f t="shared" si="103"/>
        <v>123.849</v>
      </c>
      <c r="T68" s="30">
        <f t="shared" si="104"/>
        <v>68.400999999999996</v>
      </c>
      <c r="U68" s="30">
        <f t="shared" si="105"/>
        <v>58.7</v>
      </c>
      <c r="V68" s="30">
        <f t="shared" si="106"/>
        <v>61.927</v>
      </c>
      <c r="W68" s="30">
        <f t="shared" si="107"/>
        <v>59.24</v>
      </c>
      <c r="X68" s="30">
        <f t="shared" si="108"/>
        <v>61.308999999999997</v>
      </c>
      <c r="Y68" s="30">
        <f t="shared" si="109"/>
        <v>66.77</v>
      </c>
      <c r="Z68" s="30">
        <f t="shared" si="110"/>
        <v>66.772999999999996</v>
      </c>
      <c r="AA68" s="39"/>
      <c r="AB68" s="68">
        <f t="shared" si="112"/>
        <v>7.8253427422610544E-2</v>
      </c>
    </row>
    <row r="69" spans="2:28" ht="12.75" customHeight="1">
      <c r="B69" s="12" t="s">
        <v>17</v>
      </c>
      <c r="C69" s="13">
        <f>SUM(C66:C68)+C63</f>
        <v>5448.8339999999998</v>
      </c>
      <c r="D69" s="13">
        <f>SUM(D66:D68)+D63</f>
        <v>5553.6460000000006</v>
      </c>
      <c r="E69" s="13">
        <f>SUM(E66:E68)+E63</f>
        <v>5485.5679999999993</v>
      </c>
      <c r="G69" s="13">
        <f t="shared" ref="G69:Q69" si="113">SUM(G66:G68)+G63</f>
        <v>5309.9430000000011</v>
      </c>
      <c r="H69" s="13">
        <f t="shared" si="113"/>
        <v>5161.2560000000003</v>
      </c>
      <c r="I69" s="13">
        <f t="shared" si="113"/>
        <v>5229.8829999999998</v>
      </c>
      <c r="J69" s="13">
        <f t="shared" si="113"/>
        <v>5553.6460000000006</v>
      </c>
      <c r="K69" s="13">
        <f t="shared" si="113"/>
        <v>5036.0529999999999</v>
      </c>
      <c r="L69" s="13">
        <f t="shared" si="113"/>
        <v>5353.2950000000001</v>
      </c>
      <c r="M69" s="13">
        <f t="shared" si="113"/>
        <v>5381.3419999999996</v>
      </c>
      <c r="N69" s="13">
        <f t="shared" si="113"/>
        <v>5485.5679999999993</v>
      </c>
      <c r="O69" s="13">
        <f t="shared" si="113"/>
        <v>5277.8649999999998</v>
      </c>
      <c r="P69" s="13">
        <f t="shared" si="113"/>
        <v>5329.616</v>
      </c>
      <c r="Q69" s="13">
        <f t="shared" si="113"/>
        <v>5350.6</v>
      </c>
      <c r="S69" s="13">
        <f t="shared" ref="S69:Z69" si="114">SUM(S66:S68)+S63</f>
        <v>5553.6460000000006</v>
      </c>
      <c r="T69" s="13">
        <f t="shared" si="114"/>
        <v>5036.0529999999999</v>
      </c>
      <c r="U69" s="13">
        <f t="shared" si="114"/>
        <v>5353.2950000000001</v>
      </c>
      <c r="V69" s="13">
        <f t="shared" si="114"/>
        <v>5381.3419999999996</v>
      </c>
      <c r="W69" s="13">
        <f t="shared" si="114"/>
        <v>5485.5679999999993</v>
      </c>
      <c r="X69" s="13">
        <f t="shared" si="114"/>
        <v>5277.8649999999998</v>
      </c>
      <c r="Y69" s="13">
        <f t="shared" si="114"/>
        <v>5329.616</v>
      </c>
      <c r="Z69" s="13">
        <f t="shared" si="114"/>
        <v>5350.6</v>
      </c>
      <c r="AA69" s="39"/>
      <c r="AB69" s="69">
        <f>SUM(Z69/V69)-1</f>
        <v>-5.7127014042220869E-3</v>
      </c>
    </row>
    <row r="70" spans="2:28" ht="5.0999999999999996" customHeight="1">
      <c r="B70" s="23"/>
      <c r="C70" s="46"/>
      <c r="D70" s="38"/>
      <c r="E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S70" s="39"/>
      <c r="T70" s="39"/>
      <c r="U70" s="39"/>
      <c r="V70" s="39"/>
      <c r="W70" s="39"/>
      <c r="X70" s="39"/>
      <c r="Y70" s="39"/>
      <c r="Z70" s="39"/>
      <c r="AA70" s="39"/>
      <c r="AB70" s="36"/>
    </row>
    <row r="71" spans="2:28" ht="12.75" customHeight="1">
      <c r="B71" s="104" t="s">
        <v>140</v>
      </c>
      <c r="C71" s="76">
        <v>1.2999999999999999E-2</v>
      </c>
      <c r="D71" s="76">
        <v>1.4E-2</v>
      </c>
      <c r="E71" s="76">
        <v>1.4E-2</v>
      </c>
      <c r="G71" s="76">
        <v>1.2999999999999999E-2</v>
      </c>
      <c r="H71" s="76">
        <v>1.4E-2</v>
      </c>
      <c r="I71" s="76">
        <v>1.4E-2</v>
      </c>
      <c r="J71" s="82">
        <f>D71</f>
        <v>1.4E-2</v>
      </c>
      <c r="K71" s="76">
        <v>1.4E-2</v>
      </c>
      <c r="L71" s="76">
        <v>1.4E-2</v>
      </c>
      <c r="M71" s="76">
        <v>1.4E-2</v>
      </c>
      <c r="N71" s="82">
        <f>E71</f>
        <v>1.4E-2</v>
      </c>
      <c r="O71" s="76">
        <v>1.4E-2</v>
      </c>
      <c r="P71" s="76">
        <v>1.4E-2</v>
      </c>
      <c r="Q71" s="76">
        <v>1.4999999999999999E-2</v>
      </c>
      <c r="S71" s="30">
        <f t="shared" ref="S71:S74" si="115">J71</f>
        <v>1.4E-2</v>
      </c>
      <c r="T71" s="30">
        <f t="shared" ref="T71:T74" si="116">K71</f>
        <v>1.4E-2</v>
      </c>
      <c r="U71" s="30">
        <f t="shared" ref="U71:U74" si="117">L71</f>
        <v>1.4E-2</v>
      </c>
      <c r="V71" s="30">
        <f t="shared" ref="V71:V74" si="118">M71</f>
        <v>1.4E-2</v>
      </c>
      <c r="W71" s="30">
        <f t="shared" ref="W71:W74" si="119">N71</f>
        <v>1.4E-2</v>
      </c>
      <c r="X71" s="30">
        <f t="shared" ref="X71:X74" si="120">O71</f>
        <v>1.4E-2</v>
      </c>
      <c r="Y71" s="30">
        <f t="shared" ref="Y71:Y74" si="121">P71</f>
        <v>1.4E-2</v>
      </c>
      <c r="Z71" s="30">
        <f t="shared" ref="Z71:Z74" si="122">Q71</f>
        <v>1.4999999999999999E-2</v>
      </c>
      <c r="AA71" s="11"/>
      <c r="AB71" s="68">
        <f t="shared" ref="AB71:AB74" si="123">SUM(Z71/V71)-1</f>
        <v>7.1428571428571397E-2</v>
      </c>
    </row>
    <row r="72" spans="2:28" ht="12.75" customHeight="1">
      <c r="B72" s="104" t="s">
        <v>141</v>
      </c>
      <c r="C72" s="76">
        <v>0</v>
      </c>
      <c r="D72" s="76">
        <v>0</v>
      </c>
      <c r="E72" s="76">
        <v>0</v>
      </c>
      <c r="G72" s="76">
        <v>0</v>
      </c>
      <c r="H72" s="76">
        <v>0</v>
      </c>
      <c r="I72" s="76">
        <v>0</v>
      </c>
      <c r="J72" s="82">
        <f>D72</f>
        <v>0</v>
      </c>
      <c r="K72" s="76">
        <v>0</v>
      </c>
      <c r="L72" s="76">
        <v>0</v>
      </c>
      <c r="M72" s="76">
        <v>0</v>
      </c>
      <c r="N72" s="82">
        <f>E72</f>
        <v>0</v>
      </c>
      <c r="O72" s="76">
        <v>0</v>
      </c>
      <c r="P72" s="76">
        <v>0</v>
      </c>
      <c r="Q72" s="76">
        <v>0</v>
      </c>
      <c r="S72" s="30">
        <f t="shared" si="115"/>
        <v>0</v>
      </c>
      <c r="T72" s="30">
        <f t="shared" si="116"/>
        <v>0</v>
      </c>
      <c r="U72" s="30">
        <f t="shared" si="117"/>
        <v>0</v>
      </c>
      <c r="V72" s="30">
        <f t="shared" si="118"/>
        <v>0</v>
      </c>
      <c r="W72" s="30">
        <f t="shared" si="119"/>
        <v>0</v>
      </c>
      <c r="X72" s="30">
        <f t="shared" si="120"/>
        <v>0</v>
      </c>
      <c r="Y72" s="30">
        <f t="shared" si="121"/>
        <v>0</v>
      </c>
      <c r="Z72" s="30">
        <f t="shared" si="122"/>
        <v>0</v>
      </c>
      <c r="AA72" s="11"/>
      <c r="AB72" s="68" t="e">
        <f t="shared" si="123"/>
        <v>#DIV/0!</v>
      </c>
    </row>
    <row r="73" spans="2:28" ht="12.75" customHeight="1">
      <c r="B73" s="104" t="s">
        <v>142</v>
      </c>
      <c r="C73" s="76">
        <v>2E-3</v>
      </c>
      <c r="D73" s="76">
        <v>2E-3</v>
      </c>
      <c r="E73" s="76">
        <v>2E-3</v>
      </c>
      <c r="G73" s="76">
        <v>2E-3</v>
      </c>
      <c r="H73" s="76">
        <v>2E-3</v>
      </c>
      <c r="I73" s="76">
        <v>2E-3</v>
      </c>
      <c r="J73" s="82">
        <f>D73</f>
        <v>2E-3</v>
      </c>
      <c r="K73" s="76">
        <v>2E-3</v>
      </c>
      <c r="L73" s="76">
        <v>2E-3</v>
      </c>
      <c r="M73" s="76">
        <v>2E-3</v>
      </c>
      <c r="N73" s="82">
        <f>E73</f>
        <v>2E-3</v>
      </c>
      <c r="O73" s="76">
        <v>2E-3</v>
      </c>
      <c r="P73" s="76">
        <v>2E-3</v>
      </c>
      <c r="Q73" s="76">
        <v>2E-3</v>
      </c>
      <c r="S73" s="30">
        <f t="shared" si="115"/>
        <v>2E-3</v>
      </c>
      <c r="T73" s="30">
        <f t="shared" si="116"/>
        <v>2E-3</v>
      </c>
      <c r="U73" s="30">
        <f t="shared" si="117"/>
        <v>2E-3</v>
      </c>
      <c r="V73" s="30">
        <f t="shared" si="118"/>
        <v>2E-3</v>
      </c>
      <c r="W73" s="30">
        <f t="shared" si="119"/>
        <v>2E-3</v>
      </c>
      <c r="X73" s="30">
        <f t="shared" si="120"/>
        <v>2E-3</v>
      </c>
      <c r="Y73" s="30">
        <f t="shared" si="121"/>
        <v>2E-3</v>
      </c>
      <c r="Z73" s="30">
        <f t="shared" si="122"/>
        <v>2E-3</v>
      </c>
      <c r="AA73" s="11"/>
      <c r="AB73" s="68">
        <f t="shared" si="123"/>
        <v>0</v>
      </c>
    </row>
    <row r="74" spans="2:28" ht="12.75" customHeight="1">
      <c r="B74" s="104" t="s">
        <v>143</v>
      </c>
      <c r="C74" s="105">
        <v>-500.51400000000001</v>
      </c>
      <c r="D74" s="76">
        <v>-479.90300000000002</v>
      </c>
      <c r="E74" s="76">
        <v>-460.62</v>
      </c>
      <c r="G74" s="105">
        <v>-496.90600000000001</v>
      </c>
      <c r="H74" s="105">
        <v>-492.5</v>
      </c>
      <c r="I74" s="105">
        <v>-487.98200000000003</v>
      </c>
      <c r="J74" s="82">
        <f>D74</f>
        <v>-479.90300000000002</v>
      </c>
      <c r="K74" s="105">
        <v>-475.93900000000002</v>
      </c>
      <c r="L74" s="105">
        <v>-470.99900000000002</v>
      </c>
      <c r="M74" s="105">
        <v>-465.50200000000001</v>
      </c>
      <c r="N74" s="82">
        <f>E74</f>
        <v>-460.62</v>
      </c>
      <c r="O74" s="105">
        <v>-448.50900000000001</v>
      </c>
      <c r="P74" s="105">
        <v>-444.57299999999998</v>
      </c>
      <c r="Q74" s="105">
        <v>-440.476</v>
      </c>
      <c r="S74" s="30">
        <f t="shared" si="115"/>
        <v>-479.90300000000002</v>
      </c>
      <c r="T74" s="30">
        <f t="shared" si="116"/>
        <v>-475.93900000000002</v>
      </c>
      <c r="U74" s="30">
        <f t="shared" si="117"/>
        <v>-470.99900000000002</v>
      </c>
      <c r="V74" s="30">
        <f t="shared" si="118"/>
        <v>-465.50200000000001</v>
      </c>
      <c r="W74" s="30">
        <f t="shared" si="119"/>
        <v>-460.62</v>
      </c>
      <c r="X74" s="30">
        <f t="shared" si="120"/>
        <v>-448.50900000000001</v>
      </c>
      <c r="Y74" s="30">
        <f t="shared" si="121"/>
        <v>-444.57299999999998</v>
      </c>
      <c r="Z74" s="30">
        <f t="shared" si="122"/>
        <v>-440.476</v>
      </c>
      <c r="AA74" s="11"/>
      <c r="AB74" s="68">
        <f t="shared" si="123"/>
        <v>-5.3761315740856075E-2</v>
      </c>
    </row>
    <row r="75" spans="2:28" ht="12.75" customHeight="1">
      <c r="B75" s="104" t="s">
        <v>144</v>
      </c>
      <c r="C75" s="105">
        <v>13309.828</v>
      </c>
      <c r="D75" s="76">
        <v>14613.404</v>
      </c>
      <c r="E75" s="76">
        <v>15644.132</v>
      </c>
      <c r="G75" s="105">
        <v>13620.325999999999</v>
      </c>
      <c r="H75" s="105">
        <v>13934.244000000001</v>
      </c>
      <c r="I75" s="105">
        <v>14287.664000000001</v>
      </c>
      <c r="J75" s="82">
        <f t="shared" ref="J75:J77" si="124">D75</f>
        <v>14613.404</v>
      </c>
      <c r="K75" s="105">
        <v>14873.261</v>
      </c>
      <c r="L75" s="105">
        <v>15126.248</v>
      </c>
      <c r="M75" s="105">
        <v>15391.284</v>
      </c>
      <c r="N75" s="82">
        <f t="shared" ref="N75:N77" si="125">E75</f>
        <v>15644.132</v>
      </c>
      <c r="O75" s="105">
        <v>15879.359</v>
      </c>
      <c r="P75" s="105">
        <v>16127.308999999999</v>
      </c>
      <c r="Q75" s="105">
        <v>16383.575000000001</v>
      </c>
      <c r="S75" s="30">
        <f t="shared" ref="S75:S77" si="126">J75</f>
        <v>14613.404</v>
      </c>
      <c r="T75" s="30">
        <f t="shared" ref="T75:T77" si="127">K75</f>
        <v>14873.261</v>
      </c>
      <c r="U75" s="30">
        <f t="shared" ref="U75:U77" si="128">L75</f>
        <v>15126.248</v>
      </c>
      <c r="V75" s="30">
        <f t="shared" ref="V75:V77" si="129">M75</f>
        <v>15391.284</v>
      </c>
      <c r="W75" s="30">
        <f t="shared" ref="W75:W77" si="130">N75</f>
        <v>15644.132</v>
      </c>
      <c r="X75" s="30">
        <f t="shared" ref="X75:X77" si="131">O75</f>
        <v>15879.359</v>
      </c>
      <c r="Y75" s="30">
        <f t="shared" ref="Y75:Y77" si="132">P75</f>
        <v>16127.308999999999</v>
      </c>
      <c r="Z75" s="30">
        <f t="shared" ref="Z75:Z77" si="133">Q75</f>
        <v>16383.575000000001</v>
      </c>
      <c r="AA75" s="11"/>
      <c r="AB75" s="68">
        <f t="shared" ref="AB75:AB77" si="134">SUM(Z75/V75)-1</f>
        <v>6.4470969413598089E-2</v>
      </c>
    </row>
    <row r="76" spans="2:28" ht="12.75" customHeight="1">
      <c r="B76" s="104" t="s">
        <v>145</v>
      </c>
      <c r="C76" s="105">
        <v>-10214.656999999999</v>
      </c>
      <c r="D76" s="76">
        <v>-11726.536</v>
      </c>
      <c r="E76" s="76">
        <v>-12735.460999999999</v>
      </c>
      <c r="G76" s="105">
        <v>-10543.331</v>
      </c>
      <c r="H76" s="105">
        <v>-10920.638999999999</v>
      </c>
      <c r="I76" s="105">
        <v>-11288.895</v>
      </c>
      <c r="J76" s="82">
        <f t="shared" si="124"/>
        <v>-11726.536</v>
      </c>
      <c r="K76" s="105">
        <v>-12266.74</v>
      </c>
      <c r="L76" s="105">
        <v>-12591.315000000001</v>
      </c>
      <c r="M76" s="105">
        <v>-12744.562</v>
      </c>
      <c r="N76" s="82">
        <f t="shared" si="125"/>
        <v>-12735.460999999999</v>
      </c>
      <c r="O76" s="105">
        <v>-13132.147999999999</v>
      </c>
      <c r="P76" s="105">
        <v>-13638.191000000001</v>
      </c>
      <c r="Q76" s="105">
        <v>-13741.732</v>
      </c>
      <c r="S76" s="30">
        <f t="shared" si="126"/>
        <v>-11726.536</v>
      </c>
      <c r="T76" s="30">
        <f t="shared" si="127"/>
        <v>-12266.74</v>
      </c>
      <c r="U76" s="30">
        <f t="shared" si="128"/>
        <v>-12591.315000000001</v>
      </c>
      <c r="V76" s="30">
        <f t="shared" si="129"/>
        <v>-12744.562</v>
      </c>
      <c r="W76" s="30">
        <f t="shared" si="130"/>
        <v>-12735.460999999999</v>
      </c>
      <c r="X76" s="30">
        <f t="shared" si="131"/>
        <v>-13132.147999999999</v>
      </c>
      <c r="Y76" s="30">
        <f t="shared" si="132"/>
        <v>-13638.191000000001</v>
      </c>
      <c r="Z76" s="30">
        <f t="shared" si="133"/>
        <v>-13741.732</v>
      </c>
      <c r="AA76" s="11"/>
      <c r="AB76" s="68">
        <f t="shared" si="134"/>
        <v>7.824278307877508E-2</v>
      </c>
    </row>
    <row r="77" spans="2:28" ht="12.75" customHeight="1">
      <c r="B77" s="104" t="s">
        <v>146</v>
      </c>
      <c r="C77" s="105">
        <v>-13.974</v>
      </c>
      <c r="D77" s="76">
        <v>7.1310000000000002</v>
      </c>
      <c r="E77" s="76">
        <v>2.694</v>
      </c>
      <c r="G77" s="105">
        <v>-1.6639999999999999</v>
      </c>
      <c r="H77" s="105">
        <v>-16.161000000000001</v>
      </c>
      <c r="I77" s="105">
        <v>-17.782</v>
      </c>
      <c r="J77" s="82">
        <f t="shared" si="124"/>
        <v>7.1310000000000002</v>
      </c>
      <c r="K77" s="105">
        <v>0.75</v>
      </c>
      <c r="L77" s="105">
        <v>2.7719999999999998</v>
      </c>
      <c r="M77" s="105">
        <v>28.838999999999999</v>
      </c>
      <c r="N77" s="82">
        <f t="shared" si="125"/>
        <v>2.694</v>
      </c>
      <c r="O77" s="105">
        <v>12.617000000000001</v>
      </c>
      <c r="P77" s="105">
        <v>24.795999999999999</v>
      </c>
      <c r="Q77" s="105">
        <v>25.966000000000001</v>
      </c>
      <c r="S77" s="30">
        <f t="shared" si="126"/>
        <v>7.1310000000000002</v>
      </c>
      <c r="T77" s="30">
        <f t="shared" si="127"/>
        <v>0.75</v>
      </c>
      <c r="U77" s="30">
        <f t="shared" si="128"/>
        <v>2.7719999999999998</v>
      </c>
      <c r="V77" s="30">
        <f t="shared" si="129"/>
        <v>28.838999999999999</v>
      </c>
      <c r="W77" s="30">
        <f t="shared" si="130"/>
        <v>2.694</v>
      </c>
      <c r="X77" s="30">
        <f t="shared" si="131"/>
        <v>12.617000000000001</v>
      </c>
      <c r="Y77" s="30">
        <f t="shared" si="132"/>
        <v>24.795999999999999</v>
      </c>
      <c r="Z77" s="30">
        <f t="shared" si="133"/>
        <v>25.966000000000001</v>
      </c>
      <c r="AA77" s="11"/>
      <c r="AB77" s="68">
        <f t="shared" si="134"/>
        <v>-9.9622039599153833E-2</v>
      </c>
    </row>
    <row r="78" spans="2:28" ht="12.75" customHeight="1">
      <c r="B78" s="12" t="s">
        <v>16</v>
      </c>
      <c r="C78" s="13">
        <f>SUM(C71:C77)</f>
        <v>2580.6980000000003</v>
      </c>
      <c r="D78" s="13">
        <f>SUM(D71:D77)</f>
        <v>2414.1119999999996</v>
      </c>
      <c r="E78" s="13">
        <f>SUM(E71:E77)</f>
        <v>2450.7610000000009</v>
      </c>
      <c r="F78" s="48"/>
      <c r="G78" s="13">
        <f>SUM(G71:G77)</f>
        <v>2578.4399999999991</v>
      </c>
      <c r="H78" s="13">
        <f>SUM(H71:H77)</f>
        <v>2504.9600000000009</v>
      </c>
      <c r="I78" s="13">
        <f>SUM(I71:I77)</f>
        <v>2493.0209999999997</v>
      </c>
      <c r="J78" s="13">
        <f>SUM(J71:J77)</f>
        <v>2414.1119999999996</v>
      </c>
      <c r="K78" s="13">
        <f>SUM(K71:K77)</f>
        <v>2131.348</v>
      </c>
      <c r="L78" s="13">
        <f>SUM(L71:L77)</f>
        <v>2066.7219999999988</v>
      </c>
      <c r="M78" s="13">
        <f>SUM(M71:M77)</f>
        <v>2210.0749999999989</v>
      </c>
      <c r="N78" s="13">
        <f>SUM(N71:N77)</f>
        <v>2450.7610000000009</v>
      </c>
      <c r="O78" s="13">
        <f>SUM(O71:O77)</f>
        <v>2311.3350000000009</v>
      </c>
      <c r="P78" s="13">
        <f>SUM(P71:P77)</f>
        <v>2069.3569999999977</v>
      </c>
      <c r="Q78" s="13">
        <f>SUM(Q71:Q77)</f>
        <v>2227.35</v>
      </c>
      <c r="S78" s="13">
        <f>SUM(S71:S77)</f>
        <v>2414.1119999999996</v>
      </c>
      <c r="T78" s="13">
        <f>SUM(T71:T77)</f>
        <v>2131.348</v>
      </c>
      <c r="U78" s="13">
        <f>SUM(U71:U77)</f>
        <v>2066.7219999999988</v>
      </c>
      <c r="V78" s="13">
        <f>SUM(V71:V77)</f>
        <v>2210.0749999999989</v>
      </c>
      <c r="W78" s="13">
        <f>SUM(W71:W77)</f>
        <v>2450.7610000000009</v>
      </c>
      <c r="X78" s="13">
        <f>SUM(X71:X77)</f>
        <v>2311.3350000000009</v>
      </c>
      <c r="Y78" s="13">
        <f>SUM(Y71:Y77)</f>
        <v>2069.3569999999977</v>
      </c>
      <c r="Z78" s="13">
        <f>SUM(Z71:Z77)</f>
        <v>2227.35</v>
      </c>
      <c r="AA78" s="39"/>
      <c r="AB78" s="69">
        <f>SUM(Z78/V78)-1</f>
        <v>7.8164768163981879E-3</v>
      </c>
    </row>
    <row r="79" spans="2:28" ht="12.75" customHeight="1">
      <c r="B79" s="23" t="s">
        <v>52</v>
      </c>
      <c r="C79" s="30">
        <f>SUM(C78+C69)</f>
        <v>8029.5320000000002</v>
      </c>
      <c r="D79" s="30">
        <f>SUM(D78+D69)</f>
        <v>7967.7579999999998</v>
      </c>
      <c r="E79" s="30">
        <f>SUM(E78+E69)</f>
        <v>7936.3289999999997</v>
      </c>
      <c r="F79" s="30"/>
      <c r="G79" s="30">
        <f>SUM(G78+G69)</f>
        <v>7888.3829999999998</v>
      </c>
      <c r="H79" s="30">
        <f>SUM(H78+H69)</f>
        <v>7666.2160000000013</v>
      </c>
      <c r="I79" s="30">
        <f>SUM(I78+I69)</f>
        <v>7722.9039999999995</v>
      </c>
      <c r="J79" s="30">
        <f>SUM(J78+J69)</f>
        <v>7967.7579999999998</v>
      </c>
      <c r="K79" s="30">
        <f>SUM(K78+K69)</f>
        <v>7167.4009999999998</v>
      </c>
      <c r="L79" s="30">
        <f>SUM(L78+L69)</f>
        <v>7420.0169999999989</v>
      </c>
      <c r="M79" s="30">
        <f>SUM(M78+M69)</f>
        <v>7591.4169999999986</v>
      </c>
      <c r="N79" s="30">
        <f>SUM(N78+N69)</f>
        <v>7936.3289999999997</v>
      </c>
      <c r="O79" s="30">
        <f>SUM(O78+O69)</f>
        <v>7589.2000000000007</v>
      </c>
      <c r="P79" s="30">
        <f>SUM(P78+P69)</f>
        <v>7398.9729999999981</v>
      </c>
      <c r="Q79" s="30">
        <f>SUM(Q78+Q69)</f>
        <v>7577.9500000000007</v>
      </c>
      <c r="R79" s="30"/>
      <c r="S79" s="30">
        <f>SUM(S78+S69)</f>
        <v>7967.7579999999998</v>
      </c>
      <c r="T79" s="30">
        <f>SUM(T78+T69)</f>
        <v>7167.4009999999998</v>
      </c>
      <c r="U79" s="30">
        <f>SUM(U78+U69)</f>
        <v>7420.0169999999989</v>
      </c>
      <c r="V79" s="30">
        <f>SUM(V78+V69)</f>
        <v>7591.4169999999986</v>
      </c>
      <c r="W79" s="30">
        <f>SUM(W78+W69)</f>
        <v>7936.3289999999997</v>
      </c>
      <c r="X79" s="30">
        <f>SUM(X78+X69)</f>
        <v>7589.2000000000007</v>
      </c>
      <c r="Y79" s="30">
        <f>SUM(Y78+Y69)</f>
        <v>7398.9729999999981</v>
      </c>
      <c r="Z79" s="30">
        <f>SUM(Z78+Z69)</f>
        <v>7577.9500000000007</v>
      </c>
      <c r="AA79" s="11"/>
      <c r="AB79" s="69">
        <f>SUM(Z79/V79)-1</f>
        <v>-1.773977111255709E-3</v>
      </c>
    </row>
    <row r="80" spans="2:28" ht="5.0999999999999996" customHeight="1">
      <c r="B80" s="23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11"/>
    </row>
    <row r="81" spans="1:28" ht="12.75" customHeight="1">
      <c r="B81" s="62" t="s">
        <v>63</v>
      </c>
      <c r="C81" s="63">
        <f t="shared" ref="C81:Z81" si="135">ROUND(C79-C56,0.1)</f>
        <v>0</v>
      </c>
      <c r="D81" s="63">
        <f t="shared" si="135"/>
        <v>0</v>
      </c>
      <c r="E81" s="63">
        <f t="shared" si="135"/>
        <v>0</v>
      </c>
      <c r="F81" s="64"/>
      <c r="G81" s="63">
        <f t="shared" si="135"/>
        <v>0</v>
      </c>
      <c r="H81" s="63">
        <f t="shared" si="135"/>
        <v>0</v>
      </c>
      <c r="I81" s="63">
        <f t="shared" si="135"/>
        <v>0</v>
      </c>
      <c r="J81" s="63">
        <f t="shared" si="135"/>
        <v>0</v>
      </c>
      <c r="K81" s="63">
        <f t="shared" si="135"/>
        <v>0</v>
      </c>
      <c r="L81" s="63">
        <f t="shared" si="135"/>
        <v>0</v>
      </c>
      <c r="M81" s="63">
        <f t="shared" si="135"/>
        <v>0</v>
      </c>
      <c r="N81" s="63">
        <f t="shared" si="135"/>
        <v>0</v>
      </c>
      <c r="O81" s="63">
        <f t="shared" si="135"/>
        <v>0</v>
      </c>
      <c r="P81" s="63">
        <f t="shared" si="135"/>
        <v>0</v>
      </c>
      <c r="Q81" s="63">
        <f t="shared" si="135"/>
        <v>0</v>
      </c>
      <c r="R81" s="26"/>
      <c r="S81" s="63">
        <f t="shared" si="135"/>
        <v>0</v>
      </c>
      <c r="T81" s="63">
        <f t="shared" si="135"/>
        <v>0</v>
      </c>
      <c r="U81" s="63">
        <f t="shared" si="135"/>
        <v>0</v>
      </c>
      <c r="V81" s="63">
        <f t="shared" si="135"/>
        <v>0</v>
      </c>
      <c r="W81" s="63">
        <f t="shared" si="135"/>
        <v>0</v>
      </c>
      <c r="X81" s="63">
        <f t="shared" si="135"/>
        <v>0</v>
      </c>
      <c r="Y81" s="63">
        <f t="shared" si="135"/>
        <v>0</v>
      </c>
      <c r="Z81" s="63">
        <f t="shared" si="135"/>
        <v>0</v>
      </c>
    </row>
    <row r="82" spans="1:28" ht="5.0999999999999996" customHeight="1" thickBot="1">
      <c r="B82" s="100"/>
      <c r="C82" s="101"/>
      <c r="D82" s="101"/>
      <c r="E82" s="101"/>
      <c r="F82" s="102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3"/>
      <c r="S82" s="101"/>
      <c r="T82" s="101"/>
      <c r="U82" s="101"/>
      <c r="V82" s="101"/>
      <c r="W82" s="101"/>
      <c r="X82" s="101"/>
      <c r="Y82" s="101"/>
      <c r="Z82" s="101"/>
      <c r="AA82" s="66"/>
      <c r="AB82" s="66"/>
    </row>
    <row r="83" spans="1:28">
      <c r="B83" s="61"/>
      <c r="C83" s="22"/>
      <c r="D83" s="22"/>
      <c r="E83" s="22"/>
      <c r="F83" s="49"/>
    </row>
    <row r="84" spans="1:28" ht="12.75" customHeight="1">
      <c r="A84" s="5" t="s">
        <v>18</v>
      </c>
      <c r="B84" s="83" t="s">
        <v>15</v>
      </c>
      <c r="C84" s="87" t="s">
        <v>0</v>
      </c>
      <c r="D84" s="87"/>
      <c r="E84" s="87"/>
      <c r="F84" s="88"/>
      <c r="G84" s="87"/>
      <c r="H84" s="87"/>
      <c r="I84" s="87"/>
      <c r="J84" s="87"/>
      <c r="K84" s="87"/>
      <c r="L84" s="87"/>
      <c r="M84" s="87" t="s">
        <v>1</v>
      </c>
      <c r="N84" s="87"/>
      <c r="O84" s="87"/>
      <c r="P84" s="87"/>
      <c r="Q84" s="87"/>
      <c r="R84" s="83"/>
      <c r="S84" s="87"/>
      <c r="T84" s="87"/>
      <c r="U84" s="87"/>
      <c r="V84" s="87" t="s">
        <v>10</v>
      </c>
      <c r="W84" s="87"/>
      <c r="X84" s="87"/>
      <c r="Y84" s="87"/>
      <c r="Z84" s="87"/>
      <c r="AA84" s="88"/>
      <c r="AB84" s="153" t="s">
        <v>24</v>
      </c>
    </row>
    <row r="85" spans="1:28" ht="12.75" customHeight="1">
      <c r="B85" s="84" t="str">
        <f t="shared" ref="B85:E86" si="136">B7</f>
        <v>Fiscal Period</v>
      </c>
      <c r="C85" s="89">
        <f t="shared" si="136"/>
        <v>2022</v>
      </c>
      <c r="D85" s="89">
        <f t="shared" si="136"/>
        <v>2023</v>
      </c>
      <c r="E85" s="89">
        <f t="shared" si="136"/>
        <v>2024</v>
      </c>
      <c r="F85" s="88"/>
      <c r="G85" s="89" t="str">
        <f t="shared" ref="G85:Q85" si="137">G7</f>
        <v>1Q23</v>
      </c>
      <c r="H85" s="89" t="str">
        <f t="shared" si="137"/>
        <v>2Q23</v>
      </c>
      <c r="I85" s="89" t="str">
        <f t="shared" si="137"/>
        <v>3Q23</v>
      </c>
      <c r="J85" s="89" t="str">
        <f t="shared" si="137"/>
        <v>4Q23</v>
      </c>
      <c r="K85" s="89" t="str">
        <f t="shared" si="137"/>
        <v>1Q24</v>
      </c>
      <c r="L85" s="89" t="str">
        <f t="shared" si="137"/>
        <v>2Q24</v>
      </c>
      <c r="M85" s="89" t="str">
        <f t="shared" si="137"/>
        <v>3Q24</v>
      </c>
      <c r="N85" s="89" t="str">
        <f t="shared" si="137"/>
        <v>4Q24</v>
      </c>
      <c r="O85" s="89" t="str">
        <f t="shared" si="137"/>
        <v>1Q25</v>
      </c>
      <c r="P85" s="89" t="str">
        <f t="shared" si="137"/>
        <v>2Q25</v>
      </c>
      <c r="Q85" s="89" t="str">
        <f t="shared" si="137"/>
        <v>3Q25</v>
      </c>
      <c r="R85" s="89"/>
      <c r="S85" s="89" t="str">
        <f t="shared" ref="S85:Z86" si="138">S7</f>
        <v>4Q23</v>
      </c>
      <c r="T85" s="89" t="str">
        <f t="shared" si="138"/>
        <v>1Q24</v>
      </c>
      <c r="U85" s="89" t="str">
        <f t="shared" si="138"/>
        <v>2Q24</v>
      </c>
      <c r="V85" s="89" t="str">
        <f t="shared" si="138"/>
        <v>3Q24</v>
      </c>
      <c r="W85" s="89" t="str">
        <f t="shared" si="138"/>
        <v>4Q24</v>
      </c>
      <c r="X85" s="89" t="str">
        <f t="shared" si="138"/>
        <v>1Q25</v>
      </c>
      <c r="Y85" s="89" t="str">
        <f t="shared" si="138"/>
        <v>2Q25</v>
      </c>
      <c r="Z85" s="89" t="str">
        <f t="shared" si="138"/>
        <v>3Q25</v>
      </c>
      <c r="AA85" s="88"/>
      <c r="AB85" s="153"/>
    </row>
    <row r="86" spans="1:28" ht="12.75" customHeight="1">
      <c r="B86" s="84" t="str">
        <f t="shared" si="136"/>
        <v>Fiscal Period End Date</v>
      </c>
      <c r="C86" s="90">
        <f t="shared" si="136"/>
        <v>44926</v>
      </c>
      <c r="D86" s="90">
        <f t="shared" si="136"/>
        <v>45291</v>
      </c>
      <c r="E86" s="90">
        <f t="shared" si="136"/>
        <v>45657</v>
      </c>
      <c r="F86" s="88"/>
      <c r="G86" s="90">
        <f t="shared" ref="G86:Q86" si="139">G8</f>
        <v>45016</v>
      </c>
      <c r="H86" s="90">
        <f t="shared" si="139"/>
        <v>45107</v>
      </c>
      <c r="I86" s="90">
        <f t="shared" si="139"/>
        <v>45199</v>
      </c>
      <c r="J86" s="90">
        <f t="shared" si="139"/>
        <v>45291</v>
      </c>
      <c r="K86" s="90">
        <f t="shared" si="139"/>
        <v>45382</v>
      </c>
      <c r="L86" s="90">
        <f t="shared" si="139"/>
        <v>45473</v>
      </c>
      <c r="M86" s="90">
        <f t="shared" si="139"/>
        <v>45565</v>
      </c>
      <c r="N86" s="90">
        <f t="shared" si="139"/>
        <v>45657</v>
      </c>
      <c r="O86" s="90">
        <f t="shared" si="139"/>
        <v>45747</v>
      </c>
      <c r="P86" s="90">
        <f t="shared" si="139"/>
        <v>45838</v>
      </c>
      <c r="Q86" s="90">
        <f t="shared" si="139"/>
        <v>45930</v>
      </c>
      <c r="R86" s="90"/>
      <c r="S86" s="90">
        <f t="shared" si="138"/>
        <v>45291</v>
      </c>
      <c r="T86" s="90">
        <f t="shared" si="138"/>
        <v>45382</v>
      </c>
      <c r="U86" s="90">
        <f t="shared" si="138"/>
        <v>45473</v>
      </c>
      <c r="V86" s="90">
        <f t="shared" si="138"/>
        <v>45565</v>
      </c>
      <c r="W86" s="90">
        <f t="shared" si="138"/>
        <v>45657</v>
      </c>
      <c r="X86" s="90">
        <f t="shared" si="138"/>
        <v>45747</v>
      </c>
      <c r="Y86" s="90">
        <f t="shared" si="138"/>
        <v>45838</v>
      </c>
      <c r="Z86" s="90">
        <f t="shared" si="138"/>
        <v>45930</v>
      </c>
      <c r="AA86" s="88"/>
      <c r="AB86" s="153"/>
    </row>
    <row r="87" spans="1:28" ht="5.0999999999999996" customHeight="1">
      <c r="B87" s="50"/>
      <c r="C87" s="44"/>
      <c r="D87" s="44"/>
      <c r="E87" s="44"/>
    </row>
    <row r="88" spans="1:28" ht="12.75" customHeight="1">
      <c r="B88" s="51" t="s">
        <v>53</v>
      </c>
      <c r="C88" s="52"/>
      <c r="D88" s="52"/>
      <c r="E88" s="52"/>
    </row>
    <row r="89" spans="1:28" ht="12.75" customHeight="1">
      <c r="B89" s="53" t="s">
        <v>54</v>
      </c>
      <c r="C89" s="30">
        <f>C30</f>
        <v>-1429.7910000000006</v>
      </c>
      <c r="D89" s="30">
        <f>D30</f>
        <v>-1322.4439999999997</v>
      </c>
      <c r="E89" s="30">
        <f>E30</f>
        <v>-697.7319999999994</v>
      </c>
      <c r="F89" s="30"/>
      <c r="G89" s="30">
        <f t="shared" ref="G89:Q89" si="140">G30</f>
        <v>-328.67400000000015</v>
      </c>
      <c r="H89" s="158">
        <f>H30</f>
        <v>-377.30799999999994</v>
      </c>
      <c r="I89" s="30">
        <f t="shared" si="140"/>
        <v>-368.24600000000009</v>
      </c>
      <c r="J89" s="30">
        <f t="shared" si="140"/>
        <v>-248.21599999999984</v>
      </c>
      <c r="K89" s="30">
        <f t="shared" si="140"/>
        <v>-305.09000000000009</v>
      </c>
      <c r="L89" s="30">
        <f t="shared" si="140"/>
        <v>-248.62000000000012</v>
      </c>
      <c r="M89" s="30">
        <f t="shared" si="140"/>
        <v>-153.24700000000004</v>
      </c>
      <c r="N89" s="30">
        <f>N30</f>
        <v>9.2250000000007759</v>
      </c>
      <c r="O89" s="30">
        <f t="shared" si="140"/>
        <v>-139.5869999999999</v>
      </c>
      <c r="P89" s="30">
        <f t="shared" si="140"/>
        <v>-262.56999999999994</v>
      </c>
      <c r="Q89" s="157">
        <f t="shared" si="140"/>
        <v>-103.54100000000008</v>
      </c>
      <c r="S89" s="30">
        <f t="shared" ref="S89:Z89" si="141">S30</f>
        <v>-1322.4439999999997</v>
      </c>
      <c r="T89" s="30">
        <f t="shared" si="141"/>
        <v>-1298.8599999999994</v>
      </c>
      <c r="U89" s="30">
        <f t="shared" si="141"/>
        <v>-1170.1719999999993</v>
      </c>
      <c r="V89" s="30">
        <f t="shared" si="141"/>
        <v>-955.173</v>
      </c>
      <c r="W89" s="30">
        <f t="shared" si="141"/>
        <v>-697.7319999999994</v>
      </c>
      <c r="X89" s="30">
        <f t="shared" si="141"/>
        <v>-532.22899999999936</v>
      </c>
      <c r="Y89" s="30">
        <f t="shared" si="141"/>
        <v>-546.17899999999941</v>
      </c>
      <c r="Z89" s="30">
        <f t="shared" si="141"/>
        <v>-496.47299999999854</v>
      </c>
      <c r="AA89" s="11"/>
      <c r="AB89" s="68">
        <f>SUM(Z89/V89)-1</f>
        <v>-0.48022714209886741</v>
      </c>
    </row>
    <row r="90" spans="1:28" ht="5.0999999999999996" customHeight="1"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S90" s="30"/>
      <c r="T90" s="30"/>
      <c r="U90" s="30"/>
      <c r="V90" s="30"/>
      <c r="W90" s="30"/>
      <c r="X90" s="30"/>
      <c r="Y90" s="30"/>
      <c r="Z90" s="30"/>
      <c r="AA90" s="11"/>
      <c r="AB90" s="68"/>
    </row>
    <row r="91" spans="1:28" ht="12.75" customHeight="1">
      <c r="B91" s="33" t="s">
        <v>62</v>
      </c>
      <c r="C91" s="30"/>
      <c r="D91" s="30"/>
      <c r="E91" s="30"/>
      <c r="F91" s="30"/>
      <c r="G91" s="76"/>
      <c r="H91" s="76"/>
      <c r="I91" s="76"/>
      <c r="J91" s="30"/>
      <c r="K91" s="76"/>
      <c r="L91" s="76"/>
      <c r="M91" s="76"/>
      <c r="N91" s="30"/>
      <c r="O91" s="76"/>
      <c r="P91" s="76"/>
      <c r="Q91" s="76"/>
      <c r="S91" s="30"/>
      <c r="T91" s="30"/>
      <c r="U91" s="30"/>
      <c r="V91" s="30"/>
      <c r="W91" s="30"/>
      <c r="X91" s="30"/>
      <c r="Y91" s="30"/>
      <c r="Z91" s="30"/>
      <c r="AA91" s="55"/>
      <c r="AB91" s="68"/>
    </row>
    <row r="92" spans="1:28" ht="12.75" customHeight="1">
      <c r="B92" s="56" t="s">
        <v>55</v>
      </c>
      <c r="C92" s="76">
        <v>202.173</v>
      </c>
      <c r="D92" s="76">
        <v>168.441</v>
      </c>
      <c r="E92" s="76">
        <v>158.07400000000001</v>
      </c>
      <c r="F92" s="30"/>
      <c r="G92" s="76">
        <v>35.22</v>
      </c>
      <c r="H92" s="76">
        <v>39.688000000000002</v>
      </c>
      <c r="I92" s="76">
        <v>41.209000000000003</v>
      </c>
      <c r="J92" s="30">
        <f t="shared" ref="J92:J97" si="142">SUM(D92-SUM(G92:I92))</f>
        <v>52.323999999999998</v>
      </c>
      <c r="K92" s="76">
        <v>41.713000000000001</v>
      </c>
      <c r="L92" s="76">
        <v>37.93</v>
      </c>
      <c r="M92" s="76">
        <v>38.85</v>
      </c>
      <c r="N92" s="30">
        <f t="shared" ref="N92:N97" si="143">SUM(E92-SUM(K92:M92))</f>
        <v>39.581000000000017</v>
      </c>
      <c r="O92" s="76">
        <v>37.715000000000003</v>
      </c>
      <c r="P92" s="76">
        <v>40.023000000000003</v>
      </c>
      <c r="Q92" s="76">
        <v>42.514000000000003</v>
      </c>
      <c r="S92" s="30">
        <f t="shared" ref="S92:S97" si="144">SUM(G92:J92)</f>
        <v>168.441</v>
      </c>
      <c r="T92" s="30">
        <f t="shared" ref="T92:T97" si="145">SUM(H92:K92)</f>
        <v>174.934</v>
      </c>
      <c r="U92" s="30">
        <f t="shared" ref="U92:U97" si="146">SUM(I92:L92)</f>
        <v>173.17600000000002</v>
      </c>
      <c r="V92" s="30">
        <f t="shared" ref="V92:V97" si="147">SUM(J92:M92)</f>
        <v>170.81700000000001</v>
      </c>
      <c r="W92" s="30">
        <f t="shared" ref="W92:W97" si="148">SUM(K92:N92)</f>
        <v>158.07400000000001</v>
      </c>
      <c r="X92" s="30">
        <f t="shared" ref="X92:X97" si="149">SUM(L92:O92)</f>
        <v>154.07600000000002</v>
      </c>
      <c r="Y92" s="30">
        <f t="shared" ref="Y92:Y97" si="150">SUM(M92:P92)</f>
        <v>156.16900000000001</v>
      </c>
      <c r="Z92" s="30">
        <f t="shared" ref="Z92:Z97" si="151">SUM(N92:Q92)</f>
        <v>159.83300000000003</v>
      </c>
      <c r="AA92" s="11"/>
      <c r="AB92" s="68">
        <f t="shared" ref="AB92:AB100" si="152">SUM(Z92/V92)-1</f>
        <v>-6.4302733334504092E-2</v>
      </c>
    </row>
    <row r="93" spans="1:28" ht="12.75" customHeight="1">
      <c r="B93" s="56" t="s">
        <v>147</v>
      </c>
      <c r="C93" s="76">
        <v>1387.787</v>
      </c>
      <c r="D93" s="76">
        <v>1324.0039999999999</v>
      </c>
      <c r="E93" s="76">
        <v>1041.0229999999999</v>
      </c>
      <c r="F93" s="30"/>
      <c r="G93" s="76">
        <v>314.93099999999998</v>
      </c>
      <c r="H93" s="76">
        <v>317.94299999999998</v>
      </c>
      <c r="I93" s="76">
        <v>357.93299999999999</v>
      </c>
      <c r="J93" s="30">
        <f t="shared" si="142"/>
        <v>333.19699999999989</v>
      </c>
      <c r="K93" s="76">
        <v>263.75200000000001</v>
      </c>
      <c r="L93" s="76">
        <v>259.31099999999998</v>
      </c>
      <c r="M93" s="76">
        <v>260.22899999999998</v>
      </c>
      <c r="N93" s="30">
        <f t="shared" si="143"/>
        <v>257.73099999999999</v>
      </c>
      <c r="O93" s="76">
        <v>247.33799999999999</v>
      </c>
      <c r="P93" s="76">
        <v>251.886</v>
      </c>
      <c r="Q93" s="76">
        <v>260.363</v>
      </c>
      <c r="S93" s="30">
        <f t="shared" si="144"/>
        <v>1324.0039999999999</v>
      </c>
      <c r="T93" s="30">
        <f t="shared" si="145"/>
        <v>1272.8249999999998</v>
      </c>
      <c r="U93" s="30">
        <f t="shared" si="146"/>
        <v>1214.1929999999998</v>
      </c>
      <c r="V93" s="30">
        <f t="shared" si="147"/>
        <v>1116.4889999999998</v>
      </c>
      <c r="W93" s="30">
        <f t="shared" si="148"/>
        <v>1041.0229999999999</v>
      </c>
      <c r="X93" s="30">
        <f t="shared" si="149"/>
        <v>1024.6089999999999</v>
      </c>
      <c r="Y93" s="30">
        <f t="shared" si="150"/>
        <v>1017.184</v>
      </c>
      <c r="Z93" s="30">
        <f t="shared" si="151"/>
        <v>1017.318</v>
      </c>
      <c r="AA93" s="11"/>
      <c r="AB93" s="68">
        <f t="shared" ref="AB93" si="153">SUM(Z93/V93)-1</f>
        <v>-8.8823983039689414E-2</v>
      </c>
    </row>
    <row r="94" spans="1:28" ht="12.75" customHeight="1">
      <c r="B94" s="56" t="s">
        <v>148</v>
      </c>
      <c r="C94" s="76">
        <v>6.8650000000000002</v>
      </c>
      <c r="D94" s="76">
        <v>7.3609999999999998</v>
      </c>
      <c r="E94" s="76">
        <v>9.3879999999999999</v>
      </c>
      <c r="F94" s="30"/>
      <c r="G94" s="76">
        <v>1.8360000000000001</v>
      </c>
      <c r="H94" s="76">
        <v>1.839</v>
      </c>
      <c r="I94" s="76">
        <v>1.8420000000000001</v>
      </c>
      <c r="J94" s="30">
        <f t="shared" si="142"/>
        <v>1.8440000000000003</v>
      </c>
      <c r="K94" s="76">
        <v>1.742</v>
      </c>
      <c r="L94" s="76">
        <v>2.2080000000000002</v>
      </c>
      <c r="M94" s="76">
        <v>2.7170000000000001</v>
      </c>
      <c r="N94" s="30">
        <f t="shared" si="143"/>
        <v>2.7210000000000001</v>
      </c>
      <c r="O94" s="76">
        <v>7.6420000000000003</v>
      </c>
      <c r="P94" s="76">
        <v>-0.55000000000000004</v>
      </c>
      <c r="Q94" s="76">
        <v>0.68600000000000005</v>
      </c>
      <c r="S94" s="30">
        <f t="shared" si="144"/>
        <v>7.3609999999999998</v>
      </c>
      <c r="T94" s="30">
        <f t="shared" si="145"/>
        <v>7.2670000000000003</v>
      </c>
      <c r="U94" s="30">
        <f t="shared" si="146"/>
        <v>7.636000000000001</v>
      </c>
      <c r="V94" s="30">
        <f t="shared" si="147"/>
        <v>8.511000000000001</v>
      </c>
      <c r="W94" s="30">
        <f t="shared" si="148"/>
        <v>9.3879999999999999</v>
      </c>
      <c r="X94" s="30">
        <f t="shared" si="149"/>
        <v>15.288</v>
      </c>
      <c r="Y94" s="30">
        <f t="shared" si="150"/>
        <v>12.530000000000001</v>
      </c>
      <c r="Z94" s="30">
        <f t="shared" si="151"/>
        <v>10.498999999999999</v>
      </c>
      <c r="AA94" s="11"/>
      <c r="AB94" s="68">
        <f t="shared" ref="AB94:AB97" si="154">SUM(Z94/V94)-1</f>
        <v>0.23358007284690374</v>
      </c>
    </row>
    <row r="95" spans="1:28" ht="12.75" customHeight="1">
      <c r="B95" s="56" t="s">
        <v>149</v>
      </c>
      <c r="C95" s="76">
        <v>36.838000000000001</v>
      </c>
      <c r="D95" s="76">
        <v>33.027000000000001</v>
      </c>
      <c r="E95" s="76">
        <v>8.4600000000000009</v>
      </c>
      <c r="F95" s="30"/>
      <c r="G95" s="76">
        <v>-10.833</v>
      </c>
      <c r="H95" s="76">
        <v>-4.4340000000000002</v>
      </c>
      <c r="I95" s="76">
        <v>21.155000000000001</v>
      </c>
      <c r="J95" s="30">
        <f t="shared" si="142"/>
        <v>27.138999999999999</v>
      </c>
      <c r="K95" s="76">
        <v>8.968</v>
      </c>
      <c r="L95" s="76">
        <v>2.6619999999999999</v>
      </c>
      <c r="M95" s="76">
        <v>0.53600000000000003</v>
      </c>
      <c r="N95" s="30">
        <f t="shared" si="143"/>
        <v>-3.7059999999999977</v>
      </c>
      <c r="O95" s="76">
        <v>15.8</v>
      </c>
      <c r="P95" s="76">
        <v>-1.208</v>
      </c>
      <c r="Q95" s="76">
        <v>1.1819999999999999</v>
      </c>
      <c r="S95" s="30">
        <f t="shared" si="144"/>
        <v>33.027000000000001</v>
      </c>
      <c r="T95" s="30">
        <f t="shared" si="145"/>
        <v>52.828000000000003</v>
      </c>
      <c r="U95" s="30">
        <f t="shared" si="146"/>
        <v>59.923999999999999</v>
      </c>
      <c r="V95" s="30">
        <f t="shared" si="147"/>
        <v>39.305</v>
      </c>
      <c r="W95" s="30">
        <f t="shared" si="148"/>
        <v>8.4600000000000009</v>
      </c>
      <c r="X95" s="30">
        <f t="shared" si="149"/>
        <v>15.292000000000003</v>
      </c>
      <c r="Y95" s="30">
        <f t="shared" si="150"/>
        <v>11.422000000000002</v>
      </c>
      <c r="Z95" s="30">
        <f t="shared" si="151"/>
        <v>12.068000000000003</v>
      </c>
      <c r="AA95" s="11"/>
      <c r="AB95" s="68">
        <f t="shared" si="154"/>
        <v>-0.69296527159394472</v>
      </c>
    </row>
    <row r="96" spans="1:28" ht="12.75" customHeight="1">
      <c r="B96" s="56" t="s">
        <v>175</v>
      </c>
      <c r="C96" s="76">
        <v>0</v>
      </c>
      <c r="D96" s="76">
        <v>0</v>
      </c>
      <c r="E96" s="76">
        <v>0</v>
      </c>
      <c r="F96" s="30"/>
      <c r="G96" s="76">
        <v>0</v>
      </c>
      <c r="H96" s="76">
        <v>0</v>
      </c>
      <c r="I96" s="76">
        <v>0</v>
      </c>
      <c r="J96" s="30">
        <f t="shared" ref="J96" si="155">SUM(D96-SUM(G96:I96))</f>
        <v>0</v>
      </c>
      <c r="K96" s="76">
        <v>0</v>
      </c>
      <c r="L96" s="76">
        <v>0</v>
      </c>
      <c r="M96" s="76">
        <v>0</v>
      </c>
      <c r="N96" s="30">
        <f t="shared" ref="N96" si="156">SUM(E96-SUM(K96:M96))</f>
        <v>0</v>
      </c>
      <c r="O96" s="76">
        <v>-66.938999999999993</v>
      </c>
      <c r="P96" s="76">
        <v>0</v>
      </c>
      <c r="Q96" s="76">
        <v>-29.795000000000002</v>
      </c>
      <c r="S96" s="30">
        <f t="shared" ref="S96" si="157">SUM(G96:J96)</f>
        <v>0</v>
      </c>
      <c r="T96" s="30">
        <f t="shared" ref="T96" si="158">SUM(H96:K96)</f>
        <v>0</v>
      </c>
      <c r="U96" s="30">
        <f t="shared" ref="U96" si="159">SUM(I96:L96)</f>
        <v>0</v>
      </c>
      <c r="V96" s="30">
        <f t="shared" ref="V96" si="160">SUM(J96:M96)</f>
        <v>0</v>
      </c>
      <c r="W96" s="30">
        <f t="shared" ref="W96" si="161">SUM(K96:N96)</f>
        <v>0</v>
      </c>
      <c r="X96" s="30">
        <f t="shared" ref="X96" si="162">SUM(L96:O96)</f>
        <v>-66.938999999999993</v>
      </c>
      <c r="Y96" s="30">
        <f t="shared" ref="Y96" si="163">SUM(M96:P96)</f>
        <v>-66.938999999999993</v>
      </c>
      <c r="Z96" s="30">
        <f t="shared" ref="Z96" si="164">SUM(N96:Q96)</f>
        <v>-96.733999999999995</v>
      </c>
      <c r="AA96" s="11"/>
      <c r="AB96" s="68" t="e">
        <f t="shared" ref="AB96" si="165">SUM(Z96/V96)-1</f>
        <v>#DIV/0!</v>
      </c>
    </row>
    <row r="97" spans="2:28" ht="12.75" customHeight="1">
      <c r="B97" s="56" t="s">
        <v>150</v>
      </c>
      <c r="C97" s="76">
        <v>15.596</v>
      </c>
      <c r="D97" s="76">
        <v>-26.957999999999998</v>
      </c>
      <c r="E97" s="76">
        <v>-14.153</v>
      </c>
      <c r="F97" s="30"/>
      <c r="G97" s="76">
        <v>-10.396000000000001</v>
      </c>
      <c r="H97" s="76">
        <v>-16.306999999999999</v>
      </c>
      <c r="I97" s="76">
        <v>-4.3949999999999996</v>
      </c>
      <c r="J97" s="30">
        <f t="shared" si="142"/>
        <v>4.1400000000000006</v>
      </c>
      <c r="K97" s="76">
        <v>-16.611999999999998</v>
      </c>
      <c r="L97" s="76">
        <v>10.583</v>
      </c>
      <c r="M97" s="76">
        <v>2.2000000000000002</v>
      </c>
      <c r="N97" s="30">
        <f t="shared" si="143"/>
        <v>-10.324000000000002</v>
      </c>
      <c r="O97" s="76">
        <v>-0.80500000000000005</v>
      </c>
      <c r="P97" s="76">
        <v>12.362</v>
      </c>
      <c r="Q97" s="76">
        <v>2.9849999999999999</v>
      </c>
      <c r="S97" s="30">
        <f t="shared" si="144"/>
        <v>-26.957999999999998</v>
      </c>
      <c r="T97" s="30">
        <f t="shared" si="145"/>
        <v>-33.173999999999992</v>
      </c>
      <c r="U97" s="30">
        <f t="shared" si="146"/>
        <v>-6.2839999999999971</v>
      </c>
      <c r="V97" s="30">
        <f t="shared" si="147"/>
        <v>0.31100000000000261</v>
      </c>
      <c r="W97" s="30">
        <f t="shared" si="148"/>
        <v>-14.152999999999999</v>
      </c>
      <c r="X97" s="30">
        <f t="shared" si="149"/>
        <v>1.6539999999999995</v>
      </c>
      <c r="Y97" s="30">
        <f t="shared" si="150"/>
        <v>3.4329999999999981</v>
      </c>
      <c r="Z97" s="30">
        <f t="shared" si="151"/>
        <v>4.2179999999999982</v>
      </c>
      <c r="AA97" s="11"/>
      <c r="AB97" s="68">
        <f t="shared" si="154"/>
        <v>12.562700964630105</v>
      </c>
    </row>
    <row r="98" spans="2:28" ht="5.0999999999999996" customHeight="1">
      <c r="B98" s="8"/>
      <c r="C98" s="76"/>
      <c r="D98" s="76"/>
      <c r="E98" s="76"/>
      <c r="F98" s="30"/>
      <c r="G98" s="76">
        <v>0</v>
      </c>
      <c r="H98" s="76"/>
      <c r="I98" s="76"/>
      <c r="J98" s="30"/>
      <c r="K98" s="76"/>
      <c r="L98" s="76"/>
      <c r="M98" s="76"/>
      <c r="N98" s="30"/>
      <c r="O98" s="76"/>
      <c r="P98" s="76"/>
      <c r="Q98" s="76"/>
      <c r="S98" s="30"/>
      <c r="T98" s="30"/>
      <c r="U98" s="30"/>
      <c r="V98" s="30"/>
      <c r="W98" s="30"/>
      <c r="X98" s="30"/>
      <c r="Y98" s="30"/>
      <c r="Z98" s="30"/>
      <c r="AA98" s="11"/>
      <c r="AB98" s="68"/>
    </row>
    <row r="99" spans="2:28" ht="12.75" customHeight="1">
      <c r="B99" s="33" t="s">
        <v>14</v>
      </c>
      <c r="C99" s="76"/>
      <c r="D99" s="76"/>
      <c r="E99" s="76"/>
      <c r="F99" s="30"/>
      <c r="G99" s="76"/>
      <c r="H99" s="76"/>
      <c r="I99" s="76"/>
      <c r="J99" s="30"/>
      <c r="K99" s="76"/>
      <c r="L99" s="76"/>
      <c r="M99" s="76"/>
      <c r="N99" s="30"/>
      <c r="O99" s="76"/>
      <c r="P99" s="76"/>
      <c r="Q99" s="76"/>
      <c r="S99" s="30"/>
      <c r="T99" s="30"/>
      <c r="U99" s="30"/>
      <c r="V99" s="30"/>
      <c r="W99" s="30"/>
      <c r="X99" s="30"/>
      <c r="Y99" s="30"/>
      <c r="Z99" s="30"/>
      <c r="AA99" s="55"/>
      <c r="AB99" s="68"/>
    </row>
    <row r="100" spans="2:28" ht="12.75" customHeight="1">
      <c r="B100" s="56" t="s">
        <v>151</v>
      </c>
      <c r="C100" s="76">
        <v>-119.78</v>
      </c>
      <c r="D100" s="76">
        <v>-98.126999999999995</v>
      </c>
      <c r="E100" s="76">
        <v>-94.004999999999995</v>
      </c>
      <c r="F100" s="30"/>
      <c r="G100" s="76">
        <v>288.37299999999999</v>
      </c>
      <c r="H100" s="76">
        <v>-103.629</v>
      </c>
      <c r="I100" s="76">
        <v>-128.97200000000001</v>
      </c>
      <c r="J100" s="30">
        <f t="shared" ref="J100:J107" si="166">SUM(D100-SUM(G100:I100))</f>
        <v>-153.89899999999994</v>
      </c>
      <c r="K100" s="76">
        <v>162.20699999999999</v>
      </c>
      <c r="L100" s="76">
        <v>-36.915999999999997</v>
      </c>
      <c r="M100" s="76">
        <v>-51.941000000000003</v>
      </c>
      <c r="N100" s="30">
        <f t="shared" ref="N100:N107" si="167">SUM(E100-SUM(K100:M100))</f>
        <v>-167.35499999999999</v>
      </c>
      <c r="O100" s="76">
        <v>194.21600000000001</v>
      </c>
      <c r="P100" s="76">
        <v>-3.0880000000000001</v>
      </c>
      <c r="Q100" s="76">
        <v>-89.096000000000004</v>
      </c>
      <c r="S100" s="30">
        <f t="shared" ref="S100:Z107" si="168">SUM(G100:J100)</f>
        <v>-98.126999999999981</v>
      </c>
      <c r="T100" s="30">
        <f t="shared" si="168"/>
        <v>-224.29299999999995</v>
      </c>
      <c r="U100" s="30">
        <f t="shared" si="168"/>
        <v>-157.57999999999998</v>
      </c>
      <c r="V100" s="30">
        <f t="shared" si="168"/>
        <v>-80.54899999999995</v>
      </c>
      <c r="W100" s="30">
        <f t="shared" si="168"/>
        <v>-94.004999999999995</v>
      </c>
      <c r="X100" s="30">
        <f t="shared" si="168"/>
        <v>-61.995999999999981</v>
      </c>
      <c r="Y100" s="30">
        <f t="shared" si="168"/>
        <v>-28.167999999999985</v>
      </c>
      <c r="Z100" s="30">
        <f t="shared" si="168"/>
        <v>-65.322999999999979</v>
      </c>
      <c r="AA100" s="55"/>
      <c r="AB100" s="68">
        <f t="shared" si="152"/>
        <v>-0.18902779674483827</v>
      </c>
    </row>
    <row r="101" spans="2:28" ht="12.75" customHeight="1">
      <c r="B101" s="56" t="s">
        <v>152</v>
      </c>
      <c r="C101" s="76">
        <v>-40.917000000000002</v>
      </c>
      <c r="D101" s="76">
        <v>-9.92</v>
      </c>
      <c r="E101" s="76">
        <v>-36.543999999999997</v>
      </c>
      <c r="F101" s="30"/>
      <c r="G101" s="76">
        <v>-13.204000000000001</v>
      </c>
      <c r="H101" s="76">
        <v>-1.0980000000000001</v>
      </c>
      <c r="I101" s="76">
        <v>-0.83699999999999997</v>
      </c>
      <c r="J101" s="30">
        <f t="shared" si="166"/>
        <v>5.2190000000000012</v>
      </c>
      <c r="K101" s="76">
        <v>-13.629</v>
      </c>
      <c r="L101" s="76">
        <v>-34.526000000000003</v>
      </c>
      <c r="M101" s="76">
        <v>11.914</v>
      </c>
      <c r="N101" s="30">
        <f t="shared" si="167"/>
        <v>-0.30299999999999727</v>
      </c>
      <c r="O101" s="76">
        <v>-22.827999999999999</v>
      </c>
      <c r="P101" s="76">
        <v>-7.0579999999999998</v>
      </c>
      <c r="Q101" s="76">
        <v>-16.312999999999999</v>
      </c>
      <c r="S101" s="30">
        <f t="shared" si="168"/>
        <v>-9.92</v>
      </c>
      <c r="T101" s="30">
        <f t="shared" si="168"/>
        <v>-10.344999999999999</v>
      </c>
      <c r="U101" s="30">
        <f t="shared" si="168"/>
        <v>-43.773000000000003</v>
      </c>
      <c r="V101" s="30">
        <f t="shared" si="168"/>
        <v>-31.021999999999998</v>
      </c>
      <c r="W101" s="30">
        <f t="shared" si="168"/>
        <v>-36.543999999999997</v>
      </c>
      <c r="X101" s="30">
        <f t="shared" si="168"/>
        <v>-45.742999999999995</v>
      </c>
      <c r="Y101" s="30">
        <f t="shared" si="168"/>
        <v>-18.274999999999999</v>
      </c>
      <c r="Z101" s="30">
        <f t="shared" si="168"/>
        <v>-46.501999999999995</v>
      </c>
      <c r="AA101" s="55"/>
      <c r="AB101" s="68">
        <f t="shared" ref="AB101" si="169">SUM(Z101/V101)-1</f>
        <v>0.49900070917413442</v>
      </c>
    </row>
    <row r="102" spans="2:28" ht="12.75" customHeight="1">
      <c r="B102" s="56" t="s">
        <v>153</v>
      </c>
      <c r="C102" s="76">
        <v>71.441000000000003</v>
      </c>
      <c r="D102" s="76">
        <v>70.674000000000007</v>
      </c>
      <c r="E102" s="76">
        <v>54.127000000000002</v>
      </c>
      <c r="F102" s="30"/>
      <c r="G102" s="76">
        <v>17.658000000000001</v>
      </c>
      <c r="H102" s="76">
        <v>17.817</v>
      </c>
      <c r="I102" s="76">
        <v>17.904</v>
      </c>
      <c r="J102" s="30">
        <f t="shared" si="166"/>
        <v>17.295000000000002</v>
      </c>
      <c r="K102" s="76">
        <v>13.574999999999999</v>
      </c>
      <c r="L102" s="76">
        <v>14.929</v>
      </c>
      <c r="M102" s="76">
        <v>12.731</v>
      </c>
      <c r="N102" s="30">
        <f t="shared" si="167"/>
        <v>12.892000000000003</v>
      </c>
      <c r="O102" s="76">
        <v>14.122999999999999</v>
      </c>
      <c r="P102" s="76">
        <v>13.797000000000001</v>
      </c>
      <c r="Q102" s="76">
        <v>14.909000000000001</v>
      </c>
      <c r="S102" s="30">
        <f t="shared" si="168"/>
        <v>70.674000000000007</v>
      </c>
      <c r="T102" s="30">
        <f t="shared" si="168"/>
        <v>66.591000000000008</v>
      </c>
      <c r="U102" s="30">
        <f t="shared" si="168"/>
        <v>63.703000000000003</v>
      </c>
      <c r="V102" s="30">
        <f t="shared" si="168"/>
        <v>58.53</v>
      </c>
      <c r="W102" s="30">
        <f t="shared" si="168"/>
        <v>54.127000000000002</v>
      </c>
      <c r="X102" s="30">
        <f t="shared" si="168"/>
        <v>54.675000000000004</v>
      </c>
      <c r="Y102" s="30">
        <f t="shared" si="168"/>
        <v>53.543000000000006</v>
      </c>
      <c r="Z102" s="30">
        <f t="shared" si="168"/>
        <v>55.720999999999997</v>
      </c>
      <c r="AA102" s="55"/>
      <c r="AB102" s="68">
        <f t="shared" ref="AB102:AB107" si="170">SUM(Z102/V102)-1</f>
        <v>-4.7992482487613231E-2</v>
      </c>
    </row>
    <row r="103" spans="2:28" ht="12.75" customHeight="1">
      <c r="B103" s="56" t="s">
        <v>154</v>
      </c>
      <c r="C103" s="76">
        <v>-0.504</v>
      </c>
      <c r="D103" s="76">
        <v>2.238</v>
      </c>
      <c r="E103" s="76">
        <v>-9.952</v>
      </c>
      <c r="F103" s="30"/>
      <c r="G103" s="76">
        <v>0.85</v>
      </c>
      <c r="H103" s="76">
        <v>-1.2749999999999999</v>
      </c>
      <c r="I103" s="76">
        <v>-2.7669999999999999</v>
      </c>
      <c r="J103" s="30">
        <f t="shared" ref="J103:J105" si="171">SUM(D103-SUM(G103:I103))</f>
        <v>5.43</v>
      </c>
      <c r="K103" s="76">
        <v>-5.1420000000000003</v>
      </c>
      <c r="L103" s="76">
        <v>-0.95499999999999996</v>
      </c>
      <c r="M103" s="76">
        <v>3.09</v>
      </c>
      <c r="N103" s="30">
        <f t="shared" ref="N103:N105" si="172">SUM(E103-SUM(K103:M103))</f>
        <v>-6.9449999999999994</v>
      </c>
      <c r="O103" s="76">
        <v>9.01</v>
      </c>
      <c r="P103" s="76">
        <v>-2.117</v>
      </c>
      <c r="Q103" s="76">
        <v>0.161</v>
      </c>
      <c r="S103" s="30">
        <f t="shared" ref="S103:S105" si="173">SUM(G103:J103)</f>
        <v>2.238</v>
      </c>
      <c r="T103" s="30">
        <f t="shared" ref="T103:T105" si="174">SUM(H103:K103)</f>
        <v>-3.7540000000000004</v>
      </c>
      <c r="U103" s="30">
        <f t="shared" ref="U103:U105" si="175">SUM(I103:L103)</f>
        <v>-3.4340000000000006</v>
      </c>
      <c r="V103" s="30">
        <f t="shared" ref="V103:V105" si="176">SUM(J103:M103)</f>
        <v>2.4229999999999992</v>
      </c>
      <c r="W103" s="30">
        <f t="shared" ref="W103:W105" si="177">SUM(K103:N103)</f>
        <v>-9.952</v>
      </c>
      <c r="X103" s="30">
        <f t="shared" ref="X103:X105" si="178">SUM(L103:O103)</f>
        <v>4.2</v>
      </c>
      <c r="Y103" s="30">
        <f t="shared" ref="Y103:Y105" si="179">SUM(M103:P103)</f>
        <v>3.0380000000000003</v>
      </c>
      <c r="Z103" s="30">
        <f t="shared" ref="Z103:Z105" si="180">SUM(N103:Q103)</f>
        <v>0.1090000000000004</v>
      </c>
      <c r="AA103" s="55"/>
      <c r="AB103" s="68">
        <f t="shared" ref="AB103:AB105" si="181">SUM(Z103/V103)-1</f>
        <v>-0.95501444490301257</v>
      </c>
    </row>
    <row r="104" spans="2:28" ht="12.75" customHeight="1">
      <c r="B104" s="56" t="s">
        <v>155</v>
      </c>
      <c r="C104" s="76">
        <v>46.491999999999997</v>
      </c>
      <c r="D104" s="76">
        <v>94.988</v>
      </c>
      <c r="E104" s="76">
        <v>-100.72799999999999</v>
      </c>
      <c r="F104" s="30"/>
      <c r="G104" s="76">
        <v>-36.972000000000001</v>
      </c>
      <c r="H104" s="76">
        <v>8.4260000000000002</v>
      </c>
      <c r="I104" s="76">
        <v>-16.951000000000001</v>
      </c>
      <c r="J104" s="30">
        <f t="shared" si="171"/>
        <v>140.48500000000001</v>
      </c>
      <c r="K104" s="76">
        <v>-34.088999999999999</v>
      </c>
      <c r="L104" s="76">
        <v>-61.555999999999997</v>
      </c>
      <c r="M104" s="76">
        <v>-16.641999999999999</v>
      </c>
      <c r="N104" s="30">
        <f t="shared" si="172"/>
        <v>11.558999999999997</v>
      </c>
      <c r="O104" s="76">
        <v>34.26</v>
      </c>
      <c r="P104" s="76">
        <v>-94.203000000000003</v>
      </c>
      <c r="Q104" s="76">
        <v>38.125</v>
      </c>
      <c r="S104" s="30">
        <f t="shared" si="173"/>
        <v>94.988000000000014</v>
      </c>
      <c r="T104" s="30">
        <f t="shared" si="174"/>
        <v>97.871000000000009</v>
      </c>
      <c r="U104" s="30">
        <f t="shared" si="175"/>
        <v>27.889000000000024</v>
      </c>
      <c r="V104" s="30">
        <f t="shared" si="176"/>
        <v>28.198000000000018</v>
      </c>
      <c r="W104" s="30">
        <f t="shared" si="177"/>
        <v>-100.72799999999999</v>
      </c>
      <c r="X104" s="30">
        <f t="shared" si="178"/>
        <v>-32.378999999999998</v>
      </c>
      <c r="Y104" s="30">
        <f t="shared" si="179"/>
        <v>-65.02600000000001</v>
      </c>
      <c r="Z104" s="30">
        <f t="shared" si="180"/>
        <v>-10.259000000000007</v>
      </c>
      <c r="AA104" s="55"/>
      <c r="AB104" s="68">
        <f t="shared" si="181"/>
        <v>-1.3638201290871694</v>
      </c>
    </row>
    <row r="105" spans="2:28" ht="12.75" customHeight="1">
      <c r="B105" s="56" t="s">
        <v>156</v>
      </c>
      <c r="C105" s="76">
        <v>71.706000000000003</v>
      </c>
      <c r="D105" s="76">
        <v>62.13</v>
      </c>
      <c r="E105" s="76">
        <v>150.39099999999999</v>
      </c>
      <c r="F105" s="30"/>
      <c r="G105" s="76">
        <v>-90.191000000000003</v>
      </c>
      <c r="H105" s="76">
        <v>52.981000000000002</v>
      </c>
      <c r="I105" s="76">
        <v>105.907</v>
      </c>
      <c r="J105" s="30">
        <f t="shared" si="171"/>
        <v>-6.5670000000000002</v>
      </c>
      <c r="K105" s="76">
        <v>-18.381</v>
      </c>
      <c r="L105" s="76">
        <v>45.820999999999998</v>
      </c>
      <c r="M105" s="76">
        <v>19.331</v>
      </c>
      <c r="N105" s="30">
        <f t="shared" si="172"/>
        <v>103.61999999999999</v>
      </c>
      <c r="O105" s="76">
        <v>-162.56800000000001</v>
      </c>
      <c r="P105" s="76">
        <v>147.69499999999999</v>
      </c>
      <c r="Q105" s="76">
        <v>23.925999999999998</v>
      </c>
      <c r="S105" s="30">
        <f t="shared" si="173"/>
        <v>62.13</v>
      </c>
      <c r="T105" s="30">
        <f t="shared" si="174"/>
        <v>133.94</v>
      </c>
      <c r="U105" s="30">
        <f t="shared" si="175"/>
        <v>126.78</v>
      </c>
      <c r="V105" s="30">
        <f t="shared" si="176"/>
        <v>40.203999999999994</v>
      </c>
      <c r="W105" s="30">
        <f t="shared" si="177"/>
        <v>150.39099999999999</v>
      </c>
      <c r="X105" s="30">
        <f t="shared" si="178"/>
        <v>6.2039999999999793</v>
      </c>
      <c r="Y105" s="30">
        <f t="shared" si="179"/>
        <v>108.07799999999997</v>
      </c>
      <c r="Z105" s="30">
        <f t="shared" si="180"/>
        <v>112.67299999999997</v>
      </c>
      <c r="AA105" s="55"/>
      <c r="AB105" s="68">
        <f t="shared" si="181"/>
        <v>1.802532086359566</v>
      </c>
    </row>
    <row r="106" spans="2:28" ht="12.75" customHeight="1">
      <c r="B106" s="56" t="s">
        <v>157</v>
      </c>
      <c r="C106" s="76">
        <v>-68.885999999999996</v>
      </c>
      <c r="D106" s="76">
        <v>-68.007000000000005</v>
      </c>
      <c r="E106" s="76">
        <v>-62.662999999999997</v>
      </c>
      <c r="F106" s="30"/>
      <c r="G106" s="76">
        <v>-18.55</v>
      </c>
      <c r="H106" s="76">
        <v>-17.792000000000002</v>
      </c>
      <c r="I106" s="76">
        <v>-16.181000000000001</v>
      </c>
      <c r="J106" s="30">
        <f t="shared" si="166"/>
        <v>-15.484000000000009</v>
      </c>
      <c r="K106" s="76">
        <v>-13.93</v>
      </c>
      <c r="L106" s="76">
        <v>-13.94</v>
      </c>
      <c r="M106" s="76">
        <v>-16.384</v>
      </c>
      <c r="N106" s="30">
        <f t="shared" si="167"/>
        <v>-18.408999999999999</v>
      </c>
      <c r="O106" s="76">
        <v>-16.992999999999999</v>
      </c>
      <c r="P106" s="76">
        <v>-8.4920000000000009</v>
      </c>
      <c r="Q106" s="76">
        <v>1.325</v>
      </c>
      <c r="S106" s="30">
        <f t="shared" si="168"/>
        <v>-68.007000000000005</v>
      </c>
      <c r="T106" s="30">
        <f t="shared" si="168"/>
        <v>-63.387000000000008</v>
      </c>
      <c r="U106" s="30">
        <f t="shared" si="168"/>
        <v>-59.535000000000011</v>
      </c>
      <c r="V106" s="30">
        <f t="shared" si="168"/>
        <v>-59.738000000000007</v>
      </c>
      <c r="W106" s="30">
        <f t="shared" si="168"/>
        <v>-62.662999999999997</v>
      </c>
      <c r="X106" s="30">
        <f t="shared" si="168"/>
        <v>-65.725999999999999</v>
      </c>
      <c r="Y106" s="30">
        <f t="shared" si="168"/>
        <v>-60.278000000000006</v>
      </c>
      <c r="Z106" s="30">
        <f t="shared" si="168"/>
        <v>-42.569000000000003</v>
      </c>
      <c r="AA106" s="55"/>
      <c r="AB106" s="68">
        <f t="shared" si="170"/>
        <v>-0.28740500184137407</v>
      </c>
    </row>
    <row r="107" spans="2:28" ht="12.75" customHeight="1">
      <c r="B107" s="56" t="s">
        <v>158</v>
      </c>
      <c r="C107" s="76">
        <v>5.4560000000000004</v>
      </c>
      <c r="D107" s="76">
        <v>9.1549999999999994</v>
      </c>
      <c r="E107" s="76">
        <v>7.9180000000000001</v>
      </c>
      <c r="F107" s="30"/>
      <c r="G107" s="76">
        <v>1.054</v>
      </c>
      <c r="H107" s="76">
        <v>1.2130000000000001</v>
      </c>
      <c r="I107" s="76">
        <v>5.19</v>
      </c>
      <c r="J107" s="30">
        <f t="shared" si="166"/>
        <v>1.6979999999999986</v>
      </c>
      <c r="K107" s="76">
        <v>3.2679999999999998</v>
      </c>
      <c r="L107" s="76">
        <v>1.6919999999999999</v>
      </c>
      <c r="M107" s="76">
        <v>2.488</v>
      </c>
      <c r="N107" s="30">
        <f t="shared" si="167"/>
        <v>0.46999999999999975</v>
      </c>
      <c r="O107" s="76">
        <v>1.226</v>
      </c>
      <c r="P107" s="76">
        <v>2.0169999999999999</v>
      </c>
      <c r="Q107" s="76">
        <v>-0.94299999999999995</v>
      </c>
      <c r="S107" s="30">
        <f t="shared" si="168"/>
        <v>9.1549999999999994</v>
      </c>
      <c r="T107" s="30">
        <f t="shared" si="168"/>
        <v>11.369</v>
      </c>
      <c r="U107" s="30">
        <f t="shared" si="168"/>
        <v>11.847999999999999</v>
      </c>
      <c r="V107" s="30">
        <f t="shared" si="168"/>
        <v>9.145999999999999</v>
      </c>
      <c r="W107" s="30">
        <f t="shared" si="168"/>
        <v>7.9180000000000001</v>
      </c>
      <c r="X107" s="30">
        <f t="shared" si="168"/>
        <v>5.8759999999999994</v>
      </c>
      <c r="Y107" s="30">
        <f t="shared" si="168"/>
        <v>6.2009999999999987</v>
      </c>
      <c r="Z107" s="30">
        <f t="shared" si="168"/>
        <v>2.7699999999999996</v>
      </c>
      <c r="AA107" s="55"/>
      <c r="AB107" s="68">
        <f t="shared" si="170"/>
        <v>-0.69713535972009621</v>
      </c>
    </row>
    <row r="108" spans="2:28" ht="12.75" customHeight="1">
      <c r="B108" s="12" t="s">
        <v>56</v>
      </c>
      <c r="C108" s="13">
        <f>SUM(C89:C107)</f>
        <v>184.47599999999943</v>
      </c>
      <c r="D108" s="13">
        <f>SUM(D89:D107)</f>
        <v>246.56200000000021</v>
      </c>
      <c r="E108" s="13">
        <f>SUM(E89:E107)</f>
        <v>413.60400000000038</v>
      </c>
      <c r="G108" s="13">
        <f t="shared" ref="G108:N108" si="182">SUM(G89:G107)</f>
        <v>151.1019999999998</v>
      </c>
      <c r="H108" s="13">
        <f t="shared" si="182"/>
        <v>-81.935999999999979</v>
      </c>
      <c r="I108" s="13">
        <f t="shared" si="182"/>
        <v>12.790999999999883</v>
      </c>
      <c r="J108" s="13">
        <f t="shared" si="182"/>
        <v>164.60500000000013</v>
      </c>
      <c r="K108" s="13">
        <f t="shared" si="182"/>
        <v>88.351999999999947</v>
      </c>
      <c r="L108" s="13">
        <f t="shared" si="182"/>
        <v>-21.37700000000013</v>
      </c>
      <c r="M108" s="13">
        <f t="shared" si="182"/>
        <v>115.87199999999994</v>
      </c>
      <c r="N108" s="13">
        <f t="shared" si="182"/>
        <v>230.75700000000077</v>
      </c>
      <c r="O108" s="156">
        <f>SUM(O89:O107)</f>
        <v>151.6100000000001</v>
      </c>
      <c r="P108" s="156">
        <f>SUM(P89:P107)</f>
        <v>88.494000000000042</v>
      </c>
      <c r="Q108" s="156">
        <f>SUM(Q89:Q107)</f>
        <v>146.48799999999991</v>
      </c>
      <c r="S108" s="13">
        <f>SUM(S89:S107)</f>
        <v>246.56200000000021</v>
      </c>
      <c r="T108" s="13">
        <f>SUM(T89:T107)</f>
        <v>183.81200000000038</v>
      </c>
      <c r="U108" s="13">
        <f>SUM(U89:U107)</f>
        <v>244.37100000000055</v>
      </c>
      <c r="V108" s="13">
        <f>SUM(V89:V107)</f>
        <v>347.452</v>
      </c>
      <c r="W108" s="13">
        <f>SUM(W89:W107)</f>
        <v>413.60400000000038</v>
      </c>
      <c r="X108" s="13">
        <f>SUM(X89:X107)</f>
        <v>476.86200000000065</v>
      </c>
      <c r="Y108" s="13">
        <f>SUM(Y89:Y107)</f>
        <v>586.73300000000063</v>
      </c>
      <c r="Z108" s="13">
        <f>SUM(Z89:Z107)</f>
        <v>617.34900000000141</v>
      </c>
      <c r="AA108" s="39"/>
      <c r="AB108" s="69">
        <f>SUM(Z108/V108)-1</f>
        <v>0.77678931190495781</v>
      </c>
    </row>
    <row r="109" spans="2:28" ht="12.75" customHeight="1">
      <c r="B109" s="49"/>
      <c r="C109" s="57"/>
      <c r="D109" s="57"/>
      <c r="E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S109" s="39"/>
      <c r="T109" s="39"/>
      <c r="U109" s="39"/>
      <c r="V109" s="39"/>
      <c r="W109" s="39"/>
      <c r="X109" s="39"/>
      <c r="Y109" s="39"/>
      <c r="Z109" s="39"/>
      <c r="AA109" s="39"/>
      <c r="AB109" s="36"/>
    </row>
    <row r="110" spans="2:28" ht="12.75" customHeight="1">
      <c r="B110" s="112" t="s">
        <v>57</v>
      </c>
      <c r="C110" s="54"/>
      <c r="D110" s="54"/>
      <c r="E110" s="54"/>
      <c r="G110" s="76"/>
      <c r="H110" s="76"/>
      <c r="I110" s="76"/>
      <c r="J110" s="30"/>
      <c r="K110" s="76"/>
      <c r="L110" s="76"/>
      <c r="M110" s="76"/>
      <c r="N110" s="30"/>
      <c r="O110" s="76"/>
      <c r="P110" s="76"/>
      <c r="Q110" s="76"/>
      <c r="S110" s="54"/>
      <c r="T110" s="54"/>
      <c r="U110" s="54"/>
      <c r="V110" s="54"/>
      <c r="W110" s="54"/>
      <c r="X110" s="54"/>
      <c r="Y110" s="54"/>
      <c r="Z110" s="54"/>
      <c r="AA110" s="55"/>
      <c r="AB110" s="36"/>
    </row>
    <row r="111" spans="2:28" ht="12.75" customHeight="1">
      <c r="B111" s="56" t="s">
        <v>159</v>
      </c>
      <c r="C111" s="76">
        <v>-129.30600000000001</v>
      </c>
      <c r="D111" s="76">
        <v>-211.727</v>
      </c>
      <c r="E111" s="76">
        <v>-194.82599999999999</v>
      </c>
      <c r="F111" s="30"/>
      <c r="G111" s="76">
        <v>-47.63</v>
      </c>
      <c r="H111" s="76">
        <v>-36.942999999999998</v>
      </c>
      <c r="I111" s="76">
        <v>-73.435000000000002</v>
      </c>
      <c r="J111" s="30">
        <f>SUM(D111-SUM(G111:I111))</f>
        <v>-53.718999999999994</v>
      </c>
      <c r="K111" s="76">
        <v>-50.448</v>
      </c>
      <c r="L111" s="76">
        <v>-52.061999999999998</v>
      </c>
      <c r="M111" s="76">
        <v>-44.040999999999997</v>
      </c>
      <c r="N111" s="30">
        <f>SUM(E111-SUM(K111:M111))</f>
        <v>-48.275000000000006</v>
      </c>
      <c r="O111" s="76">
        <v>-37.213999999999999</v>
      </c>
      <c r="P111" s="76">
        <v>-64.700999999999993</v>
      </c>
      <c r="Q111" s="76">
        <v>-53.043999999999997</v>
      </c>
      <c r="R111" s="30"/>
      <c r="S111" s="30">
        <f t="shared" ref="S111:Z118" si="183">SUM(G111:J111)</f>
        <v>-211.727</v>
      </c>
      <c r="T111" s="30">
        <f t="shared" si="183"/>
        <v>-214.54499999999999</v>
      </c>
      <c r="U111" s="30">
        <f t="shared" si="183"/>
        <v>-229.66399999999999</v>
      </c>
      <c r="V111" s="30">
        <f t="shared" si="183"/>
        <v>-200.26999999999998</v>
      </c>
      <c r="W111" s="30">
        <f t="shared" si="183"/>
        <v>-194.82599999999999</v>
      </c>
      <c r="X111" s="30">
        <f t="shared" si="183"/>
        <v>-181.59199999999998</v>
      </c>
      <c r="Y111" s="30">
        <f t="shared" si="183"/>
        <v>-194.23099999999999</v>
      </c>
      <c r="Z111" s="30">
        <f t="shared" si="183"/>
        <v>-203.23399999999998</v>
      </c>
      <c r="AA111" s="55"/>
      <c r="AB111" s="68">
        <f t="shared" ref="AB111" si="184">SUM(Z111/V111)-1</f>
        <v>1.4800019973036482E-2</v>
      </c>
    </row>
    <row r="112" spans="2:28" ht="12.75" customHeight="1">
      <c r="B112" s="56" t="s">
        <v>160</v>
      </c>
      <c r="C112" s="76">
        <v>-26.346</v>
      </c>
      <c r="D112" s="76">
        <v>-7.77</v>
      </c>
      <c r="E112" s="76">
        <v>-2</v>
      </c>
      <c r="F112" s="30"/>
      <c r="G112" s="76">
        <v>-4.4800000000000004</v>
      </c>
      <c r="H112" s="76">
        <v>-3.29</v>
      </c>
      <c r="I112" s="76">
        <v>0</v>
      </c>
      <c r="J112" s="30">
        <f>SUM(D112-SUM(G112:I112))</f>
        <v>8.8817841970012523E-16</v>
      </c>
      <c r="K112" s="76">
        <v>0</v>
      </c>
      <c r="L112" s="76">
        <v>-2</v>
      </c>
      <c r="M112" s="76">
        <v>0</v>
      </c>
      <c r="N112" s="30">
        <f>SUM(E112-SUM(K112:M112))</f>
        <v>0</v>
      </c>
      <c r="O112" s="76">
        <v>0</v>
      </c>
      <c r="P112" s="76">
        <v>-20</v>
      </c>
      <c r="Q112" s="76">
        <v>0</v>
      </c>
      <c r="R112" s="30"/>
      <c r="S112" s="30">
        <f t="shared" si="183"/>
        <v>-7.77</v>
      </c>
      <c r="T112" s="30">
        <f t="shared" si="183"/>
        <v>-3.2899999999999991</v>
      </c>
      <c r="U112" s="30">
        <f t="shared" si="183"/>
        <v>-1.9999999999999991</v>
      </c>
      <c r="V112" s="30">
        <f t="shared" si="183"/>
        <v>-1.9999999999999991</v>
      </c>
      <c r="W112" s="30">
        <f t="shared" si="183"/>
        <v>-2</v>
      </c>
      <c r="X112" s="30">
        <f t="shared" si="183"/>
        <v>-2</v>
      </c>
      <c r="Y112" s="30">
        <f t="shared" si="183"/>
        <v>-20</v>
      </c>
      <c r="Z112" s="30">
        <f t="shared" si="183"/>
        <v>-20</v>
      </c>
      <c r="AA112" s="55"/>
      <c r="AB112" s="68">
        <f t="shared" ref="AB112" si="185">SUM(Z112/V112)-1</f>
        <v>9.0000000000000036</v>
      </c>
    </row>
    <row r="113" spans="2:28" ht="12.75" customHeight="1">
      <c r="B113" s="56" t="s">
        <v>161</v>
      </c>
      <c r="C113" s="76">
        <v>63.276000000000003</v>
      </c>
      <c r="D113" s="76">
        <v>7.5590000000000002</v>
      </c>
      <c r="E113" s="76">
        <v>1.7549999999999999</v>
      </c>
      <c r="F113" s="30"/>
      <c r="G113" s="76">
        <v>0</v>
      </c>
      <c r="H113" s="76">
        <v>0</v>
      </c>
      <c r="I113" s="76">
        <v>5.1509999999999998</v>
      </c>
      <c r="J113" s="30">
        <f>SUM(D113-SUM(G113:I113))</f>
        <v>2.4080000000000004</v>
      </c>
      <c r="K113" s="76">
        <v>0</v>
      </c>
      <c r="L113" s="76">
        <v>1.006</v>
      </c>
      <c r="M113" s="76">
        <v>0.55700000000000005</v>
      </c>
      <c r="N113" s="30">
        <f>SUM(E113-SUM(K113:M113))</f>
        <v>0.19199999999999973</v>
      </c>
      <c r="O113" s="76">
        <v>0</v>
      </c>
      <c r="P113" s="76">
        <v>0</v>
      </c>
      <c r="Q113" s="76">
        <v>11.05</v>
      </c>
      <c r="R113" s="30"/>
      <c r="S113" s="30">
        <f t="shared" si="183"/>
        <v>7.5590000000000002</v>
      </c>
      <c r="T113" s="30">
        <f t="shared" si="183"/>
        <v>7.5590000000000002</v>
      </c>
      <c r="U113" s="30">
        <f t="shared" si="183"/>
        <v>8.5649999999999995</v>
      </c>
      <c r="V113" s="30">
        <f t="shared" si="183"/>
        <v>3.9710000000000005</v>
      </c>
      <c r="W113" s="30">
        <f t="shared" si="183"/>
        <v>1.7549999999999999</v>
      </c>
      <c r="X113" s="30">
        <f t="shared" si="183"/>
        <v>1.7549999999999999</v>
      </c>
      <c r="Y113" s="30">
        <f t="shared" si="183"/>
        <v>0.74899999999999978</v>
      </c>
      <c r="Z113" s="30">
        <f t="shared" si="183"/>
        <v>11.242000000000001</v>
      </c>
      <c r="AA113" s="55"/>
      <c r="AB113" s="68">
        <f t="shared" ref="AB113:AB118" si="186">SUM(Z113/V113)-1</f>
        <v>1.8310249307479225</v>
      </c>
    </row>
    <row r="114" spans="2:28" ht="12.75" customHeight="1">
      <c r="B114" s="56" t="s">
        <v>162</v>
      </c>
      <c r="C114" s="76">
        <v>-67.066999999999993</v>
      </c>
      <c r="D114" s="76">
        <v>-50.253999999999998</v>
      </c>
      <c r="E114" s="76">
        <v>0</v>
      </c>
      <c r="F114" s="30"/>
      <c r="G114" s="76">
        <v>0</v>
      </c>
      <c r="H114" s="76">
        <v>-50.253999999999998</v>
      </c>
      <c r="I114" s="76">
        <v>0</v>
      </c>
      <c r="J114" s="30">
        <f>SUM(D114-SUM(G114:I114))</f>
        <v>0</v>
      </c>
      <c r="K114" s="76">
        <v>0</v>
      </c>
      <c r="L114" s="76">
        <v>0</v>
      </c>
      <c r="M114" s="76">
        <v>0</v>
      </c>
      <c r="N114" s="30">
        <f>SUM(E114-SUM(K114:M114))</f>
        <v>0</v>
      </c>
      <c r="O114" s="76">
        <v>0</v>
      </c>
      <c r="P114" s="76">
        <v>-35.499000000000002</v>
      </c>
      <c r="Q114" s="76">
        <v>0</v>
      </c>
      <c r="R114" s="30"/>
      <c r="S114" s="30">
        <f t="shared" si="183"/>
        <v>-50.253999999999998</v>
      </c>
      <c r="T114" s="30">
        <f t="shared" si="183"/>
        <v>-50.253999999999998</v>
      </c>
      <c r="U114" s="30">
        <f t="shared" si="183"/>
        <v>0</v>
      </c>
      <c r="V114" s="30">
        <f t="shared" si="183"/>
        <v>0</v>
      </c>
      <c r="W114" s="30">
        <f t="shared" si="183"/>
        <v>0</v>
      </c>
      <c r="X114" s="30">
        <f t="shared" si="183"/>
        <v>0</v>
      </c>
      <c r="Y114" s="30">
        <f t="shared" si="183"/>
        <v>-35.499000000000002</v>
      </c>
      <c r="Z114" s="30">
        <f t="shared" si="183"/>
        <v>-35.499000000000002</v>
      </c>
      <c r="AA114" s="55"/>
      <c r="AB114" s="68" t="e">
        <f t="shared" si="186"/>
        <v>#DIV/0!</v>
      </c>
    </row>
    <row r="115" spans="2:28" ht="12.75" customHeight="1">
      <c r="B115" s="56" t="s">
        <v>163</v>
      </c>
      <c r="C115" s="76">
        <v>-3485.6379999999999</v>
      </c>
      <c r="D115" s="76">
        <v>-2048.2730000000001</v>
      </c>
      <c r="E115" s="76">
        <v>-2287.6680000000001</v>
      </c>
      <c r="F115" s="30"/>
      <c r="G115" s="76">
        <v>-874.053</v>
      </c>
      <c r="H115" s="76">
        <v>-631.21799999999996</v>
      </c>
      <c r="I115" s="76">
        <v>-537.04600000000005</v>
      </c>
      <c r="J115" s="30">
        <f t="shared" ref="J115:J116" si="187">SUM(D115-SUM(G115:I115))</f>
        <v>-5.956000000000131</v>
      </c>
      <c r="K115" s="76">
        <v>-465.67200000000003</v>
      </c>
      <c r="L115" s="76">
        <v>-774.85199999999998</v>
      </c>
      <c r="M115" s="76">
        <v>-705.06600000000003</v>
      </c>
      <c r="N115" s="30">
        <f t="shared" ref="N115:N116" si="188">SUM(E115-SUM(K115:M115))</f>
        <v>-342.0780000000002</v>
      </c>
      <c r="O115" s="76">
        <v>-235.79900000000001</v>
      </c>
      <c r="P115" s="76">
        <v>-390.86599999999999</v>
      </c>
      <c r="Q115" s="76">
        <v>-388.65199999999999</v>
      </c>
      <c r="R115" s="30"/>
      <c r="S115" s="30">
        <f t="shared" ref="S115:S116" si="189">SUM(G115:J115)</f>
        <v>-2048.2730000000001</v>
      </c>
      <c r="T115" s="30">
        <f t="shared" ref="T115:T116" si="190">SUM(H115:K115)</f>
        <v>-1639.8920000000003</v>
      </c>
      <c r="U115" s="30">
        <f t="shared" ref="U115:U116" si="191">SUM(I115:L115)</f>
        <v>-1783.5260000000003</v>
      </c>
      <c r="V115" s="30">
        <f t="shared" ref="V115:V116" si="192">SUM(J115:M115)</f>
        <v>-1951.546</v>
      </c>
      <c r="W115" s="30">
        <f t="shared" ref="W115:W116" si="193">SUM(K115:N115)</f>
        <v>-2287.6680000000001</v>
      </c>
      <c r="X115" s="30">
        <f t="shared" ref="X115:X116" si="194">SUM(L115:O115)</f>
        <v>-2057.7950000000005</v>
      </c>
      <c r="Y115" s="30">
        <f t="shared" ref="Y115:Y116" si="195">SUM(M115:P115)</f>
        <v>-1673.8090000000002</v>
      </c>
      <c r="Z115" s="30">
        <f t="shared" ref="Z115:Z116" si="196">SUM(N115:Q115)</f>
        <v>-1357.3950000000002</v>
      </c>
      <c r="AA115" s="55"/>
      <c r="AB115" s="68">
        <f t="shared" ref="AB115:AB116" si="197">SUM(Z115/V115)-1</f>
        <v>-0.30445144516193823</v>
      </c>
    </row>
    <row r="116" spans="2:28" ht="12.75" customHeight="1">
      <c r="B116" s="56" t="s">
        <v>164</v>
      </c>
      <c r="C116" s="76">
        <v>75.715999999999994</v>
      </c>
      <c r="D116" s="76">
        <v>459.48099999999999</v>
      </c>
      <c r="E116" s="76">
        <v>354.31099999999998</v>
      </c>
      <c r="F116" s="30"/>
      <c r="G116" s="76">
        <v>5.351</v>
      </c>
      <c r="H116" s="76">
        <v>85.921999999999997</v>
      </c>
      <c r="I116" s="76">
        <v>16.451000000000001</v>
      </c>
      <c r="J116" s="30">
        <f t="shared" si="187"/>
        <v>351.75700000000001</v>
      </c>
      <c r="K116" s="76">
        <v>0</v>
      </c>
      <c r="L116" s="76">
        <v>166.55699999999999</v>
      </c>
      <c r="M116" s="76">
        <v>187.75399999999999</v>
      </c>
      <c r="N116" s="30">
        <f t="shared" si="188"/>
        <v>0</v>
      </c>
      <c r="O116" s="76">
        <v>12.000999999999999</v>
      </c>
      <c r="P116" s="76">
        <v>425.15699999999998</v>
      </c>
      <c r="Q116" s="76">
        <v>102.53</v>
      </c>
      <c r="R116" s="30"/>
      <c r="S116" s="30">
        <f t="shared" si="189"/>
        <v>459.48099999999999</v>
      </c>
      <c r="T116" s="30">
        <f t="shared" si="190"/>
        <v>454.13</v>
      </c>
      <c r="U116" s="30">
        <f t="shared" si="191"/>
        <v>534.76499999999999</v>
      </c>
      <c r="V116" s="30">
        <f t="shared" si="192"/>
        <v>706.06799999999998</v>
      </c>
      <c r="W116" s="30">
        <f t="shared" si="193"/>
        <v>354.31099999999998</v>
      </c>
      <c r="X116" s="30">
        <f t="shared" si="194"/>
        <v>366.31199999999995</v>
      </c>
      <c r="Y116" s="30">
        <f t="shared" si="195"/>
        <v>624.91200000000003</v>
      </c>
      <c r="Z116" s="30">
        <f t="shared" si="196"/>
        <v>539.68799999999999</v>
      </c>
      <c r="AA116" s="55"/>
      <c r="AB116" s="68">
        <f t="shared" si="197"/>
        <v>-0.2356430258841925</v>
      </c>
    </row>
    <row r="117" spans="2:28" ht="12.75" customHeight="1">
      <c r="B117" s="56" t="s">
        <v>165</v>
      </c>
      <c r="C117" s="76">
        <v>2525.2150000000001</v>
      </c>
      <c r="D117" s="76">
        <v>2424.7170000000001</v>
      </c>
      <c r="E117" s="76">
        <v>1411.444</v>
      </c>
      <c r="F117" s="30"/>
      <c r="G117" s="76">
        <v>924.32299999999998</v>
      </c>
      <c r="H117" s="76">
        <v>611.83500000000004</v>
      </c>
      <c r="I117" s="76">
        <v>557.57899999999995</v>
      </c>
      <c r="J117" s="30">
        <f t="shared" ref="J117" si="198">SUM(D117-SUM(G117:I117))</f>
        <v>330.98</v>
      </c>
      <c r="K117" s="76">
        <v>384.928</v>
      </c>
      <c r="L117" s="76">
        <v>447.15300000000002</v>
      </c>
      <c r="M117" s="76">
        <v>337.98500000000001</v>
      </c>
      <c r="N117" s="30">
        <f t="shared" ref="N117" si="199">SUM(E117-SUM(K117:M117))</f>
        <v>241.37799999999993</v>
      </c>
      <c r="O117" s="76">
        <v>263.76600000000002</v>
      </c>
      <c r="P117" s="76">
        <v>301.34800000000001</v>
      </c>
      <c r="Q117" s="76">
        <v>220.203</v>
      </c>
      <c r="R117" s="30"/>
      <c r="S117" s="30">
        <f t="shared" ref="S117" si="200">SUM(G117:J117)</f>
        <v>2424.7170000000001</v>
      </c>
      <c r="T117" s="30">
        <f t="shared" ref="T117" si="201">SUM(H117:K117)</f>
        <v>1885.3220000000001</v>
      </c>
      <c r="U117" s="30">
        <f t="shared" ref="U117" si="202">SUM(I117:L117)</f>
        <v>1720.64</v>
      </c>
      <c r="V117" s="30">
        <f t="shared" ref="V117" si="203">SUM(J117:M117)</f>
        <v>1501.0460000000003</v>
      </c>
      <c r="W117" s="30">
        <f t="shared" ref="W117" si="204">SUM(K117:N117)</f>
        <v>1411.444</v>
      </c>
      <c r="X117" s="30">
        <f t="shared" ref="X117" si="205">SUM(L117:O117)</f>
        <v>1290.2820000000002</v>
      </c>
      <c r="Y117" s="30">
        <f t="shared" ref="Y117" si="206">SUM(M117:P117)</f>
        <v>1144.4769999999999</v>
      </c>
      <c r="Z117" s="30">
        <f t="shared" ref="Z117" si="207">SUM(N117:Q117)</f>
        <v>1026.6949999999999</v>
      </c>
      <c r="AA117" s="55"/>
      <c r="AB117" s="68">
        <f t="shared" ref="AB117" si="208">SUM(Z117/V117)-1</f>
        <v>-0.31601363315981001</v>
      </c>
    </row>
    <row r="118" spans="2:28" ht="12.75" customHeight="1">
      <c r="B118" s="56" t="s">
        <v>150</v>
      </c>
      <c r="C118" s="76">
        <v>-18.125</v>
      </c>
      <c r="D118" s="76">
        <v>-2.7789999999999999</v>
      </c>
      <c r="E118" s="76">
        <v>-0.1</v>
      </c>
      <c r="F118" s="30"/>
      <c r="G118" s="76">
        <v>2.327</v>
      </c>
      <c r="H118" s="76">
        <v>-2.4510000000000001</v>
      </c>
      <c r="I118" s="76">
        <v>-0.308</v>
      </c>
      <c r="J118" s="30">
        <f>SUM(D118-SUM(G118:I118))</f>
        <v>-2.347</v>
      </c>
      <c r="K118" s="76">
        <v>8.9999999999999993E-3</v>
      </c>
      <c r="L118" s="76">
        <v>-0.1</v>
      </c>
      <c r="M118" s="76">
        <v>0</v>
      </c>
      <c r="N118" s="30">
        <f>SUM(E118-SUM(K118:M118))</f>
        <v>-8.9999999999999941E-3</v>
      </c>
      <c r="O118" s="76">
        <v>0</v>
      </c>
      <c r="P118" s="76">
        <v>0</v>
      </c>
      <c r="Q118" s="76">
        <v>0</v>
      </c>
      <c r="R118" s="30"/>
      <c r="S118" s="30">
        <f t="shared" si="183"/>
        <v>-2.7789999999999999</v>
      </c>
      <c r="T118" s="30">
        <f t="shared" si="183"/>
        <v>-5.0969999999999995</v>
      </c>
      <c r="U118" s="30">
        <f t="shared" si="183"/>
        <v>-2.746</v>
      </c>
      <c r="V118" s="30">
        <f t="shared" si="183"/>
        <v>-2.4380000000000002</v>
      </c>
      <c r="W118" s="30">
        <f t="shared" si="183"/>
        <v>-0.1</v>
      </c>
      <c r="X118" s="30">
        <f t="shared" si="183"/>
        <v>-0.109</v>
      </c>
      <c r="Y118" s="30">
        <f t="shared" si="183"/>
        <v>-8.9999999999999941E-3</v>
      </c>
      <c r="Z118" s="30">
        <f t="shared" si="183"/>
        <v>-8.9999999999999941E-3</v>
      </c>
      <c r="AA118" s="55"/>
      <c r="AB118" s="68">
        <f t="shared" si="186"/>
        <v>-0.99630844954881048</v>
      </c>
    </row>
    <row r="119" spans="2:28" ht="12.75" customHeight="1">
      <c r="B119" s="12" t="s">
        <v>58</v>
      </c>
      <c r="C119" s="13">
        <f t="shared" ref="C119:N119" si="209">SUM(C111:C118)</f>
        <v>-1062.2750000000001</v>
      </c>
      <c r="D119" s="13">
        <f t="shared" si="209"/>
        <v>570.95399999999995</v>
      </c>
      <c r="E119" s="13">
        <f t="shared" si="209"/>
        <v>-717.08399999999995</v>
      </c>
      <c r="G119" s="13">
        <f t="shared" si="209"/>
        <v>5.8379999999999672</v>
      </c>
      <c r="H119" s="13">
        <f t="shared" si="209"/>
        <v>-26.398999999999866</v>
      </c>
      <c r="I119" s="13">
        <f t="shared" si="209"/>
        <v>-31.608000000000068</v>
      </c>
      <c r="J119" s="13">
        <f t="shared" si="209"/>
        <v>623.12299999999993</v>
      </c>
      <c r="K119" s="13">
        <f t="shared" si="209"/>
        <v>-131.18300000000002</v>
      </c>
      <c r="L119" s="13">
        <f t="shared" si="209"/>
        <v>-214.29799999999997</v>
      </c>
      <c r="M119" s="13">
        <f t="shared" si="209"/>
        <v>-222.81100000000004</v>
      </c>
      <c r="N119" s="13">
        <f t="shared" si="209"/>
        <v>-148.79200000000029</v>
      </c>
      <c r="O119" s="156">
        <f t="shared" ref="O119:Q119" si="210">SUM(O111:O118)</f>
        <v>2.7539999999999623</v>
      </c>
      <c r="P119" s="156">
        <f t="shared" si="210"/>
        <v>215.43900000000002</v>
      </c>
      <c r="Q119" s="156">
        <f t="shared" si="210"/>
        <v>-107.91299999999998</v>
      </c>
      <c r="S119" s="13">
        <f t="shared" ref="S119:Z119" si="211">SUM(S111:S118)</f>
        <v>570.95399999999995</v>
      </c>
      <c r="T119" s="13">
        <f t="shared" si="211"/>
        <v>433.93299999999977</v>
      </c>
      <c r="U119" s="13">
        <f t="shared" si="211"/>
        <v>246.03399999999996</v>
      </c>
      <c r="V119" s="13">
        <f t="shared" si="211"/>
        <v>54.831000000000003</v>
      </c>
      <c r="W119" s="13">
        <f t="shared" si="211"/>
        <v>-717.08399999999995</v>
      </c>
      <c r="X119" s="13">
        <f t="shared" si="211"/>
        <v>-583.1470000000005</v>
      </c>
      <c r="Y119" s="13">
        <f t="shared" si="211"/>
        <v>-153.41000000000028</v>
      </c>
      <c r="Z119" s="13">
        <f t="shared" si="211"/>
        <v>-38.512000000000384</v>
      </c>
      <c r="AA119" s="39"/>
      <c r="AB119" s="69">
        <f>SUM(Z119/V119)-1</f>
        <v>-1.7023763929164228</v>
      </c>
    </row>
    <row r="120" spans="2:28" ht="5.0999999999999996" customHeight="1">
      <c r="B120" s="48"/>
      <c r="C120" s="57"/>
      <c r="D120" s="57"/>
      <c r="E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S120" s="39"/>
      <c r="T120" s="39"/>
      <c r="U120" s="39"/>
      <c r="V120" s="39"/>
      <c r="W120" s="39"/>
      <c r="X120" s="39"/>
      <c r="Y120" s="39"/>
      <c r="Z120" s="39"/>
      <c r="AA120" s="39"/>
      <c r="AB120" s="36"/>
    </row>
    <row r="121" spans="2:28" ht="12.75" customHeight="1">
      <c r="B121" s="112" t="s">
        <v>59</v>
      </c>
      <c r="C121" s="58"/>
      <c r="D121" s="58"/>
      <c r="E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30"/>
      <c r="S121" s="30"/>
      <c r="T121" s="30"/>
      <c r="U121" s="30"/>
      <c r="V121" s="30"/>
      <c r="W121" s="30"/>
      <c r="X121" s="30"/>
      <c r="Y121" s="30"/>
      <c r="Z121" s="30"/>
      <c r="AA121" s="59"/>
      <c r="AB121" s="36"/>
    </row>
    <row r="122" spans="2:28" ht="12.75" customHeight="1">
      <c r="B122" s="77" t="s">
        <v>166</v>
      </c>
      <c r="C122" s="76">
        <v>1483.5</v>
      </c>
      <c r="D122" s="76">
        <v>0</v>
      </c>
      <c r="E122" s="76">
        <v>740.35</v>
      </c>
      <c r="G122" s="76">
        <v>0</v>
      </c>
      <c r="H122" s="76">
        <v>0</v>
      </c>
      <c r="I122" s="76">
        <v>0</v>
      </c>
      <c r="J122" s="30">
        <f t="shared" ref="J122:J131" si="212">SUM(D122-SUM(G122:I122))</f>
        <v>0</v>
      </c>
      <c r="K122" s="76">
        <v>0</v>
      </c>
      <c r="L122" s="76">
        <v>740.35</v>
      </c>
      <c r="M122" s="76">
        <v>0</v>
      </c>
      <c r="N122" s="30">
        <f t="shared" ref="N122:N131" si="213">SUM(E122-SUM(K122:M122))</f>
        <v>0</v>
      </c>
      <c r="O122" s="76">
        <v>1473.0830000000001</v>
      </c>
      <c r="P122" s="76">
        <v>0</v>
      </c>
      <c r="Q122" s="76">
        <v>541.11</v>
      </c>
      <c r="R122" s="30"/>
      <c r="S122" s="30">
        <f t="shared" ref="S122:Z131" si="214">SUM(G122:J122)</f>
        <v>0</v>
      </c>
      <c r="T122" s="30">
        <f t="shared" si="214"/>
        <v>0</v>
      </c>
      <c r="U122" s="30">
        <f t="shared" si="214"/>
        <v>740.35</v>
      </c>
      <c r="V122" s="30">
        <f t="shared" si="214"/>
        <v>740.35</v>
      </c>
      <c r="W122" s="30">
        <f t="shared" si="214"/>
        <v>740.35</v>
      </c>
      <c r="X122" s="30">
        <f t="shared" si="214"/>
        <v>2213.433</v>
      </c>
      <c r="Y122" s="30">
        <f t="shared" si="214"/>
        <v>1473.0830000000001</v>
      </c>
      <c r="Z122" s="30">
        <f t="shared" si="214"/>
        <v>2014.1930000000002</v>
      </c>
      <c r="AA122" s="59"/>
      <c r="AB122" s="68">
        <f t="shared" ref="AB122" si="215">SUM(Z122/V122)-1</f>
        <v>1.7205956642128726</v>
      </c>
    </row>
    <row r="123" spans="2:28" ht="12.75" customHeight="1">
      <c r="B123" s="56" t="s">
        <v>167</v>
      </c>
      <c r="C123" s="76">
        <v>-177</v>
      </c>
      <c r="D123" s="76">
        <v>0</v>
      </c>
      <c r="E123" s="76">
        <v>-68.849999999999994</v>
      </c>
      <c r="F123" s="30"/>
      <c r="G123" s="76">
        <v>0</v>
      </c>
      <c r="H123" s="76">
        <v>0</v>
      </c>
      <c r="I123" s="76">
        <v>0</v>
      </c>
      <c r="J123" s="30">
        <f t="shared" si="212"/>
        <v>0</v>
      </c>
      <c r="K123" s="76">
        <v>0</v>
      </c>
      <c r="L123" s="76">
        <v>-68.849999999999994</v>
      </c>
      <c r="M123" s="76">
        <v>0</v>
      </c>
      <c r="N123" s="30">
        <f t="shared" si="213"/>
        <v>0</v>
      </c>
      <c r="O123" s="76">
        <v>0</v>
      </c>
      <c r="P123" s="76">
        <v>0</v>
      </c>
      <c r="Q123" s="76">
        <v>0</v>
      </c>
      <c r="R123" s="30"/>
      <c r="S123" s="30">
        <f t="shared" si="214"/>
        <v>0</v>
      </c>
      <c r="T123" s="30">
        <f t="shared" si="214"/>
        <v>0</v>
      </c>
      <c r="U123" s="30">
        <f t="shared" si="214"/>
        <v>-68.849999999999994</v>
      </c>
      <c r="V123" s="30">
        <f t="shared" si="214"/>
        <v>-68.849999999999994</v>
      </c>
      <c r="W123" s="30">
        <f t="shared" si="214"/>
        <v>-68.849999999999994</v>
      </c>
      <c r="X123" s="30">
        <f t="shared" si="214"/>
        <v>-68.849999999999994</v>
      </c>
      <c r="Y123" s="30">
        <f t="shared" si="214"/>
        <v>0</v>
      </c>
      <c r="Z123" s="30">
        <f t="shared" si="214"/>
        <v>0</v>
      </c>
      <c r="AA123" s="55"/>
      <c r="AB123" s="68">
        <f t="shared" ref="AB123" si="216">SUM(Z123/V123)-1</f>
        <v>-1</v>
      </c>
    </row>
    <row r="124" spans="2:28" ht="12.75" customHeight="1">
      <c r="B124" s="56" t="s">
        <v>168</v>
      </c>
      <c r="C124" s="76">
        <v>0</v>
      </c>
      <c r="D124" s="76">
        <v>0</v>
      </c>
      <c r="E124" s="76">
        <v>62.683</v>
      </c>
      <c r="F124" s="30"/>
      <c r="G124" s="76">
        <v>0</v>
      </c>
      <c r="H124" s="76">
        <v>0</v>
      </c>
      <c r="I124" s="76">
        <v>0</v>
      </c>
      <c r="J124" s="30">
        <f t="shared" si="212"/>
        <v>0</v>
      </c>
      <c r="K124" s="76">
        <v>0</v>
      </c>
      <c r="L124" s="76">
        <v>62.683</v>
      </c>
      <c r="M124" s="76">
        <v>0</v>
      </c>
      <c r="N124" s="30">
        <f t="shared" si="213"/>
        <v>0</v>
      </c>
      <c r="O124" s="76">
        <v>0</v>
      </c>
      <c r="P124" s="76">
        <v>0</v>
      </c>
      <c r="Q124" s="76">
        <v>0</v>
      </c>
      <c r="R124" s="30"/>
      <c r="S124" s="30">
        <f t="shared" si="214"/>
        <v>0</v>
      </c>
      <c r="T124" s="30">
        <f t="shared" si="214"/>
        <v>0</v>
      </c>
      <c r="U124" s="30">
        <f t="shared" si="214"/>
        <v>62.683</v>
      </c>
      <c r="V124" s="30">
        <f t="shared" si="214"/>
        <v>62.683</v>
      </c>
      <c r="W124" s="30">
        <f t="shared" si="214"/>
        <v>62.683</v>
      </c>
      <c r="X124" s="30">
        <f t="shared" si="214"/>
        <v>62.683</v>
      </c>
      <c r="Y124" s="30">
        <f t="shared" si="214"/>
        <v>0</v>
      </c>
      <c r="Z124" s="30">
        <f t="shared" si="214"/>
        <v>0</v>
      </c>
      <c r="AA124" s="55"/>
      <c r="AB124" s="68">
        <f t="shared" ref="AB124:AB131" si="217">SUM(Z124/V124)-1</f>
        <v>-1</v>
      </c>
    </row>
    <row r="125" spans="2:28" ht="12.75" customHeight="1">
      <c r="B125" s="56" t="s">
        <v>169</v>
      </c>
      <c r="C125" s="76">
        <v>4.2720000000000002</v>
      </c>
      <c r="D125" s="76">
        <v>1.038</v>
      </c>
      <c r="E125" s="76">
        <v>12.798</v>
      </c>
      <c r="F125" s="30"/>
      <c r="G125" s="76">
        <v>2.9000000000000001E-2</v>
      </c>
      <c r="H125" s="76">
        <v>0.38200000000000001</v>
      </c>
      <c r="I125" s="76">
        <v>5.0000000000000001E-3</v>
      </c>
      <c r="J125" s="30">
        <f t="shared" si="212"/>
        <v>0.622</v>
      </c>
      <c r="K125" s="76">
        <v>6.9000000000000006E-2</v>
      </c>
      <c r="L125" s="76">
        <v>2.4249999999999998</v>
      </c>
      <c r="M125" s="76">
        <v>10.304</v>
      </c>
      <c r="N125" s="30">
        <f t="shared" si="213"/>
        <v>0</v>
      </c>
      <c r="O125" s="76">
        <v>0</v>
      </c>
      <c r="P125" s="76">
        <v>0</v>
      </c>
      <c r="Q125" s="76">
        <v>0</v>
      </c>
      <c r="R125" s="30"/>
      <c r="S125" s="30">
        <f t="shared" si="214"/>
        <v>1.038</v>
      </c>
      <c r="T125" s="30">
        <f t="shared" si="214"/>
        <v>1.0779999999999998</v>
      </c>
      <c r="U125" s="30">
        <f t="shared" si="214"/>
        <v>3.1209999999999996</v>
      </c>
      <c r="V125" s="30">
        <f t="shared" si="214"/>
        <v>13.42</v>
      </c>
      <c r="W125" s="30">
        <f t="shared" si="214"/>
        <v>12.798</v>
      </c>
      <c r="X125" s="30">
        <f t="shared" si="214"/>
        <v>12.728999999999999</v>
      </c>
      <c r="Y125" s="30">
        <f t="shared" si="214"/>
        <v>10.304</v>
      </c>
      <c r="Z125" s="30">
        <f t="shared" si="214"/>
        <v>0</v>
      </c>
      <c r="AA125" s="55"/>
      <c r="AB125" s="68">
        <f t="shared" si="217"/>
        <v>-1</v>
      </c>
    </row>
    <row r="126" spans="2:28" ht="12.75" customHeight="1">
      <c r="B126" s="56" t="s">
        <v>170</v>
      </c>
      <c r="C126" s="76">
        <v>-3.0059999999999998</v>
      </c>
      <c r="D126" s="76">
        <v>0</v>
      </c>
      <c r="E126" s="76">
        <v>0</v>
      </c>
      <c r="F126" s="30"/>
      <c r="G126" s="76">
        <v>0</v>
      </c>
      <c r="H126" s="76">
        <v>0</v>
      </c>
      <c r="I126" s="76">
        <v>0</v>
      </c>
      <c r="J126" s="30">
        <f t="shared" si="212"/>
        <v>0</v>
      </c>
      <c r="K126" s="76">
        <v>0</v>
      </c>
      <c r="L126" s="76">
        <v>0</v>
      </c>
      <c r="M126" s="76">
        <v>0</v>
      </c>
      <c r="N126" s="30">
        <f t="shared" si="213"/>
        <v>0</v>
      </c>
      <c r="O126" s="76">
        <v>0</v>
      </c>
      <c r="P126" s="76">
        <v>0</v>
      </c>
      <c r="Q126" s="76">
        <v>0</v>
      </c>
      <c r="R126" s="30"/>
      <c r="S126" s="30">
        <f t="shared" si="214"/>
        <v>0</v>
      </c>
      <c r="T126" s="30">
        <f t="shared" si="214"/>
        <v>0</v>
      </c>
      <c r="U126" s="30">
        <f t="shared" si="214"/>
        <v>0</v>
      </c>
      <c r="V126" s="30">
        <f t="shared" si="214"/>
        <v>0</v>
      </c>
      <c r="W126" s="30">
        <f t="shared" si="214"/>
        <v>0</v>
      </c>
      <c r="X126" s="30">
        <f t="shared" si="214"/>
        <v>0</v>
      </c>
      <c r="Y126" s="30">
        <f t="shared" si="214"/>
        <v>0</v>
      </c>
      <c r="Z126" s="30">
        <f t="shared" si="214"/>
        <v>0</v>
      </c>
      <c r="AA126" s="55"/>
      <c r="AB126" s="68" t="e">
        <f t="shared" si="217"/>
        <v>#DIV/0!</v>
      </c>
    </row>
    <row r="127" spans="2:28" ht="12.75" customHeight="1">
      <c r="B127" s="56" t="s">
        <v>171</v>
      </c>
      <c r="C127" s="76">
        <v>-1001.052</v>
      </c>
      <c r="D127" s="76">
        <v>-189.39400000000001</v>
      </c>
      <c r="E127" s="76">
        <v>-311.06900000000002</v>
      </c>
      <c r="F127" s="30"/>
      <c r="G127" s="76">
        <v>0</v>
      </c>
      <c r="H127" s="76">
        <v>0</v>
      </c>
      <c r="I127" s="76">
        <v>0</v>
      </c>
      <c r="J127" s="30">
        <f t="shared" ref="J127:J129" si="218">SUM(D127-SUM(G127:I127))</f>
        <v>-189.39400000000001</v>
      </c>
      <c r="K127" s="76">
        <v>-235.114</v>
      </c>
      <c r="L127" s="76">
        <v>-75.954999999999998</v>
      </c>
      <c r="M127" s="76">
        <v>0</v>
      </c>
      <c r="N127" s="30">
        <f t="shared" ref="N127:N129" si="219">SUM(E127-SUM(K127:M127))</f>
        <v>0</v>
      </c>
      <c r="O127" s="76">
        <v>-257.10000000000002</v>
      </c>
      <c r="P127" s="76">
        <v>-243.47300000000001</v>
      </c>
      <c r="Q127" s="76">
        <v>0</v>
      </c>
      <c r="R127" s="30"/>
      <c r="S127" s="30">
        <f t="shared" ref="S127:S129" si="220">SUM(G127:J127)</f>
        <v>-189.39400000000001</v>
      </c>
      <c r="T127" s="30">
        <f t="shared" ref="T127:T129" si="221">SUM(H127:K127)</f>
        <v>-424.50800000000004</v>
      </c>
      <c r="U127" s="30">
        <f t="shared" ref="U127:U129" si="222">SUM(I127:L127)</f>
        <v>-500.46300000000002</v>
      </c>
      <c r="V127" s="30">
        <f t="shared" ref="V127:V129" si="223">SUM(J127:M127)</f>
        <v>-500.46300000000002</v>
      </c>
      <c r="W127" s="30">
        <f t="shared" ref="W127:W129" si="224">SUM(K127:N127)</f>
        <v>-311.06900000000002</v>
      </c>
      <c r="X127" s="30">
        <f t="shared" ref="X127:X129" si="225">SUM(L127:O127)</f>
        <v>-333.05500000000001</v>
      </c>
      <c r="Y127" s="30">
        <f t="shared" ref="Y127:Y129" si="226">SUM(M127:P127)</f>
        <v>-500.57300000000004</v>
      </c>
      <c r="Z127" s="30">
        <f t="shared" ref="Z127:Z129" si="227">SUM(N127:Q127)</f>
        <v>-500.57300000000004</v>
      </c>
      <c r="AA127" s="55"/>
      <c r="AB127" s="68">
        <f t="shared" ref="AB127:AB129" si="228">SUM(Z127/V127)-1</f>
        <v>2.1979646847025691E-4</v>
      </c>
    </row>
    <row r="128" spans="2:28" ht="12.75" customHeight="1">
      <c r="B128" s="56" t="s">
        <v>172</v>
      </c>
      <c r="C128" s="76">
        <v>0</v>
      </c>
      <c r="D128" s="76">
        <v>-270.43299999999999</v>
      </c>
      <c r="E128" s="76">
        <v>-3.6949999999999998</v>
      </c>
      <c r="F128" s="30"/>
      <c r="G128" s="76">
        <v>-2.028</v>
      </c>
      <c r="H128" s="76">
        <v>-242.08799999999999</v>
      </c>
      <c r="I128" s="76">
        <v>-10.441000000000001</v>
      </c>
      <c r="J128" s="30">
        <f t="shared" si="218"/>
        <v>-15.876000000000005</v>
      </c>
      <c r="K128" s="76">
        <v>0</v>
      </c>
      <c r="L128" s="76">
        <v>-3.6949999999999998</v>
      </c>
      <c r="M128" s="76">
        <v>0</v>
      </c>
      <c r="N128" s="30">
        <f t="shared" si="219"/>
        <v>0</v>
      </c>
      <c r="O128" s="76">
        <v>-57.976999999999997</v>
      </c>
      <c r="P128" s="76">
        <v>-9.5619999999999994</v>
      </c>
      <c r="Q128" s="76">
        <v>0</v>
      </c>
      <c r="R128" s="30"/>
      <c r="S128" s="30">
        <f t="shared" si="220"/>
        <v>-270.43299999999999</v>
      </c>
      <c r="T128" s="30">
        <f t="shared" si="221"/>
        <v>-268.40499999999997</v>
      </c>
      <c r="U128" s="30">
        <f t="shared" si="222"/>
        <v>-30.012000000000008</v>
      </c>
      <c r="V128" s="30">
        <f t="shared" si="223"/>
        <v>-19.571000000000005</v>
      </c>
      <c r="W128" s="30">
        <f t="shared" si="224"/>
        <v>-3.6949999999999998</v>
      </c>
      <c r="X128" s="30">
        <f t="shared" si="225"/>
        <v>-61.671999999999997</v>
      </c>
      <c r="Y128" s="30">
        <f t="shared" si="226"/>
        <v>-67.539000000000001</v>
      </c>
      <c r="Z128" s="30">
        <f t="shared" si="227"/>
        <v>-67.539000000000001</v>
      </c>
      <c r="AA128" s="55"/>
      <c r="AB128" s="68">
        <f t="shared" si="228"/>
        <v>2.4509733789791008</v>
      </c>
    </row>
    <row r="129" spans="2:28" ht="12.75" customHeight="1">
      <c r="B129" s="56" t="s">
        <v>173</v>
      </c>
      <c r="C129" s="76">
        <v>0</v>
      </c>
      <c r="D129" s="76">
        <v>0</v>
      </c>
      <c r="E129" s="76">
        <v>-859.04200000000003</v>
      </c>
      <c r="F129" s="30"/>
      <c r="G129" s="76">
        <v>0</v>
      </c>
      <c r="H129" s="76">
        <v>0</v>
      </c>
      <c r="I129" s="76">
        <v>0</v>
      </c>
      <c r="J129" s="30">
        <f t="shared" si="218"/>
        <v>0</v>
      </c>
      <c r="K129" s="76">
        <v>-440.70600000000002</v>
      </c>
      <c r="L129" s="76">
        <v>-418.33600000000001</v>
      </c>
      <c r="M129" s="76">
        <v>0</v>
      </c>
      <c r="N129" s="30">
        <f t="shared" si="219"/>
        <v>0</v>
      </c>
      <c r="O129" s="76">
        <v>-1444.626</v>
      </c>
      <c r="P129" s="76">
        <v>0</v>
      </c>
      <c r="Q129" s="76">
        <v>-549.92399999999998</v>
      </c>
      <c r="R129" s="30"/>
      <c r="S129" s="30">
        <f t="shared" si="220"/>
        <v>0</v>
      </c>
      <c r="T129" s="30">
        <f t="shared" si="221"/>
        <v>-440.70600000000002</v>
      </c>
      <c r="U129" s="30">
        <f t="shared" si="222"/>
        <v>-859.04200000000003</v>
      </c>
      <c r="V129" s="30">
        <f t="shared" si="223"/>
        <v>-859.04200000000003</v>
      </c>
      <c r="W129" s="30">
        <f t="shared" si="224"/>
        <v>-859.04200000000003</v>
      </c>
      <c r="X129" s="30">
        <f t="shared" si="225"/>
        <v>-1862.962</v>
      </c>
      <c r="Y129" s="30">
        <f t="shared" si="226"/>
        <v>-1444.626</v>
      </c>
      <c r="Z129" s="30">
        <f t="shared" si="227"/>
        <v>-1994.55</v>
      </c>
      <c r="AA129" s="55"/>
      <c r="AB129" s="68">
        <f t="shared" si="228"/>
        <v>1.3218305973398272</v>
      </c>
    </row>
    <row r="130" spans="2:28" ht="12.75" customHeight="1">
      <c r="B130" s="56" t="s">
        <v>176</v>
      </c>
      <c r="C130" s="76">
        <v>0</v>
      </c>
      <c r="D130" s="76">
        <v>0</v>
      </c>
      <c r="E130" s="76">
        <v>0</v>
      </c>
      <c r="F130" s="30"/>
      <c r="G130" s="76">
        <v>0</v>
      </c>
      <c r="H130" s="76">
        <v>0</v>
      </c>
      <c r="I130" s="76">
        <v>0</v>
      </c>
      <c r="J130" s="30">
        <f t="shared" ref="J130" si="229">SUM(D130-SUM(G130:I130))</f>
        <v>0</v>
      </c>
      <c r="K130" s="76">
        <v>0</v>
      </c>
      <c r="L130" s="76">
        <v>0</v>
      </c>
      <c r="M130" s="76">
        <v>0</v>
      </c>
      <c r="N130" s="30">
        <f t="shared" ref="N130" si="230">SUM(E130-SUM(K130:M130))</f>
        <v>0</v>
      </c>
      <c r="O130" s="76">
        <v>0</v>
      </c>
      <c r="P130" s="76">
        <v>-36.24</v>
      </c>
      <c r="Q130" s="76">
        <v>0</v>
      </c>
      <c r="R130" s="30"/>
      <c r="S130" s="30">
        <f t="shared" ref="S130" si="231">SUM(G130:J130)</f>
        <v>0</v>
      </c>
      <c r="T130" s="30">
        <f t="shared" ref="T130" si="232">SUM(H130:K130)</f>
        <v>0</v>
      </c>
      <c r="U130" s="30">
        <f t="shared" ref="U130" si="233">SUM(I130:L130)</f>
        <v>0</v>
      </c>
      <c r="V130" s="30">
        <f t="shared" ref="V130" si="234">SUM(J130:M130)</f>
        <v>0</v>
      </c>
      <c r="W130" s="30">
        <f t="shared" ref="W130" si="235">SUM(K130:N130)</f>
        <v>0</v>
      </c>
      <c r="X130" s="30">
        <f t="shared" ref="X130" si="236">SUM(L130:O130)</f>
        <v>0</v>
      </c>
      <c r="Y130" s="30">
        <f t="shared" ref="Y130" si="237">SUM(M130:P130)</f>
        <v>-36.24</v>
      </c>
      <c r="Z130" s="30">
        <f t="shared" ref="Z130" si="238">SUM(N130:Q130)</f>
        <v>-36.24</v>
      </c>
      <c r="AA130" s="55"/>
      <c r="AB130" s="68" t="e">
        <f t="shared" ref="AB130" si="239">SUM(Z130/V130)-1</f>
        <v>#DIV/0!</v>
      </c>
    </row>
    <row r="131" spans="2:28" ht="12.75" customHeight="1">
      <c r="B131" s="56" t="s">
        <v>150</v>
      </c>
      <c r="C131" s="76">
        <v>0</v>
      </c>
      <c r="D131" s="76">
        <v>0</v>
      </c>
      <c r="E131" s="76">
        <v>-1.7989999999999999</v>
      </c>
      <c r="F131" s="30"/>
      <c r="G131" s="76">
        <v>0</v>
      </c>
      <c r="H131" s="76">
        <v>0</v>
      </c>
      <c r="I131" s="76">
        <v>0</v>
      </c>
      <c r="J131" s="30">
        <f t="shared" si="212"/>
        <v>0</v>
      </c>
      <c r="K131" s="76">
        <v>0</v>
      </c>
      <c r="L131" s="76">
        <v>-1.7989999999999999</v>
      </c>
      <c r="M131" s="76">
        <v>0</v>
      </c>
      <c r="N131" s="30">
        <f t="shared" si="213"/>
        <v>0</v>
      </c>
      <c r="O131" s="76">
        <v>-1.899</v>
      </c>
      <c r="P131" s="76">
        <v>-1.8</v>
      </c>
      <c r="Q131" s="76">
        <v>-3.1989999999999998</v>
      </c>
      <c r="R131" s="30"/>
      <c r="S131" s="30">
        <f t="shared" si="214"/>
        <v>0</v>
      </c>
      <c r="T131" s="30">
        <f t="shared" si="214"/>
        <v>0</v>
      </c>
      <c r="U131" s="30">
        <f t="shared" si="214"/>
        <v>-1.7989999999999999</v>
      </c>
      <c r="V131" s="30">
        <f t="shared" si="214"/>
        <v>-1.7989999999999999</v>
      </c>
      <c r="W131" s="30">
        <f t="shared" si="214"/>
        <v>-1.7989999999999999</v>
      </c>
      <c r="X131" s="30">
        <f t="shared" si="214"/>
        <v>-3.698</v>
      </c>
      <c r="Y131" s="30">
        <f t="shared" si="214"/>
        <v>-3.6989999999999998</v>
      </c>
      <c r="Z131" s="30">
        <f t="shared" si="214"/>
        <v>-6.8979999999999997</v>
      </c>
      <c r="AA131" s="55"/>
      <c r="AB131" s="68">
        <f t="shared" si="217"/>
        <v>2.8343524180100057</v>
      </c>
    </row>
    <row r="132" spans="2:28" ht="12.75" customHeight="1">
      <c r="B132" s="12" t="s">
        <v>60</v>
      </c>
      <c r="C132" s="13">
        <f t="shared" ref="C132:N132" si="240">SUM(C122:C131)</f>
        <v>306.71399999999983</v>
      </c>
      <c r="D132" s="13">
        <f t="shared" si="240"/>
        <v>-458.78899999999999</v>
      </c>
      <c r="E132" s="13">
        <f t="shared" si="240"/>
        <v>-428.62400000000002</v>
      </c>
      <c r="G132" s="13">
        <f t="shared" si="240"/>
        <v>-1.9990000000000001</v>
      </c>
      <c r="H132" s="13">
        <f t="shared" si="240"/>
        <v>-241.70599999999999</v>
      </c>
      <c r="I132" s="13">
        <f t="shared" si="240"/>
        <v>-10.436</v>
      </c>
      <c r="J132" s="13">
        <f t="shared" si="240"/>
        <v>-204.648</v>
      </c>
      <c r="K132" s="13">
        <f t="shared" si="240"/>
        <v>-675.75099999999998</v>
      </c>
      <c r="L132" s="13">
        <f t="shared" si="240"/>
        <v>236.82299999999984</v>
      </c>
      <c r="M132" s="13">
        <f t="shared" si="240"/>
        <v>10.304</v>
      </c>
      <c r="N132" s="13">
        <f t="shared" si="240"/>
        <v>0</v>
      </c>
      <c r="O132" s="156">
        <f t="shared" ref="O132:P132" si="241">SUM(O122:O131)</f>
        <v>-288.51899999999989</v>
      </c>
      <c r="P132" s="156">
        <f t="shared" si="241"/>
        <v>-291.07500000000005</v>
      </c>
      <c r="Q132" s="156">
        <f t="shared" ref="Q132" si="242">SUM(Q122:Q131)</f>
        <v>-12.012999999999964</v>
      </c>
      <c r="S132" s="13">
        <f t="shared" ref="S132:Z132" si="243">SUM(S122:S131)</f>
        <v>-458.78899999999999</v>
      </c>
      <c r="T132" s="13">
        <f t="shared" si="243"/>
        <v>-1132.5410000000002</v>
      </c>
      <c r="U132" s="13">
        <f t="shared" si="243"/>
        <v>-654.01200000000006</v>
      </c>
      <c r="V132" s="13">
        <f t="shared" si="243"/>
        <v>-633.27200000000005</v>
      </c>
      <c r="W132" s="13">
        <f t="shared" si="243"/>
        <v>-428.62400000000002</v>
      </c>
      <c r="X132" s="13">
        <f t="shared" si="243"/>
        <v>-41.392000000000188</v>
      </c>
      <c r="Y132" s="13">
        <f t="shared" si="243"/>
        <v>-569.28999999999985</v>
      </c>
      <c r="Z132" s="13">
        <f t="shared" si="243"/>
        <v>-591.60699999999986</v>
      </c>
      <c r="AA132" s="39"/>
      <c r="AB132" s="69">
        <f>SUM(Z132/V132)-1</f>
        <v>-6.5793213658586147E-2</v>
      </c>
    </row>
    <row r="133" spans="2:28" ht="5.0999999999999996" customHeight="1">
      <c r="B133" s="8"/>
      <c r="C133" s="60"/>
      <c r="D133" s="60"/>
      <c r="E133" s="60"/>
      <c r="F133" s="3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S133" s="11"/>
      <c r="T133" s="11"/>
      <c r="U133" s="11"/>
      <c r="V133" s="11"/>
      <c r="W133" s="11"/>
      <c r="X133" s="11"/>
      <c r="Y133" s="11"/>
      <c r="Z133" s="11"/>
      <c r="AA133" s="11"/>
      <c r="AB133" s="42"/>
    </row>
    <row r="134" spans="2:28" ht="5.0999999999999996" customHeight="1">
      <c r="B134" s="65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11"/>
      <c r="AB134" s="42"/>
    </row>
    <row r="135" spans="2:28">
      <c r="B135" s="143" t="s">
        <v>93</v>
      </c>
      <c r="C135" s="155">
        <v>1994.723</v>
      </c>
      <c r="D135" s="149">
        <f>C142</f>
        <v>1422.9829999999993</v>
      </c>
      <c r="E135" s="149">
        <f t="shared" ref="E135" si="244">D142</f>
        <v>1780.3029999999994</v>
      </c>
      <c r="F135" s="149"/>
      <c r="G135" s="149">
        <f>D135</f>
        <v>1422.9829999999993</v>
      </c>
      <c r="H135" s="149">
        <f t="shared" ref="H135:P135" si="245">G142</f>
        <v>1578.578999999999</v>
      </c>
      <c r="I135" s="149">
        <f t="shared" si="245"/>
        <v>1228.5379999999991</v>
      </c>
      <c r="J135" s="149">
        <f t="shared" si="245"/>
        <v>1199.2849999999989</v>
      </c>
      <c r="K135" s="149">
        <f t="shared" si="245"/>
        <v>1780.302999999999</v>
      </c>
      <c r="L135" s="149">
        <f t="shared" si="245"/>
        <v>1060.2959999999989</v>
      </c>
      <c r="M135" s="149">
        <f t="shared" si="245"/>
        <v>1060.4539999999986</v>
      </c>
      <c r="N135" s="149">
        <f t="shared" si="245"/>
        <v>964.86999999999864</v>
      </c>
      <c r="O135" s="149">
        <f t="shared" si="245"/>
        <v>1046.5609999999992</v>
      </c>
      <c r="P135" s="149">
        <f t="shared" si="245"/>
        <v>911.25399999999934</v>
      </c>
      <c r="Q135" s="149">
        <f t="shared" ref="Q135" si="246">P142</f>
        <v>925.99999999999932</v>
      </c>
      <c r="R135" s="149"/>
      <c r="S135" s="149">
        <f>J135</f>
        <v>1199.2849999999989</v>
      </c>
      <c r="T135" s="149">
        <f t="shared" ref="T135:Z135" si="247">S142</f>
        <v>1780.302999999999</v>
      </c>
      <c r="U135" s="149">
        <f t="shared" si="247"/>
        <v>1060.2959999999989</v>
      </c>
      <c r="V135" s="149">
        <f t="shared" si="247"/>
        <v>1060.4539999999986</v>
      </c>
      <c r="W135" s="149">
        <f t="shared" si="247"/>
        <v>964.86999999999864</v>
      </c>
      <c r="X135" s="149">
        <f t="shared" si="247"/>
        <v>1046.5609999999992</v>
      </c>
      <c r="Y135" s="149">
        <f t="shared" si="247"/>
        <v>911.25399999999934</v>
      </c>
      <c r="Z135" s="150">
        <f t="shared" si="247"/>
        <v>925.99999999999932</v>
      </c>
      <c r="AA135" s="11"/>
      <c r="AB135" s="42"/>
    </row>
    <row r="136" spans="2:28">
      <c r="B136" s="144" t="s">
        <v>90</v>
      </c>
      <c r="C136" s="76">
        <v>0</v>
      </c>
      <c r="D136" s="30">
        <f>-C140</f>
        <v>0.65500000000000003</v>
      </c>
      <c r="E136" s="30">
        <f t="shared" ref="E136" si="248">-D140</f>
        <v>2.0619999999999998</v>
      </c>
      <c r="F136" s="30"/>
      <c r="G136" s="30">
        <f>D136</f>
        <v>0.65500000000000003</v>
      </c>
      <c r="H136" s="30">
        <f>-G140</f>
        <v>0</v>
      </c>
      <c r="I136" s="30">
        <f t="shared" ref="I136:P136" si="249">-H140</f>
        <v>0</v>
      </c>
      <c r="J136" s="30">
        <f t="shared" si="249"/>
        <v>0</v>
      </c>
      <c r="K136" s="30">
        <f t="shared" si="249"/>
        <v>2.0619999999999998</v>
      </c>
      <c r="L136" s="30">
        <f t="shared" si="249"/>
        <v>3.4870000000000001</v>
      </c>
      <c r="M136" s="30">
        <f t="shared" si="249"/>
        <v>4.4770000000000003</v>
      </c>
      <c r="N136" s="30">
        <f t="shared" si="249"/>
        <v>3.4260000000000002</v>
      </c>
      <c r="O136" s="30">
        <f t="shared" si="249"/>
        <v>3.7</v>
      </c>
      <c r="P136" s="30">
        <f t="shared" si="249"/>
        <v>4.8520000000000003</v>
      </c>
      <c r="Q136" s="30">
        <f t="shared" ref="Q136" si="250">-P140</f>
        <v>2.964</v>
      </c>
      <c r="R136" s="30"/>
      <c r="S136" s="30">
        <f>J136</f>
        <v>0</v>
      </c>
      <c r="T136" s="30">
        <f t="shared" ref="T136:Z136" si="251">-S140</f>
        <v>2.0619999999999998</v>
      </c>
      <c r="U136" s="30">
        <f t="shared" si="251"/>
        <v>3.4870000000000001</v>
      </c>
      <c r="V136" s="30">
        <f t="shared" si="251"/>
        <v>4.4770000000000003</v>
      </c>
      <c r="W136" s="30">
        <f t="shared" si="251"/>
        <v>3.4260000000000002</v>
      </c>
      <c r="X136" s="30">
        <f t="shared" si="251"/>
        <v>3.7</v>
      </c>
      <c r="Y136" s="30">
        <f t="shared" si="251"/>
        <v>4.8520000000000003</v>
      </c>
      <c r="Z136" s="139">
        <f t="shared" si="251"/>
        <v>2.964</v>
      </c>
      <c r="AA136" s="11"/>
      <c r="AB136" s="42"/>
    </row>
    <row r="137" spans="2:28">
      <c r="B137" s="145" t="s">
        <v>74</v>
      </c>
      <c r="C137" s="113">
        <f t="shared" ref="C137:E137" si="252">SUM(C135:C136)</f>
        <v>1994.723</v>
      </c>
      <c r="D137" s="113">
        <f t="shared" si="252"/>
        <v>1423.6379999999992</v>
      </c>
      <c r="E137" s="113">
        <f t="shared" si="252"/>
        <v>1782.3649999999993</v>
      </c>
      <c r="F137" s="30"/>
      <c r="G137" s="113">
        <f t="shared" ref="G137:P137" si="253">SUM(G135:G136)</f>
        <v>1423.6379999999992</v>
      </c>
      <c r="H137" s="113">
        <f t="shared" si="253"/>
        <v>1578.578999999999</v>
      </c>
      <c r="I137" s="113">
        <f t="shared" si="253"/>
        <v>1228.5379999999991</v>
      </c>
      <c r="J137" s="113">
        <f t="shared" si="253"/>
        <v>1199.2849999999989</v>
      </c>
      <c r="K137" s="113">
        <f t="shared" si="253"/>
        <v>1782.3649999999989</v>
      </c>
      <c r="L137" s="113">
        <f t="shared" si="253"/>
        <v>1063.782999999999</v>
      </c>
      <c r="M137" s="113">
        <f t="shared" si="253"/>
        <v>1064.9309999999987</v>
      </c>
      <c r="N137" s="113">
        <f t="shared" si="253"/>
        <v>968.29599999999868</v>
      </c>
      <c r="O137" s="113">
        <f t="shared" si="253"/>
        <v>1050.2609999999993</v>
      </c>
      <c r="P137" s="113">
        <f t="shared" si="253"/>
        <v>916.10599999999931</v>
      </c>
      <c r="Q137" s="113">
        <f t="shared" ref="Q137" si="254">SUM(Q135:Q136)</f>
        <v>928.96399999999937</v>
      </c>
      <c r="R137" s="30"/>
      <c r="S137" s="113">
        <f t="shared" ref="S137:U137" si="255">SUM(S135:S136)</f>
        <v>1199.2849999999989</v>
      </c>
      <c r="T137" s="113">
        <f t="shared" si="255"/>
        <v>1782.3649999999989</v>
      </c>
      <c r="U137" s="113">
        <f t="shared" si="255"/>
        <v>1063.782999999999</v>
      </c>
      <c r="V137" s="113">
        <f t="shared" ref="V137" si="256">SUM(V135:V136)</f>
        <v>1064.9309999999987</v>
      </c>
      <c r="W137" s="113">
        <f t="shared" ref="W137" si="257">SUM(W135:W136)</f>
        <v>968.29599999999868</v>
      </c>
      <c r="X137" s="113">
        <f t="shared" ref="X137" si="258">SUM(X135:X136)</f>
        <v>1050.2609999999993</v>
      </c>
      <c r="Y137" s="113">
        <f t="shared" ref="Y137" si="259">SUM(Y135:Y136)</f>
        <v>916.10599999999931</v>
      </c>
      <c r="Z137" s="140">
        <f t="shared" ref="Z137" si="260">SUM(Z135:Z136)</f>
        <v>928.96399999999937</v>
      </c>
      <c r="AA137" s="11"/>
      <c r="AB137" s="42"/>
    </row>
    <row r="138" spans="2:28" ht="5.0999999999999996" customHeight="1">
      <c r="B138" s="146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139"/>
      <c r="AA138" s="11"/>
      <c r="AB138" s="42"/>
    </row>
    <row r="139" spans="2:28">
      <c r="B139" s="144" t="s">
        <v>91</v>
      </c>
      <c r="C139" s="76">
        <v>0</v>
      </c>
      <c r="D139" s="76">
        <v>0</v>
      </c>
      <c r="E139" s="76">
        <v>0</v>
      </c>
      <c r="F139" s="30"/>
      <c r="G139" s="76">
        <v>0</v>
      </c>
      <c r="H139" s="76">
        <v>0</v>
      </c>
      <c r="I139" s="76">
        <v>0</v>
      </c>
      <c r="J139" s="30">
        <f>SUM(D139-SUM(G139:I139))</f>
        <v>0</v>
      </c>
      <c r="K139" s="76">
        <v>0</v>
      </c>
      <c r="L139" s="76">
        <v>0</v>
      </c>
      <c r="M139" s="76">
        <v>0</v>
      </c>
      <c r="N139" s="30">
        <f>SUM(E139-SUM(K139:M139))</f>
        <v>0</v>
      </c>
      <c r="O139" s="76">
        <v>0</v>
      </c>
      <c r="P139" s="76">
        <v>0</v>
      </c>
      <c r="Q139" s="76">
        <v>0</v>
      </c>
      <c r="R139" s="30"/>
      <c r="S139" s="30">
        <f t="shared" ref="S139:S141" si="261">J139</f>
        <v>0</v>
      </c>
      <c r="T139" s="30">
        <f t="shared" ref="T139:T141" si="262">K139</f>
        <v>0</v>
      </c>
      <c r="U139" s="30">
        <f t="shared" ref="U139:U141" si="263">L139</f>
        <v>0</v>
      </c>
      <c r="V139" s="30">
        <f t="shared" ref="V139:V141" si="264">M139</f>
        <v>0</v>
      </c>
      <c r="W139" s="30">
        <f t="shared" ref="W139:W141" si="265">N139</f>
        <v>0</v>
      </c>
      <c r="X139" s="30">
        <f t="shared" ref="X139:X141" si="266">O139</f>
        <v>0</v>
      </c>
      <c r="Y139" s="30">
        <f t="shared" ref="Y139:Y141" si="267">P139</f>
        <v>0</v>
      </c>
      <c r="Z139" s="139">
        <f t="shared" ref="Z139:Z140" si="268">Q139</f>
        <v>0</v>
      </c>
      <c r="AA139" s="11"/>
      <c r="AB139" s="42"/>
    </row>
    <row r="140" spans="2:28">
      <c r="B140" s="144" t="s">
        <v>92</v>
      </c>
      <c r="C140" s="76">
        <v>-0.65500000000000003</v>
      </c>
      <c r="D140" s="76">
        <v>-2.0619999999999998</v>
      </c>
      <c r="E140" s="76">
        <v>-3.7</v>
      </c>
      <c r="F140" s="30"/>
      <c r="G140" s="76">
        <v>0</v>
      </c>
      <c r="H140" s="76">
        <v>0</v>
      </c>
      <c r="I140" s="76">
        <v>0</v>
      </c>
      <c r="J140" s="30">
        <f>D140</f>
        <v>-2.0619999999999998</v>
      </c>
      <c r="K140" s="76">
        <v>-3.4870000000000001</v>
      </c>
      <c r="L140" s="76">
        <v>-4.4770000000000003</v>
      </c>
      <c r="M140" s="76">
        <v>-3.4260000000000002</v>
      </c>
      <c r="N140" s="30">
        <f>E140</f>
        <v>-3.7</v>
      </c>
      <c r="O140" s="76">
        <v>-4.8520000000000003</v>
      </c>
      <c r="P140" s="76">
        <v>-2.964</v>
      </c>
      <c r="Q140" s="76">
        <v>-2.1819999999999999</v>
      </c>
      <c r="R140" s="30"/>
      <c r="S140" s="30">
        <f t="shared" si="261"/>
        <v>-2.0619999999999998</v>
      </c>
      <c r="T140" s="30">
        <f t="shared" si="262"/>
        <v>-3.4870000000000001</v>
      </c>
      <c r="U140" s="30">
        <f t="shared" si="263"/>
        <v>-4.4770000000000003</v>
      </c>
      <c r="V140" s="30">
        <f t="shared" si="264"/>
        <v>-3.4260000000000002</v>
      </c>
      <c r="W140" s="30">
        <f t="shared" si="265"/>
        <v>-3.7</v>
      </c>
      <c r="X140" s="30">
        <f t="shared" si="266"/>
        <v>-4.8520000000000003</v>
      </c>
      <c r="Y140" s="30">
        <f t="shared" si="267"/>
        <v>-2.964</v>
      </c>
      <c r="Z140" s="139">
        <f t="shared" si="268"/>
        <v>-2.1819999999999999</v>
      </c>
      <c r="AA140" s="11"/>
      <c r="AB140" s="42"/>
    </row>
    <row r="141" spans="2:28">
      <c r="B141" s="144" t="s">
        <v>64</v>
      </c>
      <c r="C141" s="30">
        <f t="shared" ref="C141:E141" si="269">+C132+C119+C108</f>
        <v>-571.08500000000083</v>
      </c>
      <c r="D141" s="30">
        <f t="shared" si="269"/>
        <v>358.7270000000002</v>
      </c>
      <c r="E141" s="30">
        <f t="shared" si="269"/>
        <v>-732.1039999999997</v>
      </c>
      <c r="F141" s="30"/>
      <c r="G141" s="30">
        <f t="shared" ref="G141:P141" si="270">+G132+G119+G108</f>
        <v>154.94099999999978</v>
      </c>
      <c r="H141" s="30">
        <f t="shared" si="270"/>
        <v>-350.04099999999983</v>
      </c>
      <c r="I141" s="30">
        <f t="shared" si="270"/>
        <v>-29.253000000000185</v>
      </c>
      <c r="J141" s="30">
        <f t="shared" si="270"/>
        <v>583.08000000000004</v>
      </c>
      <c r="K141" s="30">
        <f t="shared" si="270"/>
        <v>-718.58199999999999</v>
      </c>
      <c r="L141" s="30">
        <f t="shared" si="270"/>
        <v>1.1479999999997332</v>
      </c>
      <c r="M141" s="30">
        <f t="shared" si="270"/>
        <v>-96.63500000000009</v>
      </c>
      <c r="N141" s="30">
        <f t="shared" si="270"/>
        <v>81.965000000000487</v>
      </c>
      <c r="O141" s="30">
        <f t="shared" si="270"/>
        <v>-134.15499999999983</v>
      </c>
      <c r="P141" s="30">
        <f t="shared" si="270"/>
        <v>12.858000000000018</v>
      </c>
      <c r="Q141" s="30">
        <f t="shared" ref="Q141" si="271">+Q132+Q119+Q108</f>
        <v>26.561999999999969</v>
      </c>
      <c r="R141" s="30"/>
      <c r="S141" s="30">
        <f t="shared" si="261"/>
        <v>583.08000000000004</v>
      </c>
      <c r="T141" s="30">
        <f t="shared" si="262"/>
        <v>-718.58199999999999</v>
      </c>
      <c r="U141" s="30">
        <f t="shared" si="263"/>
        <v>1.1479999999997332</v>
      </c>
      <c r="V141" s="30">
        <f t="shared" si="264"/>
        <v>-96.63500000000009</v>
      </c>
      <c r="W141" s="30">
        <f t="shared" si="265"/>
        <v>81.965000000000487</v>
      </c>
      <c r="X141" s="30">
        <f t="shared" si="266"/>
        <v>-134.15499999999983</v>
      </c>
      <c r="Y141" s="30">
        <f t="shared" si="267"/>
        <v>12.858000000000018</v>
      </c>
      <c r="Z141" s="139">
        <f>Q141</f>
        <v>26.561999999999969</v>
      </c>
      <c r="AA141" s="11"/>
      <c r="AB141" s="42"/>
    </row>
    <row r="142" spans="2:28">
      <c r="B142" s="145" t="s">
        <v>75</v>
      </c>
      <c r="C142" s="113">
        <f t="shared" ref="C142:E142" si="272">SUM(C137:C141)</f>
        <v>1422.9829999999993</v>
      </c>
      <c r="D142" s="113">
        <f t="shared" si="272"/>
        <v>1780.3029999999994</v>
      </c>
      <c r="E142" s="113">
        <f t="shared" si="272"/>
        <v>1046.5609999999997</v>
      </c>
      <c r="F142" s="30"/>
      <c r="G142" s="113">
        <f t="shared" ref="G142:P142" si="273">SUM(G137:G141)</f>
        <v>1578.578999999999</v>
      </c>
      <c r="H142" s="113">
        <f t="shared" si="273"/>
        <v>1228.5379999999991</v>
      </c>
      <c r="I142" s="113">
        <f t="shared" si="273"/>
        <v>1199.2849999999989</v>
      </c>
      <c r="J142" s="113">
        <f t="shared" si="273"/>
        <v>1780.302999999999</v>
      </c>
      <c r="K142" s="113">
        <f t="shared" si="273"/>
        <v>1060.2959999999989</v>
      </c>
      <c r="L142" s="113">
        <f t="shared" si="273"/>
        <v>1060.4539999999986</v>
      </c>
      <c r="M142" s="113">
        <f t="shared" si="273"/>
        <v>964.86999999999864</v>
      </c>
      <c r="N142" s="113">
        <f t="shared" si="273"/>
        <v>1046.5609999999992</v>
      </c>
      <c r="O142" s="113">
        <f t="shared" si="273"/>
        <v>911.25399999999934</v>
      </c>
      <c r="P142" s="113">
        <f t="shared" si="273"/>
        <v>925.99999999999932</v>
      </c>
      <c r="Q142" s="113">
        <f t="shared" ref="Q142" si="274">SUM(Q137:Q141)</f>
        <v>953.34399999999937</v>
      </c>
      <c r="R142" s="30"/>
      <c r="S142" s="113">
        <f t="shared" ref="S142:Z142" si="275">SUM(S137:S141)</f>
        <v>1780.302999999999</v>
      </c>
      <c r="T142" s="113">
        <f t="shared" si="275"/>
        <v>1060.2959999999989</v>
      </c>
      <c r="U142" s="113">
        <f t="shared" si="275"/>
        <v>1060.4539999999986</v>
      </c>
      <c r="V142" s="113">
        <f t="shared" si="275"/>
        <v>964.86999999999864</v>
      </c>
      <c r="W142" s="113">
        <f t="shared" si="275"/>
        <v>1046.5609999999992</v>
      </c>
      <c r="X142" s="113">
        <f t="shared" si="275"/>
        <v>911.25399999999934</v>
      </c>
      <c r="Y142" s="113">
        <f t="shared" si="275"/>
        <v>925.99999999999932</v>
      </c>
      <c r="Z142" s="140">
        <f t="shared" si="275"/>
        <v>953.34399999999937</v>
      </c>
      <c r="AA142" s="11"/>
      <c r="AB142" s="42"/>
    </row>
    <row r="143" spans="2:28" ht="5.0999999999999996" customHeight="1">
      <c r="B143" s="147"/>
      <c r="C143" s="60"/>
      <c r="D143" s="60"/>
      <c r="E143" s="60"/>
      <c r="F143" s="3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S143" s="11"/>
      <c r="T143" s="11"/>
      <c r="U143" s="11"/>
      <c r="V143" s="11"/>
      <c r="W143" s="11"/>
      <c r="X143" s="11"/>
      <c r="Y143" s="11"/>
      <c r="Z143" s="141"/>
      <c r="AA143" s="11"/>
      <c r="AB143" s="42"/>
    </row>
    <row r="144" spans="2:28">
      <c r="B144" s="148" t="s">
        <v>63</v>
      </c>
      <c r="C144" s="137">
        <f>ROUND(C142-C44,-0.1)</f>
        <v>0</v>
      </c>
      <c r="D144" s="137">
        <f t="shared" ref="D144:Z144" si="276">ROUND(D142-D44,-0.1)</f>
        <v>0</v>
      </c>
      <c r="E144" s="137">
        <f t="shared" si="276"/>
        <v>0</v>
      </c>
      <c r="F144" s="138"/>
      <c r="G144" s="137">
        <f t="shared" si="276"/>
        <v>0</v>
      </c>
      <c r="H144" s="137">
        <f t="shared" si="276"/>
        <v>0</v>
      </c>
      <c r="I144" s="137">
        <f t="shared" si="276"/>
        <v>0</v>
      </c>
      <c r="J144" s="137">
        <f t="shared" si="276"/>
        <v>0</v>
      </c>
      <c r="K144" s="137">
        <f>ROUND(K142-K44,-0.1)</f>
        <v>0</v>
      </c>
      <c r="L144" s="137">
        <f t="shared" si="276"/>
        <v>0</v>
      </c>
      <c r="M144" s="137">
        <f t="shared" si="276"/>
        <v>0</v>
      </c>
      <c r="N144" s="137">
        <f t="shared" si="276"/>
        <v>0</v>
      </c>
      <c r="O144" s="137">
        <f t="shared" si="276"/>
        <v>0</v>
      </c>
      <c r="P144" s="137">
        <f t="shared" si="276"/>
        <v>0</v>
      </c>
      <c r="Q144" s="137">
        <f t="shared" si="276"/>
        <v>0</v>
      </c>
      <c r="R144" s="137"/>
      <c r="S144" s="137">
        <f t="shared" si="276"/>
        <v>0</v>
      </c>
      <c r="T144" s="137">
        <f t="shared" si="276"/>
        <v>0</v>
      </c>
      <c r="U144" s="137">
        <f t="shared" si="276"/>
        <v>0</v>
      </c>
      <c r="V144" s="137">
        <f t="shared" si="276"/>
        <v>0</v>
      </c>
      <c r="W144" s="137">
        <f t="shared" si="276"/>
        <v>0</v>
      </c>
      <c r="X144" s="137">
        <f t="shared" si="276"/>
        <v>0</v>
      </c>
      <c r="Y144" s="137">
        <f t="shared" si="276"/>
        <v>0</v>
      </c>
      <c r="Z144" s="142">
        <f t="shared" si="276"/>
        <v>0</v>
      </c>
      <c r="AA144" s="11"/>
      <c r="AB144" s="42"/>
    </row>
    <row r="145" spans="2:28" ht="5.0999999999999996" customHeight="1">
      <c r="B145" s="8"/>
      <c r="C145" s="60"/>
      <c r="D145" s="60"/>
      <c r="E145" s="60"/>
      <c r="F145" s="3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S145" s="11"/>
      <c r="T145" s="11"/>
      <c r="U145" s="11"/>
      <c r="V145" s="11"/>
      <c r="W145" s="11"/>
      <c r="X145" s="11"/>
      <c r="Y145" s="11"/>
      <c r="Z145" s="11"/>
      <c r="AA145" s="11"/>
      <c r="AB145" s="42"/>
    </row>
    <row r="146" spans="2:28">
      <c r="B146" s="112" t="s">
        <v>87</v>
      </c>
      <c r="C146" s="60"/>
      <c r="D146" s="60"/>
      <c r="E146" s="60"/>
      <c r="F146" s="3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S146" s="11"/>
      <c r="T146" s="11"/>
      <c r="U146" s="11"/>
      <c r="V146" s="11"/>
      <c r="W146" s="11"/>
      <c r="X146" s="11"/>
      <c r="Y146" s="11"/>
      <c r="Z146" s="11"/>
      <c r="AA146" s="11"/>
      <c r="AB146" s="42"/>
    </row>
    <row r="147" spans="2:28">
      <c r="B147" s="77" t="s">
        <v>89</v>
      </c>
      <c r="C147" s="76">
        <v>12.087</v>
      </c>
      <c r="D147" s="76">
        <v>30.923999999999999</v>
      </c>
      <c r="E147" s="76">
        <v>24.686</v>
      </c>
      <c r="F147" s="30"/>
      <c r="G147" s="76">
        <v>0</v>
      </c>
      <c r="H147" s="76">
        <v>0</v>
      </c>
      <c r="I147" s="76">
        <v>0</v>
      </c>
      <c r="J147" s="30">
        <f>SUM(D147-SUM(G147:I147))</f>
        <v>30.923999999999999</v>
      </c>
      <c r="K147" s="76">
        <v>0</v>
      </c>
      <c r="L147" s="76">
        <v>0</v>
      </c>
      <c r="M147" s="76">
        <v>0</v>
      </c>
      <c r="N147" s="30">
        <f>SUM(E147-SUM(K147:M147))</f>
        <v>24.686</v>
      </c>
      <c r="O147" s="76">
        <v>0</v>
      </c>
      <c r="P147" s="76">
        <v>0</v>
      </c>
      <c r="Q147" s="76">
        <v>0</v>
      </c>
      <c r="S147" s="30">
        <f t="shared" ref="S147:Z148" si="277">SUM(G147:J147)</f>
        <v>30.923999999999999</v>
      </c>
      <c r="T147" s="30">
        <f t="shared" si="277"/>
        <v>30.923999999999999</v>
      </c>
      <c r="U147" s="30">
        <f t="shared" si="277"/>
        <v>30.923999999999999</v>
      </c>
      <c r="V147" s="30">
        <f t="shared" si="277"/>
        <v>30.923999999999999</v>
      </c>
      <c r="W147" s="30">
        <f t="shared" si="277"/>
        <v>24.686</v>
      </c>
      <c r="X147" s="30">
        <f t="shared" si="277"/>
        <v>24.686</v>
      </c>
      <c r="Y147" s="30">
        <f t="shared" si="277"/>
        <v>24.686</v>
      </c>
      <c r="Z147" s="30">
        <f t="shared" si="277"/>
        <v>24.686</v>
      </c>
      <c r="AA147" s="11"/>
      <c r="AB147" s="42"/>
    </row>
    <row r="148" spans="2:28">
      <c r="B148" s="77" t="s">
        <v>174</v>
      </c>
      <c r="C148" s="76">
        <v>8.8729999999999993</v>
      </c>
      <c r="D148" s="76">
        <v>10.244</v>
      </c>
      <c r="E148" s="76">
        <v>10.284000000000001</v>
      </c>
      <c r="F148" s="30"/>
      <c r="G148" s="76">
        <v>0</v>
      </c>
      <c r="H148" s="76">
        <v>0</v>
      </c>
      <c r="I148" s="76">
        <v>0</v>
      </c>
      <c r="J148" s="30">
        <f>SUM(D148-SUM(G148:I148))</f>
        <v>10.244</v>
      </c>
      <c r="K148" s="76">
        <v>0</v>
      </c>
      <c r="L148" s="76">
        <v>0</v>
      </c>
      <c r="M148" s="76">
        <v>0</v>
      </c>
      <c r="N148" s="30">
        <f>SUM(E148-SUM(K148:M148))</f>
        <v>10.284000000000001</v>
      </c>
      <c r="O148" s="76">
        <v>0</v>
      </c>
      <c r="P148" s="76">
        <v>0</v>
      </c>
      <c r="Q148" s="76">
        <v>0</v>
      </c>
      <c r="S148" s="30">
        <f t="shared" si="277"/>
        <v>10.244</v>
      </c>
      <c r="T148" s="30">
        <f t="shared" si="277"/>
        <v>10.244</v>
      </c>
      <c r="U148" s="30">
        <f t="shared" si="277"/>
        <v>10.244</v>
      </c>
      <c r="V148" s="30">
        <f t="shared" si="277"/>
        <v>10.244</v>
      </c>
      <c r="W148" s="30">
        <f t="shared" si="277"/>
        <v>10.284000000000001</v>
      </c>
      <c r="X148" s="30">
        <f t="shared" si="277"/>
        <v>10.284000000000001</v>
      </c>
      <c r="Y148" s="30">
        <f t="shared" si="277"/>
        <v>10.284000000000001</v>
      </c>
      <c r="Z148" s="30">
        <f t="shared" si="277"/>
        <v>10.284000000000001</v>
      </c>
      <c r="AA148" s="11"/>
      <c r="AB148" s="42"/>
    </row>
    <row r="149" spans="2:28" ht="5.0999999999999996" customHeight="1" thickBot="1">
      <c r="B149" s="66"/>
      <c r="C149" s="67"/>
      <c r="D149" s="67"/>
      <c r="E149" s="67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B149" s="42"/>
    </row>
    <row r="150" spans="2:28" ht="12.75" customHeight="1">
      <c r="C150" s="52"/>
      <c r="D150" s="52"/>
      <c r="E150" s="52"/>
    </row>
    <row r="151" spans="2:28" ht="12.75" customHeight="1">
      <c r="C151" s="52"/>
      <c r="D151" s="52"/>
      <c r="E151" s="52"/>
    </row>
    <row r="152" spans="2:28" ht="12.75" customHeight="1">
      <c r="C152" s="52"/>
      <c r="D152" s="52"/>
      <c r="E152" s="52"/>
    </row>
    <row r="153" spans="2:28" ht="12.75" customHeight="1">
      <c r="C153" s="52"/>
      <c r="D153" s="52"/>
      <c r="E153" s="52"/>
    </row>
    <row r="154" spans="2:28" ht="12.75" customHeight="1">
      <c r="C154" s="52"/>
      <c r="D154" s="52"/>
      <c r="E154" s="52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</row>
    <row r="155" spans="2:28" ht="12.75" customHeight="1">
      <c r="C155" s="52"/>
      <c r="D155" s="52"/>
      <c r="E155" s="52"/>
    </row>
    <row r="156" spans="2:28" ht="12.75" customHeight="1">
      <c r="C156" s="52"/>
      <c r="D156" s="52"/>
      <c r="E156" s="52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</row>
    <row r="157" spans="2:28"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</row>
    <row r="158" spans="2:28"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</row>
    <row r="160" spans="2:28"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</row>
    <row r="161" spans="7:17"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</row>
  </sheetData>
  <mergeCells count="3">
    <mergeCell ref="AB6:AB8"/>
    <mergeCell ref="AB39:AB41"/>
    <mergeCell ref="AB84:AB86"/>
  </mergeCells>
  <pageMargins left="0.7" right="0.7" top="0.75" bottom="0.75" header="0.3" footer="0.3"/>
  <ignoredErrors>
    <ignoredError sqref="Z14:Z16 F48" formulaRange="1"/>
    <ignoredError sqref="AB119:AB121 AB108:AB110" evalError="1"/>
    <ignoredError sqref="K90:O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34"/>
  <sheetViews>
    <sheetView showGridLines="0" zoomScaleNormal="100" workbookViewId="0">
      <selection activeCell="B20" sqref="B20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Snap Inc (NASDAQ: SNAP)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70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str">
        <f>'Historical Financials'!Q7</f>
        <v>3Q25</v>
      </c>
      <c r="S3" s="7" t="e">
        <f>'Historical Financials'!#REF!</f>
        <v>#REF!</v>
      </c>
      <c r="T3" s="7" t="e">
        <f>'Historical Financials'!#REF!</f>
        <v>#REF!</v>
      </c>
      <c r="U3" s="4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e">
        <f t="shared" si="0"/>
        <v>#REF!</v>
      </c>
      <c r="AE3" s="4" t="e">
        <f t="shared" si="0"/>
        <v>#REF!</v>
      </c>
    </row>
    <row r="4" spans="1:31" s="5" customFormat="1" ht="12.75" customHeight="1">
      <c r="B4" s="6" t="s">
        <v>95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 t="e">
        <f>'Historical Financials'!#REF!</f>
        <v>#REF!</v>
      </c>
      <c r="G4" s="3"/>
      <c r="H4" s="3">
        <f>'Historical Financials'!G8</f>
        <v>45016</v>
      </c>
      <c r="I4" s="3">
        <f>'Historical Financials'!H8</f>
        <v>45107</v>
      </c>
      <c r="J4" s="3">
        <f>'Historical Financials'!I8</f>
        <v>45199</v>
      </c>
      <c r="K4" s="3">
        <f>'Historical Financials'!J8</f>
        <v>45291</v>
      </c>
      <c r="L4" s="3">
        <f>'Historical Financials'!K8</f>
        <v>45382</v>
      </c>
      <c r="M4" s="3">
        <f>'Historical Financials'!L8</f>
        <v>45473</v>
      </c>
      <c r="N4" s="3">
        <f>'Historical Financials'!M8</f>
        <v>45565</v>
      </c>
      <c r="O4" s="3">
        <f>'Historical Financials'!N8</f>
        <v>45657</v>
      </c>
      <c r="P4" s="3">
        <f>'Historical Financials'!O8</f>
        <v>45747</v>
      </c>
      <c r="Q4" s="3">
        <f>'Historical Financials'!P8</f>
        <v>45838</v>
      </c>
      <c r="R4" s="3">
        <f>'Historical Financials'!Q8</f>
        <v>45930</v>
      </c>
      <c r="S4" s="3" t="e">
        <f>'Historical Financials'!#REF!</f>
        <v>#REF!</v>
      </c>
      <c r="T4" s="3" t="e">
        <f>'Historical Financials'!#REF!</f>
        <v>#REF!</v>
      </c>
      <c r="U4" s="3"/>
      <c r="V4" s="3">
        <f t="shared" si="0"/>
        <v>45291</v>
      </c>
      <c r="W4" s="3">
        <f t="shared" si="0"/>
        <v>45382</v>
      </c>
      <c r="X4" s="3">
        <f t="shared" si="0"/>
        <v>45473</v>
      </c>
      <c r="Y4" s="3">
        <f t="shared" si="0"/>
        <v>45565</v>
      </c>
      <c r="Z4" s="3">
        <f t="shared" si="0"/>
        <v>45657</v>
      </c>
      <c r="AA4" s="3">
        <f t="shared" si="0"/>
        <v>45747</v>
      </c>
      <c r="AB4" s="3">
        <f t="shared" si="0"/>
        <v>45838</v>
      </c>
      <c r="AC4" s="3">
        <f t="shared" si="0"/>
        <v>45930</v>
      </c>
      <c r="AD4" s="3" t="e">
        <f t="shared" si="0"/>
        <v>#REF!</v>
      </c>
      <c r="AE4" s="3" t="e">
        <f t="shared" si="0"/>
        <v>#REF!</v>
      </c>
    </row>
    <row r="5" spans="1:31" ht="5.0999999999999996" customHeight="1"/>
    <row r="6" spans="1:31">
      <c r="A6" s="33" t="s">
        <v>18</v>
      </c>
      <c r="B6" s="1" t="s">
        <v>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4" t="s">
        <v>18</v>
      </c>
      <c r="B8" s="72" t="s">
        <v>94</v>
      </c>
      <c r="C8" s="10"/>
      <c r="D8" s="10"/>
      <c r="E8" s="10"/>
      <c r="F8" s="10"/>
      <c r="G8" s="10"/>
      <c r="H8" s="81"/>
      <c r="I8" s="81"/>
      <c r="J8" s="81"/>
      <c r="K8" s="30"/>
      <c r="L8" s="81"/>
      <c r="M8" s="81"/>
      <c r="N8" s="81"/>
      <c r="O8" s="30"/>
      <c r="P8" s="81"/>
      <c r="Q8" s="81"/>
      <c r="R8" s="81"/>
      <c r="S8" s="81"/>
      <c r="T8" s="81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4"/>
      <c r="B9" s="9" t="s">
        <v>110</v>
      </c>
      <c r="C9" s="75"/>
      <c r="D9" s="75"/>
      <c r="E9" s="75"/>
      <c r="F9" s="75"/>
      <c r="G9" s="10"/>
      <c r="H9" s="75"/>
      <c r="I9" s="75"/>
      <c r="J9" s="75"/>
      <c r="K9" s="30">
        <f>SUM(D9-SUM(H9:J9))</f>
        <v>0</v>
      </c>
      <c r="L9" s="75"/>
      <c r="M9" s="75"/>
      <c r="N9" s="75"/>
      <c r="O9" s="30">
        <f>SUM(E9-SUM(L9:N9))</f>
        <v>0</v>
      </c>
      <c r="P9" s="75"/>
      <c r="Q9" s="75"/>
      <c r="R9" s="75"/>
      <c r="S9" s="30">
        <f>SUM(F9-SUM(P9:R9))</f>
        <v>0</v>
      </c>
      <c r="T9" s="75"/>
      <c r="U9" s="5"/>
      <c r="V9" s="30">
        <f t="shared" ref="V9:AD9" si="1">SUM(H9:K9)</f>
        <v>0</v>
      </c>
      <c r="W9" s="30">
        <f t="shared" si="1"/>
        <v>0</v>
      </c>
      <c r="X9" s="30">
        <f t="shared" si="1"/>
        <v>0</v>
      </c>
      <c r="Y9" s="30">
        <f t="shared" si="1"/>
        <v>0</v>
      </c>
      <c r="Z9" s="30">
        <f t="shared" si="1"/>
        <v>0</v>
      </c>
      <c r="AA9" s="30">
        <f t="shared" si="1"/>
        <v>0</v>
      </c>
      <c r="AB9" s="30">
        <f t="shared" si="1"/>
        <v>0</v>
      </c>
      <c r="AC9" s="30">
        <f t="shared" si="1"/>
        <v>0</v>
      </c>
      <c r="AD9" s="30">
        <f t="shared" si="1"/>
        <v>0</v>
      </c>
      <c r="AE9" s="30">
        <f>SUM(Q9:T9)</f>
        <v>0</v>
      </c>
    </row>
    <row r="10" spans="1:31">
      <c r="B10" s="9" t="s">
        <v>110</v>
      </c>
      <c r="C10" s="75"/>
      <c r="D10" s="75"/>
      <c r="E10" s="75"/>
      <c r="F10" s="75"/>
      <c r="G10" s="75"/>
      <c r="H10" s="75"/>
      <c r="I10" s="75"/>
      <c r="J10" s="75"/>
      <c r="K10" s="30">
        <f>SUM(D10-SUM(H10:J10))</f>
        <v>0</v>
      </c>
      <c r="L10" s="75"/>
      <c r="M10" s="75"/>
      <c r="N10" s="75"/>
      <c r="O10" s="30">
        <f>SUM(E10-SUM(L10:N10))</f>
        <v>0</v>
      </c>
      <c r="P10" s="75"/>
      <c r="Q10" s="75"/>
      <c r="R10" s="75"/>
      <c r="S10" s="30">
        <f>SUM(F10-SUM(P10:R10))</f>
        <v>0</v>
      </c>
      <c r="T10" s="75"/>
      <c r="U10" s="5"/>
      <c r="V10" s="30">
        <f t="shared" ref="V10" si="2">SUM(H10:K10)</f>
        <v>0</v>
      </c>
      <c r="W10" s="30">
        <f t="shared" ref="W10" si="3">SUM(I10:L10)</f>
        <v>0</v>
      </c>
      <c r="X10" s="30">
        <f t="shared" ref="X10" si="4">SUM(J10:M10)</f>
        <v>0</v>
      </c>
      <c r="Y10" s="30">
        <f t="shared" ref="Y10" si="5">SUM(K10:N10)</f>
        <v>0</v>
      </c>
      <c r="Z10" s="30">
        <f t="shared" ref="Z10" si="6">SUM(L10:O10)</f>
        <v>0</v>
      </c>
      <c r="AA10" s="30">
        <f t="shared" ref="AA10" si="7">SUM(M10:P10)</f>
        <v>0</v>
      </c>
      <c r="AB10" s="30">
        <f t="shared" ref="AB10" si="8">SUM(N10:Q10)</f>
        <v>0</v>
      </c>
      <c r="AC10" s="30">
        <f t="shared" ref="AC10" si="9">SUM(O10:R10)</f>
        <v>0</v>
      </c>
      <c r="AD10" s="30">
        <f t="shared" ref="AD10" si="10">SUM(P10:S10)</f>
        <v>0</v>
      </c>
      <c r="AE10" s="30">
        <f>SUM(Q10:T10)</f>
        <v>0</v>
      </c>
    </row>
    <row r="11" spans="1:31">
      <c r="B11" s="12" t="s">
        <v>71</v>
      </c>
      <c r="C11" s="13">
        <f t="shared" ref="C11:F11" si="11">SUM(C9:C10)</f>
        <v>0</v>
      </c>
      <c r="D11" s="13">
        <f t="shared" si="11"/>
        <v>0</v>
      </c>
      <c r="E11" s="13">
        <f t="shared" si="11"/>
        <v>0</v>
      </c>
      <c r="F11" s="13">
        <f t="shared" si="11"/>
        <v>0</v>
      </c>
      <c r="G11" s="11"/>
      <c r="H11" s="13">
        <f t="shared" ref="H11:S11" si="12">SUM(H9:H10)</f>
        <v>0</v>
      </c>
      <c r="I11" s="13">
        <f t="shared" si="12"/>
        <v>0</v>
      </c>
      <c r="J11" s="13">
        <f t="shared" si="12"/>
        <v>0</v>
      </c>
      <c r="K11" s="13">
        <f t="shared" si="12"/>
        <v>0</v>
      </c>
      <c r="L11" s="13">
        <f t="shared" si="12"/>
        <v>0</v>
      </c>
      <c r="M11" s="13">
        <f t="shared" si="12"/>
        <v>0</v>
      </c>
      <c r="N11" s="13">
        <f t="shared" si="12"/>
        <v>0</v>
      </c>
      <c r="O11" s="13">
        <f t="shared" si="12"/>
        <v>0</v>
      </c>
      <c r="P11" s="13">
        <f t="shared" si="12"/>
        <v>0</v>
      </c>
      <c r="Q11" s="13">
        <f t="shared" si="12"/>
        <v>0</v>
      </c>
      <c r="R11" s="13">
        <f t="shared" si="12"/>
        <v>0</v>
      </c>
      <c r="S11" s="13">
        <f t="shared" si="12"/>
        <v>0</v>
      </c>
      <c r="T11" s="13">
        <f t="shared" ref="T11" si="13">SUM(T9:T10)</f>
        <v>0</v>
      </c>
      <c r="U11" s="5"/>
      <c r="V11" s="13">
        <f t="shared" ref="V11:AD11" si="14">SUM(V9:V10)</f>
        <v>0</v>
      </c>
      <c r="W11" s="13">
        <f t="shared" si="14"/>
        <v>0</v>
      </c>
      <c r="X11" s="13">
        <f t="shared" si="14"/>
        <v>0</v>
      </c>
      <c r="Y11" s="13">
        <f t="shared" si="14"/>
        <v>0</v>
      </c>
      <c r="Z11" s="13">
        <f t="shared" si="14"/>
        <v>0</v>
      </c>
      <c r="AA11" s="13">
        <f t="shared" si="14"/>
        <v>0</v>
      </c>
      <c r="AB11" s="13">
        <f t="shared" si="14"/>
        <v>0</v>
      </c>
      <c r="AC11" s="13">
        <f t="shared" si="14"/>
        <v>0</v>
      </c>
      <c r="AD11" s="13">
        <f t="shared" si="14"/>
        <v>0</v>
      </c>
      <c r="AE11" s="13">
        <f>SUM(AE9:AE10)</f>
        <v>0</v>
      </c>
    </row>
    <row r="12" spans="1:31" outlineLevel="1">
      <c r="B12" s="114" t="s">
        <v>63</v>
      </c>
      <c r="C12" s="73">
        <f>+C11-'Historical Financials'!C11</f>
        <v>-4601.8</v>
      </c>
      <c r="D12" s="73">
        <f>+D11-'Historical Financials'!D11</f>
        <v>-4606.2</v>
      </c>
      <c r="E12" s="73">
        <f>+E11-'Historical Financials'!E11</f>
        <v>-5361.5</v>
      </c>
      <c r="F12" s="73" t="e">
        <f>+F11-'Historical Financials'!#REF!</f>
        <v>#REF!</v>
      </c>
      <c r="G12" s="11"/>
      <c r="H12" s="73">
        <f>+H11-'Historical Financials'!G11</f>
        <v>-988.60799999999995</v>
      </c>
      <c r="I12" s="73">
        <f>+I11-'Historical Financials'!H11</f>
        <v>-1067.6690000000001</v>
      </c>
      <c r="J12" s="73">
        <f>+J11-'Historical Financials'!I11</f>
        <v>-1188.5509999999999</v>
      </c>
      <c r="K12" s="73">
        <f>+K11-'Historical Financials'!J11</f>
        <v>-1361.3719999999998</v>
      </c>
      <c r="L12" s="73">
        <f>+L11-'Historical Financials'!K11</f>
        <v>-1194.7729999999999</v>
      </c>
      <c r="M12" s="73">
        <f>+M11-'Historical Financials'!L11</f>
        <v>-1236.768</v>
      </c>
      <c r="N12" s="73">
        <f>+N11-'Historical Financials'!M11</f>
        <v>-1372.5740000000001</v>
      </c>
      <c r="O12" s="73">
        <f>+O11-'Historical Financials'!N11</f>
        <v>-1557.3849999999998</v>
      </c>
      <c r="P12" s="73">
        <f>+P11-'Historical Financials'!O11</f>
        <v>-1363.2170000000001</v>
      </c>
      <c r="Q12" s="73">
        <f>+Q11-'Historical Financials'!P11</f>
        <v>-1344.93</v>
      </c>
      <c r="R12" s="73">
        <f>+R11-'Historical Financials'!Q11</f>
        <v>-1506.8389999999999</v>
      </c>
      <c r="S12" s="73" t="e">
        <f>+S11-'Historical Financials'!#REF!</f>
        <v>#REF!</v>
      </c>
      <c r="T12" s="73" t="e">
        <f>+T11-'Historical Financials'!#REF!</f>
        <v>#REF!</v>
      </c>
      <c r="U12" s="73"/>
      <c r="V12" s="73" t="e">
        <f>+V11-'Historical Financials'!#REF!</f>
        <v>#REF!</v>
      </c>
      <c r="W12" s="73" t="e">
        <f>+W11-'Historical Financials'!#REF!</f>
        <v>#REF!</v>
      </c>
      <c r="X12" s="73">
        <f>+X11-'Historical Financials'!S11</f>
        <v>-4606.2</v>
      </c>
      <c r="Y12" s="73">
        <f>+Y11-'Historical Financials'!T11</f>
        <v>-4812.3649999999998</v>
      </c>
      <c r="Z12" s="73">
        <f>+Z11-'Historical Financials'!U11</f>
        <v>-4981.4639999999999</v>
      </c>
      <c r="AA12" s="73">
        <f>+AA11-'Historical Financials'!V11</f>
        <v>-5165.4869999999992</v>
      </c>
      <c r="AB12" s="73">
        <f>+AB11-'Historical Financials'!W11</f>
        <v>-5361.5</v>
      </c>
      <c r="AC12" s="73">
        <f>+AC11-'Historical Financials'!X11</f>
        <v>-5529.9439999999995</v>
      </c>
      <c r="AD12" s="73">
        <f>+AD11-'Historical Financials'!Y11</f>
        <v>-5638.1059999999998</v>
      </c>
      <c r="AE12" s="73">
        <f>+AE11-'Historical Financials'!Z11</f>
        <v>-5772.3710000000001</v>
      </c>
    </row>
    <row r="13" spans="1:31">
      <c r="B13" s="16"/>
      <c r="C13" s="17"/>
      <c r="D13" s="17"/>
      <c r="E13" s="17"/>
      <c r="F13" s="17"/>
      <c r="G13" s="18"/>
      <c r="H13" s="19"/>
      <c r="I13" s="19"/>
      <c r="J13" s="19"/>
      <c r="K13" s="20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>
      <c r="B14" s="115" t="str">
        <f>B9&amp;"(%)"</f>
        <v>XXX(%)</v>
      </c>
      <c r="C14" s="127" t="e">
        <f t="shared" ref="C14:E14" si="15">SUM(C9/C$11)</f>
        <v>#DIV/0!</v>
      </c>
      <c r="D14" s="127" t="e">
        <f t="shared" si="15"/>
        <v>#DIV/0!</v>
      </c>
      <c r="E14" s="127" t="e">
        <f t="shared" si="15"/>
        <v>#DIV/0!</v>
      </c>
      <c r="F14" s="127" t="e">
        <f t="shared" ref="F14" si="16">SUM(F9/F$11)</f>
        <v>#DIV/0!</v>
      </c>
      <c r="G14" s="116"/>
      <c r="H14" s="127" t="e">
        <f t="shared" ref="H14:Q14" si="17">SUM(H9/H$11)</f>
        <v>#DIV/0!</v>
      </c>
      <c r="I14" s="127" t="e">
        <f t="shared" si="17"/>
        <v>#DIV/0!</v>
      </c>
      <c r="J14" s="127" t="e">
        <f t="shared" si="17"/>
        <v>#DIV/0!</v>
      </c>
      <c r="K14" s="127" t="e">
        <f t="shared" si="17"/>
        <v>#DIV/0!</v>
      </c>
      <c r="L14" s="127" t="e">
        <f t="shared" si="17"/>
        <v>#DIV/0!</v>
      </c>
      <c r="M14" s="127" t="e">
        <f t="shared" si="17"/>
        <v>#DIV/0!</v>
      </c>
      <c r="N14" s="127" t="e">
        <f t="shared" si="17"/>
        <v>#DIV/0!</v>
      </c>
      <c r="O14" s="127" t="e">
        <f t="shared" si="17"/>
        <v>#DIV/0!</v>
      </c>
      <c r="P14" s="127" t="e">
        <f t="shared" si="17"/>
        <v>#DIV/0!</v>
      </c>
      <c r="Q14" s="127" t="e">
        <f t="shared" si="17"/>
        <v>#DIV/0!</v>
      </c>
      <c r="R14" s="127" t="e">
        <f t="shared" ref="R14:S14" si="18">SUM(R9/R$11)</f>
        <v>#DIV/0!</v>
      </c>
      <c r="S14" s="127" t="e">
        <f t="shared" si="18"/>
        <v>#DIV/0!</v>
      </c>
      <c r="T14" s="127" t="e">
        <f t="shared" ref="T14" si="19">SUM(T9/T$11)</f>
        <v>#DIV/0!</v>
      </c>
      <c r="U14" s="116"/>
      <c r="V14" s="117" t="e">
        <f t="shared" ref="V14:AE15" si="20">I14</f>
        <v>#DIV/0!</v>
      </c>
      <c r="W14" s="117" t="e">
        <f t="shared" si="20"/>
        <v>#DIV/0!</v>
      </c>
      <c r="X14" s="117" t="e">
        <f t="shared" si="20"/>
        <v>#DIV/0!</v>
      </c>
      <c r="Y14" s="117" t="e">
        <f t="shared" si="20"/>
        <v>#DIV/0!</v>
      </c>
      <c r="Z14" s="117" t="e">
        <f t="shared" si="20"/>
        <v>#DIV/0!</v>
      </c>
      <c r="AA14" s="117" t="e">
        <f t="shared" si="20"/>
        <v>#DIV/0!</v>
      </c>
      <c r="AB14" s="117" t="e">
        <f t="shared" si="20"/>
        <v>#DIV/0!</v>
      </c>
      <c r="AC14" s="117" t="e">
        <f t="shared" si="20"/>
        <v>#DIV/0!</v>
      </c>
      <c r="AD14" s="117" t="e">
        <f t="shared" si="20"/>
        <v>#DIV/0!</v>
      </c>
      <c r="AE14" s="118" t="e">
        <f t="shared" si="20"/>
        <v>#DIV/0!</v>
      </c>
    </row>
    <row r="15" spans="1:31" ht="12.75" customHeight="1">
      <c r="B15" s="123" t="str">
        <f>B10&amp;"(%)"</f>
        <v>XXX(%)</v>
      </c>
      <c r="C15" s="128" t="e">
        <f t="shared" ref="C15:E15" si="21">SUM(C10/C$11)</f>
        <v>#DIV/0!</v>
      </c>
      <c r="D15" s="128" t="e">
        <f t="shared" si="21"/>
        <v>#DIV/0!</v>
      </c>
      <c r="E15" s="128" t="e">
        <f t="shared" si="21"/>
        <v>#DIV/0!</v>
      </c>
      <c r="F15" s="128" t="e">
        <f t="shared" ref="F15" si="22">SUM(F10/F$11)</f>
        <v>#DIV/0!</v>
      </c>
      <c r="G15" s="124"/>
      <c r="H15" s="128" t="e">
        <f t="shared" ref="H15:Q15" si="23">SUM(H10/H$11)</f>
        <v>#DIV/0!</v>
      </c>
      <c r="I15" s="128" t="e">
        <f t="shared" si="23"/>
        <v>#DIV/0!</v>
      </c>
      <c r="J15" s="128" t="e">
        <f t="shared" si="23"/>
        <v>#DIV/0!</v>
      </c>
      <c r="K15" s="128" t="e">
        <f t="shared" si="23"/>
        <v>#DIV/0!</v>
      </c>
      <c r="L15" s="128" t="e">
        <f t="shared" si="23"/>
        <v>#DIV/0!</v>
      </c>
      <c r="M15" s="128" t="e">
        <f t="shared" si="23"/>
        <v>#DIV/0!</v>
      </c>
      <c r="N15" s="128" t="e">
        <f t="shared" si="23"/>
        <v>#DIV/0!</v>
      </c>
      <c r="O15" s="128" t="e">
        <f t="shared" si="23"/>
        <v>#DIV/0!</v>
      </c>
      <c r="P15" s="128" t="e">
        <f t="shared" si="23"/>
        <v>#DIV/0!</v>
      </c>
      <c r="Q15" s="128" t="e">
        <f t="shared" si="23"/>
        <v>#DIV/0!</v>
      </c>
      <c r="R15" s="128" t="e">
        <f t="shared" ref="R15:S15" si="24">SUM(R10/R$11)</f>
        <v>#DIV/0!</v>
      </c>
      <c r="S15" s="128" t="e">
        <f t="shared" si="24"/>
        <v>#DIV/0!</v>
      </c>
      <c r="T15" s="128" t="e">
        <f t="shared" ref="T15" si="25">SUM(T10/T$11)</f>
        <v>#DIV/0!</v>
      </c>
      <c r="U15" s="124"/>
      <c r="V15" s="125" t="e">
        <f t="shared" si="20"/>
        <v>#DIV/0!</v>
      </c>
      <c r="W15" s="125" t="e">
        <f t="shared" si="20"/>
        <v>#DIV/0!</v>
      </c>
      <c r="X15" s="125" t="e">
        <f t="shared" si="20"/>
        <v>#DIV/0!</v>
      </c>
      <c r="Y15" s="125" t="e">
        <f t="shared" si="20"/>
        <v>#DIV/0!</v>
      </c>
      <c r="Z15" s="125" t="e">
        <f t="shared" si="20"/>
        <v>#DIV/0!</v>
      </c>
      <c r="AA15" s="125" t="e">
        <f t="shared" si="20"/>
        <v>#DIV/0!</v>
      </c>
      <c r="AB15" s="125" t="e">
        <f t="shared" si="20"/>
        <v>#DIV/0!</v>
      </c>
      <c r="AC15" s="125" t="e">
        <f t="shared" si="20"/>
        <v>#DIV/0!</v>
      </c>
      <c r="AD15" s="125" t="e">
        <f t="shared" si="20"/>
        <v>#DIV/0!</v>
      </c>
      <c r="AE15" s="126" t="e">
        <f t="shared" si="20"/>
        <v>#DIV/0!</v>
      </c>
    </row>
    <row r="16" spans="1:31">
      <c r="B16" s="16"/>
      <c r="C16" s="17"/>
      <c r="D16" s="17"/>
      <c r="E16" s="17"/>
      <c r="F16" s="17"/>
      <c r="G16" s="18"/>
      <c r="H16" s="19"/>
      <c r="I16" s="19"/>
      <c r="J16" s="19"/>
      <c r="K16" s="20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33" t="s">
        <v>18</v>
      </c>
      <c r="B17" s="1" t="s">
        <v>98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9" spans="1:31" ht="12.75" customHeight="1">
      <c r="A19" s="74" t="s">
        <v>18</v>
      </c>
      <c r="B19" s="72" t="s">
        <v>112</v>
      </c>
      <c r="C19" s="10"/>
      <c r="D19" s="10"/>
      <c r="E19" s="10"/>
      <c r="F19" s="10"/>
      <c r="G19" s="10"/>
      <c r="H19" s="81"/>
      <c r="I19" s="81"/>
      <c r="J19" s="81"/>
      <c r="K19" s="30"/>
      <c r="L19" s="81"/>
      <c r="M19" s="81"/>
      <c r="N19" s="81"/>
      <c r="O19" s="30"/>
      <c r="P19" s="81"/>
      <c r="Q19" s="81"/>
      <c r="R19" s="81"/>
      <c r="S19" s="81"/>
      <c r="T19" s="81"/>
      <c r="U19" s="5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2.75" customHeight="1">
      <c r="A20" s="74"/>
      <c r="B20" s="9" t="s">
        <v>110</v>
      </c>
      <c r="C20" s="75"/>
      <c r="D20" s="75"/>
      <c r="E20" s="75"/>
      <c r="F20" s="75"/>
      <c r="G20" s="10"/>
      <c r="H20" s="75"/>
      <c r="I20" s="75"/>
      <c r="J20" s="75"/>
      <c r="K20" s="30">
        <f t="shared" ref="K20:K25" si="26">SUM(D20-SUM(H20:J20))</f>
        <v>0</v>
      </c>
      <c r="L20" s="75"/>
      <c r="M20" s="75"/>
      <c r="N20" s="75"/>
      <c r="O20" s="30">
        <f t="shared" ref="O20:O25" si="27">SUM(E20-SUM(L20:N20))</f>
        <v>0</v>
      </c>
      <c r="P20" s="75"/>
      <c r="Q20" s="75"/>
      <c r="R20" s="75"/>
      <c r="S20" s="30">
        <f t="shared" ref="S20:S25" si="28">SUM(F20-SUM(P20:R20))</f>
        <v>0</v>
      </c>
      <c r="T20" s="75"/>
      <c r="U20" s="5"/>
      <c r="V20" s="30">
        <f t="shared" ref="V20:V23" si="29">SUM(H20:K20)</f>
        <v>0</v>
      </c>
      <c r="W20" s="30">
        <f t="shared" ref="W20:W23" si="30">SUM(I20:L20)</f>
        <v>0</v>
      </c>
      <c r="X20" s="30">
        <f t="shared" ref="X20:X23" si="31">SUM(J20:M20)</f>
        <v>0</v>
      </c>
      <c r="Y20" s="30">
        <f t="shared" ref="Y20:Y23" si="32">SUM(K20:N20)</f>
        <v>0</v>
      </c>
      <c r="Z20" s="30">
        <f t="shared" ref="Z20:Z23" si="33">SUM(L20:O20)</f>
        <v>0</v>
      </c>
      <c r="AA20" s="30">
        <f t="shared" ref="AA20:AA23" si="34">SUM(M20:P20)</f>
        <v>0</v>
      </c>
      <c r="AB20" s="30">
        <f t="shared" ref="AB20:AB23" si="35">SUM(N20:Q20)</f>
        <v>0</v>
      </c>
      <c r="AC20" s="30">
        <f t="shared" ref="AC20:AC23" si="36">SUM(O20:R20)</f>
        <v>0</v>
      </c>
      <c r="AD20" s="30">
        <f t="shared" ref="AD20:AD23" si="37">SUM(P20:S20)</f>
        <v>0</v>
      </c>
      <c r="AE20" s="30">
        <f t="shared" ref="AE20:AE23" si="38">SUM(Q20:T20)</f>
        <v>0</v>
      </c>
    </row>
    <row r="21" spans="1:31" ht="12.75" customHeight="1">
      <c r="A21" s="74"/>
      <c r="B21" s="9" t="s">
        <v>110</v>
      </c>
      <c r="C21" s="75"/>
      <c r="D21" s="75"/>
      <c r="E21" s="75"/>
      <c r="F21" s="75"/>
      <c r="G21" s="10"/>
      <c r="H21" s="75"/>
      <c r="I21" s="75"/>
      <c r="J21" s="75"/>
      <c r="K21" s="30">
        <f t="shared" si="26"/>
        <v>0</v>
      </c>
      <c r="L21" s="75"/>
      <c r="M21" s="75"/>
      <c r="N21" s="75"/>
      <c r="O21" s="30">
        <f t="shared" si="27"/>
        <v>0</v>
      </c>
      <c r="P21" s="75"/>
      <c r="Q21" s="75"/>
      <c r="R21" s="75"/>
      <c r="S21" s="30">
        <f t="shared" si="28"/>
        <v>0</v>
      </c>
      <c r="T21" s="75"/>
      <c r="U21" s="5"/>
      <c r="V21" s="30">
        <f t="shared" si="29"/>
        <v>0</v>
      </c>
      <c r="W21" s="30">
        <f t="shared" si="30"/>
        <v>0</v>
      </c>
      <c r="X21" s="30">
        <f t="shared" si="31"/>
        <v>0</v>
      </c>
      <c r="Y21" s="30">
        <f t="shared" si="32"/>
        <v>0</v>
      </c>
      <c r="Z21" s="30">
        <f t="shared" si="33"/>
        <v>0</v>
      </c>
      <c r="AA21" s="30">
        <f t="shared" si="34"/>
        <v>0</v>
      </c>
      <c r="AB21" s="30">
        <f t="shared" si="35"/>
        <v>0</v>
      </c>
      <c r="AC21" s="30">
        <f t="shared" si="36"/>
        <v>0</v>
      </c>
      <c r="AD21" s="30">
        <f t="shared" si="37"/>
        <v>0</v>
      </c>
      <c r="AE21" s="30">
        <f t="shared" si="38"/>
        <v>0</v>
      </c>
    </row>
    <row r="22" spans="1:31" ht="12.75" customHeight="1">
      <c r="A22" s="74"/>
      <c r="B22" s="9" t="s">
        <v>110</v>
      </c>
      <c r="C22" s="75"/>
      <c r="D22" s="75"/>
      <c r="E22" s="75"/>
      <c r="F22" s="75"/>
      <c r="G22" s="10"/>
      <c r="H22" s="75"/>
      <c r="I22" s="75"/>
      <c r="J22" s="75"/>
      <c r="K22" s="30">
        <f t="shared" si="26"/>
        <v>0</v>
      </c>
      <c r="L22" s="75"/>
      <c r="M22" s="75"/>
      <c r="N22" s="75"/>
      <c r="O22" s="30">
        <f t="shared" si="27"/>
        <v>0</v>
      </c>
      <c r="P22" s="75"/>
      <c r="Q22" s="75"/>
      <c r="R22" s="75"/>
      <c r="S22" s="30">
        <f t="shared" si="28"/>
        <v>0</v>
      </c>
      <c r="T22" s="75"/>
      <c r="U22" s="5"/>
      <c r="V22" s="30">
        <f t="shared" si="29"/>
        <v>0</v>
      </c>
      <c r="W22" s="30">
        <f t="shared" si="30"/>
        <v>0</v>
      </c>
      <c r="X22" s="30">
        <f t="shared" si="31"/>
        <v>0</v>
      </c>
      <c r="Y22" s="30">
        <f t="shared" si="32"/>
        <v>0</v>
      </c>
      <c r="Z22" s="30">
        <f t="shared" si="33"/>
        <v>0</v>
      </c>
      <c r="AA22" s="30">
        <f t="shared" si="34"/>
        <v>0</v>
      </c>
      <c r="AB22" s="30">
        <f t="shared" si="35"/>
        <v>0</v>
      </c>
      <c r="AC22" s="30">
        <f t="shared" si="36"/>
        <v>0</v>
      </c>
      <c r="AD22" s="30">
        <f t="shared" si="37"/>
        <v>0</v>
      </c>
      <c r="AE22" s="30">
        <f t="shared" si="38"/>
        <v>0</v>
      </c>
    </row>
    <row r="23" spans="1:31">
      <c r="A23" s="74"/>
      <c r="B23" s="9" t="s">
        <v>110</v>
      </c>
      <c r="C23" s="75"/>
      <c r="D23" s="75"/>
      <c r="E23" s="75"/>
      <c r="F23" s="75"/>
      <c r="G23" s="10"/>
      <c r="H23" s="75"/>
      <c r="I23" s="75"/>
      <c r="J23" s="75"/>
      <c r="K23" s="30">
        <f t="shared" si="26"/>
        <v>0</v>
      </c>
      <c r="L23" s="75"/>
      <c r="M23" s="75"/>
      <c r="N23" s="75"/>
      <c r="O23" s="30">
        <f t="shared" si="27"/>
        <v>0</v>
      </c>
      <c r="P23" s="75"/>
      <c r="Q23" s="75"/>
      <c r="R23" s="75"/>
      <c r="S23" s="30">
        <f t="shared" si="28"/>
        <v>0</v>
      </c>
      <c r="T23" s="75"/>
      <c r="U23" s="5"/>
      <c r="V23" s="30">
        <f t="shared" si="29"/>
        <v>0</v>
      </c>
      <c r="W23" s="30">
        <f t="shared" si="30"/>
        <v>0</v>
      </c>
      <c r="X23" s="30">
        <f t="shared" si="31"/>
        <v>0</v>
      </c>
      <c r="Y23" s="30">
        <f t="shared" si="32"/>
        <v>0</v>
      </c>
      <c r="Z23" s="30">
        <f t="shared" si="33"/>
        <v>0</v>
      </c>
      <c r="AA23" s="30">
        <f t="shared" si="34"/>
        <v>0</v>
      </c>
      <c r="AB23" s="30">
        <f t="shared" si="35"/>
        <v>0</v>
      </c>
      <c r="AC23" s="30">
        <f t="shared" si="36"/>
        <v>0</v>
      </c>
      <c r="AD23" s="30">
        <f t="shared" si="37"/>
        <v>0</v>
      </c>
      <c r="AE23" s="30">
        <f t="shared" si="38"/>
        <v>0</v>
      </c>
    </row>
    <row r="24" spans="1:31">
      <c r="A24" s="74"/>
      <c r="B24" s="9" t="s">
        <v>110</v>
      </c>
      <c r="C24" s="75"/>
      <c r="D24" s="75"/>
      <c r="E24" s="75"/>
      <c r="F24" s="75"/>
      <c r="G24" s="10"/>
      <c r="H24" s="75"/>
      <c r="I24" s="75"/>
      <c r="J24" s="75"/>
      <c r="K24" s="30">
        <f t="shared" si="26"/>
        <v>0</v>
      </c>
      <c r="L24" s="75"/>
      <c r="M24" s="75"/>
      <c r="N24" s="75"/>
      <c r="O24" s="30">
        <f t="shared" si="27"/>
        <v>0</v>
      </c>
      <c r="P24" s="75"/>
      <c r="Q24" s="75"/>
      <c r="R24" s="75"/>
      <c r="S24" s="30">
        <f t="shared" si="28"/>
        <v>0</v>
      </c>
      <c r="T24" s="75"/>
      <c r="U24" s="5"/>
      <c r="V24" s="30">
        <f t="shared" ref="V24:V25" si="39">SUM(H24:K24)</f>
        <v>0</v>
      </c>
      <c r="W24" s="30">
        <f t="shared" ref="W24:W25" si="40">SUM(I24:L24)</f>
        <v>0</v>
      </c>
      <c r="X24" s="30">
        <f t="shared" ref="X24:X25" si="41">SUM(J24:M24)</f>
        <v>0</v>
      </c>
      <c r="Y24" s="30">
        <f t="shared" ref="Y24:Y25" si="42">SUM(K24:N24)</f>
        <v>0</v>
      </c>
      <c r="Z24" s="30">
        <f t="shared" ref="Z24:Z25" si="43">SUM(L24:O24)</f>
        <v>0</v>
      </c>
      <c r="AA24" s="30">
        <f t="shared" ref="AA24:AA25" si="44">SUM(M24:P24)</f>
        <v>0</v>
      </c>
      <c r="AB24" s="30">
        <f t="shared" ref="AB24:AB25" si="45">SUM(N24:Q24)</f>
        <v>0</v>
      </c>
      <c r="AC24" s="30">
        <f t="shared" ref="AC24:AC25" si="46">SUM(O24:R24)</f>
        <v>0</v>
      </c>
      <c r="AD24" s="30">
        <f t="shared" ref="AD24:AD25" si="47">SUM(P24:S24)</f>
        <v>0</v>
      </c>
      <c r="AE24" s="30">
        <f t="shared" ref="AE24:AE25" si="48">SUM(Q24:T24)</f>
        <v>0</v>
      </c>
    </row>
    <row r="25" spans="1:31">
      <c r="A25" s="74"/>
      <c r="B25" s="9" t="s">
        <v>110</v>
      </c>
      <c r="C25" s="75"/>
      <c r="D25" s="75"/>
      <c r="E25" s="75"/>
      <c r="F25" s="75"/>
      <c r="G25" s="10"/>
      <c r="H25" s="75"/>
      <c r="I25" s="75"/>
      <c r="J25" s="75"/>
      <c r="K25" s="30">
        <f t="shared" si="26"/>
        <v>0</v>
      </c>
      <c r="L25" s="75"/>
      <c r="M25" s="75"/>
      <c r="N25" s="75"/>
      <c r="O25" s="30">
        <f t="shared" si="27"/>
        <v>0</v>
      </c>
      <c r="P25" s="75"/>
      <c r="Q25" s="75"/>
      <c r="R25" s="75"/>
      <c r="S25" s="30">
        <f t="shared" si="28"/>
        <v>0</v>
      </c>
      <c r="T25" s="75"/>
      <c r="U25" s="5"/>
      <c r="V25" s="30">
        <f t="shared" si="39"/>
        <v>0</v>
      </c>
      <c r="W25" s="30">
        <f t="shared" si="40"/>
        <v>0</v>
      </c>
      <c r="X25" s="30">
        <f t="shared" si="41"/>
        <v>0</v>
      </c>
      <c r="Y25" s="30">
        <f t="shared" si="42"/>
        <v>0</v>
      </c>
      <c r="Z25" s="30">
        <f t="shared" si="43"/>
        <v>0</v>
      </c>
      <c r="AA25" s="30">
        <f t="shared" si="44"/>
        <v>0</v>
      </c>
      <c r="AB25" s="30">
        <f t="shared" si="45"/>
        <v>0</v>
      </c>
      <c r="AC25" s="30">
        <f t="shared" si="46"/>
        <v>0</v>
      </c>
      <c r="AD25" s="30">
        <f t="shared" si="47"/>
        <v>0</v>
      </c>
      <c r="AE25" s="30">
        <f t="shared" si="48"/>
        <v>0</v>
      </c>
    </row>
    <row r="26" spans="1:31">
      <c r="B26" s="12" t="s">
        <v>12</v>
      </c>
      <c r="C26" s="13">
        <f t="shared" ref="C26:F26" si="49">SUM(C20:C25)</f>
        <v>0</v>
      </c>
      <c r="D26" s="13">
        <f t="shared" si="49"/>
        <v>0</v>
      </c>
      <c r="E26" s="13">
        <f t="shared" si="49"/>
        <v>0</v>
      </c>
      <c r="F26" s="13">
        <f t="shared" si="49"/>
        <v>0</v>
      </c>
      <c r="G26" s="11"/>
      <c r="H26" s="13">
        <f t="shared" ref="H26:T26" si="50">SUM(H20:H25)</f>
        <v>0</v>
      </c>
      <c r="I26" s="13">
        <f t="shared" si="50"/>
        <v>0</v>
      </c>
      <c r="J26" s="13">
        <f t="shared" si="50"/>
        <v>0</v>
      </c>
      <c r="K26" s="13">
        <f t="shared" si="50"/>
        <v>0</v>
      </c>
      <c r="L26" s="13">
        <f t="shared" si="50"/>
        <v>0</v>
      </c>
      <c r="M26" s="13">
        <f t="shared" si="50"/>
        <v>0</v>
      </c>
      <c r="N26" s="13">
        <f t="shared" si="50"/>
        <v>0</v>
      </c>
      <c r="O26" s="13">
        <f t="shared" si="50"/>
        <v>0</v>
      </c>
      <c r="P26" s="13">
        <f t="shared" si="50"/>
        <v>0</v>
      </c>
      <c r="Q26" s="13">
        <f t="shared" si="50"/>
        <v>0</v>
      </c>
      <c r="R26" s="13">
        <f t="shared" si="50"/>
        <v>0</v>
      </c>
      <c r="S26" s="13">
        <f t="shared" si="50"/>
        <v>0</v>
      </c>
      <c r="T26" s="13">
        <f t="shared" si="50"/>
        <v>0</v>
      </c>
      <c r="U26" s="5"/>
      <c r="V26" s="13">
        <f t="shared" ref="V26:AE26" si="51">SUM(V20:V25)</f>
        <v>0</v>
      </c>
      <c r="W26" s="13">
        <f t="shared" si="51"/>
        <v>0</v>
      </c>
      <c r="X26" s="13">
        <f t="shared" si="51"/>
        <v>0</v>
      </c>
      <c r="Y26" s="13">
        <f t="shared" si="51"/>
        <v>0</v>
      </c>
      <c r="Z26" s="13">
        <f t="shared" si="51"/>
        <v>0</v>
      </c>
      <c r="AA26" s="13">
        <f t="shared" si="51"/>
        <v>0</v>
      </c>
      <c r="AB26" s="13">
        <f t="shared" si="51"/>
        <v>0</v>
      </c>
      <c r="AC26" s="13">
        <f t="shared" si="51"/>
        <v>0</v>
      </c>
      <c r="AD26" s="13">
        <f t="shared" si="51"/>
        <v>0</v>
      </c>
      <c r="AE26" s="13">
        <f t="shared" si="51"/>
        <v>0</v>
      </c>
    </row>
    <row r="27" spans="1:31" outlineLevel="1">
      <c r="B27" s="114" t="s">
        <v>63</v>
      </c>
      <c r="C27" s="73">
        <f t="shared" ref="C27:F27" si="52">+C26-C11</f>
        <v>0</v>
      </c>
      <c r="D27" s="73">
        <f t="shared" si="52"/>
        <v>0</v>
      </c>
      <c r="E27" s="73">
        <f t="shared" si="52"/>
        <v>0</v>
      </c>
      <c r="F27" s="73">
        <f t="shared" si="52"/>
        <v>0</v>
      </c>
      <c r="G27" s="11"/>
      <c r="H27" s="73">
        <f t="shared" ref="H27" si="53">+H26-H11</f>
        <v>0</v>
      </c>
      <c r="I27" s="73">
        <f t="shared" ref="I27" si="54">+I26-I11</f>
        <v>0</v>
      </c>
      <c r="J27" s="73">
        <f t="shared" ref="J27" si="55">+J26-J11</f>
        <v>0</v>
      </c>
      <c r="K27" s="73">
        <f t="shared" ref="K27" si="56">+K26-K11</f>
        <v>0</v>
      </c>
      <c r="L27" s="73">
        <f t="shared" ref="L27" si="57">+L26-L11</f>
        <v>0</v>
      </c>
      <c r="M27" s="73">
        <f t="shared" ref="M27" si="58">+M26-M11</f>
        <v>0</v>
      </c>
      <c r="N27" s="73">
        <f t="shared" ref="N27" si="59">+N26-N11</f>
        <v>0</v>
      </c>
      <c r="O27" s="73">
        <f t="shared" ref="O27" si="60">+O26-O11</f>
        <v>0</v>
      </c>
      <c r="P27" s="73">
        <f t="shared" ref="P27" si="61">+P26-P11</f>
        <v>0</v>
      </c>
      <c r="Q27" s="73">
        <f t="shared" ref="Q27" si="62">+Q26-Q11</f>
        <v>0</v>
      </c>
      <c r="R27" s="73">
        <f t="shared" ref="R27" si="63">+R26-R11</f>
        <v>0</v>
      </c>
      <c r="S27" s="73">
        <f t="shared" ref="S27" si="64">+S26-S11</f>
        <v>0</v>
      </c>
      <c r="T27" s="73">
        <f t="shared" ref="T27" si="65">+T26-T11</f>
        <v>0</v>
      </c>
      <c r="U27" s="5"/>
      <c r="V27" s="73">
        <f t="shared" ref="V27" si="66">+V26-V11</f>
        <v>0</v>
      </c>
      <c r="W27" s="73">
        <f t="shared" ref="W27" si="67">+W26-W11</f>
        <v>0</v>
      </c>
      <c r="X27" s="73">
        <f t="shared" ref="X27" si="68">+X26-X11</f>
        <v>0</v>
      </c>
      <c r="Y27" s="73">
        <f t="shared" ref="Y27" si="69">+Y26-Y11</f>
        <v>0</v>
      </c>
      <c r="Z27" s="73">
        <f t="shared" ref="Z27" si="70">+Z26-Z11</f>
        <v>0</v>
      </c>
      <c r="AA27" s="73">
        <f t="shared" ref="AA27" si="71">+AA26-AA11</f>
        <v>0</v>
      </c>
      <c r="AB27" s="73">
        <f t="shared" ref="AB27" si="72">+AB26-AB11</f>
        <v>0</v>
      </c>
      <c r="AC27" s="73">
        <f t="shared" ref="AC27" si="73">+AC26-AC11</f>
        <v>0</v>
      </c>
      <c r="AD27" s="73">
        <f t="shared" ref="AD27" si="74">+AD26-AD11</f>
        <v>0</v>
      </c>
      <c r="AE27" s="73">
        <f t="shared" ref="AE27" si="75">+AE26-AE11</f>
        <v>0</v>
      </c>
    </row>
    <row r="28" spans="1:31">
      <c r="B28" s="16"/>
      <c r="C28" s="17"/>
      <c r="D28" s="17"/>
      <c r="E28" s="17"/>
      <c r="F28" s="17"/>
      <c r="G28" s="18"/>
      <c r="H28" s="19"/>
      <c r="I28" s="19"/>
      <c r="J28" s="19"/>
      <c r="K28" s="20"/>
      <c r="L28" s="19"/>
      <c r="M28" s="19"/>
      <c r="N28" s="19"/>
      <c r="O28" s="19"/>
      <c r="P28" s="19"/>
      <c r="Q28" s="19"/>
      <c r="R28" s="19"/>
      <c r="S28" s="19"/>
      <c r="T28" s="19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B29" s="115" t="str">
        <f>B20&amp;"(%)"</f>
        <v>XXX(%)</v>
      </c>
      <c r="C29" s="127" t="e">
        <f t="shared" ref="C29:F29" si="76">C20/C$26</f>
        <v>#DIV/0!</v>
      </c>
      <c r="D29" s="127" t="e">
        <f t="shared" si="76"/>
        <v>#DIV/0!</v>
      </c>
      <c r="E29" s="127" t="e">
        <f t="shared" si="76"/>
        <v>#DIV/0!</v>
      </c>
      <c r="F29" s="127" t="e">
        <f t="shared" si="76"/>
        <v>#DIV/0!</v>
      </c>
      <c r="G29" s="116"/>
      <c r="H29" s="127" t="e">
        <f t="shared" ref="H29:T29" si="77">H20/H$26</f>
        <v>#DIV/0!</v>
      </c>
      <c r="I29" s="127" t="e">
        <f t="shared" si="77"/>
        <v>#DIV/0!</v>
      </c>
      <c r="J29" s="127" t="e">
        <f t="shared" si="77"/>
        <v>#DIV/0!</v>
      </c>
      <c r="K29" s="127" t="e">
        <f t="shared" si="77"/>
        <v>#DIV/0!</v>
      </c>
      <c r="L29" s="127" t="e">
        <f t="shared" si="77"/>
        <v>#DIV/0!</v>
      </c>
      <c r="M29" s="127" t="e">
        <f t="shared" si="77"/>
        <v>#DIV/0!</v>
      </c>
      <c r="N29" s="127" t="e">
        <f t="shared" si="77"/>
        <v>#DIV/0!</v>
      </c>
      <c r="O29" s="127" t="e">
        <f t="shared" si="77"/>
        <v>#DIV/0!</v>
      </c>
      <c r="P29" s="127" t="e">
        <f t="shared" si="77"/>
        <v>#DIV/0!</v>
      </c>
      <c r="Q29" s="127" t="e">
        <f t="shared" si="77"/>
        <v>#DIV/0!</v>
      </c>
      <c r="R29" s="127" t="e">
        <f t="shared" si="77"/>
        <v>#DIV/0!</v>
      </c>
      <c r="S29" s="127" t="e">
        <f t="shared" si="77"/>
        <v>#DIV/0!</v>
      </c>
      <c r="T29" s="127" t="e">
        <f t="shared" si="77"/>
        <v>#DIV/0!</v>
      </c>
      <c r="U29" s="116"/>
      <c r="V29" s="117" t="e">
        <f t="shared" ref="V29:AE29" si="78">V20/V$26</f>
        <v>#DIV/0!</v>
      </c>
      <c r="W29" s="117" t="e">
        <f t="shared" si="78"/>
        <v>#DIV/0!</v>
      </c>
      <c r="X29" s="117" t="e">
        <f t="shared" si="78"/>
        <v>#DIV/0!</v>
      </c>
      <c r="Y29" s="117" t="e">
        <f t="shared" si="78"/>
        <v>#DIV/0!</v>
      </c>
      <c r="Z29" s="117" t="e">
        <f t="shared" si="78"/>
        <v>#DIV/0!</v>
      </c>
      <c r="AA29" s="117" t="e">
        <f t="shared" si="78"/>
        <v>#DIV/0!</v>
      </c>
      <c r="AB29" s="117" t="e">
        <f t="shared" si="78"/>
        <v>#DIV/0!</v>
      </c>
      <c r="AC29" s="117" t="e">
        <f t="shared" si="78"/>
        <v>#DIV/0!</v>
      </c>
      <c r="AD29" s="117" t="e">
        <f t="shared" si="78"/>
        <v>#DIV/0!</v>
      </c>
      <c r="AE29" s="118" t="e">
        <f t="shared" si="78"/>
        <v>#DIV/0!</v>
      </c>
    </row>
    <row r="30" spans="1:31" ht="12.75" customHeight="1">
      <c r="B30" s="119" t="str">
        <f t="shared" ref="B30" si="79">B21&amp;"(%)"</f>
        <v>XXX(%)</v>
      </c>
      <c r="C30" s="129" t="e">
        <f t="shared" ref="C30:F34" si="80">C21/C$26</f>
        <v>#DIV/0!</v>
      </c>
      <c r="D30" s="129" t="e">
        <f t="shared" si="80"/>
        <v>#DIV/0!</v>
      </c>
      <c r="E30" s="129" t="e">
        <f t="shared" si="80"/>
        <v>#DIV/0!</v>
      </c>
      <c r="F30" s="129" t="e">
        <f t="shared" si="80"/>
        <v>#DIV/0!</v>
      </c>
      <c r="G30" s="120"/>
      <c r="H30" s="129" t="e">
        <f t="shared" ref="H30:T30" si="81">H21/H$26</f>
        <v>#DIV/0!</v>
      </c>
      <c r="I30" s="129" t="e">
        <f t="shared" si="81"/>
        <v>#DIV/0!</v>
      </c>
      <c r="J30" s="129" t="e">
        <f t="shared" si="81"/>
        <v>#DIV/0!</v>
      </c>
      <c r="K30" s="129" t="e">
        <f t="shared" si="81"/>
        <v>#DIV/0!</v>
      </c>
      <c r="L30" s="129" t="e">
        <f t="shared" si="81"/>
        <v>#DIV/0!</v>
      </c>
      <c r="M30" s="129" t="e">
        <f t="shared" si="81"/>
        <v>#DIV/0!</v>
      </c>
      <c r="N30" s="129" t="e">
        <f t="shared" si="81"/>
        <v>#DIV/0!</v>
      </c>
      <c r="O30" s="129" t="e">
        <f t="shared" si="81"/>
        <v>#DIV/0!</v>
      </c>
      <c r="P30" s="129" t="e">
        <f t="shared" si="81"/>
        <v>#DIV/0!</v>
      </c>
      <c r="Q30" s="129" t="e">
        <f t="shared" si="81"/>
        <v>#DIV/0!</v>
      </c>
      <c r="R30" s="129" t="e">
        <f t="shared" si="81"/>
        <v>#DIV/0!</v>
      </c>
      <c r="S30" s="129" t="e">
        <f t="shared" si="81"/>
        <v>#DIV/0!</v>
      </c>
      <c r="T30" s="129" t="e">
        <f t="shared" si="81"/>
        <v>#DIV/0!</v>
      </c>
      <c r="U30" s="120"/>
      <c r="V30" s="121" t="e">
        <f t="shared" ref="V30:AE30" si="82">V21/V$26</f>
        <v>#DIV/0!</v>
      </c>
      <c r="W30" s="121" t="e">
        <f t="shared" si="82"/>
        <v>#DIV/0!</v>
      </c>
      <c r="X30" s="121" t="e">
        <f t="shared" si="82"/>
        <v>#DIV/0!</v>
      </c>
      <c r="Y30" s="121" t="e">
        <f t="shared" si="82"/>
        <v>#DIV/0!</v>
      </c>
      <c r="Z30" s="121" t="e">
        <f t="shared" si="82"/>
        <v>#DIV/0!</v>
      </c>
      <c r="AA30" s="121" t="e">
        <f t="shared" si="82"/>
        <v>#DIV/0!</v>
      </c>
      <c r="AB30" s="121" t="e">
        <f t="shared" si="82"/>
        <v>#DIV/0!</v>
      </c>
      <c r="AC30" s="121" t="e">
        <f t="shared" si="82"/>
        <v>#DIV/0!</v>
      </c>
      <c r="AD30" s="121" t="e">
        <f t="shared" si="82"/>
        <v>#DIV/0!</v>
      </c>
      <c r="AE30" s="122" t="e">
        <f t="shared" si="82"/>
        <v>#DIV/0!</v>
      </c>
    </row>
    <row r="31" spans="1:31" ht="12.75" customHeight="1">
      <c r="B31" s="119" t="str">
        <f>B22&amp;"(%)"</f>
        <v>XXX(%)</v>
      </c>
      <c r="C31" s="129" t="e">
        <f t="shared" si="80"/>
        <v>#DIV/0!</v>
      </c>
      <c r="D31" s="129" t="e">
        <f t="shared" si="80"/>
        <v>#DIV/0!</v>
      </c>
      <c r="E31" s="129" t="e">
        <f t="shared" si="80"/>
        <v>#DIV/0!</v>
      </c>
      <c r="F31" s="129" t="e">
        <f t="shared" si="80"/>
        <v>#DIV/0!</v>
      </c>
      <c r="G31" s="120"/>
      <c r="H31" s="129" t="e">
        <f t="shared" ref="H31:T31" si="83">H22/H$26</f>
        <v>#DIV/0!</v>
      </c>
      <c r="I31" s="129" t="e">
        <f t="shared" si="83"/>
        <v>#DIV/0!</v>
      </c>
      <c r="J31" s="129" t="e">
        <f t="shared" si="83"/>
        <v>#DIV/0!</v>
      </c>
      <c r="K31" s="129" t="e">
        <f t="shared" si="83"/>
        <v>#DIV/0!</v>
      </c>
      <c r="L31" s="129" t="e">
        <f t="shared" si="83"/>
        <v>#DIV/0!</v>
      </c>
      <c r="M31" s="129" t="e">
        <f t="shared" si="83"/>
        <v>#DIV/0!</v>
      </c>
      <c r="N31" s="129" t="e">
        <f t="shared" si="83"/>
        <v>#DIV/0!</v>
      </c>
      <c r="O31" s="129" t="e">
        <f t="shared" si="83"/>
        <v>#DIV/0!</v>
      </c>
      <c r="P31" s="129" t="e">
        <f t="shared" si="83"/>
        <v>#DIV/0!</v>
      </c>
      <c r="Q31" s="129" t="e">
        <f t="shared" si="83"/>
        <v>#DIV/0!</v>
      </c>
      <c r="R31" s="129" t="e">
        <f t="shared" si="83"/>
        <v>#DIV/0!</v>
      </c>
      <c r="S31" s="129" t="e">
        <f t="shared" si="83"/>
        <v>#DIV/0!</v>
      </c>
      <c r="T31" s="129" t="e">
        <f t="shared" si="83"/>
        <v>#DIV/0!</v>
      </c>
      <c r="U31" s="120"/>
      <c r="V31" s="121" t="e">
        <f t="shared" ref="V31:AE31" si="84">V22/V$26</f>
        <v>#DIV/0!</v>
      </c>
      <c r="W31" s="121" t="e">
        <f t="shared" si="84"/>
        <v>#DIV/0!</v>
      </c>
      <c r="X31" s="121" t="e">
        <f t="shared" si="84"/>
        <v>#DIV/0!</v>
      </c>
      <c r="Y31" s="121" t="e">
        <f t="shared" si="84"/>
        <v>#DIV/0!</v>
      </c>
      <c r="Z31" s="121" t="e">
        <f t="shared" si="84"/>
        <v>#DIV/0!</v>
      </c>
      <c r="AA31" s="121" t="e">
        <f t="shared" si="84"/>
        <v>#DIV/0!</v>
      </c>
      <c r="AB31" s="121" t="e">
        <f t="shared" si="84"/>
        <v>#DIV/0!</v>
      </c>
      <c r="AC31" s="121" t="e">
        <f t="shared" si="84"/>
        <v>#DIV/0!</v>
      </c>
      <c r="AD31" s="121" t="e">
        <f t="shared" si="84"/>
        <v>#DIV/0!</v>
      </c>
      <c r="AE31" s="122" t="e">
        <f t="shared" si="84"/>
        <v>#DIV/0!</v>
      </c>
    </row>
    <row r="32" spans="1:31" ht="12.75" customHeight="1">
      <c r="B32" s="119" t="str">
        <f>B23&amp;"(%)"</f>
        <v>XXX(%)</v>
      </c>
      <c r="C32" s="129" t="e">
        <f t="shared" si="80"/>
        <v>#DIV/0!</v>
      </c>
      <c r="D32" s="129" t="e">
        <f t="shared" si="80"/>
        <v>#DIV/0!</v>
      </c>
      <c r="E32" s="129" t="e">
        <f t="shared" si="80"/>
        <v>#DIV/0!</v>
      </c>
      <c r="F32" s="129" t="e">
        <f t="shared" si="80"/>
        <v>#DIV/0!</v>
      </c>
      <c r="G32" s="120"/>
      <c r="H32" s="129" t="e">
        <f t="shared" ref="H32:T32" si="85">H23/H$26</f>
        <v>#DIV/0!</v>
      </c>
      <c r="I32" s="129" t="e">
        <f t="shared" si="85"/>
        <v>#DIV/0!</v>
      </c>
      <c r="J32" s="129" t="e">
        <f t="shared" si="85"/>
        <v>#DIV/0!</v>
      </c>
      <c r="K32" s="129" t="e">
        <f t="shared" si="85"/>
        <v>#DIV/0!</v>
      </c>
      <c r="L32" s="129" t="e">
        <f t="shared" si="85"/>
        <v>#DIV/0!</v>
      </c>
      <c r="M32" s="129" t="e">
        <f t="shared" si="85"/>
        <v>#DIV/0!</v>
      </c>
      <c r="N32" s="129" t="e">
        <f t="shared" si="85"/>
        <v>#DIV/0!</v>
      </c>
      <c r="O32" s="129" t="e">
        <f t="shared" si="85"/>
        <v>#DIV/0!</v>
      </c>
      <c r="P32" s="129" t="e">
        <f t="shared" si="85"/>
        <v>#DIV/0!</v>
      </c>
      <c r="Q32" s="129" t="e">
        <f t="shared" si="85"/>
        <v>#DIV/0!</v>
      </c>
      <c r="R32" s="129" t="e">
        <f t="shared" si="85"/>
        <v>#DIV/0!</v>
      </c>
      <c r="S32" s="129" t="e">
        <f t="shared" si="85"/>
        <v>#DIV/0!</v>
      </c>
      <c r="T32" s="129" t="e">
        <f t="shared" si="85"/>
        <v>#DIV/0!</v>
      </c>
      <c r="U32" s="120"/>
      <c r="V32" s="121" t="e">
        <f t="shared" ref="V32:AE32" si="86">V23/V$26</f>
        <v>#DIV/0!</v>
      </c>
      <c r="W32" s="121" t="e">
        <f t="shared" si="86"/>
        <v>#DIV/0!</v>
      </c>
      <c r="X32" s="121" t="e">
        <f t="shared" si="86"/>
        <v>#DIV/0!</v>
      </c>
      <c r="Y32" s="121" t="e">
        <f t="shared" si="86"/>
        <v>#DIV/0!</v>
      </c>
      <c r="Z32" s="121" t="e">
        <f t="shared" si="86"/>
        <v>#DIV/0!</v>
      </c>
      <c r="AA32" s="121" t="e">
        <f t="shared" si="86"/>
        <v>#DIV/0!</v>
      </c>
      <c r="AB32" s="121" t="e">
        <f t="shared" si="86"/>
        <v>#DIV/0!</v>
      </c>
      <c r="AC32" s="121" t="e">
        <f t="shared" si="86"/>
        <v>#DIV/0!</v>
      </c>
      <c r="AD32" s="121" t="e">
        <f t="shared" si="86"/>
        <v>#DIV/0!</v>
      </c>
      <c r="AE32" s="122" t="e">
        <f t="shared" si="86"/>
        <v>#DIV/0!</v>
      </c>
    </row>
    <row r="33" spans="2:31" ht="12.75" customHeight="1">
      <c r="B33" s="119" t="str">
        <f>B24&amp;"(%)"</f>
        <v>XXX(%)</v>
      </c>
      <c r="C33" s="129" t="e">
        <f t="shared" si="80"/>
        <v>#DIV/0!</v>
      </c>
      <c r="D33" s="129" t="e">
        <f t="shared" si="80"/>
        <v>#DIV/0!</v>
      </c>
      <c r="E33" s="129" t="e">
        <f t="shared" si="80"/>
        <v>#DIV/0!</v>
      </c>
      <c r="F33" s="129" t="e">
        <f t="shared" si="80"/>
        <v>#DIV/0!</v>
      </c>
      <c r="G33" s="120"/>
      <c r="H33" s="129" t="e">
        <f t="shared" ref="H33:T33" si="87">H24/H$26</f>
        <v>#DIV/0!</v>
      </c>
      <c r="I33" s="129" t="e">
        <f t="shared" si="87"/>
        <v>#DIV/0!</v>
      </c>
      <c r="J33" s="129" t="e">
        <f t="shared" si="87"/>
        <v>#DIV/0!</v>
      </c>
      <c r="K33" s="129" t="e">
        <f t="shared" si="87"/>
        <v>#DIV/0!</v>
      </c>
      <c r="L33" s="129" t="e">
        <f t="shared" si="87"/>
        <v>#DIV/0!</v>
      </c>
      <c r="M33" s="129" t="e">
        <f t="shared" si="87"/>
        <v>#DIV/0!</v>
      </c>
      <c r="N33" s="129" t="e">
        <f t="shared" si="87"/>
        <v>#DIV/0!</v>
      </c>
      <c r="O33" s="129" t="e">
        <f t="shared" si="87"/>
        <v>#DIV/0!</v>
      </c>
      <c r="P33" s="129" t="e">
        <f t="shared" si="87"/>
        <v>#DIV/0!</v>
      </c>
      <c r="Q33" s="129" t="e">
        <f t="shared" si="87"/>
        <v>#DIV/0!</v>
      </c>
      <c r="R33" s="129" t="e">
        <f t="shared" si="87"/>
        <v>#DIV/0!</v>
      </c>
      <c r="S33" s="129" t="e">
        <f t="shared" si="87"/>
        <v>#DIV/0!</v>
      </c>
      <c r="T33" s="129" t="e">
        <f t="shared" si="87"/>
        <v>#DIV/0!</v>
      </c>
      <c r="U33" s="120"/>
      <c r="V33" s="121" t="e">
        <f t="shared" ref="V33:AE33" si="88">V24/V$26</f>
        <v>#DIV/0!</v>
      </c>
      <c r="W33" s="121" t="e">
        <f t="shared" si="88"/>
        <v>#DIV/0!</v>
      </c>
      <c r="X33" s="121" t="e">
        <f t="shared" si="88"/>
        <v>#DIV/0!</v>
      </c>
      <c r="Y33" s="121" t="e">
        <f t="shared" si="88"/>
        <v>#DIV/0!</v>
      </c>
      <c r="Z33" s="121" t="e">
        <f t="shared" si="88"/>
        <v>#DIV/0!</v>
      </c>
      <c r="AA33" s="121" t="e">
        <f t="shared" si="88"/>
        <v>#DIV/0!</v>
      </c>
      <c r="AB33" s="121" t="e">
        <f t="shared" si="88"/>
        <v>#DIV/0!</v>
      </c>
      <c r="AC33" s="121" t="e">
        <f t="shared" si="88"/>
        <v>#DIV/0!</v>
      </c>
      <c r="AD33" s="121" t="e">
        <f t="shared" si="88"/>
        <v>#DIV/0!</v>
      </c>
      <c r="AE33" s="122" t="e">
        <f t="shared" si="88"/>
        <v>#DIV/0!</v>
      </c>
    </row>
    <row r="34" spans="2:31" ht="12.75" customHeight="1">
      <c r="B34" s="123" t="str">
        <f>B25&amp;"(%)"</f>
        <v>XXX(%)</v>
      </c>
      <c r="C34" s="128" t="e">
        <f t="shared" si="80"/>
        <v>#DIV/0!</v>
      </c>
      <c r="D34" s="128" t="e">
        <f t="shared" si="80"/>
        <v>#DIV/0!</v>
      </c>
      <c r="E34" s="128" t="e">
        <f t="shared" si="80"/>
        <v>#DIV/0!</v>
      </c>
      <c r="F34" s="128" t="e">
        <f t="shared" si="80"/>
        <v>#DIV/0!</v>
      </c>
      <c r="G34" s="124"/>
      <c r="H34" s="128" t="e">
        <f t="shared" ref="H34:T34" si="89">H25/H$26</f>
        <v>#DIV/0!</v>
      </c>
      <c r="I34" s="128" t="e">
        <f t="shared" si="89"/>
        <v>#DIV/0!</v>
      </c>
      <c r="J34" s="128" t="e">
        <f t="shared" si="89"/>
        <v>#DIV/0!</v>
      </c>
      <c r="K34" s="128" t="e">
        <f t="shared" si="89"/>
        <v>#DIV/0!</v>
      </c>
      <c r="L34" s="128" t="e">
        <f t="shared" si="89"/>
        <v>#DIV/0!</v>
      </c>
      <c r="M34" s="128" t="e">
        <f t="shared" si="89"/>
        <v>#DIV/0!</v>
      </c>
      <c r="N34" s="128" t="e">
        <f t="shared" si="89"/>
        <v>#DIV/0!</v>
      </c>
      <c r="O34" s="128" t="e">
        <f t="shared" si="89"/>
        <v>#DIV/0!</v>
      </c>
      <c r="P34" s="128" t="e">
        <f t="shared" si="89"/>
        <v>#DIV/0!</v>
      </c>
      <c r="Q34" s="128" t="e">
        <f t="shared" si="89"/>
        <v>#DIV/0!</v>
      </c>
      <c r="R34" s="128" t="e">
        <f t="shared" si="89"/>
        <v>#DIV/0!</v>
      </c>
      <c r="S34" s="128" t="e">
        <f t="shared" si="89"/>
        <v>#DIV/0!</v>
      </c>
      <c r="T34" s="128" t="e">
        <f t="shared" si="89"/>
        <v>#DIV/0!</v>
      </c>
      <c r="U34" s="124"/>
      <c r="V34" s="125" t="e">
        <f t="shared" ref="V34:AE34" si="90">V25/V$26</f>
        <v>#DIV/0!</v>
      </c>
      <c r="W34" s="125" t="e">
        <f t="shared" si="90"/>
        <v>#DIV/0!</v>
      </c>
      <c r="X34" s="125" t="e">
        <f t="shared" si="90"/>
        <v>#DIV/0!</v>
      </c>
      <c r="Y34" s="125" t="e">
        <f t="shared" si="90"/>
        <v>#DIV/0!</v>
      </c>
      <c r="Z34" s="125" t="e">
        <f t="shared" si="90"/>
        <v>#DIV/0!</v>
      </c>
      <c r="AA34" s="125" t="e">
        <f t="shared" si="90"/>
        <v>#DIV/0!</v>
      </c>
      <c r="AB34" s="125" t="e">
        <f t="shared" si="90"/>
        <v>#DIV/0!</v>
      </c>
      <c r="AC34" s="125" t="e">
        <f t="shared" si="90"/>
        <v>#DIV/0!</v>
      </c>
      <c r="AD34" s="125" t="e">
        <f t="shared" si="90"/>
        <v>#DIV/0!</v>
      </c>
      <c r="AE34" s="126" t="e">
        <f t="shared" si="90"/>
        <v>#DIV/0!</v>
      </c>
    </row>
  </sheetData>
  <pageMargins left="0.7" right="0.7" top="0.75" bottom="0.75" header="0.3" footer="0.3"/>
  <ignoredErrors>
    <ignoredError sqref="H14:Q15 C14:E15 H29:T3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Snap Inc (NASDAQ: SNAP)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4" t="s">
        <v>24</v>
      </c>
    </row>
    <row r="3" spans="2:33" s="5" customFormat="1" ht="12.75" customHeight="1">
      <c r="B3" s="6" t="s">
        <v>25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str">
        <f>'Historical Financials'!Q7</f>
        <v>3Q25</v>
      </c>
      <c r="S3" s="7" t="e">
        <f>'Historical Financials'!#REF!</f>
        <v>#REF!</v>
      </c>
      <c r="T3" s="7" t="e">
        <f>'Historical Financials'!#REF!</f>
        <v>#REF!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e">
        <f t="shared" si="0"/>
        <v>#REF!</v>
      </c>
      <c r="AE3" s="4" t="e">
        <f t="shared" si="0"/>
        <v>#REF!</v>
      </c>
      <c r="AF3" s="3"/>
      <c r="AG3" s="154"/>
    </row>
    <row r="4" spans="2:33" s="5" customFormat="1" ht="12.75" customHeight="1">
      <c r="B4" s="6" t="s">
        <v>95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 t="e">
        <f>'Historical Financials'!#REF!</f>
        <v>#REF!</v>
      </c>
      <c r="G4" s="3"/>
      <c r="H4" s="3">
        <f>'Historical Financials'!G8</f>
        <v>45016</v>
      </c>
      <c r="I4" s="3">
        <f>'Historical Financials'!H8</f>
        <v>45107</v>
      </c>
      <c r="J4" s="3">
        <f>'Historical Financials'!I8</f>
        <v>45199</v>
      </c>
      <c r="K4" s="3">
        <f>'Historical Financials'!J8</f>
        <v>45291</v>
      </c>
      <c r="L4" s="3">
        <f>'Historical Financials'!K8</f>
        <v>45382</v>
      </c>
      <c r="M4" s="3">
        <f>'Historical Financials'!L8</f>
        <v>45473</v>
      </c>
      <c r="N4" s="3">
        <f>'Historical Financials'!M8</f>
        <v>45565</v>
      </c>
      <c r="O4" s="3">
        <f>'Historical Financials'!N8</f>
        <v>45657</v>
      </c>
      <c r="P4" s="3">
        <f>'Historical Financials'!O8</f>
        <v>45747</v>
      </c>
      <c r="Q4" s="3">
        <f>'Historical Financials'!P8</f>
        <v>45838</v>
      </c>
      <c r="R4" s="3">
        <f>'Historical Financials'!Q8</f>
        <v>45930</v>
      </c>
      <c r="S4" s="3" t="e">
        <f>'Historical Financials'!#REF!</f>
        <v>#REF!</v>
      </c>
      <c r="T4" s="3" t="e">
        <f>'Historical Financials'!#REF!</f>
        <v>#REF!</v>
      </c>
      <c r="U4" s="3"/>
      <c r="V4" s="3">
        <f t="shared" si="0"/>
        <v>45291</v>
      </c>
      <c r="W4" s="3">
        <f t="shared" si="0"/>
        <v>45382</v>
      </c>
      <c r="X4" s="3">
        <f t="shared" si="0"/>
        <v>45473</v>
      </c>
      <c r="Y4" s="3">
        <f t="shared" si="0"/>
        <v>45565</v>
      </c>
      <c r="Z4" s="3">
        <f t="shared" si="0"/>
        <v>45657</v>
      </c>
      <c r="AA4" s="3">
        <f t="shared" si="0"/>
        <v>45747</v>
      </c>
      <c r="AB4" s="3">
        <f t="shared" si="0"/>
        <v>45838</v>
      </c>
      <c r="AC4" s="3">
        <f t="shared" si="0"/>
        <v>45930</v>
      </c>
      <c r="AD4" s="3" t="e">
        <f t="shared" si="0"/>
        <v>#REF!</v>
      </c>
      <c r="AE4" s="3" t="e">
        <f t="shared" si="0"/>
        <v>#REF!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110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110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110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110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110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110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28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29</v>
      </c>
      <c r="C14" s="15" t="s">
        <v>30</v>
      </c>
      <c r="D14" s="15" t="s">
        <v>30</v>
      </c>
      <c r="E14" s="15" t="s">
        <v>30</v>
      </c>
      <c r="F14" s="15" t="s">
        <v>30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30</v>
      </c>
      <c r="W14" s="15" t="s">
        <v>30</v>
      </c>
      <c r="X14" s="15" t="s">
        <v>30</v>
      </c>
      <c r="Y14" s="15" t="s">
        <v>30</v>
      </c>
      <c r="Z14" s="15" t="s">
        <v>30</v>
      </c>
      <c r="AA14" s="15" t="s">
        <v>30</v>
      </c>
      <c r="AB14" s="15" t="s">
        <v>30</v>
      </c>
      <c r="AC14" s="15" t="s">
        <v>30</v>
      </c>
      <c r="AD14" s="15" t="s">
        <v>30</v>
      </c>
      <c r="AE14" s="15" t="s">
        <v>30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31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22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32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115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115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115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115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115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33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34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99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35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100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114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36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37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38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39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76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116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40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41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113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113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113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113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113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72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1780.4</v>
      </c>
      <c r="L49" s="133">
        <f t="shared" ref="L49" si="147">SUM(L54)-SUM(K54)-SUM(L42:L48)</f>
        <v>-1780.4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1046.5</v>
      </c>
      <c r="P49" s="133">
        <f t="shared" ref="P49" si="151">SUM(P54)-SUM(O54)-SUM(P42:P48)</f>
        <v>-1046.5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 t="e">
        <f t="shared" ref="S49" si="154">SUM(S54)-SUM(R54)-SUM(S42:S48)</f>
        <v>#REF!</v>
      </c>
      <c r="T49" s="133" t="e">
        <f t="shared" ref="T49" si="155">SUM(T54)-SUM(S54)-SUM(T42:T48)</f>
        <v>#REF!</v>
      </c>
      <c r="V49" s="131">
        <f t="shared" si="133"/>
        <v>1780.4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-733.90000000000009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 t="e">
        <f t="shared" si="141"/>
        <v>#REF!</v>
      </c>
      <c r="AE49" s="131" t="e">
        <f t="shared" si="142"/>
        <v>#REF!</v>
      </c>
    </row>
    <row r="50" spans="1:31" ht="12.75" customHeight="1">
      <c r="B50" s="12" t="s">
        <v>42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1780.4</v>
      </c>
      <c r="L50" s="13">
        <f t="shared" si="157"/>
        <v>-1780.4</v>
      </c>
      <c r="M50" s="13">
        <f t="shared" si="157"/>
        <v>0</v>
      </c>
      <c r="N50" s="13">
        <f t="shared" si="157"/>
        <v>0</v>
      </c>
      <c r="O50" s="13">
        <f t="shared" si="157"/>
        <v>1046.5</v>
      </c>
      <c r="P50" s="13">
        <f t="shared" si="157"/>
        <v>-1046.5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>
        <f t="shared" ref="V50:AE50" si="159">SUM(V42+SUM(V44:V49))</f>
        <v>1780.4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-733.90000000000009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43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44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Financials'!J44</f>
        <v>1780.4</v>
      </c>
      <c r="L54" s="80"/>
      <c r="M54" s="80"/>
      <c r="N54" s="80"/>
      <c r="O54" s="80">
        <f>'Historical Financials'!N44</f>
        <v>1046.5</v>
      </c>
      <c r="P54" s="80"/>
      <c r="Q54" s="80"/>
      <c r="R54" s="80"/>
      <c r="S54" s="80" t="e">
        <f>'Historical Financials'!#REF!</f>
        <v>#REF!</v>
      </c>
      <c r="T54" s="80"/>
      <c r="V54" s="10">
        <f t="shared" ref="V54:AD56" si="160">K54</f>
        <v>1780.4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1046.5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110</v>
      </c>
      <c r="C55" s="80"/>
      <c r="D55" s="80"/>
      <c r="E55" s="80"/>
      <c r="F55" s="80"/>
      <c r="G55" s="30"/>
      <c r="H55" s="80"/>
      <c r="I55" s="80"/>
      <c r="J55" s="80"/>
      <c r="K55" s="80">
        <f>'Historical Financials'!J45</f>
        <v>1763.68</v>
      </c>
      <c r="L55" s="80"/>
      <c r="M55" s="80"/>
      <c r="N55" s="80"/>
      <c r="O55" s="80">
        <f>'Historical Financials'!N45</f>
        <v>2329.7449999999999</v>
      </c>
      <c r="P55" s="80"/>
      <c r="Q55" s="80"/>
      <c r="R55" s="80"/>
      <c r="S55" s="80" t="e">
        <f>'Historical Financials'!#REF!</f>
        <v>#REF!</v>
      </c>
      <c r="T55" s="80"/>
      <c r="V55" s="10">
        <f t="shared" si="160"/>
        <v>1763.68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>
        <f t="shared" si="160"/>
        <v>2329.7449999999999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110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45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>
        <f t="shared" si="163"/>
        <v>3544.08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>
        <f t="shared" si="163"/>
        <v>3376.2449999999999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>
        <f t="shared" ref="V57" si="165">SUM(V54:V56)</f>
        <v>3544.08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>
        <f t="shared" si="166"/>
        <v>3376.2449999999999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46</v>
      </c>
    </row>
    <row r="60" spans="1:31" ht="12.75" customHeight="1">
      <c r="B60" s="8" t="s">
        <v>110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110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110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110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110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110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110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101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102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103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110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110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110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110</v>
      </c>
      <c r="C75" s="75"/>
      <c r="D75" s="75"/>
      <c r="E75" s="75"/>
      <c r="F75" s="75"/>
      <c r="H75" s="75"/>
      <c r="I75" s="75"/>
      <c r="J75" s="75"/>
      <c r="K75" s="80" t="e">
        <f>'Historical Financials'!#REF!+'Historical Financials'!#REF!</f>
        <v>#REF!</v>
      </c>
      <c r="L75" s="75"/>
      <c r="M75" s="75"/>
      <c r="N75" s="75"/>
      <c r="O75" s="80" t="e">
        <f>'Historical Financials'!#REF!+'Historical Financials'!#REF!</f>
        <v>#REF!</v>
      </c>
      <c r="P75" s="75"/>
      <c r="Q75" s="75"/>
      <c r="R75" s="75"/>
      <c r="S75" s="80" t="e">
        <f>'Historical Financials'!#REF!+'Historical Financials'!#REF!</f>
        <v>#REF!</v>
      </c>
      <c r="T75" s="75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23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48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49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104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#REF!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#REF!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#REF!</v>
      </c>
      <c r="T83" s="134" t="e">
        <f t="shared" ref="T83" si="229">SUM(T76/SUM(Q34:T34))</f>
        <v>#DIV/0!</v>
      </c>
      <c r="U83" s="134"/>
      <c r="V83" s="134" t="e">
        <f t="shared" ref="V83:AE83" si="230">V76/V34</f>
        <v>#REF!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#REF!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#REF!</v>
      </c>
      <c r="AE83" s="134" t="e">
        <f t="shared" si="230"/>
        <v>#DIV/0!</v>
      </c>
    </row>
    <row r="84" spans="1:31" ht="12.75" customHeight="1">
      <c r="B84" s="29" t="s">
        <v>105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#REF!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#REF!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#REF!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#REF!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#REF!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#REF!</v>
      </c>
      <c r="AE84" s="134" t="e">
        <f t="shared" si="241"/>
        <v>#DIV/0!</v>
      </c>
    </row>
    <row r="85" spans="1:31" ht="12.75" customHeight="1">
      <c r="B85" s="29" t="s">
        <v>106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107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108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50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 t="e">
        <f t="shared" ref="K88:S88" si="244">K79/K76</f>
        <v>#REF!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 t="e">
        <f t="shared" si="244"/>
        <v>#REF!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 t="e">
        <f t="shared" si="244"/>
        <v>#REF!</v>
      </c>
      <c r="T88" s="134" t="e">
        <f t="shared" ref="T88" si="245">T79/T76</f>
        <v>#DIV/0!</v>
      </c>
      <c r="U88" s="134"/>
      <c r="V88" s="134" t="e">
        <f t="shared" ref="V88" si="246">V79/V76</f>
        <v>#REF!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 t="e">
        <f t="shared" si="247"/>
        <v>#REF!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 t="e">
        <f>AD79/AD76</f>
        <v>#REF!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2026-01-01T06:37:26Z</dcterms:modified>
</cp:coreProperties>
</file>