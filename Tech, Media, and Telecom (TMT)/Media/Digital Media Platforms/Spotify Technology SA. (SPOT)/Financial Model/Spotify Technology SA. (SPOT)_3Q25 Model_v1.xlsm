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07032E9D-15A4-4F80-AF65-7A453763C888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2" i="9" l="1"/>
  <c r="T62" i="9"/>
  <c r="S62" i="9"/>
  <c r="U61" i="9"/>
  <c r="T61" i="9"/>
  <c r="S61" i="9"/>
  <c r="U58" i="9"/>
  <c r="T58" i="9"/>
  <c r="S58" i="9"/>
  <c r="U57" i="9"/>
  <c r="T57" i="9"/>
  <c r="S57" i="9"/>
  <c r="U56" i="9"/>
  <c r="T56" i="9"/>
  <c r="S56" i="9"/>
  <c r="U55" i="9"/>
  <c r="T55" i="9"/>
  <c r="S55" i="9"/>
  <c r="U54" i="9"/>
  <c r="T54" i="9"/>
  <c r="S54" i="9"/>
  <c r="U53" i="9"/>
  <c r="T53" i="9"/>
  <c r="S53" i="9"/>
  <c r="U50" i="9"/>
  <c r="T50" i="9"/>
  <c r="S50" i="9"/>
  <c r="U49" i="9"/>
  <c r="T49" i="9"/>
  <c r="S49" i="9"/>
  <c r="U48" i="9"/>
  <c r="T48" i="9"/>
  <c r="S48" i="9"/>
  <c r="U47" i="9"/>
  <c r="T47" i="9"/>
  <c r="S47" i="9"/>
  <c r="U43" i="9"/>
  <c r="T43" i="9"/>
  <c r="S43" i="9"/>
  <c r="U8" i="9"/>
  <c r="U14" i="9" s="1"/>
  <c r="U20" i="9" s="1"/>
  <c r="U24" i="9" s="1"/>
  <c r="T8" i="9"/>
  <c r="S8" i="9"/>
  <c r="T14" i="9"/>
  <c r="T20" i="9" s="1"/>
  <c r="T24" i="9" s="1"/>
  <c r="S14" i="9"/>
  <c r="S20" i="9" s="1"/>
  <c r="S24" i="9" s="1"/>
  <c r="U42" i="9"/>
  <c r="T42" i="9"/>
  <c r="S42" i="9"/>
  <c r="U41" i="9"/>
  <c r="T41" i="9"/>
  <c r="S41" i="9"/>
  <c r="U40" i="9"/>
  <c r="T40" i="9"/>
  <c r="S40" i="9"/>
  <c r="U39" i="9"/>
  <c r="T39" i="9"/>
  <c r="S39" i="9"/>
  <c r="U38" i="9"/>
  <c r="T38" i="9"/>
  <c r="S38" i="9"/>
  <c r="U13" i="9"/>
  <c r="T13" i="9"/>
  <c r="S13" i="9"/>
  <c r="U12" i="9"/>
  <c r="T12" i="9"/>
  <c r="S12" i="9"/>
  <c r="U7" i="9"/>
  <c r="T7" i="9"/>
  <c r="S7" i="9"/>
  <c r="U6" i="9"/>
  <c r="T6" i="9"/>
  <c r="S6" i="9"/>
  <c r="Q67" i="9"/>
  <c r="P67" i="9"/>
  <c r="O67" i="9"/>
  <c r="N67" i="9"/>
  <c r="M67" i="9"/>
  <c r="L67" i="9"/>
  <c r="K67" i="9"/>
  <c r="J67" i="9"/>
  <c r="I67" i="9"/>
  <c r="H67" i="9"/>
  <c r="G67" i="9"/>
  <c r="E67" i="9"/>
  <c r="D67" i="9"/>
  <c r="C67" i="9"/>
  <c r="Q62" i="9"/>
  <c r="P62" i="9"/>
  <c r="O62" i="9"/>
  <c r="N62" i="9"/>
  <c r="M62" i="9"/>
  <c r="L62" i="9"/>
  <c r="K62" i="9"/>
  <c r="J62" i="9"/>
  <c r="I62" i="9"/>
  <c r="H62" i="9"/>
  <c r="Q61" i="9"/>
  <c r="P61" i="9"/>
  <c r="P64" i="9" s="1"/>
  <c r="P65" i="9" s="1"/>
  <c r="O61" i="9"/>
  <c r="O64" i="9" s="1"/>
  <c r="O65" i="9" s="1"/>
  <c r="N61" i="9"/>
  <c r="M61" i="9"/>
  <c r="M64" i="9" s="1"/>
  <c r="M65" i="9" s="1"/>
  <c r="L61" i="9"/>
  <c r="L64" i="9" s="1"/>
  <c r="L65" i="9" s="1"/>
  <c r="K61" i="9"/>
  <c r="K64" i="9" s="1"/>
  <c r="K65" i="9" s="1"/>
  <c r="J61" i="9"/>
  <c r="I61" i="9"/>
  <c r="I64" i="9" s="1"/>
  <c r="I65" i="9" s="1"/>
  <c r="H61" i="9"/>
  <c r="H64" i="9" s="1"/>
  <c r="H65" i="9" s="1"/>
  <c r="G62" i="9"/>
  <c r="G61" i="9"/>
  <c r="E62" i="9"/>
  <c r="D62" i="9"/>
  <c r="C62" i="9"/>
  <c r="E61" i="9"/>
  <c r="D61" i="9"/>
  <c r="C61" i="9"/>
  <c r="Q58" i="9"/>
  <c r="P58" i="9"/>
  <c r="O58" i="9"/>
  <c r="N58" i="9"/>
  <c r="M58" i="9"/>
  <c r="L58" i="9"/>
  <c r="K58" i="9"/>
  <c r="J58" i="9"/>
  <c r="I58" i="9"/>
  <c r="H58" i="9"/>
  <c r="Q57" i="9"/>
  <c r="P57" i="9"/>
  <c r="O57" i="9"/>
  <c r="N57" i="9"/>
  <c r="M57" i="9"/>
  <c r="L57" i="9"/>
  <c r="K57" i="9"/>
  <c r="J57" i="9"/>
  <c r="I57" i="9"/>
  <c r="H57" i="9"/>
  <c r="Q56" i="9"/>
  <c r="P56" i="9"/>
  <c r="O56" i="9"/>
  <c r="N56" i="9"/>
  <c r="M56" i="9"/>
  <c r="L56" i="9"/>
  <c r="K56" i="9"/>
  <c r="J56" i="9"/>
  <c r="I56" i="9"/>
  <c r="H56" i="9"/>
  <c r="Q55" i="9"/>
  <c r="P55" i="9"/>
  <c r="O55" i="9"/>
  <c r="N55" i="9"/>
  <c r="M55" i="9"/>
  <c r="L55" i="9"/>
  <c r="K55" i="9"/>
  <c r="J55" i="9"/>
  <c r="I55" i="9"/>
  <c r="H55" i="9"/>
  <c r="Q54" i="9"/>
  <c r="P54" i="9"/>
  <c r="O54" i="9"/>
  <c r="N54" i="9"/>
  <c r="M54" i="9"/>
  <c r="L54" i="9"/>
  <c r="K54" i="9"/>
  <c r="J54" i="9"/>
  <c r="I54" i="9"/>
  <c r="H54" i="9"/>
  <c r="Q53" i="9"/>
  <c r="P53" i="9"/>
  <c r="O53" i="9"/>
  <c r="N53" i="9"/>
  <c r="M53" i="9"/>
  <c r="L53" i="9"/>
  <c r="K53" i="9"/>
  <c r="J53" i="9"/>
  <c r="I53" i="9"/>
  <c r="H53" i="9"/>
  <c r="G58" i="9"/>
  <c r="G57" i="9"/>
  <c r="G56" i="9"/>
  <c r="G55" i="9"/>
  <c r="G54" i="9"/>
  <c r="G53" i="9"/>
  <c r="E58" i="9"/>
  <c r="D58" i="9"/>
  <c r="E57" i="9"/>
  <c r="D57" i="9"/>
  <c r="E56" i="9"/>
  <c r="D56" i="9"/>
  <c r="E55" i="9"/>
  <c r="D55" i="9"/>
  <c r="E54" i="9"/>
  <c r="D54" i="9"/>
  <c r="E53" i="9"/>
  <c r="D53" i="9"/>
  <c r="C58" i="9"/>
  <c r="C57" i="9"/>
  <c r="C56" i="9"/>
  <c r="C55" i="9"/>
  <c r="C54" i="9"/>
  <c r="C53" i="9"/>
  <c r="Q41" i="9"/>
  <c r="P41" i="9"/>
  <c r="O41" i="9"/>
  <c r="N41" i="9"/>
  <c r="M41" i="9"/>
  <c r="L41" i="9"/>
  <c r="K41" i="9"/>
  <c r="J41" i="9"/>
  <c r="I41" i="9"/>
  <c r="H41" i="9"/>
  <c r="Q40" i="9"/>
  <c r="P40" i="9"/>
  <c r="O40" i="9"/>
  <c r="N40" i="9"/>
  <c r="M40" i="9"/>
  <c r="L40" i="9"/>
  <c r="K40" i="9"/>
  <c r="J40" i="9"/>
  <c r="I40" i="9"/>
  <c r="H40" i="9"/>
  <c r="Q39" i="9"/>
  <c r="P39" i="9"/>
  <c r="O39" i="9"/>
  <c r="N39" i="9"/>
  <c r="M39" i="9"/>
  <c r="L39" i="9"/>
  <c r="K39" i="9"/>
  <c r="J39" i="9"/>
  <c r="I39" i="9"/>
  <c r="H39" i="9"/>
  <c r="Q38" i="9"/>
  <c r="P38" i="9"/>
  <c r="O38" i="9"/>
  <c r="N38" i="9"/>
  <c r="M38" i="9"/>
  <c r="L38" i="9"/>
  <c r="K38" i="9"/>
  <c r="J38" i="9"/>
  <c r="I38" i="9"/>
  <c r="H38" i="9"/>
  <c r="G41" i="9"/>
  <c r="G40" i="9"/>
  <c r="G39" i="9"/>
  <c r="G38" i="9"/>
  <c r="Q49" i="9"/>
  <c r="Z49" i="9" s="1"/>
  <c r="P49" i="9"/>
  <c r="Y49" i="9" s="1"/>
  <c r="O49" i="9"/>
  <c r="X49" i="9" s="1"/>
  <c r="N49" i="9"/>
  <c r="W49" i="9" s="1"/>
  <c r="M49" i="9"/>
  <c r="V49" i="9" s="1"/>
  <c r="L49" i="9"/>
  <c r="K49" i="9"/>
  <c r="J49" i="9"/>
  <c r="I49" i="9"/>
  <c r="H49" i="9"/>
  <c r="Q48" i="9"/>
  <c r="Z48" i="9" s="1"/>
  <c r="P48" i="9"/>
  <c r="Y48" i="9" s="1"/>
  <c r="O48" i="9"/>
  <c r="X48" i="9" s="1"/>
  <c r="N48" i="9"/>
  <c r="W48" i="9" s="1"/>
  <c r="M48" i="9"/>
  <c r="V48" i="9" s="1"/>
  <c r="L48" i="9"/>
  <c r="K48" i="9"/>
  <c r="J48" i="9"/>
  <c r="I48" i="9"/>
  <c r="H48" i="9"/>
  <c r="Q47" i="9"/>
  <c r="P47" i="9"/>
  <c r="O47" i="9"/>
  <c r="N47" i="9"/>
  <c r="M47" i="9"/>
  <c r="L47" i="9"/>
  <c r="K47" i="9"/>
  <c r="J47" i="9"/>
  <c r="I47" i="9"/>
  <c r="H47" i="9"/>
  <c r="G49" i="9"/>
  <c r="G48" i="9"/>
  <c r="G47" i="9"/>
  <c r="E48" i="9"/>
  <c r="D48" i="9"/>
  <c r="E49" i="9"/>
  <c r="D49" i="9"/>
  <c r="C49" i="9"/>
  <c r="C48" i="9"/>
  <c r="E47" i="9"/>
  <c r="D47" i="9"/>
  <c r="C47" i="9"/>
  <c r="E41" i="9"/>
  <c r="D41" i="9"/>
  <c r="C41" i="9"/>
  <c r="Q28" i="9"/>
  <c r="P28" i="9"/>
  <c r="O28" i="9"/>
  <c r="N28" i="9"/>
  <c r="M28" i="9"/>
  <c r="L28" i="9"/>
  <c r="K28" i="9"/>
  <c r="J28" i="9"/>
  <c r="I28" i="9"/>
  <c r="H28" i="9"/>
  <c r="G28" i="9"/>
  <c r="E28" i="9"/>
  <c r="D28" i="9"/>
  <c r="C28" i="9"/>
  <c r="E40" i="9"/>
  <c r="D40" i="9"/>
  <c r="C40" i="9"/>
  <c r="E39" i="9"/>
  <c r="D39" i="9"/>
  <c r="C39" i="9"/>
  <c r="E38" i="9"/>
  <c r="D38" i="9"/>
  <c r="C38" i="9"/>
  <c r="Q35" i="9"/>
  <c r="P35" i="9"/>
  <c r="O35" i="9"/>
  <c r="N35" i="9"/>
  <c r="M35" i="9"/>
  <c r="L35" i="9"/>
  <c r="K35" i="9"/>
  <c r="J35" i="9"/>
  <c r="I35" i="9"/>
  <c r="H35" i="9"/>
  <c r="Q34" i="9"/>
  <c r="P34" i="9"/>
  <c r="O34" i="9"/>
  <c r="N34" i="9"/>
  <c r="M34" i="9"/>
  <c r="L34" i="9"/>
  <c r="K34" i="9"/>
  <c r="J34" i="9"/>
  <c r="I34" i="9"/>
  <c r="H34" i="9"/>
  <c r="Q33" i="9"/>
  <c r="P33" i="9"/>
  <c r="O33" i="9"/>
  <c r="N33" i="9"/>
  <c r="M33" i="9"/>
  <c r="L33" i="9"/>
  <c r="K33" i="9"/>
  <c r="J33" i="9"/>
  <c r="I33" i="9"/>
  <c r="H33" i="9"/>
  <c r="Q32" i="9"/>
  <c r="P32" i="9"/>
  <c r="O32" i="9"/>
  <c r="N32" i="9"/>
  <c r="M32" i="9"/>
  <c r="L32" i="9"/>
  <c r="K32" i="9"/>
  <c r="J32" i="9"/>
  <c r="I32" i="9"/>
  <c r="H32" i="9"/>
  <c r="G35" i="9"/>
  <c r="G34" i="9"/>
  <c r="G33" i="9"/>
  <c r="G32" i="9"/>
  <c r="E35" i="9"/>
  <c r="D35" i="9"/>
  <c r="C35" i="9"/>
  <c r="E34" i="9"/>
  <c r="D34" i="9"/>
  <c r="C34" i="9"/>
  <c r="E33" i="9"/>
  <c r="D33" i="9"/>
  <c r="C33" i="9"/>
  <c r="E32" i="9"/>
  <c r="D32" i="9"/>
  <c r="C32" i="9"/>
  <c r="Z60" i="8"/>
  <c r="Y60" i="8"/>
  <c r="X60" i="8"/>
  <c r="W60" i="8"/>
  <c r="V60" i="8"/>
  <c r="U60" i="8"/>
  <c r="T60" i="8"/>
  <c r="S60" i="8"/>
  <c r="Q60" i="8"/>
  <c r="P60" i="8"/>
  <c r="O60" i="8"/>
  <c r="N60" i="8"/>
  <c r="M60" i="8"/>
  <c r="L60" i="8"/>
  <c r="K60" i="8"/>
  <c r="J60" i="8"/>
  <c r="I60" i="8"/>
  <c r="H60" i="8"/>
  <c r="G60" i="8"/>
  <c r="E60" i="8"/>
  <c r="D60" i="8"/>
  <c r="C60" i="8"/>
  <c r="Z54" i="8"/>
  <c r="AB54" i="8" s="1"/>
  <c r="Y54" i="8"/>
  <c r="X54" i="8"/>
  <c r="V54" i="8"/>
  <c r="U54" i="8"/>
  <c r="T54" i="8"/>
  <c r="N54" i="8"/>
  <c r="W54" i="8" s="1"/>
  <c r="J54" i="8"/>
  <c r="S54" i="8" s="1"/>
  <c r="Z53" i="8"/>
  <c r="Y53" i="8"/>
  <c r="X53" i="8"/>
  <c r="W53" i="8"/>
  <c r="V53" i="8"/>
  <c r="U53" i="8"/>
  <c r="T53" i="8"/>
  <c r="S53" i="8"/>
  <c r="N53" i="8"/>
  <c r="J53" i="8"/>
  <c r="Z52" i="8"/>
  <c r="Y52" i="8"/>
  <c r="X52" i="8"/>
  <c r="V52" i="8"/>
  <c r="U52" i="8"/>
  <c r="T52" i="8"/>
  <c r="N52" i="8"/>
  <c r="W52" i="8" s="1"/>
  <c r="J52" i="8"/>
  <c r="S52" i="8" s="1"/>
  <c r="Z45" i="8"/>
  <c r="Y45" i="8"/>
  <c r="X45" i="8"/>
  <c r="V45" i="8"/>
  <c r="U45" i="8"/>
  <c r="T45" i="8"/>
  <c r="N45" i="8"/>
  <c r="W45" i="8" s="1"/>
  <c r="J45" i="8"/>
  <c r="S45" i="8" s="1"/>
  <c r="Q127" i="8"/>
  <c r="P127" i="8"/>
  <c r="O127" i="8"/>
  <c r="M127" i="8"/>
  <c r="L127" i="8"/>
  <c r="K127" i="8"/>
  <c r="I127" i="8"/>
  <c r="H127" i="8"/>
  <c r="G127" i="8"/>
  <c r="E127" i="8"/>
  <c r="D127" i="8"/>
  <c r="C127" i="8"/>
  <c r="Q49" i="8"/>
  <c r="P49" i="8"/>
  <c r="O49" i="8"/>
  <c r="M49" i="8"/>
  <c r="L49" i="8"/>
  <c r="K49" i="8"/>
  <c r="I49" i="8"/>
  <c r="H49" i="8"/>
  <c r="G49" i="8"/>
  <c r="E49" i="8"/>
  <c r="D49" i="8"/>
  <c r="C49" i="8"/>
  <c r="N119" i="8"/>
  <c r="Z119" i="8" s="1"/>
  <c r="J119" i="8"/>
  <c r="V119" i="8" s="1"/>
  <c r="Q27" i="9"/>
  <c r="P27" i="9"/>
  <c r="O27" i="9"/>
  <c r="M27" i="9"/>
  <c r="L27" i="9"/>
  <c r="K27" i="9"/>
  <c r="I27" i="9"/>
  <c r="H27" i="9"/>
  <c r="G27" i="9"/>
  <c r="E27" i="9"/>
  <c r="D27" i="9"/>
  <c r="C27" i="9"/>
  <c r="Q23" i="9"/>
  <c r="P23" i="9"/>
  <c r="O23" i="9"/>
  <c r="M23" i="9"/>
  <c r="L23" i="9"/>
  <c r="K23" i="9"/>
  <c r="I23" i="9"/>
  <c r="H23" i="9"/>
  <c r="G23" i="9"/>
  <c r="E23" i="9"/>
  <c r="D23" i="9"/>
  <c r="C23" i="9"/>
  <c r="Q19" i="9"/>
  <c r="P19" i="9"/>
  <c r="O19" i="9"/>
  <c r="M19" i="9"/>
  <c r="L19" i="9"/>
  <c r="K19" i="9"/>
  <c r="I19" i="9"/>
  <c r="H19" i="9"/>
  <c r="Q18" i="9"/>
  <c r="P18" i="9"/>
  <c r="O18" i="9"/>
  <c r="M18" i="9"/>
  <c r="L18" i="9"/>
  <c r="K18" i="9"/>
  <c r="I18" i="9"/>
  <c r="H18" i="9"/>
  <c r="Q17" i="9"/>
  <c r="P17" i="9"/>
  <c r="O17" i="9"/>
  <c r="M17" i="9"/>
  <c r="L17" i="9"/>
  <c r="K17" i="9"/>
  <c r="I17" i="9"/>
  <c r="H17" i="9"/>
  <c r="G19" i="9"/>
  <c r="G18" i="9"/>
  <c r="G17" i="9"/>
  <c r="E19" i="9"/>
  <c r="D19" i="9"/>
  <c r="C19" i="9"/>
  <c r="E18" i="9"/>
  <c r="D18" i="9"/>
  <c r="C18" i="9"/>
  <c r="E17" i="9"/>
  <c r="D17" i="9"/>
  <c r="C17" i="9"/>
  <c r="Q13" i="9"/>
  <c r="P13" i="9"/>
  <c r="O13" i="9"/>
  <c r="M13" i="9"/>
  <c r="L13" i="9"/>
  <c r="K13" i="9"/>
  <c r="I13" i="9"/>
  <c r="H13" i="9"/>
  <c r="Q12" i="9"/>
  <c r="P12" i="9"/>
  <c r="O12" i="9"/>
  <c r="M12" i="9"/>
  <c r="L12" i="9"/>
  <c r="K12" i="9"/>
  <c r="I12" i="9"/>
  <c r="H12" i="9"/>
  <c r="G13" i="9"/>
  <c r="G12" i="9"/>
  <c r="E13" i="9"/>
  <c r="D13" i="9"/>
  <c r="C13" i="9"/>
  <c r="E12" i="9"/>
  <c r="D12" i="9"/>
  <c r="C12" i="9"/>
  <c r="Q7" i="9"/>
  <c r="P7" i="9"/>
  <c r="O7" i="9"/>
  <c r="N7" i="9"/>
  <c r="M7" i="9"/>
  <c r="L7" i="9"/>
  <c r="K7" i="9"/>
  <c r="J7" i="9"/>
  <c r="I7" i="9"/>
  <c r="H7" i="9"/>
  <c r="Q6" i="9"/>
  <c r="P6" i="9"/>
  <c r="O6" i="9"/>
  <c r="N6" i="9"/>
  <c r="M6" i="9"/>
  <c r="L6" i="9"/>
  <c r="K6" i="9"/>
  <c r="J6" i="9"/>
  <c r="I6" i="9"/>
  <c r="H6" i="9"/>
  <c r="G7" i="9"/>
  <c r="G6" i="9"/>
  <c r="E7" i="9"/>
  <c r="D7" i="9"/>
  <c r="C7" i="9"/>
  <c r="E6" i="9"/>
  <c r="D6" i="9"/>
  <c r="C6" i="9"/>
  <c r="Z139" i="8"/>
  <c r="Y139" i="8"/>
  <c r="X139" i="8"/>
  <c r="W139" i="8"/>
  <c r="V139" i="8"/>
  <c r="U139" i="8"/>
  <c r="T139" i="8"/>
  <c r="S139" i="8"/>
  <c r="Y36" i="8"/>
  <c r="X36" i="8"/>
  <c r="V36" i="8"/>
  <c r="U36" i="8"/>
  <c r="T36" i="8"/>
  <c r="Y33" i="8"/>
  <c r="X33" i="8"/>
  <c r="V33" i="8"/>
  <c r="U33" i="8"/>
  <c r="T33" i="8"/>
  <c r="Y84" i="8"/>
  <c r="X84" i="8"/>
  <c r="V84" i="8"/>
  <c r="U84" i="8"/>
  <c r="T84" i="8"/>
  <c r="Y83" i="8"/>
  <c r="X83" i="8"/>
  <c r="V83" i="8"/>
  <c r="U83" i="8"/>
  <c r="T83" i="8"/>
  <c r="Y82" i="8"/>
  <c r="V82" i="8"/>
  <c r="U82" i="8"/>
  <c r="T82" i="8"/>
  <c r="Y81" i="8"/>
  <c r="X81" i="8"/>
  <c r="V81" i="8"/>
  <c r="U81" i="8"/>
  <c r="T81" i="8"/>
  <c r="Y80" i="8"/>
  <c r="X80" i="8"/>
  <c r="V80" i="8"/>
  <c r="U80" i="8"/>
  <c r="T80" i="8"/>
  <c r="U77" i="8"/>
  <c r="T77" i="8"/>
  <c r="U76" i="8"/>
  <c r="T76" i="8"/>
  <c r="U75" i="8"/>
  <c r="T75" i="8"/>
  <c r="U74" i="8"/>
  <c r="T74" i="8"/>
  <c r="U73" i="8"/>
  <c r="T73" i="8"/>
  <c r="U69" i="8"/>
  <c r="T69" i="8"/>
  <c r="U68" i="8"/>
  <c r="T68" i="8"/>
  <c r="U67" i="8"/>
  <c r="T67" i="8"/>
  <c r="U66" i="8"/>
  <c r="T66" i="8"/>
  <c r="U65" i="8"/>
  <c r="T65" i="8"/>
  <c r="U64" i="8"/>
  <c r="T64" i="8"/>
  <c r="U63" i="8"/>
  <c r="T63" i="8"/>
  <c r="U59" i="8"/>
  <c r="T59" i="8"/>
  <c r="U58" i="8"/>
  <c r="T58" i="8"/>
  <c r="U57" i="8"/>
  <c r="T57" i="8"/>
  <c r="U56" i="8"/>
  <c r="T56" i="8"/>
  <c r="U55" i="8"/>
  <c r="T55" i="8"/>
  <c r="U48" i="8"/>
  <c r="T48" i="8"/>
  <c r="U44" i="8"/>
  <c r="T44" i="8"/>
  <c r="U47" i="8"/>
  <c r="T47" i="8"/>
  <c r="U46" i="8"/>
  <c r="T46" i="8"/>
  <c r="N109" i="8"/>
  <c r="Y109" i="8" s="1"/>
  <c r="N108" i="8"/>
  <c r="N150" i="8" s="1"/>
  <c r="N107" i="8"/>
  <c r="Y107" i="8" s="1"/>
  <c r="N106" i="8"/>
  <c r="Y106" i="8" s="1"/>
  <c r="N102" i="8"/>
  <c r="Y102" i="8" s="1"/>
  <c r="N101" i="8"/>
  <c r="Y101" i="8" s="1"/>
  <c r="N100" i="8"/>
  <c r="Y100" i="8" s="1"/>
  <c r="J108" i="8"/>
  <c r="J150" i="8" s="1"/>
  <c r="J107" i="8"/>
  <c r="V107" i="8" s="1"/>
  <c r="J106" i="8"/>
  <c r="V106" i="8" s="1"/>
  <c r="J102" i="8"/>
  <c r="U102" i="8" s="1"/>
  <c r="J101" i="8"/>
  <c r="T101" i="8" s="1"/>
  <c r="J100" i="8"/>
  <c r="S100" i="8" s="1"/>
  <c r="J99" i="8"/>
  <c r="V99" i="8" s="1"/>
  <c r="J142" i="8"/>
  <c r="V142" i="8" s="1"/>
  <c r="H109" i="8"/>
  <c r="N142" i="8"/>
  <c r="W142" i="8" s="1"/>
  <c r="O82" i="8"/>
  <c r="O85" i="8" s="1"/>
  <c r="J69" i="8"/>
  <c r="S69" i="8" s="1"/>
  <c r="Q150" i="8"/>
  <c r="P150" i="8"/>
  <c r="O150" i="8"/>
  <c r="M150" i="8"/>
  <c r="L150" i="8"/>
  <c r="K150" i="8"/>
  <c r="I150" i="8"/>
  <c r="H150" i="8"/>
  <c r="G150" i="8"/>
  <c r="E150" i="8"/>
  <c r="D150" i="8"/>
  <c r="C150" i="8"/>
  <c r="Q149" i="8"/>
  <c r="P149" i="8"/>
  <c r="O149" i="8"/>
  <c r="M149" i="8"/>
  <c r="L149" i="8"/>
  <c r="K149" i="8"/>
  <c r="I149" i="8"/>
  <c r="H149" i="8"/>
  <c r="G149" i="8"/>
  <c r="E149" i="8"/>
  <c r="D149" i="8"/>
  <c r="C149" i="8"/>
  <c r="N133" i="8"/>
  <c r="Y133" i="8" s="1"/>
  <c r="J133" i="8"/>
  <c r="T133" i="8" s="1"/>
  <c r="N125" i="8"/>
  <c r="Z125" i="8" s="1"/>
  <c r="J125" i="8"/>
  <c r="V125" i="8" s="1"/>
  <c r="J124" i="8"/>
  <c r="V124" i="8" s="1"/>
  <c r="J123" i="8"/>
  <c r="U123" i="8" s="1"/>
  <c r="J122" i="8"/>
  <c r="T122" i="8" s="1"/>
  <c r="J121" i="8"/>
  <c r="S121" i="8" s="1"/>
  <c r="D109" i="8"/>
  <c r="C109" i="8"/>
  <c r="J68" i="8"/>
  <c r="S68" i="8" s="1"/>
  <c r="J67" i="8"/>
  <c r="S67" i="8" s="1"/>
  <c r="J14" i="8"/>
  <c r="V14" i="8" s="1"/>
  <c r="N14" i="8"/>
  <c r="Z14" i="8" s="1"/>
  <c r="L105" i="8"/>
  <c r="K105" i="8"/>
  <c r="I105" i="8"/>
  <c r="H105" i="8"/>
  <c r="G105" i="8"/>
  <c r="L104" i="8"/>
  <c r="K104" i="8"/>
  <c r="I104" i="8"/>
  <c r="H104" i="8"/>
  <c r="G104" i="8"/>
  <c r="L103" i="8"/>
  <c r="K103" i="8"/>
  <c r="I103" i="8"/>
  <c r="H103" i="8"/>
  <c r="G103" i="8"/>
  <c r="N124" i="8"/>
  <c r="Z124" i="8" s="1"/>
  <c r="E104" i="8"/>
  <c r="D104" i="8"/>
  <c r="C104" i="8"/>
  <c r="E103" i="8"/>
  <c r="D103" i="8"/>
  <c r="C103" i="8"/>
  <c r="M104" i="8"/>
  <c r="M103" i="8"/>
  <c r="P104" i="8"/>
  <c r="O104" i="8"/>
  <c r="P103" i="8"/>
  <c r="O103" i="8"/>
  <c r="Q104" i="8"/>
  <c r="Q103" i="8"/>
  <c r="E105" i="8"/>
  <c r="D105" i="8"/>
  <c r="C105" i="8"/>
  <c r="M105" i="8"/>
  <c r="P105" i="8"/>
  <c r="O105" i="8"/>
  <c r="Q105" i="8"/>
  <c r="Z59" i="8"/>
  <c r="Y59" i="8"/>
  <c r="X59" i="8"/>
  <c r="V59" i="8"/>
  <c r="Z58" i="8"/>
  <c r="Y58" i="8"/>
  <c r="X58" i="8"/>
  <c r="V58" i="8"/>
  <c r="Z48" i="8"/>
  <c r="Y48" i="8"/>
  <c r="X48" i="8"/>
  <c r="V48" i="8"/>
  <c r="Z44" i="8"/>
  <c r="Y44" i="8"/>
  <c r="X44" i="8"/>
  <c r="V44" i="8"/>
  <c r="Z47" i="8"/>
  <c r="Y47" i="8"/>
  <c r="X47" i="8"/>
  <c r="V47" i="8"/>
  <c r="Z46" i="8"/>
  <c r="Y46" i="8"/>
  <c r="X46" i="8"/>
  <c r="V46" i="8"/>
  <c r="E70" i="8"/>
  <c r="Z69" i="8"/>
  <c r="Y69" i="8"/>
  <c r="X69" i="8"/>
  <c r="V69" i="8"/>
  <c r="Z68" i="8"/>
  <c r="Y68" i="8"/>
  <c r="X68" i="8"/>
  <c r="V68" i="8"/>
  <c r="Z67" i="8"/>
  <c r="Y67" i="8"/>
  <c r="X67" i="8"/>
  <c r="V67" i="8"/>
  <c r="Z66" i="8"/>
  <c r="Y66" i="8"/>
  <c r="X66" i="8"/>
  <c r="V66" i="8"/>
  <c r="Z65" i="8"/>
  <c r="Y65" i="8"/>
  <c r="X65" i="8"/>
  <c r="V65" i="8"/>
  <c r="Z64" i="8"/>
  <c r="Y64" i="8"/>
  <c r="X64" i="8"/>
  <c r="V64" i="8"/>
  <c r="N69" i="8"/>
  <c r="W69" i="8" s="1"/>
  <c r="N68" i="8"/>
  <c r="W68" i="8" s="1"/>
  <c r="N67" i="8"/>
  <c r="W67" i="8" s="1"/>
  <c r="N59" i="8"/>
  <c r="W59" i="8" s="1"/>
  <c r="N58" i="8"/>
  <c r="W58" i="8" s="1"/>
  <c r="N57" i="8"/>
  <c r="N56" i="8"/>
  <c r="J59" i="8"/>
  <c r="S59" i="8" s="1"/>
  <c r="J58" i="8"/>
  <c r="S58" i="8" s="1"/>
  <c r="J57" i="8"/>
  <c r="S57" i="8" s="1"/>
  <c r="J56" i="8"/>
  <c r="S56" i="8" s="1"/>
  <c r="N48" i="8"/>
  <c r="W48" i="8" s="1"/>
  <c r="N44" i="8"/>
  <c r="W44" i="8" s="1"/>
  <c r="N47" i="8"/>
  <c r="W47" i="8" s="1"/>
  <c r="N46" i="8"/>
  <c r="W46" i="8" s="1"/>
  <c r="J48" i="8"/>
  <c r="S48" i="8" s="1"/>
  <c r="J44" i="8"/>
  <c r="S44" i="8" s="1"/>
  <c r="J47" i="8"/>
  <c r="S47" i="8" s="1"/>
  <c r="J46" i="8"/>
  <c r="S46" i="8" s="1"/>
  <c r="Q85" i="8"/>
  <c r="P85" i="8"/>
  <c r="M85" i="8"/>
  <c r="L85" i="8"/>
  <c r="K85" i="8"/>
  <c r="I85" i="8"/>
  <c r="H85" i="8"/>
  <c r="G85" i="8"/>
  <c r="E85" i="8"/>
  <c r="D85" i="8"/>
  <c r="C85" i="8"/>
  <c r="N36" i="8"/>
  <c r="W36" i="8" s="1"/>
  <c r="J36" i="8"/>
  <c r="S36" i="8" s="1"/>
  <c r="G64" i="9" l="1"/>
  <c r="G65" i="9" s="1"/>
  <c r="C64" i="9"/>
  <c r="C65" i="9" s="1"/>
  <c r="D64" i="9"/>
  <c r="D65" i="9" s="1"/>
  <c r="Q64" i="9"/>
  <c r="Q65" i="9" s="1"/>
  <c r="E64" i="9"/>
  <c r="E65" i="9" s="1"/>
  <c r="J64" i="9"/>
  <c r="J65" i="9" s="1"/>
  <c r="N64" i="9"/>
  <c r="N65" i="9" s="1"/>
  <c r="W28" i="9"/>
  <c r="S28" i="9"/>
  <c r="V28" i="9"/>
  <c r="Z28" i="9"/>
  <c r="T28" i="9"/>
  <c r="U28" i="9"/>
  <c r="X28" i="9"/>
  <c r="Y28" i="9"/>
  <c r="AB53" i="8"/>
  <c r="AB52" i="8"/>
  <c r="T49" i="8"/>
  <c r="U49" i="8"/>
  <c r="AB45" i="8"/>
  <c r="Y49" i="8"/>
  <c r="V49" i="8"/>
  <c r="X49" i="8"/>
  <c r="Z49" i="8"/>
  <c r="AB64" i="8"/>
  <c r="AB66" i="8"/>
  <c r="Y142" i="8"/>
  <c r="N13" i="9"/>
  <c r="AB47" i="8"/>
  <c r="AB44" i="8"/>
  <c r="AB58" i="8"/>
  <c r="S119" i="8"/>
  <c r="U85" i="8"/>
  <c r="T119" i="8"/>
  <c r="V85" i="8"/>
  <c r="S142" i="8"/>
  <c r="U119" i="8"/>
  <c r="AB68" i="8"/>
  <c r="X142" i="8"/>
  <c r="W119" i="8"/>
  <c r="AB119" i="8"/>
  <c r="X119" i="8"/>
  <c r="Y119" i="8"/>
  <c r="Z142" i="8"/>
  <c r="J27" i="9"/>
  <c r="Y85" i="8"/>
  <c r="AB65" i="8"/>
  <c r="T142" i="8"/>
  <c r="J13" i="9"/>
  <c r="J23" i="9"/>
  <c r="U142" i="8"/>
  <c r="N104" i="8"/>
  <c r="W104" i="8" s="1"/>
  <c r="N27" i="9"/>
  <c r="T85" i="8"/>
  <c r="X82" i="8"/>
  <c r="X85" i="8" s="1"/>
  <c r="S99" i="8"/>
  <c r="T100" i="8"/>
  <c r="U101" i="8"/>
  <c r="V102" i="8"/>
  <c r="S107" i="8"/>
  <c r="T108" i="8"/>
  <c r="T121" i="8"/>
  <c r="U122" i="8"/>
  <c r="V123" i="8"/>
  <c r="W124" i="8"/>
  <c r="X125" i="8"/>
  <c r="U133" i="8"/>
  <c r="AB67" i="8"/>
  <c r="AB69" i="8"/>
  <c r="S14" i="8"/>
  <c r="T99" i="8"/>
  <c r="U100" i="8"/>
  <c r="V101" i="8"/>
  <c r="W102" i="8"/>
  <c r="S106" i="8"/>
  <c r="T107" i="8"/>
  <c r="U108" i="8"/>
  <c r="U121" i="8"/>
  <c r="V122" i="8"/>
  <c r="X124" i="8"/>
  <c r="Y125" i="8"/>
  <c r="V133" i="8"/>
  <c r="T14" i="8"/>
  <c r="U99" i="8"/>
  <c r="V100" i="8"/>
  <c r="W101" i="8"/>
  <c r="X102" i="8"/>
  <c r="T106" i="8"/>
  <c r="U107" i="8"/>
  <c r="V108" i="8"/>
  <c r="W109" i="8"/>
  <c r="V121" i="8"/>
  <c r="Y124" i="8"/>
  <c r="W133" i="8"/>
  <c r="U14" i="8"/>
  <c r="W100" i="8"/>
  <c r="X101" i="8"/>
  <c r="U106" i="8"/>
  <c r="W108" i="8"/>
  <c r="X109" i="8"/>
  <c r="S125" i="8"/>
  <c r="X133" i="8"/>
  <c r="X100" i="8"/>
  <c r="W107" i="8"/>
  <c r="X108" i="8"/>
  <c r="S124" i="8"/>
  <c r="T125" i="8"/>
  <c r="W14" i="8"/>
  <c r="S102" i="8"/>
  <c r="W106" i="8"/>
  <c r="X107" i="8"/>
  <c r="Y108" i="8"/>
  <c r="S123" i="8"/>
  <c r="T124" i="8"/>
  <c r="U125" i="8"/>
  <c r="AB46" i="8"/>
  <c r="AB48" i="8"/>
  <c r="AB59" i="8"/>
  <c r="X14" i="8"/>
  <c r="S101" i="8"/>
  <c r="T102" i="8"/>
  <c r="X106" i="8"/>
  <c r="S122" i="8"/>
  <c r="T123" i="8"/>
  <c r="U124" i="8"/>
  <c r="S133" i="8"/>
  <c r="J103" i="8"/>
  <c r="V103" i="8" s="1"/>
  <c r="Y14" i="8"/>
  <c r="S108" i="8"/>
  <c r="W125" i="8"/>
  <c r="AB124" i="8"/>
  <c r="AB125" i="8"/>
  <c r="Z133" i="8"/>
  <c r="J104" i="8"/>
  <c r="V104" i="8" s="1"/>
  <c r="J109" i="8"/>
  <c r="T109" i="8" s="1"/>
  <c r="J105" i="8"/>
  <c r="V105" i="8" s="1"/>
  <c r="N105" i="8"/>
  <c r="Y105" i="8" s="1"/>
  <c r="N103" i="8"/>
  <c r="X103" i="8" s="1"/>
  <c r="Z108" i="8"/>
  <c r="Y104" i="8" l="1"/>
  <c r="S103" i="8"/>
  <c r="S109" i="8"/>
  <c r="U105" i="8"/>
  <c r="S104" i="8"/>
  <c r="W103" i="8"/>
  <c r="AB108" i="8"/>
  <c r="S105" i="8"/>
  <c r="X104" i="8"/>
  <c r="U103" i="8"/>
  <c r="U104" i="8"/>
  <c r="W105" i="8"/>
  <c r="Y103" i="8"/>
  <c r="X105" i="8"/>
  <c r="AB133" i="8"/>
  <c r="T103" i="8"/>
  <c r="T104" i="8"/>
  <c r="V109" i="8"/>
  <c r="U109" i="8"/>
  <c r="T105" i="8"/>
  <c r="B2" i="10" l="1"/>
  <c r="N115" i="8" l="1"/>
  <c r="N114" i="8"/>
  <c r="N113" i="8"/>
  <c r="J115" i="8"/>
  <c r="J114" i="8"/>
  <c r="J113" i="8"/>
  <c r="C135" i="8"/>
  <c r="C140" i="8"/>
  <c r="N123" i="8"/>
  <c r="Z73" i="8"/>
  <c r="Y73" i="8"/>
  <c r="X73" i="8"/>
  <c r="V73" i="8"/>
  <c r="Z84" i="8"/>
  <c r="AB84" i="8" s="1"/>
  <c r="Z83" i="8"/>
  <c r="Z82" i="8"/>
  <c r="Z81" i="8"/>
  <c r="AB81" i="8" s="1"/>
  <c r="N84" i="8"/>
  <c r="W84" i="8" s="1"/>
  <c r="J84" i="8"/>
  <c r="S84" i="8" s="1"/>
  <c r="N83" i="8"/>
  <c r="W83" i="8" s="1"/>
  <c r="J83" i="8"/>
  <c r="S83" i="8" s="1"/>
  <c r="N82" i="8"/>
  <c r="W82" i="8" s="1"/>
  <c r="J82" i="8"/>
  <c r="S82" i="8" s="1"/>
  <c r="N81" i="8"/>
  <c r="W81" i="8" s="1"/>
  <c r="J81" i="8"/>
  <c r="S81" i="8" s="1"/>
  <c r="N73" i="8"/>
  <c r="W73" i="8" s="1"/>
  <c r="J73" i="8"/>
  <c r="S73" i="8" s="1"/>
  <c r="N64" i="8"/>
  <c r="W64" i="8" s="1"/>
  <c r="J64" i="8"/>
  <c r="S64" i="8" s="1"/>
  <c r="E78" i="8"/>
  <c r="E86" i="8" s="1"/>
  <c r="J77" i="8"/>
  <c r="S77" i="8" s="1"/>
  <c r="J76" i="8"/>
  <c r="S76" i="8" s="1"/>
  <c r="J75" i="8"/>
  <c r="S75" i="8" s="1"/>
  <c r="N77" i="8"/>
  <c r="W77" i="8" s="1"/>
  <c r="N76" i="8"/>
  <c r="W76" i="8" s="1"/>
  <c r="N75" i="8"/>
  <c r="W75" i="8" s="1"/>
  <c r="Z77" i="8"/>
  <c r="Y77" i="8"/>
  <c r="X77" i="8"/>
  <c r="V77" i="8"/>
  <c r="Z76" i="8"/>
  <c r="Y76" i="8"/>
  <c r="X76" i="8"/>
  <c r="V76" i="8"/>
  <c r="Z75" i="8"/>
  <c r="Y75" i="8"/>
  <c r="X75" i="8"/>
  <c r="V75" i="8"/>
  <c r="Z57" i="8"/>
  <c r="Y57" i="8"/>
  <c r="X57" i="8"/>
  <c r="V57" i="8"/>
  <c r="Z56" i="8"/>
  <c r="Y56" i="8"/>
  <c r="X56" i="8"/>
  <c r="V56" i="8"/>
  <c r="W57" i="8"/>
  <c r="W56" i="8"/>
  <c r="J55" i="8"/>
  <c r="S55" i="8" s="1"/>
  <c r="N33" i="8"/>
  <c r="W33" i="8" s="1"/>
  <c r="J33" i="8"/>
  <c r="S33" i="8" s="1"/>
  <c r="N29" i="8"/>
  <c r="J29" i="8"/>
  <c r="N25" i="8"/>
  <c r="J25" i="8"/>
  <c r="N24" i="8"/>
  <c r="J24" i="8"/>
  <c r="N20" i="8"/>
  <c r="N19" i="9" s="1"/>
  <c r="J20" i="8"/>
  <c r="N19" i="8"/>
  <c r="N18" i="9" s="1"/>
  <c r="J19" i="8"/>
  <c r="N18" i="8"/>
  <c r="N17" i="9" s="1"/>
  <c r="J18" i="8"/>
  <c r="N13" i="8"/>
  <c r="N12" i="9" s="1"/>
  <c r="J13" i="8"/>
  <c r="J12" i="9" s="1"/>
  <c r="N55" i="8"/>
  <c r="N66" i="8"/>
  <c r="W66" i="8" s="1"/>
  <c r="J66" i="8"/>
  <c r="S66" i="8" s="1"/>
  <c r="N65" i="8"/>
  <c r="W65" i="8" s="1"/>
  <c r="J65" i="8"/>
  <c r="S65" i="8" s="1"/>
  <c r="N63" i="8"/>
  <c r="J63" i="8"/>
  <c r="S63" i="8" s="1"/>
  <c r="N74" i="8"/>
  <c r="J74" i="8"/>
  <c r="S74" i="8" s="1"/>
  <c r="J8" i="8"/>
  <c r="J41" i="8" s="1"/>
  <c r="J10" i="8"/>
  <c r="S10" i="8" s="1"/>
  <c r="S11" i="8" s="1"/>
  <c r="G11" i="8"/>
  <c r="G15" i="8" s="1"/>
  <c r="H11" i="8"/>
  <c r="H15" i="8" s="1"/>
  <c r="I11" i="8"/>
  <c r="I15" i="8" s="1"/>
  <c r="G40" i="8"/>
  <c r="H40" i="8"/>
  <c r="I40" i="8"/>
  <c r="J40" i="8"/>
  <c r="G41" i="8"/>
  <c r="H41" i="8"/>
  <c r="I41" i="8"/>
  <c r="G70" i="8"/>
  <c r="G78" i="8" s="1"/>
  <c r="H70" i="8"/>
  <c r="H78" i="8" s="1"/>
  <c r="I70" i="8"/>
  <c r="I78" i="8" s="1"/>
  <c r="J80" i="8"/>
  <c r="S80" i="8" s="1"/>
  <c r="G92" i="8"/>
  <c r="H92" i="8"/>
  <c r="I92" i="8"/>
  <c r="J92" i="8"/>
  <c r="G93" i="8"/>
  <c r="H93" i="8"/>
  <c r="I93" i="8"/>
  <c r="J112" i="8"/>
  <c r="J120" i="8"/>
  <c r="J126" i="8"/>
  <c r="J130" i="8"/>
  <c r="J131" i="8"/>
  <c r="J132" i="8"/>
  <c r="J134" i="8"/>
  <c r="G135" i="8"/>
  <c r="H135" i="8"/>
  <c r="I135" i="8"/>
  <c r="S7" i="8"/>
  <c r="S40" i="8" s="1"/>
  <c r="T7" i="8"/>
  <c r="T92" i="8" s="1"/>
  <c r="U7" i="8"/>
  <c r="U40" i="8" s="1"/>
  <c r="V7" i="8"/>
  <c r="V40" i="8" s="1"/>
  <c r="T8" i="8"/>
  <c r="T41" i="8" s="1"/>
  <c r="U8" i="8"/>
  <c r="U41" i="8" s="1"/>
  <c r="V8" i="8"/>
  <c r="V93" i="8" s="1"/>
  <c r="V55" i="8"/>
  <c r="V63" i="8"/>
  <c r="V74" i="8"/>
  <c r="Z33" i="8"/>
  <c r="Z36" i="8"/>
  <c r="Z64" i="9"/>
  <c r="Z65" i="9" s="1"/>
  <c r="Y64" i="9"/>
  <c r="Y65" i="9" s="1"/>
  <c r="X64" i="9"/>
  <c r="X65" i="9" s="1"/>
  <c r="V64" i="9"/>
  <c r="V65" i="9" s="1"/>
  <c r="U64" i="9"/>
  <c r="U65" i="9" s="1"/>
  <c r="T64" i="9"/>
  <c r="T65" i="9" s="1"/>
  <c r="W64" i="9"/>
  <c r="W65" i="9" s="1"/>
  <c r="S64" i="9"/>
  <c r="S65" i="9" s="1"/>
  <c r="J127" i="8" l="1"/>
  <c r="AB56" i="8"/>
  <c r="AB75" i="8"/>
  <c r="AB77" i="8"/>
  <c r="AB57" i="8"/>
  <c r="S49" i="8"/>
  <c r="J49" i="8"/>
  <c r="W49" i="8"/>
  <c r="N49" i="8"/>
  <c r="AB73" i="8"/>
  <c r="T18" i="8"/>
  <c r="J17" i="9"/>
  <c r="S19" i="8"/>
  <c r="J18" i="9"/>
  <c r="T20" i="8"/>
  <c r="J19" i="9"/>
  <c r="T25" i="8"/>
  <c r="S25" i="8"/>
  <c r="V25" i="8"/>
  <c r="U25" i="8"/>
  <c r="V120" i="8"/>
  <c r="U120" i="8"/>
  <c r="T120" i="8"/>
  <c r="S120" i="8"/>
  <c r="Y25" i="8"/>
  <c r="X25" i="8"/>
  <c r="W25" i="8"/>
  <c r="U112" i="8"/>
  <c r="T112" i="8"/>
  <c r="S112" i="8"/>
  <c r="V112" i="8"/>
  <c r="S85" i="8"/>
  <c r="U29" i="8"/>
  <c r="T29" i="8"/>
  <c r="S29" i="8"/>
  <c r="V29" i="8"/>
  <c r="V113" i="8"/>
  <c r="U113" i="8"/>
  <c r="T113" i="8"/>
  <c r="S113" i="8"/>
  <c r="V114" i="8"/>
  <c r="U114" i="8"/>
  <c r="T114" i="8"/>
  <c r="S114" i="8"/>
  <c r="Y123" i="8"/>
  <c r="X123" i="8"/>
  <c r="W123" i="8"/>
  <c r="S132" i="8"/>
  <c r="V132" i="8"/>
  <c r="U132" i="8"/>
  <c r="T132" i="8"/>
  <c r="V115" i="8"/>
  <c r="U115" i="8"/>
  <c r="T115" i="8"/>
  <c r="S115" i="8"/>
  <c r="U134" i="8"/>
  <c r="T134" i="8"/>
  <c r="S134" i="8"/>
  <c r="V134" i="8"/>
  <c r="Y29" i="8"/>
  <c r="X29" i="8"/>
  <c r="W29" i="8"/>
  <c r="V131" i="8"/>
  <c r="U131" i="8"/>
  <c r="T131" i="8"/>
  <c r="S131" i="8"/>
  <c r="Y113" i="8"/>
  <c r="X113" i="8"/>
  <c r="W113" i="8"/>
  <c r="V130" i="8"/>
  <c r="U130" i="8"/>
  <c r="T130" i="8"/>
  <c r="S130" i="8"/>
  <c r="V13" i="8"/>
  <c r="U13" i="8"/>
  <c r="T13" i="8"/>
  <c r="S13" i="8"/>
  <c r="S15" i="8" s="1"/>
  <c r="S24" i="8"/>
  <c r="V24" i="8"/>
  <c r="U24" i="8"/>
  <c r="T24" i="8"/>
  <c r="Z114" i="8"/>
  <c r="W114" i="8"/>
  <c r="Y114" i="8"/>
  <c r="X114" i="8"/>
  <c r="V126" i="8"/>
  <c r="U126" i="8"/>
  <c r="T126" i="8"/>
  <c r="S126" i="8"/>
  <c r="X13" i="8"/>
  <c r="W13" i="8"/>
  <c r="Y13" i="8"/>
  <c r="Y24" i="8"/>
  <c r="X24" i="8"/>
  <c r="W24" i="8"/>
  <c r="Z115" i="8"/>
  <c r="X115" i="8"/>
  <c r="W115" i="8"/>
  <c r="Y115" i="8"/>
  <c r="AB76" i="8"/>
  <c r="Z109" i="8"/>
  <c r="AB109" i="8" s="1"/>
  <c r="Z29" i="8"/>
  <c r="J85" i="8"/>
  <c r="Z25" i="8"/>
  <c r="Z113" i="8"/>
  <c r="Z123" i="8"/>
  <c r="H86" i="8"/>
  <c r="H88" i="8" s="1"/>
  <c r="G86" i="8"/>
  <c r="G88" i="8" s="1"/>
  <c r="I86" i="8"/>
  <c r="I88" i="8" s="1"/>
  <c r="S20" i="8"/>
  <c r="V20" i="8"/>
  <c r="U20" i="8"/>
  <c r="T19" i="8"/>
  <c r="H21" i="8"/>
  <c r="H22" i="8" s="1"/>
  <c r="V92" i="8"/>
  <c r="S8" i="8"/>
  <c r="J93" i="8"/>
  <c r="S92" i="8"/>
  <c r="H16" i="8"/>
  <c r="V10" i="8"/>
  <c r="V11" i="8" s="1"/>
  <c r="U10" i="8"/>
  <c r="U11" i="8" s="1"/>
  <c r="T10" i="8"/>
  <c r="T11" i="8" s="1"/>
  <c r="J11" i="8"/>
  <c r="J15" i="8" s="1"/>
  <c r="V19" i="8"/>
  <c r="U19" i="8"/>
  <c r="J70" i="8"/>
  <c r="J78" i="8" s="1"/>
  <c r="V18" i="8"/>
  <c r="S18" i="8"/>
  <c r="U18" i="8"/>
  <c r="J135" i="8"/>
  <c r="U92" i="8"/>
  <c r="T70" i="8"/>
  <c r="T78" i="8" s="1"/>
  <c r="S150" i="8"/>
  <c r="S70" i="8"/>
  <c r="S78" i="8" s="1"/>
  <c r="T93" i="8"/>
  <c r="I16" i="8"/>
  <c r="I21" i="8"/>
  <c r="T40" i="8"/>
  <c r="V41" i="8"/>
  <c r="U70" i="8"/>
  <c r="U78" i="8" s="1"/>
  <c r="V70" i="8"/>
  <c r="V78" i="8" s="1"/>
  <c r="U93" i="8"/>
  <c r="AB36" i="8"/>
  <c r="S127" i="8" l="1"/>
  <c r="T127" i="8"/>
  <c r="U127" i="8"/>
  <c r="V127" i="8"/>
  <c r="S135" i="8"/>
  <c r="AB115" i="8"/>
  <c r="AB113" i="8"/>
  <c r="AB114" i="8"/>
  <c r="T135" i="8"/>
  <c r="U135" i="8"/>
  <c r="V135" i="8"/>
  <c r="V15" i="8"/>
  <c r="AB123" i="8"/>
  <c r="S86" i="8"/>
  <c r="S88" i="8" s="1"/>
  <c r="J86" i="8"/>
  <c r="J88" i="8" s="1"/>
  <c r="U86" i="8"/>
  <c r="U88" i="8" s="1"/>
  <c r="T86" i="8"/>
  <c r="T88" i="8" s="1"/>
  <c r="V86" i="8"/>
  <c r="V88" i="8" s="1"/>
  <c r="H26" i="8"/>
  <c r="H30" i="8" s="1"/>
  <c r="S41" i="8"/>
  <c r="S93" i="8"/>
  <c r="G21" i="8"/>
  <c r="G16" i="8"/>
  <c r="S16" i="8"/>
  <c r="S21" i="8"/>
  <c r="I22" i="8"/>
  <c r="I26" i="8"/>
  <c r="I30" i="8" s="1"/>
  <c r="J21" i="8"/>
  <c r="J16" i="8"/>
  <c r="Z56" i="9"/>
  <c r="Y56" i="9"/>
  <c r="X56" i="9"/>
  <c r="V56" i="9"/>
  <c r="Z62" i="9"/>
  <c r="Y62" i="9"/>
  <c r="X62" i="9"/>
  <c r="V62" i="9"/>
  <c r="Z61" i="9"/>
  <c r="Y61" i="9"/>
  <c r="X61" i="9"/>
  <c r="V61" i="9"/>
  <c r="Z55" i="9"/>
  <c r="Y55" i="9"/>
  <c r="X55" i="9"/>
  <c r="V55" i="9"/>
  <c r="B7" i="9"/>
  <c r="B6" i="9"/>
  <c r="N10" i="10"/>
  <c r="N9" i="10"/>
  <c r="J10" i="10"/>
  <c r="J9" i="10"/>
  <c r="N134" i="8"/>
  <c r="N132" i="8"/>
  <c r="N131" i="8"/>
  <c r="N130" i="8"/>
  <c r="Z105" i="8"/>
  <c r="Z104" i="8"/>
  <c r="W61" i="9"/>
  <c r="W56" i="9"/>
  <c r="W55" i="9"/>
  <c r="W62" i="9"/>
  <c r="N80" i="8"/>
  <c r="N99" i="8"/>
  <c r="N23" i="9" s="1"/>
  <c r="N112" i="8"/>
  <c r="N126" i="8"/>
  <c r="N122" i="8"/>
  <c r="N121" i="8"/>
  <c r="N120" i="8"/>
  <c r="N127" i="8" s="1"/>
  <c r="Y132" i="8" l="1"/>
  <c r="X132" i="8"/>
  <c r="W132" i="8"/>
  <c r="Y120" i="8"/>
  <c r="X120" i="8"/>
  <c r="W120" i="8"/>
  <c r="Z134" i="8"/>
  <c r="AB134" i="8" s="1"/>
  <c r="Y134" i="8"/>
  <c r="X134" i="8"/>
  <c r="W134" i="8"/>
  <c r="Z126" i="8"/>
  <c r="X126" i="8"/>
  <c r="W126" i="8"/>
  <c r="Y126" i="8"/>
  <c r="Z121" i="8"/>
  <c r="Y121" i="8"/>
  <c r="X121" i="8"/>
  <c r="W121" i="8"/>
  <c r="Z122" i="8"/>
  <c r="Y122" i="8"/>
  <c r="X122" i="8"/>
  <c r="W122" i="8"/>
  <c r="Y99" i="8"/>
  <c r="X99" i="8"/>
  <c r="W99" i="8"/>
  <c r="Y112" i="8"/>
  <c r="X112" i="8"/>
  <c r="W112" i="8"/>
  <c r="Z130" i="8"/>
  <c r="Y130" i="8"/>
  <c r="X130" i="8"/>
  <c r="W130" i="8"/>
  <c r="N85" i="8"/>
  <c r="W80" i="8"/>
  <c r="W85" i="8" s="1"/>
  <c r="Y131" i="8"/>
  <c r="X131" i="8"/>
  <c r="W131" i="8"/>
  <c r="H37" i="8"/>
  <c r="H34" i="8"/>
  <c r="I37" i="8"/>
  <c r="I34" i="8"/>
  <c r="I31" i="8"/>
  <c r="H31" i="8"/>
  <c r="H27" i="8"/>
  <c r="J8" i="9"/>
  <c r="G26" i="8"/>
  <c r="G30" i="8" s="1"/>
  <c r="G22" i="8"/>
  <c r="I27" i="8"/>
  <c r="H96" i="8"/>
  <c r="H116" i="8" s="1"/>
  <c r="J22" i="8"/>
  <c r="J26" i="8"/>
  <c r="J30" i="8" s="1"/>
  <c r="S22" i="8"/>
  <c r="S26" i="8"/>
  <c r="S30" i="8" s="1"/>
  <c r="U15" i="8"/>
  <c r="T15" i="8"/>
  <c r="U150" i="8"/>
  <c r="T150" i="8"/>
  <c r="V150" i="8"/>
  <c r="W41" i="9"/>
  <c r="V41" i="9"/>
  <c r="Z102" i="8"/>
  <c r="AB102" i="8" s="1"/>
  <c r="AB105" i="8"/>
  <c r="Z13" i="8"/>
  <c r="Z120" i="8"/>
  <c r="Z127" i="8" s="1"/>
  <c r="Z132" i="8"/>
  <c r="AB132" i="8" s="1"/>
  <c r="Z100" i="8"/>
  <c r="AB100" i="8" s="1"/>
  <c r="Z131" i="8"/>
  <c r="E8" i="9"/>
  <c r="C8" i="9"/>
  <c r="D8" i="9"/>
  <c r="H8" i="9"/>
  <c r="I8" i="9"/>
  <c r="G8" i="9"/>
  <c r="P8" i="9"/>
  <c r="O8" i="9"/>
  <c r="Q8" i="9"/>
  <c r="M8" i="9"/>
  <c r="L8" i="9"/>
  <c r="K8" i="9"/>
  <c r="Z101" i="8"/>
  <c r="AB101" i="8" s="1"/>
  <c r="Z103" i="8"/>
  <c r="Z13" i="9"/>
  <c r="AB104" i="8"/>
  <c r="W127" i="8" l="1"/>
  <c r="X127" i="8"/>
  <c r="Y127" i="8"/>
  <c r="W135" i="8"/>
  <c r="X135" i="8"/>
  <c r="Y135" i="8"/>
  <c r="Z135" i="8"/>
  <c r="S37" i="8"/>
  <c r="S34" i="8"/>
  <c r="J149" i="8"/>
  <c r="G37" i="8"/>
  <c r="G34" i="8"/>
  <c r="J37" i="8"/>
  <c r="J34" i="8"/>
  <c r="H143" i="8"/>
  <c r="G31" i="8"/>
  <c r="J31" i="8"/>
  <c r="N8" i="9"/>
  <c r="G27" i="8"/>
  <c r="J27" i="8"/>
  <c r="S27" i="8"/>
  <c r="I96" i="8"/>
  <c r="I116" i="8" s="1"/>
  <c r="X41" i="9"/>
  <c r="Z41" i="9"/>
  <c r="Y41" i="9"/>
  <c r="T16" i="8"/>
  <c r="T21" i="8"/>
  <c r="V16" i="8"/>
  <c r="V21" i="8"/>
  <c r="U16" i="8"/>
  <c r="U21" i="8"/>
  <c r="AB131" i="8"/>
  <c r="AB13" i="8"/>
  <c r="AB103" i="8"/>
  <c r="W13" i="9"/>
  <c r="Y13" i="9"/>
  <c r="V13" i="9"/>
  <c r="AB13" i="9" s="1"/>
  <c r="X13" i="9"/>
  <c r="S149" i="8" l="1"/>
  <c r="U149" i="8"/>
  <c r="T149" i="8"/>
  <c r="V149" i="8"/>
  <c r="I143" i="8"/>
  <c r="G96" i="8"/>
  <c r="G116" i="8" s="1"/>
  <c r="J96" i="8"/>
  <c r="U22" i="8"/>
  <c r="U26" i="8"/>
  <c r="U30" i="8" s="1"/>
  <c r="V22" i="8"/>
  <c r="V26" i="8"/>
  <c r="V30" i="8" s="1"/>
  <c r="T22" i="8"/>
  <c r="T26" i="8"/>
  <c r="T30" i="8" s="1"/>
  <c r="U34" i="8" l="1"/>
  <c r="U37" i="8"/>
  <c r="T37" i="8"/>
  <c r="T34" i="8"/>
  <c r="V34" i="8"/>
  <c r="V37" i="8"/>
  <c r="G143" i="8"/>
  <c r="V31" i="8"/>
  <c r="J116" i="8"/>
  <c r="S96" i="8"/>
  <c r="S116" i="8" s="1"/>
  <c r="S143" i="8" s="1"/>
  <c r="V27" i="8"/>
  <c r="T27" i="8"/>
  <c r="U27" i="8"/>
  <c r="Z24" i="8"/>
  <c r="J143" i="8" l="1"/>
  <c r="N8" i="8"/>
  <c r="D50" i="9" l="1"/>
  <c r="P50" i="9"/>
  <c r="C50" i="9"/>
  <c r="I50" i="9"/>
  <c r="E50" i="9"/>
  <c r="M50" i="9"/>
  <c r="H50" i="9"/>
  <c r="G50" i="9"/>
  <c r="K50" i="9"/>
  <c r="L50" i="9"/>
  <c r="O50" i="9"/>
  <c r="Q50" i="9"/>
  <c r="AB121" i="8" l="1"/>
  <c r="B2" i="9" l="1"/>
  <c r="V7" i="9"/>
  <c r="Q70" i="8"/>
  <c r="P70" i="8"/>
  <c r="O70" i="8"/>
  <c r="M70" i="8"/>
  <c r="L70" i="8"/>
  <c r="K70" i="8"/>
  <c r="D70" i="8"/>
  <c r="C70" i="8"/>
  <c r="Z10" i="10"/>
  <c r="Z54" i="9"/>
  <c r="Z53" i="9"/>
  <c r="Z47" i="9"/>
  <c r="Z50" i="9" s="1"/>
  <c r="Q4" i="9"/>
  <c r="Z4" i="9" s="1"/>
  <c r="Q3" i="9"/>
  <c r="Z3" i="9" s="1"/>
  <c r="Z74" i="8"/>
  <c r="AB74" i="8" s="1"/>
  <c r="X74" i="8"/>
  <c r="Y74" i="8"/>
  <c r="Z80" i="8"/>
  <c r="Z85" i="8" s="1"/>
  <c r="Z63" i="8"/>
  <c r="AB63" i="8" s="1"/>
  <c r="Z55" i="8"/>
  <c r="AB55" i="8" s="1"/>
  <c r="Z8" i="8"/>
  <c r="Z93" i="8" s="1"/>
  <c r="Z7" i="8"/>
  <c r="Z92" i="8" s="1"/>
  <c r="P4" i="10"/>
  <c r="AB4" i="10" s="1"/>
  <c r="O4" i="10"/>
  <c r="AA4" i="10" s="1"/>
  <c r="N4" i="10"/>
  <c r="Z4" i="10" s="1"/>
  <c r="M4" i="10"/>
  <c r="Y4" i="10" s="1"/>
  <c r="L4" i="10"/>
  <c r="X4" i="10" s="1"/>
  <c r="K4" i="10"/>
  <c r="W4" i="10" s="1"/>
  <c r="J4" i="10"/>
  <c r="V4" i="10" s="1"/>
  <c r="I4" i="10"/>
  <c r="U4" i="10" s="1"/>
  <c r="H4" i="10"/>
  <c r="T4" i="10" s="1"/>
  <c r="G4" i="10"/>
  <c r="S4" i="10" s="1"/>
  <c r="P3" i="10"/>
  <c r="AB3" i="10" s="1"/>
  <c r="O3" i="10"/>
  <c r="AA3" i="10" s="1"/>
  <c r="N3" i="10"/>
  <c r="Z3" i="10" s="1"/>
  <c r="M3" i="10"/>
  <c r="Y3" i="10" s="1"/>
  <c r="L3" i="10"/>
  <c r="X3" i="10" s="1"/>
  <c r="K3" i="10"/>
  <c r="W3" i="10" s="1"/>
  <c r="J3" i="10"/>
  <c r="V3" i="10" s="1"/>
  <c r="I3" i="10"/>
  <c r="U3" i="10" s="1"/>
  <c r="H3" i="10"/>
  <c r="T3" i="10" s="1"/>
  <c r="G3" i="10"/>
  <c r="S3" i="10" s="1"/>
  <c r="Q4" i="10"/>
  <c r="AC4" i="10" s="1"/>
  <c r="Q3" i="10"/>
  <c r="AC3" i="10" s="1"/>
  <c r="Q93" i="8"/>
  <c r="Q92" i="8"/>
  <c r="Q41" i="8"/>
  <c r="Q40" i="8"/>
  <c r="Q11" i="8"/>
  <c r="Q15" i="8" s="1"/>
  <c r="O135" i="8"/>
  <c r="E135" i="8"/>
  <c r="D135" i="8"/>
  <c r="Y55" i="8"/>
  <c r="X55" i="8"/>
  <c r="W55" i="8"/>
  <c r="Y54" i="9"/>
  <c r="X54" i="9"/>
  <c r="V54" i="9"/>
  <c r="Y53" i="9"/>
  <c r="X53" i="9"/>
  <c r="V53" i="9"/>
  <c r="Y47" i="9"/>
  <c r="Y50" i="9" s="1"/>
  <c r="X47" i="9"/>
  <c r="X50" i="9" s="1"/>
  <c r="V47" i="9"/>
  <c r="V50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S4" i="9" s="1"/>
  <c r="I4" i="9"/>
  <c r="H4" i="9"/>
  <c r="G4" i="9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S3" i="9" s="1"/>
  <c r="I3" i="9"/>
  <c r="H3" i="9"/>
  <c r="G3" i="9"/>
  <c r="E4" i="9"/>
  <c r="D4" i="9"/>
  <c r="C4" i="9"/>
  <c r="E3" i="9"/>
  <c r="D3" i="9"/>
  <c r="C3" i="9"/>
  <c r="N10" i="8"/>
  <c r="Y63" i="8"/>
  <c r="X63" i="8"/>
  <c r="P93" i="8"/>
  <c r="O93" i="8"/>
  <c r="N93" i="8"/>
  <c r="M93" i="8"/>
  <c r="L93" i="8"/>
  <c r="K93" i="8"/>
  <c r="P92" i="8"/>
  <c r="O92" i="8"/>
  <c r="N92" i="8"/>
  <c r="M92" i="8"/>
  <c r="L92" i="8"/>
  <c r="K92" i="8"/>
  <c r="P41" i="8"/>
  <c r="O41" i="8"/>
  <c r="N41" i="8"/>
  <c r="M41" i="8"/>
  <c r="L41" i="8"/>
  <c r="K41" i="8"/>
  <c r="P40" i="8"/>
  <c r="O40" i="8"/>
  <c r="N40" i="8"/>
  <c r="M40" i="8"/>
  <c r="L40" i="8"/>
  <c r="K40" i="8"/>
  <c r="E41" i="8"/>
  <c r="D41" i="8"/>
  <c r="C41" i="8"/>
  <c r="E40" i="8"/>
  <c r="D40" i="8"/>
  <c r="C40" i="8"/>
  <c r="L11" i="8"/>
  <c r="L15" i="8" s="1"/>
  <c r="K11" i="8"/>
  <c r="K15" i="8" s="1"/>
  <c r="P11" i="8"/>
  <c r="P15" i="8" s="1"/>
  <c r="X8" i="8"/>
  <c r="W8" i="8"/>
  <c r="X7" i="8"/>
  <c r="W7" i="8"/>
  <c r="Y8" i="8"/>
  <c r="Y7" i="8"/>
  <c r="D4" i="10"/>
  <c r="C4" i="10"/>
  <c r="D3" i="10"/>
  <c r="C3" i="10"/>
  <c r="E4" i="10"/>
  <c r="E3" i="10"/>
  <c r="P78" i="8" l="1"/>
  <c r="Q78" i="8"/>
  <c r="Q86" i="8" s="1"/>
  <c r="K78" i="8"/>
  <c r="L78" i="8"/>
  <c r="M78" i="8"/>
  <c r="O78" i="8"/>
  <c r="D78" i="8"/>
  <c r="C78" i="8"/>
  <c r="Z67" i="9"/>
  <c r="T67" i="9"/>
  <c r="U67" i="9"/>
  <c r="V67" i="9"/>
  <c r="Y10" i="10"/>
  <c r="AA10" i="10"/>
  <c r="Y10" i="8"/>
  <c r="X10" i="8"/>
  <c r="W10" i="8"/>
  <c r="K21" i="8"/>
  <c r="K26" i="8" s="1"/>
  <c r="K30" i="8" s="1"/>
  <c r="L21" i="8"/>
  <c r="Q21" i="8"/>
  <c r="AB80" i="8"/>
  <c r="AB82" i="8"/>
  <c r="AB83" i="8"/>
  <c r="V40" i="9"/>
  <c r="W74" i="8"/>
  <c r="W53" i="9"/>
  <c r="Y18" i="8"/>
  <c r="U17" i="9"/>
  <c r="Y20" i="8"/>
  <c r="W19" i="9"/>
  <c r="V18" i="9"/>
  <c r="X150" i="8"/>
  <c r="W63" i="8"/>
  <c r="W54" i="9"/>
  <c r="V12" i="9"/>
  <c r="Y19" i="8"/>
  <c r="Z18" i="9"/>
  <c r="J50" i="9"/>
  <c r="X70" i="8"/>
  <c r="X78" i="8" s="1"/>
  <c r="AB10" i="10"/>
  <c r="AC10" i="10"/>
  <c r="Y70" i="8"/>
  <c r="Y78" i="8" s="1"/>
  <c r="Z70" i="8"/>
  <c r="Z78" i="8" s="1"/>
  <c r="N70" i="8"/>
  <c r="Z112" i="8"/>
  <c r="Z20" i="8"/>
  <c r="X20" i="8"/>
  <c r="W20" i="8"/>
  <c r="Z10" i="8"/>
  <c r="Z18" i="8"/>
  <c r="Z19" i="8"/>
  <c r="Z40" i="8"/>
  <c r="Z41" i="8"/>
  <c r="P135" i="8"/>
  <c r="K135" i="8"/>
  <c r="L135" i="8"/>
  <c r="W150" i="8"/>
  <c r="W19" i="8"/>
  <c r="X19" i="8"/>
  <c r="W18" i="8"/>
  <c r="X18" i="8"/>
  <c r="K37" i="8" l="1"/>
  <c r="K34" i="8"/>
  <c r="K31" i="8"/>
  <c r="W57" i="9"/>
  <c r="N78" i="8"/>
  <c r="AB85" i="8"/>
  <c r="AE10" i="10"/>
  <c r="K96" i="8"/>
  <c r="Z58" i="9"/>
  <c r="W7" i="9"/>
  <c r="X7" i="9"/>
  <c r="Y7" i="9"/>
  <c r="Z7" i="9"/>
  <c r="AB7" i="9" s="1"/>
  <c r="Q11" i="10"/>
  <c r="Q12" i="10" s="1"/>
  <c r="Q16" i="8"/>
  <c r="L16" i="8"/>
  <c r="K16" i="8"/>
  <c r="Q22" i="8"/>
  <c r="Q26" i="8"/>
  <c r="Q30" i="8" s="1"/>
  <c r="Q34" i="8" s="1"/>
  <c r="W70" i="8"/>
  <c r="W78" i="8" s="1"/>
  <c r="AB120" i="8"/>
  <c r="AB126" i="8"/>
  <c r="AB18" i="8"/>
  <c r="AB130" i="8"/>
  <c r="W40" i="9"/>
  <c r="Y40" i="9"/>
  <c r="X40" i="9"/>
  <c r="Z40" i="9"/>
  <c r="Z86" i="8"/>
  <c r="AB70" i="8"/>
  <c r="AB122" i="8"/>
  <c r="AB112" i="8"/>
  <c r="AB24" i="8"/>
  <c r="AB20" i="8"/>
  <c r="AB19" i="8"/>
  <c r="Z11" i="8"/>
  <c r="Z15" i="8" s="1"/>
  <c r="AB10" i="8"/>
  <c r="N50" i="9"/>
  <c r="W47" i="9"/>
  <c r="W50" i="9" s="1"/>
  <c r="U68" i="9"/>
  <c r="U77" i="9" s="1"/>
  <c r="T68" i="9"/>
  <c r="T77" i="9" s="1"/>
  <c r="Q68" i="9"/>
  <c r="Q77" i="9" s="1"/>
  <c r="Z34" i="9"/>
  <c r="V34" i="9"/>
  <c r="V68" i="9"/>
  <c r="V77" i="9" s="1"/>
  <c r="Z68" i="9"/>
  <c r="Z77" i="9" s="1"/>
  <c r="S67" i="9"/>
  <c r="S68" i="9" s="1"/>
  <c r="S77" i="9" s="1"/>
  <c r="AB18" i="9"/>
  <c r="V19" i="9"/>
  <c r="T19" i="9"/>
  <c r="U19" i="9"/>
  <c r="S19" i="9"/>
  <c r="Y12" i="9"/>
  <c r="Z12" i="9"/>
  <c r="Y17" i="9"/>
  <c r="Z17" i="9"/>
  <c r="Z57" i="9"/>
  <c r="Z32" i="9"/>
  <c r="Z19" i="9"/>
  <c r="X19" i="9"/>
  <c r="Y19" i="9"/>
  <c r="Q135" i="8"/>
  <c r="U27" i="9"/>
  <c r="M135" i="8"/>
  <c r="Z38" i="9"/>
  <c r="Y57" i="9"/>
  <c r="V57" i="9"/>
  <c r="X17" i="9"/>
  <c r="S18" i="9"/>
  <c r="W17" i="9"/>
  <c r="T18" i="9"/>
  <c r="U18" i="9"/>
  <c r="T33" i="9"/>
  <c r="V17" i="9"/>
  <c r="W33" i="9"/>
  <c r="X32" i="9"/>
  <c r="Z35" i="9"/>
  <c r="X12" i="9"/>
  <c r="U33" i="9"/>
  <c r="X18" i="9"/>
  <c r="W18" i="9"/>
  <c r="Y18" i="9"/>
  <c r="Y32" i="9"/>
  <c r="W12" i="9"/>
  <c r="T17" i="9"/>
  <c r="S17" i="9"/>
  <c r="V33" i="9"/>
  <c r="W32" i="9"/>
  <c r="Z99" i="8"/>
  <c r="S33" i="9"/>
  <c r="L22" i="8"/>
  <c r="L26" i="8"/>
  <c r="L30" i="8" s="1"/>
  <c r="K22" i="8"/>
  <c r="L37" i="8" l="1"/>
  <c r="L34" i="8"/>
  <c r="Q37" i="8"/>
  <c r="Q31" i="8"/>
  <c r="L31" i="8"/>
  <c r="L86" i="8"/>
  <c r="L88" i="8" s="1"/>
  <c r="M86" i="8"/>
  <c r="M88" i="8" s="1"/>
  <c r="K86" i="8"/>
  <c r="K88" i="8" s="1"/>
  <c r="T96" i="8"/>
  <c r="T116" i="8" s="1"/>
  <c r="T143" i="8" s="1"/>
  <c r="Q88" i="8"/>
  <c r="Q96" i="8"/>
  <c r="Q116" i="8" s="1"/>
  <c r="Q143" i="8" s="1"/>
  <c r="Q14" i="9"/>
  <c r="Q20" i="9" s="1"/>
  <c r="Q24" i="9" s="1"/>
  <c r="Q29" i="9" s="1"/>
  <c r="Q27" i="8"/>
  <c r="Z88" i="8"/>
  <c r="Z21" i="8"/>
  <c r="Z22" i="8" s="1"/>
  <c r="X34" i="9"/>
  <c r="Y34" i="9"/>
  <c r="W34" i="9"/>
  <c r="AB34" i="9"/>
  <c r="T34" i="9"/>
  <c r="U34" i="9"/>
  <c r="S34" i="9"/>
  <c r="Y33" i="9"/>
  <c r="Y150" i="8"/>
  <c r="X33" i="9"/>
  <c r="V58" i="9"/>
  <c r="AB19" i="9"/>
  <c r="AB17" i="9"/>
  <c r="AB12" i="9"/>
  <c r="Y35" i="9"/>
  <c r="L27" i="8"/>
  <c r="Z16" i="8"/>
  <c r="S27" i="9"/>
  <c r="T27" i="9"/>
  <c r="V27" i="9"/>
  <c r="V39" i="9"/>
  <c r="X38" i="9"/>
  <c r="Y38" i="9"/>
  <c r="W38" i="9"/>
  <c r="N135" i="8"/>
  <c r="X35" i="9"/>
  <c r="AB99" i="8"/>
  <c r="W35" i="9"/>
  <c r="U32" i="9"/>
  <c r="T32" i="9"/>
  <c r="V32" i="9"/>
  <c r="AB32" i="9" s="1"/>
  <c r="S32" i="9"/>
  <c r="V35" i="9"/>
  <c r="AB35" i="9" s="1"/>
  <c r="S35" i="9"/>
  <c r="T35" i="9"/>
  <c r="U23" i="9"/>
  <c r="S23" i="9"/>
  <c r="T23" i="9"/>
  <c r="V23" i="9"/>
  <c r="U35" i="9"/>
  <c r="K116" i="8"/>
  <c r="K27" i="8"/>
  <c r="K143" i="8" l="1"/>
  <c r="L96" i="8"/>
  <c r="Q15" i="9"/>
  <c r="Q21" i="9"/>
  <c r="V6" i="9"/>
  <c r="AB9" i="10"/>
  <c r="Z26" i="8"/>
  <c r="Z30" i="8" s="1"/>
  <c r="AB33" i="8"/>
  <c r="AB127" i="8"/>
  <c r="Z33" i="9"/>
  <c r="AB33" i="9" s="1"/>
  <c r="Z150" i="8"/>
  <c r="AC9" i="10"/>
  <c r="Z9" i="10"/>
  <c r="AA9" i="10"/>
  <c r="Y9" i="10"/>
  <c r="X9" i="10"/>
  <c r="W9" i="10"/>
  <c r="V9" i="10"/>
  <c r="U9" i="10"/>
  <c r="T9" i="10"/>
  <c r="S9" i="10"/>
  <c r="Y27" i="9"/>
  <c r="Z27" i="9"/>
  <c r="AB27" i="9" s="1"/>
  <c r="Y23" i="9"/>
  <c r="Z23" i="9"/>
  <c r="Y39" i="9"/>
  <c r="Z39" i="9"/>
  <c r="Q25" i="9"/>
  <c r="X27" i="9"/>
  <c r="W27" i="9"/>
  <c r="W39" i="9"/>
  <c r="X39" i="9"/>
  <c r="AB135" i="8"/>
  <c r="V38" i="9"/>
  <c r="X23" i="9"/>
  <c r="W23" i="9"/>
  <c r="Z37" i="8" l="1"/>
  <c r="Z34" i="8"/>
  <c r="Z31" i="8"/>
  <c r="L116" i="8"/>
  <c r="U96" i="8"/>
  <c r="U116" i="8" s="1"/>
  <c r="U143" i="8" s="1"/>
  <c r="Z27" i="8"/>
  <c r="V8" i="9"/>
  <c r="V14" i="9" s="1"/>
  <c r="AB23" i="9"/>
  <c r="S29" i="9"/>
  <c r="S36" i="9" s="1"/>
  <c r="W6" i="9"/>
  <c r="Y6" i="9"/>
  <c r="Y8" i="9" s="1"/>
  <c r="Z6" i="9"/>
  <c r="Z8" i="9" s="1"/>
  <c r="X6" i="9"/>
  <c r="X8" i="9" s="1"/>
  <c r="U15" i="9"/>
  <c r="Q30" i="9"/>
  <c r="Q36" i="9"/>
  <c r="Q42" i="9" s="1"/>
  <c r="L143" i="8" l="1"/>
  <c r="T15" i="9"/>
  <c r="V20" i="9"/>
  <c r="V21" i="9" s="1"/>
  <c r="V15" i="9"/>
  <c r="W8" i="9"/>
  <c r="W14" i="9" s="1"/>
  <c r="S15" i="9"/>
  <c r="U21" i="9"/>
  <c r="S21" i="9"/>
  <c r="X9" i="9"/>
  <c r="X14" i="9"/>
  <c r="X20" i="9" s="1"/>
  <c r="X24" i="9" s="1"/>
  <c r="X29" i="9" s="1"/>
  <c r="AB6" i="9"/>
  <c r="Z14" i="9"/>
  <c r="Q43" i="9"/>
  <c r="S25" i="9"/>
  <c r="T29" i="9" l="1"/>
  <c r="U29" i="9"/>
  <c r="T21" i="9"/>
  <c r="V24" i="9"/>
  <c r="W9" i="9"/>
  <c r="X15" i="9"/>
  <c r="W20" i="9"/>
  <c r="W24" i="9" s="1"/>
  <c r="W29" i="9" s="1"/>
  <c r="W15" i="9"/>
  <c r="AB8" i="9"/>
  <c r="Z9" i="9"/>
  <c r="AB9" i="9" s="1"/>
  <c r="T25" i="9"/>
  <c r="T72" i="9"/>
  <c r="T76" i="9" a="1"/>
  <c r="T76" i="9" s="1"/>
  <c r="T73" i="9"/>
  <c r="T30" i="9"/>
  <c r="T74" i="9"/>
  <c r="U25" i="9"/>
  <c r="X21" i="9"/>
  <c r="S76" i="9" a="1"/>
  <c r="S76" i="9" s="1"/>
  <c r="S74" i="9"/>
  <c r="S75" i="9" a="1"/>
  <c r="S75" i="9" s="1"/>
  <c r="S73" i="9"/>
  <c r="U73" i="9"/>
  <c r="U72" i="9"/>
  <c r="U75" i="9" a="1"/>
  <c r="U75" i="9" s="1"/>
  <c r="S30" i="9"/>
  <c r="U30" i="9"/>
  <c r="S72" i="9"/>
  <c r="B93" i="8"/>
  <c r="B92" i="8"/>
  <c r="E93" i="8"/>
  <c r="D93" i="8"/>
  <c r="C93" i="8"/>
  <c r="E92" i="8"/>
  <c r="D92" i="8"/>
  <c r="C92" i="8"/>
  <c r="B41" i="8"/>
  <c r="B40" i="8"/>
  <c r="Y41" i="8"/>
  <c r="X41" i="8"/>
  <c r="W41" i="8"/>
  <c r="Y40" i="8"/>
  <c r="X40" i="8"/>
  <c r="W40" i="8"/>
  <c r="U74" i="9" l="1"/>
  <c r="U36" i="9"/>
  <c r="U76" i="9" a="1"/>
  <c r="U76" i="9" s="1"/>
  <c r="T75" i="9" a="1"/>
  <c r="T75" i="9" s="1"/>
  <c r="T36" i="9"/>
  <c r="V29" i="9"/>
  <c r="V74" i="9" s="1"/>
  <c r="V25" i="9"/>
  <c r="Z20" i="9"/>
  <c r="Z24" i="9" s="1"/>
  <c r="Z29" i="9" s="1"/>
  <c r="Z15" i="9"/>
  <c r="AB15" i="9" s="1"/>
  <c r="AB14" i="9"/>
  <c r="W21" i="9"/>
  <c r="X25" i="9"/>
  <c r="W92" i="8"/>
  <c r="W93" i="8"/>
  <c r="X93" i="8"/>
  <c r="X92" i="8"/>
  <c r="Y92" i="8"/>
  <c r="Y93" i="8"/>
  <c r="V30" i="9" l="1"/>
  <c r="V36" i="9"/>
  <c r="V73" i="9"/>
  <c r="V75" i="9" a="1"/>
  <c r="V75" i="9" s="1"/>
  <c r="V72" i="9"/>
  <c r="V76" i="9" a="1"/>
  <c r="V76" i="9" s="1"/>
  <c r="W25" i="9"/>
  <c r="Z21" i="9"/>
  <c r="AB21" i="9" s="1"/>
  <c r="AB20" i="9"/>
  <c r="X74" i="9"/>
  <c r="X30" i="9"/>
  <c r="X76" i="9" a="1"/>
  <c r="X76" i="9" s="1"/>
  <c r="X36" i="9"/>
  <c r="X75" i="9" a="1"/>
  <c r="X75" i="9" s="1"/>
  <c r="X72" i="9"/>
  <c r="X73" i="9"/>
  <c r="AB24" i="9" l="1"/>
  <c r="Z25" i="9"/>
  <c r="AB25" i="9" s="1"/>
  <c r="W74" i="9"/>
  <c r="W73" i="9"/>
  <c r="W36" i="9"/>
  <c r="W75" i="9" a="1"/>
  <c r="W75" i="9" s="1"/>
  <c r="W30" i="9"/>
  <c r="W76" i="9" a="1"/>
  <c r="W76" i="9" s="1"/>
  <c r="W72" i="9"/>
  <c r="Z74" i="9" l="1"/>
  <c r="AB29" i="9"/>
  <c r="Z75" i="9" a="1"/>
  <c r="Z75" i="9" s="1"/>
  <c r="Z30" i="9"/>
  <c r="AB30" i="9" s="1"/>
  <c r="Z73" i="9"/>
  <c r="Z72" i="9"/>
  <c r="Z76" i="9" a="1"/>
  <c r="Z76" i="9" s="1"/>
  <c r="Z36" i="9"/>
  <c r="AB36" i="9" s="1"/>
  <c r="D11" i="10" l="1"/>
  <c r="C11" i="10"/>
  <c r="P11" i="10"/>
  <c r="P12" i="10" s="1"/>
  <c r="O11" i="10"/>
  <c r="N11" i="10"/>
  <c r="M11" i="10"/>
  <c r="L11" i="10"/>
  <c r="L12" i="10" s="1"/>
  <c r="K11" i="10"/>
  <c r="K12" i="10" s="1"/>
  <c r="J11" i="10"/>
  <c r="J12" i="10" s="1"/>
  <c r="I11" i="10"/>
  <c r="I12" i="10" s="1"/>
  <c r="H11" i="10"/>
  <c r="H12" i="10" s="1"/>
  <c r="G11" i="10"/>
  <c r="G12" i="10" s="1"/>
  <c r="E11" i="10"/>
  <c r="Y67" i="9" l="1"/>
  <c r="W67" i="9"/>
  <c r="W68" i="9" s="1"/>
  <c r="W77" i="9" s="1"/>
  <c r="D14" i="9"/>
  <c r="K14" i="9"/>
  <c r="I14" i="9"/>
  <c r="L14" i="9"/>
  <c r="G14" i="9"/>
  <c r="O14" i="9"/>
  <c r="E14" i="9"/>
  <c r="C14" i="9"/>
  <c r="N14" i="9"/>
  <c r="J14" i="9"/>
  <c r="H14" i="9"/>
  <c r="X67" i="9" l="1"/>
  <c r="X68" i="9" s="1"/>
  <c r="X77" i="9" s="1"/>
  <c r="Q9" i="9"/>
  <c r="M14" i="9"/>
  <c r="Q10" i="9"/>
  <c r="P14" i="9"/>
  <c r="X57" i="9"/>
  <c r="Y68" i="9"/>
  <c r="Y77" i="9" s="1"/>
  <c r="Y14" i="9"/>
  <c r="W11" i="8" l="1"/>
  <c r="W15" i="8" s="1"/>
  <c r="X11" i="8"/>
  <c r="X15" i="8" s="1"/>
  <c r="X86" i="8" l="1"/>
  <c r="X88" i="8" s="1"/>
  <c r="W86" i="8"/>
  <c r="W88" i="8" s="1"/>
  <c r="AB11" i="8"/>
  <c r="Y20" i="9"/>
  <c r="Y24" i="9" s="1"/>
  <c r="Y29" i="9" s="1"/>
  <c r="Y11" i="10"/>
  <c r="Y12" i="10" s="1"/>
  <c r="Z11" i="10"/>
  <c r="Z12" i="10" s="1"/>
  <c r="AB15" i="8"/>
  <c r="W21" i="8" l="1"/>
  <c r="W26" i="8" s="1"/>
  <c r="W30" i="8" s="1"/>
  <c r="X21" i="8"/>
  <c r="X22" i="8" s="1"/>
  <c r="W16" i="8"/>
  <c r="AB16" i="8"/>
  <c r="X16" i="8"/>
  <c r="Y15" i="9"/>
  <c r="W11" i="10"/>
  <c r="W12" i="10" s="1"/>
  <c r="X11" i="10"/>
  <c r="X12" i="10" s="1"/>
  <c r="AA11" i="10"/>
  <c r="AA12" i="10" s="1"/>
  <c r="AC11" i="10"/>
  <c r="AC12" i="10" s="1"/>
  <c r="V11" i="10"/>
  <c r="V12" i="10" s="1"/>
  <c r="W34" i="8" l="1"/>
  <c r="W37" i="8"/>
  <c r="W31" i="8"/>
  <c r="AB27" i="8"/>
  <c r="AB21" i="8"/>
  <c r="W22" i="8"/>
  <c r="AB22" i="8"/>
  <c r="X26" i="8"/>
  <c r="X30" i="8" s="1"/>
  <c r="U11" i="10"/>
  <c r="U12" i="10" s="1"/>
  <c r="T11" i="10"/>
  <c r="W27" i="8"/>
  <c r="Y74" i="9"/>
  <c r="Y21" i="9"/>
  <c r="S11" i="10"/>
  <c r="AB11" i="10"/>
  <c r="AE11" i="10"/>
  <c r="AE9" i="10"/>
  <c r="X37" i="8" l="1"/>
  <c r="X34" i="8"/>
  <c r="X31" i="8"/>
  <c r="AB26" i="8"/>
  <c r="X27" i="8"/>
  <c r="Y25" i="9"/>
  <c r="AB30" i="8" l="1"/>
  <c r="AB34" i="8"/>
  <c r="AB37" i="8"/>
  <c r="Y76" i="9" a="1"/>
  <c r="Y76" i="9" s="1"/>
  <c r="Y30" i="9"/>
  <c r="Y75" i="9" a="1"/>
  <c r="Y75" i="9" s="1"/>
  <c r="Y72" i="9"/>
  <c r="Y73" i="9"/>
  <c r="Y36" i="9"/>
  <c r="AB78" i="8" l="1"/>
  <c r="M11" i="8" l="1"/>
  <c r="M15" i="8" s="1"/>
  <c r="E11" i="8"/>
  <c r="E15" i="8" s="1"/>
  <c r="D11" i="8"/>
  <c r="D15" i="8" s="1"/>
  <c r="C11" i="8"/>
  <c r="C15" i="8" s="1"/>
  <c r="E88" i="8"/>
  <c r="D86" i="8"/>
  <c r="C86" i="8"/>
  <c r="Y11" i="8"/>
  <c r="Y15" i="8" s="1"/>
  <c r="O68" i="9"/>
  <c r="O77" i="9" s="1"/>
  <c r="G68" i="9"/>
  <c r="G77" i="9" s="1"/>
  <c r="Y58" i="9" l="1"/>
  <c r="P86" i="8"/>
  <c r="W58" i="9"/>
  <c r="N86" i="8"/>
  <c r="C68" i="9"/>
  <c r="C77" i="9" s="1"/>
  <c r="D68" i="9"/>
  <c r="D77" i="9" s="1"/>
  <c r="E68" i="9"/>
  <c r="E77" i="9" s="1"/>
  <c r="M21" i="8"/>
  <c r="AB12" i="10"/>
  <c r="C12" i="10"/>
  <c r="M12" i="10"/>
  <c r="E12" i="10"/>
  <c r="D12" i="10"/>
  <c r="H68" i="9"/>
  <c r="H77" i="9" s="1"/>
  <c r="P68" i="9"/>
  <c r="P77" i="9" s="1"/>
  <c r="I68" i="9"/>
  <c r="I77" i="9" s="1"/>
  <c r="I20" i="9"/>
  <c r="I24" i="9" s="1"/>
  <c r="I29" i="9" s="1"/>
  <c r="O9" i="9"/>
  <c r="O10" i="9"/>
  <c r="D21" i="8"/>
  <c r="C21" i="8"/>
  <c r="E21" i="8"/>
  <c r="P21" i="8"/>
  <c r="E20" i="9"/>
  <c r="E24" i="9" s="1"/>
  <c r="E29" i="9" s="1"/>
  <c r="E9" i="9"/>
  <c r="C20" i="9"/>
  <c r="C24" i="9" s="1"/>
  <c r="C29" i="9" s="1"/>
  <c r="D20" i="9"/>
  <c r="D24" i="9" s="1"/>
  <c r="D29" i="9" s="1"/>
  <c r="D9" i="9"/>
  <c r="K68" i="9"/>
  <c r="K77" i="9" s="1"/>
  <c r="L68" i="9"/>
  <c r="L77" i="9" s="1"/>
  <c r="M68" i="9"/>
  <c r="M77" i="9" s="1"/>
  <c r="X58" i="9" l="1"/>
  <c r="O86" i="8"/>
  <c r="Y86" i="8"/>
  <c r="AB86" i="8"/>
  <c r="C88" i="8"/>
  <c r="P26" i="8"/>
  <c r="P30" i="8" s="1"/>
  <c r="E26" i="8"/>
  <c r="E30" i="8" s="1"/>
  <c r="M22" i="8"/>
  <c r="C26" i="8"/>
  <c r="C30" i="8" s="1"/>
  <c r="C96" i="8" s="1"/>
  <c r="C116" i="8" s="1"/>
  <c r="C143" i="8" s="1"/>
  <c r="D22" i="8"/>
  <c r="M16" i="8"/>
  <c r="N68" i="9"/>
  <c r="N77" i="9" s="1"/>
  <c r="N88" i="8"/>
  <c r="AB49" i="8"/>
  <c r="P88" i="8"/>
  <c r="D88" i="8"/>
  <c r="J68" i="9"/>
  <c r="J77" i="9" s="1"/>
  <c r="J10" i="9"/>
  <c r="N9" i="9"/>
  <c r="K9" i="9"/>
  <c r="L10" i="9"/>
  <c r="N20" i="9"/>
  <c r="N24" i="9" s="1"/>
  <c r="N29" i="9" s="1"/>
  <c r="I10" i="9"/>
  <c r="K10" i="9"/>
  <c r="H10" i="9"/>
  <c r="L20" i="9"/>
  <c r="L24" i="9" s="1"/>
  <c r="L29" i="9" s="1"/>
  <c r="J20" i="9"/>
  <c r="J24" i="9" s="1"/>
  <c r="J29" i="9" s="1"/>
  <c r="L9" i="9"/>
  <c r="D16" i="8"/>
  <c r="E16" i="8"/>
  <c r="C16" i="8"/>
  <c r="Y21" i="8"/>
  <c r="P16" i="8"/>
  <c r="I15" i="9"/>
  <c r="D15" i="9"/>
  <c r="M9" i="9"/>
  <c r="M20" i="9"/>
  <c r="M24" i="9" s="1"/>
  <c r="M29" i="9" s="1"/>
  <c r="M10" i="9"/>
  <c r="O20" i="9"/>
  <c r="O24" i="9" s="1"/>
  <c r="O29" i="9" s="1"/>
  <c r="Y9" i="9"/>
  <c r="H20" i="9"/>
  <c r="H24" i="9" s="1"/>
  <c r="H29" i="9" s="1"/>
  <c r="N10" i="9"/>
  <c r="P9" i="9"/>
  <c r="P20" i="9"/>
  <c r="P24" i="9" s="1"/>
  <c r="P29" i="9" s="1"/>
  <c r="P10" i="9"/>
  <c r="G20" i="9"/>
  <c r="G24" i="9" s="1"/>
  <c r="G29" i="9" s="1"/>
  <c r="E15" i="9"/>
  <c r="K20" i="9"/>
  <c r="K24" i="9" s="1"/>
  <c r="K29" i="9" s="1"/>
  <c r="C15" i="9"/>
  <c r="P37" i="8" l="1"/>
  <c r="P34" i="8"/>
  <c r="C37" i="8"/>
  <c r="C34" i="8"/>
  <c r="E37" i="8"/>
  <c r="E34" i="8"/>
  <c r="E31" i="8"/>
  <c r="C31" i="8"/>
  <c r="P31" i="8"/>
  <c r="E96" i="8"/>
  <c r="P96" i="8"/>
  <c r="L15" i="9"/>
  <c r="L21" i="9"/>
  <c r="P22" i="8"/>
  <c r="E22" i="8"/>
  <c r="D26" i="8"/>
  <c r="D30" i="8" s="1"/>
  <c r="M26" i="8"/>
  <c r="M30" i="8" s="1"/>
  <c r="C22" i="8"/>
  <c r="Y26" i="8"/>
  <c r="Y30" i="8" s="1"/>
  <c r="C27" i="8"/>
  <c r="P27" i="8"/>
  <c r="Y22" i="8"/>
  <c r="E27" i="8"/>
  <c r="O88" i="8"/>
  <c r="N15" i="9"/>
  <c r="J15" i="9"/>
  <c r="Y16" i="8"/>
  <c r="C74" i="9"/>
  <c r="C21" i="9"/>
  <c r="K15" i="9"/>
  <c r="D74" i="9"/>
  <c r="D21" i="9"/>
  <c r="I21" i="9"/>
  <c r="P15" i="9"/>
  <c r="M15" i="9"/>
  <c r="N21" i="9"/>
  <c r="J21" i="9"/>
  <c r="E21" i="9"/>
  <c r="E74" i="9"/>
  <c r="O15" i="9"/>
  <c r="G15" i="9"/>
  <c r="H15" i="9"/>
  <c r="Y37" i="8" l="1"/>
  <c r="Y34" i="8"/>
  <c r="M37" i="8"/>
  <c r="M34" i="8"/>
  <c r="D37" i="8"/>
  <c r="D34" i="8"/>
  <c r="D31" i="8"/>
  <c r="Y31" i="8"/>
  <c r="M31" i="8"/>
  <c r="D96" i="8"/>
  <c r="AB60" i="8"/>
  <c r="M96" i="8"/>
  <c r="D27" i="8"/>
  <c r="M27" i="8"/>
  <c r="P116" i="8"/>
  <c r="P143" i="8" s="1"/>
  <c r="Y88" i="8"/>
  <c r="Y27" i="8"/>
  <c r="E25" i="9"/>
  <c r="H21" i="9"/>
  <c r="N25" i="9"/>
  <c r="D25" i="9"/>
  <c r="I25" i="9"/>
  <c r="M21" i="9"/>
  <c r="C25" i="9"/>
  <c r="O21" i="9"/>
  <c r="K21" i="9"/>
  <c r="G21" i="9"/>
  <c r="J25" i="9"/>
  <c r="P21" i="9"/>
  <c r="M116" i="8" l="1"/>
  <c r="V96" i="8"/>
  <c r="V116" i="8" s="1"/>
  <c r="V143" i="8" s="1"/>
  <c r="Q76" i="9" a="1"/>
  <c r="Q76" i="9" s="1"/>
  <c r="Q72" i="9"/>
  <c r="Q73" i="9"/>
  <c r="Q74" i="9" a="1"/>
  <c r="Q74" i="9" s="1"/>
  <c r="Q75" i="9" a="1"/>
  <c r="Q75" i="9" s="1"/>
  <c r="K74" i="9" a="1"/>
  <c r="K74" i="9" s="1"/>
  <c r="J74" i="9" a="1"/>
  <c r="J74" i="9" s="1"/>
  <c r="P74" i="9" a="1"/>
  <c r="P74" i="9" s="1"/>
  <c r="H74" i="9" a="1"/>
  <c r="H74" i="9" s="1"/>
  <c r="O74" i="9" a="1"/>
  <c r="O74" i="9" s="1"/>
  <c r="N74" i="9" a="1"/>
  <c r="N74" i="9" s="1"/>
  <c r="G74" i="9" a="1"/>
  <c r="G74" i="9" s="1"/>
  <c r="L74" i="9" a="1"/>
  <c r="L74" i="9" s="1"/>
  <c r="I74" i="9" a="1"/>
  <c r="I74" i="9" s="1"/>
  <c r="M74" i="9" a="1"/>
  <c r="M74" i="9" s="1"/>
  <c r="L25" i="9"/>
  <c r="G25" i="9"/>
  <c r="K25" i="9"/>
  <c r="L76" i="9" a="1"/>
  <c r="L76" i="9" s="1"/>
  <c r="H25" i="9"/>
  <c r="D76" i="9" a="1"/>
  <c r="D76" i="9" s="1"/>
  <c r="D75" i="9" a="1"/>
  <c r="D75" i="9" s="1"/>
  <c r="D30" i="9"/>
  <c r="D36" i="9"/>
  <c r="D42" i="9" s="1"/>
  <c r="D72" i="9"/>
  <c r="D73" i="9"/>
  <c r="E75" i="9" a="1"/>
  <c r="E75" i="9" s="1"/>
  <c r="E76" i="9" a="1"/>
  <c r="E76" i="9" s="1"/>
  <c r="E30" i="9"/>
  <c r="E73" i="9"/>
  <c r="E36" i="9"/>
  <c r="E42" i="9" s="1"/>
  <c r="E72" i="9"/>
  <c r="L30" i="9"/>
  <c r="L36" i="9"/>
  <c r="L42" i="9" s="1"/>
  <c r="P25" i="9"/>
  <c r="O25" i="9"/>
  <c r="J36" i="9"/>
  <c r="J42" i="9" s="1"/>
  <c r="J30" i="9"/>
  <c r="I36" i="9"/>
  <c r="I42" i="9" s="1"/>
  <c r="I30" i="9"/>
  <c r="M25" i="9"/>
  <c r="C76" i="9" a="1"/>
  <c r="C76" i="9" s="1"/>
  <c r="C36" i="9"/>
  <c r="C30" i="9"/>
  <c r="C75" i="9" a="1"/>
  <c r="C75" i="9" s="1"/>
  <c r="C73" i="9"/>
  <c r="C72" i="9"/>
  <c r="N30" i="9"/>
  <c r="N36" i="9"/>
  <c r="N42" i="9" s="1"/>
  <c r="M143" i="8" l="1"/>
  <c r="L75" i="9" a="1"/>
  <c r="L75" i="9" s="1"/>
  <c r="O75" i="9" a="1"/>
  <c r="O75" i="9" s="1"/>
  <c r="M75" i="9" a="1"/>
  <c r="M75" i="9" s="1"/>
  <c r="O73" i="9"/>
  <c r="H76" i="9" a="1"/>
  <c r="H76" i="9" s="1"/>
  <c r="H75" i="9" a="1"/>
  <c r="H75" i="9" s="1"/>
  <c r="H72" i="9"/>
  <c r="H73" i="9"/>
  <c r="G75" i="9" a="1"/>
  <c r="G75" i="9" s="1"/>
  <c r="K36" i="9"/>
  <c r="K42" i="9" s="1"/>
  <c r="N75" i="9" a="1"/>
  <c r="N75" i="9" s="1"/>
  <c r="N76" i="9" a="1"/>
  <c r="N76" i="9" s="1"/>
  <c r="K30" i="9"/>
  <c r="N72" i="9"/>
  <c r="N73" i="9"/>
  <c r="L73" i="9"/>
  <c r="M72" i="9"/>
  <c r="E43" i="9"/>
  <c r="L72" i="9"/>
  <c r="I75" i="9" a="1"/>
  <c r="I75" i="9" s="1"/>
  <c r="I76" i="9" a="1"/>
  <c r="I76" i="9" s="1"/>
  <c r="I72" i="9"/>
  <c r="I73" i="9"/>
  <c r="D43" i="9"/>
  <c r="G72" i="9"/>
  <c r="O36" i="9"/>
  <c r="O42" i="9" s="1"/>
  <c r="O30" i="9"/>
  <c r="K76" i="9" a="1"/>
  <c r="K76" i="9" s="1"/>
  <c r="H36" i="9"/>
  <c r="H42" i="9" s="1"/>
  <c r="H30" i="9"/>
  <c r="K75" i="9" a="1"/>
  <c r="K75" i="9" s="1"/>
  <c r="K72" i="9"/>
  <c r="K73" i="9"/>
  <c r="M76" i="9" a="1"/>
  <c r="M76" i="9" s="1"/>
  <c r="O72" i="9"/>
  <c r="G76" i="9" a="1"/>
  <c r="G76" i="9" s="1"/>
  <c r="C43" i="9"/>
  <c r="P76" i="9" a="1"/>
  <c r="P76" i="9" s="1"/>
  <c r="P75" i="9" a="1"/>
  <c r="P75" i="9" s="1"/>
  <c r="P72" i="9"/>
  <c r="M30" i="9"/>
  <c r="M36" i="9"/>
  <c r="M42" i="9" s="1"/>
  <c r="P73" i="9"/>
  <c r="N43" i="9"/>
  <c r="O76" i="9" a="1"/>
  <c r="O76" i="9" s="1"/>
  <c r="J75" i="9" a="1"/>
  <c r="J75" i="9" s="1"/>
  <c r="J76" i="9" a="1"/>
  <c r="J76" i="9" s="1"/>
  <c r="G36" i="9"/>
  <c r="G42" i="9" s="1"/>
  <c r="G30" i="9"/>
  <c r="J72" i="9"/>
  <c r="J73" i="9"/>
  <c r="M73" i="9"/>
  <c r="P30" i="9"/>
  <c r="P36" i="9"/>
  <c r="P42" i="9" s="1"/>
  <c r="G73" i="9"/>
  <c r="Z42" i="9" l="1"/>
  <c r="Z43" i="9" s="1"/>
  <c r="W42" i="9"/>
  <c r="W43" i="9" s="1"/>
  <c r="V42" i="9"/>
  <c r="V43" i="9" s="1"/>
  <c r="Y42" i="9"/>
  <c r="Y43" i="9" s="1"/>
  <c r="X42" i="9"/>
  <c r="X43" i="9" s="1"/>
  <c r="O43" i="9"/>
  <c r="P43" i="9"/>
  <c r="M43" i="9"/>
  <c r="L43" i="9"/>
  <c r="G43" i="9"/>
  <c r="I43" i="9"/>
  <c r="J43" i="9"/>
  <c r="H43" i="9" l="1"/>
  <c r="K43" i="9"/>
  <c r="O11" i="8" l="1"/>
  <c r="O15" i="8" s="1"/>
  <c r="O21" i="8" l="1"/>
  <c r="O12" i="10"/>
  <c r="O26" i="8" l="1"/>
  <c r="O30" i="8" s="1"/>
  <c r="O16" i="8"/>
  <c r="O37" i="8" l="1"/>
  <c r="O34" i="8"/>
  <c r="O31" i="8"/>
  <c r="O96" i="8"/>
  <c r="O22" i="8"/>
  <c r="O27" i="8"/>
  <c r="O116" i="8" l="1"/>
  <c r="O143" i="8" s="1"/>
  <c r="N11" i="8"/>
  <c r="N15" i="8" s="1"/>
  <c r="N21" i="8" l="1"/>
  <c r="T12" i="10"/>
  <c r="S12" i="10"/>
  <c r="N12" i="10"/>
  <c r="N16" i="8" l="1"/>
  <c r="N26" i="8"/>
  <c r="N30" i="8" s="1"/>
  <c r="N149" i="8" l="1"/>
  <c r="N37" i="8"/>
  <c r="N34" i="8"/>
  <c r="Z106" i="8"/>
  <c r="AB106" i="8" s="1"/>
  <c r="N31" i="8"/>
  <c r="N96" i="8"/>
  <c r="N22" i="8"/>
  <c r="N27" i="8"/>
  <c r="W149" i="8" l="1"/>
  <c r="Z149" i="8"/>
  <c r="X149" i="8"/>
  <c r="Y149" i="8"/>
  <c r="Z107" i="8"/>
  <c r="AB107" i="8" s="1"/>
  <c r="Z96" i="8"/>
  <c r="Z116" i="8" l="1"/>
  <c r="AB96" i="8"/>
  <c r="Y96" i="8"/>
  <c r="W96" i="8"/>
  <c r="W116" i="8" s="1"/>
  <c r="W143" i="8" s="1"/>
  <c r="X96" i="8"/>
  <c r="X116" i="8" s="1"/>
  <c r="X143" i="8" s="1"/>
  <c r="N116" i="8"/>
  <c r="N143" i="8" s="1"/>
  <c r="AB116" i="8" l="1"/>
  <c r="Z143" i="8"/>
  <c r="Y116" i="8"/>
  <c r="Y143" i="8" s="1"/>
  <c r="E116" i="8" l="1"/>
  <c r="E143" i="8" s="1"/>
  <c r="D116" i="8"/>
  <c r="D143" i="8" s="1"/>
  <c r="C144" i="8"/>
  <c r="G138" i="8" l="1"/>
  <c r="C146" i="8"/>
  <c r="D138" i="8"/>
  <c r="S138" i="8" s="1"/>
  <c r="S140" i="8" s="1"/>
  <c r="S144" i="8" s="1"/>
  <c r="S146" i="8" s="1"/>
  <c r="G140" i="8"/>
  <c r="G144" i="8" s="1"/>
  <c r="G146" i="8" s="1"/>
  <c r="H138" i="8" l="1"/>
  <c r="H140" i="8" s="1"/>
  <c r="H144" i="8" s="1"/>
  <c r="T138" i="8"/>
  <c r="T140" i="8" s="1"/>
  <c r="T144" i="8" s="1"/>
  <c r="T146" i="8" s="1"/>
  <c r="H146" i="8" l="1"/>
  <c r="I138" i="8"/>
  <c r="I140" i="8" s="1"/>
  <c r="I144" i="8" s="1"/>
  <c r="I146" i="8" s="1"/>
  <c r="U138" i="8"/>
  <c r="U140" i="8" s="1"/>
  <c r="U144" i="8" s="1"/>
  <c r="U146" i="8" s="1"/>
  <c r="J138" i="8" l="1"/>
  <c r="V138" i="8"/>
  <c r="V140" i="8" s="1"/>
  <c r="V144" i="8" s="1"/>
  <c r="V146" i="8" s="1"/>
  <c r="J140" i="8"/>
  <c r="J144" i="8" s="1"/>
  <c r="D140" i="8"/>
  <c r="D144" i="8" s="1"/>
  <c r="D146" i="8" s="1"/>
  <c r="J146" i="8" l="1"/>
  <c r="K138" i="8"/>
  <c r="K140" i="8" s="1"/>
  <c r="K144" i="8" s="1"/>
  <c r="W138" i="8"/>
  <c r="W140" i="8" s="1"/>
  <c r="W144" i="8" s="1"/>
  <c r="W146" i="8" s="1"/>
  <c r="E138" i="8"/>
  <c r="K146" i="8" l="1"/>
  <c r="L138" i="8"/>
  <c r="L140" i="8" s="1"/>
  <c r="L144" i="8" s="1"/>
  <c r="X138" i="8"/>
  <c r="X140" i="8" s="1"/>
  <c r="X144" i="8" s="1"/>
  <c r="X146" i="8" s="1"/>
  <c r="E140" i="8"/>
  <c r="E144" i="8" s="1"/>
  <c r="E146" i="8" s="1"/>
  <c r="L146" i="8" l="1"/>
  <c r="M138" i="8"/>
  <c r="M140" i="8" s="1"/>
  <c r="M144" i="8" s="1"/>
  <c r="Y138" i="8"/>
  <c r="Y140" i="8" s="1"/>
  <c r="Y144" i="8" s="1"/>
  <c r="Y146" i="8" s="1"/>
  <c r="M146" i="8" l="1"/>
  <c r="N138" i="8"/>
  <c r="N140" i="8" s="1"/>
  <c r="N144" i="8" s="1"/>
  <c r="Z138" i="8"/>
  <c r="Z140" i="8" s="1"/>
  <c r="Z144" i="8" s="1"/>
  <c r="Z146" i="8" s="1"/>
  <c r="N146" i="8" l="1"/>
  <c r="O138" i="8"/>
  <c r="O140" i="8" s="1"/>
  <c r="O144" i="8" s="1"/>
  <c r="O146" i="8" l="1"/>
  <c r="P138" i="8"/>
  <c r="P140" i="8" s="1"/>
  <c r="P144" i="8" s="1"/>
  <c r="P146" i="8" l="1"/>
  <c r="Q138" i="8"/>
  <c r="Q140" i="8" s="1"/>
  <c r="Q144" i="8" s="1"/>
  <c r="Q146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<sst xmlns="http://schemas.openxmlformats.org/spreadsheetml/2006/main" count="241" uniqueCount="186">
  <si>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</si>
  <si>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</si>
  <si>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</si>
  <si>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</si>
  <si>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</si>
  <si>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</si>
  <si>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</si>
  <si>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</si>
  <si>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</si>
  <si>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</si>
  <si>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</si>
  <si>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</si>
  <si>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</si>
  <si>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</si>
  <si>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</si>
  <si>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</si>
  <si>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</si>
  <si>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</si>
  <si>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</si>
  <si>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</si>
  <si>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</si>
  <si>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</si>
  <si>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</si>
  <si>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</si>
  <si>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</si>
  <si>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</si>
  <si>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</si>
  <si>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</si>
  <si>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</si>
  <si>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</si>
  <si>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</si>
  <si>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</si>
  <si>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 xml:space="preserve">(+) Share-based Compensation 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</si>
  <si>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</si>
  <si>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</si>
  <si>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</si>
  <si>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</si>
  <si>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</si>
  <si>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</si>
  <si>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</si>
  <si>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</si>
  <si>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</si>
  <si>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</si>
  <si>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</si>
  <si>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</si>
  <si>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</si>
  <si>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</si>
  <si>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</si>
  <si>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</si>
  <si>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</si>
  <si>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</si>
  <si>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</si>
  <si>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</si>
  <si>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</si>
  <si>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</si>
  <si>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</si>
  <si>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</si>
  <si>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</si>
  <si>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</si>
  <si>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</si>
  <si>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</si>
  <si>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</si>
  <si>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</si>
  <si>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</si>
  <si>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Net Margin (%)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</si>
  <si>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</si>
  <si>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</si>
  <si>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</si>
  <si>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</si>
  <si>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</si>
  <si>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</si>
  <si>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</si>
  <si>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</si>
  <si>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</si>
  <si>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</si>
  <si>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</si>
  <si>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</si>
  <si>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</si>
  <si>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</si>
  <si>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</si>
  <si>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</si>
  <si>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</si>
  <si>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</si>
  <si>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</si>
  <si>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</si>
  <si>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Deferred revenue</t>
  </si>
  <si>
    <t>Purchases of property and equipment</t>
  </si>
  <si>
    <t>Disaggregated Revenues</t>
  </si>
  <si>
    <t>Offerings Drivers</t>
  </si>
  <si>
    <t>Variance Check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</si>
  <si>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</si>
  <si>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</si>
  <si>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</si>
  <si>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</si>
  <si>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</si>
  <si>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</si>
  <si>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</si>
  <si>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</si>
  <si>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Accrued expenses and other liabilities</t>
  </si>
  <si>
    <t>Income taxes paid</t>
  </si>
  <si>
    <t>Interest paid</t>
  </si>
  <si>
    <t>(+/-) Proceeds / (Purchases) of ST Investments</t>
  </si>
  <si>
    <t>(-) Proceeds From Equity Issuances / (Share Repurchases)</t>
  </si>
  <si>
    <t>Deferred Revenue</t>
  </si>
  <si>
    <t>Summary Debt:</t>
  </si>
  <si>
    <t>CPLTD</t>
  </si>
  <si>
    <t>LTD</t>
  </si>
  <si>
    <t>Accounts Receivable</t>
  </si>
  <si>
    <t>Goodwill</t>
  </si>
  <si>
    <t xml:space="preserve">Total Stockholders' Equity </t>
  </si>
  <si>
    <t>Other</t>
  </si>
  <si>
    <t>Other investing activities</t>
  </si>
  <si>
    <t xml:space="preserve">EOP FX Adjustment </t>
  </si>
  <si>
    <t>Spotify Technology SA. (NASDAQ: SPOT)</t>
  </si>
  <si>
    <t>(in € millions, except share and per share data)</t>
  </si>
  <si>
    <t xml:space="preserve">Research and development </t>
  </si>
  <si>
    <t>Sales and marketing</t>
  </si>
  <si>
    <t>General and administrative</t>
  </si>
  <si>
    <t>Finance costs</t>
  </si>
  <si>
    <t>Finance Costs</t>
  </si>
  <si>
    <t xml:space="preserve">Finance Income </t>
  </si>
  <si>
    <t>Income Tax Benefit (Expense)</t>
  </si>
  <si>
    <t xml:space="preserve">Fully Diluted EPS </t>
  </si>
  <si>
    <t xml:space="preserve">Basic EPS </t>
  </si>
  <si>
    <t xml:space="preserve">Income tax receivable </t>
  </si>
  <si>
    <t>Trade and other receivables</t>
  </si>
  <si>
    <t xml:space="preserve">Other current assets </t>
  </si>
  <si>
    <t>Short term investments</t>
  </si>
  <si>
    <t xml:space="preserve">Cash and cash equivalents </t>
  </si>
  <si>
    <t xml:space="preserve">Lease right-of-use assets </t>
  </si>
  <si>
    <t xml:space="preserve">Property and equipment </t>
  </si>
  <si>
    <t>Intangible assets</t>
  </si>
  <si>
    <t>Long term investments</t>
  </si>
  <si>
    <t>Restricted cash and other non-current assets</t>
  </si>
  <si>
    <t xml:space="preserve">Finance lease receivables </t>
  </si>
  <si>
    <t xml:space="preserve">Deferred tax assets </t>
  </si>
  <si>
    <t>Trade and other payables</t>
  </si>
  <si>
    <t>Income tax payable</t>
  </si>
  <si>
    <t>Exchangeable Notes</t>
  </si>
  <si>
    <t>Provisions</t>
  </si>
  <si>
    <t>Derivative liabilities</t>
  </si>
  <si>
    <t>Lease liabilities</t>
  </si>
  <si>
    <t>Deferred tax liabilities</t>
  </si>
  <si>
    <t>Share capital</t>
  </si>
  <si>
    <t>Other paid in capital</t>
  </si>
  <si>
    <t>Treasury shares</t>
  </si>
  <si>
    <t>Other reserves</t>
  </si>
  <si>
    <t>Accumulated deficit</t>
  </si>
  <si>
    <t>Depreciation of property and equipment</t>
  </si>
  <si>
    <t>Amortization of intangible assets</t>
  </si>
  <si>
    <t>Impairment charges on real estate assets</t>
  </si>
  <si>
    <t>Share-based compensation expense</t>
  </si>
  <si>
    <t>Finance income</t>
  </si>
  <si>
    <t>Income tax (benefit)/expense</t>
  </si>
  <si>
    <t>Changes in working capital:</t>
  </si>
  <si>
    <t>Increase in trade receivables and other assets</t>
  </si>
  <si>
    <t>Increase in trade and other liabilities</t>
  </si>
  <si>
    <t>Increase in deferred revenue</t>
  </si>
  <si>
    <t>Increase in provisions</t>
  </si>
  <si>
    <t>Interest received</t>
  </si>
  <si>
    <t>Income tax paid</t>
  </si>
  <si>
    <t>Payment of deferred consideration pertaining to business combinations</t>
  </si>
  <si>
    <t>Purchases of short term investments</t>
  </si>
  <si>
    <t>Sales and maturities of short term investments</t>
  </si>
  <si>
    <t>Dividends received</t>
  </si>
  <si>
    <t>Change in restricted cash</t>
  </si>
  <si>
    <t>Proceeds from exercise of stock options</t>
  </si>
  <si>
    <t>Repurchases of ordinary shares</t>
  </si>
  <si>
    <t>Payments of lease liabilities</t>
  </si>
  <si>
    <t>Payments for employee taxes withheld from restricted stock unit releases</t>
  </si>
  <si>
    <t xml:space="preserve">BOP FX Adjustment </t>
  </si>
  <si>
    <t>Premium</t>
  </si>
  <si>
    <t xml:space="preserve">Ad-Supported </t>
  </si>
  <si>
    <t>Ad-Supported: Cost of revenue</t>
  </si>
  <si>
    <t>Premium: Cost of Revenue</t>
  </si>
  <si>
    <t xml:space="preserve">Business combinations, net of cash acquired </t>
  </si>
  <si>
    <t>Lease incentives received</t>
  </si>
  <si>
    <t>(-) Premium: Cost of Revenue</t>
  </si>
  <si>
    <t>(-) Ad-Supported: Cost of revenue</t>
  </si>
  <si>
    <t xml:space="preserve">(-) Research and development </t>
  </si>
  <si>
    <t>(-) Sales and marketing</t>
  </si>
  <si>
    <t>(-) General and administrative</t>
  </si>
  <si>
    <t>(+) Depreciation and Amortization</t>
  </si>
  <si>
    <t>(+) Impairment charges on real estate assets</t>
  </si>
  <si>
    <t>(+/-) Payments of lease liabilities, net</t>
  </si>
  <si>
    <t>$1.5Bn 0.000% Exchangeable Senior Notes due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</si>
</sst>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  <numFmt numFmtId="174" formatCode="[$€-2]\ #,##0_);\([$€-2]\ #,##0\)"/>
    <numFmt numFmtId="176" formatCode="[$€-2]\ #,##0.00_);\([$€-2]\ #,##0.00\)"/>
  </numFmts>
  <fonts count="3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dashed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5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11" fillId="0" borderId="13" xfId="0" applyNumberFormat="1" applyFont="1" applyBorder="1" applyAlignment="1">
      <alignment horizontal="right" vertical="top" wrapText="1"/>
    </xf>
    <xf numFmtId="41" fontId="7" fillId="0" borderId="9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6" fillId="0" borderId="10" xfId="0" applyNumberFormat="1" applyFont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wrapText="1"/>
    </xf>
    <xf numFmtId="5" fontId="8" fillId="0" borderId="0" xfId="0" applyNumberFormat="1" applyFont="1" applyFill="1" applyBorder="1" applyAlignment="1">
      <alignment horizontal="right" vertical="top" wrapText="1"/>
    </xf>
    <xf numFmtId="37" fontId="4" fillId="0" borderId="0" xfId="0" applyNumberFormat="1" applyFont="1" applyFill="1" applyAlignment="1">
      <alignment wrapText="1"/>
    </xf>
    <xf numFmtId="41" fontId="6" fillId="0" borderId="0" xfId="0" applyNumberFormat="1" applyFont="1" applyFill="1" applyAlignment="1">
      <alignment horizontal="right" vertical="top" wrapText="1"/>
    </xf>
    <xf numFmtId="0" fontId="15" fillId="0" borderId="0" xfId="0" applyFont="1" applyFill="1"/>
    <xf numFmtId="166" fontId="9" fillId="0" borderId="0" xfId="1" applyNumberFormat="1" applyFont="1" applyFill="1" applyBorder="1" applyAlignment="1">
      <alignment horizontal="right" vertical="center" wrapText="1"/>
    </xf>
    <xf numFmtId="5" fontId="8" fillId="5" borderId="2" xfId="0" applyNumberFormat="1" applyFont="1" applyFill="1" applyBorder="1" applyAlignment="1">
      <alignment horizontal="right" vertical="top" wrapText="1"/>
    </xf>
    <xf numFmtId="5" fontId="21" fillId="0" borderId="7" xfId="0" applyNumberFormat="1" applyFont="1" applyBorder="1" applyAlignment="1">
      <alignment wrapText="1"/>
    </xf>
    <xf numFmtId="5" fontId="6" fillId="0" borderId="13" xfId="0" applyNumberFormat="1" applyFont="1" applyBorder="1" applyAlignment="1">
      <alignment horizontal="right" vertical="top" wrapText="1"/>
    </xf>
    <xf numFmtId="174" fontId="8" fillId="3" borderId="2" xfId="0" applyNumberFormat="1" applyFont="1" applyFill="1" applyBorder="1" applyAlignment="1">
      <alignment horizontal="right" vertical="top" wrapText="1"/>
    </xf>
    <xf numFmtId="174" fontId="8" fillId="0" borderId="2" xfId="0" applyNumberFormat="1" applyFont="1" applyBorder="1" applyAlignment="1">
      <alignment horizontal="right" vertical="top" wrapText="1"/>
    </xf>
    <xf numFmtId="176" fontId="8" fillId="3" borderId="2" xfId="0" applyNumberFormat="1" applyFont="1" applyFill="1" applyBorder="1" applyAlignment="1">
      <alignment horizontal="right" vertical="top" wrapText="1"/>
    </xf>
    <xf numFmtId="176" fontId="4" fillId="0" borderId="0" xfId="0" applyNumberFormat="1" applyFont="1" applyAlignment="1">
      <alignment wrapText="1"/>
    </xf>
    <xf numFmtId="174" fontId="8" fillId="0" borderId="0" xfId="0" applyNumberFormat="1" applyFont="1" applyBorder="1" applyAlignment="1">
      <alignment horizontal="right" vertical="top" wrapText="1"/>
    </xf>
    <xf numFmtId="174" fontId="8" fillId="3" borderId="15" xfId="0" applyNumberFormat="1" applyFont="1" applyFill="1" applyBorder="1" applyAlignment="1">
      <alignment horizontal="right" vertical="top" wrapText="1"/>
    </xf>
    <xf numFmtId="5" fontId="8" fillId="8" borderId="0" xfId="0" applyNumberFormat="1" applyFont="1" applyFill="1" applyAlignment="1">
      <alignment horizontal="right" vertical="top" wrapText="1"/>
    </xf>
    <xf numFmtId="174" fontId="6" fillId="0" borderId="0" xfId="0" applyNumberFormat="1" applyFont="1" applyAlignment="1">
      <alignment horizontal="right" vertical="top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C165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bestFit="1" customWidth="1"/>
    <col min="6" max="6" width="1.5" style="5" customWidth="1"/>
    <col min="7" max="10" width="8.875" style="5" hidden="1" customWidth="1" outlineLevel="2"/>
    <col min="11" max="12" width="8.875" style="5" hidden="1" customWidth="1" outlineLevel="1"/>
    <col min="13" max="13" width="9.125" style="5" bestFit="1" customWidth="1" collapsed="1"/>
    <col min="14" max="14" width="8.875" style="5" bestFit="1" customWidth="1"/>
    <col min="15" max="17" width="9.125" style="5" bestFit="1" customWidth="1"/>
    <col min="18" max="18" width="1.5" style="5" customWidth="1"/>
    <col min="19" max="21" width="8.75" style="5" hidden="1" customWidth="1" outlineLevel="1"/>
    <col min="22" max="22" width="9" style="5" bestFit="1" customWidth="1" collapsed="1"/>
    <col min="23" max="25" width="9" style="5" hidden="1" customWidth="1" outlineLevel="1"/>
    <col min="26" max="26" width="9" style="5" bestFit="1" customWidth="1" collapsed="1"/>
    <col min="27" max="27" width="1.25" style="5" customWidth="1"/>
    <col min="28" max="28" width="8" style="5" bestFit="1" customWidth="1"/>
    <col min="29" max="29" width="1.375" style="5" customWidth="1"/>
    <col min="30" max="16384" width="9" style="5"/>
  </cols>
  <sheetData>
    <row r="2" spans="1:28" ht="12.75" customHeight="1">
      <c r="B2" s="1" t="s">
        <v>113</v>
      </c>
      <c r="C2" s="99"/>
      <c r="D2" s="99"/>
      <c r="E2" s="99"/>
      <c r="F2" s="3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3"/>
      <c r="S2" s="99"/>
      <c r="T2" s="99"/>
      <c r="U2" s="99"/>
      <c r="V2" s="99"/>
      <c r="W2" s="99"/>
      <c r="X2" s="99"/>
      <c r="Y2" s="99"/>
      <c r="Z2" s="99"/>
      <c r="AA2" s="3"/>
      <c r="AB2" s="1"/>
    </row>
    <row r="3" spans="1:28" ht="12.75" customHeight="1">
      <c r="B3" s="6" t="s">
        <v>75</v>
      </c>
      <c r="C3" s="7"/>
      <c r="D3" s="7"/>
      <c r="E3" s="7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  <c r="U3" s="4"/>
      <c r="V3" s="4"/>
      <c r="W3" s="4"/>
      <c r="X3" s="4"/>
      <c r="Y3" s="4"/>
      <c r="Z3" s="4"/>
      <c r="AA3" s="3"/>
      <c r="AB3" s="1"/>
    </row>
    <row r="4" spans="1:28" ht="12.75" customHeight="1">
      <c r="B4" s="6" t="s">
        <v>114</v>
      </c>
      <c r="C4" s="3"/>
      <c r="D4" s="84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1"/>
    </row>
    <row r="6" spans="1:28" ht="12.75" customHeight="1">
      <c r="A6" s="5" t="s">
        <v>15</v>
      </c>
      <c r="B6" s="1" t="s">
        <v>73</v>
      </c>
      <c r="C6" s="2" t="s">
        <v>0</v>
      </c>
      <c r="D6" s="2"/>
      <c r="E6" s="2"/>
      <c r="F6" s="3"/>
      <c r="G6" s="2" t="s">
        <v>1</v>
      </c>
      <c r="H6" s="2"/>
      <c r="I6" s="2"/>
      <c r="J6" s="2"/>
      <c r="K6" s="2"/>
      <c r="L6" s="2"/>
      <c r="M6" s="2" t="s">
        <v>1</v>
      </c>
      <c r="N6" s="2"/>
      <c r="O6" s="2"/>
      <c r="P6" s="2"/>
      <c r="Q6" s="2"/>
      <c r="R6" s="3"/>
      <c r="S6" s="2"/>
      <c r="T6" s="2"/>
      <c r="U6" s="2" t="s">
        <v>10</v>
      </c>
      <c r="V6" s="2" t="s">
        <v>10</v>
      </c>
      <c r="W6" s="2"/>
      <c r="X6" s="2"/>
      <c r="Y6" s="2"/>
      <c r="Z6" s="2"/>
      <c r="AA6" s="36"/>
      <c r="AB6" s="144" t="s">
        <v>21</v>
      </c>
    </row>
    <row r="7" spans="1:28" ht="12.75" customHeight="1">
      <c r="B7" s="6" t="s">
        <v>76</v>
      </c>
      <c r="C7" s="7">
        <v>2022</v>
      </c>
      <c r="D7" s="7">
        <v>2023</v>
      </c>
      <c r="E7" s="7">
        <v>2024</v>
      </c>
      <c r="F7" s="3"/>
      <c r="G7" s="4" t="s">
        <v>6</v>
      </c>
      <c r="H7" s="4" t="s">
        <v>7</v>
      </c>
      <c r="I7" s="4" t="s">
        <v>8</v>
      </c>
      <c r="J7" s="4" t="s">
        <v>9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23</v>
      </c>
      <c r="P7" s="4" t="s">
        <v>24</v>
      </c>
      <c r="Q7" s="4" t="s">
        <v>63</v>
      </c>
      <c r="R7" s="3"/>
      <c r="S7" s="4" t="str">
        <f>J7</f>
        <v>4Q23</v>
      </c>
      <c r="T7" s="4" t="str">
        <f>K7</f>
        <v>1Q24</v>
      </c>
      <c r="U7" s="4" t="str">
        <f>L7</f>
        <v>2Q24</v>
      </c>
      <c r="V7" s="4" t="str">
        <f>M7</f>
        <v>3Q24</v>
      </c>
      <c r="W7" s="4" t="str">
        <f>N7</f>
        <v>4Q24</v>
      </c>
      <c r="X7" s="4" t="str">
        <f>O7</f>
        <v>1Q25</v>
      </c>
      <c r="Y7" s="4" t="str">
        <f>P7</f>
        <v>2Q25</v>
      </c>
      <c r="Z7" s="4" t="str">
        <f>Q7</f>
        <v>3Q25</v>
      </c>
      <c r="AA7" s="36"/>
      <c r="AB7" s="144"/>
    </row>
    <row r="8" spans="1:28" ht="12.75" customHeight="1">
      <c r="B8" s="6" t="s">
        <v>77</v>
      </c>
      <c r="C8" s="3">
        <v>44926</v>
      </c>
      <c r="D8" s="84">
        <v>45291</v>
      </c>
      <c r="E8" s="3">
        <v>45657</v>
      </c>
      <c r="F8" s="3"/>
      <c r="G8" s="3">
        <v>45016</v>
      </c>
      <c r="H8" s="3">
        <v>45107</v>
      </c>
      <c r="I8" s="3">
        <v>45199</v>
      </c>
      <c r="J8" s="3">
        <f>D8</f>
        <v>45291</v>
      </c>
      <c r="K8" s="3">
        <v>45382</v>
      </c>
      <c r="L8" s="3">
        <v>45473</v>
      </c>
      <c r="M8" s="3">
        <v>45565</v>
      </c>
      <c r="N8" s="3">
        <f>E8</f>
        <v>45657</v>
      </c>
      <c r="O8" s="3">
        <v>45747</v>
      </c>
      <c r="P8" s="3">
        <v>45838</v>
      </c>
      <c r="Q8" s="3">
        <v>45930</v>
      </c>
      <c r="R8" s="3"/>
      <c r="S8" s="3">
        <f>J8</f>
        <v>45291</v>
      </c>
      <c r="T8" s="3">
        <f>K8</f>
        <v>45382</v>
      </c>
      <c r="U8" s="3">
        <f>L8</f>
        <v>45473</v>
      </c>
      <c r="V8" s="3">
        <f>M8</f>
        <v>45565</v>
      </c>
      <c r="W8" s="3">
        <f>N8</f>
        <v>45657</v>
      </c>
      <c r="X8" s="3">
        <f>O8</f>
        <v>45747</v>
      </c>
      <c r="Y8" s="3">
        <f>P8</f>
        <v>45838</v>
      </c>
      <c r="Z8" s="3">
        <f>Q8</f>
        <v>45930</v>
      </c>
      <c r="AA8" s="36"/>
      <c r="AB8" s="144"/>
    </row>
    <row r="9" spans="1:28" ht="5.0999999999999996" customHeight="1">
      <c r="AB9" s="98"/>
    </row>
    <row r="10" spans="1:28" ht="12.75" customHeight="1">
      <c r="B10" s="9" t="s">
        <v>58</v>
      </c>
      <c r="C10" s="93">
        <v>11727</v>
      </c>
      <c r="D10" s="93">
        <v>13247</v>
      </c>
      <c r="E10" s="93">
        <v>15673</v>
      </c>
      <c r="F10" s="11"/>
      <c r="G10" s="93">
        <v>3042</v>
      </c>
      <c r="H10" s="93">
        <v>3177</v>
      </c>
      <c r="I10" s="93">
        <v>3357</v>
      </c>
      <c r="J10" s="31">
        <f>SUM(D10-SUM(G10:I10))</f>
        <v>3671</v>
      </c>
      <c r="K10" s="93">
        <v>3636</v>
      </c>
      <c r="L10" s="93">
        <v>3807</v>
      </c>
      <c r="M10" s="93">
        <v>3988</v>
      </c>
      <c r="N10" s="31">
        <f>SUM(E10-SUM(K10:M10))</f>
        <v>4242</v>
      </c>
      <c r="O10" s="81">
        <v>4190</v>
      </c>
      <c r="P10" s="81">
        <v>4193</v>
      </c>
      <c r="Q10" s="81">
        <v>4272</v>
      </c>
      <c r="S10" s="31">
        <f>SUM(G10:J10)</f>
        <v>13247</v>
      </c>
      <c r="T10" s="31">
        <f>SUM(H10:K10)</f>
        <v>13841</v>
      </c>
      <c r="U10" s="31">
        <f>SUM(I10:L10)</f>
        <v>14471</v>
      </c>
      <c r="V10" s="31">
        <f>SUM(J10:M10)</f>
        <v>15102</v>
      </c>
      <c r="W10" s="31">
        <f>SUM(K10:N10)</f>
        <v>15673</v>
      </c>
      <c r="X10" s="31">
        <f>SUM(L10:O10)</f>
        <v>16227</v>
      </c>
      <c r="Y10" s="31">
        <f>SUM(M10:P10)</f>
        <v>16613</v>
      </c>
      <c r="Z10" s="31">
        <f>SUM(N10:Q10)</f>
        <v>16897</v>
      </c>
      <c r="AA10" s="38"/>
      <c r="AB10" s="12">
        <f>SUM(Z10/V10)-1</f>
        <v>0.11885842934710644</v>
      </c>
    </row>
    <row r="11" spans="1:28" ht="12.75" customHeight="1">
      <c r="B11" s="13" t="s">
        <v>12</v>
      </c>
      <c r="C11" s="157">
        <f t="shared" ref="C11:E11" si="0">+SUM(C10:C10)</f>
        <v>11727</v>
      </c>
      <c r="D11" s="157">
        <f t="shared" si="0"/>
        <v>13247</v>
      </c>
      <c r="E11" s="157">
        <f t="shared" si="0"/>
        <v>15673</v>
      </c>
      <c r="F11" s="11"/>
      <c r="G11" s="157">
        <f t="shared" ref="G11:P11" si="1">+SUM(G10:G10)</f>
        <v>3042</v>
      </c>
      <c r="H11" s="157">
        <f t="shared" si="1"/>
        <v>3177</v>
      </c>
      <c r="I11" s="157">
        <f t="shared" si="1"/>
        <v>3357</v>
      </c>
      <c r="J11" s="157">
        <f t="shared" si="1"/>
        <v>3671</v>
      </c>
      <c r="K11" s="157">
        <f t="shared" si="1"/>
        <v>3636</v>
      </c>
      <c r="L11" s="157">
        <f t="shared" si="1"/>
        <v>3807</v>
      </c>
      <c r="M11" s="157">
        <f t="shared" si="1"/>
        <v>3988</v>
      </c>
      <c r="N11" s="157">
        <f t="shared" si="1"/>
        <v>4242</v>
      </c>
      <c r="O11" s="157">
        <f t="shared" si="1"/>
        <v>4190</v>
      </c>
      <c r="P11" s="157">
        <f t="shared" si="1"/>
        <v>4193</v>
      </c>
      <c r="Q11" s="157">
        <f>+SUM(Q10:Q10)</f>
        <v>4272</v>
      </c>
      <c r="S11" s="157">
        <f t="shared" ref="S11:Y11" si="2">+SUM(S10:S10)</f>
        <v>13247</v>
      </c>
      <c r="T11" s="157">
        <f t="shared" si="2"/>
        <v>13841</v>
      </c>
      <c r="U11" s="157">
        <f t="shared" si="2"/>
        <v>14471</v>
      </c>
      <c r="V11" s="157">
        <f t="shared" si="2"/>
        <v>15102</v>
      </c>
      <c r="W11" s="157">
        <f t="shared" si="2"/>
        <v>15673</v>
      </c>
      <c r="X11" s="157">
        <f t="shared" si="2"/>
        <v>16227</v>
      </c>
      <c r="Y11" s="157">
        <f t="shared" si="2"/>
        <v>16613</v>
      </c>
      <c r="Z11" s="157">
        <f>+SUM(Z10:Z10)</f>
        <v>16897</v>
      </c>
      <c r="AA11" s="38"/>
      <c r="AB11" s="15">
        <f>SUM(Z11/V11)-1</f>
        <v>0.11885842934710644</v>
      </c>
    </row>
    <row r="12" spans="1:28" s="20" customFormat="1" ht="5.0999999999999996" customHeight="1">
      <c r="B12" s="18"/>
      <c r="C12" s="19"/>
      <c r="D12" s="19"/>
      <c r="E12" s="19"/>
      <c r="G12" s="21"/>
      <c r="H12" s="21"/>
      <c r="I12" s="21"/>
      <c r="J12" s="21"/>
      <c r="K12" s="21"/>
      <c r="L12" s="21"/>
      <c r="M12" s="21"/>
      <c r="N12" s="21"/>
      <c r="O12" s="22"/>
      <c r="P12" s="21"/>
      <c r="Q12" s="21"/>
      <c r="AB12" s="74"/>
    </row>
    <row r="13" spans="1:28" ht="12.75" customHeight="1">
      <c r="B13" s="9" t="s">
        <v>174</v>
      </c>
      <c r="C13" s="81">
        <v>-7355</v>
      </c>
      <c r="D13" s="81">
        <v>-8231</v>
      </c>
      <c r="E13" s="81">
        <v>-9324</v>
      </c>
      <c r="F13" s="24"/>
      <c r="G13" s="93">
        <v>-1937</v>
      </c>
      <c r="H13" s="93">
        <v>-1984</v>
      </c>
      <c r="I13" s="93">
        <v>-2062</v>
      </c>
      <c r="J13" s="31">
        <f>SUM(D13-SUM(G13:I13))</f>
        <v>-2248</v>
      </c>
      <c r="K13" s="93">
        <v>-2268</v>
      </c>
      <c r="L13" s="93">
        <v>-2300</v>
      </c>
      <c r="M13" s="93">
        <v>-2338</v>
      </c>
      <c r="N13" s="31">
        <f>SUM(E13-SUM(K13:M13))</f>
        <v>-2418</v>
      </c>
      <c r="O13" s="93">
        <v>-2509</v>
      </c>
      <c r="P13" s="93">
        <v>-2503</v>
      </c>
      <c r="Q13" s="81">
        <v>-2557</v>
      </c>
      <c r="S13" s="31">
        <f>SUM(G13:J13)</f>
        <v>-8231</v>
      </c>
      <c r="T13" s="31">
        <f>SUM(H13:K13)</f>
        <v>-8562</v>
      </c>
      <c r="U13" s="31">
        <f>SUM(I13:L13)</f>
        <v>-8878</v>
      </c>
      <c r="V13" s="31">
        <f>SUM(J13:M13)</f>
        <v>-9154</v>
      </c>
      <c r="W13" s="31">
        <f>SUM(K13:N13)</f>
        <v>-9324</v>
      </c>
      <c r="X13" s="31">
        <f>SUM(L13:O13)</f>
        <v>-9565</v>
      </c>
      <c r="Y13" s="31">
        <f>SUM(M13:P13)</f>
        <v>-9768</v>
      </c>
      <c r="Z13" s="31">
        <f>SUM(N13:Q13)</f>
        <v>-9987</v>
      </c>
      <c r="AA13" s="11"/>
      <c r="AB13" s="12">
        <f>SUM(Z13/V13)-1</f>
        <v>9.0998470613939286E-2</v>
      </c>
    </row>
    <row r="14" spans="1:28" ht="12.75" customHeight="1">
      <c r="B14" s="9" t="s">
        <v>173</v>
      </c>
      <c r="C14" s="81">
        <v>-1446</v>
      </c>
      <c r="D14" s="81">
        <v>-1619</v>
      </c>
      <c r="E14" s="81">
        <v>-1625</v>
      </c>
      <c r="F14" s="24"/>
      <c r="G14" s="93">
        <v>-339</v>
      </c>
      <c r="H14" s="93">
        <v>-427</v>
      </c>
      <c r="I14" s="93">
        <v>-410</v>
      </c>
      <c r="J14" s="31">
        <f>SUM(D14-SUM(G14:I14))</f>
        <v>-443</v>
      </c>
      <c r="K14" s="93">
        <v>-364</v>
      </c>
      <c r="L14" s="93">
        <v>-395</v>
      </c>
      <c r="M14" s="93">
        <v>-410</v>
      </c>
      <c r="N14" s="31">
        <f>SUM(E14-SUM(K14:M14))</f>
        <v>-456</v>
      </c>
      <c r="O14" s="93">
        <v>-355</v>
      </c>
      <c r="P14" s="93">
        <v>-370</v>
      </c>
      <c r="Q14" s="81">
        <v>-364</v>
      </c>
      <c r="S14" s="31">
        <f>SUM(G14:J14)</f>
        <v>-1619</v>
      </c>
      <c r="T14" s="31">
        <f>SUM(H14:K14)</f>
        <v>-1644</v>
      </c>
      <c r="U14" s="31">
        <f>SUM(I14:L14)</f>
        <v>-1612</v>
      </c>
      <c r="V14" s="31">
        <f>SUM(J14:M14)</f>
        <v>-1612</v>
      </c>
      <c r="W14" s="31">
        <f>SUM(K14:N14)</f>
        <v>-1625</v>
      </c>
      <c r="X14" s="31">
        <f>SUM(L14:O14)</f>
        <v>-1616</v>
      </c>
      <c r="Y14" s="31">
        <f>SUM(M14:P14)</f>
        <v>-1591</v>
      </c>
      <c r="Z14" s="31">
        <f>SUM(N14:Q14)</f>
        <v>-1545</v>
      </c>
      <c r="AA14" s="11"/>
      <c r="AB14" s="12"/>
    </row>
    <row r="15" spans="1:28" ht="12.75" customHeight="1">
      <c r="B15" s="25" t="s">
        <v>19</v>
      </c>
      <c r="C15" s="158">
        <f>+SUM(C11+SUM(C13:C14))</f>
        <v>2926</v>
      </c>
      <c r="D15" s="158">
        <f t="shared" ref="D15:E15" si="3">+SUM(D11+SUM(D13:D14))</f>
        <v>3397</v>
      </c>
      <c r="E15" s="158">
        <f t="shared" si="3"/>
        <v>4724</v>
      </c>
      <c r="G15" s="158">
        <f t="shared" ref="G15" si="4">+SUM(G11+SUM(G13:G14))</f>
        <v>766</v>
      </c>
      <c r="H15" s="158">
        <f t="shared" ref="H15" si="5">+SUM(H11+SUM(H13:H14))</f>
        <v>766</v>
      </c>
      <c r="I15" s="158">
        <f t="shared" ref="I15" si="6">+SUM(I11+SUM(I13:I14))</f>
        <v>885</v>
      </c>
      <c r="J15" s="158">
        <f t="shared" ref="J15" si="7">+SUM(J11+SUM(J13:J14))</f>
        <v>980</v>
      </c>
      <c r="K15" s="158">
        <f t="shared" ref="K15" si="8">+SUM(K11+SUM(K13:K14))</f>
        <v>1004</v>
      </c>
      <c r="L15" s="158">
        <f t="shared" ref="L15" si="9">+SUM(L11+SUM(L13:L14))</f>
        <v>1112</v>
      </c>
      <c r="M15" s="158">
        <f t="shared" ref="M15" si="10">+SUM(M11+SUM(M13:M14))</f>
        <v>1240</v>
      </c>
      <c r="N15" s="158">
        <f t="shared" ref="N15" si="11">+SUM(N11+SUM(N13:N14))</f>
        <v>1368</v>
      </c>
      <c r="O15" s="158">
        <f t="shared" ref="O15" si="12">+SUM(O11+SUM(O13:O14))</f>
        <v>1326</v>
      </c>
      <c r="P15" s="158">
        <f t="shared" ref="P15" si="13">+SUM(P11+SUM(P13:P14))</f>
        <v>1320</v>
      </c>
      <c r="Q15" s="158">
        <f t="shared" ref="Q15" si="14">+SUM(Q11+SUM(Q13:Q14))</f>
        <v>1351</v>
      </c>
      <c r="S15" s="158">
        <f>+SUM(S11+SUM(S13:S13))</f>
        <v>5016</v>
      </c>
      <c r="T15" s="158">
        <f>+SUM(T11+SUM(T13:T13))</f>
        <v>5279</v>
      </c>
      <c r="U15" s="158">
        <f>+SUM(U11+SUM(U13:U13))</f>
        <v>5593</v>
      </c>
      <c r="V15" s="158">
        <f t="shared" ref="V15" si="15">+SUM(V11+SUM(V13:V14))</f>
        <v>4336</v>
      </c>
      <c r="W15" s="158">
        <f t="shared" ref="W15" si="16">+SUM(W11+SUM(W13:W14))</f>
        <v>4724</v>
      </c>
      <c r="X15" s="158">
        <f t="shared" ref="X15" si="17">+SUM(X11+SUM(X13:X14))</f>
        <v>5046</v>
      </c>
      <c r="Y15" s="158">
        <f t="shared" ref="Y15" si="18">+SUM(Y11+SUM(Y13:Y14))</f>
        <v>5254</v>
      </c>
      <c r="Z15" s="158">
        <f t="shared" ref="Z15" si="19">+SUM(Z11+SUM(Z13:Z14))</f>
        <v>5365</v>
      </c>
      <c r="AA15" s="40"/>
      <c r="AB15" s="75">
        <f>SUM(Z15/V15)-1</f>
        <v>0.23731549815498165</v>
      </c>
    </row>
    <row r="16" spans="1:28" ht="12.75" customHeight="1">
      <c r="B16" s="16" t="s">
        <v>28</v>
      </c>
      <c r="C16" s="17">
        <f>C15/C11</f>
        <v>0.2495096785196555</v>
      </c>
      <c r="D16" s="17">
        <f>D15/D11</f>
        <v>0.25643541934022795</v>
      </c>
      <c r="E16" s="17">
        <f>E15/E11</f>
        <v>0.30141006827027372</v>
      </c>
      <c r="F16" s="26"/>
      <c r="G16" s="17">
        <f>G15/G11</f>
        <v>0.2518080210387903</v>
      </c>
      <c r="H16" s="17">
        <f>H15/H11</f>
        <v>0.24110796348756688</v>
      </c>
      <c r="I16" s="17">
        <f>I15/I11</f>
        <v>0.26362823949955316</v>
      </c>
      <c r="J16" s="17">
        <f>J15/J11</f>
        <v>0.26695723236175428</v>
      </c>
      <c r="K16" s="17">
        <f>K15/K11</f>
        <v>0.27612761276127612</v>
      </c>
      <c r="L16" s="17">
        <f>L15/L11</f>
        <v>0.29209351195166799</v>
      </c>
      <c r="M16" s="17">
        <f>M15/M11</f>
        <v>0.31093279839518556</v>
      </c>
      <c r="N16" s="17">
        <f>N15/N11</f>
        <v>0.32248939179632247</v>
      </c>
      <c r="O16" s="17">
        <f>O15/O11</f>
        <v>0.31646778042959428</v>
      </c>
      <c r="P16" s="17">
        <f>P15/P11</f>
        <v>0.3148103982828524</v>
      </c>
      <c r="Q16" s="17">
        <f>Q15/Q11</f>
        <v>0.31624531835205993</v>
      </c>
      <c r="R16" s="27"/>
      <c r="S16" s="17">
        <f>S15/S11</f>
        <v>0.37865177021212348</v>
      </c>
      <c r="T16" s="17">
        <f>T15/T11</f>
        <v>0.38140307781229682</v>
      </c>
      <c r="U16" s="17">
        <f>U15/U11</f>
        <v>0.38649713219542531</v>
      </c>
      <c r="V16" s="17">
        <f>V15/V11</f>
        <v>0.28711428949807971</v>
      </c>
      <c r="W16" s="17">
        <f>W15/W11</f>
        <v>0.30141006827027372</v>
      </c>
      <c r="X16" s="17">
        <f>X15/X11</f>
        <v>0.31096320946570533</v>
      </c>
      <c r="Y16" s="17">
        <f>Y15/Y11</f>
        <v>0.31625835189309576</v>
      </c>
      <c r="Z16" s="17">
        <f>Z15/Z11</f>
        <v>0.31751198437592471</v>
      </c>
      <c r="AA16" s="40"/>
      <c r="AB16" s="76">
        <f>SUM(Z16-V16)*1000</f>
        <v>30.397694877844994</v>
      </c>
    </row>
    <row r="17" spans="2:28" ht="5.0999999999999996" customHeight="1">
      <c r="B17" s="28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S17" s="29"/>
      <c r="T17" s="29"/>
      <c r="U17" s="29"/>
      <c r="V17" s="29"/>
      <c r="W17" s="29"/>
      <c r="X17" s="29"/>
      <c r="Y17" s="29"/>
      <c r="Z17" s="29"/>
      <c r="AA17" s="40"/>
      <c r="AB17" s="74"/>
    </row>
    <row r="18" spans="2:28" ht="12.75" customHeight="1">
      <c r="B18" s="9" t="s">
        <v>115</v>
      </c>
      <c r="C18" s="81">
        <v>-1387</v>
      </c>
      <c r="D18" s="81">
        <v>-1725</v>
      </c>
      <c r="E18" s="81">
        <v>-1486</v>
      </c>
      <c r="F18" s="31"/>
      <c r="G18" s="81">
        <v>-435</v>
      </c>
      <c r="H18" s="81">
        <v>-453</v>
      </c>
      <c r="I18" s="81">
        <v>-369</v>
      </c>
      <c r="J18" s="31">
        <f>SUM(D18-SUM(G18:I18))</f>
        <v>-468</v>
      </c>
      <c r="K18" s="81">
        <v>-389</v>
      </c>
      <c r="L18" s="81">
        <v>-379</v>
      </c>
      <c r="M18" s="81">
        <v>-342</v>
      </c>
      <c r="N18" s="31">
        <f>SUM(E18-SUM(K18:M18))</f>
        <v>-376</v>
      </c>
      <c r="O18" s="81">
        <v>-379</v>
      </c>
      <c r="P18" s="81">
        <v>-415</v>
      </c>
      <c r="Q18" s="81">
        <v>-309</v>
      </c>
      <c r="S18" s="31">
        <f>SUM(G18:J18)</f>
        <v>-1725</v>
      </c>
      <c r="T18" s="31">
        <f>SUM(H18:K18)</f>
        <v>-1679</v>
      </c>
      <c r="U18" s="31">
        <f>SUM(I18:L18)</f>
        <v>-1605</v>
      </c>
      <c r="V18" s="31">
        <f>SUM(J18:M18)</f>
        <v>-1578</v>
      </c>
      <c r="W18" s="31">
        <f>SUM(K18:N18)</f>
        <v>-1486</v>
      </c>
      <c r="X18" s="31">
        <f>SUM(L18:O18)</f>
        <v>-1476</v>
      </c>
      <c r="Y18" s="31">
        <f>SUM(M18:P18)</f>
        <v>-1512</v>
      </c>
      <c r="Z18" s="31">
        <f>SUM(N18:Q18)</f>
        <v>-1479</v>
      </c>
      <c r="AA18" s="11"/>
      <c r="AB18" s="74">
        <f>SUM(Z18/V18)-1</f>
        <v>-6.2737642585551368E-2</v>
      </c>
    </row>
    <row r="19" spans="2:28" ht="12.75" customHeight="1">
      <c r="B19" s="9" t="s">
        <v>116</v>
      </c>
      <c r="C19" s="81">
        <v>-1572</v>
      </c>
      <c r="D19" s="81">
        <v>-1533</v>
      </c>
      <c r="E19" s="81">
        <v>-1392</v>
      </c>
      <c r="F19" s="31"/>
      <c r="G19" s="81">
        <v>-347</v>
      </c>
      <c r="H19" s="81">
        <v>-399</v>
      </c>
      <c r="I19" s="81">
        <v>-355</v>
      </c>
      <c r="J19" s="31">
        <f>SUM(D19-SUM(G19:I19))</f>
        <v>-432</v>
      </c>
      <c r="K19" s="81">
        <v>-324</v>
      </c>
      <c r="L19" s="81">
        <v>-343</v>
      </c>
      <c r="M19" s="81">
        <v>-332</v>
      </c>
      <c r="N19" s="31">
        <f>SUM(E19-SUM(K19:M19))</f>
        <v>-393</v>
      </c>
      <c r="O19" s="81">
        <v>-314</v>
      </c>
      <c r="P19" s="81">
        <v>-364</v>
      </c>
      <c r="Q19" s="81">
        <v>-349</v>
      </c>
      <c r="S19" s="31">
        <f>SUM(G19:J19)</f>
        <v>-1533</v>
      </c>
      <c r="T19" s="31">
        <f>SUM(H19:K19)</f>
        <v>-1510</v>
      </c>
      <c r="U19" s="31">
        <f>SUM(I19:L19)</f>
        <v>-1454</v>
      </c>
      <c r="V19" s="31">
        <f>SUM(J19:M19)</f>
        <v>-1431</v>
      </c>
      <c r="W19" s="31">
        <f>SUM(K19:N19)</f>
        <v>-1392</v>
      </c>
      <c r="X19" s="31">
        <f>SUM(L19:O19)</f>
        <v>-1382</v>
      </c>
      <c r="Y19" s="31">
        <f>SUM(M19:P19)</f>
        <v>-1403</v>
      </c>
      <c r="Z19" s="31">
        <f>SUM(N19:Q19)</f>
        <v>-1420</v>
      </c>
      <c r="AA19" s="11"/>
      <c r="AB19" s="74">
        <f>SUM(Z19/V19)-1</f>
        <v>-7.686932215234088E-3</v>
      </c>
    </row>
    <row r="20" spans="2:28" ht="12.75" customHeight="1">
      <c r="B20" s="9" t="s">
        <v>117</v>
      </c>
      <c r="C20" s="81">
        <v>-626</v>
      </c>
      <c r="D20" s="81">
        <v>-585</v>
      </c>
      <c r="E20" s="81">
        <v>-481</v>
      </c>
      <c r="F20" s="31"/>
      <c r="G20" s="81">
        <v>-140</v>
      </c>
      <c r="H20" s="81">
        <v>-161</v>
      </c>
      <c r="I20" s="81">
        <v>-129</v>
      </c>
      <c r="J20" s="31">
        <f>SUM(D20-SUM(G20:I20))</f>
        <v>-155</v>
      </c>
      <c r="K20" s="81">
        <v>-123</v>
      </c>
      <c r="L20" s="81">
        <v>-124</v>
      </c>
      <c r="M20" s="81">
        <v>-112</v>
      </c>
      <c r="N20" s="31">
        <f>SUM(E20-SUM(K20:M20))</f>
        <v>-122</v>
      </c>
      <c r="O20" s="81">
        <v>-124</v>
      </c>
      <c r="P20" s="81">
        <v>-135</v>
      </c>
      <c r="Q20" s="81">
        <v>-111</v>
      </c>
      <c r="S20" s="31">
        <f>SUM(G20:J20)</f>
        <v>-585</v>
      </c>
      <c r="T20" s="31">
        <f>SUM(H20:K20)</f>
        <v>-568</v>
      </c>
      <c r="U20" s="31">
        <f>SUM(I20:L20)</f>
        <v>-531</v>
      </c>
      <c r="V20" s="31">
        <f>SUM(J20:M20)</f>
        <v>-514</v>
      </c>
      <c r="W20" s="31">
        <f>SUM(K20:N20)</f>
        <v>-481</v>
      </c>
      <c r="X20" s="31">
        <f>SUM(L20:O20)</f>
        <v>-482</v>
      </c>
      <c r="Y20" s="31">
        <f>SUM(M20:P20)</f>
        <v>-493</v>
      </c>
      <c r="Z20" s="31">
        <f>SUM(N20:Q20)</f>
        <v>-492</v>
      </c>
      <c r="AA20" s="11"/>
      <c r="AB20" s="74">
        <f>SUM(Z20/V20)-1</f>
        <v>-4.2801556420233422E-2</v>
      </c>
    </row>
    <row r="21" spans="2:28" ht="12.75" customHeight="1">
      <c r="B21" s="25" t="s">
        <v>78</v>
      </c>
      <c r="C21" s="158">
        <f t="shared" ref="C21:E21" si="20">+SUM(C15+SUM(C18:C20))</f>
        <v>-659</v>
      </c>
      <c r="D21" s="158">
        <f t="shared" si="20"/>
        <v>-446</v>
      </c>
      <c r="E21" s="158">
        <f t="shared" si="20"/>
        <v>1365</v>
      </c>
      <c r="G21" s="158">
        <f t="shared" ref="G21:Q21" si="21">+SUM(G15+SUM(G18:G20))</f>
        <v>-156</v>
      </c>
      <c r="H21" s="158">
        <f t="shared" si="21"/>
        <v>-247</v>
      </c>
      <c r="I21" s="158">
        <f t="shared" si="21"/>
        <v>32</v>
      </c>
      <c r="J21" s="158">
        <f t="shared" si="21"/>
        <v>-75</v>
      </c>
      <c r="K21" s="158">
        <f t="shared" si="21"/>
        <v>168</v>
      </c>
      <c r="L21" s="158">
        <f t="shared" si="21"/>
        <v>266</v>
      </c>
      <c r="M21" s="158">
        <f t="shared" si="21"/>
        <v>454</v>
      </c>
      <c r="N21" s="158">
        <f t="shared" si="21"/>
        <v>477</v>
      </c>
      <c r="O21" s="158">
        <f t="shared" si="21"/>
        <v>509</v>
      </c>
      <c r="P21" s="158">
        <f t="shared" si="21"/>
        <v>406</v>
      </c>
      <c r="Q21" s="158">
        <f t="shared" si="21"/>
        <v>582</v>
      </c>
      <c r="S21" s="158">
        <f t="shared" ref="S21:Z21" si="22">+SUM(S15+SUM(S18:S20))</f>
        <v>1173</v>
      </c>
      <c r="T21" s="158">
        <f t="shared" si="22"/>
        <v>1522</v>
      </c>
      <c r="U21" s="158">
        <f t="shared" si="22"/>
        <v>2003</v>
      </c>
      <c r="V21" s="158">
        <f t="shared" si="22"/>
        <v>813</v>
      </c>
      <c r="W21" s="158">
        <f t="shared" si="22"/>
        <v>1365</v>
      </c>
      <c r="X21" s="158">
        <f t="shared" si="22"/>
        <v>1706</v>
      </c>
      <c r="Y21" s="158">
        <f t="shared" si="22"/>
        <v>1846</v>
      </c>
      <c r="Z21" s="158">
        <f t="shared" si="22"/>
        <v>1974</v>
      </c>
      <c r="AA21" s="40"/>
      <c r="AB21" s="75">
        <f>SUM(Z21/V21)-1</f>
        <v>1.4280442804428044</v>
      </c>
    </row>
    <row r="22" spans="2:28" ht="12.75" customHeight="1">
      <c r="B22" s="16" t="s">
        <v>30</v>
      </c>
      <c r="C22" s="17">
        <f>C21/C11</f>
        <v>-5.6195105312526646E-2</v>
      </c>
      <c r="D22" s="17">
        <f>D21/D11</f>
        <v>-3.3668000301955159E-2</v>
      </c>
      <c r="E22" s="17">
        <f>E21/E11</f>
        <v>8.7092451987494421E-2</v>
      </c>
      <c r="F22" s="31"/>
      <c r="G22" s="17">
        <f>G21/G11</f>
        <v>-5.128205128205128E-2</v>
      </c>
      <c r="H22" s="17">
        <f>H21/H11</f>
        <v>-7.7746301542335541E-2</v>
      </c>
      <c r="I22" s="17">
        <f>I21/I11</f>
        <v>9.5323205242776286E-3</v>
      </c>
      <c r="J22" s="17">
        <f>J21/J11</f>
        <v>-2.0430400435848543E-2</v>
      </c>
      <c r="K22" s="17">
        <f>K21/K11</f>
        <v>4.6204620462046202E-2</v>
      </c>
      <c r="L22" s="17">
        <f>L21/L11</f>
        <v>6.9871289729445757E-2</v>
      </c>
      <c r="M22" s="17">
        <f>M21/M11</f>
        <v>0.11384152457372117</v>
      </c>
      <c r="N22" s="17">
        <f>N21/N11</f>
        <v>0.11244695898161244</v>
      </c>
      <c r="O22" s="17">
        <f>O21/O11</f>
        <v>0.12147971360381861</v>
      </c>
      <c r="P22" s="17">
        <f>P21/P11</f>
        <v>9.6828046744574292E-2</v>
      </c>
      <c r="Q22" s="17">
        <f>Q21/Q11</f>
        <v>0.13623595505617977</v>
      </c>
      <c r="S22" s="17">
        <f>S21/S11</f>
        <v>8.8548350569940371E-2</v>
      </c>
      <c r="T22" s="17">
        <f>T21/T11</f>
        <v>0.10996315295137635</v>
      </c>
      <c r="U22" s="17">
        <f>U21/U11</f>
        <v>0.13841476055559396</v>
      </c>
      <c r="V22" s="17">
        <f>V21/V11</f>
        <v>5.3833929280889946E-2</v>
      </c>
      <c r="W22" s="17">
        <f>W21/W11</f>
        <v>8.7092451987494421E-2</v>
      </c>
      <c r="X22" s="17">
        <f>X21/X11</f>
        <v>0.10513341960929315</v>
      </c>
      <c r="Y22" s="17">
        <f>Y21/Y11</f>
        <v>0.1111177993137904</v>
      </c>
      <c r="Z22" s="17">
        <f>Z21/Z11</f>
        <v>0.11682547197727407</v>
      </c>
      <c r="AA22" s="11"/>
      <c r="AB22" s="76">
        <f>SUM(Z22-V22)*1000</f>
        <v>62.99154269638413</v>
      </c>
    </row>
    <row r="23" spans="2:28" ht="5.0999999999999996" customHeight="1">
      <c r="B23" s="16"/>
      <c r="C23" s="17"/>
      <c r="D23" s="17"/>
      <c r="E23" s="17"/>
      <c r="F23" s="31"/>
      <c r="G23" s="81"/>
      <c r="H23" s="81"/>
      <c r="I23" s="81"/>
      <c r="J23" s="81"/>
      <c r="K23" s="81"/>
      <c r="L23" s="81"/>
      <c r="M23" s="81"/>
      <c r="N23" s="81"/>
      <c r="O23" s="31"/>
      <c r="P23" s="81"/>
      <c r="Q23" s="81"/>
      <c r="S23" s="31"/>
      <c r="T23" s="31"/>
      <c r="U23" s="31"/>
      <c r="V23" s="31"/>
      <c r="W23" s="31"/>
      <c r="X23" s="31"/>
      <c r="Y23" s="31"/>
      <c r="Z23" s="31"/>
      <c r="AA23" s="11"/>
      <c r="AB23" s="74"/>
    </row>
    <row r="24" spans="2:28" ht="12.75" customHeight="1">
      <c r="B24" s="9" t="s">
        <v>120</v>
      </c>
      <c r="C24" s="81">
        <v>421</v>
      </c>
      <c r="D24" s="81">
        <v>161</v>
      </c>
      <c r="E24" s="81">
        <v>328</v>
      </c>
      <c r="F24" s="31"/>
      <c r="G24" s="81">
        <v>27</v>
      </c>
      <c r="H24" s="81">
        <v>33</v>
      </c>
      <c r="I24" s="81">
        <v>55</v>
      </c>
      <c r="J24" s="31">
        <f>SUM(D24-SUM(G24:I24))</f>
        <v>46</v>
      </c>
      <c r="K24" s="81">
        <v>59</v>
      </c>
      <c r="L24" s="81">
        <v>76</v>
      </c>
      <c r="M24" s="81">
        <v>66</v>
      </c>
      <c r="N24" s="31">
        <f>SUM(E24-SUM(K24:M24))</f>
        <v>127</v>
      </c>
      <c r="O24" s="81">
        <v>71</v>
      </c>
      <c r="P24" s="81">
        <v>89</v>
      </c>
      <c r="Q24" s="81">
        <v>262</v>
      </c>
      <c r="S24" s="31">
        <f>SUM(G24:J24)</f>
        <v>161</v>
      </c>
      <c r="T24" s="31">
        <f>SUM(H24:K24)</f>
        <v>193</v>
      </c>
      <c r="U24" s="31">
        <f>SUM(I24:L24)</f>
        <v>236</v>
      </c>
      <c r="V24" s="31">
        <f>SUM(J24:M24)</f>
        <v>247</v>
      </c>
      <c r="W24" s="31">
        <f>SUM(K24:N24)</f>
        <v>328</v>
      </c>
      <c r="X24" s="31">
        <f>SUM(L24:O24)</f>
        <v>340</v>
      </c>
      <c r="Y24" s="31">
        <f>SUM(M24:P24)</f>
        <v>353</v>
      </c>
      <c r="Z24" s="31">
        <f>SUM(N24:Q24)</f>
        <v>549</v>
      </c>
      <c r="AA24" s="11"/>
      <c r="AB24" s="74">
        <f>SUM(Z24/V24)-1</f>
        <v>1.2226720647773281</v>
      </c>
    </row>
    <row r="25" spans="2:28" ht="12.75" customHeight="1">
      <c r="B25" s="9" t="s">
        <v>119</v>
      </c>
      <c r="C25" s="81">
        <v>-132</v>
      </c>
      <c r="D25" s="81">
        <v>-220</v>
      </c>
      <c r="E25" s="81">
        <v>-352</v>
      </c>
      <c r="F25" s="31"/>
      <c r="G25" s="93">
        <v>-77</v>
      </c>
      <c r="H25" s="93">
        <v>-27</v>
      </c>
      <c r="I25" s="93">
        <v>-14</v>
      </c>
      <c r="J25" s="31">
        <f>SUM(D25-SUM(G25:I25))</f>
        <v>-102</v>
      </c>
      <c r="K25" s="93">
        <v>-53</v>
      </c>
      <c r="L25" s="93">
        <v>-72</v>
      </c>
      <c r="M25" s="93">
        <v>-122</v>
      </c>
      <c r="N25" s="31">
        <f>SUM(E25-SUM(K25:M25))</f>
        <v>-105</v>
      </c>
      <c r="O25" s="81">
        <v>-252</v>
      </c>
      <c r="P25" s="81">
        <v>-447</v>
      </c>
      <c r="Q25" s="81">
        <v>-17</v>
      </c>
      <c r="S25" s="31">
        <f>SUM(G25:J25)</f>
        <v>-220</v>
      </c>
      <c r="T25" s="31">
        <f>SUM(H25:K25)</f>
        <v>-196</v>
      </c>
      <c r="U25" s="31">
        <f>SUM(I25:L25)</f>
        <v>-241</v>
      </c>
      <c r="V25" s="31">
        <f>SUM(J25:M25)</f>
        <v>-349</v>
      </c>
      <c r="W25" s="31">
        <f>SUM(K25:N25)</f>
        <v>-352</v>
      </c>
      <c r="X25" s="31">
        <f>SUM(L25:O25)</f>
        <v>-551</v>
      </c>
      <c r="Y25" s="31">
        <f>SUM(M25:P25)</f>
        <v>-926</v>
      </c>
      <c r="Z25" s="31">
        <f>SUM(N25:Q25)</f>
        <v>-821</v>
      </c>
      <c r="AA25" s="11"/>
      <c r="AB25" s="74"/>
    </row>
    <row r="26" spans="2:28" ht="12.75" customHeight="1">
      <c r="B26" s="25" t="s">
        <v>79</v>
      </c>
      <c r="C26" s="158">
        <f>SUM(C21+SUM(C24:C25))</f>
        <v>-370</v>
      </c>
      <c r="D26" s="158">
        <f>SUM(D21+SUM(D24:D25))</f>
        <v>-505</v>
      </c>
      <c r="E26" s="158">
        <f>SUM(E21+SUM(E24:E25))</f>
        <v>1341</v>
      </c>
      <c r="G26" s="158">
        <f>SUM(G21+SUM(G24:G25))</f>
        <v>-206</v>
      </c>
      <c r="H26" s="158">
        <f>SUM(H21+SUM(H24:H25))</f>
        <v>-241</v>
      </c>
      <c r="I26" s="158">
        <f>SUM(I21+SUM(I24:I25))</f>
        <v>73</v>
      </c>
      <c r="J26" s="158">
        <f>SUM(J21+SUM(J24:J25))</f>
        <v>-131</v>
      </c>
      <c r="K26" s="158">
        <f>SUM(K21+SUM(K24:K25))</f>
        <v>174</v>
      </c>
      <c r="L26" s="158">
        <f>SUM(L21+SUM(L24:L25))</f>
        <v>270</v>
      </c>
      <c r="M26" s="158">
        <f>SUM(M21+SUM(M24:M25))</f>
        <v>398</v>
      </c>
      <c r="N26" s="158">
        <f>SUM(N21+SUM(N24:N25))</f>
        <v>499</v>
      </c>
      <c r="O26" s="158">
        <f>SUM(O21+SUM(O24:O25))</f>
        <v>328</v>
      </c>
      <c r="P26" s="158">
        <f>SUM(P21+SUM(P24:P25))</f>
        <v>48</v>
      </c>
      <c r="Q26" s="158">
        <f>SUM(Q21+SUM(Q24:Q25))</f>
        <v>827</v>
      </c>
      <c r="S26" s="158">
        <f>SUM(S21+SUM(S24:S25))</f>
        <v>1114</v>
      </c>
      <c r="T26" s="158">
        <f>SUM(T21+SUM(T24:T25))</f>
        <v>1519</v>
      </c>
      <c r="U26" s="158">
        <f>SUM(U21+SUM(U24:U25))</f>
        <v>1998</v>
      </c>
      <c r="V26" s="158">
        <f>SUM(V21+SUM(V24:V25))</f>
        <v>711</v>
      </c>
      <c r="W26" s="158">
        <f>SUM(W21+SUM(W24:W25))</f>
        <v>1341</v>
      </c>
      <c r="X26" s="158">
        <f>SUM(X21+SUM(X24:X25))</f>
        <v>1495</v>
      </c>
      <c r="Y26" s="158">
        <f>SUM(Y21+SUM(Y24:Y25))</f>
        <v>1273</v>
      </c>
      <c r="Z26" s="158">
        <f>SUM(Z21+SUM(Z24:Z25))</f>
        <v>1702</v>
      </c>
      <c r="AA26" s="40"/>
      <c r="AB26" s="75">
        <f>SUM(Z26/V26)-1</f>
        <v>1.3938115330520393</v>
      </c>
    </row>
    <row r="27" spans="2:28" ht="12.75" customHeight="1">
      <c r="B27" s="16" t="s">
        <v>80</v>
      </c>
      <c r="C27" s="17">
        <f>C26/C11</f>
        <v>-3.1551121343907224E-2</v>
      </c>
      <c r="D27" s="17">
        <f>D26/D11</f>
        <v>-3.812183890692232E-2</v>
      </c>
      <c r="E27" s="17">
        <f>E26/E11</f>
        <v>8.556115612837363E-2</v>
      </c>
      <c r="F27" s="26"/>
      <c r="G27" s="17">
        <f>G26/G11</f>
        <v>-6.7718606180144636E-2</v>
      </c>
      <c r="H27" s="17">
        <f>H26/H11</f>
        <v>-7.5857727415801074E-2</v>
      </c>
      <c r="I27" s="17">
        <f>I26/I11</f>
        <v>2.1745606196008342E-2</v>
      </c>
      <c r="J27" s="17">
        <f>J26/J11</f>
        <v>-3.5685099427948785E-2</v>
      </c>
      <c r="K27" s="17">
        <f>K26/K11</f>
        <v>4.7854785478547858E-2</v>
      </c>
      <c r="L27" s="17">
        <f>L26/L11</f>
        <v>7.0921985815602842E-2</v>
      </c>
      <c r="M27" s="17">
        <f>M26/M11</f>
        <v>9.9799398194583749E-2</v>
      </c>
      <c r="N27" s="17">
        <f>N26/N11</f>
        <v>0.11763319189061763</v>
      </c>
      <c r="O27" s="17">
        <f>O26/O11</f>
        <v>7.8281622911694507E-2</v>
      </c>
      <c r="P27" s="17">
        <f>P26/P11</f>
        <v>1.1447650846649178E-2</v>
      </c>
      <c r="Q27" s="17">
        <f>Q26/Q11</f>
        <v>0.19358614232209737</v>
      </c>
      <c r="R27" s="27"/>
      <c r="S27" s="17">
        <f>S26/S11</f>
        <v>8.4094511964973195E-2</v>
      </c>
      <c r="T27" s="17">
        <f>T26/T11</f>
        <v>0.10974640560653132</v>
      </c>
      <c r="U27" s="17">
        <f>U26/U11</f>
        <v>0.13806924193214015</v>
      </c>
      <c r="V27" s="17">
        <f>V26/V11</f>
        <v>4.7079856972586411E-2</v>
      </c>
      <c r="W27" s="17">
        <f>W26/W11</f>
        <v>8.556115612837363E-2</v>
      </c>
      <c r="X27" s="17">
        <f>X26/X11</f>
        <v>9.2130399950699451E-2</v>
      </c>
      <c r="Y27" s="17">
        <f>Y26/Y11</f>
        <v>7.6626738096671282E-2</v>
      </c>
      <c r="Z27" s="17">
        <f>Z26/Z11</f>
        <v>0.10072793987098301</v>
      </c>
      <c r="AA27" s="41"/>
      <c r="AB27" s="76">
        <f>SUM(Z27-V27)*1000</f>
        <v>53.648082898396602</v>
      </c>
    </row>
    <row r="28" spans="2:28" ht="5.0999999999999996" customHeight="1">
      <c r="B28" s="28"/>
      <c r="C28" s="42"/>
      <c r="D28" s="42"/>
      <c r="E28" s="42"/>
      <c r="F28" s="29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S28" s="42"/>
      <c r="T28" s="42"/>
      <c r="U28" s="42"/>
      <c r="V28" s="42"/>
      <c r="W28" s="42"/>
      <c r="X28" s="42"/>
      <c r="Y28" s="42"/>
      <c r="Z28" s="42"/>
      <c r="AA28" s="41"/>
      <c r="AB28" s="74"/>
    </row>
    <row r="29" spans="2:28">
      <c r="B29" s="43" t="s">
        <v>121</v>
      </c>
      <c r="C29" s="81">
        <v>-60</v>
      </c>
      <c r="D29" s="81">
        <v>-27</v>
      </c>
      <c r="E29" s="81">
        <v>-203</v>
      </c>
      <c r="F29" s="29"/>
      <c r="G29" s="81">
        <v>-19</v>
      </c>
      <c r="H29" s="81">
        <v>-61</v>
      </c>
      <c r="I29" s="81">
        <v>-8</v>
      </c>
      <c r="J29" s="31">
        <f>SUM(D29-SUM(G29:I29))</f>
        <v>61</v>
      </c>
      <c r="K29" s="81">
        <v>23</v>
      </c>
      <c r="L29" s="81">
        <v>4</v>
      </c>
      <c r="M29" s="81">
        <v>-98</v>
      </c>
      <c r="N29" s="31">
        <f>SUM(E29-SUM(K29:M29))</f>
        <v>-132</v>
      </c>
      <c r="O29" s="81">
        <v>-103</v>
      </c>
      <c r="P29" s="81">
        <v>-134</v>
      </c>
      <c r="Q29" s="81">
        <v>72</v>
      </c>
      <c r="S29" s="31">
        <f>SUM(G29:J29)</f>
        <v>-27</v>
      </c>
      <c r="T29" s="31">
        <f>SUM(H29:K29)</f>
        <v>15</v>
      </c>
      <c r="U29" s="31">
        <f>SUM(I29:L29)</f>
        <v>80</v>
      </c>
      <c r="V29" s="31">
        <f>SUM(J29:M29)</f>
        <v>-10</v>
      </c>
      <c r="W29" s="31">
        <f>SUM(K29:N29)</f>
        <v>-203</v>
      </c>
      <c r="X29" s="31">
        <f>SUM(L29:O29)</f>
        <v>-329</v>
      </c>
      <c r="Y29" s="31">
        <f>SUM(M29:P29)</f>
        <v>-467</v>
      </c>
      <c r="Z29" s="31">
        <f>SUM(N29:Q29)</f>
        <v>-297</v>
      </c>
      <c r="AA29" s="41"/>
      <c r="AB29" s="74"/>
    </row>
    <row r="30" spans="2:28" ht="12.75" customHeight="1">
      <c r="B30" s="13" t="s">
        <v>49</v>
      </c>
      <c r="C30" s="157">
        <f>SUM(C26+SUM(C29:C29))</f>
        <v>-430</v>
      </c>
      <c r="D30" s="157">
        <f>SUM(D26+SUM(D29:D29))</f>
        <v>-532</v>
      </c>
      <c r="E30" s="157">
        <f>SUM(E26+SUM(E29:E29))</f>
        <v>1138</v>
      </c>
      <c r="F30" s="11"/>
      <c r="G30" s="157">
        <f>SUM(G26+SUM(G29:G29))</f>
        <v>-225</v>
      </c>
      <c r="H30" s="157">
        <f>SUM(H26+SUM(H29:H29))</f>
        <v>-302</v>
      </c>
      <c r="I30" s="157">
        <f>SUM(I26+SUM(I29:I29))</f>
        <v>65</v>
      </c>
      <c r="J30" s="157">
        <f>SUM(J26+SUM(J29:J29))</f>
        <v>-70</v>
      </c>
      <c r="K30" s="157">
        <f>SUM(K26+SUM(K29:K29))</f>
        <v>197</v>
      </c>
      <c r="L30" s="157">
        <f>SUM(L26+SUM(L29:L29))</f>
        <v>274</v>
      </c>
      <c r="M30" s="157">
        <f>SUM(M26+SUM(M29:M29))</f>
        <v>300</v>
      </c>
      <c r="N30" s="157">
        <f>SUM(N26+SUM(N29:N29))</f>
        <v>367</v>
      </c>
      <c r="O30" s="157">
        <f>SUM(O26+SUM(O29:O29))</f>
        <v>225</v>
      </c>
      <c r="P30" s="157">
        <f>SUM(P26+SUM(P29:P29))</f>
        <v>-86</v>
      </c>
      <c r="Q30" s="157">
        <f>SUM(Q26+SUM(Q29:Q29))</f>
        <v>899</v>
      </c>
      <c r="S30" s="157">
        <f t="shared" ref="S30:Y30" si="23">SUM(S26+SUM(S29:S29))</f>
        <v>1087</v>
      </c>
      <c r="T30" s="157">
        <f t="shared" si="23"/>
        <v>1534</v>
      </c>
      <c r="U30" s="157">
        <f t="shared" si="23"/>
        <v>2078</v>
      </c>
      <c r="V30" s="157">
        <f t="shared" si="23"/>
        <v>701</v>
      </c>
      <c r="W30" s="157">
        <f t="shared" si="23"/>
        <v>1138</v>
      </c>
      <c r="X30" s="157">
        <f t="shared" si="23"/>
        <v>1166</v>
      </c>
      <c r="Y30" s="157">
        <f t="shared" si="23"/>
        <v>806</v>
      </c>
      <c r="Z30" s="157">
        <f>SUM(Z26+SUM(Z29:Z29))</f>
        <v>1405</v>
      </c>
      <c r="AA30" s="38"/>
      <c r="AB30" s="15">
        <f>SUM(Z30/V30)-1</f>
        <v>1.0042796005706136</v>
      </c>
    </row>
    <row r="31" spans="2:28" s="148" customFormat="1" ht="12.75" customHeight="1">
      <c r="B31" s="16" t="s">
        <v>64</v>
      </c>
      <c r="C31" s="17">
        <f>C30/C11</f>
        <v>-3.6667519399675962E-2</v>
      </c>
      <c r="D31" s="17">
        <f>D30/D11</f>
        <v>-4.0160036234619161E-2</v>
      </c>
      <c r="E31" s="17">
        <f>E30/E11</f>
        <v>7.2608945319977025E-2</v>
      </c>
      <c r="F31" s="150"/>
      <c r="G31" s="17">
        <f>G30/G11</f>
        <v>-7.3964497041420121E-2</v>
      </c>
      <c r="H31" s="17">
        <f>H30/H11</f>
        <v>-9.5058231035568153E-2</v>
      </c>
      <c r="I31" s="17">
        <f>I30/I11</f>
        <v>1.9362526064938934E-2</v>
      </c>
      <c r="J31" s="17">
        <f>J30/J11</f>
        <v>-1.9068373740125308E-2</v>
      </c>
      <c r="K31" s="17">
        <f>K30/K11</f>
        <v>5.4180418041804179E-2</v>
      </c>
      <c r="L31" s="17">
        <f>L30/L11</f>
        <v>7.1972681901759913E-2</v>
      </c>
      <c r="M31" s="17">
        <f>M30/M11</f>
        <v>7.5225677031093285E-2</v>
      </c>
      <c r="N31" s="17">
        <f>N30/N11</f>
        <v>8.651579443658651E-2</v>
      </c>
      <c r="O31" s="17">
        <f>O30/O11</f>
        <v>5.3699284009546537E-2</v>
      </c>
      <c r="P31" s="17">
        <f>P30/P11</f>
        <v>-2.0510374433579774E-2</v>
      </c>
      <c r="Q31" s="17">
        <f>Q30/Q11</f>
        <v>0.21044007490636704</v>
      </c>
      <c r="R31" s="151"/>
      <c r="S31" s="149"/>
      <c r="T31" s="149"/>
      <c r="U31" s="149"/>
      <c r="V31" s="17">
        <f>V30/V11</f>
        <v>4.6417693020791947E-2</v>
      </c>
      <c r="W31" s="17">
        <f>W30/W11</f>
        <v>7.2608945319977025E-2</v>
      </c>
      <c r="X31" s="17">
        <f>X30/X11</f>
        <v>7.1855549392986995E-2</v>
      </c>
      <c r="Y31" s="17">
        <f>Y30/Y11</f>
        <v>4.8516222235598629E-2</v>
      </c>
      <c r="Z31" s="17">
        <f>Z30/Z11</f>
        <v>8.3150855181393146E-2</v>
      </c>
      <c r="AA31" s="152"/>
      <c r="AB31" s="153"/>
    </row>
    <row r="32" spans="2:28" ht="5.0999999999999996" customHeight="1">
      <c r="B32" s="16"/>
      <c r="C32" s="17"/>
      <c r="D32" s="17"/>
      <c r="E32" s="17"/>
      <c r="F32" s="26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27"/>
      <c r="S32" s="17"/>
      <c r="T32" s="17"/>
      <c r="U32" s="17"/>
      <c r="V32" s="17"/>
      <c r="W32" s="17"/>
      <c r="X32" s="17"/>
      <c r="Y32" s="17"/>
      <c r="Z32" s="17"/>
      <c r="AA32" s="41"/>
      <c r="AB32" s="76"/>
    </row>
    <row r="33" spans="1:28" ht="12.75" customHeight="1">
      <c r="B33" s="43" t="s">
        <v>90</v>
      </c>
      <c r="C33" s="81">
        <v>192.93486200000001</v>
      </c>
      <c r="D33" s="81">
        <v>194.732304</v>
      </c>
      <c r="E33" s="81">
        <v>200.62251800000001</v>
      </c>
      <c r="F33" s="26"/>
      <c r="G33" s="81">
        <v>193.56246200000001</v>
      </c>
      <c r="H33" s="81">
        <v>194.42012800000001</v>
      </c>
      <c r="I33" s="81">
        <v>194.88172299999999</v>
      </c>
      <c r="J33" s="31">
        <f>D33</f>
        <v>194.732304</v>
      </c>
      <c r="K33" s="81">
        <v>198.02545599999999</v>
      </c>
      <c r="L33" s="81">
        <v>199.959172</v>
      </c>
      <c r="M33" s="81">
        <v>201.575568</v>
      </c>
      <c r="N33" s="31">
        <f>E33</f>
        <v>200.62251800000001</v>
      </c>
      <c r="O33" s="81">
        <v>204.467927</v>
      </c>
      <c r="P33" s="81">
        <v>205.426999</v>
      </c>
      <c r="Q33" s="81">
        <v>205.96450400000001</v>
      </c>
      <c r="R33" s="132"/>
      <c r="S33" s="31">
        <f>J33</f>
        <v>194.732304</v>
      </c>
      <c r="T33" s="31">
        <f>K33</f>
        <v>198.02545599999999</v>
      </c>
      <c r="U33" s="31">
        <f>L33</f>
        <v>199.959172</v>
      </c>
      <c r="V33" s="31">
        <f>M33</f>
        <v>201.575568</v>
      </c>
      <c r="W33" s="31">
        <f>N33</f>
        <v>200.62251800000001</v>
      </c>
      <c r="X33" s="31">
        <f>O33</f>
        <v>204.467927</v>
      </c>
      <c r="Y33" s="31">
        <f>P33</f>
        <v>205.426999</v>
      </c>
      <c r="Z33" s="31">
        <f>Q33</f>
        <v>205.96450400000001</v>
      </c>
      <c r="AA33" s="41"/>
      <c r="AB33" s="74">
        <f>SUM(Z33/V33)-1</f>
        <v>2.1773154571986586E-2</v>
      </c>
    </row>
    <row r="34" spans="1:28" ht="12.75" customHeight="1">
      <c r="B34" s="13" t="s">
        <v>123</v>
      </c>
      <c r="C34" s="159">
        <f t="shared" ref="C34:E34" si="24">C30/C33</f>
        <v>-2.2287314772588895</v>
      </c>
      <c r="D34" s="159">
        <f t="shared" si="24"/>
        <v>-2.7319555567934941</v>
      </c>
      <c r="E34" s="159">
        <f t="shared" si="24"/>
        <v>5.6723443177998591</v>
      </c>
      <c r="F34" s="160"/>
      <c r="G34" s="159">
        <f t="shared" ref="G34:P34" si="25">G30/G33</f>
        <v>-1.16241546875964</v>
      </c>
      <c r="H34" s="159">
        <f t="shared" si="25"/>
        <v>-1.5533371112686438</v>
      </c>
      <c r="I34" s="159">
        <f t="shared" si="25"/>
        <v>0.33353563894752719</v>
      </c>
      <c r="J34" s="159">
        <f t="shared" si="25"/>
        <v>-0.35946783642019664</v>
      </c>
      <c r="K34" s="159">
        <f t="shared" si="25"/>
        <v>0.99482159505796064</v>
      </c>
      <c r="L34" s="159">
        <f t="shared" si="25"/>
        <v>1.3702797289038584</v>
      </c>
      <c r="M34" s="159">
        <f t="shared" si="25"/>
        <v>1.4882756029242592</v>
      </c>
      <c r="N34" s="159">
        <f t="shared" si="25"/>
        <v>1.8293061200637506</v>
      </c>
      <c r="O34" s="159">
        <f t="shared" si="25"/>
        <v>1.1004170839957701</v>
      </c>
      <c r="P34" s="159">
        <f t="shared" si="25"/>
        <v>-0.41864020025916848</v>
      </c>
      <c r="Q34" s="159">
        <f>Q30/Q33</f>
        <v>4.364829776688123</v>
      </c>
      <c r="R34" s="160"/>
      <c r="S34" s="159">
        <f t="shared" ref="S34" si="26">S30/S33</f>
        <v>5.5820219741250536</v>
      </c>
      <c r="T34" s="159">
        <f t="shared" ref="T34" si="27">T30/T33</f>
        <v>7.7464788163396534</v>
      </c>
      <c r="U34" s="159">
        <f t="shared" ref="U34" si="28">U30/U33</f>
        <v>10.392121447672329</v>
      </c>
      <c r="V34" s="159">
        <f t="shared" ref="V34" si="29">V30/V33</f>
        <v>3.477603992166352</v>
      </c>
      <c r="W34" s="159">
        <f t="shared" ref="W34" si="30">W30/W33</f>
        <v>5.6723443177998591</v>
      </c>
      <c r="X34" s="159">
        <f t="shared" ref="X34" si="31">X30/X33</f>
        <v>5.7026058663958574</v>
      </c>
      <c r="Y34" s="159">
        <f t="shared" ref="Y34" si="32">Y30/Y33</f>
        <v>3.9235349001033697</v>
      </c>
      <c r="Z34" s="159">
        <f t="shared" ref="Z34" si="33">Z30/Z33</f>
        <v>6.8215637778051308</v>
      </c>
      <c r="AA34" s="38"/>
      <c r="AB34" s="15">
        <f>SUM(Z34/V34)-1</f>
        <v>0.96157003303751098</v>
      </c>
    </row>
    <row r="35" spans="1:28" ht="5.0999999999999996" customHeight="1">
      <c r="B35" s="25"/>
      <c r="C35" s="47"/>
      <c r="D35" s="47"/>
      <c r="E35" s="47"/>
      <c r="F35" s="14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41"/>
      <c r="AB35" s="74"/>
    </row>
    <row r="36" spans="1:28" ht="12.75" customHeight="1">
      <c r="B36" s="43" t="s">
        <v>65</v>
      </c>
      <c r="C36" s="81">
        <v>195.846362</v>
      </c>
      <c r="D36" s="81">
        <v>194.732304</v>
      </c>
      <c r="E36" s="81">
        <v>206.99036899999999</v>
      </c>
      <c r="F36" s="142"/>
      <c r="G36" s="81">
        <v>193.56246200000001</v>
      </c>
      <c r="H36" s="81">
        <v>194.42012800000001</v>
      </c>
      <c r="I36" s="81">
        <v>198.01236900000001</v>
      </c>
      <c r="J36" s="31">
        <f>D36</f>
        <v>194.732304</v>
      </c>
      <c r="K36" s="81">
        <v>203.773043</v>
      </c>
      <c r="L36" s="81">
        <v>206.11985100000001</v>
      </c>
      <c r="M36" s="81">
        <v>207.39950099999999</v>
      </c>
      <c r="N36" s="31">
        <f>E36</f>
        <v>206.99036899999999</v>
      </c>
      <c r="O36" s="81">
        <v>210.24347800000001</v>
      </c>
      <c r="P36" s="81">
        <v>205.426999</v>
      </c>
      <c r="Q36" s="81">
        <v>213.78973500000001</v>
      </c>
      <c r="R36" s="132"/>
      <c r="S36" s="31">
        <f>J36</f>
        <v>194.732304</v>
      </c>
      <c r="T36" s="31">
        <f>K36</f>
        <v>203.773043</v>
      </c>
      <c r="U36" s="31">
        <f>L36</f>
        <v>206.11985100000001</v>
      </c>
      <c r="V36" s="31">
        <f>M36</f>
        <v>207.39950099999999</v>
      </c>
      <c r="W36" s="31">
        <f>N36</f>
        <v>206.99036899999999</v>
      </c>
      <c r="X36" s="31">
        <f>O36</f>
        <v>210.24347800000001</v>
      </c>
      <c r="Y36" s="31">
        <f>P36</f>
        <v>205.426999</v>
      </c>
      <c r="Z36" s="31">
        <f>Q36</f>
        <v>213.78973500000001</v>
      </c>
      <c r="AA36" s="41"/>
      <c r="AB36" s="74">
        <f>SUM(Z36/V36)-1</f>
        <v>3.0811231315354126E-2</v>
      </c>
    </row>
    <row r="37" spans="1:28" ht="12.75" customHeight="1">
      <c r="B37" s="13" t="s">
        <v>122</v>
      </c>
      <c r="C37" s="159">
        <f t="shared" ref="C37" si="34">C30/C36</f>
        <v>-2.1955986090770478</v>
      </c>
      <c r="D37" s="159">
        <f t="shared" ref="D37" si="35">D30/D36</f>
        <v>-2.7319555567934941</v>
      </c>
      <c r="E37" s="159">
        <f t="shared" ref="E37" si="36">E30/E36</f>
        <v>5.4978403367163429</v>
      </c>
      <c r="F37" s="160"/>
      <c r="G37" s="159">
        <f t="shared" ref="G37:P37" si="37">G30/G36</f>
        <v>-1.16241546875964</v>
      </c>
      <c r="H37" s="159">
        <f t="shared" si="37"/>
        <v>-1.5533371112686438</v>
      </c>
      <c r="I37" s="159">
        <f t="shared" si="37"/>
        <v>0.32826232183505666</v>
      </c>
      <c r="J37" s="159">
        <f t="shared" si="37"/>
        <v>-0.35946783642019664</v>
      </c>
      <c r="K37" s="159">
        <f t="shared" si="37"/>
        <v>0.96676183021912276</v>
      </c>
      <c r="L37" s="159">
        <f t="shared" si="37"/>
        <v>1.3293236855677719</v>
      </c>
      <c r="M37" s="159">
        <f t="shared" si="37"/>
        <v>1.4464837116459601</v>
      </c>
      <c r="N37" s="159">
        <f t="shared" si="37"/>
        <v>1.7730293528777661</v>
      </c>
      <c r="O37" s="159">
        <f t="shared" si="37"/>
        <v>1.0701877753373161</v>
      </c>
      <c r="P37" s="159">
        <f t="shared" si="37"/>
        <v>-0.41864020025916848</v>
      </c>
      <c r="Q37" s="159">
        <f>Q30/Q36</f>
        <v>4.2050662535317702</v>
      </c>
      <c r="R37" s="160"/>
      <c r="S37" s="159">
        <f t="shared" ref="S37" si="38">S30/S36</f>
        <v>5.5820219741250536</v>
      </c>
      <c r="T37" s="159">
        <f t="shared" ref="T37" si="39">T30/T36</f>
        <v>7.5279829825184486</v>
      </c>
      <c r="U37" s="159">
        <f t="shared" ref="U37" si="40">U30/U36</f>
        <v>10.081513206605219</v>
      </c>
      <c r="V37" s="159">
        <f t="shared" ref="V37" si="41">V30/V36</f>
        <v>3.3799502728793933</v>
      </c>
      <c r="W37" s="159">
        <f t="shared" ref="W37" si="42">W30/W36</f>
        <v>5.4978403367163429</v>
      </c>
      <c r="X37" s="159">
        <f t="shared" ref="X37" si="43">X30/X36</f>
        <v>5.545950871303603</v>
      </c>
      <c r="Y37" s="159">
        <f t="shared" ref="Y37" si="44">Y30/Y36</f>
        <v>3.9235349001033697</v>
      </c>
      <c r="Z37" s="159">
        <f t="shared" ref="Z37" si="45">Z30/Z36</f>
        <v>6.5718777377220654</v>
      </c>
      <c r="AA37" s="38"/>
      <c r="AB37" s="15">
        <f>SUM(Z37/V37)-1</f>
        <v>0.94437113186385901</v>
      </c>
    </row>
    <row r="38" spans="1:28">
      <c r="B38" s="16"/>
      <c r="C38" s="17"/>
      <c r="D38" s="17"/>
      <c r="E38" s="17"/>
      <c r="F38" s="26"/>
      <c r="G38" s="81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27"/>
      <c r="S38" s="17"/>
      <c r="T38" s="17"/>
      <c r="U38" s="17"/>
      <c r="V38" s="17"/>
      <c r="W38" s="17"/>
      <c r="X38" s="17"/>
      <c r="Y38" s="17"/>
      <c r="Z38" s="17"/>
      <c r="AA38" s="41"/>
    </row>
    <row r="39" spans="1:28" ht="12.75" customHeight="1">
      <c r="A39" s="5" t="s">
        <v>15</v>
      </c>
      <c r="B39" s="104" t="s">
        <v>74</v>
      </c>
      <c r="C39" s="105" t="s">
        <v>0</v>
      </c>
      <c r="D39" s="105"/>
      <c r="E39" s="105"/>
      <c r="F39" s="106"/>
      <c r="G39" s="105" t="s">
        <v>1</v>
      </c>
      <c r="H39" s="105"/>
      <c r="I39" s="105"/>
      <c r="J39" s="105"/>
      <c r="K39" s="105"/>
      <c r="L39" s="105"/>
      <c r="M39" s="105" t="s">
        <v>1</v>
      </c>
      <c r="N39" s="105"/>
      <c r="O39" s="105"/>
      <c r="P39" s="105"/>
      <c r="Q39" s="105"/>
      <c r="R39" s="104"/>
      <c r="S39" s="105"/>
      <c r="T39" s="105"/>
      <c r="U39" s="105" t="s">
        <v>10</v>
      </c>
      <c r="V39" s="105" t="s">
        <v>10</v>
      </c>
      <c r="W39" s="105"/>
      <c r="X39" s="105"/>
      <c r="Y39" s="105"/>
      <c r="Z39" s="105"/>
      <c r="AA39" s="106"/>
      <c r="AB39" s="145" t="s">
        <v>21</v>
      </c>
    </row>
    <row r="40" spans="1:28" ht="12.75" customHeight="1">
      <c r="B40" s="108" t="str">
        <f>B7</f>
        <v>Fiscal Period</v>
      </c>
      <c r="C40" s="107">
        <f>C7</f>
        <v>2022</v>
      </c>
      <c r="D40" s="107">
        <f>D7</f>
        <v>2023</v>
      </c>
      <c r="E40" s="107">
        <f>E7</f>
        <v>2024</v>
      </c>
      <c r="F40" s="106"/>
      <c r="G40" s="107" t="str">
        <f>G7</f>
        <v>1Q23</v>
      </c>
      <c r="H40" s="107" t="str">
        <f>H7</f>
        <v>2Q23</v>
      </c>
      <c r="I40" s="107" t="str">
        <f>I7</f>
        <v>3Q23</v>
      </c>
      <c r="J40" s="107" t="str">
        <f>J7</f>
        <v>4Q23</v>
      </c>
      <c r="K40" s="107" t="str">
        <f>K7</f>
        <v>1Q24</v>
      </c>
      <c r="L40" s="107" t="str">
        <f>L7</f>
        <v>2Q24</v>
      </c>
      <c r="M40" s="107" t="str">
        <f>M7</f>
        <v>3Q24</v>
      </c>
      <c r="N40" s="107" t="str">
        <f>N7</f>
        <v>4Q24</v>
      </c>
      <c r="O40" s="107" t="str">
        <f>O7</f>
        <v>1Q25</v>
      </c>
      <c r="P40" s="107" t="str">
        <f>P7</f>
        <v>2Q25</v>
      </c>
      <c r="Q40" s="107" t="str">
        <f>Q7</f>
        <v>3Q25</v>
      </c>
      <c r="R40" s="109"/>
      <c r="S40" s="107" t="str">
        <f>S7</f>
        <v>4Q23</v>
      </c>
      <c r="T40" s="107" t="str">
        <f>T7</f>
        <v>1Q24</v>
      </c>
      <c r="U40" s="107" t="str">
        <f>U7</f>
        <v>2Q24</v>
      </c>
      <c r="V40" s="107" t="str">
        <f>V7</f>
        <v>3Q24</v>
      </c>
      <c r="W40" s="107" t="str">
        <f>W7</f>
        <v>4Q24</v>
      </c>
      <c r="X40" s="107" t="str">
        <f>X7</f>
        <v>1Q25</v>
      </c>
      <c r="Y40" s="107" t="str">
        <f>Y7</f>
        <v>2Q25</v>
      </c>
      <c r="Z40" s="107" t="str">
        <f>Z7</f>
        <v>3Q25</v>
      </c>
      <c r="AA40" s="106"/>
      <c r="AB40" s="145"/>
    </row>
    <row r="41" spans="1:28" ht="12.75" customHeight="1">
      <c r="B41" s="108" t="str">
        <f>B8</f>
        <v>Fiscal Period End Date</v>
      </c>
      <c r="C41" s="110">
        <f>C8</f>
        <v>44926</v>
      </c>
      <c r="D41" s="110">
        <f>D8</f>
        <v>45291</v>
      </c>
      <c r="E41" s="110">
        <f>E8</f>
        <v>45657</v>
      </c>
      <c r="F41" s="106"/>
      <c r="G41" s="110">
        <f>G8</f>
        <v>45016</v>
      </c>
      <c r="H41" s="110">
        <f>H8</f>
        <v>45107</v>
      </c>
      <c r="I41" s="110">
        <f>I8</f>
        <v>45199</v>
      </c>
      <c r="J41" s="110">
        <f>J8</f>
        <v>45291</v>
      </c>
      <c r="K41" s="110">
        <f>K8</f>
        <v>45382</v>
      </c>
      <c r="L41" s="110">
        <f>L8</f>
        <v>45473</v>
      </c>
      <c r="M41" s="110">
        <f>M8</f>
        <v>45565</v>
      </c>
      <c r="N41" s="110">
        <f>N8</f>
        <v>45657</v>
      </c>
      <c r="O41" s="110">
        <f>O8</f>
        <v>45747</v>
      </c>
      <c r="P41" s="110">
        <f>P8</f>
        <v>45838</v>
      </c>
      <c r="Q41" s="110">
        <f>Q8</f>
        <v>45930</v>
      </c>
      <c r="R41" s="111"/>
      <c r="S41" s="110">
        <f>S8</f>
        <v>45291</v>
      </c>
      <c r="T41" s="110">
        <f>T8</f>
        <v>45382</v>
      </c>
      <c r="U41" s="110">
        <f>U8</f>
        <v>45473</v>
      </c>
      <c r="V41" s="110">
        <f>V8</f>
        <v>45565</v>
      </c>
      <c r="W41" s="110">
        <f>W8</f>
        <v>45657</v>
      </c>
      <c r="X41" s="110">
        <f>X8</f>
        <v>45747</v>
      </c>
      <c r="Y41" s="110">
        <f>Y8</f>
        <v>45838</v>
      </c>
      <c r="Z41" s="110">
        <f>Z8</f>
        <v>45930</v>
      </c>
      <c r="AA41" s="106"/>
      <c r="AB41" s="145"/>
    </row>
    <row r="42" spans="1:28" ht="5.0999999999999996" customHeight="1">
      <c r="B42" s="45"/>
      <c r="C42" s="46"/>
      <c r="D42" s="46"/>
      <c r="E42" s="46"/>
    </row>
    <row r="43" spans="1:28">
      <c r="B43" s="77" t="s">
        <v>81</v>
      </c>
      <c r="C43" s="46"/>
      <c r="D43" s="46"/>
      <c r="E43" s="46"/>
    </row>
    <row r="44" spans="1:28" s="119" customFormat="1" ht="12.75" customHeight="1">
      <c r="B44" s="112" t="s">
        <v>128</v>
      </c>
      <c r="C44" s="120">
        <v>2483</v>
      </c>
      <c r="D44" s="120">
        <v>3114</v>
      </c>
      <c r="E44" s="120">
        <v>4781</v>
      </c>
      <c r="G44" s="81">
        <v>2443</v>
      </c>
      <c r="H44" s="81">
        <v>2550</v>
      </c>
      <c r="I44" s="81">
        <v>2618</v>
      </c>
      <c r="J44" s="31">
        <f>D44</f>
        <v>3114</v>
      </c>
      <c r="K44" s="81">
        <v>3451</v>
      </c>
      <c r="L44" s="81">
        <v>4054</v>
      </c>
      <c r="M44" s="81">
        <v>4688</v>
      </c>
      <c r="N44" s="31">
        <f>E44</f>
        <v>4781</v>
      </c>
      <c r="O44" s="81">
        <v>5019</v>
      </c>
      <c r="P44" s="81">
        <v>5161</v>
      </c>
      <c r="Q44" s="81">
        <v>5456</v>
      </c>
      <c r="S44" s="94">
        <f>J44</f>
        <v>3114</v>
      </c>
      <c r="T44" s="94">
        <f>K44</f>
        <v>3451</v>
      </c>
      <c r="U44" s="94">
        <f>L44</f>
        <v>4054</v>
      </c>
      <c r="V44" s="94">
        <f>M44</f>
        <v>4688</v>
      </c>
      <c r="W44" s="94">
        <f>N44</f>
        <v>4781</v>
      </c>
      <c r="X44" s="94">
        <f>O44</f>
        <v>5019</v>
      </c>
      <c r="Y44" s="94">
        <f>P44</f>
        <v>5161</v>
      </c>
      <c r="Z44" s="94">
        <f>Q44</f>
        <v>5456</v>
      </c>
      <c r="AA44" s="121"/>
      <c r="AB44" s="74">
        <f>SUM(Z44/V44)-1</f>
        <v>0.16382252559726962</v>
      </c>
    </row>
    <row r="45" spans="1:28" s="119" customFormat="1" ht="12.75" customHeight="1">
      <c r="B45" s="112" t="s">
        <v>127</v>
      </c>
      <c r="C45" s="120">
        <v>867</v>
      </c>
      <c r="D45" s="120">
        <v>1100</v>
      </c>
      <c r="E45" s="120">
        <v>2667</v>
      </c>
      <c r="G45" s="81">
        <v>995</v>
      </c>
      <c r="H45" s="81">
        <v>866</v>
      </c>
      <c r="I45" s="81">
        <v>1097</v>
      </c>
      <c r="J45" s="31">
        <f t="shared" ref="J45" si="46">D45</f>
        <v>1100</v>
      </c>
      <c r="K45" s="81">
        <v>1220</v>
      </c>
      <c r="L45" s="81">
        <v>1344</v>
      </c>
      <c r="M45" s="81">
        <v>1392</v>
      </c>
      <c r="N45" s="31">
        <f t="shared" ref="N45" si="47">E45</f>
        <v>2667</v>
      </c>
      <c r="O45" s="81">
        <v>2894</v>
      </c>
      <c r="P45" s="81">
        <v>3183</v>
      </c>
      <c r="Q45" s="81">
        <v>3606</v>
      </c>
      <c r="S45" s="94">
        <f t="shared" ref="S45" si="48">J45</f>
        <v>1100</v>
      </c>
      <c r="T45" s="94">
        <f t="shared" ref="T45" si="49">K45</f>
        <v>1220</v>
      </c>
      <c r="U45" s="94">
        <f t="shared" ref="U45" si="50">L45</f>
        <v>1344</v>
      </c>
      <c r="V45" s="94">
        <f t="shared" ref="V45" si="51">M45</f>
        <v>1392</v>
      </c>
      <c r="W45" s="94">
        <f t="shared" ref="W45" si="52">N45</f>
        <v>2667</v>
      </c>
      <c r="X45" s="94">
        <f t="shared" ref="X45" si="53">O45</f>
        <v>2894</v>
      </c>
      <c r="Y45" s="94">
        <f t="shared" ref="Y45" si="54">P45</f>
        <v>3183</v>
      </c>
      <c r="Z45" s="94">
        <f t="shared" ref="Z45" si="55">Q45</f>
        <v>3606</v>
      </c>
      <c r="AA45" s="121"/>
      <c r="AB45" s="74">
        <f t="shared" ref="AB45" si="56">SUM(Z45/V45)-1</f>
        <v>1.5905172413793105</v>
      </c>
    </row>
    <row r="46" spans="1:28" s="119" customFormat="1" ht="12.75" customHeight="1">
      <c r="B46" s="112" t="s">
        <v>125</v>
      </c>
      <c r="C46" s="120">
        <v>690</v>
      </c>
      <c r="D46" s="120">
        <v>858</v>
      </c>
      <c r="E46" s="120">
        <v>771</v>
      </c>
      <c r="G46" s="81">
        <v>555</v>
      </c>
      <c r="H46" s="81">
        <v>632</v>
      </c>
      <c r="I46" s="81">
        <v>747</v>
      </c>
      <c r="J46" s="31">
        <f t="shared" ref="J46:J48" si="57">D46</f>
        <v>858</v>
      </c>
      <c r="K46" s="81">
        <v>777</v>
      </c>
      <c r="L46" s="81">
        <v>753</v>
      </c>
      <c r="M46" s="81">
        <v>749</v>
      </c>
      <c r="N46" s="31">
        <f t="shared" ref="N46:N48" si="58">E46</f>
        <v>771</v>
      </c>
      <c r="O46" s="81">
        <v>749</v>
      </c>
      <c r="P46" s="81">
        <v>736</v>
      </c>
      <c r="Q46" s="81">
        <v>735</v>
      </c>
      <c r="S46" s="94">
        <f t="shared" ref="S46:S48" si="59">J46</f>
        <v>858</v>
      </c>
      <c r="T46" s="94">
        <f t="shared" ref="T46:T48" si="60">K46</f>
        <v>777</v>
      </c>
      <c r="U46" s="94">
        <f t="shared" ref="U46:U48" si="61">L46</f>
        <v>753</v>
      </c>
      <c r="V46" s="94">
        <f t="shared" ref="V46:V47" si="62">M46</f>
        <v>749</v>
      </c>
      <c r="W46" s="94">
        <f t="shared" ref="W46:W47" si="63">N46</f>
        <v>771</v>
      </c>
      <c r="X46" s="94">
        <f t="shared" ref="X46:X47" si="64">O46</f>
        <v>749</v>
      </c>
      <c r="Y46" s="94">
        <f t="shared" ref="Y46:Y47" si="65">P46</f>
        <v>736</v>
      </c>
      <c r="Z46" s="94">
        <f t="shared" ref="Z46:Z47" si="66">Q46</f>
        <v>735</v>
      </c>
      <c r="AA46" s="121"/>
      <c r="AB46" s="74">
        <f t="shared" ref="AB46:AB48" si="67">SUM(Z46/V46)-1</f>
        <v>-1.8691588785046731E-2</v>
      </c>
    </row>
    <row r="47" spans="1:28" s="119" customFormat="1" ht="12.75" customHeight="1">
      <c r="B47" s="112" t="s">
        <v>124</v>
      </c>
      <c r="C47" s="120">
        <v>5</v>
      </c>
      <c r="D47" s="120">
        <v>20</v>
      </c>
      <c r="E47" s="120">
        <v>28</v>
      </c>
      <c r="G47" s="81">
        <v>5</v>
      </c>
      <c r="H47" s="81">
        <v>8</v>
      </c>
      <c r="I47" s="81">
        <v>8</v>
      </c>
      <c r="J47" s="31">
        <f t="shared" si="57"/>
        <v>20</v>
      </c>
      <c r="K47" s="81">
        <v>21</v>
      </c>
      <c r="L47" s="81">
        <v>35</v>
      </c>
      <c r="M47" s="81">
        <v>27</v>
      </c>
      <c r="N47" s="31">
        <f t="shared" si="58"/>
        <v>28</v>
      </c>
      <c r="O47" s="81">
        <v>46</v>
      </c>
      <c r="P47" s="81">
        <v>83</v>
      </c>
      <c r="Q47" s="81">
        <v>117</v>
      </c>
      <c r="S47" s="94">
        <f t="shared" si="59"/>
        <v>20</v>
      </c>
      <c r="T47" s="94">
        <f t="shared" si="60"/>
        <v>21</v>
      </c>
      <c r="U47" s="94">
        <f t="shared" si="61"/>
        <v>35</v>
      </c>
      <c r="V47" s="94">
        <f t="shared" si="62"/>
        <v>27</v>
      </c>
      <c r="W47" s="94">
        <f t="shared" si="63"/>
        <v>28</v>
      </c>
      <c r="X47" s="94">
        <f t="shared" si="64"/>
        <v>46</v>
      </c>
      <c r="Y47" s="94">
        <f t="shared" si="65"/>
        <v>83</v>
      </c>
      <c r="Z47" s="94">
        <f t="shared" si="66"/>
        <v>117</v>
      </c>
      <c r="AA47" s="121"/>
      <c r="AB47" s="74">
        <f t="shared" si="67"/>
        <v>3.333333333333333</v>
      </c>
    </row>
    <row r="48" spans="1:28" s="119" customFormat="1" ht="12.75" customHeight="1">
      <c r="B48" s="112" t="s">
        <v>126</v>
      </c>
      <c r="C48" s="120">
        <v>307</v>
      </c>
      <c r="D48" s="120">
        <v>168</v>
      </c>
      <c r="E48" s="120">
        <v>132</v>
      </c>
      <c r="G48" s="81">
        <v>295</v>
      </c>
      <c r="H48" s="81">
        <v>273</v>
      </c>
      <c r="I48" s="81">
        <v>225</v>
      </c>
      <c r="J48" s="31">
        <f t="shared" si="57"/>
        <v>168</v>
      </c>
      <c r="K48" s="81">
        <v>175</v>
      </c>
      <c r="L48" s="81">
        <v>158</v>
      </c>
      <c r="M48" s="81">
        <v>147</v>
      </c>
      <c r="N48" s="31">
        <f t="shared" si="58"/>
        <v>132</v>
      </c>
      <c r="O48" s="81">
        <v>146</v>
      </c>
      <c r="P48" s="81">
        <v>136</v>
      </c>
      <c r="Q48" s="81">
        <v>143</v>
      </c>
      <c r="S48" s="94">
        <f t="shared" si="59"/>
        <v>168</v>
      </c>
      <c r="T48" s="94">
        <f t="shared" si="60"/>
        <v>175</v>
      </c>
      <c r="U48" s="94">
        <f t="shared" si="61"/>
        <v>158</v>
      </c>
      <c r="V48" s="94">
        <f t="shared" ref="V48" si="68">M48</f>
        <v>147</v>
      </c>
      <c r="W48" s="94">
        <f t="shared" ref="W48" si="69">N48</f>
        <v>132</v>
      </c>
      <c r="X48" s="94">
        <f t="shared" ref="X48" si="70">O48</f>
        <v>146</v>
      </c>
      <c r="Y48" s="94">
        <f t="shared" ref="Y48" si="71">P48</f>
        <v>136</v>
      </c>
      <c r="Z48" s="94">
        <f t="shared" ref="Z48" si="72">Q48</f>
        <v>143</v>
      </c>
      <c r="AA48" s="121"/>
      <c r="AB48" s="74">
        <f t="shared" si="67"/>
        <v>-2.7210884353741527E-2</v>
      </c>
    </row>
    <row r="49" spans="2:28" ht="12.75" customHeight="1">
      <c r="B49" s="25" t="s">
        <v>17</v>
      </c>
      <c r="C49" s="158">
        <f>SUM(C44:C48)</f>
        <v>4352</v>
      </c>
      <c r="D49" s="158">
        <f>SUM(D44:D48)</f>
        <v>5260</v>
      </c>
      <c r="E49" s="158">
        <f>SUM(E44:E48)</f>
        <v>8379</v>
      </c>
      <c r="F49" s="47"/>
      <c r="G49" s="158">
        <f>SUM(G44:G48)</f>
        <v>4293</v>
      </c>
      <c r="H49" s="158">
        <f>SUM(H44:H48)</f>
        <v>4329</v>
      </c>
      <c r="I49" s="158">
        <f>SUM(I44:I48)</f>
        <v>4695</v>
      </c>
      <c r="J49" s="158">
        <f>SUM(J44:J48)</f>
        <v>5260</v>
      </c>
      <c r="K49" s="158">
        <f>SUM(K44:K48)</f>
        <v>5644</v>
      </c>
      <c r="L49" s="158">
        <f>SUM(L44:L48)</f>
        <v>6344</v>
      </c>
      <c r="M49" s="158">
        <f>SUM(M44:M48)</f>
        <v>7003</v>
      </c>
      <c r="N49" s="158">
        <f>SUM(N44:N48)</f>
        <v>8379</v>
      </c>
      <c r="O49" s="158">
        <f>SUM(O44:O48)</f>
        <v>8854</v>
      </c>
      <c r="P49" s="158">
        <f>SUM(P44:P48)</f>
        <v>9299</v>
      </c>
      <c r="Q49" s="158">
        <f>SUM(Q44:Q48)</f>
        <v>10057</v>
      </c>
      <c r="R49" s="119"/>
      <c r="S49" s="158">
        <f>SUM(S44:S48)</f>
        <v>5260</v>
      </c>
      <c r="T49" s="158">
        <f>SUM(T44:T48)</f>
        <v>5644</v>
      </c>
      <c r="U49" s="158">
        <f>SUM(U44:U48)</f>
        <v>6344</v>
      </c>
      <c r="V49" s="158">
        <f>SUM(V44:V48)</f>
        <v>7003</v>
      </c>
      <c r="W49" s="158">
        <f>SUM(W44:W48)</f>
        <v>8379</v>
      </c>
      <c r="X49" s="158">
        <f>SUM(X44:X48)</f>
        <v>8854</v>
      </c>
      <c r="Y49" s="158">
        <f>SUM(Y44:Y48)</f>
        <v>9299</v>
      </c>
      <c r="Z49" s="158">
        <f>SUM(Z44:Z48)</f>
        <v>10057</v>
      </c>
      <c r="AA49" s="40"/>
      <c r="AB49" s="75">
        <f>SUM(Z49/V49)-1</f>
        <v>0.43609881479365975</v>
      </c>
    </row>
    <row r="50" spans="2:28" ht="5.0999999999999996" customHeight="1">
      <c r="B50" s="25"/>
      <c r="C50" s="48"/>
      <c r="D50" s="39"/>
      <c r="E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S50" s="40"/>
      <c r="T50" s="40"/>
      <c r="U50" s="40"/>
      <c r="V50" s="40"/>
      <c r="W50" s="40"/>
      <c r="X50" s="40"/>
      <c r="Y50" s="40"/>
      <c r="Z50" s="40"/>
      <c r="AA50" s="40"/>
      <c r="AB50" s="37"/>
    </row>
    <row r="51" spans="2:28" ht="12.75" customHeight="1">
      <c r="B51" s="77" t="s">
        <v>82</v>
      </c>
      <c r="C51" s="81"/>
      <c r="D51" s="81"/>
      <c r="E51" s="81"/>
      <c r="G51" s="81"/>
      <c r="H51" s="81"/>
      <c r="I51" s="81"/>
      <c r="J51" s="81"/>
      <c r="K51" s="81"/>
      <c r="L51" s="81"/>
      <c r="M51" s="81"/>
      <c r="N51" s="81"/>
      <c r="O51" s="31"/>
      <c r="P51" s="81"/>
      <c r="Q51" s="81"/>
      <c r="S51" s="31"/>
      <c r="T51" s="31"/>
      <c r="U51" s="31"/>
      <c r="V51" s="31"/>
      <c r="W51" s="31"/>
      <c r="X51" s="31"/>
      <c r="Y51" s="31"/>
      <c r="Z51" s="31"/>
      <c r="AA51" s="11"/>
      <c r="AB51" s="74"/>
    </row>
    <row r="52" spans="2:28" ht="12.75" customHeight="1">
      <c r="B52" s="9" t="s">
        <v>133</v>
      </c>
      <c r="C52" s="81">
        <v>78</v>
      </c>
      <c r="D52" s="81">
        <v>75</v>
      </c>
      <c r="E52" s="81">
        <v>68</v>
      </c>
      <c r="G52" s="81">
        <v>77</v>
      </c>
      <c r="H52" s="81">
        <v>76</v>
      </c>
      <c r="I52" s="81">
        <v>75</v>
      </c>
      <c r="J52" s="31">
        <f t="shared" ref="J52:J54" si="73">D52</f>
        <v>75</v>
      </c>
      <c r="K52" s="81">
        <v>72</v>
      </c>
      <c r="L52" s="81">
        <v>70</v>
      </c>
      <c r="M52" s="81">
        <v>72</v>
      </c>
      <c r="N52" s="31">
        <f t="shared" ref="N52:N54" si="74">E52</f>
        <v>68</v>
      </c>
      <c r="O52" s="81">
        <v>65</v>
      </c>
      <c r="P52" s="81">
        <v>59</v>
      </c>
      <c r="Q52" s="81">
        <v>61</v>
      </c>
      <c r="S52" s="31">
        <f>J52</f>
        <v>75</v>
      </c>
      <c r="T52" s="31">
        <f>K52</f>
        <v>72</v>
      </c>
      <c r="U52" s="31">
        <f>L52</f>
        <v>70</v>
      </c>
      <c r="V52" s="31">
        <f t="shared" ref="V52:V54" si="75">M52</f>
        <v>72</v>
      </c>
      <c r="W52" s="31">
        <f t="shared" ref="W52:W54" si="76">N52</f>
        <v>68</v>
      </c>
      <c r="X52" s="31">
        <f t="shared" ref="X52:X54" si="77">O52</f>
        <v>65</v>
      </c>
      <c r="Y52" s="31">
        <f t="shared" ref="Y52:Y54" si="78">P52</f>
        <v>59</v>
      </c>
      <c r="Z52" s="31">
        <f t="shared" ref="Z52:Z54" si="79">Q52</f>
        <v>61</v>
      </c>
      <c r="AA52" s="11"/>
      <c r="AB52" s="74">
        <f t="shared" ref="AB52:AB54" si="80">SUM(Z52/V52)-1</f>
        <v>-0.15277777777777779</v>
      </c>
    </row>
    <row r="53" spans="2:28" ht="12.75" customHeight="1">
      <c r="B53" s="9" t="s">
        <v>132</v>
      </c>
      <c r="C53" s="81">
        <v>1138</v>
      </c>
      <c r="D53" s="81">
        <v>1215</v>
      </c>
      <c r="E53" s="81">
        <v>1635</v>
      </c>
      <c r="G53" s="81">
        <v>1134</v>
      </c>
      <c r="H53" s="81">
        <v>1015</v>
      </c>
      <c r="I53" s="81">
        <v>903</v>
      </c>
      <c r="J53" s="31">
        <f t="shared" si="73"/>
        <v>1215</v>
      </c>
      <c r="K53" s="81">
        <v>1534</v>
      </c>
      <c r="L53" s="81">
        <v>1931</v>
      </c>
      <c r="M53" s="81">
        <v>1604</v>
      </c>
      <c r="N53" s="31">
        <f t="shared" si="74"/>
        <v>1635</v>
      </c>
      <c r="O53" s="81">
        <v>1958</v>
      </c>
      <c r="P53" s="81">
        <v>2417</v>
      </c>
      <c r="Q53" s="81">
        <v>2888</v>
      </c>
      <c r="S53" s="31">
        <f>J53</f>
        <v>1215</v>
      </c>
      <c r="T53" s="31">
        <f>K53</f>
        <v>1534</v>
      </c>
      <c r="U53" s="31">
        <f>L53</f>
        <v>1931</v>
      </c>
      <c r="V53" s="31">
        <f t="shared" si="75"/>
        <v>1604</v>
      </c>
      <c r="W53" s="31">
        <f t="shared" si="76"/>
        <v>1635</v>
      </c>
      <c r="X53" s="31">
        <f t="shared" si="77"/>
        <v>1958</v>
      </c>
      <c r="Y53" s="31">
        <f t="shared" si="78"/>
        <v>2417</v>
      </c>
      <c r="Z53" s="31">
        <f t="shared" si="79"/>
        <v>2888</v>
      </c>
      <c r="AA53" s="11"/>
      <c r="AB53" s="74">
        <f t="shared" si="80"/>
        <v>0.80049875311720697</v>
      </c>
    </row>
    <row r="54" spans="2:28" ht="12.75" customHeight="1">
      <c r="B54" s="9" t="s">
        <v>130</v>
      </c>
      <c r="C54" s="81">
        <v>348</v>
      </c>
      <c r="D54" s="81">
        <v>247</v>
      </c>
      <c r="E54" s="81">
        <v>188</v>
      </c>
      <c r="G54" s="81">
        <v>331</v>
      </c>
      <c r="H54" s="81">
        <v>280</v>
      </c>
      <c r="I54" s="81">
        <v>275</v>
      </c>
      <c r="J54" s="31">
        <f t="shared" si="73"/>
        <v>247</v>
      </c>
      <c r="K54" s="81">
        <v>224</v>
      </c>
      <c r="L54" s="81">
        <v>211</v>
      </c>
      <c r="M54" s="81">
        <v>195</v>
      </c>
      <c r="N54" s="31">
        <f t="shared" si="74"/>
        <v>188</v>
      </c>
      <c r="O54" s="81">
        <v>178</v>
      </c>
      <c r="P54" s="81">
        <v>161</v>
      </c>
      <c r="Q54" s="81">
        <v>174</v>
      </c>
      <c r="S54" s="31">
        <f>J54</f>
        <v>247</v>
      </c>
      <c r="T54" s="31">
        <f>K54</f>
        <v>224</v>
      </c>
      <c r="U54" s="31">
        <f>L54</f>
        <v>211</v>
      </c>
      <c r="V54" s="31">
        <f t="shared" si="75"/>
        <v>195</v>
      </c>
      <c r="W54" s="31">
        <f t="shared" si="76"/>
        <v>188</v>
      </c>
      <c r="X54" s="31">
        <f t="shared" si="77"/>
        <v>178</v>
      </c>
      <c r="Y54" s="31">
        <f t="shared" si="78"/>
        <v>161</v>
      </c>
      <c r="Z54" s="31">
        <f t="shared" si="79"/>
        <v>174</v>
      </c>
      <c r="AA54" s="11"/>
      <c r="AB54" s="74">
        <f t="shared" si="80"/>
        <v>-0.10769230769230764</v>
      </c>
    </row>
    <row r="55" spans="2:28" ht="12.75" customHeight="1">
      <c r="B55" s="9" t="s">
        <v>129</v>
      </c>
      <c r="C55" s="81">
        <v>417</v>
      </c>
      <c r="D55" s="81">
        <v>300</v>
      </c>
      <c r="E55" s="81">
        <v>226</v>
      </c>
      <c r="G55" s="81">
        <v>413</v>
      </c>
      <c r="H55" s="81">
        <v>344</v>
      </c>
      <c r="I55" s="81">
        <v>343</v>
      </c>
      <c r="J55" s="31">
        <f t="shared" ref="J55:J59" si="81">D55</f>
        <v>300</v>
      </c>
      <c r="K55" s="81">
        <v>274</v>
      </c>
      <c r="L55" s="81">
        <v>254</v>
      </c>
      <c r="M55" s="81">
        <v>235</v>
      </c>
      <c r="N55" s="31">
        <f t="shared" ref="N55:N59" si="82">E55</f>
        <v>226</v>
      </c>
      <c r="O55" s="81">
        <v>223</v>
      </c>
      <c r="P55" s="81">
        <v>256</v>
      </c>
      <c r="Q55" s="81">
        <v>242</v>
      </c>
      <c r="S55" s="31">
        <f>J55</f>
        <v>300</v>
      </c>
      <c r="T55" s="31">
        <f>K55</f>
        <v>274</v>
      </c>
      <c r="U55" s="31">
        <f>L55</f>
        <v>254</v>
      </c>
      <c r="V55" s="31">
        <f>M55</f>
        <v>235</v>
      </c>
      <c r="W55" s="31">
        <f>N55</f>
        <v>226</v>
      </c>
      <c r="X55" s="31">
        <f>O55</f>
        <v>223</v>
      </c>
      <c r="Y55" s="31">
        <f>P55</f>
        <v>256</v>
      </c>
      <c r="Z55" s="31">
        <f>Q55</f>
        <v>242</v>
      </c>
      <c r="AA55" s="11"/>
      <c r="AB55" s="74">
        <f t="shared" ref="AB55:AB59" si="83">SUM(Z55/V55)-1</f>
        <v>2.9787234042553123E-2</v>
      </c>
    </row>
    <row r="56" spans="2:28" ht="12.75" customHeight="1">
      <c r="B56" s="9" t="s">
        <v>108</v>
      </c>
      <c r="C56" s="81">
        <v>1168</v>
      </c>
      <c r="D56" s="81">
        <v>1137</v>
      </c>
      <c r="E56" s="81">
        <v>1201</v>
      </c>
      <c r="G56" s="81">
        <v>1155</v>
      </c>
      <c r="H56" s="81">
        <v>1148</v>
      </c>
      <c r="I56" s="81">
        <v>1180</v>
      </c>
      <c r="J56" s="31">
        <f t="shared" si="81"/>
        <v>1137</v>
      </c>
      <c r="K56" s="81">
        <v>1159</v>
      </c>
      <c r="L56" s="81">
        <v>1167</v>
      </c>
      <c r="M56" s="81">
        <v>1128</v>
      </c>
      <c r="N56" s="31">
        <f t="shared" si="82"/>
        <v>1201</v>
      </c>
      <c r="O56" s="81">
        <v>1156</v>
      </c>
      <c r="P56" s="81">
        <v>1074</v>
      </c>
      <c r="Q56" s="81">
        <v>1078</v>
      </c>
      <c r="S56" s="31">
        <f>J56</f>
        <v>1137</v>
      </c>
      <c r="T56" s="31">
        <f>K56</f>
        <v>1159</v>
      </c>
      <c r="U56" s="31">
        <f>L56</f>
        <v>1167</v>
      </c>
      <c r="V56" s="31">
        <f t="shared" ref="V56:V57" si="84">M56</f>
        <v>1128</v>
      </c>
      <c r="W56" s="31">
        <f t="shared" ref="W56:W57" si="85">N56</f>
        <v>1201</v>
      </c>
      <c r="X56" s="31">
        <f t="shared" ref="X56:X57" si="86">O56</f>
        <v>1156</v>
      </c>
      <c r="Y56" s="31">
        <f t="shared" ref="Y56:Y57" si="87">P56</f>
        <v>1074</v>
      </c>
      <c r="Z56" s="31">
        <f t="shared" ref="Z56:Z57" si="88">Q56</f>
        <v>1078</v>
      </c>
      <c r="AA56" s="11"/>
      <c r="AB56" s="74">
        <f t="shared" si="83"/>
        <v>-4.4326241134751809E-2</v>
      </c>
    </row>
    <row r="57" spans="2:28" ht="12.75" customHeight="1">
      <c r="B57" s="9" t="s">
        <v>131</v>
      </c>
      <c r="C57" s="81">
        <v>127</v>
      </c>
      <c r="D57" s="81">
        <v>84</v>
      </c>
      <c r="E57" s="81">
        <v>48</v>
      </c>
      <c r="G57" s="81">
        <v>115</v>
      </c>
      <c r="H57" s="81">
        <v>105</v>
      </c>
      <c r="I57" s="81">
        <v>98</v>
      </c>
      <c r="J57" s="31">
        <f t="shared" si="81"/>
        <v>84</v>
      </c>
      <c r="K57" s="81">
        <v>76</v>
      </c>
      <c r="L57" s="81">
        <v>68</v>
      </c>
      <c r="M57" s="81">
        <v>58</v>
      </c>
      <c r="N57" s="31">
        <f t="shared" si="82"/>
        <v>48</v>
      </c>
      <c r="O57" s="81">
        <v>43</v>
      </c>
      <c r="P57" s="81">
        <v>37</v>
      </c>
      <c r="Q57" s="81">
        <v>33</v>
      </c>
      <c r="S57" s="31">
        <f>J57</f>
        <v>84</v>
      </c>
      <c r="T57" s="31">
        <f>K57</f>
        <v>76</v>
      </c>
      <c r="U57" s="31">
        <f>L57</f>
        <v>68</v>
      </c>
      <c r="V57" s="31">
        <f t="shared" si="84"/>
        <v>58</v>
      </c>
      <c r="W57" s="31">
        <f t="shared" si="85"/>
        <v>48</v>
      </c>
      <c r="X57" s="31">
        <f t="shared" si="86"/>
        <v>43</v>
      </c>
      <c r="Y57" s="31">
        <f t="shared" si="87"/>
        <v>37</v>
      </c>
      <c r="Z57" s="31">
        <f t="shared" si="88"/>
        <v>33</v>
      </c>
      <c r="AA57" s="11"/>
      <c r="AB57" s="74">
        <f t="shared" si="83"/>
        <v>-0.43103448275862066</v>
      </c>
    </row>
    <row r="58" spans="2:28" ht="12.75" customHeight="1">
      <c r="B58" s="9" t="s">
        <v>134</v>
      </c>
      <c r="C58" s="81">
        <v>0</v>
      </c>
      <c r="D58" s="81">
        <v>0</v>
      </c>
      <c r="E58" s="81">
        <v>74</v>
      </c>
      <c r="G58" s="81">
        <v>0</v>
      </c>
      <c r="H58" s="81">
        <v>0</v>
      </c>
      <c r="I58" s="81">
        <v>0</v>
      </c>
      <c r="J58" s="31">
        <f t="shared" si="81"/>
        <v>0</v>
      </c>
      <c r="K58" s="81">
        <v>51</v>
      </c>
      <c r="L58" s="81">
        <v>52</v>
      </c>
      <c r="M58" s="81">
        <v>64</v>
      </c>
      <c r="N58" s="31">
        <f t="shared" si="82"/>
        <v>74</v>
      </c>
      <c r="O58" s="81">
        <v>74</v>
      </c>
      <c r="P58" s="81">
        <v>68</v>
      </c>
      <c r="Q58" s="81">
        <v>69</v>
      </c>
      <c r="S58" s="31">
        <f>J58</f>
        <v>0</v>
      </c>
      <c r="T58" s="31">
        <f>K58</f>
        <v>51</v>
      </c>
      <c r="U58" s="31">
        <f>L58</f>
        <v>52</v>
      </c>
      <c r="V58" s="31">
        <f t="shared" ref="V58:V59" si="89">M58</f>
        <v>64</v>
      </c>
      <c r="W58" s="31">
        <f t="shared" ref="W58:W59" si="90">N58</f>
        <v>74</v>
      </c>
      <c r="X58" s="31">
        <f t="shared" ref="X58:X59" si="91">O58</f>
        <v>74</v>
      </c>
      <c r="Y58" s="31">
        <f t="shared" ref="Y58:Y59" si="92">P58</f>
        <v>68</v>
      </c>
      <c r="Z58" s="31">
        <f t="shared" ref="Z58:Z59" si="93">Q58</f>
        <v>69</v>
      </c>
      <c r="AA58" s="11"/>
      <c r="AB58" s="74">
        <f t="shared" si="83"/>
        <v>7.8125E-2</v>
      </c>
    </row>
    <row r="59" spans="2:28" ht="12.75" customHeight="1">
      <c r="B59" s="9" t="s">
        <v>135</v>
      </c>
      <c r="C59" s="81">
        <v>8</v>
      </c>
      <c r="D59" s="81">
        <v>28</v>
      </c>
      <c r="E59" s="81">
        <v>186</v>
      </c>
      <c r="G59" s="81">
        <v>11</v>
      </c>
      <c r="H59" s="81">
        <v>15</v>
      </c>
      <c r="I59" s="81">
        <v>23</v>
      </c>
      <c r="J59" s="31">
        <f t="shared" si="81"/>
        <v>28</v>
      </c>
      <c r="K59" s="81">
        <v>41</v>
      </c>
      <c r="L59" s="81">
        <v>49</v>
      </c>
      <c r="M59" s="81">
        <v>194</v>
      </c>
      <c r="N59" s="31">
        <f t="shared" si="82"/>
        <v>186</v>
      </c>
      <c r="O59" s="81">
        <v>136</v>
      </c>
      <c r="P59" s="81">
        <v>94</v>
      </c>
      <c r="Q59" s="81">
        <v>87</v>
      </c>
      <c r="S59" s="31">
        <f>J59</f>
        <v>28</v>
      </c>
      <c r="T59" s="31">
        <f>K59</f>
        <v>41</v>
      </c>
      <c r="U59" s="31">
        <f>L59</f>
        <v>49</v>
      </c>
      <c r="V59" s="31">
        <f t="shared" si="89"/>
        <v>194</v>
      </c>
      <c r="W59" s="31">
        <f t="shared" si="90"/>
        <v>186</v>
      </c>
      <c r="X59" s="31">
        <f t="shared" si="91"/>
        <v>136</v>
      </c>
      <c r="Y59" s="31">
        <f t="shared" si="92"/>
        <v>94</v>
      </c>
      <c r="Z59" s="31">
        <f t="shared" si="93"/>
        <v>87</v>
      </c>
      <c r="AA59" s="11"/>
      <c r="AB59" s="74">
        <f t="shared" si="83"/>
        <v>-0.55154639175257736</v>
      </c>
    </row>
    <row r="60" spans="2:28" ht="12.75" customHeight="1">
      <c r="B60" s="13" t="s">
        <v>18</v>
      </c>
      <c r="C60" s="157">
        <f>SUM(C52:C59)+C49</f>
        <v>7636</v>
      </c>
      <c r="D60" s="157">
        <f t="shared" ref="D60:E60" si="94">SUM(D52:D59)+D49</f>
        <v>8346</v>
      </c>
      <c r="E60" s="157">
        <f t="shared" si="94"/>
        <v>12005</v>
      </c>
      <c r="F60" s="11"/>
      <c r="G60" s="157">
        <f t="shared" ref="G60" si="95">SUM(G52:G59)+G49</f>
        <v>7529</v>
      </c>
      <c r="H60" s="157">
        <f t="shared" ref="H60" si="96">SUM(H52:H59)+H49</f>
        <v>7312</v>
      </c>
      <c r="I60" s="157">
        <f t="shared" ref="I60" si="97">SUM(I52:I59)+I49</f>
        <v>7592</v>
      </c>
      <c r="J60" s="157">
        <f t="shared" ref="J60" si="98">SUM(J52:J59)+J49</f>
        <v>8346</v>
      </c>
      <c r="K60" s="157">
        <f t="shared" ref="K60" si="99">SUM(K52:K59)+K49</f>
        <v>9075</v>
      </c>
      <c r="L60" s="157">
        <f t="shared" ref="L60" si="100">SUM(L52:L59)+L49</f>
        <v>10146</v>
      </c>
      <c r="M60" s="157">
        <f t="shared" ref="M60" si="101">SUM(M52:M59)+M49</f>
        <v>10553</v>
      </c>
      <c r="N60" s="157">
        <f t="shared" ref="N60" si="102">SUM(N52:N59)+N49</f>
        <v>12005</v>
      </c>
      <c r="O60" s="157">
        <f t="shared" ref="O60" si="103">SUM(O52:O59)+O49</f>
        <v>12687</v>
      </c>
      <c r="P60" s="157">
        <f t="shared" ref="P60" si="104">SUM(P52:P59)+P49</f>
        <v>13465</v>
      </c>
      <c r="Q60" s="157">
        <f t="shared" ref="Q60" si="105">SUM(Q52:Q59)+Q49</f>
        <v>14689</v>
      </c>
      <c r="S60" s="157">
        <f t="shared" ref="S60" si="106">SUM(S52:S59)+S49</f>
        <v>8346</v>
      </c>
      <c r="T60" s="157">
        <f t="shared" ref="T60" si="107">SUM(T52:T59)+T49</f>
        <v>9075</v>
      </c>
      <c r="U60" s="157">
        <f t="shared" ref="U60" si="108">SUM(U52:U59)+U49</f>
        <v>10146</v>
      </c>
      <c r="V60" s="157">
        <f t="shared" ref="V60" si="109">SUM(V52:V59)+V49</f>
        <v>10553</v>
      </c>
      <c r="W60" s="157">
        <f t="shared" ref="W60" si="110">SUM(W52:W59)+W49</f>
        <v>12005</v>
      </c>
      <c r="X60" s="157">
        <f t="shared" ref="X60" si="111">SUM(X52:X59)+X49</f>
        <v>12687</v>
      </c>
      <c r="Y60" s="157">
        <f t="shared" ref="Y60" si="112">SUM(Y52:Y59)+Y49</f>
        <v>13465</v>
      </c>
      <c r="Z60" s="157">
        <f t="shared" ref="Z60" si="113">SUM(Z52:Z59)+Z49</f>
        <v>14689</v>
      </c>
      <c r="AA60" s="38"/>
      <c r="AB60" s="15">
        <f>SUM(Z60/V60)-1</f>
        <v>0.39192646640765649</v>
      </c>
    </row>
    <row r="61" spans="2:28" ht="12.75" customHeight="1">
      <c r="B61" s="25"/>
      <c r="C61" s="49"/>
      <c r="D61" s="39"/>
      <c r="E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S61" s="40"/>
      <c r="T61" s="40"/>
      <c r="U61" s="40"/>
      <c r="V61" s="40"/>
      <c r="W61" s="40"/>
      <c r="X61" s="40"/>
      <c r="Y61" s="40"/>
      <c r="Z61" s="40"/>
      <c r="AA61" s="40"/>
      <c r="AB61" s="37"/>
    </row>
    <row r="62" spans="2:28" ht="12.75" customHeight="1">
      <c r="B62" s="77" t="s">
        <v>45</v>
      </c>
      <c r="C62" s="49"/>
      <c r="D62" s="39"/>
      <c r="E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S62" s="40"/>
      <c r="T62" s="40"/>
      <c r="U62" s="40"/>
      <c r="V62" s="40"/>
      <c r="W62" s="40"/>
      <c r="X62" s="40"/>
      <c r="Y62" s="40"/>
      <c r="Z62" s="40"/>
      <c r="AA62" s="40"/>
      <c r="AB62" s="37"/>
    </row>
    <row r="63" spans="2:28" ht="12.75" customHeight="1">
      <c r="B63" s="117" t="s">
        <v>136</v>
      </c>
      <c r="C63" s="118">
        <v>845</v>
      </c>
      <c r="D63" s="118">
        <v>978</v>
      </c>
      <c r="E63" s="118">
        <v>1342</v>
      </c>
      <c r="G63" s="81">
        <v>850</v>
      </c>
      <c r="H63" s="81">
        <v>893</v>
      </c>
      <c r="I63" s="81">
        <v>945</v>
      </c>
      <c r="J63" s="31">
        <f t="shared" ref="J63:J69" si="114">D63</f>
        <v>978</v>
      </c>
      <c r="K63" s="81">
        <v>1048</v>
      </c>
      <c r="L63" s="81">
        <v>1091</v>
      </c>
      <c r="M63" s="81">
        <v>1084</v>
      </c>
      <c r="N63" s="31">
        <f t="shared" ref="N63:N69" si="115">E63</f>
        <v>1342</v>
      </c>
      <c r="O63" s="81">
        <v>1064</v>
      </c>
      <c r="P63" s="81">
        <v>1171</v>
      </c>
      <c r="Q63" s="81">
        <v>1193</v>
      </c>
      <c r="S63" s="95">
        <f>J63</f>
        <v>978</v>
      </c>
      <c r="T63" s="95">
        <f>K63</f>
        <v>1048</v>
      </c>
      <c r="U63" s="95">
        <f>L63</f>
        <v>1091</v>
      </c>
      <c r="V63" s="95">
        <f>M63</f>
        <v>1084</v>
      </c>
      <c r="W63" s="95">
        <f>N63</f>
        <v>1342</v>
      </c>
      <c r="X63" s="95">
        <f>O63</f>
        <v>1064</v>
      </c>
      <c r="Y63" s="95">
        <f>P63</f>
        <v>1171</v>
      </c>
      <c r="Z63" s="95">
        <f>Q63</f>
        <v>1193</v>
      </c>
      <c r="AA63" s="11"/>
      <c r="AB63" s="74">
        <f t="shared" ref="AB63:AB69" si="116">SUM(Z63/V63)-1</f>
        <v>0.10055350553505527</v>
      </c>
    </row>
    <row r="64" spans="2:28" ht="12.75" customHeight="1">
      <c r="B64" s="117" t="s">
        <v>137</v>
      </c>
      <c r="C64" s="118">
        <v>11</v>
      </c>
      <c r="D64" s="118">
        <v>12</v>
      </c>
      <c r="E64" s="118">
        <v>33</v>
      </c>
      <c r="G64" s="81">
        <v>9</v>
      </c>
      <c r="H64" s="81">
        <v>11</v>
      </c>
      <c r="I64" s="81">
        <v>8</v>
      </c>
      <c r="J64" s="31">
        <f t="shared" si="114"/>
        <v>12</v>
      </c>
      <c r="K64" s="81">
        <v>14</v>
      </c>
      <c r="L64" s="81">
        <v>17</v>
      </c>
      <c r="M64" s="81">
        <v>21</v>
      </c>
      <c r="N64" s="31">
        <f t="shared" si="115"/>
        <v>33</v>
      </c>
      <c r="O64" s="81">
        <v>40</v>
      </c>
      <c r="P64" s="81">
        <v>42</v>
      </c>
      <c r="Q64" s="81">
        <v>31</v>
      </c>
      <c r="S64" s="95">
        <f>J64</f>
        <v>12</v>
      </c>
      <c r="T64" s="95">
        <f>K64</f>
        <v>14</v>
      </c>
      <c r="U64" s="95">
        <f>L64</f>
        <v>17</v>
      </c>
      <c r="V64" s="95">
        <f t="shared" ref="V64:V69" si="117">M64</f>
        <v>21</v>
      </c>
      <c r="W64" s="95">
        <f t="shared" ref="W64:W69" si="118">N64</f>
        <v>33</v>
      </c>
      <c r="X64" s="95">
        <f t="shared" ref="X64:X69" si="119">O64</f>
        <v>40</v>
      </c>
      <c r="Y64" s="95">
        <f t="shared" ref="Y64:Y69" si="120">P64</f>
        <v>42</v>
      </c>
      <c r="Z64" s="95">
        <f t="shared" ref="Z64:Z69" si="121">Q64</f>
        <v>31</v>
      </c>
      <c r="AA64" s="11"/>
      <c r="AB64" s="74">
        <f t="shared" si="116"/>
        <v>0.47619047619047628</v>
      </c>
    </row>
    <row r="65" spans="2:28" ht="12.75" customHeight="1">
      <c r="B65" s="117" t="s">
        <v>85</v>
      </c>
      <c r="C65" s="118">
        <v>520</v>
      </c>
      <c r="D65" s="118">
        <v>622</v>
      </c>
      <c r="E65" s="118">
        <v>683</v>
      </c>
      <c r="G65" s="81">
        <v>524</v>
      </c>
      <c r="H65" s="81">
        <v>536</v>
      </c>
      <c r="I65" s="81">
        <v>599</v>
      </c>
      <c r="J65" s="31">
        <f t="shared" si="114"/>
        <v>622</v>
      </c>
      <c r="K65" s="81">
        <v>634</v>
      </c>
      <c r="L65" s="81">
        <v>657</v>
      </c>
      <c r="M65" s="81">
        <v>680</v>
      </c>
      <c r="N65" s="31">
        <f t="shared" si="115"/>
        <v>683</v>
      </c>
      <c r="O65" s="81">
        <v>675</v>
      </c>
      <c r="P65" s="81">
        <v>665</v>
      </c>
      <c r="Q65" s="81">
        <v>692</v>
      </c>
      <c r="S65" s="95">
        <f>J65</f>
        <v>622</v>
      </c>
      <c r="T65" s="95">
        <f>K65</f>
        <v>634</v>
      </c>
      <c r="U65" s="95">
        <f>L65</f>
        <v>657</v>
      </c>
      <c r="V65" s="95">
        <f t="shared" si="117"/>
        <v>680</v>
      </c>
      <c r="W65" s="95">
        <f t="shared" si="118"/>
        <v>683</v>
      </c>
      <c r="X65" s="95">
        <f t="shared" si="119"/>
        <v>675</v>
      </c>
      <c r="Y65" s="95">
        <f t="shared" si="120"/>
        <v>665</v>
      </c>
      <c r="Z65" s="95">
        <f t="shared" si="121"/>
        <v>692</v>
      </c>
      <c r="AA65" s="11"/>
      <c r="AB65" s="74">
        <f t="shared" si="116"/>
        <v>1.7647058823529349E-2</v>
      </c>
    </row>
    <row r="66" spans="2:28" ht="12.75" customHeight="1">
      <c r="B66" s="117" t="s">
        <v>98</v>
      </c>
      <c r="C66" s="118">
        <v>2093</v>
      </c>
      <c r="D66" s="118">
        <v>2440</v>
      </c>
      <c r="E66" s="118">
        <v>2347</v>
      </c>
      <c r="G66" s="81">
        <v>2025</v>
      </c>
      <c r="H66" s="81">
        <v>2053</v>
      </c>
      <c r="I66" s="81">
        <v>2108</v>
      </c>
      <c r="J66" s="31">
        <f t="shared" si="114"/>
        <v>2440</v>
      </c>
      <c r="K66" s="81">
        <v>2228</v>
      </c>
      <c r="L66" s="81">
        <v>2223</v>
      </c>
      <c r="M66" s="81">
        <v>2275</v>
      </c>
      <c r="N66" s="31">
        <f t="shared" si="115"/>
        <v>2347</v>
      </c>
      <c r="O66" s="81">
        <v>2471</v>
      </c>
      <c r="P66" s="81">
        <v>2442</v>
      </c>
      <c r="Q66" s="81">
        <v>2519</v>
      </c>
      <c r="S66" s="95">
        <f>J66</f>
        <v>2440</v>
      </c>
      <c r="T66" s="95">
        <f>K66</f>
        <v>2228</v>
      </c>
      <c r="U66" s="95">
        <f>L66</f>
        <v>2223</v>
      </c>
      <c r="V66" s="95">
        <f t="shared" si="117"/>
        <v>2275</v>
      </c>
      <c r="W66" s="95">
        <f t="shared" si="118"/>
        <v>2347</v>
      </c>
      <c r="X66" s="95">
        <f t="shared" si="119"/>
        <v>2471</v>
      </c>
      <c r="Y66" s="95">
        <f t="shared" si="120"/>
        <v>2442</v>
      </c>
      <c r="Z66" s="95">
        <f t="shared" si="121"/>
        <v>2519</v>
      </c>
      <c r="AA66" s="11"/>
      <c r="AB66" s="74">
        <f t="shared" si="116"/>
        <v>0.10725274725274736</v>
      </c>
    </row>
    <row r="67" spans="2:28" ht="12.75" customHeight="1">
      <c r="B67" s="117" t="s">
        <v>138</v>
      </c>
      <c r="C67" s="118">
        <v>0</v>
      </c>
      <c r="D67" s="118">
        <v>0</v>
      </c>
      <c r="E67" s="118">
        <v>0</v>
      </c>
      <c r="G67" s="81">
        <v>0</v>
      </c>
      <c r="H67" s="81">
        <v>0</v>
      </c>
      <c r="I67" s="81">
        <v>0</v>
      </c>
      <c r="J67" s="31">
        <f t="shared" si="114"/>
        <v>0</v>
      </c>
      <c r="K67" s="81">
        <v>0</v>
      </c>
      <c r="L67" s="81">
        <v>0</v>
      </c>
      <c r="M67" s="81">
        <v>0</v>
      </c>
      <c r="N67" s="31">
        <f t="shared" si="115"/>
        <v>0</v>
      </c>
      <c r="O67" s="81">
        <v>1654</v>
      </c>
      <c r="P67" s="81">
        <v>1929</v>
      </c>
      <c r="Q67" s="81">
        <v>1741</v>
      </c>
      <c r="S67" s="95">
        <f>J67</f>
        <v>0</v>
      </c>
      <c r="T67" s="95">
        <f>K67</f>
        <v>0</v>
      </c>
      <c r="U67" s="95">
        <f>L67</f>
        <v>0</v>
      </c>
      <c r="V67" s="95">
        <f t="shared" si="117"/>
        <v>0</v>
      </c>
      <c r="W67" s="95">
        <f t="shared" si="118"/>
        <v>0</v>
      </c>
      <c r="X67" s="95">
        <f t="shared" si="119"/>
        <v>1654</v>
      </c>
      <c r="Y67" s="95">
        <f t="shared" si="120"/>
        <v>1929</v>
      </c>
      <c r="Z67" s="95">
        <f t="shared" si="121"/>
        <v>1741</v>
      </c>
      <c r="AA67" s="11"/>
      <c r="AB67" s="74" t="e">
        <f t="shared" si="116"/>
        <v>#DIV/0!</v>
      </c>
    </row>
    <row r="68" spans="2:28" ht="12.75" customHeight="1">
      <c r="B68" s="117" t="s">
        <v>139</v>
      </c>
      <c r="C68" s="118">
        <v>26</v>
      </c>
      <c r="D68" s="118">
        <v>21</v>
      </c>
      <c r="E68" s="118">
        <v>25</v>
      </c>
      <c r="G68" s="81">
        <v>27</v>
      </c>
      <c r="H68" s="81">
        <v>25</v>
      </c>
      <c r="I68" s="81">
        <v>24</v>
      </c>
      <c r="J68" s="31">
        <f t="shared" si="114"/>
        <v>21</v>
      </c>
      <c r="K68" s="81">
        <v>20</v>
      </c>
      <c r="L68" s="81">
        <v>24</v>
      </c>
      <c r="M68" s="81">
        <v>24</v>
      </c>
      <c r="N68" s="31">
        <f t="shared" si="115"/>
        <v>25</v>
      </c>
      <c r="O68" s="81">
        <v>39</v>
      </c>
      <c r="P68" s="81">
        <v>47</v>
      </c>
      <c r="Q68" s="81">
        <v>50</v>
      </c>
      <c r="S68" s="95">
        <f>J68</f>
        <v>21</v>
      </c>
      <c r="T68" s="95">
        <f>K68</f>
        <v>20</v>
      </c>
      <c r="U68" s="95">
        <f>L68</f>
        <v>24</v>
      </c>
      <c r="V68" s="95">
        <f t="shared" si="117"/>
        <v>24</v>
      </c>
      <c r="W68" s="95">
        <f t="shared" si="118"/>
        <v>25</v>
      </c>
      <c r="X68" s="95">
        <f t="shared" si="119"/>
        <v>39</v>
      </c>
      <c r="Y68" s="95">
        <f t="shared" si="120"/>
        <v>47</v>
      </c>
      <c r="Z68" s="95">
        <f t="shared" si="121"/>
        <v>50</v>
      </c>
      <c r="AA68" s="11"/>
      <c r="AB68" s="74">
        <f t="shared" si="116"/>
        <v>1.0833333333333335</v>
      </c>
    </row>
    <row r="69" spans="2:28" ht="12.75" customHeight="1">
      <c r="B69" s="117" t="s">
        <v>140</v>
      </c>
      <c r="C69" s="118">
        <v>21</v>
      </c>
      <c r="D69" s="118">
        <v>17</v>
      </c>
      <c r="E69" s="118">
        <v>20</v>
      </c>
      <c r="G69" s="81">
        <v>24</v>
      </c>
      <c r="H69" s="81">
        <v>28</v>
      </c>
      <c r="I69" s="81">
        <v>17</v>
      </c>
      <c r="J69" s="31">
        <f t="shared" si="114"/>
        <v>17</v>
      </c>
      <c r="K69" s="81">
        <v>22</v>
      </c>
      <c r="L69" s="81">
        <v>47</v>
      </c>
      <c r="M69" s="81">
        <v>22</v>
      </c>
      <c r="N69" s="31">
        <f t="shared" si="115"/>
        <v>20</v>
      </c>
      <c r="O69" s="81">
        <v>22</v>
      </c>
      <c r="P69" s="81">
        <v>16</v>
      </c>
      <c r="Q69" s="81">
        <v>13</v>
      </c>
      <c r="S69" s="95">
        <f>J69</f>
        <v>17</v>
      </c>
      <c r="T69" s="95">
        <f>K69</f>
        <v>22</v>
      </c>
      <c r="U69" s="95">
        <f>L69</f>
        <v>47</v>
      </c>
      <c r="V69" s="95">
        <f t="shared" si="117"/>
        <v>22</v>
      </c>
      <c r="W69" s="95">
        <f t="shared" si="118"/>
        <v>20</v>
      </c>
      <c r="X69" s="95">
        <f t="shared" si="119"/>
        <v>22</v>
      </c>
      <c r="Y69" s="95">
        <f t="shared" si="120"/>
        <v>16</v>
      </c>
      <c r="Z69" s="95">
        <f t="shared" si="121"/>
        <v>13</v>
      </c>
      <c r="AA69" s="11"/>
      <c r="AB69" s="74">
        <f t="shared" si="116"/>
        <v>-0.40909090909090906</v>
      </c>
    </row>
    <row r="70" spans="2:28" ht="12.75" customHeight="1">
      <c r="B70" s="25" t="s">
        <v>16</v>
      </c>
      <c r="C70" s="158">
        <f>SUM(C63:C69)</f>
        <v>3516</v>
      </c>
      <c r="D70" s="158">
        <f>SUM(D63:D69)</f>
        <v>4090</v>
      </c>
      <c r="E70" s="158">
        <f>SUM(E63:E69)</f>
        <v>4450</v>
      </c>
      <c r="F70" s="47"/>
      <c r="G70" s="158">
        <f>SUM(G63:G69)</f>
        <v>3459</v>
      </c>
      <c r="H70" s="158">
        <f>SUM(H63:H69)</f>
        <v>3546</v>
      </c>
      <c r="I70" s="158">
        <f>SUM(I63:I69)</f>
        <v>3701</v>
      </c>
      <c r="J70" s="158">
        <f>SUM(J63:J69)</f>
        <v>4090</v>
      </c>
      <c r="K70" s="158">
        <f>SUM(K63:K69)</f>
        <v>3966</v>
      </c>
      <c r="L70" s="158">
        <f>SUM(L63:L69)</f>
        <v>4059</v>
      </c>
      <c r="M70" s="158">
        <f>SUM(M63:M69)</f>
        <v>4106</v>
      </c>
      <c r="N70" s="158">
        <f>SUM(N63:N69)</f>
        <v>4450</v>
      </c>
      <c r="O70" s="158">
        <f>SUM(O63:O69)</f>
        <v>5965</v>
      </c>
      <c r="P70" s="158">
        <f>SUM(P63:P69)</f>
        <v>6312</v>
      </c>
      <c r="Q70" s="158">
        <f>SUM(Q63:Q69)</f>
        <v>6239</v>
      </c>
      <c r="R70" s="119"/>
      <c r="S70" s="158">
        <f>SUM(S63:S69)</f>
        <v>4090</v>
      </c>
      <c r="T70" s="158">
        <f>SUM(T63:T69)</f>
        <v>3966</v>
      </c>
      <c r="U70" s="158">
        <f>SUM(U63:U69)</f>
        <v>4059</v>
      </c>
      <c r="V70" s="158">
        <f>SUM(V63:V69)</f>
        <v>4106</v>
      </c>
      <c r="W70" s="158">
        <f>SUM(W63:W69)</f>
        <v>4450</v>
      </c>
      <c r="X70" s="158">
        <f>SUM(X63:X69)</f>
        <v>5965</v>
      </c>
      <c r="Y70" s="158">
        <f>SUM(Y63:Y69)</f>
        <v>6312</v>
      </c>
      <c r="Z70" s="158">
        <f>SUM(Z63:Z69)</f>
        <v>6239</v>
      </c>
      <c r="AA70" s="40"/>
      <c r="AB70" s="75">
        <f>SUM(Z70/V70)-1</f>
        <v>0.51948368241597653</v>
      </c>
    </row>
    <row r="71" spans="2:28" ht="5.0999999999999996" customHeight="1">
      <c r="B71" s="25"/>
      <c r="C71" s="49"/>
      <c r="D71" s="39"/>
      <c r="E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S71" s="40"/>
      <c r="T71" s="40"/>
      <c r="U71" s="40"/>
      <c r="V71" s="40"/>
      <c r="W71" s="40"/>
      <c r="X71" s="40"/>
      <c r="Y71" s="40"/>
      <c r="Z71" s="40"/>
      <c r="AA71" s="40"/>
      <c r="AB71" s="37"/>
    </row>
    <row r="72" spans="2:28">
      <c r="B72" s="77" t="s">
        <v>83</v>
      </c>
      <c r="C72" s="49"/>
      <c r="D72" s="39"/>
      <c r="E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S72" s="40"/>
      <c r="T72" s="40"/>
      <c r="U72" s="40"/>
      <c r="V72" s="40"/>
      <c r="W72" s="40"/>
      <c r="X72" s="40"/>
      <c r="Y72" s="40"/>
      <c r="Z72" s="40"/>
      <c r="AA72" s="40"/>
      <c r="AB72" s="37"/>
    </row>
    <row r="73" spans="2:28">
      <c r="B73" s="117" t="s">
        <v>138</v>
      </c>
      <c r="C73" s="81">
        <v>1128</v>
      </c>
      <c r="D73" s="81">
        <v>1203</v>
      </c>
      <c r="E73" s="81">
        <v>1539</v>
      </c>
      <c r="G73" s="81">
        <v>1156</v>
      </c>
      <c r="H73" s="81">
        <v>1167</v>
      </c>
      <c r="I73" s="81">
        <v>1209</v>
      </c>
      <c r="J73" s="31">
        <f t="shared" ref="J73" si="122">D73</f>
        <v>1203</v>
      </c>
      <c r="K73" s="81">
        <v>1270</v>
      </c>
      <c r="L73" s="81">
        <v>1323</v>
      </c>
      <c r="M73" s="81">
        <v>1340</v>
      </c>
      <c r="N73" s="31">
        <f t="shared" ref="N73" si="123">E73</f>
        <v>1539</v>
      </c>
      <c r="O73" s="81">
        <v>0</v>
      </c>
      <c r="P73" s="81">
        <v>0</v>
      </c>
      <c r="Q73" s="81">
        <v>0</v>
      </c>
      <c r="S73" s="31">
        <f>J73</f>
        <v>1203</v>
      </c>
      <c r="T73" s="31">
        <f>K73</f>
        <v>1270</v>
      </c>
      <c r="U73" s="31">
        <f>L73</f>
        <v>1323</v>
      </c>
      <c r="V73" s="31">
        <f>M73</f>
        <v>1340</v>
      </c>
      <c r="W73" s="31">
        <f>N73</f>
        <v>1539</v>
      </c>
      <c r="X73" s="31">
        <f>O73</f>
        <v>0</v>
      </c>
      <c r="Y73" s="31">
        <f>P73</f>
        <v>0</v>
      </c>
      <c r="Z73" s="31">
        <f>Q73</f>
        <v>0</v>
      </c>
      <c r="AA73" s="40"/>
      <c r="AB73" s="74">
        <f t="shared" ref="AB73:AB77" si="124">SUM(Z73/V73)-1</f>
        <v>-1</v>
      </c>
    </row>
    <row r="74" spans="2:28" ht="12.75" customHeight="1">
      <c r="B74" s="117" t="s">
        <v>141</v>
      </c>
      <c r="C74" s="118">
        <v>555</v>
      </c>
      <c r="D74" s="118">
        <v>493</v>
      </c>
      <c r="E74" s="118">
        <v>462</v>
      </c>
      <c r="F74" s="50"/>
      <c r="G74" s="81">
        <v>546</v>
      </c>
      <c r="H74" s="81">
        <v>522</v>
      </c>
      <c r="I74" s="81">
        <v>520</v>
      </c>
      <c r="J74" s="31">
        <f t="shared" ref="J74:J77" si="125">D74</f>
        <v>493</v>
      </c>
      <c r="K74" s="81">
        <v>493</v>
      </c>
      <c r="L74" s="81">
        <v>472</v>
      </c>
      <c r="M74" s="81">
        <v>446</v>
      </c>
      <c r="N74" s="31">
        <f t="shared" ref="N74:N77" si="126">E74</f>
        <v>462</v>
      </c>
      <c r="O74" s="81">
        <v>448</v>
      </c>
      <c r="P74" s="81">
        <v>453</v>
      </c>
      <c r="Q74" s="81">
        <v>444</v>
      </c>
      <c r="R74" s="118"/>
      <c r="S74" s="95">
        <f>J74</f>
        <v>493</v>
      </c>
      <c r="T74" s="95">
        <f>K74</f>
        <v>493</v>
      </c>
      <c r="U74" s="95">
        <f>L74</f>
        <v>472</v>
      </c>
      <c r="V74" s="95">
        <f>M74</f>
        <v>446</v>
      </c>
      <c r="W74" s="95">
        <f>N74</f>
        <v>462</v>
      </c>
      <c r="X74" s="95">
        <f>O74</f>
        <v>448</v>
      </c>
      <c r="Y74" s="95">
        <f>P74</f>
        <v>453</v>
      </c>
      <c r="Z74" s="95">
        <f>Q74</f>
        <v>444</v>
      </c>
      <c r="AA74" s="40"/>
      <c r="AB74" s="74">
        <f t="shared" si="124"/>
        <v>-4.484304932735439E-3</v>
      </c>
    </row>
    <row r="75" spans="2:28" ht="12.75" customHeight="1">
      <c r="B75" s="117" t="s">
        <v>98</v>
      </c>
      <c r="C75" s="118">
        <v>28</v>
      </c>
      <c r="D75" s="118">
        <v>26</v>
      </c>
      <c r="E75" s="118">
        <v>5</v>
      </c>
      <c r="F75" s="50"/>
      <c r="G75" s="81">
        <v>17</v>
      </c>
      <c r="H75" s="81">
        <v>14</v>
      </c>
      <c r="I75" s="81">
        <v>14</v>
      </c>
      <c r="J75" s="31">
        <f t="shared" si="125"/>
        <v>26</v>
      </c>
      <c r="K75" s="81">
        <v>17</v>
      </c>
      <c r="L75" s="81">
        <v>11</v>
      </c>
      <c r="M75" s="81">
        <v>5</v>
      </c>
      <c r="N75" s="31">
        <f t="shared" si="126"/>
        <v>5</v>
      </c>
      <c r="O75" s="81">
        <v>4</v>
      </c>
      <c r="P75" s="81">
        <v>4</v>
      </c>
      <c r="Q75" s="81">
        <v>1</v>
      </c>
      <c r="R75" s="118"/>
      <c r="S75" s="95">
        <f>J75</f>
        <v>26</v>
      </c>
      <c r="T75" s="95">
        <f>K75</f>
        <v>17</v>
      </c>
      <c r="U75" s="95">
        <f>L75</f>
        <v>11</v>
      </c>
      <c r="V75" s="95">
        <f t="shared" ref="V75:V77" si="127">M75</f>
        <v>5</v>
      </c>
      <c r="W75" s="95">
        <f t="shared" ref="W75:W77" si="128">N75</f>
        <v>5</v>
      </c>
      <c r="X75" s="95">
        <f t="shared" ref="X75:X77" si="129">O75</f>
        <v>4</v>
      </c>
      <c r="Y75" s="95">
        <f t="shared" ref="Y75:Y77" si="130">P75</f>
        <v>4</v>
      </c>
      <c r="Z75" s="95">
        <f t="shared" ref="Z75:Z77" si="131">Q75</f>
        <v>1</v>
      </c>
      <c r="AA75" s="40"/>
      <c r="AB75" s="74">
        <f t="shared" si="124"/>
        <v>-0.8</v>
      </c>
    </row>
    <row r="76" spans="2:28" ht="12.75" customHeight="1">
      <c r="B76" s="117" t="s">
        <v>139</v>
      </c>
      <c r="C76" s="118">
        <v>3</v>
      </c>
      <c r="D76" s="118">
        <v>3</v>
      </c>
      <c r="E76" s="118">
        <v>3</v>
      </c>
      <c r="F76" s="50"/>
      <c r="G76" s="81">
        <v>3</v>
      </c>
      <c r="H76" s="81">
        <v>3</v>
      </c>
      <c r="I76" s="81">
        <v>3</v>
      </c>
      <c r="J76" s="31">
        <f t="shared" si="125"/>
        <v>3</v>
      </c>
      <c r="K76" s="81">
        <v>3</v>
      </c>
      <c r="L76" s="81">
        <v>3</v>
      </c>
      <c r="M76" s="81">
        <v>3</v>
      </c>
      <c r="N76" s="31">
        <f t="shared" si="126"/>
        <v>3</v>
      </c>
      <c r="O76" s="81">
        <v>2</v>
      </c>
      <c r="P76" s="81">
        <v>3</v>
      </c>
      <c r="Q76" s="81">
        <v>3</v>
      </c>
      <c r="R76" s="118"/>
      <c r="S76" s="95">
        <f>J76</f>
        <v>3</v>
      </c>
      <c r="T76" s="95">
        <f>K76</f>
        <v>3</v>
      </c>
      <c r="U76" s="95">
        <f>L76</f>
        <v>3</v>
      </c>
      <c r="V76" s="95">
        <f t="shared" si="127"/>
        <v>3</v>
      </c>
      <c r="W76" s="95">
        <f t="shared" si="128"/>
        <v>3</v>
      </c>
      <c r="X76" s="95">
        <f t="shared" si="129"/>
        <v>2</v>
      </c>
      <c r="Y76" s="95">
        <f t="shared" si="130"/>
        <v>3</v>
      </c>
      <c r="Z76" s="95">
        <f t="shared" si="131"/>
        <v>3</v>
      </c>
      <c r="AA76" s="40"/>
      <c r="AB76" s="74">
        <f t="shared" si="124"/>
        <v>0</v>
      </c>
    </row>
    <row r="77" spans="2:28" ht="12.75" customHeight="1">
      <c r="B77" s="117" t="s">
        <v>142</v>
      </c>
      <c r="C77" s="118">
        <v>5</v>
      </c>
      <c r="D77" s="118">
        <v>8</v>
      </c>
      <c r="E77" s="118">
        <v>21</v>
      </c>
      <c r="F77" s="50"/>
      <c r="G77" s="81">
        <v>6</v>
      </c>
      <c r="H77" s="81">
        <v>6</v>
      </c>
      <c r="I77" s="81">
        <v>6</v>
      </c>
      <c r="J77" s="31">
        <f t="shared" si="125"/>
        <v>8</v>
      </c>
      <c r="K77" s="81">
        <v>17</v>
      </c>
      <c r="L77" s="81">
        <v>19</v>
      </c>
      <c r="M77" s="81">
        <v>20</v>
      </c>
      <c r="N77" s="31">
        <f t="shared" si="126"/>
        <v>21</v>
      </c>
      <c r="O77" s="81">
        <v>21</v>
      </c>
      <c r="P77" s="81">
        <v>66</v>
      </c>
      <c r="Q77" s="81">
        <v>223</v>
      </c>
      <c r="R77" s="118"/>
      <c r="S77" s="95">
        <f>J77</f>
        <v>8</v>
      </c>
      <c r="T77" s="95">
        <f>K77</f>
        <v>17</v>
      </c>
      <c r="U77" s="95">
        <f>L77</f>
        <v>19</v>
      </c>
      <c r="V77" s="95">
        <f t="shared" si="127"/>
        <v>20</v>
      </c>
      <c r="W77" s="95">
        <f t="shared" si="128"/>
        <v>21</v>
      </c>
      <c r="X77" s="95">
        <f t="shared" si="129"/>
        <v>21</v>
      </c>
      <c r="Y77" s="95">
        <f t="shared" si="130"/>
        <v>66</v>
      </c>
      <c r="Z77" s="95">
        <f t="shared" si="131"/>
        <v>223</v>
      </c>
      <c r="AA77" s="40"/>
      <c r="AB77" s="74">
        <f t="shared" si="124"/>
        <v>10.15</v>
      </c>
    </row>
    <row r="78" spans="2:28" ht="12.75" customHeight="1">
      <c r="B78" s="13" t="s">
        <v>14</v>
      </c>
      <c r="C78" s="157">
        <f>SUM(C73:C77)+C70</f>
        <v>5235</v>
      </c>
      <c r="D78" s="157">
        <f>SUM(D73:D77)+D70</f>
        <v>5823</v>
      </c>
      <c r="E78" s="157">
        <f>SUM(E73:E77)+E70</f>
        <v>6480</v>
      </c>
      <c r="F78" s="11"/>
      <c r="G78" s="157">
        <f t="shared" ref="G78:Q78" si="132">SUM(G73:G77)+G70</f>
        <v>5187</v>
      </c>
      <c r="H78" s="157">
        <f t="shared" si="132"/>
        <v>5258</v>
      </c>
      <c r="I78" s="157">
        <f t="shared" si="132"/>
        <v>5453</v>
      </c>
      <c r="J78" s="157">
        <f t="shared" si="132"/>
        <v>5823</v>
      </c>
      <c r="K78" s="157">
        <f t="shared" si="132"/>
        <v>5766</v>
      </c>
      <c r="L78" s="157">
        <f t="shared" si="132"/>
        <v>5887</v>
      </c>
      <c r="M78" s="157">
        <f t="shared" si="132"/>
        <v>5920</v>
      </c>
      <c r="N78" s="157">
        <f t="shared" si="132"/>
        <v>6480</v>
      </c>
      <c r="O78" s="157">
        <f t="shared" si="132"/>
        <v>6440</v>
      </c>
      <c r="P78" s="157">
        <f t="shared" si="132"/>
        <v>6838</v>
      </c>
      <c r="Q78" s="157">
        <f t="shared" si="132"/>
        <v>6910</v>
      </c>
      <c r="S78" s="157">
        <f t="shared" ref="S78" si="133">SUM(S73:S77)+S70</f>
        <v>5823</v>
      </c>
      <c r="T78" s="157">
        <f t="shared" ref="T78" si="134">SUM(T73:T77)+T70</f>
        <v>5766</v>
      </c>
      <c r="U78" s="157">
        <f t="shared" ref="U78" si="135">SUM(U73:U77)+U70</f>
        <v>5887</v>
      </c>
      <c r="V78" s="157">
        <f t="shared" ref="V78" si="136">SUM(V73:V77)+V70</f>
        <v>5920</v>
      </c>
      <c r="W78" s="157">
        <f t="shared" ref="W78" si="137">SUM(W73:W77)+W70</f>
        <v>6480</v>
      </c>
      <c r="X78" s="157">
        <f t="shared" ref="X78" si="138">SUM(X73:X77)+X70</f>
        <v>6440</v>
      </c>
      <c r="Y78" s="157">
        <f t="shared" ref="Y78" si="139">SUM(Y73:Y77)+Y70</f>
        <v>6838</v>
      </c>
      <c r="Z78" s="157">
        <f t="shared" ref="Z78" si="140">SUM(Z73:Z77)+Z70</f>
        <v>6910</v>
      </c>
      <c r="AA78" s="38"/>
      <c r="AB78" s="15">
        <f>SUM(Z78/V78)-1</f>
        <v>0.16722972972972983</v>
      </c>
    </row>
    <row r="79" spans="2:28" ht="5.0999999999999996" customHeight="1">
      <c r="B79" s="25"/>
      <c r="C79" s="48"/>
      <c r="D79" s="39"/>
      <c r="E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S79" s="40"/>
      <c r="T79" s="40"/>
      <c r="U79" s="40"/>
      <c r="V79" s="40"/>
      <c r="W79" s="40"/>
      <c r="X79" s="40"/>
      <c r="Y79" s="40"/>
      <c r="Z79" s="40"/>
      <c r="AA79" s="40"/>
      <c r="AB79" s="37"/>
    </row>
    <row r="80" spans="2:28" ht="12.75" customHeight="1">
      <c r="B80" s="9" t="s">
        <v>143</v>
      </c>
      <c r="C80" s="81">
        <v>0</v>
      </c>
      <c r="D80" s="81">
        <v>0</v>
      </c>
      <c r="E80" s="81">
        <v>0</v>
      </c>
      <c r="F80" s="31"/>
      <c r="G80" s="81">
        <v>0</v>
      </c>
      <c r="H80" s="81">
        <v>0</v>
      </c>
      <c r="I80" s="81">
        <v>0</v>
      </c>
      <c r="J80" s="31">
        <f>D80</f>
        <v>0</v>
      </c>
      <c r="K80" s="81">
        <v>0</v>
      </c>
      <c r="L80" s="81">
        <v>0</v>
      </c>
      <c r="M80" s="81">
        <v>0</v>
      </c>
      <c r="N80" s="31">
        <f>E80</f>
        <v>0</v>
      </c>
      <c r="O80" s="81">
        <v>0</v>
      </c>
      <c r="P80" s="81">
        <v>0</v>
      </c>
      <c r="Q80" s="81">
        <v>0</v>
      </c>
      <c r="S80" s="31">
        <f>J80</f>
        <v>0</v>
      </c>
      <c r="T80" s="31">
        <f>K80</f>
        <v>0</v>
      </c>
      <c r="U80" s="31">
        <f>L80</f>
        <v>0</v>
      </c>
      <c r="V80" s="31">
        <f>M80</f>
        <v>0</v>
      </c>
      <c r="W80" s="31">
        <f>N80</f>
        <v>0</v>
      </c>
      <c r="X80" s="31">
        <f>O80</f>
        <v>0</v>
      </c>
      <c r="Y80" s="31">
        <f>P80</f>
        <v>0</v>
      </c>
      <c r="Z80" s="31">
        <f>Q80</f>
        <v>0</v>
      </c>
      <c r="AA80" s="11"/>
      <c r="AB80" s="74" t="e">
        <f>SUM(Z80/V80)-1</f>
        <v>#DIV/0!</v>
      </c>
    </row>
    <row r="81" spans="1:28" ht="12.75" customHeight="1">
      <c r="B81" s="9" t="s">
        <v>144</v>
      </c>
      <c r="C81" s="81">
        <v>4789</v>
      </c>
      <c r="D81" s="81">
        <v>5155</v>
      </c>
      <c r="E81" s="81">
        <v>6124</v>
      </c>
      <c r="F81" s="31"/>
      <c r="G81" s="81">
        <v>4864</v>
      </c>
      <c r="H81" s="81">
        <v>4899</v>
      </c>
      <c r="I81" s="81">
        <v>4931</v>
      </c>
      <c r="J81" s="31">
        <f t="shared" ref="J81:J84" si="141">D81</f>
        <v>5155</v>
      </c>
      <c r="K81" s="81">
        <v>5397</v>
      </c>
      <c r="L81" s="81">
        <v>5637</v>
      </c>
      <c r="M81" s="81">
        <v>5825</v>
      </c>
      <c r="N81" s="31">
        <f t="shared" ref="N81:N84" si="142">E81</f>
        <v>6124</v>
      </c>
      <c r="O81" s="81">
        <v>6328</v>
      </c>
      <c r="P81" s="81">
        <v>6420</v>
      </c>
      <c r="Q81" s="81">
        <v>6459</v>
      </c>
      <c r="S81" s="31">
        <f>J81</f>
        <v>5155</v>
      </c>
      <c r="T81" s="31">
        <f>K81</f>
        <v>5397</v>
      </c>
      <c r="U81" s="31">
        <f>L81</f>
        <v>5637</v>
      </c>
      <c r="V81" s="31">
        <f>M81</f>
        <v>5825</v>
      </c>
      <c r="W81" s="31">
        <f>N81</f>
        <v>6124</v>
      </c>
      <c r="X81" s="31">
        <f>O81</f>
        <v>6328</v>
      </c>
      <c r="Y81" s="31">
        <f>P81</f>
        <v>6420</v>
      </c>
      <c r="Z81" s="31">
        <f t="shared" ref="Z81:Z84" si="143">Q81</f>
        <v>6459</v>
      </c>
      <c r="AA81" s="11"/>
      <c r="AB81" s="74">
        <f t="shared" ref="AB81" si="144">SUM(Z81/V81)-1</f>
        <v>0.10884120171673817</v>
      </c>
    </row>
    <row r="82" spans="1:28" ht="12.75" customHeight="1">
      <c r="B82" s="9" t="s">
        <v>145</v>
      </c>
      <c r="C82" s="81">
        <v>-262</v>
      </c>
      <c r="D82" s="81">
        <v>-262</v>
      </c>
      <c r="E82" s="81">
        <v>-262</v>
      </c>
      <c r="F82" s="31"/>
      <c r="G82" s="81">
        <v>-262</v>
      </c>
      <c r="H82" s="81">
        <v>-262</v>
      </c>
      <c r="I82" s="81">
        <v>-262</v>
      </c>
      <c r="J82" s="31">
        <f t="shared" si="141"/>
        <v>-262</v>
      </c>
      <c r="K82" s="81">
        <v>-262</v>
      </c>
      <c r="L82" s="81">
        <v>-262</v>
      </c>
      <c r="M82" s="81">
        <v>-262</v>
      </c>
      <c r="N82" s="31">
        <f t="shared" si="142"/>
        <v>-262</v>
      </c>
      <c r="O82" s="81">
        <f>-262</f>
        <v>-262</v>
      </c>
      <c r="P82" s="81">
        <v>-262</v>
      </c>
      <c r="Q82" s="81">
        <v>-328</v>
      </c>
      <c r="S82" s="31">
        <f>J82</f>
        <v>-262</v>
      </c>
      <c r="T82" s="31">
        <f>K82</f>
        <v>-262</v>
      </c>
      <c r="U82" s="31">
        <f>L82</f>
        <v>-262</v>
      </c>
      <c r="V82" s="31">
        <f>M82</f>
        <v>-262</v>
      </c>
      <c r="W82" s="31">
        <f>N82</f>
        <v>-262</v>
      </c>
      <c r="X82" s="31">
        <f>O82</f>
        <v>-262</v>
      </c>
      <c r="Y82" s="31">
        <f>P82</f>
        <v>-262</v>
      </c>
      <c r="Z82" s="31">
        <f t="shared" si="143"/>
        <v>-328</v>
      </c>
      <c r="AA82" s="11"/>
      <c r="AB82" s="74">
        <f>SUM(Z82/V82)-1</f>
        <v>0.25190839694656497</v>
      </c>
    </row>
    <row r="83" spans="1:28" ht="12.75" customHeight="1">
      <c r="B83" s="9" t="s">
        <v>146</v>
      </c>
      <c r="C83" s="81">
        <v>1521</v>
      </c>
      <c r="D83" s="81">
        <v>1812</v>
      </c>
      <c r="E83" s="81">
        <v>2707</v>
      </c>
      <c r="F83" s="31"/>
      <c r="G83" s="81">
        <v>1615</v>
      </c>
      <c r="H83" s="81">
        <v>1594</v>
      </c>
      <c r="I83" s="81">
        <v>1582</v>
      </c>
      <c r="J83" s="31">
        <f t="shared" si="141"/>
        <v>1812</v>
      </c>
      <c r="K83" s="81">
        <v>2159</v>
      </c>
      <c r="L83" s="81">
        <v>2595</v>
      </c>
      <c r="M83" s="81">
        <v>2481</v>
      </c>
      <c r="N83" s="31">
        <f t="shared" si="142"/>
        <v>2707</v>
      </c>
      <c r="O83" s="81">
        <v>3000</v>
      </c>
      <c r="P83" s="81">
        <v>3374</v>
      </c>
      <c r="Q83" s="81">
        <v>3654</v>
      </c>
      <c r="S83" s="31">
        <f>J83</f>
        <v>1812</v>
      </c>
      <c r="T83" s="31">
        <f>K83</f>
        <v>2159</v>
      </c>
      <c r="U83" s="31">
        <f>L83</f>
        <v>2595</v>
      </c>
      <c r="V83" s="31">
        <f>M83</f>
        <v>2481</v>
      </c>
      <c r="W83" s="31">
        <f>N83</f>
        <v>2707</v>
      </c>
      <c r="X83" s="31">
        <f>O83</f>
        <v>3000</v>
      </c>
      <c r="Y83" s="31">
        <f>P83</f>
        <v>3374</v>
      </c>
      <c r="Z83" s="31">
        <f t="shared" si="143"/>
        <v>3654</v>
      </c>
      <c r="AA83" s="11"/>
      <c r="AB83" s="74">
        <f>SUM(Z83/V83)-1</f>
        <v>0.47279322853688033</v>
      </c>
    </row>
    <row r="84" spans="1:28" ht="12.75" customHeight="1">
      <c r="B84" s="9" t="s">
        <v>147</v>
      </c>
      <c r="C84" s="81">
        <v>-3647</v>
      </c>
      <c r="D84" s="81">
        <v>-4182</v>
      </c>
      <c r="E84" s="81">
        <v>-3044</v>
      </c>
      <c r="F84" s="31"/>
      <c r="G84" s="81">
        <v>-3875</v>
      </c>
      <c r="H84" s="81">
        <v>-4177</v>
      </c>
      <c r="I84" s="81">
        <v>-4112</v>
      </c>
      <c r="J84" s="31">
        <f t="shared" si="141"/>
        <v>-4182</v>
      </c>
      <c r="K84" s="81">
        <v>-3985</v>
      </c>
      <c r="L84" s="81">
        <v>-3711</v>
      </c>
      <c r="M84" s="81">
        <v>-3411</v>
      </c>
      <c r="N84" s="31">
        <f t="shared" si="142"/>
        <v>-3044</v>
      </c>
      <c r="O84" s="81">
        <v>-2819</v>
      </c>
      <c r="P84" s="81">
        <v>-2905</v>
      </c>
      <c r="Q84" s="81">
        <v>-2006</v>
      </c>
      <c r="S84" s="31">
        <f>J84</f>
        <v>-4182</v>
      </c>
      <c r="T84" s="31">
        <f>K84</f>
        <v>-3985</v>
      </c>
      <c r="U84" s="31">
        <f>L84</f>
        <v>-3711</v>
      </c>
      <c r="V84" s="31">
        <f>M84</f>
        <v>-3411</v>
      </c>
      <c r="W84" s="31">
        <f>N84</f>
        <v>-3044</v>
      </c>
      <c r="X84" s="31">
        <f>O84</f>
        <v>-2819</v>
      </c>
      <c r="Y84" s="31">
        <f>P84</f>
        <v>-2905</v>
      </c>
      <c r="Z84" s="31">
        <f t="shared" si="143"/>
        <v>-2006</v>
      </c>
      <c r="AA84" s="11"/>
      <c r="AB84" s="74">
        <f>SUM(Z84/V84)-1</f>
        <v>-0.41190266783934326</v>
      </c>
    </row>
    <row r="85" spans="1:28" ht="12.75" customHeight="1">
      <c r="B85" s="13" t="s">
        <v>109</v>
      </c>
      <c r="C85" s="157">
        <f>SUM(C80:C84)</f>
        <v>2401</v>
      </c>
      <c r="D85" s="157">
        <f>SUM(D80:D84)</f>
        <v>2523</v>
      </c>
      <c r="E85" s="157">
        <f>SUM(E80:E84)</f>
        <v>5525</v>
      </c>
      <c r="F85" s="11"/>
      <c r="G85" s="157">
        <f>SUM(G80:G84)</f>
        <v>2342</v>
      </c>
      <c r="H85" s="157">
        <f>SUM(H80:H84)</f>
        <v>2054</v>
      </c>
      <c r="I85" s="157">
        <f>SUM(I80:I84)</f>
        <v>2139</v>
      </c>
      <c r="J85" s="157">
        <f>SUM(J80:J84)</f>
        <v>2523</v>
      </c>
      <c r="K85" s="157">
        <f>SUM(K80:K84)</f>
        <v>3309</v>
      </c>
      <c r="L85" s="157">
        <f>SUM(L80:L84)</f>
        <v>4259</v>
      </c>
      <c r="M85" s="157">
        <f>SUM(M80:M84)</f>
        <v>4633</v>
      </c>
      <c r="N85" s="157">
        <f>SUM(N80:N84)</f>
        <v>5525</v>
      </c>
      <c r="O85" s="157">
        <f>SUM(O80:O84)</f>
        <v>6247</v>
      </c>
      <c r="P85" s="157">
        <f>SUM(P80:P84)</f>
        <v>6627</v>
      </c>
      <c r="Q85" s="157">
        <f>SUM(Q80:Q84)</f>
        <v>7779</v>
      </c>
      <c r="S85" s="157">
        <f t="shared" ref="S85:Y85" si="145">SUM(S80:S84)</f>
        <v>2523</v>
      </c>
      <c r="T85" s="157">
        <f t="shared" si="145"/>
        <v>3309</v>
      </c>
      <c r="U85" s="157">
        <f t="shared" si="145"/>
        <v>4259</v>
      </c>
      <c r="V85" s="157">
        <f t="shared" si="145"/>
        <v>4633</v>
      </c>
      <c r="W85" s="157">
        <f t="shared" si="145"/>
        <v>5525</v>
      </c>
      <c r="X85" s="157">
        <f t="shared" si="145"/>
        <v>6247</v>
      </c>
      <c r="Y85" s="157">
        <f t="shared" si="145"/>
        <v>6627</v>
      </c>
      <c r="Z85" s="157">
        <f>SUM(Z80:Z84)</f>
        <v>7779</v>
      </c>
      <c r="AA85" s="38"/>
      <c r="AB85" s="15">
        <f>SUM(Z85/V85)-1</f>
        <v>0.67904165767321389</v>
      </c>
    </row>
    <row r="86" spans="1:28" s="52" customFormat="1" ht="12.75" customHeight="1">
      <c r="B86" s="25" t="s">
        <v>50</v>
      </c>
      <c r="C86" s="161">
        <f>SUM(C85+C78)</f>
        <v>7636</v>
      </c>
      <c r="D86" s="161">
        <f>SUM(D85+D78)</f>
        <v>8346</v>
      </c>
      <c r="E86" s="161">
        <f>SUM(E85+E78)</f>
        <v>12005</v>
      </c>
      <c r="F86" s="70"/>
      <c r="G86" s="161">
        <f>SUM(G85+G78)</f>
        <v>7529</v>
      </c>
      <c r="H86" s="161">
        <f>SUM(H85+H78)</f>
        <v>7312</v>
      </c>
      <c r="I86" s="161">
        <f>SUM(I85+I78)</f>
        <v>7592</v>
      </c>
      <c r="J86" s="161">
        <f>SUM(J85+J78)</f>
        <v>8346</v>
      </c>
      <c r="K86" s="161">
        <f>SUM(K85+K78)</f>
        <v>9075</v>
      </c>
      <c r="L86" s="161">
        <f>SUM(L85+L78)</f>
        <v>10146</v>
      </c>
      <c r="M86" s="161">
        <f>SUM(M85+M78)</f>
        <v>10553</v>
      </c>
      <c r="N86" s="161">
        <f>SUM(N85+N78)</f>
        <v>12005</v>
      </c>
      <c r="O86" s="161">
        <f>SUM(O85+O78)</f>
        <v>12687</v>
      </c>
      <c r="P86" s="161">
        <f>SUM(P85+P78)</f>
        <v>13465</v>
      </c>
      <c r="Q86" s="161">
        <f>SUM(Q85+Q78)</f>
        <v>14689</v>
      </c>
      <c r="R86" s="5"/>
      <c r="S86" s="161">
        <f>SUM(S85+S78)</f>
        <v>8346</v>
      </c>
      <c r="T86" s="161">
        <f>SUM(T85+T78)</f>
        <v>9075</v>
      </c>
      <c r="U86" s="161">
        <f>SUM(U85+U78)</f>
        <v>10146</v>
      </c>
      <c r="V86" s="161">
        <f>SUM(V85+V78)</f>
        <v>10553</v>
      </c>
      <c r="W86" s="161">
        <f>SUM(W85+W78)</f>
        <v>12005</v>
      </c>
      <c r="X86" s="161">
        <f>SUM(X85+X78)</f>
        <v>12687</v>
      </c>
      <c r="Y86" s="161">
        <f>SUM(Y85+Y78)</f>
        <v>13465</v>
      </c>
      <c r="Z86" s="161">
        <f>SUM(Z85+Z78)</f>
        <v>14689</v>
      </c>
      <c r="AA86" s="48"/>
      <c r="AB86" s="75">
        <f>SUM(Z86/V86)-1</f>
        <v>0.39192646640765649</v>
      </c>
    </row>
    <row r="87" spans="1:28" ht="5.0999999999999996" customHeight="1">
      <c r="B87" s="25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11"/>
    </row>
    <row r="88" spans="1:28" ht="12.75" customHeight="1">
      <c r="B88" s="138" t="s">
        <v>60</v>
      </c>
      <c r="C88" s="68">
        <f>C86-C60</f>
        <v>0</v>
      </c>
      <c r="D88" s="68">
        <f>D86-D60</f>
        <v>0</v>
      </c>
      <c r="E88" s="68">
        <f>E86-E60</f>
        <v>0</v>
      </c>
      <c r="F88" s="69"/>
      <c r="G88" s="68">
        <f>G86-G60</f>
        <v>0</v>
      </c>
      <c r="H88" s="68">
        <f>H86-H60</f>
        <v>0</v>
      </c>
      <c r="I88" s="68">
        <f>I86-I60</f>
        <v>0</v>
      </c>
      <c r="J88" s="68">
        <f>J86-J60</f>
        <v>0</v>
      </c>
      <c r="K88" s="68">
        <f>K86-K60</f>
        <v>0</v>
      </c>
      <c r="L88" s="68">
        <f>L86-L60</f>
        <v>0</v>
      </c>
      <c r="M88" s="68">
        <f>M86-M60</f>
        <v>0</v>
      </c>
      <c r="N88" s="68">
        <f>N86-N60</f>
        <v>0</v>
      </c>
      <c r="O88" s="68">
        <f>O86-O60</f>
        <v>0</v>
      </c>
      <c r="P88" s="68">
        <f>P86-P60</f>
        <v>0</v>
      </c>
      <c r="Q88" s="68">
        <f>Q86-Q60</f>
        <v>0</v>
      </c>
      <c r="R88" s="27"/>
      <c r="S88" s="68">
        <f>S86-S60</f>
        <v>0</v>
      </c>
      <c r="T88" s="68">
        <f>T86-T60</f>
        <v>0</v>
      </c>
      <c r="U88" s="68">
        <f>U86-U60</f>
        <v>0</v>
      </c>
      <c r="V88" s="68">
        <f>V86-V60</f>
        <v>0</v>
      </c>
      <c r="W88" s="68">
        <f>W86-W60</f>
        <v>0</v>
      </c>
      <c r="X88" s="68">
        <f>X86-X60</f>
        <v>0</v>
      </c>
      <c r="Y88" s="68">
        <f>Y86-Y60</f>
        <v>0</v>
      </c>
      <c r="Z88" s="68">
        <f>Z86-Z60</f>
        <v>0</v>
      </c>
    </row>
    <row r="89" spans="1:28" ht="5.0999999999999996" customHeight="1" thickBot="1">
      <c r="B89" s="113"/>
      <c r="C89" s="114"/>
      <c r="D89" s="114"/>
      <c r="E89" s="114"/>
      <c r="F89" s="115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6"/>
      <c r="S89" s="114"/>
      <c r="T89" s="114"/>
      <c r="U89" s="114"/>
      <c r="V89" s="114"/>
      <c r="W89" s="114"/>
      <c r="X89" s="114"/>
      <c r="Y89" s="114"/>
      <c r="Z89" s="114"/>
      <c r="AA89" s="72"/>
      <c r="AB89" s="72"/>
    </row>
    <row r="90" spans="1:28">
      <c r="B90" s="67"/>
      <c r="C90" s="24"/>
      <c r="D90" s="24"/>
      <c r="E90" s="24"/>
      <c r="F90" s="52"/>
    </row>
    <row r="91" spans="1:28" ht="12.75" customHeight="1">
      <c r="A91" s="5" t="s">
        <v>15</v>
      </c>
      <c r="B91" s="96" t="s">
        <v>13</v>
      </c>
      <c r="C91" s="100" t="s">
        <v>0</v>
      </c>
      <c r="D91" s="100"/>
      <c r="E91" s="100"/>
      <c r="F91" s="101"/>
      <c r="G91" s="100" t="s">
        <v>1</v>
      </c>
      <c r="H91" s="100"/>
      <c r="I91" s="100"/>
      <c r="J91" s="100"/>
      <c r="K91" s="100"/>
      <c r="L91" s="100"/>
      <c r="M91" s="100" t="s">
        <v>1</v>
      </c>
      <c r="N91" s="100"/>
      <c r="O91" s="100"/>
      <c r="P91" s="100"/>
      <c r="Q91" s="100"/>
      <c r="R91" s="96"/>
      <c r="S91" s="100"/>
      <c r="T91" s="100"/>
      <c r="U91" s="100" t="s">
        <v>10</v>
      </c>
      <c r="V91" s="100" t="s">
        <v>10</v>
      </c>
      <c r="W91" s="100"/>
      <c r="X91" s="100"/>
      <c r="Y91" s="100"/>
      <c r="Z91" s="100"/>
      <c r="AA91" s="101"/>
      <c r="AB91" s="146" t="s">
        <v>21</v>
      </c>
    </row>
    <row r="92" spans="1:28" ht="12.75" customHeight="1">
      <c r="B92" s="97" t="str">
        <f>B7</f>
        <v>Fiscal Period</v>
      </c>
      <c r="C92" s="102">
        <f>C7</f>
        <v>2022</v>
      </c>
      <c r="D92" s="102">
        <f>D7</f>
        <v>2023</v>
      </c>
      <c r="E92" s="102">
        <f>E7</f>
        <v>2024</v>
      </c>
      <c r="F92" s="101"/>
      <c r="G92" s="102" t="str">
        <f>G7</f>
        <v>1Q23</v>
      </c>
      <c r="H92" s="102" t="str">
        <f>H7</f>
        <v>2Q23</v>
      </c>
      <c r="I92" s="102" t="str">
        <f>I7</f>
        <v>3Q23</v>
      </c>
      <c r="J92" s="102" t="str">
        <f>J7</f>
        <v>4Q23</v>
      </c>
      <c r="K92" s="102" t="str">
        <f>K7</f>
        <v>1Q24</v>
      </c>
      <c r="L92" s="102" t="str">
        <f>L7</f>
        <v>2Q24</v>
      </c>
      <c r="M92" s="102" t="str">
        <f>M7</f>
        <v>3Q24</v>
      </c>
      <c r="N92" s="102" t="str">
        <f>N7</f>
        <v>4Q24</v>
      </c>
      <c r="O92" s="102" t="str">
        <f>O7</f>
        <v>1Q25</v>
      </c>
      <c r="P92" s="102" t="str">
        <f>P7</f>
        <v>2Q25</v>
      </c>
      <c r="Q92" s="102" t="str">
        <f>Q7</f>
        <v>3Q25</v>
      </c>
      <c r="R92" s="102"/>
      <c r="S92" s="102" t="str">
        <f>S7</f>
        <v>4Q23</v>
      </c>
      <c r="T92" s="102" t="str">
        <f>T7</f>
        <v>1Q24</v>
      </c>
      <c r="U92" s="102" t="str">
        <f>U7</f>
        <v>2Q24</v>
      </c>
      <c r="V92" s="102" t="str">
        <f>V7</f>
        <v>3Q24</v>
      </c>
      <c r="W92" s="102" t="str">
        <f>W7</f>
        <v>4Q24</v>
      </c>
      <c r="X92" s="102" t="str">
        <f>X7</f>
        <v>1Q25</v>
      </c>
      <c r="Y92" s="102" t="str">
        <f>Y7</f>
        <v>2Q25</v>
      </c>
      <c r="Z92" s="102" t="str">
        <f>Z7</f>
        <v>3Q25</v>
      </c>
      <c r="AA92" s="101"/>
      <c r="AB92" s="146"/>
    </row>
    <row r="93" spans="1:28" ht="12.75" customHeight="1">
      <c r="B93" s="97" t="str">
        <f>B8</f>
        <v>Fiscal Period End Date</v>
      </c>
      <c r="C93" s="103">
        <f>C8</f>
        <v>44926</v>
      </c>
      <c r="D93" s="103">
        <f>D8</f>
        <v>45291</v>
      </c>
      <c r="E93" s="103">
        <f>E8</f>
        <v>45657</v>
      </c>
      <c r="F93" s="101"/>
      <c r="G93" s="103">
        <f>G8</f>
        <v>45016</v>
      </c>
      <c r="H93" s="103">
        <f>H8</f>
        <v>45107</v>
      </c>
      <c r="I93" s="103">
        <f>I8</f>
        <v>45199</v>
      </c>
      <c r="J93" s="103">
        <f>J8</f>
        <v>45291</v>
      </c>
      <c r="K93" s="103">
        <f>K8</f>
        <v>45382</v>
      </c>
      <c r="L93" s="103">
        <f>L8</f>
        <v>45473</v>
      </c>
      <c r="M93" s="103">
        <f>M8</f>
        <v>45565</v>
      </c>
      <c r="N93" s="103">
        <f>N8</f>
        <v>45657</v>
      </c>
      <c r="O93" s="103">
        <f>O8</f>
        <v>45747</v>
      </c>
      <c r="P93" s="103">
        <f>P8</f>
        <v>45838</v>
      </c>
      <c r="Q93" s="103">
        <f>Q8</f>
        <v>45930</v>
      </c>
      <c r="R93" s="103"/>
      <c r="S93" s="103">
        <f>S8</f>
        <v>45291</v>
      </c>
      <c r="T93" s="103">
        <f>T8</f>
        <v>45382</v>
      </c>
      <c r="U93" s="103">
        <f>U8</f>
        <v>45473</v>
      </c>
      <c r="V93" s="103">
        <f>V8</f>
        <v>45565</v>
      </c>
      <c r="W93" s="103">
        <f>W8</f>
        <v>45657</v>
      </c>
      <c r="X93" s="103">
        <f>X8</f>
        <v>45747</v>
      </c>
      <c r="Y93" s="103">
        <f>Y8</f>
        <v>45838</v>
      </c>
      <c r="Z93" s="103">
        <f>Z8</f>
        <v>45930</v>
      </c>
      <c r="AA93" s="101"/>
      <c r="AB93" s="146"/>
    </row>
    <row r="94" spans="1:28" ht="5.0999999999999996" customHeight="1">
      <c r="B94" s="53"/>
      <c r="C94" s="46"/>
      <c r="D94" s="46"/>
      <c r="E94" s="46"/>
    </row>
    <row r="95" spans="1:28" ht="12.75" customHeight="1">
      <c r="B95" s="54" t="s">
        <v>51</v>
      </c>
      <c r="C95" s="55"/>
      <c r="D95" s="55"/>
      <c r="E95" s="55"/>
    </row>
    <row r="96" spans="1:28" ht="12.75" customHeight="1">
      <c r="B96" s="56" t="s">
        <v>52</v>
      </c>
      <c r="C96" s="164">
        <f>C30</f>
        <v>-430</v>
      </c>
      <c r="D96" s="31">
        <f>D30</f>
        <v>-532</v>
      </c>
      <c r="E96" s="31">
        <f>E30</f>
        <v>1138</v>
      </c>
      <c r="F96" s="31"/>
      <c r="G96" s="31">
        <f>G30</f>
        <v>-225</v>
      </c>
      <c r="H96" s="31">
        <f>H30</f>
        <v>-302</v>
      </c>
      <c r="I96" s="31">
        <f>I30</f>
        <v>65</v>
      </c>
      <c r="J96" s="31">
        <f>J30</f>
        <v>-70</v>
      </c>
      <c r="K96" s="31">
        <f>K30</f>
        <v>197</v>
      </c>
      <c r="L96" s="31">
        <f>L30</f>
        <v>274</v>
      </c>
      <c r="M96" s="31">
        <f>M30</f>
        <v>300</v>
      </c>
      <c r="N96" s="31">
        <f>N30</f>
        <v>367</v>
      </c>
      <c r="O96" s="31">
        <f>O30</f>
        <v>225</v>
      </c>
      <c r="P96" s="31">
        <f>P30</f>
        <v>-86</v>
      </c>
      <c r="Q96" s="31">
        <f>Q30</f>
        <v>899</v>
      </c>
      <c r="S96" s="31">
        <f>SUM(G96:J96)</f>
        <v>-532</v>
      </c>
      <c r="T96" s="31">
        <f>SUM(H96:K96)</f>
        <v>-110</v>
      </c>
      <c r="U96" s="31">
        <f>SUM(I96:L96)</f>
        <v>466</v>
      </c>
      <c r="V96" s="31">
        <f>SUM(J96:M96)</f>
        <v>701</v>
      </c>
      <c r="W96" s="31">
        <f>SUM(K96:N96)</f>
        <v>1138</v>
      </c>
      <c r="X96" s="31">
        <f>SUM(L96:O96)</f>
        <v>1166</v>
      </c>
      <c r="Y96" s="31">
        <f>SUM(M96:P96)</f>
        <v>806</v>
      </c>
      <c r="Z96" s="31">
        <f>SUM(N96:Q96)</f>
        <v>1405</v>
      </c>
      <c r="AA96" s="11"/>
      <c r="AB96" s="74">
        <f>SUM(Z96/V96)-1</f>
        <v>1.0042796005706136</v>
      </c>
    </row>
    <row r="97" spans="2:28" ht="5.0999999999999996" customHeight="1"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S97" s="31"/>
      <c r="T97" s="31"/>
      <c r="U97" s="31"/>
      <c r="V97" s="31"/>
      <c r="W97" s="31"/>
      <c r="X97" s="31"/>
      <c r="Y97" s="31"/>
      <c r="Z97" s="31"/>
      <c r="AA97" s="11"/>
      <c r="AB97" s="74"/>
    </row>
    <row r="98" spans="2:28" ht="12.75" customHeight="1">
      <c r="B98" s="34" t="s">
        <v>59</v>
      </c>
      <c r="C98" s="31"/>
      <c r="D98" s="31"/>
      <c r="E98" s="31"/>
      <c r="F98" s="31"/>
      <c r="G98" s="81"/>
      <c r="H98" s="81"/>
      <c r="I98" s="81"/>
      <c r="J98" s="31"/>
      <c r="K98" s="81"/>
      <c r="L98" s="81"/>
      <c r="M98" s="81"/>
      <c r="N98" s="31"/>
      <c r="O98" s="81"/>
      <c r="P98" s="81"/>
      <c r="Q98" s="81"/>
      <c r="S98" s="31"/>
      <c r="T98" s="31"/>
      <c r="U98" s="31"/>
      <c r="V98" s="31"/>
      <c r="W98" s="31"/>
      <c r="X98" s="31"/>
      <c r="Y98" s="31"/>
      <c r="Z98" s="31"/>
      <c r="AA98" s="58"/>
      <c r="AB98" s="74"/>
    </row>
    <row r="99" spans="2:28" ht="12.75" customHeight="1">
      <c r="B99" s="59" t="s">
        <v>148</v>
      </c>
      <c r="C99" s="81">
        <v>118</v>
      </c>
      <c r="D99" s="81">
        <v>110</v>
      </c>
      <c r="E99" s="81">
        <v>85</v>
      </c>
      <c r="F99" s="31"/>
      <c r="G99" s="81">
        <v>31</v>
      </c>
      <c r="H99" s="81">
        <v>30</v>
      </c>
      <c r="I99" s="81">
        <v>26</v>
      </c>
      <c r="J99" s="31">
        <f t="shared" ref="J99:J108" si="146">SUM(D99-SUM(G99:I99))</f>
        <v>23</v>
      </c>
      <c r="K99" s="81">
        <v>22</v>
      </c>
      <c r="L99" s="81">
        <v>21</v>
      </c>
      <c r="M99" s="81">
        <v>21</v>
      </c>
      <c r="N99" s="31">
        <f>SUM(E99-SUM(K99:M99))</f>
        <v>21</v>
      </c>
      <c r="O99" s="81">
        <v>20</v>
      </c>
      <c r="P99" s="81">
        <v>20</v>
      </c>
      <c r="Q99" s="81">
        <v>19</v>
      </c>
      <c r="S99" s="31">
        <f>SUM(G99:J99)</f>
        <v>110</v>
      </c>
      <c r="T99" s="31">
        <f>SUM(H99:K99)</f>
        <v>101</v>
      </c>
      <c r="U99" s="31">
        <f>SUM(I99:L99)</f>
        <v>92</v>
      </c>
      <c r="V99" s="31">
        <f>SUM(J99:M99)</f>
        <v>87</v>
      </c>
      <c r="W99" s="31">
        <f>SUM(K99:N99)</f>
        <v>85</v>
      </c>
      <c r="X99" s="31">
        <f>SUM(L99:O99)</f>
        <v>83</v>
      </c>
      <c r="Y99" s="31">
        <f>SUM(M99:P99)</f>
        <v>82</v>
      </c>
      <c r="Z99" s="31">
        <f>SUM(N99:Q99)</f>
        <v>80</v>
      </c>
      <c r="AA99" s="11"/>
      <c r="AB99" s="74">
        <f>SUM(Z99/V99)-1</f>
        <v>-8.0459770114942541E-2</v>
      </c>
    </row>
    <row r="100" spans="2:28" ht="12.75" customHeight="1">
      <c r="B100" s="59" t="s">
        <v>149</v>
      </c>
      <c r="C100" s="81">
        <v>53</v>
      </c>
      <c r="D100" s="81">
        <v>48</v>
      </c>
      <c r="E100" s="81">
        <v>36</v>
      </c>
      <c r="F100" s="31"/>
      <c r="G100" s="81">
        <v>13</v>
      </c>
      <c r="H100" s="81">
        <v>14</v>
      </c>
      <c r="I100" s="81">
        <v>10</v>
      </c>
      <c r="J100" s="31">
        <f t="shared" si="146"/>
        <v>11</v>
      </c>
      <c r="K100" s="81">
        <v>9</v>
      </c>
      <c r="L100" s="81">
        <v>9</v>
      </c>
      <c r="M100" s="81">
        <v>9</v>
      </c>
      <c r="N100" s="31">
        <f t="shared" ref="N100:N109" si="147">SUM(E100-SUM(K100:M100))</f>
        <v>9</v>
      </c>
      <c r="O100" s="81">
        <v>7</v>
      </c>
      <c r="P100" s="81">
        <v>6</v>
      </c>
      <c r="Q100" s="81">
        <v>5</v>
      </c>
      <c r="S100" s="31">
        <f>SUM(G100:J100)</f>
        <v>48</v>
      </c>
      <c r="T100" s="31">
        <f>SUM(H100:K100)</f>
        <v>44</v>
      </c>
      <c r="U100" s="31">
        <f>SUM(I100:L100)</f>
        <v>39</v>
      </c>
      <c r="V100" s="31">
        <f>SUM(J100:M100)</f>
        <v>38</v>
      </c>
      <c r="W100" s="31">
        <f>SUM(K100:N100)</f>
        <v>36</v>
      </c>
      <c r="X100" s="31">
        <f>SUM(L100:O100)</f>
        <v>34</v>
      </c>
      <c r="Y100" s="31">
        <f>SUM(M100:P100)</f>
        <v>31</v>
      </c>
      <c r="Z100" s="31">
        <f>SUM(N100:Q100)</f>
        <v>27</v>
      </c>
      <c r="AA100" s="11"/>
      <c r="AB100" s="74">
        <f>SUM(Z100/V100)-1</f>
        <v>-0.28947368421052633</v>
      </c>
    </row>
    <row r="101" spans="2:28" ht="12.75" customHeight="1">
      <c r="B101" s="59" t="s">
        <v>150</v>
      </c>
      <c r="C101" s="81">
        <v>0</v>
      </c>
      <c r="D101" s="81">
        <v>123</v>
      </c>
      <c r="E101" s="81">
        <v>43</v>
      </c>
      <c r="F101" s="31"/>
      <c r="G101" s="81">
        <v>0</v>
      </c>
      <c r="H101" s="81">
        <v>90</v>
      </c>
      <c r="I101" s="81">
        <v>0</v>
      </c>
      <c r="J101" s="31">
        <f t="shared" si="146"/>
        <v>33</v>
      </c>
      <c r="K101" s="81">
        <v>4</v>
      </c>
      <c r="L101" s="81">
        <v>14</v>
      </c>
      <c r="M101" s="81">
        <v>0</v>
      </c>
      <c r="N101" s="31">
        <f t="shared" si="147"/>
        <v>25</v>
      </c>
      <c r="O101" s="81">
        <v>2</v>
      </c>
      <c r="P101" s="81">
        <v>1</v>
      </c>
      <c r="Q101" s="81">
        <v>5</v>
      </c>
      <c r="S101" s="31">
        <f>SUM(G101:J101)</f>
        <v>123</v>
      </c>
      <c r="T101" s="31">
        <f>SUM(H101:K101)</f>
        <v>127</v>
      </c>
      <c r="U101" s="31">
        <f>SUM(I101:L101)</f>
        <v>51</v>
      </c>
      <c r="V101" s="31">
        <f>SUM(J101:M101)</f>
        <v>51</v>
      </c>
      <c r="W101" s="31">
        <f>SUM(K101:N101)</f>
        <v>43</v>
      </c>
      <c r="X101" s="31">
        <f>SUM(L101:O101)</f>
        <v>41</v>
      </c>
      <c r="Y101" s="31">
        <f>SUM(M101:P101)</f>
        <v>28</v>
      </c>
      <c r="Z101" s="31">
        <f>SUM(N101:Q101)</f>
        <v>33</v>
      </c>
      <c r="AA101" s="11"/>
      <c r="AB101" s="74">
        <f>SUM(Z101/V101)-1</f>
        <v>-0.3529411764705882</v>
      </c>
    </row>
    <row r="102" spans="2:28" ht="12.75" customHeight="1">
      <c r="B102" s="59" t="s">
        <v>151</v>
      </c>
      <c r="C102" s="81">
        <v>381</v>
      </c>
      <c r="D102" s="81">
        <v>321</v>
      </c>
      <c r="E102" s="81">
        <v>267</v>
      </c>
      <c r="F102" s="31"/>
      <c r="G102" s="81">
        <v>105</v>
      </c>
      <c r="H102" s="81">
        <v>97</v>
      </c>
      <c r="I102" s="81">
        <v>85</v>
      </c>
      <c r="J102" s="31">
        <f t="shared" si="146"/>
        <v>34</v>
      </c>
      <c r="K102" s="81">
        <v>69</v>
      </c>
      <c r="L102" s="81">
        <v>81</v>
      </c>
      <c r="M102" s="81">
        <v>63</v>
      </c>
      <c r="N102" s="31">
        <f t="shared" si="147"/>
        <v>54</v>
      </c>
      <c r="O102" s="81">
        <v>42</v>
      </c>
      <c r="P102" s="81">
        <v>73</v>
      </c>
      <c r="Q102" s="81">
        <v>75</v>
      </c>
      <c r="S102" s="31">
        <f>SUM(G102:J102)</f>
        <v>321</v>
      </c>
      <c r="T102" s="31">
        <f>SUM(H102:K102)</f>
        <v>285</v>
      </c>
      <c r="U102" s="31">
        <f>SUM(I102:L102)</f>
        <v>269</v>
      </c>
      <c r="V102" s="31">
        <f>SUM(J102:M102)</f>
        <v>247</v>
      </c>
      <c r="W102" s="31">
        <f>SUM(K102:N102)</f>
        <v>267</v>
      </c>
      <c r="X102" s="31">
        <f>SUM(L102:O102)</f>
        <v>240</v>
      </c>
      <c r="Y102" s="31">
        <f>SUM(M102:P102)</f>
        <v>232</v>
      </c>
      <c r="Z102" s="31">
        <f>SUM(N102:Q102)</f>
        <v>244</v>
      </c>
      <c r="AA102" s="11"/>
      <c r="AB102" s="74">
        <f>SUM(Z102/V102)-1</f>
        <v>-1.2145748987854255E-2</v>
      </c>
    </row>
    <row r="103" spans="2:28" ht="12.75" customHeight="1">
      <c r="B103" s="59" t="s">
        <v>152</v>
      </c>
      <c r="C103" s="31">
        <f>-C24</f>
        <v>-421</v>
      </c>
      <c r="D103" s="31">
        <f>-D24</f>
        <v>-161</v>
      </c>
      <c r="E103" s="31">
        <f>-E24</f>
        <v>-328</v>
      </c>
      <c r="F103" s="31"/>
      <c r="G103" s="31">
        <f>-G24</f>
        <v>-27</v>
      </c>
      <c r="H103" s="31">
        <f>-H24</f>
        <v>-33</v>
      </c>
      <c r="I103" s="31">
        <f>-I24</f>
        <v>-55</v>
      </c>
      <c r="J103" s="31">
        <f t="shared" si="146"/>
        <v>-46</v>
      </c>
      <c r="K103" s="31">
        <f>-K24</f>
        <v>-59</v>
      </c>
      <c r="L103" s="31">
        <f>-L24</f>
        <v>-76</v>
      </c>
      <c r="M103" s="31">
        <f>-M24</f>
        <v>-66</v>
      </c>
      <c r="N103" s="31">
        <f t="shared" si="147"/>
        <v>-127</v>
      </c>
      <c r="O103" s="31">
        <f>-O24</f>
        <v>-71</v>
      </c>
      <c r="P103" s="31">
        <f>-P24</f>
        <v>-89</v>
      </c>
      <c r="Q103" s="31">
        <f>-Q24</f>
        <v>-262</v>
      </c>
      <c r="S103" s="31">
        <f>SUM(G103:J103)</f>
        <v>-161</v>
      </c>
      <c r="T103" s="31">
        <f>SUM(H103:K103)</f>
        <v>-193</v>
      </c>
      <c r="U103" s="31">
        <f>SUM(I103:L103)</f>
        <v>-236</v>
      </c>
      <c r="V103" s="31">
        <f>SUM(J103:M103)</f>
        <v>-247</v>
      </c>
      <c r="W103" s="31">
        <f>SUM(K103:N103)</f>
        <v>-328</v>
      </c>
      <c r="X103" s="31">
        <f>SUM(L103:O103)</f>
        <v>-340</v>
      </c>
      <c r="Y103" s="31">
        <f>SUM(M103:P103)</f>
        <v>-353</v>
      </c>
      <c r="Z103" s="31">
        <f>SUM(N103:Q103)</f>
        <v>-549</v>
      </c>
      <c r="AA103" s="11"/>
      <c r="AB103" s="74">
        <f>SUM(Z103/V103)-1</f>
        <v>1.2226720647773281</v>
      </c>
    </row>
    <row r="104" spans="2:28" ht="12.75" customHeight="1">
      <c r="B104" s="59" t="s">
        <v>118</v>
      </c>
      <c r="C104" s="31">
        <f>-C25</f>
        <v>132</v>
      </c>
      <c r="D104" s="31">
        <f>-D25</f>
        <v>220</v>
      </c>
      <c r="E104" s="31">
        <f>-E25</f>
        <v>352</v>
      </c>
      <c r="F104" s="31"/>
      <c r="G104" s="31">
        <f>-G25</f>
        <v>77</v>
      </c>
      <c r="H104" s="31">
        <f>-H25</f>
        <v>27</v>
      </c>
      <c r="I104" s="31">
        <f>-I25</f>
        <v>14</v>
      </c>
      <c r="J104" s="31">
        <f t="shared" si="146"/>
        <v>102</v>
      </c>
      <c r="K104" s="31">
        <f>-K25</f>
        <v>53</v>
      </c>
      <c r="L104" s="31">
        <f>-L25</f>
        <v>72</v>
      </c>
      <c r="M104" s="31">
        <f>-M25</f>
        <v>122</v>
      </c>
      <c r="N104" s="31">
        <f t="shared" si="147"/>
        <v>105</v>
      </c>
      <c r="O104" s="31">
        <f>-O25</f>
        <v>252</v>
      </c>
      <c r="P104" s="31">
        <f>-P25</f>
        <v>447</v>
      </c>
      <c r="Q104" s="31">
        <f>-Q25</f>
        <v>17</v>
      </c>
      <c r="S104" s="31">
        <f>SUM(G104:J104)</f>
        <v>220</v>
      </c>
      <c r="T104" s="31">
        <f>SUM(H104:K104)</f>
        <v>196</v>
      </c>
      <c r="U104" s="31">
        <f>SUM(I104:L104)</f>
        <v>241</v>
      </c>
      <c r="V104" s="31">
        <f>SUM(J104:M104)</f>
        <v>349</v>
      </c>
      <c r="W104" s="31">
        <f>SUM(K104:N104)</f>
        <v>352</v>
      </c>
      <c r="X104" s="31">
        <f>SUM(L104:O104)</f>
        <v>551</v>
      </c>
      <c r="Y104" s="31">
        <f>SUM(M104:P104)</f>
        <v>926</v>
      </c>
      <c r="Z104" s="31">
        <f>SUM(N104:Q104)</f>
        <v>821</v>
      </c>
      <c r="AA104" s="11"/>
      <c r="AB104" s="74">
        <f>SUM(Z104/V104)-1</f>
        <v>1.3524355300859598</v>
      </c>
    </row>
    <row r="105" spans="2:28" ht="12.75" customHeight="1">
      <c r="B105" s="59" t="s">
        <v>153</v>
      </c>
      <c r="C105" s="31">
        <f>-C29</f>
        <v>60</v>
      </c>
      <c r="D105" s="31">
        <f>-D29</f>
        <v>27</v>
      </c>
      <c r="E105" s="31">
        <f>-E29</f>
        <v>203</v>
      </c>
      <c r="F105" s="31"/>
      <c r="G105" s="31">
        <f>-G29</f>
        <v>19</v>
      </c>
      <c r="H105" s="31">
        <f>-H29</f>
        <v>61</v>
      </c>
      <c r="I105" s="31">
        <f>-I29</f>
        <v>8</v>
      </c>
      <c r="J105" s="31">
        <f t="shared" si="146"/>
        <v>-61</v>
      </c>
      <c r="K105" s="31">
        <f>-K29</f>
        <v>-23</v>
      </c>
      <c r="L105" s="31">
        <f>-L29</f>
        <v>-4</v>
      </c>
      <c r="M105" s="31">
        <f>-M29</f>
        <v>98</v>
      </c>
      <c r="N105" s="31">
        <f t="shared" si="147"/>
        <v>132</v>
      </c>
      <c r="O105" s="31">
        <f>-O29</f>
        <v>103</v>
      </c>
      <c r="P105" s="31">
        <f>-P29</f>
        <v>134</v>
      </c>
      <c r="Q105" s="31">
        <f>-Q29</f>
        <v>-72</v>
      </c>
      <c r="S105" s="31">
        <f>SUM(G105:J105)</f>
        <v>27</v>
      </c>
      <c r="T105" s="31">
        <f>SUM(H105:K105)</f>
        <v>-15</v>
      </c>
      <c r="U105" s="31">
        <f>SUM(I105:L105)</f>
        <v>-80</v>
      </c>
      <c r="V105" s="31">
        <f>SUM(J105:M105)</f>
        <v>10</v>
      </c>
      <c r="W105" s="31">
        <f>SUM(K105:N105)</f>
        <v>203</v>
      </c>
      <c r="X105" s="31">
        <f>SUM(L105:O105)</f>
        <v>329</v>
      </c>
      <c r="Y105" s="31">
        <f>SUM(M105:P105)</f>
        <v>467</v>
      </c>
      <c r="Z105" s="31">
        <f>SUM(N105:Q105)</f>
        <v>297</v>
      </c>
      <c r="AA105" s="11"/>
      <c r="AB105" s="74">
        <f>SUM(Z105/V105)-1</f>
        <v>28.7</v>
      </c>
    </row>
    <row r="106" spans="2:28" ht="12.75" customHeight="1">
      <c r="B106" s="59" t="s">
        <v>100</v>
      </c>
      <c r="C106" s="81">
        <v>-53</v>
      </c>
      <c r="D106" s="81">
        <v>-38</v>
      </c>
      <c r="E106" s="81">
        <v>-36</v>
      </c>
      <c r="F106" s="31"/>
      <c r="G106" s="81">
        <v>-10</v>
      </c>
      <c r="H106" s="81">
        <v>-10</v>
      </c>
      <c r="I106" s="81">
        <v>-9</v>
      </c>
      <c r="J106" s="31">
        <f t="shared" si="146"/>
        <v>-9</v>
      </c>
      <c r="K106" s="81">
        <v>-9</v>
      </c>
      <c r="L106" s="81">
        <v>-9</v>
      </c>
      <c r="M106" s="81">
        <v>-9</v>
      </c>
      <c r="N106" s="31">
        <f t="shared" si="147"/>
        <v>-9</v>
      </c>
      <c r="O106" s="81">
        <v>-13</v>
      </c>
      <c r="P106" s="81">
        <v>-6</v>
      </c>
      <c r="Q106" s="81">
        <v>-11</v>
      </c>
      <c r="S106" s="31">
        <f>SUM(G106:J106)</f>
        <v>-38</v>
      </c>
      <c r="T106" s="31">
        <f>SUM(H106:K106)</f>
        <v>-37</v>
      </c>
      <c r="U106" s="31">
        <f>SUM(I106:L106)</f>
        <v>-36</v>
      </c>
      <c r="V106" s="31">
        <f>SUM(J106:M106)</f>
        <v>-36</v>
      </c>
      <c r="W106" s="31">
        <f>SUM(K106:N106)</f>
        <v>-36</v>
      </c>
      <c r="X106" s="31">
        <f>SUM(L106:O106)</f>
        <v>-40</v>
      </c>
      <c r="Y106" s="31">
        <f>SUM(M106:P106)</f>
        <v>-37</v>
      </c>
      <c r="Z106" s="31">
        <f>SUM(N106:Q106)</f>
        <v>-39</v>
      </c>
      <c r="AA106" s="11"/>
      <c r="AB106" s="74">
        <f t="shared" ref="AB106:AB109" si="148">SUM(Z106/V106)-1</f>
        <v>8.3333333333333259E-2</v>
      </c>
    </row>
    <row r="107" spans="2:28" ht="12.75" customHeight="1">
      <c r="B107" s="59" t="s">
        <v>159</v>
      </c>
      <c r="C107" s="81">
        <v>37</v>
      </c>
      <c r="D107" s="81">
        <v>111</v>
      </c>
      <c r="E107" s="81">
        <v>216</v>
      </c>
      <c r="F107" s="31"/>
      <c r="G107" s="81">
        <v>23</v>
      </c>
      <c r="H107" s="81">
        <v>26</v>
      </c>
      <c r="I107" s="81">
        <v>28</v>
      </c>
      <c r="J107" s="31">
        <f t="shared" si="146"/>
        <v>34</v>
      </c>
      <c r="K107" s="81">
        <v>37</v>
      </c>
      <c r="L107" s="81">
        <v>41</v>
      </c>
      <c r="M107" s="81">
        <v>77</v>
      </c>
      <c r="N107" s="31">
        <f t="shared" si="147"/>
        <v>61</v>
      </c>
      <c r="O107" s="81">
        <v>70</v>
      </c>
      <c r="P107" s="81">
        <v>57</v>
      </c>
      <c r="Q107" s="81">
        <v>57</v>
      </c>
      <c r="S107" s="31">
        <f>SUM(G107:J107)</f>
        <v>111</v>
      </c>
      <c r="T107" s="31">
        <f>SUM(H107:K107)</f>
        <v>125</v>
      </c>
      <c r="U107" s="31">
        <f>SUM(I107:L107)</f>
        <v>140</v>
      </c>
      <c r="V107" s="31">
        <f>SUM(J107:M107)</f>
        <v>189</v>
      </c>
      <c r="W107" s="31">
        <f>SUM(K107:N107)</f>
        <v>216</v>
      </c>
      <c r="X107" s="31">
        <f>SUM(L107:O107)</f>
        <v>249</v>
      </c>
      <c r="Y107" s="31">
        <f>SUM(M107:P107)</f>
        <v>265</v>
      </c>
      <c r="Z107" s="31">
        <f>SUM(N107:Q107)</f>
        <v>245</v>
      </c>
      <c r="AA107" s="11"/>
      <c r="AB107" s="74">
        <f t="shared" si="148"/>
        <v>0.29629629629629628</v>
      </c>
    </row>
    <row r="108" spans="2:28" ht="12.75" customHeight="1">
      <c r="B108" s="59" t="s">
        <v>160</v>
      </c>
      <c r="C108" s="81">
        <v>-43</v>
      </c>
      <c r="D108" s="81">
        <v>-43</v>
      </c>
      <c r="E108" s="81">
        <v>-53</v>
      </c>
      <c r="F108" s="31"/>
      <c r="G108" s="81">
        <v>-10</v>
      </c>
      <c r="H108" s="81">
        <v>-15</v>
      </c>
      <c r="I108" s="81">
        <v>-7</v>
      </c>
      <c r="J108" s="31">
        <f t="shared" si="146"/>
        <v>-11</v>
      </c>
      <c r="K108" s="81">
        <v>-5</v>
      </c>
      <c r="L108" s="81">
        <v>-23</v>
      </c>
      <c r="M108" s="81">
        <v>-15</v>
      </c>
      <c r="N108" s="31">
        <f t="shared" si="147"/>
        <v>-10</v>
      </c>
      <c r="O108" s="81">
        <v>-19</v>
      </c>
      <c r="P108" s="81">
        <v>-58</v>
      </c>
      <c r="Q108" s="81">
        <v>-5</v>
      </c>
      <c r="S108" s="31">
        <f>SUM(G108:J108)</f>
        <v>-43</v>
      </c>
      <c r="T108" s="31">
        <f>SUM(H108:K108)</f>
        <v>-38</v>
      </c>
      <c r="U108" s="31">
        <f>SUM(I108:L108)</f>
        <v>-46</v>
      </c>
      <c r="V108" s="31">
        <f>SUM(J108:M108)</f>
        <v>-54</v>
      </c>
      <c r="W108" s="31">
        <f>SUM(K108:N108)</f>
        <v>-53</v>
      </c>
      <c r="X108" s="31">
        <f>SUM(L108:O108)</f>
        <v>-67</v>
      </c>
      <c r="Y108" s="31">
        <f>SUM(M108:P108)</f>
        <v>-102</v>
      </c>
      <c r="Z108" s="31">
        <f>SUM(N108:Q108)</f>
        <v>-92</v>
      </c>
      <c r="AA108" s="11"/>
      <c r="AB108" s="74">
        <f t="shared" si="148"/>
        <v>0.70370370370370372</v>
      </c>
    </row>
    <row r="109" spans="2:28" ht="12.75" customHeight="1">
      <c r="B109" s="59" t="s">
        <v>110</v>
      </c>
      <c r="C109" s="81">
        <f>14+7</f>
        <v>21</v>
      </c>
      <c r="D109" s="81">
        <f>29+1</f>
        <v>30</v>
      </c>
      <c r="E109" s="81">
        <v>2</v>
      </c>
      <c r="F109" s="31"/>
      <c r="G109" s="81">
        <v>-5</v>
      </c>
      <c r="H109" s="81">
        <f>30+2</f>
        <v>32</v>
      </c>
      <c r="I109" s="81">
        <v>-1</v>
      </c>
      <c r="J109" s="31">
        <f>SUM(D109-SUM(G109:I109))</f>
        <v>4</v>
      </c>
      <c r="K109" s="81">
        <v>0</v>
      </c>
      <c r="L109" s="81">
        <v>-1</v>
      </c>
      <c r="M109" s="81">
        <v>0</v>
      </c>
      <c r="N109" s="31">
        <f t="shared" si="147"/>
        <v>3</v>
      </c>
      <c r="O109" s="81">
        <v>0</v>
      </c>
      <c r="P109" s="81">
        <v>8</v>
      </c>
      <c r="Q109" s="81">
        <v>1</v>
      </c>
      <c r="S109" s="31">
        <f>SUM(G109:J109)</f>
        <v>30</v>
      </c>
      <c r="T109" s="31">
        <f>SUM(H109:K109)</f>
        <v>35</v>
      </c>
      <c r="U109" s="31">
        <f>SUM(I109:L109)</f>
        <v>2</v>
      </c>
      <c r="V109" s="31">
        <f>SUM(J109:M109)</f>
        <v>3</v>
      </c>
      <c r="W109" s="31">
        <f>SUM(K109:N109)</f>
        <v>2</v>
      </c>
      <c r="X109" s="31">
        <f>SUM(L109:O109)</f>
        <v>2</v>
      </c>
      <c r="Y109" s="31">
        <f>SUM(M109:P109)</f>
        <v>11</v>
      </c>
      <c r="Z109" s="31">
        <f>SUM(N109:Q109)</f>
        <v>12</v>
      </c>
      <c r="AA109" s="11"/>
      <c r="AB109" s="74">
        <f t="shared" si="148"/>
        <v>3</v>
      </c>
    </row>
    <row r="110" spans="2:28" ht="5.0999999999999996" customHeight="1">
      <c r="B110" s="59"/>
      <c r="C110" s="81"/>
      <c r="D110" s="81"/>
      <c r="E110" s="81"/>
      <c r="F110" s="31"/>
      <c r="G110" s="81"/>
      <c r="H110" s="81"/>
      <c r="I110" s="81"/>
      <c r="J110" s="31"/>
      <c r="K110" s="81"/>
      <c r="L110" s="81"/>
      <c r="M110" s="81"/>
      <c r="N110" s="31"/>
      <c r="O110" s="81"/>
      <c r="P110" s="81"/>
      <c r="Q110" s="81"/>
      <c r="S110" s="31"/>
      <c r="T110" s="31"/>
      <c r="U110" s="31"/>
      <c r="V110" s="31"/>
      <c r="W110" s="31"/>
      <c r="X110" s="31"/>
      <c r="Y110" s="31"/>
      <c r="Z110" s="31"/>
      <c r="AA110" s="11"/>
      <c r="AB110" s="74"/>
    </row>
    <row r="111" spans="2:28" ht="12.75" customHeight="1">
      <c r="B111" s="34" t="s">
        <v>154</v>
      </c>
      <c r="C111" s="81"/>
      <c r="D111" s="81"/>
      <c r="E111" s="81"/>
      <c r="F111" s="31"/>
      <c r="G111" s="81"/>
      <c r="H111" s="81"/>
      <c r="I111" s="81"/>
      <c r="J111" s="31"/>
      <c r="K111" s="81"/>
      <c r="L111" s="81"/>
      <c r="M111" s="81"/>
      <c r="N111" s="31"/>
      <c r="O111" s="81"/>
      <c r="P111" s="81"/>
      <c r="Q111" s="81"/>
      <c r="S111" s="31"/>
      <c r="T111" s="31"/>
      <c r="U111" s="31"/>
      <c r="V111" s="31"/>
      <c r="W111" s="31"/>
      <c r="X111" s="31"/>
      <c r="Y111" s="31"/>
      <c r="Z111" s="31"/>
      <c r="AA111" s="58"/>
      <c r="AB111" s="74"/>
    </row>
    <row r="112" spans="2:28" ht="12.75" customHeight="1">
      <c r="B112" s="59" t="s">
        <v>155</v>
      </c>
      <c r="C112" s="81">
        <v>-84</v>
      </c>
      <c r="D112" s="81">
        <v>-145</v>
      </c>
      <c r="E112" s="81">
        <v>145</v>
      </c>
      <c r="F112" s="31"/>
      <c r="G112" s="81">
        <v>118</v>
      </c>
      <c r="H112" s="81">
        <v>-97</v>
      </c>
      <c r="I112" s="81">
        <v>-69</v>
      </c>
      <c r="J112" s="31">
        <f>SUM(D112-SUM(G112:I112))</f>
        <v>-97</v>
      </c>
      <c r="K112" s="81">
        <v>80</v>
      </c>
      <c r="L112" s="81">
        <v>40</v>
      </c>
      <c r="M112" s="81">
        <v>-4</v>
      </c>
      <c r="N112" s="31">
        <f>SUM(E112-SUM(K112:M112))</f>
        <v>29</v>
      </c>
      <c r="O112" s="81">
        <v>-4</v>
      </c>
      <c r="P112" s="81">
        <v>-19</v>
      </c>
      <c r="Q112" s="81">
        <v>-26</v>
      </c>
      <c r="S112" s="31">
        <f>SUM(G112:J112)</f>
        <v>-145</v>
      </c>
      <c r="T112" s="31">
        <f>SUM(H112:K112)</f>
        <v>-183</v>
      </c>
      <c r="U112" s="31">
        <f>SUM(I112:L112)</f>
        <v>-46</v>
      </c>
      <c r="V112" s="31">
        <f>SUM(J112:M112)</f>
        <v>19</v>
      </c>
      <c r="W112" s="31">
        <f>SUM(K112:N112)</f>
        <v>145</v>
      </c>
      <c r="X112" s="31">
        <f>SUM(L112:O112)</f>
        <v>61</v>
      </c>
      <c r="Y112" s="31">
        <f>SUM(M112:P112)</f>
        <v>2</v>
      </c>
      <c r="Z112" s="31">
        <f>SUM(N112:Q112)</f>
        <v>-20</v>
      </c>
      <c r="AA112" s="58"/>
      <c r="AB112" s="74">
        <f>SUM(Z112/V112)-1</f>
        <v>-2.0526315789473681</v>
      </c>
    </row>
    <row r="113" spans="2:28" ht="12.75" customHeight="1">
      <c r="B113" s="59" t="s">
        <v>156</v>
      </c>
      <c r="C113" s="81">
        <v>226</v>
      </c>
      <c r="D113" s="81">
        <v>501</v>
      </c>
      <c r="E113" s="81">
        <v>183</v>
      </c>
      <c r="F113" s="31"/>
      <c r="G113" s="81">
        <v>-57</v>
      </c>
      <c r="H113" s="81">
        <v>77</v>
      </c>
      <c r="I113" s="81">
        <v>62</v>
      </c>
      <c r="J113" s="31">
        <f t="shared" ref="J113:J115" si="149">SUM(D113-SUM(G113:I113))</f>
        <v>419</v>
      </c>
      <c r="K113" s="81">
        <v>-171</v>
      </c>
      <c r="L113" s="81">
        <v>28</v>
      </c>
      <c r="M113" s="81">
        <v>86</v>
      </c>
      <c r="N113" s="31">
        <f t="shared" ref="N113:N115" si="150">SUM(E113-SUM(K113:M113))</f>
        <v>240</v>
      </c>
      <c r="O113" s="81">
        <v>-90</v>
      </c>
      <c r="P113" s="81">
        <v>201</v>
      </c>
      <c r="Q113" s="81">
        <v>100</v>
      </c>
      <c r="S113" s="31">
        <f>SUM(G113:J113)</f>
        <v>501</v>
      </c>
      <c r="T113" s="31">
        <f>SUM(H113:K113)</f>
        <v>387</v>
      </c>
      <c r="U113" s="31">
        <f>SUM(I113:L113)</f>
        <v>338</v>
      </c>
      <c r="V113" s="31">
        <f>SUM(J113:M113)</f>
        <v>362</v>
      </c>
      <c r="W113" s="31">
        <f>SUM(K113:N113)</f>
        <v>183</v>
      </c>
      <c r="X113" s="31">
        <f>SUM(L113:O113)</f>
        <v>264</v>
      </c>
      <c r="Y113" s="31">
        <f>SUM(M113:P113)</f>
        <v>437</v>
      </c>
      <c r="Z113" s="31">
        <f>SUM(N113:Q113)</f>
        <v>451</v>
      </c>
      <c r="AA113" s="58"/>
      <c r="AB113" s="74">
        <f t="shared" ref="AB113:AB115" si="151">SUM(Z113/V113)-1</f>
        <v>0.2458563535911602</v>
      </c>
    </row>
    <row r="114" spans="2:28" ht="12.75" customHeight="1">
      <c r="B114" s="59" t="s">
        <v>157</v>
      </c>
      <c r="C114" s="81">
        <v>52</v>
      </c>
      <c r="D114" s="81">
        <v>113</v>
      </c>
      <c r="E114" s="81">
        <v>45</v>
      </c>
      <c r="F114" s="31"/>
      <c r="G114" s="81">
        <v>6</v>
      </c>
      <c r="H114" s="81">
        <v>18</v>
      </c>
      <c r="I114" s="81">
        <v>56</v>
      </c>
      <c r="J114" s="31">
        <f t="shared" si="149"/>
        <v>33</v>
      </c>
      <c r="K114" s="81">
        <v>7</v>
      </c>
      <c r="L114" s="81">
        <v>21</v>
      </c>
      <c r="M114" s="81">
        <v>33</v>
      </c>
      <c r="N114" s="31">
        <f t="shared" si="150"/>
        <v>-16</v>
      </c>
      <c r="O114" s="81">
        <v>3</v>
      </c>
      <c r="P114" s="81">
        <v>12</v>
      </c>
      <c r="Q114" s="81">
        <v>25</v>
      </c>
      <c r="S114" s="31">
        <f>SUM(G114:J114)</f>
        <v>113</v>
      </c>
      <c r="T114" s="31">
        <f>SUM(H114:K114)</f>
        <v>114</v>
      </c>
      <c r="U114" s="31">
        <f>SUM(I114:L114)</f>
        <v>117</v>
      </c>
      <c r="V114" s="31">
        <f>SUM(J114:M114)</f>
        <v>94</v>
      </c>
      <c r="W114" s="31">
        <f>SUM(K114:N114)</f>
        <v>45</v>
      </c>
      <c r="X114" s="31">
        <f>SUM(L114:O114)</f>
        <v>41</v>
      </c>
      <c r="Y114" s="31">
        <f>SUM(M114:P114)</f>
        <v>32</v>
      </c>
      <c r="Z114" s="31">
        <f>SUM(N114:Q114)</f>
        <v>24</v>
      </c>
      <c r="AA114" s="58"/>
      <c r="AB114" s="74">
        <f t="shared" si="151"/>
        <v>-0.74468085106382986</v>
      </c>
    </row>
    <row r="115" spans="2:28" ht="12.75" customHeight="1">
      <c r="B115" s="59" t="s">
        <v>158</v>
      </c>
      <c r="C115" s="81">
        <v>-3</v>
      </c>
      <c r="D115" s="81">
        <v>-5</v>
      </c>
      <c r="E115" s="81">
        <v>3</v>
      </c>
      <c r="F115" s="31"/>
      <c r="G115" s="81">
        <v>1</v>
      </c>
      <c r="H115" s="81">
        <v>-2</v>
      </c>
      <c r="I115" s="81">
        <v>-2</v>
      </c>
      <c r="J115" s="31">
        <f t="shared" si="149"/>
        <v>-2</v>
      </c>
      <c r="K115" s="81">
        <v>0</v>
      </c>
      <c r="L115" s="81">
        <v>4</v>
      </c>
      <c r="M115" s="81">
        <v>0</v>
      </c>
      <c r="N115" s="31">
        <f t="shared" si="150"/>
        <v>-1</v>
      </c>
      <c r="O115" s="81">
        <v>12</v>
      </c>
      <c r="P115" s="81">
        <v>8</v>
      </c>
      <c r="Q115" s="81">
        <v>2</v>
      </c>
      <c r="S115" s="31">
        <f>SUM(G115:J115)</f>
        <v>-5</v>
      </c>
      <c r="T115" s="31">
        <f>SUM(H115:K115)</f>
        <v>-6</v>
      </c>
      <c r="U115" s="31">
        <f>SUM(I115:L115)</f>
        <v>0</v>
      </c>
      <c r="V115" s="31">
        <f>SUM(J115:M115)</f>
        <v>2</v>
      </c>
      <c r="W115" s="31">
        <f>SUM(K115:N115)</f>
        <v>3</v>
      </c>
      <c r="X115" s="31">
        <f>SUM(L115:O115)</f>
        <v>15</v>
      </c>
      <c r="Y115" s="31">
        <f>SUM(M115:P115)</f>
        <v>19</v>
      </c>
      <c r="Z115" s="31">
        <f>SUM(N115:Q115)</f>
        <v>21</v>
      </c>
      <c r="AA115" s="58"/>
      <c r="AB115" s="74">
        <f t="shared" si="151"/>
        <v>9.5</v>
      </c>
    </row>
    <row r="116" spans="2:28" ht="12.75" customHeight="1">
      <c r="B116" s="13" t="s">
        <v>53</v>
      </c>
      <c r="C116" s="157">
        <f>SUM(C96:C115)</f>
        <v>46</v>
      </c>
      <c r="D116" s="157">
        <f>SUM(D96:D115)</f>
        <v>680</v>
      </c>
      <c r="E116" s="157">
        <f>SUM(E96:E115)</f>
        <v>2301</v>
      </c>
      <c r="F116" s="11"/>
      <c r="G116" s="157">
        <f>SUM(G96:G115)</f>
        <v>59</v>
      </c>
      <c r="H116" s="157">
        <f>SUM(H96:H115)</f>
        <v>13</v>
      </c>
      <c r="I116" s="157">
        <f>SUM(I96:I115)</f>
        <v>211</v>
      </c>
      <c r="J116" s="157">
        <f>SUM(J96:J115)</f>
        <v>397</v>
      </c>
      <c r="K116" s="157">
        <f>SUM(K96:K115)</f>
        <v>211</v>
      </c>
      <c r="L116" s="157">
        <f>SUM(L96:L115)</f>
        <v>492</v>
      </c>
      <c r="M116" s="157">
        <f>SUM(M96:M115)</f>
        <v>715</v>
      </c>
      <c r="N116" s="157">
        <f>SUM(N96:N115)</f>
        <v>883</v>
      </c>
      <c r="O116" s="157">
        <f>SUM(O96:O115)</f>
        <v>539</v>
      </c>
      <c r="P116" s="157">
        <f>SUM(P96:P115)</f>
        <v>709</v>
      </c>
      <c r="Q116" s="157">
        <f>SUM(Q96:Q115)</f>
        <v>829</v>
      </c>
      <c r="S116" s="157">
        <f>SUM(S96:S115)</f>
        <v>680</v>
      </c>
      <c r="T116" s="157">
        <f>SUM(T96:T115)</f>
        <v>832</v>
      </c>
      <c r="U116" s="157">
        <f>SUM(U96:U115)</f>
        <v>1311</v>
      </c>
      <c r="V116" s="157">
        <f>SUM(V96:V115)</f>
        <v>1815</v>
      </c>
      <c r="W116" s="157">
        <f>SUM(W96:W115)</f>
        <v>2301</v>
      </c>
      <c r="X116" s="157">
        <f>SUM(X96:X115)</f>
        <v>2629</v>
      </c>
      <c r="Y116" s="157">
        <f>SUM(Y96:Y115)</f>
        <v>2846</v>
      </c>
      <c r="Z116" s="157">
        <f>SUM(Z96:Z115)</f>
        <v>2960</v>
      </c>
      <c r="AA116" s="38"/>
      <c r="AB116" s="15">
        <f>SUM(Z116/V116)-1</f>
        <v>0.63085399449035817</v>
      </c>
    </row>
    <row r="117" spans="2:28" ht="12.75" customHeight="1">
      <c r="B117" s="52"/>
      <c r="C117" s="60"/>
      <c r="D117" s="60"/>
      <c r="E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S117" s="40"/>
      <c r="T117" s="40"/>
      <c r="U117" s="40"/>
      <c r="V117" s="40"/>
      <c r="W117" s="40"/>
      <c r="X117" s="40"/>
      <c r="Y117" s="40"/>
      <c r="Z117" s="40"/>
      <c r="AA117" s="40"/>
      <c r="AB117" s="37"/>
    </row>
    <row r="118" spans="2:28" ht="12.75" customHeight="1">
      <c r="B118" s="52" t="s">
        <v>54</v>
      </c>
      <c r="C118" s="57"/>
      <c r="D118" s="57"/>
      <c r="E118" s="57"/>
      <c r="G118" s="81"/>
      <c r="H118" s="81"/>
      <c r="I118" s="81"/>
      <c r="J118" s="31"/>
      <c r="K118" s="81"/>
      <c r="L118" s="81"/>
      <c r="M118" s="81"/>
      <c r="N118" s="31"/>
      <c r="O118" s="57"/>
      <c r="P118" s="57"/>
      <c r="Q118" s="57"/>
      <c r="S118" s="57"/>
      <c r="T118" s="57"/>
      <c r="U118" s="57"/>
      <c r="V118" s="57"/>
      <c r="W118" s="57"/>
      <c r="X118" s="57"/>
      <c r="Y118" s="57"/>
      <c r="Z118" s="57"/>
      <c r="AA118" s="58"/>
      <c r="AB118" s="37"/>
    </row>
    <row r="119" spans="2:28" ht="12.75" customHeight="1">
      <c r="B119" s="59" t="s">
        <v>86</v>
      </c>
      <c r="C119" s="81">
        <v>-25</v>
      </c>
      <c r="D119" s="81">
        <v>-6</v>
      </c>
      <c r="E119" s="81">
        <v>-17</v>
      </c>
      <c r="F119" s="31"/>
      <c r="G119" s="81">
        <v>-2</v>
      </c>
      <c r="H119" s="81">
        <v>-2</v>
      </c>
      <c r="I119" s="81">
        <v>-1</v>
      </c>
      <c r="J119" s="31">
        <f>SUM(D119-SUM(G119:I119))</f>
        <v>-1</v>
      </c>
      <c r="K119" s="81">
        <v>-5</v>
      </c>
      <c r="L119" s="81">
        <v>-2</v>
      </c>
      <c r="M119" s="81">
        <v>-4</v>
      </c>
      <c r="N119" s="31">
        <f>SUM(E119-SUM(K119:M119))</f>
        <v>-6</v>
      </c>
      <c r="O119" s="81">
        <v>-6</v>
      </c>
      <c r="P119" s="81">
        <v>-10</v>
      </c>
      <c r="Q119" s="81">
        <v>-23</v>
      </c>
      <c r="R119" s="31"/>
      <c r="S119" s="31">
        <f>SUM(G119:J119)</f>
        <v>-6</v>
      </c>
      <c r="T119" s="31">
        <f>SUM(H119:K119)</f>
        <v>-9</v>
      </c>
      <c r="U119" s="31">
        <f>SUM(I119:L119)</f>
        <v>-9</v>
      </c>
      <c r="V119" s="31">
        <f>SUM(J119:M119)</f>
        <v>-12</v>
      </c>
      <c r="W119" s="31">
        <f>SUM(K119:N119)</f>
        <v>-17</v>
      </c>
      <c r="X119" s="31">
        <f>SUM(L119:O119)</f>
        <v>-18</v>
      </c>
      <c r="Y119" s="31">
        <f>SUM(M119:P119)</f>
        <v>-26</v>
      </c>
      <c r="Z119" s="31">
        <f>SUM(N119:Q119)</f>
        <v>-45</v>
      </c>
      <c r="AA119" s="58"/>
      <c r="AB119" s="74">
        <f>SUM(Z119/V119)-1</f>
        <v>2.75</v>
      </c>
    </row>
    <row r="120" spans="2:28" ht="12.75" customHeight="1">
      <c r="B120" s="59" t="s">
        <v>161</v>
      </c>
      <c r="C120" s="81">
        <v>-11</v>
      </c>
      <c r="D120" s="81">
        <v>-7</v>
      </c>
      <c r="E120" s="81">
        <v>-10</v>
      </c>
      <c r="F120" s="31"/>
      <c r="G120" s="81">
        <v>-7</v>
      </c>
      <c r="H120" s="81">
        <v>0</v>
      </c>
      <c r="I120" s="81">
        <v>0</v>
      </c>
      <c r="J120" s="31">
        <f>SUM(D120-SUM(G120:I120))</f>
        <v>0</v>
      </c>
      <c r="K120" s="81">
        <v>-7</v>
      </c>
      <c r="L120" s="81">
        <v>-3</v>
      </c>
      <c r="M120" s="81">
        <v>0</v>
      </c>
      <c r="N120" s="31">
        <f>SUM(E120-SUM(K120:M120))</f>
        <v>0</v>
      </c>
      <c r="O120" s="81">
        <v>-7</v>
      </c>
      <c r="P120" s="81">
        <v>-2</v>
      </c>
      <c r="Q120" s="81">
        <v>0</v>
      </c>
      <c r="R120" s="31"/>
      <c r="S120" s="31">
        <f>SUM(G120:J120)</f>
        <v>-7</v>
      </c>
      <c r="T120" s="31">
        <f>SUM(H120:K120)</f>
        <v>-7</v>
      </c>
      <c r="U120" s="31">
        <f>SUM(I120:L120)</f>
        <v>-10</v>
      </c>
      <c r="V120" s="31">
        <f>SUM(J120:M120)</f>
        <v>-10</v>
      </c>
      <c r="W120" s="31">
        <f>SUM(K120:N120)</f>
        <v>-10</v>
      </c>
      <c r="X120" s="31">
        <f>SUM(L120:O120)</f>
        <v>-10</v>
      </c>
      <c r="Y120" s="31">
        <f>SUM(M120:P120)</f>
        <v>-9</v>
      </c>
      <c r="Z120" s="31">
        <f>SUM(N120:Q120)</f>
        <v>-9</v>
      </c>
      <c r="AA120" s="58"/>
      <c r="AB120" s="74">
        <f>SUM(Z120/V120)-1</f>
        <v>-9.9999999999999978E-2</v>
      </c>
    </row>
    <row r="121" spans="2:28" ht="12.75" customHeight="1">
      <c r="B121" s="59" t="s">
        <v>162</v>
      </c>
      <c r="C121" s="81">
        <v>-457</v>
      </c>
      <c r="D121" s="81">
        <v>-1590</v>
      </c>
      <c r="E121" s="81">
        <v>-7275</v>
      </c>
      <c r="F121" s="31"/>
      <c r="G121" s="81">
        <v>-237</v>
      </c>
      <c r="H121" s="81">
        <v>-138</v>
      </c>
      <c r="I121" s="81">
        <v>-406</v>
      </c>
      <c r="J121" s="31">
        <f t="shared" ref="J121:J125" si="152">SUM(D121-SUM(G121:I121))</f>
        <v>-809</v>
      </c>
      <c r="K121" s="81">
        <v>-998</v>
      </c>
      <c r="L121" s="81">
        <v>-1285</v>
      </c>
      <c r="M121" s="81">
        <v>-1439</v>
      </c>
      <c r="N121" s="31">
        <f>SUM(E121-SUM(K121:M121))</f>
        <v>-3553</v>
      </c>
      <c r="O121" s="81">
        <v>-3929</v>
      </c>
      <c r="P121" s="81">
        <v>-4643</v>
      </c>
      <c r="Q121" s="81">
        <v>-4783</v>
      </c>
      <c r="R121" s="31"/>
      <c r="S121" s="31">
        <f>SUM(G121:J121)</f>
        <v>-1590</v>
      </c>
      <c r="T121" s="31">
        <f>SUM(H121:K121)</f>
        <v>-2351</v>
      </c>
      <c r="U121" s="31">
        <f>SUM(I121:L121)</f>
        <v>-3498</v>
      </c>
      <c r="V121" s="31">
        <f>SUM(J121:M121)</f>
        <v>-4531</v>
      </c>
      <c r="W121" s="31">
        <f>SUM(K121:N121)</f>
        <v>-7275</v>
      </c>
      <c r="X121" s="31">
        <f>SUM(L121:O121)</f>
        <v>-10206</v>
      </c>
      <c r="Y121" s="31">
        <f>SUM(M121:P121)</f>
        <v>-13564</v>
      </c>
      <c r="Z121" s="31">
        <f>SUM(N121:Q121)</f>
        <v>-16908</v>
      </c>
      <c r="AA121" s="58"/>
      <c r="AB121" s="74">
        <f>SUM(Z121/V121)-1</f>
        <v>2.7316265725005517</v>
      </c>
    </row>
    <row r="122" spans="2:28" ht="12.75" customHeight="1">
      <c r="B122" s="59" t="s">
        <v>163</v>
      </c>
      <c r="C122" s="81">
        <v>368</v>
      </c>
      <c r="D122" s="81">
        <v>1379</v>
      </c>
      <c r="E122" s="81">
        <v>5804</v>
      </c>
      <c r="F122" s="31"/>
      <c r="G122" s="81">
        <v>111</v>
      </c>
      <c r="H122" s="81">
        <v>265</v>
      </c>
      <c r="I122" s="81">
        <v>201</v>
      </c>
      <c r="J122" s="31">
        <f t="shared" si="152"/>
        <v>802</v>
      </c>
      <c r="K122" s="81">
        <v>900</v>
      </c>
      <c r="L122" s="81">
        <v>1179</v>
      </c>
      <c r="M122" s="81">
        <v>1364</v>
      </c>
      <c r="N122" s="31">
        <f>SUM(E122-SUM(K122:M122))</f>
        <v>2361</v>
      </c>
      <c r="O122" s="81">
        <v>3630</v>
      </c>
      <c r="P122" s="81">
        <v>4228</v>
      </c>
      <c r="Q122" s="81">
        <v>4369</v>
      </c>
      <c r="R122" s="31"/>
      <c r="S122" s="31">
        <f>SUM(G122:J122)</f>
        <v>1379</v>
      </c>
      <c r="T122" s="31">
        <f>SUM(H122:K122)</f>
        <v>2168</v>
      </c>
      <c r="U122" s="31">
        <f>SUM(I122:L122)</f>
        <v>3082</v>
      </c>
      <c r="V122" s="31">
        <f>SUM(J122:M122)</f>
        <v>4245</v>
      </c>
      <c r="W122" s="31">
        <f>SUM(K122:N122)</f>
        <v>5804</v>
      </c>
      <c r="X122" s="31">
        <f>SUM(L122:O122)</f>
        <v>8534</v>
      </c>
      <c r="Y122" s="31">
        <f>SUM(M122:P122)</f>
        <v>11583</v>
      </c>
      <c r="Z122" s="31">
        <f>SUM(N122:Q122)</f>
        <v>14588</v>
      </c>
      <c r="AA122" s="58"/>
      <c r="AB122" s="74">
        <f>SUM(Z122/V122)-1</f>
        <v>2.4365135453474678</v>
      </c>
    </row>
    <row r="123" spans="2:28" ht="12.75" customHeight="1">
      <c r="B123" s="59" t="s">
        <v>164</v>
      </c>
      <c r="C123" s="81">
        <v>0</v>
      </c>
      <c r="D123" s="81">
        <v>0</v>
      </c>
      <c r="E123" s="81">
        <v>19</v>
      </c>
      <c r="F123" s="31"/>
      <c r="G123" s="81">
        <v>0</v>
      </c>
      <c r="H123" s="81">
        <v>0</v>
      </c>
      <c r="I123" s="81">
        <v>0</v>
      </c>
      <c r="J123" s="31">
        <f t="shared" si="152"/>
        <v>0</v>
      </c>
      <c r="K123" s="81">
        <v>0</v>
      </c>
      <c r="L123" s="81">
        <v>18</v>
      </c>
      <c r="M123" s="81">
        <v>0</v>
      </c>
      <c r="N123" s="31">
        <f>SUM(E123-SUM(K123:M123))</f>
        <v>1</v>
      </c>
      <c r="O123" s="81">
        <v>0</v>
      </c>
      <c r="P123" s="81">
        <v>22</v>
      </c>
      <c r="Q123" s="81">
        <v>1</v>
      </c>
      <c r="R123" s="31"/>
      <c r="S123" s="31">
        <f>SUM(G123:J123)</f>
        <v>0</v>
      </c>
      <c r="T123" s="31">
        <f>SUM(H123:K123)</f>
        <v>0</v>
      </c>
      <c r="U123" s="31">
        <f>SUM(I123:L123)</f>
        <v>18</v>
      </c>
      <c r="V123" s="31">
        <f>SUM(J123:M123)</f>
        <v>18</v>
      </c>
      <c r="W123" s="31">
        <f>SUM(K123:N123)</f>
        <v>19</v>
      </c>
      <c r="X123" s="31">
        <f>SUM(L123:O123)</f>
        <v>19</v>
      </c>
      <c r="Y123" s="31">
        <f>SUM(M123:P123)</f>
        <v>23</v>
      </c>
      <c r="Z123" s="31">
        <f>SUM(N123:Q123)</f>
        <v>24</v>
      </c>
      <c r="AA123" s="58"/>
      <c r="AB123" s="74">
        <f>SUM(Z123/V123)-1</f>
        <v>0.33333333333333326</v>
      </c>
    </row>
    <row r="124" spans="2:28" ht="12.75" customHeight="1">
      <c r="B124" s="59" t="s">
        <v>165</v>
      </c>
      <c r="C124" s="81">
        <v>0</v>
      </c>
      <c r="D124" s="81">
        <v>4</v>
      </c>
      <c r="E124" s="81">
        <v>1</v>
      </c>
      <c r="F124" s="31"/>
      <c r="G124" s="81">
        <v>0</v>
      </c>
      <c r="H124" s="81">
        <v>-2</v>
      </c>
      <c r="I124" s="81">
        <v>6</v>
      </c>
      <c r="J124" s="31">
        <f t="shared" si="152"/>
        <v>0</v>
      </c>
      <c r="K124" s="81">
        <v>1</v>
      </c>
      <c r="L124" s="81">
        <v>0</v>
      </c>
      <c r="M124" s="81">
        <v>0</v>
      </c>
      <c r="N124" s="31">
        <f>SUM(E124-SUM(K124:M124))</f>
        <v>0</v>
      </c>
      <c r="O124" s="81">
        <v>1</v>
      </c>
      <c r="P124" s="81">
        <v>1</v>
      </c>
      <c r="Q124" s="81">
        <v>0</v>
      </c>
      <c r="R124" s="31"/>
      <c r="S124" s="31">
        <f>SUM(G124:J124)</f>
        <v>4</v>
      </c>
      <c r="T124" s="31">
        <f>SUM(H124:K124)</f>
        <v>5</v>
      </c>
      <c r="U124" s="31">
        <f>SUM(I124:L124)</f>
        <v>7</v>
      </c>
      <c r="V124" s="31">
        <f>SUM(J124:M124)</f>
        <v>1</v>
      </c>
      <c r="W124" s="31">
        <f>SUM(K124:N124)</f>
        <v>1</v>
      </c>
      <c r="X124" s="31">
        <f>SUM(L124:O124)</f>
        <v>1</v>
      </c>
      <c r="Y124" s="31">
        <f>SUM(M124:P124)</f>
        <v>2</v>
      </c>
      <c r="Z124" s="31">
        <f>SUM(N124:Q124)</f>
        <v>2</v>
      </c>
      <c r="AA124" s="58"/>
      <c r="AB124" s="74">
        <f t="shared" ref="AB124:AB125" si="153">SUM(Z124/V124)-1</f>
        <v>1</v>
      </c>
    </row>
    <row r="125" spans="2:28" ht="12.75" customHeight="1">
      <c r="B125" s="59" t="s">
        <v>175</v>
      </c>
      <c r="C125" s="81">
        <v>-295</v>
      </c>
      <c r="D125" s="81">
        <v>0</v>
      </c>
      <c r="E125" s="81">
        <v>0</v>
      </c>
      <c r="F125" s="31"/>
      <c r="G125" s="81">
        <v>0</v>
      </c>
      <c r="H125" s="81">
        <v>0</v>
      </c>
      <c r="I125" s="81">
        <v>0</v>
      </c>
      <c r="J125" s="31">
        <f t="shared" si="152"/>
        <v>0</v>
      </c>
      <c r="K125" s="81">
        <v>0</v>
      </c>
      <c r="L125" s="81">
        <v>0</v>
      </c>
      <c r="M125" s="81">
        <v>0</v>
      </c>
      <c r="N125" s="31">
        <f>SUM(E125-SUM(K125:M125))</f>
        <v>0</v>
      </c>
      <c r="O125" s="81">
        <v>0</v>
      </c>
      <c r="P125" s="81">
        <v>0</v>
      </c>
      <c r="Q125" s="81">
        <v>0</v>
      </c>
      <c r="R125" s="31"/>
      <c r="S125" s="31">
        <f>SUM(G125:J125)</f>
        <v>0</v>
      </c>
      <c r="T125" s="31">
        <f>SUM(H125:K125)</f>
        <v>0</v>
      </c>
      <c r="U125" s="31">
        <f>SUM(I125:L125)</f>
        <v>0</v>
      </c>
      <c r="V125" s="31">
        <f>SUM(J125:M125)</f>
        <v>0</v>
      </c>
      <c r="W125" s="31">
        <f>SUM(K125:N125)</f>
        <v>0</v>
      </c>
      <c r="X125" s="31">
        <f>SUM(L125:O125)</f>
        <v>0</v>
      </c>
      <c r="Y125" s="31">
        <f>SUM(M125:P125)</f>
        <v>0</v>
      </c>
      <c r="Z125" s="31">
        <f>SUM(N125:Q125)</f>
        <v>0</v>
      </c>
      <c r="AA125" s="58"/>
      <c r="AB125" s="74" t="e">
        <f t="shared" si="153"/>
        <v>#DIV/0!</v>
      </c>
    </row>
    <row r="126" spans="2:28" ht="12.75" customHeight="1">
      <c r="B126" s="83" t="s">
        <v>111</v>
      </c>
      <c r="C126" s="81">
        <v>-3</v>
      </c>
      <c r="D126" s="81">
        <v>3</v>
      </c>
      <c r="E126" s="81">
        <v>-8</v>
      </c>
      <c r="F126" s="31"/>
      <c r="G126" s="81">
        <v>13</v>
      </c>
      <c r="H126" s="81">
        <v>-10</v>
      </c>
      <c r="I126" s="81">
        <v>-3</v>
      </c>
      <c r="J126" s="31">
        <f>SUM(D126-SUM(G126:I126))</f>
        <v>3</v>
      </c>
      <c r="K126" s="81">
        <v>-5</v>
      </c>
      <c r="L126" s="81">
        <v>1</v>
      </c>
      <c r="M126" s="81">
        <v>-3</v>
      </c>
      <c r="N126" s="31">
        <f>SUM(E126-SUM(K126:M126))</f>
        <v>-1</v>
      </c>
      <c r="O126" s="81">
        <v>-3</v>
      </c>
      <c r="P126" s="81">
        <v>0</v>
      </c>
      <c r="Q126" s="81">
        <v>-2</v>
      </c>
      <c r="R126" s="31"/>
      <c r="S126" s="31">
        <f>SUM(G126:J126)</f>
        <v>3</v>
      </c>
      <c r="T126" s="31">
        <f>SUM(H126:K126)</f>
        <v>-15</v>
      </c>
      <c r="U126" s="31">
        <f>SUM(I126:L126)</f>
        <v>-4</v>
      </c>
      <c r="V126" s="31">
        <f>SUM(J126:M126)</f>
        <v>-4</v>
      </c>
      <c r="W126" s="31">
        <f>SUM(K126:N126)</f>
        <v>-8</v>
      </c>
      <c r="X126" s="31">
        <f>SUM(L126:O126)</f>
        <v>-6</v>
      </c>
      <c r="Y126" s="31">
        <f>SUM(M126:P126)</f>
        <v>-7</v>
      </c>
      <c r="Z126" s="31">
        <f>SUM(N126:Q126)</f>
        <v>-6</v>
      </c>
      <c r="AA126" s="58"/>
      <c r="AB126" s="74">
        <f>SUM(Z126/V126)-1</f>
        <v>0.5</v>
      </c>
    </row>
    <row r="127" spans="2:28" ht="12.75" customHeight="1">
      <c r="B127" s="13" t="s">
        <v>55</v>
      </c>
      <c r="C127" s="157">
        <f>SUM(C119:C126)</f>
        <v>-423</v>
      </c>
      <c r="D127" s="157">
        <f t="shared" ref="D127:E127" si="154">SUM(D119:D126)</f>
        <v>-217</v>
      </c>
      <c r="E127" s="157">
        <f t="shared" si="154"/>
        <v>-1486</v>
      </c>
      <c r="F127" s="11"/>
      <c r="G127" s="157">
        <f t="shared" ref="G127:Q127" si="155">SUM(G119:G126)</f>
        <v>-122</v>
      </c>
      <c r="H127" s="157">
        <f t="shared" si="155"/>
        <v>113</v>
      </c>
      <c r="I127" s="157">
        <f t="shared" si="155"/>
        <v>-203</v>
      </c>
      <c r="J127" s="157">
        <f t="shared" si="155"/>
        <v>-5</v>
      </c>
      <c r="K127" s="157">
        <f t="shared" si="155"/>
        <v>-114</v>
      </c>
      <c r="L127" s="157">
        <f t="shared" si="155"/>
        <v>-92</v>
      </c>
      <c r="M127" s="157">
        <f t="shared" si="155"/>
        <v>-82</v>
      </c>
      <c r="N127" s="157">
        <f t="shared" si="155"/>
        <v>-1198</v>
      </c>
      <c r="O127" s="157">
        <f t="shared" si="155"/>
        <v>-314</v>
      </c>
      <c r="P127" s="157">
        <f t="shared" si="155"/>
        <v>-404</v>
      </c>
      <c r="Q127" s="157">
        <f t="shared" si="155"/>
        <v>-438</v>
      </c>
      <c r="R127" s="31"/>
      <c r="S127" s="157">
        <f t="shared" ref="S127" si="156">SUM(S119:S126)</f>
        <v>-217</v>
      </c>
      <c r="T127" s="157">
        <f t="shared" ref="T127" si="157">SUM(T119:T126)</f>
        <v>-209</v>
      </c>
      <c r="U127" s="157">
        <f t="shared" ref="U127" si="158">SUM(U119:U126)</f>
        <v>-414</v>
      </c>
      <c r="V127" s="157">
        <f t="shared" ref="V127" si="159">SUM(V119:V126)</f>
        <v>-293</v>
      </c>
      <c r="W127" s="157">
        <f t="shared" ref="W127" si="160">SUM(W119:W126)</f>
        <v>-1486</v>
      </c>
      <c r="X127" s="157">
        <f t="shared" ref="X127" si="161">SUM(X119:X126)</f>
        <v>-1686</v>
      </c>
      <c r="Y127" s="157">
        <f t="shared" ref="Y127" si="162">SUM(Y119:Y126)</f>
        <v>-1998</v>
      </c>
      <c r="Z127" s="157">
        <f t="shared" ref="Z127" si="163">SUM(Z119:Z126)</f>
        <v>-2354</v>
      </c>
      <c r="AA127" s="38"/>
      <c r="AB127" s="15">
        <f>SUM(Z127/V127)-1</f>
        <v>7.0341296928327637</v>
      </c>
    </row>
    <row r="128" spans="2:28" ht="5.0999999999999996" customHeight="1">
      <c r="B128" s="51"/>
      <c r="C128" s="60"/>
      <c r="D128" s="60"/>
      <c r="E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S128" s="40"/>
      <c r="T128" s="40"/>
      <c r="U128" s="40"/>
      <c r="V128" s="40"/>
      <c r="W128" s="40"/>
      <c r="X128" s="40"/>
      <c r="Y128" s="40"/>
      <c r="Z128" s="40"/>
      <c r="AA128" s="40"/>
      <c r="AB128" s="37"/>
    </row>
    <row r="129" spans="2:28" ht="12.75" customHeight="1">
      <c r="B129" s="52" t="s">
        <v>56</v>
      </c>
      <c r="C129" s="62"/>
      <c r="D129" s="62"/>
      <c r="E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31"/>
      <c r="S129" s="31"/>
      <c r="T129" s="31"/>
      <c r="U129" s="31"/>
      <c r="V129" s="31"/>
      <c r="W129" s="31"/>
      <c r="X129" s="31"/>
      <c r="Y129" s="31"/>
      <c r="Z129" s="31"/>
      <c r="AA129" s="63"/>
      <c r="AB129" s="74"/>
    </row>
    <row r="130" spans="2:28" ht="12.75" customHeight="1">
      <c r="B130" s="83" t="s">
        <v>166</v>
      </c>
      <c r="C130" s="81">
        <v>43</v>
      </c>
      <c r="D130" s="81">
        <v>366</v>
      </c>
      <c r="E130" s="81">
        <v>933</v>
      </c>
      <c r="G130" s="81">
        <v>75</v>
      </c>
      <c r="H130" s="81">
        <v>35</v>
      </c>
      <c r="I130" s="81">
        <v>32</v>
      </c>
      <c r="J130" s="31">
        <f>SUM(D130-SUM(G130:I130))</f>
        <v>224</v>
      </c>
      <c r="K130" s="81">
        <v>242</v>
      </c>
      <c r="L130" s="81">
        <v>240</v>
      </c>
      <c r="M130" s="81">
        <v>152</v>
      </c>
      <c r="N130" s="31">
        <f>SUM(E130-SUM(K130:M130))</f>
        <v>299</v>
      </c>
      <c r="O130" s="81">
        <v>204</v>
      </c>
      <c r="P130" s="81">
        <v>92</v>
      </c>
      <c r="Q130" s="81">
        <v>39</v>
      </c>
      <c r="R130" s="31"/>
      <c r="S130" s="31">
        <f>SUM(G130:J130)</f>
        <v>366</v>
      </c>
      <c r="T130" s="31">
        <f>SUM(H130:K130)</f>
        <v>533</v>
      </c>
      <c r="U130" s="31">
        <f>SUM(I130:L130)</f>
        <v>738</v>
      </c>
      <c r="V130" s="31">
        <f>SUM(J130:M130)</f>
        <v>858</v>
      </c>
      <c r="W130" s="31">
        <f>SUM(K130:N130)</f>
        <v>933</v>
      </c>
      <c r="X130" s="31">
        <f>SUM(L130:O130)</f>
        <v>895</v>
      </c>
      <c r="Y130" s="31">
        <f>SUM(M130:P130)</f>
        <v>747</v>
      </c>
      <c r="Z130" s="31">
        <f>SUM(N130:Q130)</f>
        <v>634</v>
      </c>
      <c r="AA130" s="63"/>
      <c r="AB130" s="74">
        <f>SUM(Z130/V130)-1</f>
        <v>-0.26107226107226111</v>
      </c>
    </row>
    <row r="131" spans="2:28" ht="12.75" customHeight="1">
      <c r="B131" s="83" t="s">
        <v>167</v>
      </c>
      <c r="C131" s="81">
        <v>-2</v>
      </c>
      <c r="D131" s="81">
        <v>0</v>
      </c>
      <c r="E131" s="81">
        <v>0</v>
      </c>
      <c r="G131" s="81">
        <v>0</v>
      </c>
      <c r="H131" s="81">
        <v>0</v>
      </c>
      <c r="I131" s="81">
        <v>0</v>
      </c>
      <c r="J131" s="31">
        <f>SUM(D131-SUM(G131:I131))</f>
        <v>0</v>
      </c>
      <c r="K131" s="81">
        <v>0</v>
      </c>
      <c r="L131" s="81">
        <v>0</v>
      </c>
      <c r="M131" s="81">
        <v>0</v>
      </c>
      <c r="N131" s="31">
        <f>SUM(E131-SUM(K131:M131))</f>
        <v>0</v>
      </c>
      <c r="O131" s="81">
        <v>0</v>
      </c>
      <c r="P131" s="81">
        <v>0</v>
      </c>
      <c r="Q131" s="81">
        <v>-58</v>
      </c>
      <c r="R131" s="31"/>
      <c r="S131" s="31">
        <f>SUM(G131:J131)</f>
        <v>0</v>
      </c>
      <c r="T131" s="31">
        <f>SUM(H131:K131)</f>
        <v>0</v>
      </c>
      <c r="U131" s="31">
        <f>SUM(I131:L131)</f>
        <v>0</v>
      </c>
      <c r="V131" s="31">
        <f>SUM(J131:M131)</f>
        <v>0</v>
      </c>
      <c r="W131" s="31">
        <f>SUM(K131:N131)</f>
        <v>0</v>
      </c>
      <c r="X131" s="31">
        <f>SUM(L131:O131)</f>
        <v>0</v>
      </c>
      <c r="Y131" s="31">
        <f>SUM(M131:P131)</f>
        <v>0</v>
      </c>
      <c r="Z131" s="31">
        <f>SUM(N131:Q131)</f>
        <v>-58</v>
      </c>
      <c r="AA131" s="63"/>
      <c r="AB131" s="74" t="e">
        <f>SUM(Z131/V131)-1</f>
        <v>#DIV/0!</v>
      </c>
    </row>
    <row r="132" spans="2:28" ht="12.75" customHeight="1">
      <c r="B132" s="83" t="s">
        <v>168</v>
      </c>
      <c r="C132" s="81">
        <v>-43</v>
      </c>
      <c r="D132" s="81">
        <v>-66</v>
      </c>
      <c r="E132" s="81">
        <v>-69</v>
      </c>
      <c r="G132" s="81">
        <v>-15</v>
      </c>
      <c r="H132" s="81">
        <v>-27</v>
      </c>
      <c r="I132" s="81">
        <v>-13</v>
      </c>
      <c r="J132" s="31">
        <f>SUM(D132-SUM(G132:I132))</f>
        <v>-11</v>
      </c>
      <c r="K132" s="81">
        <v>-15</v>
      </c>
      <c r="L132" s="81">
        <v>-24</v>
      </c>
      <c r="M132" s="81">
        <v>-18</v>
      </c>
      <c r="N132" s="31">
        <f>SUM(E132-SUM(K132:M132))</f>
        <v>-12</v>
      </c>
      <c r="O132" s="81">
        <v>-22</v>
      </c>
      <c r="P132" s="81">
        <v>-22</v>
      </c>
      <c r="Q132" s="81">
        <v>-15</v>
      </c>
      <c r="R132" s="31"/>
      <c r="S132" s="31">
        <f>SUM(G132:J132)</f>
        <v>-66</v>
      </c>
      <c r="T132" s="31">
        <f>SUM(H132:K132)</f>
        <v>-66</v>
      </c>
      <c r="U132" s="31">
        <f>SUM(I132:L132)</f>
        <v>-63</v>
      </c>
      <c r="V132" s="31">
        <f>SUM(J132:M132)</f>
        <v>-68</v>
      </c>
      <c r="W132" s="31">
        <f>SUM(K132:N132)</f>
        <v>-69</v>
      </c>
      <c r="X132" s="31">
        <f>SUM(L132:O132)</f>
        <v>-76</v>
      </c>
      <c r="Y132" s="31">
        <f>SUM(M132:P132)</f>
        <v>-74</v>
      </c>
      <c r="Z132" s="31">
        <f>SUM(N132:Q132)</f>
        <v>-71</v>
      </c>
      <c r="AA132" s="63"/>
      <c r="AB132" s="74">
        <f>SUM(Z132/V132)-1</f>
        <v>4.4117647058823595E-2</v>
      </c>
    </row>
    <row r="133" spans="2:28" ht="12.75" customHeight="1">
      <c r="B133" s="83" t="s">
        <v>176</v>
      </c>
      <c r="C133" s="81">
        <v>2</v>
      </c>
      <c r="D133" s="81">
        <v>2</v>
      </c>
      <c r="E133" s="81">
        <v>0</v>
      </c>
      <c r="G133" s="81">
        <v>2</v>
      </c>
      <c r="H133" s="81">
        <v>0</v>
      </c>
      <c r="I133" s="81">
        <v>0</v>
      </c>
      <c r="J133" s="31">
        <f t="shared" ref="J133" si="164">SUM(D133-SUM(G133:I133))</f>
        <v>0</v>
      </c>
      <c r="K133" s="81">
        <v>0</v>
      </c>
      <c r="L133" s="81">
        <v>0</v>
      </c>
      <c r="M133" s="81">
        <v>0</v>
      </c>
      <c r="N133" s="31">
        <f>SUM(E133-SUM(K133:M133))</f>
        <v>0</v>
      </c>
      <c r="O133" s="81">
        <v>0</v>
      </c>
      <c r="P133" s="81">
        <v>0</v>
      </c>
      <c r="Q133" s="81">
        <v>0</v>
      </c>
      <c r="R133" s="31"/>
      <c r="S133" s="31">
        <f>SUM(G133:J133)</f>
        <v>2</v>
      </c>
      <c r="T133" s="31">
        <f>SUM(H133:K133)</f>
        <v>0</v>
      </c>
      <c r="U133" s="31">
        <f>SUM(I133:L133)</f>
        <v>0</v>
      </c>
      <c r="V133" s="31">
        <f>SUM(J133:M133)</f>
        <v>0</v>
      </c>
      <c r="W133" s="31">
        <f>SUM(K133:N133)</f>
        <v>0</v>
      </c>
      <c r="X133" s="31">
        <f>SUM(L133:O133)</f>
        <v>0</v>
      </c>
      <c r="Y133" s="31">
        <f>SUM(M133:P133)</f>
        <v>0</v>
      </c>
      <c r="Z133" s="31">
        <f>SUM(N133:Q133)</f>
        <v>0</v>
      </c>
      <c r="AA133" s="63"/>
      <c r="AB133" s="74" t="e">
        <f>SUM(Z133/V133)-1</f>
        <v>#DIV/0!</v>
      </c>
    </row>
    <row r="134" spans="2:28" ht="12.75" customHeight="1">
      <c r="B134" s="83" t="s">
        <v>169</v>
      </c>
      <c r="C134" s="81">
        <v>-40</v>
      </c>
      <c r="D134" s="81">
        <v>-68</v>
      </c>
      <c r="E134" s="81">
        <v>-135</v>
      </c>
      <c r="G134" s="81">
        <v>-13</v>
      </c>
      <c r="H134" s="81">
        <v>-16</v>
      </c>
      <c r="I134" s="81">
        <v>-20</v>
      </c>
      <c r="J134" s="31">
        <f>SUM(D134-SUM(G134:I134))</f>
        <v>-19</v>
      </c>
      <c r="K134" s="81">
        <v>-25</v>
      </c>
      <c r="L134" s="81">
        <v>-32</v>
      </c>
      <c r="M134" s="81">
        <v>-35</v>
      </c>
      <c r="N134" s="31">
        <f>SUM(E134-SUM(K134:M134))</f>
        <v>-43</v>
      </c>
      <c r="O134" s="81">
        <v>-56</v>
      </c>
      <c r="P134" s="81">
        <v>-59</v>
      </c>
      <c r="Q134" s="81">
        <v>-66</v>
      </c>
      <c r="R134" s="31"/>
      <c r="S134" s="31">
        <f>SUM(G134:J134)</f>
        <v>-68</v>
      </c>
      <c r="T134" s="31">
        <f>SUM(H134:K134)</f>
        <v>-80</v>
      </c>
      <c r="U134" s="31">
        <f>SUM(I134:L134)</f>
        <v>-96</v>
      </c>
      <c r="V134" s="31">
        <f>SUM(J134:M134)</f>
        <v>-111</v>
      </c>
      <c r="W134" s="31">
        <f>SUM(K134:N134)</f>
        <v>-135</v>
      </c>
      <c r="X134" s="31">
        <f>SUM(L134:O134)</f>
        <v>-166</v>
      </c>
      <c r="Y134" s="31">
        <f>SUM(M134:P134)</f>
        <v>-193</v>
      </c>
      <c r="Z134" s="31">
        <f>SUM(N134:Q134)</f>
        <v>-224</v>
      </c>
      <c r="AA134" s="63"/>
      <c r="AB134" s="74">
        <f>SUM(Z134/V134)-1</f>
        <v>1.0180180180180178</v>
      </c>
    </row>
    <row r="135" spans="2:28" ht="12.75" customHeight="1">
      <c r="B135" s="13" t="s">
        <v>57</v>
      </c>
      <c r="C135" s="157">
        <f>SUM(C130:C134)</f>
        <v>-40</v>
      </c>
      <c r="D135" s="157">
        <f>SUM(D130:D134)</f>
        <v>234</v>
      </c>
      <c r="E135" s="157">
        <f>SUM(E130:E134)</f>
        <v>729</v>
      </c>
      <c r="F135" s="11"/>
      <c r="G135" s="157">
        <f>SUM(G130:G134)</f>
        <v>49</v>
      </c>
      <c r="H135" s="157">
        <f>SUM(H130:H134)</f>
        <v>-8</v>
      </c>
      <c r="I135" s="157">
        <f>SUM(I130:I134)</f>
        <v>-1</v>
      </c>
      <c r="J135" s="157">
        <f>SUM(J130:J134)</f>
        <v>194</v>
      </c>
      <c r="K135" s="157">
        <f>SUM(K130:K134)</f>
        <v>202</v>
      </c>
      <c r="L135" s="157">
        <f>SUM(L130:L134)</f>
        <v>184</v>
      </c>
      <c r="M135" s="157">
        <f>SUM(M130:M134)</f>
        <v>99</v>
      </c>
      <c r="N135" s="157">
        <f>SUM(N130:N134)</f>
        <v>244</v>
      </c>
      <c r="O135" s="157">
        <f>SUM(O130:O134)</f>
        <v>126</v>
      </c>
      <c r="P135" s="157">
        <f>SUM(P130:P134)</f>
        <v>11</v>
      </c>
      <c r="Q135" s="157">
        <f>SUM(Q130:Q134)</f>
        <v>-100</v>
      </c>
      <c r="S135" s="157">
        <f t="shared" ref="S135:Z135" si="165">SUM(S130:S134)</f>
        <v>234</v>
      </c>
      <c r="T135" s="157">
        <f t="shared" si="165"/>
        <v>387</v>
      </c>
      <c r="U135" s="157">
        <f t="shared" si="165"/>
        <v>579</v>
      </c>
      <c r="V135" s="157">
        <f t="shared" si="165"/>
        <v>679</v>
      </c>
      <c r="W135" s="157">
        <f t="shared" si="165"/>
        <v>729</v>
      </c>
      <c r="X135" s="157">
        <f t="shared" si="165"/>
        <v>653</v>
      </c>
      <c r="Y135" s="157">
        <f t="shared" si="165"/>
        <v>480</v>
      </c>
      <c r="Z135" s="157">
        <f t="shared" si="165"/>
        <v>281</v>
      </c>
      <c r="AA135" s="38"/>
      <c r="AB135" s="15">
        <f>SUM(Z135/V135)-1</f>
        <v>-0.58615611192930783</v>
      </c>
    </row>
    <row r="136" spans="2:28" ht="5.0999999999999996" customHeight="1">
      <c r="B136" s="8"/>
      <c r="C136" s="64"/>
      <c r="D136" s="64"/>
      <c r="E136" s="64"/>
      <c r="F136" s="31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S136" s="11"/>
      <c r="T136" s="11"/>
      <c r="U136" s="11"/>
      <c r="V136" s="11"/>
      <c r="W136" s="11"/>
      <c r="X136" s="11"/>
      <c r="Y136" s="11"/>
      <c r="Z136" s="11"/>
      <c r="AA136" s="11"/>
      <c r="AB136" s="44"/>
    </row>
    <row r="137" spans="2:28">
      <c r="B137" s="70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11"/>
      <c r="AB137" s="44"/>
    </row>
    <row r="138" spans="2:28">
      <c r="B138" s="90" t="s">
        <v>84</v>
      </c>
      <c r="C138" s="129">
        <v>2744</v>
      </c>
      <c r="D138" s="91">
        <f>C144</f>
        <v>2483</v>
      </c>
      <c r="E138" s="91">
        <f>D144</f>
        <v>3114</v>
      </c>
      <c r="F138" s="91"/>
      <c r="G138" s="156">
        <f>C144</f>
        <v>2483</v>
      </c>
      <c r="H138" s="91">
        <f t="shared" ref="H138" si="166">G144</f>
        <v>2443</v>
      </c>
      <c r="I138" s="91">
        <f t="shared" ref="I138" si="167">H144</f>
        <v>2550</v>
      </c>
      <c r="J138" s="91">
        <f t="shared" ref="J138" si="168">I144</f>
        <v>2615</v>
      </c>
      <c r="K138" s="91">
        <f t="shared" ref="K138" si="169">J144</f>
        <v>3114</v>
      </c>
      <c r="L138" s="91">
        <f t="shared" ref="L138" si="170">K144</f>
        <v>3451</v>
      </c>
      <c r="M138" s="91">
        <f t="shared" ref="M138" si="171">L144</f>
        <v>4054</v>
      </c>
      <c r="N138" s="91">
        <f t="shared" ref="N138" si="172">M144</f>
        <v>4688</v>
      </c>
      <c r="O138" s="91">
        <f t="shared" ref="O138" si="173">N144</f>
        <v>4781</v>
      </c>
      <c r="P138" s="91">
        <f t="shared" ref="P138" si="174">O144</f>
        <v>5019</v>
      </c>
      <c r="Q138" s="91">
        <f t="shared" ref="Q138" si="175">P144</f>
        <v>5161</v>
      </c>
      <c r="R138" s="91"/>
      <c r="S138" s="91">
        <f>D138</f>
        <v>2483</v>
      </c>
      <c r="T138" s="91">
        <f>G144</f>
        <v>2443</v>
      </c>
      <c r="U138" s="91">
        <f>H144</f>
        <v>2550</v>
      </c>
      <c r="V138" s="91">
        <f>I144</f>
        <v>2615</v>
      </c>
      <c r="W138" s="91">
        <f>J144</f>
        <v>3114</v>
      </c>
      <c r="X138" s="91">
        <f>K144</f>
        <v>3451</v>
      </c>
      <c r="Y138" s="91">
        <f>L144</f>
        <v>4054</v>
      </c>
      <c r="Z138" s="139">
        <f>M144</f>
        <v>4688</v>
      </c>
      <c r="AA138" s="11"/>
      <c r="AB138" s="44"/>
    </row>
    <row r="139" spans="2:28">
      <c r="B139" s="130" t="s">
        <v>170</v>
      </c>
      <c r="C139" s="81">
        <v>0</v>
      </c>
      <c r="D139" s="81">
        <v>0</v>
      </c>
      <c r="E139" s="31">
        <v>0</v>
      </c>
      <c r="F139" s="31"/>
      <c r="G139" s="81">
        <v>0</v>
      </c>
      <c r="H139" s="81">
        <v>0</v>
      </c>
      <c r="I139" s="81">
        <v>0</v>
      </c>
      <c r="J139" s="81">
        <v>0</v>
      </c>
      <c r="K139" s="81">
        <v>0</v>
      </c>
      <c r="L139" s="81">
        <v>0</v>
      </c>
      <c r="M139" s="81">
        <v>0</v>
      </c>
      <c r="N139" s="81">
        <v>0</v>
      </c>
      <c r="O139" s="81">
        <v>0</v>
      </c>
      <c r="P139" s="81">
        <v>0</v>
      </c>
      <c r="Q139" s="81">
        <v>0</v>
      </c>
      <c r="R139" s="31"/>
      <c r="S139" s="31">
        <f>SUM(G139:J139)</f>
        <v>0</v>
      </c>
      <c r="T139" s="31">
        <f>SUM(H139:K139)</f>
        <v>0</v>
      </c>
      <c r="U139" s="31">
        <f>SUM(I139:L139)</f>
        <v>0</v>
      </c>
      <c r="V139" s="31">
        <f>SUM(J139:M139)</f>
        <v>0</v>
      </c>
      <c r="W139" s="31">
        <f>SUM(K139:N139)</f>
        <v>0</v>
      </c>
      <c r="X139" s="31">
        <f>SUM(L139:O139)</f>
        <v>0</v>
      </c>
      <c r="Y139" s="31">
        <f>SUM(M139:P139)</f>
        <v>0</v>
      </c>
      <c r="Z139" s="133">
        <f>SUM(N139:Q139)</f>
        <v>0</v>
      </c>
      <c r="AA139" s="11"/>
      <c r="AB139" s="44"/>
    </row>
    <row r="140" spans="2:28">
      <c r="B140" s="157" t="s">
        <v>70</v>
      </c>
      <c r="C140" s="157">
        <f>SUM(C138:C139)</f>
        <v>2744</v>
      </c>
      <c r="D140" s="157">
        <f>SUM(D138:D139)</f>
        <v>2483</v>
      </c>
      <c r="E140" s="157">
        <f>SUM(E138:E139)</f>
        <v>3114</v>
      </c>
      <c r="F140" s="31"/>
      <c r="G140" s="157">
        <f>SUM(G138:G139)</f>
        <v>2483</v>
      </c>
      <c r="H140" s="157">
        <f>SUM(H138:H139)</f>
        <v>2443</v>
      </c>
      <c r="I140" s="157">
        <f>SUM(I138:I139)</f>
        <v>2550</v>
      </c>
      <c r="J140" s="157">
        <f>SUM(J138:J139)</f>
        <v>2615</v>
      </c>
      <c r="K140" s="157">
        <f>SUM(K138:K139)</f>
        <v>3114</v>
      </c>
      <c r="L140" s="157">
        <f>SUM(L138:L139)</f>
        <v>3451</v>
      </c>
      <c r="M140" s="157">
        <f>SUM(M138:M139)</f>
        <v>4054</v>
      </c>
      <c r="N140" s="157">
        <f>SUM(N138:N139)</f>
        <v>4688</v>
      </c>
      <c r="O140" s="157">
        <f>SUM(O138:O139)</f>
        <v>4781</v>
      </c>
      <c r="P140" s="157">
        <f>SUM(P138:P139)</f>
        <v>5019</v>
      </c>
      <c r="Q140" s="157">
        <f>SUM(Q138:Q139)</f>
        <v>5161</v>
      </c>
      <c r="R140" s="31"/>
      <c r="S140" s="154">
        <f t="shared" ref="S140" si="176">SUM(S138:S139)</f>
        <v>2483</v>
      </c>
      <c r="T140" s="154">
        <f>SUM(T138:T139)</f>
        <v>2443</v>
      </c>
      <c r="U140" s="154">
        <f>SUM(U138:U139)</f>
        <v>2550</v>
      </c>
      <c r="V140" s="157">
        <f>SUM(V138:V139)</f>
        <v>2615</v>
      </c>
      <c r="W140" s="157">
        <f>SUM(W138:W139)</f>
        <v>3114</v>
      </c>
      <c r="X140" s="157">
        <f>SUM(X138:X139)</f>
        <v>3451</v>
      </c>
      <c r="Y140" s="157">
        <f>SUM(Y138:Y139)</f>
        <v>4054</v>
      </c>
      <c r="Z140" s="162">
        <f>SUM(Z138:Z139)</f>
        <v>4688</v>
      </c>
      <c r="AA140" s="11"/>
      <c r="AB140" s="44"/>
    </row>
    <row r="141" spans="2:28" ht="5.0999999999999996" customHeight="1">
      <c r="B141" s="136"/>
      <c r="C141" s="70"/>
      <c r="D141" s="70"/>
      <c r="E141" s="70"/>
      <c r="F141" s="31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31"/>
      <c r="S141" s="70"/>
      <c r="T141" s="70"/>
      <c r="U141" s="70"/>
      <c r="V141" s="70"/>
      <c r="W141" s="70"/>
      <c r="X141" s="70"/>
      <c r="Y141" s="70"/>
      <c r="Z141" s="134"/>
      <c r="AA141" s="11"/>
      <c r="AB141" s="44"/>
    </row>
    <row r="142" spans="2:28">
      <c r="B142" s="130" t="s">
        <v>112</v>
      </c>
      <c r="C142" s="81">
        <v>156</v>
      </c>
      <c r="D142" s="81">
        <v>-66</v>
      </c>
      <c r="E142" s="81">
        <v>123</v>
      </c>
      <c r="F142" s="31"/>
      <c r="G142" s="81">
        <v>-26</v>
      </c>
      <c r="H142" s="81">
        <v>-11</v>
      </c>
      <c r="I142" s="81">
        <v>58</v>
      </c>
      <c r="J142" s="31">
        <f>SUM(D142-SUM(G142:I142))</f>
        <v>-87</v>
      </c>
      <c r="K142" s="81">
        <v>38</v>
      </c>
      <c r="L142" s="81">
        <v>19</v>
      </c>
      <c r="M142" s="81">
        <v>-98</v>
      </c>
      <c r="N142" s="31">
        <f>SUM(E142-SUM(K142:M142))</f>
        <v>164</v>
      </c>
      <c r="O142" s="81">
        <v>-113</v>
      </c>
      <c r="P142" s="81">
        <v>-174</v>
      </c>
      <c r="Q142" s="81">
        <v>4</v>
      </c>
      <c r="R142" s="31"/>
      <c r="S142" s="31">
        <f>SUM(G142:J142)</f>
        <v>-66</v>
      </c>
      <c r="T142" s="31">
        <f>SUM(H142:K142)</f>
        <v>-2</v>
      </c>
      <c r="U142" s="31">
        <f>SUM(I142:L142)</f>
        <v>28</v>
      </c>
      <c r="V142" s="31">
        <f>SUM(J142:M142)</f>
        <v>-128</v>
      </c>
      <c r="W142" s="31">
        <f>SUM(K142:N142)</f>
        <v>123</v>
      </c>
      <c r="X142" s="31">
        <f>SUM(L142:O142)</f>
        <v>-28</v>
      </c>
      <c r="Y142" s="31">
        <f>SUM(M142:P142)</f>
        <v>-221</v>
      </c>
      <c r="Z142" s="133">
        <f>SUM(N142:Q142)</f>
        <v>-119</v>
      </c>
      <c r="AA142" s="11"/>
      <c r="AB142" s="44"/>
    </row>
    <row r="143" spans="2:28">
      <c r="B143" s="130" t="s">
        <v>61</v>
      </c>
      <c r="C143" s="31">
        <f>+C135+C127+C116</f>
        <v>-417</v>
      </c>
      <c r="D143" s="31">
        <f>+D135+D127+D116</f>
        <v>697</v>
      </c>
      <c r="E143" s="31">
        <f>+E135+E127+E116</f>
        <v>1544</v>
      </c>
      <c r="F143" s="31"/>
      <c r="G143" s="31">
        <f>+G135+G127+G116</f>
        <v>-14</v>
      </c>
      <c r="H143" s="31">
        <f>+H135+H127+H116</f>
        <v>118</v>
      </c>
      <c r="I143" s="31">
        <f>+I135+I127+I116</f>
        <v>7</v>
      </c>
      <c r="J143" s="31">
        <f>+J135+J127+J116</f>
        <v>586</v>
      </c>
      <c r="K143" s="31">
        <f>+K135+K127+K116</f>
        <v>299</v>
      </c>
      <c r="L143" s="31">
        <f>+L135+L127+L116</f>
        <v>584</v>
      </c>
      <c r="M143" s="31">
        <f>+M135+M127+M116</f>
        <v>732</v>
      </c>
      <c r="N143" s="31">
        <f>+N135+N127+N116</f>
        <v>-71</v>
      </c>
      <c r="O143" s="31">
        <f>+O135+O127+O116</f>
        <v>351</v>
      </c>
      <c r="P143" s="31">
        <f>+P135+P127+P116</f>
        <v>316</v>
      </c>
      <c r="Q143" s="31">
        <f>+Q135+Q127+Q116</f>
        <v>291</v>
      </c>
      <c r="R143" s="31"/>
      <c r="S143" s="31">
        <f>+S135+S127+S116</f>
        <v>697</v>
      </c>
      <c r="T143" s="31">
        <f>+T135+T127+T116</f>
        <v>1010</v>
      </c>
      <c r="U143" s="31">
        <f>+U135+U127+U116</f>
        <v>1476</v>
      </c>
      <c r="V143" s="31">
        <f>+V135+V127+V116</f>
        <v>2201</v>
      </c>
      <c r="W143" s="31">
        <f>+W135+W127+W116</f>
        <v>1544</v>
      </c>
      <c r="X143" s="31">
        <f>+X135+X127+X116</f>
        <v>1596</v>
      </c>
      <c r="Y143" s="31">
        <f>+Y135+Y127+Y116</f>
        <v>1328</v>
      </c>
      <c r="Z143" s="133">
        <f>+Z135+Z127+Z116</f>
        <v>887</v>
      </c>
      <c r="AA143" s="11"/>
      <c r="AB143" s="44"/>
    </row>
    <row r="144" spans="2:28">
      <c r="B144" s="157" t="s">
        <v>71</v>
      </c>
      <c r="C144" s="157">
        <f>SUM(C140:C143)</f>
        <v>2483</v>
      </c>
      <c r="D144" s="157">
        <f>SUM(D140:D143)</f>
        <v>3114</v>
      </c>
      <c r="E144" s="157">
        <f>SUM(E140:E143)</f>
        <v>4781</v>
      </c>
      <c r="F144" s="31"/>
      <c r="G144" s="157">
        <f>SUM(G140:G143)</f>
        <v>2443</v>
      </c>
      <c r="H144" s="157">
        <f>SUM(H140:H143)</f>
        <v>2550</v>
      </c>
      <c r="I144" s="157">
        <f>SUM(I140:I143)</f>
        <v>2615</v>
      </c>
      <c r="J144" s="157">
        <f>SUM(J140:J143)</f>
        <v>3114</v>
      </c>
      <c r="K144" s="157">
        <f>SUM(K140:K143)</f>
        <v>3451</v>
      </c>
      <c r="L144" s="157">
        <f>SUM(L140:L143)</f>
        <v>4054</v>
      </c>
      <c r="M144" s="157">
        <f>SUM(M140:M143)</f>
        <v>4688</v>
      </c>
      <c r="N144" s="157">
        <f>SUM(N140:N143)</f>
        <v>4781</v>
      </c>
      <c r="O144" s="157">
        <f>SUM(O140:O143)</f>
        <v>5019</v>
      </c>
      <c r="P144" s="157">
        <f>SUM(P140:P143)</f>
        <v>5161</v>
      </c>
      <c r="Q144" s="157">
        <f>SUM(Q140:Q143)</f>
        <v>5456</v>
      </c>
      <c r="R144" s="31"/>
      <c r="S144" s="154">
        <f>SUM(S140:S143)</f>
        <v>3114</v>
      </c>
      <c r="T144" s="154">
        <f>SUM(T140:T143)</f>
        <v>3451</v>
      </c>
      <c r="U144" s="154">
        <f>SUM(U140:U143)</f>
        <v>4054</v>
      </c>
      <c r="V144" s="157">
        <f>SUM(V140:V143)</f>
        <v>4688</v>
      </c>
      <c r="W144" s="157">
        <f>SUM(W140:W143)</f>
        <v>4781</v>
      </c>
      <c r="X144" s="157">
        <f>SUM(X140:X143)</f>
        <v>5019</v>
      </c>
      <c r="Y144" s="157">
        <f>SUM(Y140:Y143)</f>
        <v>5161</v>
      </c>
      <c r="Z144" s="162">
        <f>SUM(Z140:Z143)</f>
        <v>5456</v>
      </c>
      <c r="AA144" s="11"/>
      <c r="AB144" s="44"/>
    </row>
    <row r="145" spans="2:28" ht="5.0999999999999996" customHeight="1">
      <c r="B145" s="88"/>
      <c r="C145" s="64"/>
      <c r="D145" s="64"/>
      <c r="E145" s="64"/>
      <c r="F145" s="31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S145" s="11"/>
      <c r="T145" s="11"/>
      <c r="U145" s="11"/>
      <c r="V145" s="11"/>
      <c r="W145" s="11"/>
      <c r="X145" s="11"/>
      <c r="Y145" s="11"/>
      <c r="Z145" s="89"/>
      <c r="AA145" s="11"/>
      <c r="AB145" s="44"/>
    </row>
    <row r="146" spans="2:28">
      <c r="B146" s="137" t="s">
        <v>91</v>
      </c>
      <c r="C146" s="86">
        <f>C144-C44</f>
        <v>0</v>
      </c>
      <c r="D146" s="86">
        <f>D144-D44</f>
        <v>0</v>
      </c>
      <c r="E146" s="86">
        <f>E144-E44</f>
        <v>0</v>
      </c>
      <c r="F146" s="87"/>
      <c r="G146" s="86">
        <f>G144-G44</f>
        <v>0</v>
      </c>
      <c r="H146" s="86">
        <f>H144-H44</f>
        <v>0</v>
      </c>
      <c r="I146" s="155">
        <f>I144-I44</f>
        <v>-3</v>
      </c>
      <c r="J146" s="86">
        <f>J144-J44</f>
        <v>0</v>
      </c>
      <c r="K146" s="86">
        <f>K144-K44</f>
        <v>0</v>
      </c>
      <c r="L146" s="86">
        <f>L144-L44</f>
        <v>0</v>
      </c>
      <c r="M146" s="86">
        <f>M144-M44</f>
        <v>0</v>
      </c>
      <c r="N146" s="86">
        <f>N144-N44</f>
        <v>0</v>
      </c>
      <c r="O146" s="86">
        <f>O144-O44</f>
        <v>0</v>
      </c>
      <c r="P146" s="86">
        <f>P144-P44</f>
        <v>0</v>
      </c>
      <c r="Q146" s="86">
        <f>Q144-Q44</f>
        <v>0</v>
      </c>
      <c r="R146" s="86"/>
      <c r="S146" s="86">
        <f>S144-S44</f>
        <v>0</v>
      </c>
      <c r="T146" s="86">
        <f>T144-T44</f>
        <v>0</v>
      </c>
      <c r="U146" s="86">
        <f>U144-U44</f>
        <v>0</v>
      </c>
      <c r="V146" s="86">
        <f>V144-V44</f>
        <v>0</v>
      </c>
      <c r="W146" s="86">
        <f>W144-W44</f>
        <v>0</v>
      </c>
      <c r="X146" s="86">
        <f>X144-X44</f>
        <v>0</v>
      </c>
      <c r="Y146" s="86">
        <f>Y144-Y44</f>
        <v>0</v>
      </c>
      <c r="Z146" s="135">
        <f>Z144-Z44</f>
        <v>0</v>
      </c>
      <c r="AA146" s="11"/>
      <c r="AB146" s="44"/>
    </row>
    <row r="147" spans="2:28" ht="5.0999999999999996" customHeight="1">
      <c r="B147" s="8"/>
      <c r="C147" s="64"/>
      <c r="D147" s="64"/>
      <c r="E147" s="64"/>
      <c r="F147" s="31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S147" s="11"/>
      <c r="T147" s="11"/>
      <c r="U147" s="11"/>
      <c r="V147" s="11"/>
      <c r="W147" s="11"/>
      <c r="X147" s="11"/>
      <c r="Y147" s="11"/>
      <c r="Z147" s="11"/>
      <c r="AA147" s="11"/>
      <c r="AB147" s="44"/>
    </row>
    <row r="148" spans="2:28" ht="12.75" customHeight="1">
      <c r="B148" s="71" t="s">
        <v>62</v>
      </c>
      <c r="C148" s="61"/>
      <c r="D148" s="61"/>
      <c r="E148" s="61"/>
      <c r="F148" s="11"/>
      <c r="G148" s="61"/>
      <c r="H148" s="61"/>
      <c r="I148" s="61"/>
      <c r="J148" s="61"/>
      <c r="K148" s="61"/>
      <c r="L148" s="61"/>
      <c r="M148" s="61"/>
      <c r="N148" s="61"/>
      <c r="O148" s="81"/>
      <c r="P148" s="61"/>
      <c r="Q148" s="61"/>
      <c r="S148" s="61"/>
      <c r="T148" s="61"/>
      <c r="U148" s="61"/>
      <c r="V148" s="61"/>
      <c r="W148" s="61"/>
      <c r="X148" s="61"/>
      <c r="Y148" s="61"/>
      <c r="Z148" s="61"/>
      <c r="AA148" s="65"/>
      <c r="AB148" s="44"/>
    </row>
    <row r="149" spans="2:28" ht="12.75" customHeight="1">
      <c r="B149" s="8" t="s">
        <v>100</v>
      </c>
      <c r="C149" s="31">
        <f>-C106</f>
        <v>53</v>
      </c>
      <c r="D149" s="31">
        <f t="shared" ref="D149:Q149" si="177">-D106</f>
        <v>38</v>
      </c>
      <c r="E149" s="31">
        <f t="shared" si="177"/>
        <v>36</v>
      </c>
      <c r="F149" s="11"/>
      <c r="G149" s="31">
        <f t="shared" si="177"/>
        <v>10</v>
      </c>
      <c r="H149" s="31">
        <f t="shared" si="177"/>
        <v>10</v>
      </c>
      <c r="I149" s="31">
        <f t="shared" si="177"/>
        <v>9</v>
      </c>
      <c r="J149" s="31">
        <f t="shared" si="177"/>
        <v>9</v>
      </c>
      <c r="K149" s="31">
        <f t="shared" si="177"/>
        <v>9</v>
      </c>
      <c r="L149" s="31">
        <f t="shared" si="177"/>
        <v>9</v>
      </c>
      <c r="M149" s="31">
        <f t="shared" si="177"/>
        <v>9</v>
      </c>
      <c r="N149" s="31">
        <f t="shared" si="177"/>
        <v>9</v>
      </c>
      <c r="O149" s="31">
        <f t="shared" si="177"/>
        <v>13</v>
      </c>
      <c r="P149" s="31">
        <f t="shared" si="177"/>
        <v>6</v>
      </c>
      <c r="Q149" s="31">
        <f t="shared" si="177"/>
        <v>11</v>
      </c>
      <c r="S149" s="31">
        <f>SUM(G149:J149)</f>
        <v>38</v>
      </c>
      <c r="T149" s="31">
        <f>SUM(H149:K149)</f>
        <v>37</v>
      </c>
      <c r="U149" s="31">
        <f>SUM(I149:L149)</f>
        <v>36</v>
      </c>
      <c r="V149" s="31">
        <f>SUM(J149:M149)</f>
        <v>36</v>
      </c>
      <c r="W149" s="31">
        <f>SUM(K149:N149)</f>
        <v>36</v>
      </c>
      <c r="X149" s="31">
        <f>SUM(L149:O149)</f>
        <v>40</v>
      </c>
      <c r="Y149" s="31">
        <f>SUM(M149:P149)</f>
        <v>37</v>
      </c>
      <c r="Z149" s="31">
        <f>SUM(N149:Q149)</f>
        <v>39</v>
      </c>
      <c r="AA149" s="65"/>
      <c r="AB149" s="44"/>
    </row>
    <row r="150" spans="2:28" ht="12.75" customHeight="1">
      <c r="B150" s="8" t="s">
        <v>99</v>
      </c>
      <c r="C150" s="31">
        <f>-C108</f>
        <v>43</v>
      </c>
      <c r="D150" s="31">
        <f t="shared" ref="D150:Q150" si="178">-D108</f>
        <v>43</v>
      </c>
      <c r="E150" s="31">
        <f t="shared" si="178"/>
        <v>53</v>
      </c>
      <c r="F150" s="31"/>
      <c r="G150" s="31">
        <f t="shared" si="178"/>
        <v>10</v>
      </c>
      <c r="H150" s="31">
        <f t="shared" si="178"/>
        <v>15</v>
      </c>
      <c r="I150" s="31">
        <f t="shared" si="178"/>
        <v>7</v>
      </c>
      <c r="J150" s="31">
        <f>-J108</f>
        <v>11</v>
      </c>
      <c r="K150" s="31">
        <f t="shared" si="178"/>
        <v>5</v>
      </c>
      <c r="L150" s="31">
        <f t="shared" si="178"/>
        <v>23</v>
      </c>
      <c r="M150" s="31">
        <f t="shared" si="178"/>
        <v>15</v>
      </c>
      <c r="N150" s="31">
        <f t="shared" si="178"/>
        <v>10</v>
      </c>
      <c r="O150" s="31">
        <f t="shared" si="178"/>
        <v>19</v>
      </c>
      <c r="P150" s="31">
        <f t="shared" si="178"/>
        <v>58</v>
      </c>
      <c r="Q150" s="31">
        <f t="shared" si="178"/>
        <v>5</v>
      </c>
      <c r="R150" s="31"/>
      <c r="S150" s="31">
        <f>SUM(G150:J150)</f>
        <v>43</v>
      </c>
      <c r="T150" s="31">
        <f>SUM(H150:K150)</f>
        <v>38</v>
      </c>
      <c r="U150" s="31">
        <f>SUM(I150:L150)</f>
        <v>46</v>
      </c>
      <c r="V150" s="31">
        <f>SUM(J150:M150)</f>
        <v>54</v>
      </c>
      <c r="W150" s="31">
        <f>SUM(K150:N150)</f>
        <v>53</v>
      </c>
      <c r="X150" s="31">
        <f>SUM(L150:O150)</f>
        <v>67</v>
      </c>
      <c r="Y150" s="31">
        <f>SUM(M150:P150)</f>
        <v>102</v>
      </c>
      <c r="Z150" s="31">
        <f>SUM(N150:Q150)</f>
        <v>92</v>
      </c>
      <c r="AA150" s="11"/>
      <c r="AB150" s="44"/>
    </row>
    <row r="151" spans="2:28" ht="5.0999999999999996" customHeight="1" thickBot="1">
      <c r="B151" s="72"/>
      <c r="C151" s="73"/>
      <c r="D151" s="73"/>
      <c r="E151" s="73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B151" s="44"/>
    </row>
    <row r="152" spans="2:28" ht="12.75" customHeight="1">
      <c r="B152" s="143"/>
      <c r="C152" s="143"/>
      <c r="D152" s="143"/>
      <c r="E152" s="143"/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28"/>
      <c r="AB152" s="44"/>
    </row>
    <row r="153" spans="2:28" ht="12.75" customHeight="1">
      <c r="B153" s="52"/>
      <c r="C153" s="81"/>
      <c r="D153" s="66"/>
      <c r="E153" s="66"/>
    </row>
    <row r="154" spans="2:28" ht="12.75" customHeight="1">
      <c r="C154" s="81"/>
      <c r="D154" s="55"/>
      <c r="E154" s="55"/>
    </row>
    <row r="155" spans="2:28" ht="12.75" customHeight="1">
      <c r="C155" s="81"/>
      <c r="D155" s="55"/>
      <c r="E155" s="55"/>
    </row>
    <row r="156" spans="2:28" ht="12.75" customHeight="1">
      <c r="C156" s="55"/>
      <c r="D156" s="55"/>
      <c r="E156" s="55"/>
    </row>
    <row r="157" spans="2:28" ht="12.75" customHeight="1">
      <c r="C157" s="55"/>
      <c r="D157" s="55"/>
      <c r="E157" s="55"/>
    </row>
    <row r="158" spans="2:28" ht="12.75" customHeight="1">
      <c r="C158" s="55"/>
      <c r="D158" s="55"/>
      <c r="E158" s="55"/>
      <c r="G158" s="85"/>
      <c r="H158" s="85"/>
      <c r="I158" s="85"/>
      <c r="J158" s="85"/>
      <c r="K158" s="85"/>
      <c r="L158" s="85"/>
    </row>
    <row r="159" spans="2:28" ht="12.75" customHeight="1">
      <c r="C159" s="55"/>
      <c r="D159" s="55"/>
      <c r="E159" s="55"/>
    </row>
    <row r="160" spans="2:28" ht="12.75" customHeight="1">
      <c r="C160" s="55"/>
      <c r="D160" s="55"/>
      <c r="E160" s="55"/>
      <c r="G160" s="85"/>
      <c r="H160" s="85"/>
      <c r="I160" s="85"/>
      <c r="J160" s="85"/>
      <c r="K160" s="85"/>
      <c r="L160" s="85"/>
    </row>
    <row r="161" spans="7:12">
      <c r="G161" s="85"/>
      <c r="H161" s="85"/>
      <c r="I161" s="85"/>
      <c r="J161" s="85"/>
      <c r="K161" s="85"/>
      <c r="L161" s="85"/>
    </row>
    <row r="162" spans="7:12">
      <c r="G162" s="85"/>
      <c r="H162" s="85"/>
      <c r="I162" s="85"/>
      <c r="J162" s="85"/>
      <c r="K162" s="85"/>
      <c r="L162" s="85"/>
    </row>
    <row r="164" spans="7:12">
      <c r="G164" s="85"/>
      <c r="H164" s="85"/>
      <c r="I164" s="85"/>
      <c r="J164" s="85"/>
      <c r="K164" s="85"/>
      <c r="L164" s="85"/>
    </row>
    <row r="165" spans="7:12">
      <c r="G165" s="85"/>
      <c r="H165" s="85"/>
      <c r="I165" s="85"/>
      <c r="J165" s="85"/>
      <c r="K165" s="85"/>
      <c r="L165" s="85"/>
    </row>
  </sheetData>
  <mergeCells count="4">
    <mergeCell ref="B152:Y152"/>
    <mergeCell ref="AB6:AB8"/>
    <mergeCell ref="AB39:AB41"/>
    <mergeCell ref="AB91:AB93"/>
  </mergeCells>
  <pageMargins left="0.7" right="0.7" top="0.75" bottom="0.75" header="0.3" footer="0.3"/>
  <ignoredErrors>
    <ignoredError sqref="F49 S26:W28 S22:W23 Y16:Y17 S10:Z15 S18:Z21 S16:X17 Z16:Z17 S24:Z25 X22:Z23 S29:Z29 X26:Z28 S138:Z139 J120 J126 G119:Q119 G126:I126 K126:Q126 G121:Q125 G120:I120 K120:Q120" formulaRange="1"/>
    <ignoredError sqref="C16:E17 C22:E23 C26:E28 C32:E32 G16:Q17 G21:Q23 G32:Q32 G26:Q28 Z128:AB129 Z116:AB118 AA126:AB126 AA120:AB120 AA130:AB131 AA127:AB127 AA121:AB122" evalError="1"/>
    <ignoredError sqref="J103:J105 N102:N105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E13"/>
  <sheetViews>
    <sheetView showGridLines="0" zoomScale="115" zoomScaleNormal="115" workbookViewId="0">
      <selection activeCell="Q11" sqref="Q11"/>
    </sheetView>
  </sheetViews>
  <sheetFormatPr defaultRowHeight="12" outlineLevelCol="1"/>
  <cols>
    <col min="1" max="1" width="1.5" style="8" customWidth="1"/>
    <col min="2" max="2" width="46.5" style="8" bestFit="1" customWidth="1"/>
    <col min="3" max="5" width="8.625" style="8" bestFit="1" customWidth="1"/>
    <col min="6" max="6" width="1.5" style="8" customWidth="1"/>
    <col min="7" max="9" width="8" style="8" customWidth="1" outlineLevel="1"/>
    <col min="10" max="10" width="8.75" style="8" customWidth="1" outlineLevel="1"/>
    <col min="11" max="11" width="8.5" style="8" customWidth="1"/>
    <col min="12" max="12" width="8.25" style="8" bestFit="1" customWidth="1"/>
    <col min="13" max="13" width="8.5" style="8" bestFit="1" customWidth="1"/>
    <col min="14" max="17" width="9.125" style="8" bestFit="1" customWidth="1"/>
    <col min="18" max="18" width="1.5" style="8" customWidth="1"/>
    <col min="19" max="24" width="8.75" style="8" hidden="1" customWidth="1" outlineLevel="1"/>
    <col min="25" max="25" width="8.75" style="8" bestFit="1" customWidth="1" collapsed="1"/>
    <col min="26" max="28" width="8.75" style="8" hidden="1" customWidth="1" outlineLevel="1"/>
    <col min="29" max="29" width="8.75" style="8" bestFit="1" customWidth="1" collapsed="1"/>
    <col min="30" max="30" width="1.5" style="8" customWidth="1"/>
    <col min="31" max="31" width="9.875" style="8" bestFit="1" customWidth="1"/>
    <col min="32" max="16384" width="9" style="8"/>
  </cols>
  <sheetData>
    <row r="2" spans="1:31" s="5" customFormat="1" ht="12.75" customHeight="1">
      <c r="B2" s="1" t="str">
        <f>'Historical Financials'!B2</f>
        <v>Spotify Technology SA. (NASDAQ: SPOT)</v>
      </c>
      <c r="C2" s="2" t="s">
        <v>0</v>
      </c>
      <c r="D2" s="2"/>
      <c r="E2" s="2"/>
      <c r="F2" s="3"/>
      <c r="G2" s="2"/>
      <c r="H2" s="2"/>
      <c r="I2" s="2"/>
      <c r="J2" s="2"/>
      <c r="K2" s="2" t="s">
        <v>1</v>
      </c>
      <c r="L2" s="2" t="s">
        <v>1</v>
      </c>
      <c r="M2" s="2"/>
      <c r="N2" s="2"/>
      <c r="O2" s="2"/>
      <c r="P2" s="2"/>
      <c r="Q2" s="2"/>
      <c r="R2" s="3"/>
      <c r="S2" s="2" t="s">
        <v>10</v>
      </c>
      <c r="T2" s="2"/>
      <c r="U2" s="2"/>
      <c r="V2" s="2"/>
      <c r="W2" s="2" t="s">
        <v>10</v>
      </c>
      <c r="X2" s="2"/>
      <c r="Y2" s="2" t="s">
        <v>10</v>
      </c>
      <c r="Z2" s="2"/>
      <c r="AA2" s="2"/>
      <c r="AB2" s="2"/>
      <c r="AC2" s="2"/>
      <c r="AD2" s="3"/>
      <c r="AE2" s="144" t="s">
        <v>21</v>
      </c>
    </row>
    <row r="3" spans="1:31" s="5" customFormat="1" ht="12.75" customHeight="1">
      <c r="B3" s="6" t="s">
        <v>66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4"/>
      <c r="S3" s="4" t="str">
        <f t="shared" ref="S3:AB4" si="0">G3</f>
        <v>1Q23</v>
      </c>
      <c r="T3" s="4" t="str">
        <f t="shared" si="0"/>
        <v>2Q23</v>
      </c>
      <c r="U3" s="4" t="str">
        <f t="shared" si="0"/>
        <v>3Q23</v>
      </c>
      <c r="V3" s="4" t="str">
        <f t="shared" si="0"/>
        <v>4Q23</v>
      </c>
      <c r="W3" s="4" t="str">
        <f t="shared" si="0"/>
        <v>1Q24</v>
      </c>
      <c r="X3" s="4" t="str">
        <f t="shared" si="0"/>
        <v>2Q24</v>
      </c>
      <c r="Y3" s="4" t="str">
        <f t="shared" si="0"/>
        <v>3Q24</v>
      </c>
      <c r="Z3" s="4" t="str">
        <f t="shared" si="0"/>
        <v>4Q24</v>
      </c>
      <c r="AA3" s="4" t="str">
        <f t="shared" si="0"/>
        <v>1Q25</v>
      </c>
      <c r="AB3" s="4" t="str">
        <f t="shared" si="0"/>
        <v>2Q25</v>
      </c>
      <c r="AC3" s="4" t="str">
        <f>Q3</f>
        <v>3Q25</v>
      </c>
      <c r="AD3" s="3"/>
      <c r="AE3" s="144"/>
    </row>
    <row r="4" spans="1:31" s="5" customFormat="1" ht="12.75" customHeight="1">
      <c r="B4" s="6" t="s">
        <v>114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 t="shared" si="0"/>
        <v>45016</v>
      </c>
      <c r="T4" s="3">
        <f t="shared" si="0"/>
        <v>45107</v>
      </c>
      <c r="U4" s="3">
        <f t="shared" si="0"/>
        <v>45199</v>
      </c>
      <c r="V4" s="3">
        <f t="shared" si="0"/>
        <v>45291</v>
      </c>
      <c r="W4" s="3">
        <f t="shared" si="0"/>
        <v>45382</v>
      </c>
      <c r="X4" s="3">
        <f t="shared" si="0"/>
        <v>45473</v>
      </c>
      <c r="Y4" s="3">
        <f t="shared" si="0"/>
        <v>45565</v>
      </c>
      <c r="Z4" s="3">
        <f t="shared" si="0"/>
        <v>45657</v>
      </c>
      <c r="AA4" s="3">
        <f t="shared" si="0"/>
        <v>45747</v>
      </c>
      <c r="AB4" s="3">
        <f t="shared" si="0"/>
        <v>45838</v>
      </c>
      <c r="AC4" s="3">
        <f>Q4</f>
        <v>45930</v>
      </c>
      <c r="AD4" s="3"/>
      <c r="AE4" s="144"/>
    </row>
    <row r="5" spans="1:31" ht="5.0999999999999996" customHeight="1"/>
    <row r="6" spans="1:31">
      <c r="A6" s="34" t="s">
        <v>15</v>
      </c>
      <c r="B6" s="1" t="s">
        <v>88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5.0999999999999996" customHeight="1"/>
    <row r="8" spans="1:31" ht="12.75" customHeight="1">
      <c r="A8" s="79"/>
      <c r="B8" s="77" t="s">
        <v>87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5"/>
      <c r="S8" s="11"/>
      <c r="T8" s="11"/>
      <c r="U8" s="11"/>
      <c r="V8" s="11"/>
      <c r="W8" s="11"/>
      <c r="X8" s="11"/>
      <c r="Y8" s="11"/>
      <c r="Z8" s="11"/>
      <c r="AA8" s="11"/>
      <c r="AB8" s="11"/>
      <c r="AE8" s="12"/>
    </row>
    <row r="9" spans="1:31" ht="12.75" customHeight="1">
      <c r="B9" s="9" t="s">
        <v>171</v>
      </c>
      <c r="C9" s="80">
        <v>10251</v>
      </c>
      <c r="D9" s="80">
        <v>11566</v>
      </c>
      <c r="E9" s="80">
        <v>13819</v>
      </c>
      <c r="F9" s="80"/>
      <c r="G9" s="80">
        <v>2713</v>
      </c>
      <c r="H9" s="80">
        <v>2773</v>
      </c>
      <c r="I9" s="80">
        <v>2910</v>
      </c>
      <c r="J9" s="122">
        <f>SUM(D9-SUM(G9:I9))</f>
        <v>3170</v>
      </c>
      <c r="K9" s="80">
        <v>3247</v>
      </c>
      <c r="L9" s="80">
        <v>3351</v>
      </c>
      <c r="M9" s="80">
        <v>3516</v>
      </c>
      <c r="N9" s="122">
        <f>SUM(E9-SUM(K9:M9))</f>
        <v>3705</v>
      </c>
      <c r="O9" s="80">
        <v>3771</v>
      </c>
      <c r="P9" s="80">
        <v>3740</v>
      </c>
      <c r="Q9" s="80">
        <v>3826</v>
      </c>
      <c r="R9" s="11"/>
      <c r="S9" s="11">
        <f>SUM(G9:G9)</f>
        <v>2713</v>
      </c>
      <c r="T9" s="11">
        <f>SUM(G9:H9)</f>
        <v>5486</v>
      </c>
      <c r="U9" s="11">
        <f>SUM(G9:I9)</f>
        <v>8396</v>
      </c>
      <c r="V9" s="11">
        <f t="shared" ref="V9:X9" si="1">SUM(G9:J9)</f>
        <v>11566</v>
      </c>
      <c r="W9" s="11">
        <f t="shared" si="1"/>
        <v>12100</v>
      </c>
      <c r="X9" s="11">
        <f t="shared" si="1"/>
        <v>12678</v>
      </c>
      <c r="Y9" s="122">
        <f t="shared" ref="Y9:AC10" si="2">SUM(J9:M9)</f>
        <v>13284</v>
      </c>
      <c r="Z9" s="122">
        <f t="shared" si="2"/>
        <v>13819</v>
      </c>
      <c r="AA9" s="122">
        <f t="shared" si="2"/>
        <v>14343</v>
      </c>
      <c r="AB9" s="122">
        <f t="shared" si="2"/>
        <v>14732</v>
      </c>
      <c r="AC9" s="122">
        <f t="shared" si="2"/>
        <v>15042</v>
      </c>
      <c r="AE9" s="12">
        <f>SUM(AC9/Y9)-1</f>
        <v>0.13233965672990067</v>
      </c>
    </row>
    <row r="10" spans="1:31" ht="12.75" customHeight="1">
      <c r="B10" s="9" t="s">
        <v>172</v>
      </c>
      <c r="C10" s="80">
        <v>1476</v>
      </c>
      <c r="D10" s="80">
        <v>1681</v>
      </c>
      <c r="E10" s="80">
        <v>1854</v>
      </c>
      <c r="F10" s="80"/>
      <c r="G10" s="80">
        <v>329</v>
      </c>
      <c r="H10" s="80">
        <v>404</v>
      </c>
      <c r="I10" s="80">
        <v>447</v>
      </c>
      <c r="J10" s="122">
        <f>SUM(D10-SUM(G10:I10))</f>
        <v>501</v>
      </c>
      <c r="K10" s="80">
        <v>389</v>
      </c>
      <c r="L10" s="80">
        <v>456</v>
      </c>
      <c r="M10" s="80">
        <v>472</v>
      </c>
      <c r="N10" s="122">
        <f>SUM(E10-SUM(K10:M10))</f>
        <v>537</v>
      </c>
      <c r="O10" s="80">
        <v>419</v>
      </c>
      <c r="P10" s="80">
        <v>453</v>
      </c>
      <c r="Q10" s="80">
        <v>446</v>
      </c>
      <c r="R10" s="11"/>
      <c r="S10" s="11"/>
      <c r="T10" s="11"/>
      <c r="U10" s="11"/>
      <c r="V10" s="11"/>
      <c r="W10" s="11"/>
      <c r="X10" s="11"/>
      <c r="Y10" s="122">
        <f t="shared" si="2"/>
        <v>1818</v>
      </c>
      <c r="Z10" s="122">
        <f t="shared" si="2"/>
        <v>1854</v>
      </c>
      <c r="AA10" s="122">
        <f t="shared" si="2"/>
        <v>1884</v>
      </c>
      <c r="AB10" s="122">
        <f t="shared" si="2"/>
        <v>1881</v>
      </c>
      <c r="AC10" s="122">
        <f t="shared" si="2"/>
        <v>1855</v>
      </c>
      <c r="AE10" s="12">
        <f>SUM(AC10/Y10)-1</f>
        <v>2.0352035203520247E-2</v>
      </c>
    </row>
    <row r="11" spans="1:31" ht="12.75" customHeight="1">
      <c r="B11" s="13" t="s">
        <v>67</v>
      </c>
      <c r="C11" s="157">
        <f>SUM(C9:C10)</f>
        <v>11727</v>
      </c>
      <c r="D11" s="157">
        <f>SUM(D9:D10)</f>
        <v>13247</v>
      </c>
      <c r="E11" s="157">
        <f>SUM(E9:E10)</f>
        <v>15673</v>
      </c>
      <c r="F11" s="11"/>
      <c r="G11" s="157">
        <f>SUM(G9:G10)</f>
        <v>3042</v>
      </c>
      <c r="H11" s="157">
        <f>SUM(H9:H10)</f>
        <v>3177</v>
      </c>
      <c r="I11" s="157">
        <f>SUM(I9:I10)</f>
        <v>3357</v>
      </c>
      <c r="J11" s="157">
        <f>SUM(J9:J10)</f>
        <v>3671</v>
      </c>
      <c r="K11" s="157">
        <f>SUM(K9:K10)</f>
        <v>3636</v>
      </c>
      <c r="L11" s="157">
        <f>SUM(L9:L10)</f>
        <v>3807</v>
      </c>
      <c r="M11" s="157">
        <f>SUM(M9:M10)</f>
        <v>3988</v>
      </c>
      <c r="N11" s="157">
        <f>SUM(N9:N10)</f>
        <v>4242</v>
      </c>
      <c r="O11" s="157">
        <f>SUM(O9:O10)</f>
        <v>4190</v>
      </c>
      <c r="P11" s="157">
        <f>SUM(P9:P10)</f>
        <v>4193</v>
      </c>
      <c r="Q11" s="157">
        <f>SUM(Q9:Q10)</f>
        <v>4272</v>
      </c>
      <c r="R11" s="11"/>
      <c r="S11" s="157">
        <f>SUM(S9:S10)</f>
        <v>2713</v>
      </c>
      <c r="T11" s="157">
        <f>SUM(T9:T10)</f>
        <v>5486</v>
      </c>
      <c r="U11" s="157">
        <f>SUM(U9:U10)</f>
        <v>8396</v>
      </c>
      <c r="V11" s="157">
        <f>SUM(V9:V10)</f>
        <v>11566</v>
      </c>
      <c r="W11" s="157">
        <f>SUM(W9:W10)</f>
        <v>12100</v>
      </c>
      <c r="X11" s="157">
        <f>SUM(X9:X10)</f>
        <v>12678</v>
      </c>
      <c r="Y11" s="157">
        <f>SUM(Y9:Y10)</f>
        <v>15102</v>
      </c>
      <c r="Z11" s="157">
        <f>SUM(Z9:Z10)</f>
        <v>15673</v>
      </c>
      <c r="AA11" s="157">
        <f>SUM(AA9:AA10)</f>
        <v>16227</v>
      </c>
      <c r="AB11" s="157">
        <f>SUM(AB9:AB10)</f>
        <v>16613</v>
      </c>
      <c r="AC11" s="157">
        <f>SUM(AC9:AC10)</f>
        <v>16897</v>
      </c>
      <c r="AE11" s="15">
        <f>SUM(AC11/Y11)-1</f>
        <v>0.11885842934710644</v>
      </c>
    </row>
    <row r="12" spans="1:31">
      <c r="B12" s="131" t="s">
        <v>89</v>
      </c>
      <c r="C12" s="78">
        <f>+C11-'Historical Financials'!C11</f>
        <v>0</v>
      </c>
      <c r="D12" s="78">
        <f>+D11-'Historical Financials'!D11</f>
        <v>0</v>
      </c>
      <c r="E12" s="78">
        <f>+E11-'Historical Financials'!E11</f>
        <v>0</v>
      </c>
      <c r="F12" s="11"/>
      <c r="G12" s="78">
        <f>G11-'Historical Financials'!G11</f>
        <v>0</v>
      </c>
      <c r="H12" s="78">
        <f>H11-'Historical Financials'!H11</f>
        <v>0</v>
      </c>
      <c r="I12" s="78">
        <f>I11-'Historical Financials'!I11</f>
        <v>0</v>
      </c>
      <c r="J12" s="78">
        <f>J11-'Historical Financials'!J11</f>
        <v>0</v>
      </c>
      <c r="K12" s="78">
        <f>K11-'Historical Financials'!K11</f>
        <v>0</v>
      </c>
      <c r="L12" s="78">
        <f>L11-'Historical Financials'!L11</f>
        <v>0</v>
      </c>
      <c r="M12" s="78">
        <f>M11-'Historical Financials'!M11</f>
        <v>0</v>
      </c>
      <c r="N12" s="78">
        <f>N11-'Historical Financials'!N11</f>
        <v>0</v>
      </c>
      <c r="O12" s="78">
        <f>O11-'Historical Financials'!O11</f>
        <v>0</v>
      </c>
      <c r="P12" s="78">
        <f>P11-'Historical Financials'!P11</f>
        <v>0</v>
      </c>
      <c r="Q12" s="78">
        <f>Q11-'Historical Financials'!Q11</f>
        <v>0</v>
      </c>
      <c r="R12" s="78"/>
      <c r="S12" s="78" t="e">
        <f>+S11-'Historical Financials'!#REF!</f>
        <v>#REF!</v>
      </c>
      <c r="T12" s="78" t="e">
        <f>+T11-'Historical Financials'!#REF!</f>
        <v>#REF!</v>
      </c>
      <c r="U12" s="78" t="e">
        <f>+U11-'Historical Financials'!#REF!</f>
        <v>#REF!</v>
      </c>
      <c r="V12" s="78">
        <f>+V11-'Historical Financials'!S11</f>
        <v>-1681</v>
      </c>
      <c r="W12" s="78">
        <f>+W11-'Historical Financials'!T11</f>
        <v>-1741</v>
      </c>
      <c r="X12" s="78">
        <f>+X11-'Historical Financials'!U11</f>
        <v>-1793</v>
      </c>
      <c r="Y12" s="78">
        <f>+Y11-'Historical Financials'!V11</f>
        <v>0</v>
      </c>
      <c r="Z12" s="78">
        <f>+Z11-'Historical Financials'!W11</f>
        <v>0</v>
      </c>
      <c r="AA12" s="78">
        <f>+AA11-'Historical Financials'!X11</f>
        <v>0</v>
      </c>
      <c r="AB12" s="78">
        <f>+AB11-'Historical Financials'!Y11</f>
        <v>0</v>
      </c>
      <c r="AC12" s="78">
        <f>AC11-'Historical Financials'!Z11</f>
        <v>0</v>
      </c>
    </row>
    <row r="13" spans="1:31" ht="5.0999999999999996" customHeight="1">
      <c r="B13" s="18"/>
      <c r="C13" s="19"/>
      <c r="D13" s="19"/>
      <c r="E13" s="19"/>
      <c r="F13" s="20"/>
      <c r="G13" s="21"/>
      <c r="H13" s="21"/>
      <c r="I13" s="21"/>
      <c r="J13" s="22"/>
      <c r="K13" s="21"/>
      <c r="L13" s="21"/>
      <c r="M13" s="21"/>
      <c r="N13" s="21"/>
      <c r="O13" s="21"/>
      <c r="P13" s="21"/>
      <c r="Q13" s="21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</row>
  </sheetData>
  <mergeCells count="1">
    <mergeCell ref="AE2:AE4"/>
  </mergeCells>
  <dataValidations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E9:AE10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H78"/>
  <sheetViews>
    <sheetView showGridLines="0" topLeftCell="A50" zoomScaleNormal="100" workbookViewId="0">
      <selection activeCell="B3" sqref="B2:B3"/>
    </sheetView>
  </sheetViews>
  <sheetFormatPr defaultRowHeight="12" outlineLevelCol="1"/>
  <cols>
    <col min="1" max="1" width="1.5" style="8" customWidth="1"/>
    <col min="2" max="2" width="40.625" style="8" bestFit="1" customWidth="1"/>
    <col min="3" max="3" width="9" style="8" bestFit="1" customWidth="1"/>
    <col min="4" max="4" width="9.25" style="8" bestFit="1" customWidth="1"/>
    <col min="5" max="5" width="9" style="8"/>
    <col min="6" max="6" width="1.5" style="8" customWidth="1"/>
    <col min="7" max="8" width="8" style="8" hidden="1" customWidth="1" outlineLevel="1"/>
    <col min="9" max="12" width="8.875" style="8" hidden="1" customWidth="1" outlineLevel="1"/>
    <col min="13" max="13" width="8.875" style="8" bestFit="1" customWidth="1" collapsed="1"/>
    <col min="14" max="17" width="8.875" style="8" bestFit="1" customWidth="1"/>
    <col min="18" max="18" width="1.625" style="8" customWidth="1"/>
    <col min="19" max="19" width="9.25" style="8" hidden="1" customWidth="1" outlineLevel="1"/>
    <col min="20" max="20" width="9.75" style="8" hidden="1" customWidth="1" outlineLevel="1"/>
    <col min="21" max="21" width="9" style="8" hidden="1" customWidth="1" outlineLevel="1"/>
    <col min="22" max="22" width="9" style="8" customWidth="1" collapsed="1"/>
    <col min="23" max="24" width="9" style="8" hidden="1" customWidth="1" outlineLevel="1"/>
    <col min="25" max="25" width="8.5" style="8" hidden="1" customWidth="1" outlineLevel="1"/>
    <col min="26" max="26" width="8.5" style="8" bestFit="1" customWidth="1" collapsed="1"/>
    <col min="27" max="27" width="1.5" style="8" customWidth="1"/>
    <col min="28" max="28" width="9.375" style="127" bestFit="1" customWidth="1"/>
    <col min="29" max="16384" width="9" style="8"/>
  </cols>
  <sheetData>
    <row r="2" spans="2:28" s="5" customFormat="1" ht="12.75" customHeight="1">
      <c r="B2" s="1" t="str">
        <f>'Historical Financials'!B2</f>
        <v>Spotify Technology SA. (NASDAQ: SPOT)</v>
      </c>
      <c r="C2" s="2" t="s">
        <v>0</v>
      </c>
      <c r="D2" s="2"/>
      <c r="E2" s="2"/>
      <c r="F2" s="3"/>
      <c r="G2" s="2" t="s">
        <v>1</v>
      </c>
      <c r="H2" s="2"/>
      <c r="I2" s="2"/>
      <c r="J2" s="2"/>
      <c r="K2" s="2"/>
      <c r="L2" s="2"/>
      <c r="M2" s="2" t="s">
        <v>1</v>
      </c>
      <c r="N2" s="2"/>
      <c r="O2" s="2"/>
      <c r="P2" s="2"/>
      <c r="Q2" s="2"/>
      <c r="R2" s="3"/>
      <c r="S2" s="2"/>
      <c r="T2" s="2"/>
      <c r="U2" s="2" t="s">
        <v>10</v>
      </c>
      <c r="V2" s="2" t="s">
        <v>10</v>
      </c>
      <c r="W2" s="2"/>
      <c r="X2" s="2"/>
      <c r="Y2" s="2"/>
      <c r="Z2" s="2"/>
      <c r="AA2" s="3"/>
      <c r="AB2" s="147" t="s">
        <v>21</v>
      </c>
    </row>
    <row r="3" spans="2:28" s="5" customFormat="1" ht="12.75" customHeight="1">
      <c r="B3" s="6" t="s">
        <v>22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3"/>
      <c r="S3" s="4" t="str">
        <f>J3</f>
        <v>4Q23</v>
      </c>
      <c r="T3" s="4" t="str">
        <f>K3</f>
        <v>1Q24</v>
      </c>
      <c r="U3" s="4" t="str">
        <f>L3</f>
        <v>2Q24</v>
      </c>
      <c r="V3" s="4" t="str">
        <f>M3</f>
        <v>3Q24</v>
      </c>
      <c r="W3" s="4" t="str">
        <f>N3</f>
        <v>4Q24</v>
      </c>
      <c r="X3" s="4" t="str">
        <f>O3</f>
        <v>1Q25</v>
      </c>
      <c r="Y3" s="4" t="str">
        <f>P3</f>
        <v>2Q25</v>
      </c>
      <c r="Z3" s="4" t="str">
        <f>Q3</f>
        <v>3Q25</v>
      </c>
      <c r="AA3" s="3"/>
      <c r="AB3" s="147"/>
    </row>
    <row r="4" spans="2:28" s="5" customFormat="1" ht="12.75" customHeight="1">
      <c r="B4" s="6" t="s">
        <v>114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>J4</f>
        <v>45291</v>
      </c>
      <c r="T4" s="3">
        <f>K4</f>
        <v>45382</v>
      </c>
      <c r="U4" s="3">
        <f>L4</f>
        <v>45473</v>
      </c>
      <c r="V4" s="3">
        <f>M4</f>
        <v>45565</v>
      </c>
      <c r="W4" s="3">
        <f>N4</f>
        <v>45657</v>
      </c>
      <c r="X4" s="3">
        <f>O4</f>
        <v>45747</v>
      </c>
      <c r="Y4" s="3">
        <f>P4</f>
        <v>45838</v>
      </c>
      <c r="Z4" s="3">
        <f>Q4</f>
        <v>45930</v>
      </c>
      <c r="AA4" s="3"/>
      <c r="AB4" s="147"/>
    </row>
    <row r="5" spans="2:28" ht="5.0999999999999996" customHeight="1">
      <c r="AB5" s="123"/>
    </row>
    <row r="6" spans="2:28" ht="12.75" customHeight="1">
      <c r="B6" s="9" t="str">
        <f>'Revenue Drivers'!B9</f>
        <v>Premium</v>
      </c>
      <c r="C6" s="92">
        <f>'Revenue Drivers'!C9</f>
        <v>10251</v>
      </c>
      <c r="D6" s="92">
        <f>'Revenue Drivers'!D9</f>
        <v>11566</v>
      </c>
      <c r="E6" s="92">
        <f>'Revenue Drivers'!E9</f>
        <v>13819</v>
      </c>
      <c r="F6" s="10"/>
      <c r="G6" s="92">
        <f>'Revenue Drivers'!G9</f>
        <v>2713</v>
      </c>
      <c r="H6" s="92">
        <f>'Revenue Drivers'!H9</f>
        <v>2773</v>
      </c>
      <c r="I6" s="92">
        <f>'Revenue Drivers'!I9</f>
        <v>2910</v>
      </c>
      <c r="J6" s="92">
        <f>'Revenue Drivers'!J9</f>
        <v>3170</v>
      </c>
      <c r="K6" s="92">
        <f>'Revenue Drivers'!K9</f>
        <v>3247</v>
      </c>
      <c r="L6" s="92">
        <f>'Revenue Drivers'!L9</f>
        <v>3351</v>
      </c>
      <c r="M6" s="92">
        <f>'Revenue Drivers'!M9</f>
        <v>3516</v>
      </c>
      <c r="N6" s="92">
        <f>'Revenue Drivers'!N9</f>
        <v>3705</v>
      </c>
      <c r="O6" s="92">
        <f>'Revenue Drivers'!O9</f>
        <v>3771</v>
      </c>
      <c r="P6" s="92">
        <f>'Revenue Drivers'!P9</f>
        <v>3740</v>
      </c>
      <c r="Q6" s="92">
        <f>'Revenue Drivers'!Q9</f>
        <v>3826</v>
      </c>
      <c r="R6" s="5"/>
      <c r="S6" s="141">
        <f t="shared" ref="S6:U7" si="0">SUM(G6:J6)</f>
        <v>11566</v>
      </c>
      <c r="T6" s="141">
        <f t="shared" si="0"/>
        <v>12100</v>
      </c>
      <c r="U6" s="141">
        <f t="shared" si="0"/>
        <v>12678</v>
      </c>
      <c r="V6" s="141">
        <f>SUM(J6:M6)</f>
        <v>13284</v>
      </c>
      <c r="W6" s="141">
        <f>SUM(K6:N6)</f>
        <v>13819</v>
      </c>
      <c r="X6" s="141">
        <f>SUM(L6:O6)</f>
        <v>14343</v>
      </c>
      <c r="Y6" s="141">
        <f>SUM(M6:P6)</f>
        <v>14732</v>
      </c>
      <c r="Z6" s="141">
        <f>SUM(N6:Q6)</f>
        <v>15042</v>
      </c>
      <c r="AB6" s="124">
        <f t="shared" ref="AB6:AB8" si="1">SUM(Z6/V6)-1</f>
        <v>0.13233965672990067</v>
      </c>
    </row>
    <row r="7" spans="2:28" ht="12.75" customHeight="1">
      <c r="B7" s="9" t="str">
        <f>'Revenue Drivers'!B10</f>
        <v xml:space="preserve">Ad-Supported </v>
      </c>
      <c r="C7" s="92">
        <f>'Revenue Drivers'!C10</f>
        <v>1476</v>
      </c>
      <c r="D7" s="92">
        <f>'Revenue Drivers'!D10</f>
        <v>1681</v>
      </c>
      <c r="E7" s="92">
        <f>'Revenue Drivers'!E10</f>
        <v>1854</v>
      </c>
      <c r="F7" s="10"/>
      <c r="G7" s="92">
        <f>'Revenue Drivers'!G10</f>
        <v>329</v>
      </c>
      <c r="H7" s="92">
        <f>'Revenue Drivers'!H10</f>
        <v>404</v>
      </c>
      <c r="I7" s="92">
        <f>'Revenue Drivers'!I10</f>
        <v>447</v>
      </c>
      <c r="J7" s="92">
        <f>'Revenue Drivers'!J10</f>
        <v>501</v>
      </c>
      <c r="K7" s="92">
        <f>'Revenue Drivers'!K10</f>
        <v>389</v>
      </c>
      <c r="L7" s="92">
        <f>'Revenue Drivers'!L10</f>
        <v>456</v>
      </c>
      <c r="M7" s="92">
        <f>'Revenue Drivers'!M10</f>
        <v>472</v>
      </c>
      <c r="N7" s="92">
        <f>'Revenue Drivers'!N10</f>
        <v>537</v>
      </c>
      <c r="O7" s="92">
        <f>'Revenue Drivers'!O10</f>
        <v>419</v>
      </c>
      <c r="P7" s="92">
        <f>'Revenue Drivers'!P10</f>
        <v>453</v>
      </c>
      <c r="Q7" s="92">
        <f>'Revenue Drivers'!Q10</f>
        <v>446</v>
      </c>
      <c r="R7" s="5"/>
      <c r="S7" s="141">
        <f t="shared" si="0"/>
        <v>1681</v>
      </c>
      <c r="T7" s="141">
        <f t="shared" si="0"/>
        <v>1741</v>
      </c>
      <c r="U7" s="141">
        <f t="shared" si="0"/>
        <v>1793</v>
      </c>
      <c r="V7" s="141">
        <f>SUM(J7:M7)</f>
        <v>1818</v>
      </c>
      <c r="W7" s="141">
        <f>SUM(K7:N7)</f>
        <v>1854</v>
      </c>
      <c r="X7" s="141">
        <f>SUM(L7:O7)</f>
        <v>1884</v>
      </c>
      <c r="Y7" s="141">
        <f>SUM(M7:P7)</f>
        <v>1881</v>
      </c>
      <c r="Z7" s="141">
        <f>SUM(N7:Q7)</f>
        <v>1855</v>
      </c>
      <c r="AB7" s="124">
        <f t="shared" si="1"/>
        <v>2.0352035203520247E-2</v>
      </c>
    </row>
    <row r="8" spans="2:28" ht="12.75" customHeight="1">
      <c r="B8" s="13" t="s">
        <v>12</v>
      </c>
      <c r="C8" s="157">
        <f>SUM(C6:C7)</f>
        <v>11727</v>
      </c>
      <c r="D8" s="157">
        <f>SUM(D6:D7)</f>
        <v>13247</v>
      </c>
      <c r="E8" s="157">
        <f>SUM(E6:E7)</f>
        <v>15673</v>
      </c>
      <c r="F8" s="10"/>
      <c r="G8" s="157">
        <f>SUM(G6:G7)</f>
        <v>3042</v>
      </c>
      <c r="H8" s="157">
        <f>SUM(H6:H7)</f>
        <v>3177</v>
      </c>
      <c r="I8" s="157">
        <f>SUM(I6:I7)</f>
        <v>3357</v>
      </c>
      <c r="J8" s="157">
        <f>SUM(J6:J7)</f>
        <v>3671</v>
      </c>
      <c r="K8" s="157">
        <f>SUM(K6:K7)</f>
        <v>3636</v>
      </c>
      <c r="L8" s="157">
        <f>SUM(L6:L7)</f>
        <v>3807</v>
      </c>
      <c r="M8" s="157">
        <f>SUM(M6:M7)</f>
        <v>3988</v>
      </c>
      <c r="N8" s="157">
        <f>SUM(N6:N7)</f>
        <v>4242</v>
      </c>
      <c r="O8" s="157">
        <f>SUM(O6:O7)</f>
        <v>4190</v>
      </c>
      <c r="P8" s="157">
        <f>SUM(P6:P7)</f>
        <v>4193</v>
      </c>
      <c r="Q8" s="157">
        <f>SUM(Q6:Q7)</f>
        <v>4272</v>
      </c>
      <c r="R8" s="5"/>
      <c r="S8" s="157">
        <f t="shared" ref="S8:U8" si="2">SUM(S6:S7)</f>
        <v>13247</v>
      </c>
      <c r="T8" s="157">
        <f t="shared" si="2"/>
        <v>13841</v>
      </c>
      <c r="U8" s="157">
        <f t="shared" si="2"/>
        <v>14471</v>
      </c>
      <c r="V8" s="157">
        <f>SUM(V6:V7)</f>
        <v>15102</v>
      </c>
      <c r="W8" s="157">
        <f>SUM(W6:W7)</f>
        <v>15673</v>
      </c>
      <c r="X8" s="157">
        <f>SUM(X6:X7)</f>
        <v>16227</v>
      </c>
      <c r="Y8" s="157">
        <f>SUM(Y6:Y7)</f>
        <v>16613</v>
      </c>
      <c r="Z8" s="157">
        <f>SUM(Z6:Z7)</f>
        <v>16897</v>
      </c>
      <c r="AB8" s="125">
        <f t="shared" si="1"/>
        <v>0.11885842934710644</v>
      </c>
    </row>
    <row r="9" spans="2:28" ht="12.75" customHeight="1">
      <c r="B9" s="16" t="s">
        <v>25</v>
      </c>
      <c r="C9" s="163"/>
      <c r="D9" s="17">
        <f>SUM(D8/C8)-1</f>
        <v>0.12961541741280813</v>
      </c>
      <c r="E9" s="17">
        <f>SUM(E8/D8)-1</f>
        <v>0.18313580433305665</v>
      </c>
      <c r="F9" s="11"/>
      <c r="G9" s="163"/>
      <c r="H9" s="163"/>
      <c r="I9" s="163"/>
      <c r="J9" s="163"/>
      <c r="K9" s="17">
        <f t="shared" ref="K9:Q9" si="3">SUM(K8/G8)-1</f>
        <v>0.19526627218934922</v>
      </c>
      <c r="L9" s="17">
        <f t="shared" si="3"/>
        <v>0.19830028328611893</v>
      </c>
      <c r="M9" s="17">
        <f t="shared" si="3"/>
        <v>0.18796544533809945</v>
      </c>
      <c r="N9" s="17">
        <f t="shared" si="3"/>
        <v>0.15554344865159364</v>
      </c>
      <c r="O9" s="17">
        <f t="shared" si="3"/>
        <v>0.1523652365236523</v>
      </c>
      <c r="P9" s="17">
        <f t="shared" si="3"/>
        <v>0.1013921723141582</v>
      </c>
      <c r="Q9" s="17">
        <f t="shared" si="3"/>
        <v>7.1213640922768384E-2</v>
      </c>
      <c r="R9" s="5"/>
      <c r="S9" s="163"/>
      <c r="T9" s="163"/>
      <c r="U9" s="163"/>
      <c r="V9" s="163"/>
      <c r="W9" s="17">
        <f t="shared" ref="W9:Z9" si="4">SUM(W8/S8)-1</f>
        <v>0.18313580433305665</v>
      </c>
      <c r="X9" s="17">
        <f t="shared" si="4"/>
        <v>0.1723863882667438</v>
      </c>
      <c r="Y9" s="17">
        <f t="shared" si="4"/>
        <v>0.14802017828760961</v>
      </c>
      <c r="Z9" s="17">
        <f t="shared" si="4"/>
        <v>0.11885842934710644</v>
      </c>
      <c r="AB9" s="126">
        <f>SUM(Z9-V9)*10000</f>
        <v>1188.5842934710645</v>
      </c>
    </row>
    <row r="10" spans="2:28" ht="12.75" customHeight="1">
      <c r="B10" s="16" t="s">
        <v>26</v>
      </c>
      <c r="C10" s="17" t="s">
        <v>27</v>
      </c>
      <c r="D10" s="17" t="s">
        <v>27</v>
      </c>
      <c r="E10" s="17" t="s">
        <v>27</v>
      </c>
      <c r="F10" s="11"/>
      <c r="G10" s="163"/>
      <c r="H10" s="17">
        <f t="shared" ref="H10:Q10" si="5">SUM(H8/G8)-1</f>
        <v>4.4378698224851965E-2</v>
      </c>
      <c r="I10" s="17">
        <f t="shared" si="5"/>
        <v>5.6657223796033884E-2</v>
      </c>
      <c r="J10" s="17">
        <f t="shared" si="5"/>
        <v>9.3535895144474246E-2</v>
      </c>
      <c r="K10" s="17">
        <f t="shared" si="5"/>
        <v>-9.5341868700626886E-3</v>
      </c>
      <c r="L10" s="17">
        <f t="shared" si="5"/>
        <v>4.7029702970297071E-2</v>
      </c>
      <c r="M10" s="17">
        <f t="shared" si="5"/>
        <v>4.7543997898607859E-2</v>
      </c>
      <c r="N10" s="17">
        <f t="shared" si="5"/>
        <v>6.3691073219658945E-2</v>
      </c>
      <c r="O10" s="17">
        <f t="shared" si="5"/>
        <v>-1.2258368694012312E-2</v>
      </c>
      <c r="P10" s="17">
        <f t="shared" si="5"/>
        <v>7.1599045346060208E-4</v>
      </c>
      <c r="Q10" s="17">
        <f t="shared" si="5"/>
        <v>1.8840925351776727E-2</v>
      </c>
      <c r="R10" s="5"/>
      <c r="S10" s="17" t="s">
        <v>27</v>
      </c>
      <c r="T10" s="17" t="s">
        <v>27</v>
      </c>
      <c r="U10" s="17" t="s">
        <v>27</v>
      </c>
      <c r="V10" s="17" t="s">
        <v>27</v>
      </c>
      <c r="W10" s="17" t="s">
        <v>27</v>
      </c>
      <c r="X10" s="17" t="s">
        <v>27</v>
      </c>
      <c r="Y10" s="17" t="s">
        <v>27</v>
      </c>
      <c r="Z10" s="17" t="s">
        <v>27</v>
      </c>
      <c r="AB10" s="123"/>
    </row>
    <row r="11" spans="2:28" ht="5.0999999999999996" customHeight="1">
      <c r="B11" s="18"/>
      <c r="C11" s="19"/>
      <c r="D11" s="19"/>
      <c r="E11" s="19"/>
      <c r="F11" s="20"/>
      <c r="G11" s="21"/>
      <c r="H11" s="21"/>
      <c r="I11" s="21"/>
      <c r="J11" s="22"/>
      <c r="K11" s="21"/>
      <c r="L11" s="21"/>
      <c r="M11" s="21"/>
      <c r="N11" s="21"/>
      <c r="O11" s="21"/>
      <c r="P11" s="21"/>
      <c r="Q11" s="21"/>
      <c r="R11" s="20"/>
      <c r="S11" s="20"/>
      <c r="T11" s="20"/>
      <c r="U11" s="20"/>
      <c r="V11" s="20"/>
      <c r="W11" s="20"/>
      <c r="X11" s="20"/>
      <c r="Y11" s="20"/>
      <c r="Z11" s="20"/>
      <c r="AB11" s="123"/>
    </row>
    <row r="12" spans="2:28" ht="12.75" customHeight="1">
      <c r="B12" s="23" t="s">
        <v>177</v>
      </c>
      <c r="C12" s="92">
        <f>'Historical Financials'!C13</f>
        <v>-7355</v>
      </c>
      <c r="D12" s="92">
        <f>'Historical Financials'!D13</f>
        <v>-8231</v>
      </c>
      <c r="E12" s="92">
        <f>'Historical Financials'!E13</f>
        <v>-9324</v>
      </c>
      <c r="F12" s="10"/>
      <c r="G12" s="92">
        <f>'Historical Financials'!G13</f>
        <v>-1937</v>
      </c>
      <c r="H12" s="92">
        <f>'Historical Financials'!H13</f>
        <v>-1984</v>
      </c>
      <c r="I12" s="92">
        <f>'Historical Financials'!I13</f>
        <v>-2062</v>
      </c>
      <c r="J12" s="92">
        <f>'Historical Financials'!J13</f>
        <v>-2248</v>
      </c>
      <c r="K12" s="92">
        <f>'Historical Financials'!K13</f>
        <v>-2268</v>
      </c>
      <c r="L12" s="92">
        <f>'Historical Financials'!L13</f>
        <v>-2300</v>
      </c>
      <c r="M12" s="92">
        <f>'Historical Financials'!M13</f>
        <v>-2338</v>
      </c>
      <c r="N12" s="92">
        <f>'Historical Financials'!N13</f>
        <v>-2418</v>
      </c>
      <c r="O12" s="92">
        <f>'Historical Financials'!O13</f>
        <v>-2509</v>
      </c>
      <c r="P12" s="92">
        <f>'Historical Financials'!P13</f>
        <v>-2503</v>
      </c>
      <c r="Q12" s="92">
        <f>'Historical Financials'!Q13</f>
        <v>-2557</v>
      </c>
      <c r="R12" s="5"/>
      <c r="S12" s="141">
        <f t="shared" ref="S12:U13" si="6">SUM(G12:J12)</f>
        <v>-8231</v>
      </c>
      <c r="T12" s="141">
        <f t="shared" si="6"/>
        <v>-8562</v>
      </c>
      <c r="U12" s="141">
        <f t="shared" si="6"/>
        <v>-8878</v>
      </c>
      <c r="V12" s="141">
        <f>SUM(J12:M12)</f>
        <v>-9154</v>
      </c>
      <c r="W12" s="141">
        <f>SUM(K12:N12)</f>
        <v>-9324</v>
      </c>
      <c r="X12" s="141">
        <f>SUM(L12:O12)</f>
        <v>-9565</v>
      </c>
      <c r="Y12" s="141">
        <f>SUM(M12:P12)</f>
        <v>-9768</v>
      </c>
      <c r="Z12" s="141">
        <f>SUM(N12:Q12)</f>
        <v>-9987</v>
      </c>
      <c r="AB12" s="124">
        <f>SUM(Z12/V12)-1</f>
        <v>9.0998470613939286E-2</v>
      </c>
    </row>
    <row r="13" spans="2:28" ht="12.75" customHeight="1">
      <c r="B13" s="23" t="s">
        <v>178</v>
      </c>
      <c r="C13" s="92">
        <f>'Historical Financials'!C14</f>
        <v>-1446</v>
      </c>
      <c r="D13" s="92">
        <f>'Historical Financials'!D14</f>
        <v>-1619</v>
      </c>
      <c r="E13" s="92">
        <f>'Historical Financials'!E14</f>
        <v>-1625</v>
      </c>
      <c r="F13" s="10"/>
      <c r="G13" s="92">
        <f>'Historical Financials'!G14</f>
        <v>-339</v>
      </c>
      <c r="H13" s="92">
        <f>'Historical Financials'!H14</f>
        <v>-427</v>
      </c>
      <c r="I13" s="92">
        <f>'Historical Financials'!I14</f>
        <v>-410</v>
      </c>
      <c r="J13" s="92">
        <f>'Historical Financials'!J14</f>
        <v>-443</v>
      </c>
      <c r="K13" s="92">
        <f>'Historical Financials'!K14</f>
        <v>-364</v>
      </c>
      <c r="L13" s="92">
        <f>'Historical Financials'!L14</f>
        <v>-395</v>
      </c>
      <c r="M13" s="92">
        <f>'Historical Financials'!M14</f>
        <v>-410</v>
      </c>
      <c r="N13" s="92">
        <f>'Historical Financials'!N14</f>
        <v>-456</v>
      </c>
      <c r="O13" s="92">
        <f>'Historical Financials'!O14</f>
        <v>-355</v>
      </c>
      <c r="P13" s="92">
        <f>'Historical Financials'!P14</f>
        <v>-370</v>
      </c>
      <c r="Q13" s="92">
        <f>'Historical Financials'!Q14</f>
        <v>-364</v>
      </c>
      <c r="R13" s="5"/>
      <c r="S13" s="141">
        <f t="shared" si="6"/>
        <v>-1619</v>
      </c>
      <c r="T13" s="141">
        <f t="shared" si="6"/>
        <v>-1644</v>
      </c>
      <c r="U13" s="141">
        <f t="shared" si="6"/>
        <v>-1612</v>
      </c>
      <c r="V13" s="141">
        <f>SUM(J13:M13)</f>
        <v>-1612</v>
      </c>
      <c r="W13" s="141">
        <f>SUM(K13:N13)</f>
        <v>-1625</v>
      </c>
      <c r="X13" s="141">
        <f>SUM(L13:O13)</f>
        <v>-1616</v>
      </c>
      <c r="Y13" s="141">
        <f>SUM(M13:P13)</f>
        <v>-1591</v>
      </c>
      <c r="Z13" s="141">
        <f>SUM(N13:Q13)</f>
        <v>-1545</v>
      </c>
      <c r="AB13" s="124">
        <f>SUM(Z13/V13)-1</f>
        <v>-4.1563275434243208E-2</v>
      </c>
    </row>
    <row r="14" spans="2:28" ht="12.75" customHeight="1">
      <c r="B14" s="25" t="s">
        <v>19</v>
      </c>
      <c r="C14" s="158">
        <f t="shared" ref="C14:E14" si="7">SUM(C8+SUM(C12:C13))</f>
        <v>2926</v>
      </c>
      <c r="D14" s="158">
        <f t="shared" si="7"/>
        <v>3397</v>
      </c>
      <c r="E14" s="158">
        <f t="shared" si="7"/>
        <v>4724</v>
      </c>
      <c r="G14" s="158">
        <f t="shared" ref="G14" si="8">SUM(G8+SUM(G12:G13))</f>
        <v>766</v>
      </c>
      <c r="H14" s="158">
        <f t="shared" ref="H14" si="9">SUM(H8+SUM(H12:H13))</f>
        <v>766</v>
      </c>
      <c r="I14" s="158">
        <f t="shared" ref="I14" si="10">SUM(I8+SUM(I12:I13))</f>
        <v>885</v>
      </c>
      <c r="J14" s="158">
        <f t="shared" ref="J14" si="11">SUM(J8+SUM(J12:J13))</f>
        <v>980</v>
      </c>
      <c r="K14" s="158">
        <f t="shared" ref="K14" si="12">SUM(K8+SUM(K12:K13))</f>
        <v>1004</v>
      </c>
      <c r="L14" s="158">
        <f t="shared" ref="L14" si="13">SUM(L8+SUM(L12:L13))</f>
        <v>1112</v>
      </c>
      <c r="M14" s="158">
        <f t="shared" ref="M14" si="14">SUM(M8+SUM(M12:M13))</f>
        <v>1240</v>
      </c>
      <c r="N14" s="158">
        <f t="shared" ref="N14" si="15">SUM(N8+SUM(N12:N13))</f>
        <v>1368</v>
      </c>
      <c r="O14" s="158">
        <f t="shared" ref="O14" si="16">SUM(O8+SUM(O12:O13))</f>
        <v>1326</v>
      </c>
      <c r="P14" s="158">
        <f t="shared" ref="P14" si="17">SUM(P8+SUM(P12:P13))</f>
        <v>1320</v>
      </c>
      <c r="Q14" s="158">
        <f t="shared" ref="Q14" si="18">SUM(Q8+SUM(Q12:Q13))</f>
        <v>1351</v>
      </c>
      <c r="S14" s="158">
        <f t="shared" ref="S14:V14" si="19">SUM(S8+SUM(S12:S13))</f>
        <v>3397</v>
      </c>
      <c r="T14" s="158">
        <f t="shared" si="19"/>
        <v>3635</v>
      </c>
      <c r="U14" s="158">
        <f t="shared" si="19"/>
        <v>3981</v>
      </c>
      <c r="V14" s="158">
        <f t="shared" ref="V14" si="20">SUM(V8+SUM(V12:V13))</f>
        <v>4336</v>
      </c>
      <c r="W14" s="158">
        <f t="shared" ref="W14" si="21">SUM(W8+SUM(W12:W13))</f>
        <v>4724</v>
      </c>
      <c r="X14" s="158">
        <f t="shared" ref="X14" si="22">SUM(X8+SUM(X12:X13))</f>
        <v>5046</v>
      </c>
      <c r="Y14" s="158">
        <f t="shared" ref="Y14" si="23">SUM(Y8+SUM(Y12:Y13))</f>
        <v>5254</v>
      </c>
      <c r="Z14" s="158">
        <f t="shared" ref="Z14" si="24">SUM(Z8+SUM(Z12:Z13))</f>
        <v>5365</v>
      </c>
      <c r="AB14" s="125">
        <f>SUM(Z14/V14)-1</f>
        <v>0.23731549815498165</v>
      </c>
    </row>
    <row r="15" spans="2:28" ht="12.75" customHeight="1">
      <c r="B15" s="16" t="s">
        <v>28</v>
      </c>
      <c r="C15" s="17">
        <f>C14/C8</f>
        <v>0.2495096785196555</v>
      </c>
      <c r="D15" s="17">
        <f>D14/D8</f>
        <v>0.25643541934022795</v>
      </c>
      <c r="E15" s="17">
        <f>E14/E8</f>
        <v>0.30141006827027372</v>
      </c>
      <c r="F15" s="26"/>
      <c r="G15" s="17">
        <f t="shared" ref="G15:P15" si="25">G14/G8</f>
        <v>0.2518080210387903</v>
      </c>
      <c r="H15" s="17">
        <f t="shared" si="25"/>
        <v>0.24110796348756688</v>
      </c>
      <c r="I15" s="17">
        <f t="shared" si="25"/>
        <v>0.26362823949955316</v>
      </c>
      <c r="J15" s="17">
        <f t="shared" si="25"/>
        <v>0.26695723236175428</v>
      </c>
      <c r="K15" s="17">
        <f t="shared" si="25"/>
        <v>0.27612761276127612</v>
      </c>
      <c r="L15" s="17">
        <f t="shared" si="25"/>
        <v>0.29209351195166799</v>
      </c>
      <c r="M15" s="17">
        <f t="shared" si="25"/>
        <v>0.31093279839518556</v>
      </c>
      <c r="N15" s="17">
        <f t="shared" si="25"/>
        <v>0.32248939179632247</v>
      </c>
      <c r="O15" s="17">
        <f t="shared" si="25"/>
        <v>0.31646778042959428</v>
      </c>
      <c r="P15" s="17">
        <f t="shared" si="25"/>
        <v>0.3148103982828524</v>
      </c>
      <c r="Q15" s="17">
        <f>Q14/Q8</f>
        <v>0.31624531835205993</v>
      </c>
      <c r="R15" s="27"/>
      <c r="S15" s="17">
        <f t="shared" ref="S15:X15" si="26">S14/S8</f>
        <v>0.25643541934022795</v>
      </c>
      <c r="T15" s="17">
        <f t="shared" si="26"/>
        <v>0.26262553283722273</v>
      </c>
      <c r="U15" s="17">
        <f t="shared" si="26"/>
        <v>0.27510192799391886</v>
      </c>
      <c r="V15" s="17">
        <f t="shared" si="26"/>
        <v>0.28711428949807971</v>
      </c>
      <c r="W15" s="17">
        <f t="shared" si="26"/>
        <v>0.30141006827027372</v>
      </c>
      <c r="X15" s="17">
        <f t="shared" si="26"/>
        <v>0.31096320946570533</v>
      </c>
      <c r="Y15" s="17">
        <f>Y14/Y8</f>
        <v>0.31625835189309576</v>
      </c>
      <c r="Z15" s="17">
        <f>Z14/Z8</f>
        <v>0.31751198437592471</v>
      </c>
      <c r="AB15" s="126">
        <f>SUM(Z15-V15)*10000</f>
        <v>303.97694877844992</v>
      </c>
    </row>
    <row r="16" spans="2:28" ht="5.0999999999999996" customHeight="1">
      <c r="B16" s="28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5"/>
      <c r="S16" s="29"/>
      <c r="T16" s="29"/>
      <c r="U16" s="29"/>
      <c r="V16" s="29"/>
      <c r="W16" s="29"/>
      <c r="X16" s="29"/>
      <c r="Y16" s="29"/>
      <c r="Z16" s="29"/>
      <c r="AB16" s="123"/>
    </row>
    <row r="17" spans="2:28" ht="12.75" customHeight="1">
      <c r="B17" s="23" t="s">
        <v>179</v>
      </c>
      <c r="C17" s="140">
        <f>'Historical Financials'!C18</f>
        <v>-1387</v>
      </c>
      <c r="D17" s="140">
        <f>'Historical Financials'!D18</f>
        <v>-1725</v>
      </c>
      <c r="E17" s="140">
        <f>'Historical Financials'!E18</f>
        <v>-1486</v>
      </c>
      <c r="F17" s="92"/>
      <c r="G17" s="140">
        <f>'Historical Financials'!G18</f>
        <v>-435</v>
      </c>
      <c r="H17" s="140">
        <f>'Historical Financials'!H18</f>
        <v>-453</v>
      </c>
      <c r="I17" s="140">
        <f>'Historical Financials'!I18</f>
        <v>-369</v>
      </c>
      <c r="J17" s="140">
        <f>'Historical Financials'!J18</f>
        <v>-468</v>
      </c>
      <c r="K17" s="140">
        <f>'Historical Financials'!K18</f>
        <v>-389</v>
      </c>
      <c r="L17" s="140">
        <f>'Historical Financials'!L18</f>
        <v>-379</v>
      </c>
      <c r="M17" s="140">
        <f>'Historical Financials'!M18</f>
        <v>-342</v>
      </c>
      <c r="N17" s="140">
        <f>'Historical Financials'!N18</f>
        <v>-376</v>
      </c>
      <c r="O17" s="140">
        <f>'Historical Financials'!O18</f>
        <v>-379</v>
      </c>
      <c r="P17" s="140">
        <f>'Historical Financials'!P18</f>
        <v>-415</v>
      </c>
      <c r="Q17" s="140">
        <f>'Historical Financials'!Q18</f>
        <v>-309</v>
      </c>
      <c r="R17" s="5"/>
      <c r="S17" s="10">
        <f>SUM(G17:J17)</f>
        <v>-1725</v>
      </c>
      <c r="T17" s="10">
        <f>SUM(H17:K17)</f>
        <v>-1679</v>
      </c>
      <c r="U17" s="10">
        <f>SUM(I17:L17)</f>
        <v>-1605</v>
      </c>
      <c r="V17" s="141">
        <f>SUM(J17:M17)</f>
        <v>-1578</v>
      </c>
      <c r="W17" s="141">
        <f>SUM(K17:N17)</f>
        <v>-1486</v>
      </c>
      <c r="X17" s="141">
        <f>SUM(L17:O17)</f>
        <v>-1476</v>
      </c>
      <c r="Y17" s="141">
        <f>SUM(M17:P17)</f>
        <v>-1512</v>
      </c>
      <c r="Z17" s="141">
        <f>SUM(N17:Q17)</f>
        <v>-1479</v>
      </c>
      <c r="AB17" s="124">
        <f>SUM(Z17/V17)-1</f>
        <v>-6.2737642585551368E-2</v>
      </c>
    </row>
    <row r="18" spans="2:28" ht="12.75" customHeight="1">
      <c r="B18" s="23" t="s">
        <v>180</v>
      </c>
      <c r="C18" s="140">
        <f>'Historical Financials'!C19</f>
        <v>-1572</v>
      </c>
      <c r="D18" s="140">
        <f>'Historical Financials'!D19</f>
        <v>-1533</v>
      </c>
      <c r="E18" s="140">
        <f>'Historical Financials'!E19</f>
        <v>-1392</v>
      </c>
      <c r="F18" s="92"/>
      <c r="G18" s="140">
        <f>'Historical Financials'!G19</f>
        <v>-347</v>
      </c>
      <c r="H18" s="140">
        <f>'Historical Financials'!H19</f>
        <v>-399</v>
      </c>
      <c r="I18" s="140">
        <f>'Historical Financials'!I19</f>
        <v>-355</v>
      </c>
      <c r="J18" s="140">
        <f>'Historical Financials'!J19</f>
        <v>-432</v>
      </c>
      <c r="K18" s="140">
        <f>'Historical Financials'!K19</f>
        <v>-324</v>
      </c>
      <c r="L18" s="140">
        <f>'Historical Financials'!L19</f>
        <v>-343</v>
      </c>
      <c r="M18" s="140">
        <f>'Historical Financials'!M19</f>
        <v>-332</v>
      </c>
      <c r="N18" s="140">
        <f>'Historical Financials'!N19</f>
        <v>-393</v>
      </c>
      <c r="O18" s="140">
        <f>'Historical Financials'!O19</f>
        <v>-314</v>
      </c>
      <c r="P18" s="140">
        <f>'Historical Financials'!P19</f>
        <v>-364</v>
      </c>
      <c r="Q18" s="140">
        <f>'Historical Financials'!Q19</f>
        <v>-349</v>
      </c>
      <c r="R18" s="5"/>
      <c r="S18" s="10">
        <f>SUM(G18:J18)</f>
        <v>-1533</v>
      </c>
      <c r="T18" s="10">
        <f>SUM(H18:K18)</f>
        <v>-1510</v>
      </c>
      <c r="U18" s="10">
        <f>SUM(I18:L18)</f>
        <v>-1454</v>
      </c>
      <c r="V18" s="141">
        <f>SUM(J18:M18)</f>
        <v>-1431</v>
      </c>
      <c r="W18" s="141">
        <f>SUM(K18:N18)</f>
        <v>-1392</v>
      </c>
      <c r="X18" s="141">
        <f>SUM(L18:O18)</f>
        <v>-1382</v>
      </c>
      <c r="Y18" s="141">
        <f>SUM(M18:P18)</f>
        <v>-1403</v>
      </c>
      <c r="Z18" s="141">
        <f>SUM(N18:Q18)</f>
        <v>-1420</v>
      </c>
      <c r="AB18" s="124">
        <f>SUM(Z18/V18)-1</f>
        <v>-7.686932215234088E-3</v>
      </c>
    </row>
    <row r="19" spans="2:28" ht="12.75" customHeight="1">
      <c r="B19" s="23" t="s">
        <v>181</v>
      </c>
      <c r="C19" s="140">
        <f>'Historical Financials'!C20</f>
        <v>-626</v>
      </c>
      <c r="D19" s="140">
        <f>'Historical Financials'!D20</f>
        <v>-585</v>
      </c>
      <c r="E19" s="140">
        <f>'Historical Financials'!E20</f>
        <v>-481</v>
      </c>
      <c r="F19" s="92"/>
      <c r="G19" s="140">
        <f>'Historical Financials'!G20</f>
        <v>-140</v>
      </c>
      <c r="H19" s="140">
        <f>'Historical Financials'!H20</f>
        <v>-161</v>
      </c>
      <c r="I19" s="140">
        <f>'Historical Financials'!I20</f>
        <v>-129</v>
      </c>
      <c r="J19" s="140">
        <f>'Historical Financials'!J20</f>
        <v>-155</v>
      </c>
      <c r="K19" s="140">
        <f>'Historical Financials'!K20</f>
        <v>-123</v>
      </c>
      <c r="L19" s="140">
        <f>'Historical Financials'!L20</f>
        <v>-124</v>
      </c>
      <c r="M19" s="140">
        <f>'Historical Financials'!M20</f>
        <v>-112</v>
      </c>
      <c r="N19" s="140">
        <f>'Historical Financials'!N20</f>
        <v>-122</v>
      </c>
      <c r="O19" s="140">
        <f>'Historical Financials'!O20</f>
        <v>-124</v>
      </c>
      <c r="P19" s="140">
        <f>'Historical Financials'!P20</f>
        <v>-135</v>
      </c>
      <c r="Q19" s="140">
        <f>'Historical Financials'!Q20</f>
        <v>-111</v>
      </c>
      <c r="R19" s="5"/>
      <c r="S19" s="10">
        <f>SUM(G19:J19)</f>
        <v>-585</v>
      </c>
      <c r="T19" s="10">
        <f>SUM(H19:K19)</f>
        <v>-568</v>
      </c>
      <c r="U19" s="10">
        <f>SUM(I19:L19)</f>
        <v>-531</v>
      </c>
      <c r="V19" s="141">
        <f>SUM(J19:M19)</f>
        <v>-514</v>
      </c>
      <c r="W19" s="141">
        <f>SUM(K19:N19)</f>
        <v>-481</v>
      </c>
      <c r="X19" s="141">
        <f>SUM(L19:O19)</f>
        <v>-482</v>
      </c>
      <c r="Y19" s="141">
        <f>SUM(M19:P19)</f>
        <v>-493</v>
      </c>
      <c r="Z19" s="141">
        <f>SUM(N19:Q19)</f>
        <v>-492</v>
      </c>
      <c r="AB19" s="124">
        <f>SUM(Z19/V19)-1</f>
        <v>-4.2801556420233422E-2</v>
      </c>
    </row>
    <row r="20" spans="2:28" ht="12.75" customHeight="1">
      <c r="B20" s="13" t="s">
        <v>29</v>
      </c>
      <c r="C20" s="157">
        <f>SUM(C14+SUM(C17:C19))</f>
        <v>-659</v>
      </c>
      <c r="D20" s="157">
        <f>SUM(D14+SUM(D17:D19))</f>
        <v>-446</v>
      </c>
      <c r="E20" s="157">
        <f>SUM(E14+SUM(E17:E19))</f>
        <v>1365</v>
      </c>
      <c r="F20" s="10"/>
      <c r="G20" s="157">
        <f t="shared" ref="G20:Q20" si="27">SUM(G14+SUM(G17:G19))</f>
        <v>-156</v>
      </c>
      <c r="H20" s="157">
        <f t="shared" si="27"/>
        <v>-247</v>
      </c>
      <c r="I20" s="157">
        <f t="shared" si="27"/>
        <v>32</v>
      </c>
      <c r="J20" s="157">
        <f t="shared" si="27"/>
        <v>-75</v>
      </c>
      <c r="K20" s="157">
        <f t="shared" si="27"/>
        <v>168</v>
      </c>
      <c r="L20" s="157">
        <f t="shared" si="27"/>
        <v>266</v>
      </c>
      <c r="M20" s="157">
        <f t="shared" si="27"/>
        <v>454</v>
      </c>
      <c r="N20" s="157">
        <f t="shared" si="27"/>
        <v>477</v>
      </c>
      <c r="O20" s="157">
        <f t="shared" si="27"/>
        <v>509</v>
      </c>
      <c r="P20" s="157">
        <f t="shared" si="27"/>
        <v>406</v>
      </c>
      <c r="Q20" s="157">
        <f t="shared" si="27"/>
        <v>582</v>
      </c>
      <c r="R20" s="5"/>
      <c r="S20" s="157">
        <f t="shared" ref="S20:Z20" si="28">SUM(S14+SUM(S17:S19))</f>
        <v>-446</v>
      </c>
      <c r="T20" s="157">
        <f t="shared" si="28"/>
        <v>-122</v>
      </c>
      <c r="U20" s="157">
        <f t="shared" si="28"/>
        <v>391</v>
      </c>
      <c r="V20" s="157">
        <f t="shared" si="28"/>
        <v>813</v>
      </c>
      <c r="W20" s="157">
        <f t="shared" si="28"/>
        <v>1365</v>
      </c>
      <c r="X20" s="157">
        <f t="shared" si="28"/>
        <v>1706</v>
      </c>
      <c r="Y20" s="157">
        <f t="shared" si="28"/>
        <v>1846</v>
      </c>
      <c r="Z20" s="157">
        <f t="shared" si="28"/>
        <v>1974</v>
      </c>
      <c r="AB20" s="125">
        <f>SUM(Z20/V20)-1</f>
        <v>1.4280442804428044</v>
      </c>
    </row>
    <row r="21" spans="2:28" ht="12.75" customHeight="1">
      <c r="B21" s="16" t="s">
        <v>30</v>
      </c>
      <c r="C21" s="17">
        <f>C20/C8</f>
        <v>-5.6195105312526646E-2</v>
      </c>
      <c r="D21" s="17">
        <f>D20/D8</f>
        <v>-3.3668000301955159E-2</v>
      </c>
      <c r="E21" s="17">
        <f>E20/E8</f>
        <v>8.7092451987494421E-2</v>
      </c>
      <c r="F21" s="26"/>
      <c r="G21" s="17">
        <f t="shared" ref="G21:Q21" si="29">G20/G8</f>
        <v>-5.128205128205128E-2</v>
      </c>
      <c r="H21" s="17">
        <f t="shared" si="29"/>
        <v>-7.7746301542335541E-2</v>
      </c>
      <c r="I21" s="17">
        <f t="shared" si="29"/>
        <v>9.5323205242776286E-3</v>
      </c>
      <c r="J21" s="17">
        <f t="shared" si="29"/>
        <v>-2.0430400435848543E-2</v>
      </c>
      <c r="K21" s="17">
        <f t="shared" si="29"/>
        <v>4.6204620462046202E-2</v>
      </c>
      <c r="L21" s="17">
        <f t="shared" si="29"/>
        <v>6.9871289729445757E-2</v>
      </c>
      <c r="M21" s="17">
        <f t="shared" si="29"/>
        <v>0.11384152457372117</v>
      </c>
      <c r="N21" s="17">
        <f t="shared" si="29"/>
        <v>0.11244695898161244</v>
      </c>
      <c r="O21" s="17">
        <f t="shared" si="29"/>
        <v>0.12147971360381861</v>
      </c>
      <c r="P21" s="17">
        <f t="shared" si="29"/>
        <v>9.6828046744574292E-2</v>
      </c>
      <c r="Q21" s="17">
        <f t="shared" si="29"/>
        <v>0.13623595505617977</v>
      </c>
      <c r="R21" s="27"/>
      <c r="S21" s="17">
        <f t="shared" ref="S21:Z21" si="30">S20/S8</f>
        <v>-3.3668000301955159E-2</v>
      </c>
      <c r="T21" s="17">
        <f t="shared" si="30"/>
        <v>-8.8143920236977095E-3</v>
      </c>
      <c r="U21" s="17">
        <f t="shared" si="30"/>
        <v>2.7019556354087485E-2</v>
      </c>
      <c r="V21" s="17">
        <f t="shared" si="30"/>
        <v>5.3833929280889946E-2</v>
      </c>
      <c r="W21" s="17">
        <f t="shared" si="30"/>
        <v>8.7092451987494421E-2</v>
      </c>
      <c r="X21" s="17">
        <f t="shared" si="30"/>
        <v>0.10513341960929315</v>
      </c>
      <c r="Y21" s="17">
        <f t="shared" si="30"/>
        <v>0.1111177993137904</v>
      </c>
      <c r="Z21" s="17">
        <f t="shared" si="30"/>
        <v>0.11682547197727407</v>
      </c>
      <c r="AB21" s="126">
        <f>SUM(Z21-V21)*10000</f>
        <v>629.91542696384124</v>
      </c>
    </row>
    <row r="22" spans="2:28" ht="5.0999999999999996" customHeight="1">
      <c r="AB22" s="123"/>
    </row>
    <row r="23" spans="2:28" ht="12.75" customHeight="1">
      <c r="B23" s="30" t="s">
        <v>182</v>
      </c>
      <c r="C23" s="140">
        <f>'Historical Financials'!C99+'Historical Financials'!C100</f>
        <v>171</v>
      </c>
      <c r="D23" s="140">
        <f>'Historical Financials'!D99+'Historical Financials'!D100</f>
        <v>158</v>
      </c>
      <c r="E23" s="140">
        <f>'Historical Financials'!E99+'Historical Financials'!E100</f>
        <v>121</v>
      </c>
      <c r="G23" s="140">
        <f>'Historical Financials'!G99+'Historical Financials'!G100</f>
        <v>44</v>
      </c>
      <c r="H23" s="140">
        <f>'Historical Financials'!H99+'Historical Financials'!H100</f>
        <v>44</v>
      </c>
      <c r="I23" s="140">
        <f>'Historical Financials'!I99+'Historical Financials'!I100</f>
        <v>36</v>
      </c>
      <c r="J23" s="140">
        <f>'Historical Financials'!J99+'Historical Financials'!J100</f>
        <v>34</v>
      </c>
      <c r="K23" s="140">
        <f>'Historical Financials'!K99+'Historical Financials'!K100</f>
        <v>31</v>
      </c>
      <c r="L23" s="140">
        <f>'Historical Financials'!L99+'Historical Financials'!L100</f>
        <v>30</v>
      </c>
      <c r="M23" s="140">
        <f>'Historical Financials'!M99+'Historical Financials'!M100</f>
        <v>30</v>
      </c>
      <c r="N23" s="140">
        <f>'Historical Financials'!N99+'Historical Financials'!N100</f>
        <v>30</v>
      </c>
      <c r="O23" s="140">
        <f>'Historical Financials'!O99+'Historical Financials'!O100</f>
        <v>27</v>
      </c>
      <c r="P23" s="140">
        <f>'Historical Financials'!P99+'Historical Financials'!P100</f>
        <v>26</v>
      </c>
      <c r="Q23" s="140">
        <f>'Historical Financials'!Q99+'Historical Financials'!Q100</f>
        <v>24</v>
      </c>
      <c r="S23" s="10">
        <f>SUM(G23:J23)</f>
        <v>158</v>
      </c>
      <c r="T23" s="10">
        <f>SUM(H23:K23)</f>
        <v>145</v>
      </c>
      <c r="U23" s="10">
        <f>SUM(I23:L23)</f>
        <v>131</v>
      </c>
      <c r="V23" s="10">
        <f>SUM(J23:M23)</f>
        <v>125</v>
      </c>
      <c r="W23" s="10">
        <f>SUM(K23:N23)</f>
        <v>121</v>
      </c>
      <c r="X23" s="10">
        <f>SUM(L23:O23)</f>
        <v>117</v>
      </c>
      <c r="Y23" s="10">
        <f>SUM(M23:P23)</f>
        <v>113</v>
      </c>
      <c r="Z23" s="10">
        <f>SUM(N23:Q23)</f>
        <v>107</v>
      </c>
      <c r="AB23" s="124">
        <f>SUM(Z23/V23)-1</f>
        <v>-0.14400000000000002</v>
      </c>
    </row>
    <row r="24" spans="2:28" ht="12.75" customHeight="1">
      <c r="B24" s="25" t="s">
        <v>11</v>
      </c>
      <c r="C24" s="158">
        <f>SUM(C20+SUM(C23:C23))</f>
        <v>-488</v>
      </c>
      <c r="D24" s="158">
        <f>SUM(D20+SUM(D23:D23))</f>
        <v>-288</v>
      </c>
      <c r="E24" s="158">
        <f>SUM(E20+SUM(E23:E23))</f>
        <v>1486</v>
      </c>
      <c r="G24" s="158">
        <f>SUM(G20+SUM(G23:G23))</f>
        <v>-112</v>
      </c>
      <c r="H24" s="158">
        <f>SUM(H20+SUM(H23:H23))</f>
        <v>-203</v>
      </c>
      <c r="I24" s="158">
        <f>SUM(I20+SUM(I23:I23))</f>
        <v>68</v>
      </c>
      <c r="J24" s="158">
        <f>SUM(J20+SUM(J23:J23))</f>
        <v>-41</v>
      </c>
      <c r="K24" s="158">
        <f>SUM(K20+SUM(K23:K23))</f>
        <v>199</v>
      </c>
      <c r="L24" s="158">
        <f>SUM(L20+SUM(L23:L23))</f>
        <v>296</v>
      </c>
      <c r="M24" s="158">
        <f>SUM(M20+SUM(M23:M23))</f>
        <v>484</v>
      </c>
      <c r="N24" s="158">
        <f>SUM(N20+SUM(N23:N23))</f>
        <v>507</v>
      </c>
      <c r="O24" s="158">
        <f>SUM(O20+SUM(O23:O23))</f>
        <v>536</v>
      </c>
      <c r="P24" s="158">
        <f>SUM(P20+SUM(P23:P23))</f>
        <v>432</v>
      </c>
      <c r="Q24" s="158">
        <f>SUM(Q20+SUM(Q23:Q23))</f>
        <v>606</v>
      </c>
      <c r="S24" s="158">
        <f t="shared" ref="S24:U24" si="31">SUM(S20+SUM(S23:S23))</f>
        <v>-288</v>
      </c>
      <c r="T24" s="158">
        <f t="shared" si="31"/>
        <v>23</v>
      </c>
      <c r="U24" s="158">
        <f t="shared" si="31"/>
        <v>522</v>
      </c>
      <c r="V24" s="158">
        <f>SUM(V20+SUM(V23:V23))</f>
        <v>938</v>
      </c>
      <c r="W24" s="158">
        <f>SUM(W20+SUM(W23:W23))</f>
        <v>1486</v>
      </c>
      <c r="X24" s="158">
        <f>SUM(X20+SUM(X23:X23))</f>
        <v>1823</v>
      </c>
      <c r="Y24" s="158">
        <f>SUM(Y20+SUM(Y23:Y23))</f>
        <v>1959</v>
      </c>
      <c r="Z24" s="158">
        <f>SUM(Z20+SUM(Z23:Z23))</f>
        <v>2081</v>
      </c>
      <c r="AB24" s="125">
        <f>SUM(Z24/V24)-1</f>
        <v>1.2185501066098081</v>
      </c>
    </row>
    <row r="25" spans="2:28" ht="12.75" customHeight="1">
      <c r="B25" s="16" t="s">
        <v>31</v>
      </c>
      <c r="C25" s="17">
        <f>C24/C8</f>
        <v>-4.1613370853585741E-2</v>
      </c>
      <c r="D25" s="17">
        <f>D24/D8</f>
        <v>-2.174077149543293E-2</v>
      </c>
      <c r="E25" s="17">
        <f>E24/E8</f>
        <v>9.481273527722836E-2</v>
      </c>
      <c r="G25" s="17">
        <f>G24/G8</f>
        <v>-3.6817882971729124E-2</v>
      </c>
      <c r="H25" s="17">
        <f>H24/H8</f>
        <v>-6.3896757947749447E-2</v>
      </c>
      <c r="I25" s="17">
        <f>I24/I8</f>
        <v>2.0256181114089961E-2</v>
      </c>
      <c r="J25" s="17">
        <f>J24/J8</f>
        <v>-1.1168618904930537E-2</v>
      </c>
      <c r="K25" s="17">
        <f>K24/K8</f>
        <v>5.4730473047304731E-2</v>
      </c>
      <c r="L25" s="17">
        <f>L24/L8</f>
        <v>7.7751510375623847E-2</v>
      </c>
      <c r="M25" s="17">
        <f>M24/M8</f>
        <v>0.1213640922768305</v>
      </c>
      <c r="N25" s="17">
        <f>N24/N8</f>
        <v>0.11951909476661952</v>
      </c>
      <c r="O25" s="17">
        <f>O24/O8</f>
        <v>0.12792362768496421</v>
      </c>
      <c r="P25" s="17">
        <f>P24/P8</f>
        <v>0.1030288576198426</v>
      </c>
      <c r="Q25" s="17">
        <f>Q24/Q8</f>
        <v>0.14185393258426968</v>
      </c>
      <c r="S25" s="17">
        <f>S24/S8</f>
        <v>-2.174077149543293E-2</v>
      </c>
      <c r="T25" s="17">
        <f>T24/T8</f>
        <v>1.6617296438118632E-3</v>
      </c>
      <c r="U25" s="17">
        <f>U24/U8</f>
        <v>3.6072144288577156E-2</v>
      </c>
      <c r="V25" s="17">
        <f>V24/V8</f>
        <v>6.2110978678320751E-2</v>
      </c>
      <c r="W25" s="17">
        <f>W24/W8</f>
        <v>9.481273527722836E-2</v>
      </c>
      <c r="X25" s="17">
        <f>X24/X8</f>
        <v>0.11234362482282616</v>
      </c>
      <c r="Y25" s="17">
        <f>Y24/Y8</f>
        <v>0.1179197014386324</v>
      </c>
      <c r="Z25" s="17">
        <f>Z24/Z8</f>
        <v>0.12315795703379298</v>
      </c>
      <c r="AB25" s="126">
        <f>SUM(Z25-V25)*10000</f>
        <v>610.46978355472231</v>
      </c>
    </row>
    <row r="26" spans="2:28" ht="5.0999999999999996" customHeight="1">
      <c r="AB26" s="123"/>
    </row>
    <row r="27" spans="2:28" ht="12.75" customHeight="1">
      <c r="B27" s="30" t="s">
        <v>32</v>
      </c>
      <c r="C27" s="140">
        <f>'Historical Financials'!C102</f>
        <v>381</v>
      </c>
      <c r="D27" s="140">
        <f>'Historical Financials'!D102</f>
        <v>321</v>
      </c>
      <c r="E27" s="140">
        <f>'Historical Financials'!E102</f>
        <v>267</v>
      </c>
      <c r="G27" s="140">
        <f>'Historical Financials'!G102</f>
        <v>105</v>
      </c>
      <c r="H27" s="140">
        <f>'Historical Financials'!H102</f>
        <v>97</v>
      </c>
      <c r="I27" s="140">
        <f>'Historical Financials'!I102</f>
        <v>85</v>
      </c>
      <c r="J27" s="140">
        <f>'Historical Financials'!J102</f>
        <v>34</v>
      </c>
      <c r="K27" s="140">
        <f>'Historical Financials'!K102</f>
        <v>69</v>
      </c>
      <c r="L27" s="140">
        <f>'Historical Financials'!L102</f>
        <v>81</v>
      </c>
      <c r="M27" s="140">
        <f>'Historical Financials'!M102</f>
        <v>63</v>
      </c>
      <c r="N27" s="140">
        <f>'Historical Financials'!N102</f>
        <v>54</v>
      </c>
      <c r="O27" s="140">
        <f>'Historical Financials'!O102</f>
        <v>42</v>
      </c>
      <c r="P27" s="140">
        <f>'Historical Financials'!P102</f>
        <v>73</v>
      </c>
      <c r="Q27" s="140">
        <f>'Historical Financials'!Q102</f>
        <v>75</v>
      </c>
      <c r="S27" s="10">
        <f>SUM(G27:J27)</f>
        <v>321</v>
      </c>
      <c r="T27" s="10">
        <f>SUM(H27:K27)</f>
        <v>285</v>
      </c>
      <c r="U27" s="10">
        <f>SUM(I27:L27)</f>
        <v>269</v>
      </c>
      <c r="V27" s="141">
        <f>SUM(J27:M27)</f>
        <v>247</v>
      </c>
      <c r="W27" s="141">
        <f>SUM(K27:N27)</f>
        <v>267</v>
      </c>
      <c r="X27" s="141">
        <f>SUM(L27:O27)</f>
        <v>240</v>
      </c>
      <c r="Y27" s="141">
        <f>SUM(M27:P27)</f>
        <v>232</v>
      </c>
      <c r="Z27" s="141">
        <f>SUM(N27:Q27)</f>
        <v>244</v>
      </c>
      <c r="AB27" s="124">
        <f>SUM(Z27/V27)-1</f>
        <v>-1.2145748987854255E-2</v>
      </c>
    </row>
    <row r="28" spans="2:28" ht="12.75" customHeight="1">
      <c r="B28" s="30" t="s">
        <v>183</v>
      </c>
      <c r="C28" s="140">
        <f>'Historical Financials'!C101</f>
        <v>0</v>
      </c>
      <c r="D28" s="140">
        <f>'Historical Financials'!D101</f>
        <v>123</v>
      </c>
      <c r="E28" s="140">
        <f>'Historical Financials'!E101</f>
        <v>43</v>
      </c>
      <c r="G28" s="140">
        <f>'Historical Financials'!G101</f>
        <v>0</v>
      </c>
      <c r="H28" s="140">
        <f>'Historical Financials'!H101</f>
        <v>90</v>
      </c>
      <c r="I28" s="140">
        <f>'Historical Financials'!I101</f>
        <v>0</v>
      </c>
      <c r="J28" s="140">
        <f>'Historical Financials'!J101</f>
        <v>33</v>
      </c>
      <c r="K28" s="140">
        <f>'Historical Financials'!K101</f>
        <v>4</v>
      </c>
      <c r="L28" s="140">
        <f>'Historical Financials'!L101</f>
        <v>14</v>
      </c>
      <c r="M28" s="140">
        <f>'Historical Financials'!M101</f>
        <v>0</v>
      </c>
      <c r="N28" s="140">
        <f>'Historical Financials'!N101</f>
        <v>25</v>
      </c>
      <c r="O28" s="140">
        <f>'Historical Financials'!O101</f>
        <v>2</v>
      </c>
      <c r="P28" s="140">
        <f>'Historical Financials'!P101</f>
        <v>1</v>
      </c>
      <c r="Q28" s="140">
        <f>'Historical Financials'!Q101</f>
        <v>5</v>
      </c>
      <c r="S28" s="10">
        <f>SUM(G28:J28)</f>
        <v>123</v>
      </c>
      <c r="T28" s="10">
        <f>SUM(H28:K28)</f>
        <v>127</v>
      </c>
      <c r="U28" s="10">
        <f>SUM(I28:L28)</f>
        <v>51</v>
      </c>
      <c r="V28" s="141">
        <f>SUM(J28:M28)</f>
        <v>51</v>
      </c>
      <c r="W28" s="141">
        <f>SUM(K28:N28)</f>
        <v>43</v>
      </c>
      <c r="X28" s="141">
        <f>SUM(L28:O28)</f>
        <v>41</v>
      </c>
      <c r="Y28" s="141">
        <f>SUM(M28:P28)</f>
        <v>28</v>
      </c>
      <c r="Z28" s="141">
        <f>SUM(N28:Q28)</f>
        <v>33</v>
      </c>
      <c r="AB28" s="124"/>
    </row>
    <row r="29" spans="2:28" ht="12.75" customHeight="1">
      <c r="B29" s="13" t="s">
        <v>33</v>
      </c>
      <c r="C29" s="157">
        <f t="shared" ref="C29:E29" si="32">+SUM(C24+SUM(C27:C28))</f>
        <v>-107</v>
      </c>
      <c r="D29" s="157">
        <f t="shared" si="32"/>
        <v>156</v>
      </c>
      <c r="E29" s="157">
        <f t="shared" si="32"/>
        <v>1796</v>
      </c>
      <c r="F29" s="10"/>
      <c r="G29" s="157">
        <f t="shared" ref="G29:P29" si="33">+SUM(G24+SUM(G27:G28))</f>
        <v>-7</v>
      </c>
      <c r="H29" s="157">
        <f t="shared" si="33"/>
        <v>-16</v>
      </c>
      <c r="I29" s="157">
        <f t="shared" si="33"/>
        <v>153</v>
      </c>
      <c r="J29" s="157">
        <f t="shared" si="33"/>
        <v>26</v>
      </c>
      <c r="K29" s="157">
        <f t="shared" si="33"/>
        <v>272</v>
      </c>
      <c r="L29" s="157">
        <f t="shared" si="33"/>
        <v>391</v>
      </c>
      <c r="M29" s="157">
        <f t="shared" si="33"/>
        <v>547</v>
      </c>
      <c r="N29" s="157">
        <f t="shared" si="33"/>
        <v>586</v>
      </c>
      <c r="O29" s="157">
        <f t="shared" si="33"/>
        <v>580</v>
      </c>
      <c r="P29" s="157">
        <f t="shared" si="33"/>
        <v>506</v>
      </c>
      <c r="Q29" s="157">
        <f>+SUM(Q24+SUM(Q27:Q28))</f>
        <v>686</v>
      </c>
      <c r="S29" s="157">
        <f t="shared" ref="S29:Z29" si="34">+SUM(S24+SUM(S27:S28))</f>
        <v>156</v>
      </c>
      <c r="T29" s="157">
        <f t="shared" si="34"/>
        <v>435</v>
      </c>
      <c r="U29" s="157">
        <f t="shared" si="34"/>
        <v>842</v>
      </c>
      <c r="V29" s="157">
        <f t="shared" si="34"/>
        <v>1236</v>
      </c>
      <c r="W29" s="157">
        <f t="shared" si="34"/>
        <v>1796</v>
      </c>
      <c r="X29" s="157">
        <f t="shared" si="34"/>
        <v>2104</v>
      </c>
      <c r="Y29" s="157">
        <f t="shared" si="34"/>
        <v>2219</v>
      </c>
      <c r="Z29" s="157">
        <f t="shared" si="34"/>
        <v>2358</v>
      </c>
      <c r="AB29" s="125">
        <f>SUM(Z29/V29)-1</f>
        <v>0.90776699029126218</v>
      </c>
    </row>
    <row r="30" spans="2:28" ht="12.75" customHeight="1">
      <c r="B30" s="16" t="s">
        <v>34</v>
      </c>
      <c r="C30" s="17">
        <f>C29/C8</f>
        <v>-9.1242431994542506E-3</v>
      </c>
      <c r="D30" s="17">
        <f>D29/D8</f>
        <v>1.1776251226692836E-2</v>
      </c>
      <c r="E30" s="17">
        <f>E29/E8</f>
        <v>0.11459197345753844</v>
      </c>
      <c r="G30" s="17">
        <f>G29/G8</f>
        <v>-2.3011176857330702E-3</v>
      </c>
      <c r="H30" s="17">
        <f>H29/H8</f>
        <v>-5.0361976707585772E-3</v>
      </c>
      <c r="I30" s="17">
        <f>I29/I8</f>
        <v>4.5576407506702415E-2</v>
      </c>
      <c r="J30" s="17">
        <f>J29/J8</f>
        <v>7.082538817760828E-3</v>
      </c>
      <c r="K30" s="17">
        <f>K29/K8</f>
        <v>7.4807480748074806E-2</v>
      </c>
      <c r="L30" s="17">
        <f>L29/L8</f>
        <v>0.10270554242185448</v>
      </c>
      <c r="M30" s="17">
        <f>M29/M8</f>
        <v>0.13716148445336007</v>
      </c>
      <c r="N30" s="17">
        <f>N29/N8</f>
        <v>0.13814238566713813</v>
      </c>
      <c r="O30" s="17">
        <f>O29/O8</f>
        <v>0.13842482100238662</v>
      </c>
      <c r="P30" s="17">
        <f>P29/P8</f>
        <v>0.12067731934176007</v>
      </c>
      <c r="Q30" s="17">
        <f>Q29/Q8</f>
        <v>0.16058052434456929</v>
      </c>
      <c r="S30" s="17">
        <f>S29/S8</f>
        <v>1.1776251226692836E-2</v>
      </c>
      <c r="T30" s="17">
        <f>T29/T8</f>
        <v>3.142836500252872E-2</v>
      </c>
      <c r="U30" s="17">
        <f>U29/U8</f>
        <v>5.8185336189620622E-2</v>
      </c>
      <c r="V30" s="17">
        <f>V29/V8</f>
        <v>8.1843464441795785E-2</v>
      </c>
      <c r="W30" s="17">
        <f>W29/W8</f>
        <v>0.11459197345753844</v>
      </c>
      <c r="X30" s="17">
        <f>X29/X8</f>
        <v>0.1296604424724225</v>
      </c>
      <c r="Y30" s="17">
        <f>Y29/Y8</f>
        <v>0.13357009570818035</v>
      </c>
      <c r="Z30" s="17">
        <f>Z29/Z8</f>
        <v>0.13955139965674379</v>
      </c>
      <c r="AB30" s="126">
        <f>SUM(Z30-V30)*10000</f>
        <v>577.07935214948009</v>
      </c>
    </row>
    <row r="31" spans="2:28" ht="5.0999999999999996" customHeight="1">
      <c r="AB31" s="123"/>
    </row>
    <row r="32" spans="2:28" ht="12.75" customHeight="1">
      <c r="B32" s="23" t="s">
        <v>35</v>
      </c>
      <c r="C32" s="140">
        <f>'Historical Financials'!C119</f>
        <v>-25</v>
      </c>
      <c r="D32" s="140">
        <f>'Historical Financials'!D119</f>
        <v>-6</v>
      </c>
      <c r="E32" s="140">
        <f>'Historical Financials'!E119</f>
        <v>-17</v>
      </c>
      <c r="G32" s="140">
        <f>'Historical Financials'!G119</f>
        <v>-2</v>
      </c>
      <c r="H32" s="140">
        <f>'Historical Financials'!H119</f>
        <v>-2</v>
      </c>
      <c r="I32" s="140">
        <f>'Historical Financials'!I119</f>
        <v>-1</v>
      </c>
      <c r="J32" s="140">
        <f>'Historical Financials'!J119</f>
        <v>-1</v>
      </c>
      <c r="K32" s="140">
        <f>'Historical Financials'!K119</f>
        <v>-5</v>
      </c>
      <c r="L32" s="140">
        <f>'Historical Financials'!L119</f>
        <v>-2</v>
      </c>
      <c r="M32" s="140">
        <f>'Historical Financials'!M119</f>
        <v>-4</v>
      </c>
      <c r="N32" s="140">
        <f>'Historical Financials'!N119</f>
        <v>-6</v>
      </c>
      <c r="O32" s="140">
        <f>'Historical Financials'!O119</f>
        <v>-6</v>
      </c>
      <c r="P32" s="140">
        <f>'Historical Financials'!P119</f>
        <v>-10</v>
      </c>
      <c r="Q32" s="140">
        <f>'Historical Financials'!Q119</f>
        <v>-23</v>
      </c>
      <c r="S32" s="10">
        <f>SUM(G32:J32)</f>
        <v>-6</v>
      </c>
      <c r="T32" s="10">
        <f>SUM(H32:K32)</f>
        <v>-9</v>
      </c>
      <c r="U32" s="10">
        <f>SUM(I32:L32)</f>
        <v>-9</v>
      </c>
      <c r="V32" s="141">
        <f>SUM(J32:M32)</f>
        <v>-12</v>
      </c>
      <c r="W32" s="141">
        <f>SUM(K32:N32)</f>
        <v>-17</v>
      </c>
      <c r="X32" s="141">
        <f>SUM(L32:O32)</f>
        <v>-18</v>
      </c>
      <c r="Y32" s="141">
        <f>SUM(M32:P32)</f>
        <v>-26</v>
      </c>
      <c r="Z32" s="141">
        <f>SUM(N32:Q32)</f>
        <v>-45</v>
      </c>
      <c r="AB32" s="124">
        <f>SUM(Z32/V32)-1</f>
        <v>2.75</v>
      </c>
    </row>
    <row r="33" spans="1:28" ht="12.75" customHeight="1">
      <c r="B33" s="23" t="s">
        <v>36</v>
      </c>
      <c r="C33" s="140">
        <f>'Historical Financials'!C108</f>
        <v>-43</v>
      </c>
      <c r="D33" s="140">
        <f>'Historical Financials'!D108</f>
        <v>-43</v>
      </c>
      <c r="E33" s="140">
        <f>'Historical Financials'!E108</f>
        <v>-53</v>
      </c>
      <c r="G33" s="140">
        <f>'Historical Financials'!G108</f>
        <v>-10</v>
      </c>
      <c r="H33" s="140">
        <f>'Historical Financials'!H108</f>
        <v>-15</v>
      </c>
      <c r="I33" s="140">
        <f>'Historical Financials'!I108</f>
        <v>-7</v>
      </c>
      <c r="J33" s="140">
        <f>'Historical Financials'!J108</f>
        <v>-11</v>
      </c>
      <c r="K33" s="140">
        <f>'Historical Financials'!K108</f>
        <v>-5</v>
      </c>
      <c r="L33" s="140">
        <f>'Historical Financials'!L108</f>
        <v>-23</v>
      </c>
      <c r="M33" s="140">
        <f>'Historical Financials'!M108</f>
        <v>-15</v>
      </c>
      <c r="N33" s="140">
        <f>'Historical Financials'!N108</f>
        <v>-10</v>
      </c>
      <c r="O33" s="140">
        <f>'Historical Financials'!O108</f>
        <v>-19</v>
      </c>
      <c r="P33" s="140">
        <f>'Historical Financials'!P108</f>
        <v>-58</v>
      </c>
      <c r="Q33" s="140">
        <f>'Historical Financials'!Q108</f>
        <v>-5</v>
      </c>
      <c r="S33" s="10">
        <f>SUM(G33:J33)</f>
        <v>-43</v>
      </c>
      <c r="T33" s="10">
        <f>SUM(H33:K33)</f>
        <v>-38</v>
      </c>
      <c r="U33" s="10">
        <f>SUM(I33:L33)</f>
        <v>-46</v>
      </c>
      <c r="V33" s="141">
        <f>SUM(J33:M33)</f>
        <v>-54</v>
      </c>
      <c r="W33" s="141">
        <f>SUM(K33:N33)</f>
        <v>-53</v>
      </c>
      <c r="X33" s="141">
        <f>SUM(L33:O33)</f>
        <v>-67</v>
      </c>
      <c r="Y33" s="141">
        <f>SUM(M33:P33)</f>
        <v>-102</v>
      </c>
      <c r="Z33" s="141">
        <f>SUM(N33:Q33)</f>
        <v>-92</v>
      </c>
      <c r="AB33" s="124">
        <f>SUM(Z33/V33)-1</f>
        <v>0.70370370370370372</v>
      </c>
    </row>
    <row r="34" spans="1:28" ht="12.75" customHeight="1">
      <c r="B34" s="23" t="s">
        <v>72</v>
      </c>
      <c r="C34" s="140">
        <f>'Historical Financials'!C106</f>
        <v>-53</v>
      </c>
      <c r="D34" s="140">
        <f>'Historical Financials'!D106</f>
        <v>-38</v>
      </c>
      <c r="E34" s="140">
        <f>'Historical Financials'!E106</f>
        <v>-36</v>
      </c>
      <c r="G34" s="140">
        <f>'Historical Financials'!G106</f>
        <v>-10</v>
      </c>
      <c r="H34" s="140">
        <f>'Historical Financials'!H106</f>
        <v>-10</v>
      </c>
      <c r="I34" s="140">
        <f>'Historical Financials'!I106</f>
        <v>-9</v>
      </c>
      <c r="J34" s="140">
        <f>'Historical Financials'!J106</f>
        <v>-9</v>
      </c>
      <c r="K34" s="140">
        <f>'Historical Financials'!K106</f>
        <v>-9</v>
      </c>
      <c r="L34" s="140">
        <f>'Historical Financials'!L106</f>
        <v>-9</v>
      </c>
      <c r="M34" s="140">
        <f>'Historical Financials'!M106</f>
        <v>-9</v>
      </c>
      <c r="N34" s="140">
        <f>'Historical Financials'!N106</f>
        <v>-9</v>
      </c>
      <c r="O34" s="140">
        <f>'Historical Financials'!O106</f>
        <v>-13</v>
      </c>
      <c r="P34" s="140">
        <f>'Historical Financials'!P106</f>
        <v>-6</v>
      </c>
      <c r="Q34" s="140">
        <f>'Historical Financials'!Q106</f>
        <v>-11</v>
      </c>
      <c r="S34" s="10">
        <f>SUM(G34:J34)</f>
        <v>-38</v>
      </c>
      <c r="T34" s="10">
        <f>SUM(H34:K34)</f>
        <v>-37</v>
      </c>
      <c r="U34" s="10">
        <f>SUM(I34:L34)</f>
        <v>-36</v>
      </c>
      <c r="V34" s="141">
        <f>SUM(J34:M34)</f>
        <v>-36</v>
      </c>
      <c r="W34" s="141">
        <f>SUM(K34:N34)</f>
        <v>-36</v>
      </c>
      <c r="X34" s="141">
        <f>SUM(L34:O34)</f>
        <v>-40</v>
      </c>
      <c r="Y34" s="141">
        <f>SUM(M34:P34)</f>
        <v>-37</v>
      </c>
      <c r="Z34" s="141">
        <f>SUM(N34:Q34)</f>
        <v>-39</v>
      </c>
      <c r="AB34" s="124">
        <f>SUM(Z34/V34)-1</f>
        <v>8.3333333333333259E-2</v>
      </c>
    </row>
    <row r="35" spans="1:28" ht="12.75" customHeight="1">
      <c r="B35" s="23" t="s">
        <v>37</v>
      </c>
      <c r="C35" s="140">
        <f>SUM('Historical Financials'!C112:C115)</f>
        <v>191</v>
      </c>
      <c r="D35" s="140">
        <f>SUM('Historical Financials'!D112:D115)</f>
        <v>464</v>
      </c>
      <c r="E35" s="140">
        <f>SUM('Historical Financials'!E112:E115)</f>
        <v>376</v>
      </c>
      <c r="G35" s="140">
        <f>SUM('Historical Financials'!G112:G115)</f>
        <v>68</v>
      </c>
      <c r="H35" s="140">
        <f>SUM('Historical Financials'!H112:H115)</f>
        <v>-4</v>
      </c>
      <c r="I35" s="140">
        <f>SUM('Historical Financials'!I112:I115)</f>
        <v>47</v>
      </c>
      <c r="J35" s="140">
        <f>SUM('Historical Financials'!J112:J115)</f>
        <v>353</v>
      </c>
      <c r="K35" s="140">
        <f>SUM('Historical Financials'!K112:K115)</f>
        <v>-84</v>
      </c>
      <c r="L35" s="140">
        <f>SUM('Historical Financials'!L112:L115)</f>
        <v>93</v>
      </c>
      <c r="M35" s="140">
        <f>SUM('Historical Financials'!M112:M115)</f>
        <v>115</v>
      </c>
      <c r="N35" s="140">
        <f>SUM('Historical Financials'!N112:N115)</f>
        <v>252</v>
      </c>
      <c r="O35" s="140">
        <f>SUM('Historical Financials'!O112:O115)</f>
        <v>-79</v>
      </c>
      <c r="P35" s="140">
        <f>SUM('Historical Financials'!P112:P115)</f>
        <v>202</v>
      </c>
      <c r="Q35" s="140">
        <f>SUM('Historical Financials'!Q112:Q115)</f>
        <v>101</v>
      </c>
      <c r="S35" s="10">
        <f>SUM(G35:J35)</f>
        <v>464</v>
      </c>
      <c r="T35" s="10">
        <f>SUM(H35:K35)</f>
        <v>312</v>
      </c>
      <c r="U35" s="10">
        <f>SUM(I35:L35)</f>
        <v>409</v>
      </c>
      <c r="V35" s="141">
        <f>SUM(J35:M35)</f>
        <v>477</v>
      </c>
      <c r="W35" s="141">
        <f>SUM(K35:N35)</f>
        <v>376</v>
      </c>
      <c r="X35" s="141">
        <f>SUM(L35:O35)</f>
        <v>381</v>
      </c>
      <c r="Y35" s="141">
        <f>SUM(M35:P35)</f>
        <v>490</v>
      </c>
      <c r="Z35" s="141">
        <f>SUM(N35:Q35)</f>
        <v>476</v>
      </c>
      <c r="AB35" s="124">
        <f>SUM(Z35/V35)-1</f>
        <v>-2.0964360587002462E-3</v>
      </c>
    </row>
    <row r="36" spans="1:28" ht="12.75" customHeight="1">
      <c r="B36" s="13" t="s">
        <v>38</v>
      </c>
      <c r="C36" s="157">
        <f>SUM(C29+SUM(C32:C35))</f>
        <v>-37</v>
      </c>
      <c r="D36" s="157">
        <f>SUM(D29+SUM(D32:D35))</f>
        <v>533</v>
      </c>
      <c r="E36" s="157">
        <f>SUM(E29+SUM(E32:E35))</f>
        <v>2066</v>
      </c>
      <c r="F36" s="10"/>
      <c r="G36" s="157">
        <f t="shared" ref="G36:P36" si="35">SUM(G29+SUM(G32:G35))</f>
        <v>39</v>
      </c>
      <c r="H36" s="157">
        <f t="shared" si="35"/>
        <v>-47</v>
      </c>
      <c r="I36" s="157">
        <f t="shared" si="35"/>
        <v>183</v>
      </c>
      <c r="J36" s="157">
        <f t="shared" si="35"/>
        <v>358</v>
      </c>
      <c r="K36" s="157">
        <f t="shared" si="35"/>
        <v>169</v>
      </c>
      <c r="L36" s="157">
        <f t="shared" si="35"/>
        <v>450</v>
      </c>
      <c r="M36" s="157">
        <f t="shared" si="35"/>
        <v>634</v>
      </c>
      <c r="N36" s="157">
        <f t="shared" si="35"/>
        <v>813</v>
      </c>
      <c r="O36" s="157">
        <f t="shared" si="35"/>
        <v>463</v>
      </c>
      <c r="P36" s="157">
        <f t="shared" si="35"/>
        <v>634</v>
      </c>
      <c r="Q36" s="157">
        <f>SUM(Q29+SUM(Q32:Q35))</f>
        <v>748</v>
      </c>
      <c r="R36" s="5"/>
      <c r="S36" s="157">
        <f t="shared" ref="S36:X36" si="36">SUM(S29+SUM(S32:S35))</f>
        <v>533</v>
      </c>
      <c r="T36" s="157">
        <f t="shared" si="36"/>
        <v>663</v>
      </c>
      <c r="U36" s="157">
        <f t="shared" si="36"/>
        <v>1160</v>
      </c>
      <c r="V36" s="157">
        <f t="shared" si="36"/>
        <v>1611</v>
      </c>
      <c r="W36" s="157">
        <f t="shared" si="36"/>
        <v>2066</v>
      </c>
      <c r="X36" s="157">
        <f t="shared" si="36"/>
        <v>2360</v>
      </c>
      <c r="Y36" s="157">
        <f>SUM(Y29+SUM(Y32:Y35))</f>
        <v>2544</v>
      </c>
      <c r="Z36" s="157">
        <f>SUM(Z29+SUM(Z32:Z35))</f>
        <v>2658</v>
      </c>
      <c r="AB36" s="125">
        <f>SUM(Z36/V36)-1</f>
        <v>0.64990689013035374</v>
      </c>
    </row>
    <row r="37" spans="1:28" ht="5.0999999999999996" customHeight="1"/>
    <row r="38" spans="1:28" ht="12.75" customHeight="1">
      <c r="B38" s="30" t="s">
        <v>101</v>
      </c>
      <c r="C38" s="140">
        <f>SUM('Historical Financials'!C121:C122)</f>
        <v>-89</v>
      </c>
      <c r="D38" s="140">
        <f>SUM('Historical Financials'!D121:D122)</f>
        <v>-211</v>
      </c>
      <c r="E38" s="140">
        <f>SUM('Historical Financials'!E121:E122)</f>
        <v>-1471</v>
      </c>
      <c r="F38" s="31"/>
      <c r="G38" s="140">
        <f>SUM('Historical Financials'!G121:G122)</f>
        <v>-126</v>
      </c>
      <c r="H38" s="140">
        <f>SUM('Historical Financials'!H121:H122)</f>
        <v>127</v>
      </c>
      <c r="I38" s="140">
        <f>SUM('Historical Financials'!I121:I122)</f>
        <v>-205</v>
      </c>
      <c r="J38" s="140">
        <f>SUM('Historical Financials'!J121:J122)</f>
        <v>-7</v>
      </c>
      <c r="K38" s="140">
        <f>SUM('Historical Financials'!K121:K122)</f>
        <v>-98</v>
      </c>
      <c r="L38" s="140">
        <f>SUM('Historical Financials'!L121:L122)</f>
        <v>-106</v>
      </c>
      <c r="M38" s="140">
        <f>SUM('Historical Financials'!M121:M122)</f>
        <v>-75</v>
      </c>
      <c r="N38" s="140">
        <f>SUM('Historical Financials'!N121:N122)</f>
        <v>-1192</v>
      </c>
      <c r="O38" s="140">
        <f>SUM('Historical Financials'!O121:O122)</f>
        <v>-299</v>
      </c>
      <c r="P38" s="140">
        <f>SUM('Historical Financials'!P121:P122)</f>
        <v>-415</v>
      </c>
      <c r="Q38" s="140">
        <f>SUM('Historical Financials'!Q121:Q122)</f>
        <v>-414</v>
      </c>
      <c r="S38" s="141">
        <f t="shared" ref="S38:U42" si="37">SUM(G38:J38)</f>
        <v>-211</v>
      </c>
      <c r="T38" s="141">
        <f t="shared" si="37"/>
        <v>-183</v>
      </c>
      <c r="U38" s="141">
        <f t="shared" si="37"/>
        <v>-416</v>
      </c>
      <c r="V38" s="141">
        <f>SUM(J38:M38)</f>
        <v>-286</v>
      </c>
      <c r="W38" s="141">
        <f>SUM(K38:N38)</f>
        <v>-1471</v>
      </c>
      <c r="X38" s="141">
        <f>SUM(L38:O38)</f>
        <v>-1672</v>
      </c>
      <c r="Y38" s="141">
        <f>SUM(M38:P38)</f>
        <v>-1981</v>
      </c>
      <c r="Z38" s="141">
        <f>SUM(N38:Q38)</f>
        <v>-2320</v>
      </c>
    </row>
    <row r="39" spans="1:28" ht="12.75" customHeight="1">
      <c r="B39" s="30" t="s">
        <v>92</v>
      </c>
      <c r="C39" s="140">
        <f>'Historical Financials'!C125</f>
        <v>-295</v>
      </c>
      <c r="D39" s="140">
        <f>'Historical Financials'!D125</f>
        <v>0</v>
      </c>
      <c r="E39" s="140">
        <f>'Historical Financials'!E125</f>
        <v>0</v>
      </c>
      <c r="F39" s="31"/>
      <c r="G39" s="140">
        <f>'Historical Financials'!G125</f>
        <v>0</v>
      </c>
      <c r="H39" s="140">
        <f>'Historical Financials'!H125</f>
        <v>0</v>
      </c>
      <c r="I39" s="140">
        <f>'Historical Financials'!I125</f>
        <v>0</v>
      </c>
      <c r="J39" s="140">
        <f>'Historical Financials'!J125</f>
        <v>0</v>
      </c>
      <c r="K39" s="140">
        <f>'Historical Financials'!K125</f>
        <v>0</v>
      </c>
      <c r="L39" s="140">
        <f>'Historical Financials'!L125</f>
        <v>0</v>
      </c>
      <c r="M39" s="140">
        <f>'Historical Financials'!M125</f>
        <v>0</v>
      </c>
      <c r="N39" s="140">
        <f>'Historical Financials'!N125</f>
        <v>0</v>
      </c>
      <c r="O39" s="140">
        <f>'Historical Financials'!O125</f>
        <v>0</v>
      </c>
      <c r="P39" s="140">
        <f>'Historical Financials'!P125</f>
        <v>0</v>
      </c>
      <c r="Q39" s="140">
        <f>'Historical Financials'!Q125</f>
        <v>0</v>
      </c>
      <c r="S39" s="141">
        <f t="shared" si="37"/>
        <v>0</v>
      </c>
      <c r="T39" s="141">
        <f t="shared" si="37"/>
        <v>0</v>
      </c>
      <c r="U39" s="141">
        <f t="shared" si="37"/>
        <v>0</v>
      </c>
      <c r="V39" s="141">
        <f>SUM(J39:M39)</f>
        <v>0</v>
      </c>
      <c r="W39" s="141">
        <f>SUM(K39:N39)</f>
        <v>0</v>
      </c>
      <c r="X39" s="141">
        <f>SUM(L39:O39)</f>
        <v>0</v>
      </c>
      <c r="Y39" s="141">
        <f>SUM(M39:P39)</f>
        <v>0</v>
      </c>
      <c r="Z39" s="141">
        <f>SUM(N39:Q39)</f>
        <v>0</v>
      </c>
    </row>
    <row r="40" spans="1:28" ht="12.75" customHeight="1">
      <c r="B40" s="30" t="s">
        <v>102</v>
      </c>
      <c r="C40" s="140">
        <f>'Historical Financials'!C130+'Historical Financials'!C131+'Historical Financials'!C134</f>
        <v>1</v>
      </c>
      <c r="D40" s="140">
        <f>'Historical Financials'!D130+'Historical Financials'!D131+'Historical Financials'!D134</f>
        <v>298</v>
      </c>
      <c r="E40" s="140">
        <f>'Historical Financials'!E130+'Historical Financials'!E131+'Historical Financials'!E134</f>
        <v>798</v>
      </c>
      <c r="F40" s="31"/>
      <c r="G40" s="140">
        <f>'Historical Financials'!G130+'Historical Financials'!G131+'Historical Financials'!G134</f>
        <v>62</v>
      </c>
      <c r="H40" s="140">
        <f>'Historical Financials'!H130+'Historical Financials'!H131+'Historical Financials'!H134</f>
        <v>19</v>
      </c>
      <c r="I40" s="140">
        <f>'Historical Financials'!I130+'Historical Financials'!I131+'Historical Financials'!I134</f>
        <v>12</v>
      </c>
      <c r="J40" s="140">
        <f>'Historical Financials'!J130+'Historical Financials'!J131+'Historical Financials'!J134</f>
        <v>205</v>
      </c>
      <c r="K40" s="140">
        <f>'Historical Financials'!K130+'Historical Financials'!K131+'Historical Financials'!K134</f>
        <v>217</v>
      </c>
      <c r="L40" s="140">
        <f>'Historical Financials'!L130+'Historical Financials'!L131+'Historical Financials'!L134</f>
        <v>208</v>
      </c>
      <c r="M40" s="140">
        <f>'Historical Financials'!M130+'Historical Financials'!M131+'Historical Financials'!M134</f>
        <v>117</v>
      </c>
      <c r="N40" s="140">
        <f>'Historical Financials'!N130+'Historical Financials'!N131+'Historical Financials'!N134</f>
        <v>256</v>
      </c>
      <c r="O40" s="140">
        <f>'Historical Financials'!O130+'Historical Financials'!O131+'Historical Financials'!O134</f>
        <v>148</v>
      </c>
      <c r="P40" s="140">
        <f>'Historical Financials'!P130+'Historical Financials'!P131+'Historical Financials'!P134</f>
        <v>33</v>
      </c>
      <c r="Q40" s="140">
        <f>'Historical Financials'!Q130+'Historical Financials'!Q131+'Historical Financials'!Q134</f>
        <v>-85</v>
      </c>
      <c r="S40" s="141">
        <f t="shared" si="37"/>
        <v>298</v>
      </c>
      <c r="T40" s="141">
        <f t="shared" si="37"/>
        <v>453</v>
      </c>
      <c r="U40" s="141">
        <f t="shared" si="37"/>
        <v>642</v>
      </c>
      <c r="V40" s="141">
        <f>SUM(J40:M40)</f>
        <v>747</v>
      </c>
      <c r="W40" s="141">
        <f>SUM(K40:N40)</f>
        <v>798</v>
      </c>
      <c r="X40" s="141">
        <f>SUM(L40:O40)</f>
        <v>729</v>
      </c>
      <c r="Y40" s="141">
        <f>SUM(M40:P40)</f>
        <v>554</v>
      </c>
      <c r="Z40" s="141">
        <f>SUM(N40:Q40)</f>
        <v>352</v>
      </c>
    </row>
    <row r="41" spans="1:28" ht="12.75" customHeight="1">
      <c r="B41" s="30" t="s">
        <v>184</v>
      </c>
      <c r="C41" s="140">
        <f>'Historical Financials'!C132+'Historical Financials'!C133</f>
        <v>-41</v>
      </c>
      <c r="D41" s="140">
        <f>'Historical Financials'!D132+'Historical Financials'!D133</f>
        <v>-64</v>
      </c>
      <c r="E41" s="140">
        <f>'Historical Financials'!E132+'Historical Financials'!E133</f>
        <v>-69</v>
      </c>
      <c r="F41" s="31"/>
      <c r="G41" s="140">
        <f>'Historical Financials'!G132+'Historical Financials'!G133</f>
        <v>-13</v>
      </c>
      <c r="H41" s="140">
        <f>'Historical Financials'!H132+'Historical Financials'!H133</f>
        <v>-27</v>
      </c>
      <c r="I41" s="140">
        <f>'Historical Financials'!I132+'Historical Financials'!I133</f>
        <v>-13</v>
      </c>
      <c r="J41" s="140">
        <f>'Historical Financials'!J132+'Historical Financials'!J133</f>
        <v>-11</v>
      </c>
      <c r="K41" s="140">
        <f>'Historical Financials'!K132+'Historical Financials'!K133</f>
        <v>-15</v>
      </c>
      <c r="L41" s="140">
        <f>'Historical Financials'!L132+'Historical Financials'!L133</f>
        <v>-24</v>
      </c>
      <c r="M41" s="140">
        <f>'Historical Financials'!M132+'Historical Financials'!M133</f>
        <v>-18</v>
      </c>
      <c r="N41" s="140">
        <f>'Historical Financials'!N132+'Historical Financials'!N133</f>
        <v>-12</v>
      </c>
      <c r="O41" s="140">
        <f>'Historical Financials'!O132+'Historical Financials'!O133</f>
        <v>-22</v>
      </c>
      <c r="P41" s="140">
        <f>'Historical Financials'!P132+'Historical Financials'!P133</f>
        <v>-22</v>
      </c>
      <c r="Q41" s="140">
        <f>'Historical Financials'!Q132+'Historical Financials'!Q133</f>
        <v>-15</v>
      </c>
      <c r="S41" s="141">
        <f t="shared" si="37"/>
        <v>-64</v>
      </c>
      <c r="T41" s="141">
        <f t="shared" si="37"/>
        <v>-66</v>
      </c>
      <c r="U41" s="141">
        <f t="shared" si="37"/>
        <v>-63</v>
      </c>
      <c r="V41" s="141">
        <f>SUM(J41:M41)</f>
        <v>-68</v>
      </c>
      <c r="W41" s="141">
        <f>SUM(K41:N41)</f>
        <v>-69</v>
      </c>
      <c r="X41" s="141">
        <f>SUM(L41:O41)</f>
        <v>-76</v>
      </c>
      <c r="Y41" s="141">
        <f>SUM(M41:P41)</f>
        <v>-74</v>
      </c>
      <c r="Z41" s="141">
        <f>SUM(N41:Q41)</f>
        <v>-71</v>
      </c>
    </row>
    <row r="42" spans="1:28" ht="12.75" customHeight="1">
      <c r="B42" s="30" t="s">
        <v>68</v>
      </c>
      <c r="C42" s="94"/>
      <c r="D42" s="94">
        <f>SUM(D47-C47)-SUM(D36:D41)</f>
        <v>75</v>
      </c>
      <c r="E42" s="94">
        <f>SUM(E47-D47)-SUM(E36:E41)</f>
        <v>343</v>
      </c>
      <c r="F42" s="31"/>
      <c r="G42" s="94">
        <f>SUM(G47-C47)-SUM(G36:G41)</f>
        <v>-2</v>
      </c>
      <c r="H42" s="94">
        <f>SUM(H47-G47)-SUM(H36:H41)</f>
        <v>35</v>
      </c>
      <c r="I42" s="94">
        <f>SUM(I47-H47)-SUM(I36:I41)</f>
        <v>91</v>
      </c>
      <c r="J42" s="94">
        <f>SUM(J47-I47)-SUM(J36:J41)</f>
        <v>-49</v>
      </c>
      <c r="K42" s="94">
        <f>SUM(K47-J47)-SUM(K36:K41)</f>
        <v>64</v>
      </c>
      <c r="L42" s="94">
        <f>SUM(L47-K47)-SUM(L36:L41)</f>
        <v>75</v>
      </c>
      <c r="M42" s="94">
        <f>SUM(M47-L47)-SUM(M36:M41)</f>
        <v>-24</v>
      </c>
      <c r="N42" s="94">
        <f>SUM(N47-M47)-SUM(N36:N41)</f>
        <v>228</v>
      </c>
      <c r="O42" s="94">
        <f>SUM(O47-N47)-SUM(O36:O41)</f>
        <v>-52</v>
      </c>
      <c r="P42" s="94">
        <f>SUM(P47-O47)-SUM(P36:P41)</f>
        <v>-88</v>
      </c>
      <c r="Q42" s="94">
        <f>SUM(Q47-P47)-SUM(Q36:Q41)</f>
        <v>61</v>
      </c>
      <c r="S42" s="141">
        <f t="shared" si="37"/>
        <v>75</v>
      </c>
      <c r="T42" s="141">
        <f t="shared" si="37"/>
        <v>141</v>
      </c>
      <c r="U42" s="141">
        <f t="shared" si="37"/>
        <v>181</v>
      </c>
      <c r="V42" s="141">
        <f>SUM(J42:M42)</f>
        <v>66</v>
      </c>
      <c r="W42" s="141">
        <f>SUM(K42:N42)</f>
        <v>343</v>
      </c>
      <c r="X42" s="141">
        <f>SUM(L42:O42)</f>
        <v>227</v>
      </c>
      <c r="Y42" s="141">
        <f>SUM(M42:P42)</f>
        <v>64</v>
      </c>
      <c r="Z42" s="141">
        <f>SUM(N42:Q42)</f>
        <v>149</v>
      </c>
    </row>
    <row r="43" spans="1:28" ht="12.75" customHeight="1">
      <c r="B43" s="13" t="s">
        <v>39</v>
      </c>
      <c r="C43" s="157">
        <f>SUM(C36+SUM(C38:C42))</f>
        <v>-461</v>
      </c>
      <c r="D43" s="157">
        <f>SUM(D36+SUM(D38:D42))</f>
        <v>631</v>
      </c>
      <c r="E43" s="157">
        <f>SUM(E36+SUM(E38:E42))</f>
        <v>1667</v>
      </c>
      <c r="F43" s="10"/>
      <c r="G43" s="157">
        <f>SUM(G36+SUM(G38:G42))</f>
        <v>-40</v>
      </c>
      <c r="H43" s="157">
        <f>SUM(H36+SUM(H38:H42))</f>
        <v>107</v>
      </c>
      <c r="I43" s="157">
        <f>SUM(I36+SUM(I38:I42))</f>
        <v>68</v>
      </c>
      <c r="J43" s="157">
        <f>SUM(J36+SUM(J38:J42))</f>
        <v>496</v>
      </c>
      <c r="K43" s="157">
        <f>SUM(K36+SUM(K38:K42))</f>
        <v>337</v>
      </c>
      <c r="L43" s="157">
        <f>SUM(L36+SUM(L38:L42))</f>
        <v>603</v>
      </c>
      <c r="M43" s="157">
        <f>SUM(M36+SUM(M38:M42))</f>
        <v>634</v>
      </c>
      <c r="N43" s="157">
        <f>SUM(N36+SUM(N38:N42))</f>
        <v>93</v>
      </c>
      <c r="O43" s="157">
        <f>SUM(O36+SUM(O38:O42))</f>
        <v>238</v>
      </c>
      <c r="P43" s="157">
        <f>SUM(P36+SUM(P38:P42))</f>
        <v>142</v>
      </c>
      <c r="Q43" s="157">
        <f>SUM(Q36+SUM(Q38:Q42))</f>
        <v>295</v>
      </c>
      <c r="R43" s="5"/>
      <c r="S43" s="157">
        <f t="shared" ref="S43:U43" si="38">SUM(S36+SUM(S38:S42))</f>
        <v>631</v>
      </c>
      <c r="T43" s="157">
        <f t="shared" si="38"/>
        <v>1008</v>
      </c>
      <c r="U43" s="157">
        <f t="shared" si="38"/>
        <v>1504</v>
      </c>
      <c r="V43" s="157">
        <f>SUM(V36+SUM(V38:V42))</f>
        <v>2070</v>
      </c>
      <c r="W43" s="157">
        <f>SUM(W36+SUM(W38:W42))</f>
        <v>1667</v>
      </c>
      <c r="X43" s="157">
        <f>SUM(X36+SUM(X38:X42))</f>
        <v>1568</v>
      </c>
      <c r="Y43" s="157">
        <f>SUM(Y36+SUM(Y38:Y42))</f>
        <v>1107</v>
      </c>
      <c r="Z43" s="157">
        <f>SUM(Z36+SUM(Z38:Z42))</f>
        <v>768</v>
      </c>
    </row>
    <row r="44" spans="1:28" ht="5.0999999999999996" customHeight="1"/>
    <row r="45" spans="1:28" ht="12.75" customHeight="1">
      <c r="A45" s="5"/>
      <c r="B45" s="32" t="s">
        <v>40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spans="1:28" ht="5.0999999999999996" customHeight="1"/>
    <row r="47" spans="1:28" ht="12.75" customHeight="1">
      <c r="B47" s="8" t="s">
        <v>41</v>
      </c>
      <c r="C47" s="92">
        <f>'Historical Financials'!C44</f>
        <v>2483</v>
      </c>
      <c r="D47" s="92">
        <f>'Historical Financials'!D44</f>
        <v>3114</v>
      </c>
      <c r="E47" s="92">
        <f>'Historical Financials'!E44</f>
        <v>4781</v>
      </c>
      <c r="F47" s="31"/>
      <c r="G47" s="92">
        <f>'Historical Financials'!G44</f>
        <v>2443</v>
      </c>
      <c r="H47" s="92">
        <f>'Historical Financials'!H44</f>
        <v>2550</v>
      </c>
      <c r="I47" s="92">
        <f>'Historical Financials'!I44</f>
        <v>2618</v>
      </c>
      <c r="J47" s="92">
        <f>'Historical Financials'!J44</f>
        <v>3114</v>
      </c>
      <c r="K47" s="92">
        <f>'Historical Financials'!K44</f>
        <v>3451</v>
      </c>
      <c r="L47" s="92">
        <f>'Historical Financials'!L44</f>
        <v>4054</v>
      </c>
      <c r="M47" s="92">
        <f>'Historical Financials'!M44</f>
        <v>4688</v>
      </c>
      <c r="N47" s="92">
        <f>'Historical Financials'!N44</f>
        <v>4781</v>
      </c>
      <c r="O47" s="92">
        <f>'Historical Financials'!O44</f>
        <v>5019</v>
      </c>
      <c r="P47" s="92">
        <f>'Historical Financials'!P44</f>
        <v>5161</v>
      </c>
      <c r="Q47" s="92">
        <f>'Historical Financials'!Q44</f>
        <v>5456</v>
      </c>
      <c r="S47" s="10">
        <f t="shared" ref="S47:U49" si="39">J47</f>
        <v>3114</v>
      </c>
      <c r="T47" s="10">
        <f t="shared" si="39"/>
        <v>3451</v>
      </c>
      <c r="U47" s="10">
        <f t="shared" si="39"/>
        <v>4054</v>
      </c>
      <c r="V47" s="10">
        <f>M47</f>
        <v>4688</v>
      </c>
      <c r="W47" s="10">
        <f>N47</f>
        <v>4781</v>
      </c>
      <c r="X47" s="10">
        <f>O47</f>
        <v>5019</v>
      </c>
      <c r="Y47" s="10">
        <f>P47</f>
        <v>5161</v>
      </c>
      <c r="Z47" s="10">
        <f>Q47</f>
        <v>5456</v>
      </c>
    </row>
    <row r="48" spans="1:28" ht="12.75" customHeight="1">
      <c r="B48" s="8" t="s">
        <v>127</v>
      </c>
      <c r="C48" s="92">
        <f>'Historical Financials'!C45</f>
        <v>867</v>
      </c>
      <c r="D48" s="92">
        <f>'Historical Financials'!D45</f>
        <v>1100</v>
      </c>
      <c r="E48" s="92">
        <f>'Historical Financials'!E45</f>
        <v>2667</v>
      </c>
      <c r="F48" s="31"/>
      <c r="G48" s="92">
        <f>'Historical Financials'!G45</f>
        <v>995</v>
      </c>
      <c r="H48" s="92">
        <f>'Historical Financials'!H45</f>
        <v>866</v>
      </c>
      <c r="I48" s="92">
        <f>'Historical Financials'!I45</f>
        <v>1097</v>
      </c>
      <c r="J48" s="92">
        <f>'Historical Financials'!J45</f>
        <v>1100</v>
      </c>
      <c r="K48" s="92">
        <f>'Historical Financials'!K45</f>
        <v>1220</v>
      </c>
      <c r="L48" s="92">
        <f>'Historical Financials'!L45</f>
        <v>1344</v>
      </c>
      <c r="M48" s="92">
        <f>'Historical Financials'!M45</f>
        <v>1392</v>
      </c>
      <c r="N48" s="92">
        <f>'Historical Financials'!N45</f>
        <v>2667</v>
      </c>
      <c r="O48" s="92">
        <f>'Historical Financials'!O45</f>
        <v>2894</v>
      </c>
      <c r="P48" s="92">
        <f>'Historical Financials'!P45</f>
        <v>3183</v>
      </c>
      <c r="Q48" s="92">
        <f>'Historical Financials'!Q45</f>
        <v>3606</v>
      </c>
      <c r="S48" s="10">
        <f t="shared" si="39"/>
        <v>1100</v>
      </c>
      <c r="T48" s="10">
        <f t="shared" si="39"/>
        <v>1220</v>
      </c>
      <c r="U48" s="10">
        <f t="shared" si="39"/>
        <v>1344</v>
      </c>
      <c r="V48" s="10">
        <f>M48</f>
        <v>1392</v>
      </c>
      <c r="W48" s="10">
        <f>N48</f>
        <v>2667</v>
      </c>
      <c r="X48" s="10">
        <f>O48</f>
        <v>2894</v>
      </c>
      <c r="Y48" s="10">
        <f>P48</f>
        <v>3183</v>
      </c>
      <c r="Z48" s="10">
        <f>Q48</f>
        <v>3606</v>
      </c>
    </row>
    <row r="49" spans="2:26" ht="12.75" customHeight="1">
      <c r="B49" s="8" t="s">
        <v>132</v>
      </c>
      <c r="C49" s="92">
        <f>'Historical Financials'!C53</f>
        <v>1138</v>
      </c>
      <c r="D49" s="92">
        <f>'Historical Financials'!D53</f>
        <v>1215</v>
      </c>
      <c r="E49" s="92">
        <f>'Historical Financials'!E53</f>
        <v>1635</v>
      </c>
      <c r="F49" s="31"/>
      <c r="G49" s="92">
        <f>'Historical Financials'!G53</f>
        <v>1134</v>
      </c>
      <c r="H49" s="92">
        <f>'Historical Financials'!H53</f>
        <v>1015</v>
      </c>
      <c r="I49" s="92">
        <f>'Historical Financials'!I53</f>
        <v>903</v>
      </c>
      <c r="J49" s="92">
        <f>'Historical Financials'!J53</f>
        <v>1215</v>
      </c>
      <c r="K49" s="92">
        <f>'Historical Financials'!K53</f>
        <v>1534</v>
      </c>
      <c r="L49" s="92">
        <f>'Historical Financials'!L53</f>
        <v>1931</v>
      </c>
      <c r="M49" s="92">
        <f>'Historical Financials'!M53</f>
        <v>1604</v>
      </c>
      <c r="N49" s="92">
        <f>'Historical Financials'!N53</f>
        <v>1635</v>
      </c>
      <c r="O49" s="92">
        <f>'Historical Financials'!O53</f>
        <v>1958</v>
      </c>
      <c r="P49" s="92">
        <f>'Historical Financials'!P53</f>
        <v>2417</v>
      </c>
      <c r="Q49" s="92">
        <f>'Historical Financials'!Q53</f>
        <v>2888</v>
      </c>
      <c r="S49" s="10">
        <f t="shared" si="39"/>
        <v>1215</v>
      </c>
      <c r="T49" s="10">
        <f t="shared" si="39"/>
        <v>1534</v>
      </c>
      <c r="U49" s="10">
        <f t="shared" si="39"/>
        <v>1931</v>
      </c>
      <c r="V49" s="10">
        <f>M49</f>
        <v>1604</v>
      </c>
      <c r="W49" s="10">
        <f>N49</f>
        <v>1635</v>
      </c>
      <c r="X49" s="10">
        <f>O49</f>
        <v>1958</v>
      </c>
      <c r="Y49" s="10">
        <f>P49</f>
        <v>2417</v>
      </c>
      <c r="Z49" s="10">
        <f>Q49</f>
        <v>2888</v>
      </c>
    </row>
    <row r="50" spans="2:26" ht="12.75" customHeight="1">
      <c r="B50" s="13" t="s">
        <v>42</v>
      </c>
      <c r="C50" s="157">
        <f>SUM(C47:C49)</f>
        <v>4488</v>
      </c>
      <c r="D50" s="157">
        <f>SUM(D47:D49)</f>
        <v>5429</v>
      </c>
      <c r="E50" s="157">
        <f>SUM(E47:E49)</f>
        <v>9083</v>
      </c>
      <c r="F50" s="10"/>
      <c r="G50" s="157">
        <f>SUM(G47:G49)</f>
        <v>4572</v>
      </c>
      <c r="H50" s="157">
        <f>SUM(H47:H49)</f>
        <v>4431</v>
      </c>
      <c r="I50" s="157">
        <f>SUM(I47:I49)</f>
        <v>4618</v>
      </c>
      <c r="J50" s="157">
        <f>SUM(J47:J49)</f>
        <v>5429</v>
      </c>
      <c r="K50" s="157">
        <f>SUM(K47:K49)</f>
        <v>6205</v>
      </c>
      <c r="L50" s="157">
        <f>SUM(L47:L49)</f>
        <v>7329</v>
      </c>
      <c r="M50" s="157">
        <f>SUM(M47:M49)</f>
        <v>7684</v>
      </c>
      <c r="N50" s="157">
        <f>SUM(N47:N49)</f>
        <v>9083</v>
      </c>
      <c r="O50" s="157">
        <f>SUM(O47:O49)</f>
        <v>9871</v>
      </c>
      <c r="P50" s="157">
        <f>SUM(P47:P49)</f>
        <v>10761</v>
      </c>
      <c r="Q50" s="157">
        <f>SUM(Q47:Q49)</f>
        <v>11950</v>
      </c>
      <c r="R50" s="5"/>
      <c r="S50" s="157">
        <f t="shared" ref="S50:U50" si="40">SUM(S47:S49)</f>
        <v>5429</v>
      </c>
      <c r="T50" s="157">
        <f t="shared" si="40"/>
        <v>6205</v>
      </c>
      <c r="U50" s="157">
        <f t="shared" si="40"/>
        <v>7329</v>
      </c>
      <c r="V50" s="157">
        <f>SUM(V47:V49)</f>
        <v>7684</v>
      </c>
      <c r="W50" s="157">
        <f>SUM(W47:W49)</f>
        <v>9083</v>
      </c>
      <c r="X50" s="157">
        <f>SUM(X47:X49)</f>
        <v>9871</v>
      </c>
      <c r="Y50" s="157">
        <f>SUM(Y47:Y49)</f>
        <v>10761</v>
      </c>
      <c r="Z50" s="157">
        <f>SUM(Z47:Z49)</f>
        <v>11950</v>
      </c>
    </row>
    <row r="51" spans="2:26" ht="5.0999999999999996" customHeight="1"/>
    <row r="52" spans="2:26" ht="12.75" customHeight="1">
      <c r="B52" s="33" t="s">
        <v>43</v>
      </c>
    </row>
    <row r="53" spans="2:26" ht="12.75" customHeight="1">
      <c r="B53" s="8" t="s">
        <v>107</v>
      </c>
      <c r="C53" s="92">
        <f>'Historical Financials'!C46</f>
        <v>690</v>
      </c>
      <c r="D53" s="92">
        <f>'Historical Financials'!D46</f>
        <v>858</v>
      </c>
      <c r="E53" s="92">
        <f>'Historical Financials'!E46</f>
        <v>771</v>
      </c>
      <c r="G53" s="92">
        <f>'Historical Financials'!G46</f>
        <v>555</v>
      </c>
      <c r="H53" s="92">
        <f>'Historical Financials'!H46</f>
        <v>632</v>
      </c>
      <c r="I53" s="92">
        <f>'Historical Financials'!I46</f>
        <v>747</v>
      </c>
      <c r="J53" s="92">
        <f>'Historical Financials'!J46</f>
        <v>858</v>
      </c>
      <c r="K53" s="92">
        <f>'Historical Financials'!K46</f>
        <v>777</v>
      </c>
      <c r="L53" s="92">
        <f>'Historical Financials'!L46</f>
        <v>753</v>
      </c>
      <c r="M53" s="92">
        <f>'Historical Financials'!M46</f>
        <v>749</v>
      </c>
      <c r="N53" s="92">
        <f>'Historical Financials'!N46</f>
        <v>771</v>
      </c>
      <c r="O53" s="92">
        <f>'Historical Financials'!O46</f>
        <v>749</v>
      </c>
      <c r="P53" s="92">
        <f>'Historical Financials'!P46</f>
        <v>736</v>
      </c>
      <c r="Q53" s="92">
        <f>'Historical Financials'!Q46</f>
        <v>735</v>
      </c>
      <c r="R53" s="10"/>
      <c r="S53" s="10">
        <f t="shared" ref="S53:U58" si="41">J53</f>
        <v>858</v>
      </c>
      <c r="T53" s="10">
        <f t="shared" si="41"/>
        <v>777</v>
      </c>
      <c r="U53" s="10">
        <f t="shared" si="41"/>
        <v>753</v>
      </c>
      <c r="V53" s="10">
        <f>M53</f>
        <v>749</v>
      </c>
      <c r="W53" s="10">
        <f>N53</f>
        <v>771</v>
      </c>
      <c r="X53" s="10">
        <f>O53</f>
        <v>749</v>
      </c>
      <c r="Y53" s="10">
        <f>P53</f>
        <v>736</v>
      </c>
      <c r="Z53" s="10">
        <f>Q53</f>
        <v>735</v>
      </c>
    </row>
    <row r="54" spans="2:26" ht="12.75" customHeight="1">
      <c r="B54" s="8" t="s">
        <v>130</v>
      </c>
      <c r="C54" s="92">
        <f>'Historical Financials'!C54</f>
        <v>348</v>
      </c>
      <c r="D54" s="92">
        <f>'Historical Financials'!D54</f>
        <v>247</v>
      </c>
      <c r="E54" s="92">
        <f>'Historical Financials'!E54</f>
        <v>188</v>
      </c>
      <c r="F54" s="92"/>
      <c r="G54" s="92">
        <f>'Historical Financials'!G54</f>
        <v>331</v>
      </c>
      <c r="H54" s="92">
        <f>'Historical Financials'!H54</f>
        <v>280</v>
      </c>
      <c r="I54" s="92">
        <f>'Historical Financials'!I54</f>
        <v>275</v>
      </c>
      <c r="J54" s="92">
        <f>'Historical Financials'!J54</f>
        <v>247</v>
      </c>
      <c r="K54" s="92">
        <f>'Historical Financials'!K54</f>
        <v>224</v>
      </c>
      <c r="L54" s="92">
        <f>'Historical Financials'!L54</f>
        <v>211</v>
      </c>
      <c r="M54" s="92">
        <f>'Historical Financials'!M54</f>
        <v>195</v>
      </c>
      <c r="N54" s="92">
        <f>'Historical Financials'!N54</f>
        <v>188</v>
      </c>
      <c r="O54" s="92">
        <f>'Historical Financials'!O54</f>
        <v>178</v>
      </c>
      <c r="P54" s="92">
        <f>'Historical Financials'!P54</f>
        <v>161</v>
      </c>
      <c r="Q54" s="92">
        <f>'Historical Financials'!Q54</f>
        <v>174</v>
      </c>
      <c r="S54" s="10">
        <f t="shared" si="41"/>
        <v>247</v>
      </c>
      <c r="T54" s="10">
        <f t="shared" si="41"/>
        <v>224</v>
      </c>
      <c r="U54" s="10">
        <f t="shared" si="41"/>
        <v>211</v>
      </c>
      <c r="V54" s="10">
        <f>M54</f>
        <v>195</v>
      </c>
      <c r="W54" s="10">
        <f>N54</f>
        <v>188</v>
      </c>
      <c r="X54" s="10">
        <f>O54</f>
        <v>178</v>
      </c>
      <c r="Y54" s="10">
        <f>P54</f>
        <v>161</v>
      </c>
      <c r="Z54" s="10">
        <f>Q54</f>
        <v>174</v>
      </c>
    </row>
    <row r="55" spans="2:26" ht="12.75" customHeight="1">
      <c r="B55" s="8" t="s">
        <v>44</v>
      </c>
      <c r="C55" s="92">
        <f>'Historical Financials'!C63</f>
        <v>845</v>
      </c>
      <c r="D55" s="92">
        <f>'Historical Financials'!D63</f>
        <v>978</v>
      </c>
      <c r="E55" s="92">
        <f>'Historical Financials'!E63</f>
        <v>1342</v>
      </c>
      <c r="F55" s="92"/>
      <c r="G55" s="92">
        <f>'Historical Financials'!G63</f>
        <v>850</v>
      </c>
      <c r="H55" s="92">
        <f>'Historical Financials'!H63</f>
        <v>893</v>
      </c>
      <c r="I55" s="92">
        <f>'Historical Financials'!I63</f>
        <v>945</v>
      </c>
      <c r="J55" s="92">
        <f>'Historical Financials'!J63</f>
        <v>978</v>
      </c>
      <c r="K55" s="92">
        <f>'Historical Financials'!K63</f>
        <v>1048</v>
      </c>
      <c r="L55" s="92">
        <f>'Historical Financials'!L63</f>
        <v>1091</v>
      </c>
      <c r="M55" s="92">
        <f>'Historical Financials'!M63</f>
        <v>1084</v>
      </c>
      <c r="N55" s="92">
        <f>'Historical Financials'!N63</f>
        <v>1342</v>
      </c>
      <c r="O55" s="92">
        <f>'Historical Financials'!O63</f>
        <v>1064</v>
      </c>
      <c r="P55" s="92">
        <f>'Historical Financials'!P63</f>
        <v>1171</v>
      </c>
      <c r="Q55" s="92">
        <f>'Historical Financials'!Q63</f>
        <v>1193</v>
      </c>
      <c r="S55" s="10">
        <f t="shared" si="41"/>
        <v>978</v>
      </c>
      <c r="T55" s="10">
        <f t="shared" si="41"/>
        <v>1048</v>
      </c>
      <c r="U55" s="10">
        <f t="shared" si="41"/>
        <v>1091</v>
      </c>
      <c r="V55" s="10">
        <f>M55</f>
        <v>1084</v>
      </c>
      <c r="W55" s="10">
        <f>N55</f>
        <v>1342</v>
      </c>
      <c r="X55" s="10">
        <f>O55</f>
        <v>1064</v>
      </c>
      <c r="Y55" s="10">
        <f>P55</f>
        <v>1171</v>
      </c>
      <c r="Z55" s="10">
        <f>Q55</f>
        <v>1193</v>
      </c>
    </row>
    <row r="56" spans="2:26" ht="12.75" customHeight="1">
      <c r="B56" s="8" t="s">
        <v>103</v>
      </c>
      <c r="C56" s="92">
        <f>'Historical Financials'!C65</f>
        <v>520</v>
      </c>
      <c r="D56" s="92">
        <f>'Historical Financials'!D65</f>
        <v>622</v>
      </c>
      <c r="E56" s="92">
        <f>'Historical Financials'!E65</f>
        <v>683</v>
      </c>
      <c r="F56" s="92"/>
      <c r="G56" s="92">
        <f>'Historical Financials'!G65</f>
        <v>524</v>
      </c>
      <c r="H56" s="92">
        <f>'Historical Financials'!H65</f>
        <v>536</v>
      </c>
      <c r="I56" s="92">
        <f>'Historical Financials'!I65</f>
        <v>599</v>
      </c>
      <c r="J56" s="92">
        <f>'Historical Financials'!J65</f>
        <v>622</v>
      </c>
      <c r="K56" s="92">
        <f>'Historical Financials'!K65</f>
        <v>634</v>
      </c>
      <c r="L56" s="92">
        <f>'Historical Financials'!L65</f>
        <v>657</v>
      </c>
      <c r="M56" s="92">
        <f>'Historical Financials'!M65</f>
        <v>680</v>
      </c>
      <c r="N56" s="92">
        <f>'Historical Financials'!N65</f>
        <v>683</v>
      </c>
      <c r="O56" s="92">
        <f>'Historical Financials'!O65</f>
        <v>675</v>
      </c>
      <c r="P56" s="92">
        <f>'Historical Financials'!P65</f>
        <v>665</v>
      </c>
      <c r="Q56" s="92">
        <f>'Historical Financials'!Q65</f>
        <v>692</v>
      </c>
      <c r="S56" s="10">
        <f t="shared" si="41"/>
        <v>622</v>
      </c>
      <c r="T56" s="10">
        <f t="shared" si="41"/>
        <v>634</v>
      </c>
      <c r="U56" s="10">
        <f t="shared" si="41"/>
        <v>657</v>
      </c>
      <c r="V56" s="10">
        <f>M56</f>
        <v>680</v>
      </c>
      <c r="W56" s="10">
        <f>N56</f>
        <v>683</v>
      </c>
      <c r="X56" s="10">
        <f>O56</f>
        <v>675</v>
      </c>
      <c r="Y56" s="10">
        <f>P56</f>
        <v>665</v>
      </c>
      <c r="Z56" s="10">
        <f>Q56</f>
        <v>692</v>
      </c>
    </row>
    <row r="57" spans="2:26" ht="12.75" customHeight="1">
      <c r="B57" s="8" t="s">
        <v>45</v>
      </c>
      <c r="C57" s="92">
        <f>'Historical Financials'!C70</f>
        <v>3516</v>
      </c>
      <c r="D57" s="92">
        <f>'Historical Financials'!D70</f>
        <v>4090</v>
      </c>
      <c r="E57" s="92">
        <f>'Historical Financials'!E70</f>
        <v>4450</v>
      </c>
      <c r="F57" s="92"/>
      <c r="G57" s="92">
        <f>'Historical Financials'!G70</f>
        <v>3459</v>
      </c>
      <c r="H57" s="92">
        <f>'Historical Financials'!H70</f>
        <v>3546</v>
      </c>
      <c r="I57" s="92">
        <f>'Historical Financials'!I70</f>
        <v>3701</v>
      </c>
      <c r="J57" s="92">
        <f>'Historical Financials'!J70</f>
        <v>4090</v>
      </c>
      <c r="K57" s="92">
        <f>'Historical Financials'!K70</f>
        <v>3966</v>
      </c>
      <c r="L57" s="92">
        <f>'Historical Financials'!L70</f>
        <v>4059</v>
      </c>
      <c r="M57" s="92">
        <f>'Historical Financials'!M70</f>
        <v>4106</v>
      </c>
      <c r="N57" s="92">
        <f>'Historical Financials'!N70</f>
        <v>4450</v>
      </c>
      <c r="O57" s="92">
        <f>'Historical Financials'!O70</f>
        <v>5965</v>
      </c>
      <c r="P57" s="92">
        <f>'Historical Financials'!P70</f>
        <v>6312</v>
      </c>
      <c r="Q57" s="92">
        <f>'Historical Financials'!Q70</f>
        <v>6239</v>
      </c>
      <c r="S57" s="10">
        <f t="shared" si="41"/>
        <v>4090</v>
      </c>
      <c r="T57" s="10">
        <f t="shared" si="41"/>
        <v>3966</v>
      </c>
      <c r="U57" s="10">
        <f t="shared" si="41"/>
        <v>4059</v>
      </c>
      <c r="V57" s="10">
        <f>M57</f>
        <v>4106</v>
      </c>
      <c r="W57" s="10">
        <f>N57</f>
        <v>4450</v>
      </c>
      <c r="X57" s="10">
        <f>O57</f>
        <v>5965</v>
      </c>
      <c r="Y57" s="10">
        <f>P57</f>
        <v>6312</v>
      </c>
      <c r="Z57" s="10">
        <f>Q57</f>
        <v>6239</v>
      </c>
    </row>
    <row r="58" spans="2:26" ht="12.75" customHeight="1">
      <c r="B58" s="8" t="s">
        <v>14</v>
      </c>
      <c r="C58" s="92">
        <f>'Historical Financials'!C78</f>
        <v>5235</v>
      </c>
      <c r="D58" s="92">
        <f>'Historical Financials'!D78</f>
        <v>5823</v>
      </c>
      <c r="E58" s="92">
        <f>'Historical Financials'!E78</f>
        <v>6480</v>
      </c>
      <c r="F58" s="92"/>
      <c r="G58" s="92">
        <f>'Historical Financials'!G78</f>
        <v>5187</v>
      </c>
      <c r="H58" s="92">
        <f>'Historical Financials'!H78</f>
        <v>5258</v>
      </c>
      <c r="I58" s="92">
        <f>'Historical Financials'!I78</f>
        <v>5453</v>
      </c>
      <c r="J58" s="92">
        <f>'Historical Financials'!J78</f>
        <v>5823</v>
      </c>
      <c r="K58" s="92">
        <f>'Historical Financials'!K78</f>
        <v>5766</v>
      </c>
      <c r="L58" s="92">
        <f>'Historical Financials'!L78</f>
        <v>5887</v>
      </c>
      <c r="M58" s="92">
        <f>'Historical Financials'!M78</f>
        <v>5920</v>
      </c>
      <c r="N58" s="92">
        <f>'Historical Financials'!N78</f>
        <v>6480</v>
      </c>
      <c r="O58" s="92">
        <f>'Historical Financials'!O78</f>
        <v>6440</v>
      </c>
      <c r="P58" s="92">
        <f>'Historical Financials'!P78</f>
        <v>6838</v>
      </c>
      <c r="Q58" s="92">
        <f>'Historical Financials'!Q78</f>
        <v>6910</v>
      </c>
      <c r="S58" s="10">
        <f t="shared" si="41"/>
        <v>5823</v>
      </c>
      <c r="T58" s="10">
        <f t="shared" si="41"/>
        <v>5766</v>
      </c>
      <c r="U58" s="10">
        <f t="shared" si="41"/>
        <v>5887</v>
      </c>
      <c r="V58" s="10">
        <f>M58</f>
        <v>5920</v>
      </c>
      <c r="W58" s="10">
        <f>N58</f>
        <v>6480</v>
      </c>
      <c r="X58" s="10">
        <f>O58</f>
        <v>6440</v>
      </c>
      <c r="Y58" s="10">
        <f>P58</f>
        <v>6838</v>
      </c>
      <c r="Z58" s="10">
        <f>Q58</f>
        <v>6910</v>
      </c>
    </row>
    <row r="59" spans="2:26" ht="5.0999999999999996" customHeight="1">
      <c r="E59" s="10"/>
    </row>
    <row r="60" spans="2:26">
      <c r="B60" s="33" t="s">
        <v>104</v>
      </c>
      <c r="E60" s="10"/>
    </row>
    <row r="61" spans="2:26">
      <c r="B61" s="8" t="s">
        <v>105</v>
      </c>
      <c r="C61" s="92">
        <f>'Historical Financials'!C67</f>
        <v>0</v>
      </c>
      <c r="D61" s="92">
        <f>'Historical Financials'!D67</f>
        <v>0</v>
      </c>
      <c r="E61" s="92">
        <f>'Historical Financials'!E67</f>
        <v>0</v>
      </c>
      <c r="G61" s="92">
        <f>'Historical Financials'!G67</f>
        <v>0</v>
      </c>
      <c r="H61" s="92">
        <f>'Historical Financials'!H67</f>
        <v>0</v>
      </c>
      <c r="I61" s="92">
        <f>'Historical Financials'!I67</f>
        <v>0</v>
      </c>
      <c r="J61" s="92">
        <f>'Historical Financials'!J67</f>
        <v>0</v>
      </c>
      <c r="K61" s="92">
        <f>'Historical Financials'!K67</f>
        <v>0</v>
      </c>
      <c r="L61" s="92">
        <f>'Historical Financials'!L67</f>
        <v>0</v>
      </c>
      <c r="M61" s="92">
        <f>'Historical Financials'!M67</f>
        <v>0</v>
      </c>
      <c r="N61" s="92">
        <f>'Historical Financials'!N67</f>
        <v>0</v>
      </c>
      <c r="O61" s="92">
        <f>'Historical Financials'!O67</f>
        <v>1654</v>
      </c>
      <c r="P61" s="92">
        <f>'Historical Financials'!P67</f>
        <v>1929</v>
      </c>
      <c r="Q61" s="92">
        <f>'Historical Financials'!Q67</f>
        <v>1741</v>
      </c>
      <c r="S61" s="10">
        <f t="shared" ref="S61:U62" si="42">J61</f>
        <v>0</v>
      </c>
      <c r="T61" s="10">
        <f t="shared" si="42"/>
        <v>0</v>
      </c>
      <c r="U61" s="10">
        <f t="shared" si="42"/>
        <v>0</v>
      </c>
      <c r="V61" s="10">
        <f>M61</f>
        <v>0</v>
      </c>
      <c r="W61" s="10">
        <f>N61</f>
        <v>0</v>
      </c>
      <c r="X61" s="10">
        <f>O61</f>
        <v>1654</v>
      </c>
      <c r="Y61" s="10">
        <f>P61</f>
        <v>1929</v>
      </c>
      <c r="Z61" s="10">
        <f>Q61</f>
        <v>1741</v>
      </c>
    </row>
    <row r="62" spans="2:26">
      <c r="B62" s="8" t="s">
        <v>106</v>
      </c>
      <c r="C62" s="92">
        <f>'Historical Financials'!C73</f>
        <v>1128</v>
      </c>
      <c r="D62" s="92">
        <f>'Historical Financials'!D73</f>
        <v>1203</v>
      </c>
      <c r="E62" s="92">
        <f>'Historical Financials'!E73</f>
        <v>1539</v>
      </c>
      <c r="G62" s="92">
        <f>'Historical Financials'!G73</f>
        <v>1156</v>
      </c>
      <c r="H62" s="92">
        <f>'Historical Financials'!H73</f>
        <v>1167</v>
      </c>
      <c r="I62" s="92">
        <f>'Historical Financials'!I73</f>
        <v>1209</v>
      </c>
      <c r="J62" s="92">
        <f>'Historical Financials'!J73</f>
        <v>1203</v>
      </c>
      <c r="K62" s="92">
        <f>'Historical Financials'!K73</f>
        <v>1270</v>
      </c>
      <c r="L62" s="92">
        <f>'Historical Financials'!L73</f>
        <v>1323</v>
      </c>
      <c r="M62" s="92">
        <f>'Historical Financials'!M73</f>
        <v>1340</v>
      </c>
      <c r="N62" s="92">
        <f>'Historical Financials'!N73</f>
        <v>1539</v>
      </c>
      <c r="O62" s="92">
        <f>'Historical Financials'!O73</f>
        <v>0</v>
      </c>
      <c r="P62" s="92">
        <f>'Historical Financials'!P73</f>
        <v>0</v>
      </c>
      <c r="Q62" s="92">
        <f>'Historical Financials'!Q73</f>
        <v>0</v>
      </c>
      <c r="S62" s="10">
        <f t="shared" si="42"/>
        <v>1203</v>
      </c>
      <c r="T62" s="10">
        <f t="shared" si="42"/>
        <v>1270</v>
      </c>
      <c r="U62" s="10">
        <f t="shared" si="42"/>
        <v>1323</v>
      </c>
      <c r="V62" s="10">
        <f>M62</f>
        <v>1340</v>
      </c>
      <c r="W62" s="10">
        <f>N62</f>
        <v>1539</v>
      </c>
      <c r="X62" s="10">
        <f>O62</f>
        <v>0</v>
      </c>
      <c r="Y62" s="10">
        <f>P62</f>
        <v>0</v>
      </c>
      <c r="Z62" s="10">
        <f>Q62</f>
        <v>0</v>
      </c>
    </row>
    <row r="63" spans="2:26">
      <c r="E63" s="10"/>
    </row>
    <row r="64" spans="2:26">
      <c r="B64" s="30" t="s">
        <v>185</v>
      </c>
      <c r="C64" s="122">
        <f>SUM(C61:C62)</f>
        <v>1128</v>
      </c>
      <c r="D64" s="122">
        <f t="shared" ref="D64:Q64" si="43">SUM(D61:D62)</f>
        <v>1203</v>
      </c>
      <c r="E64" s="122">
        <f t="shared" si="43"/>
        <v>1539</v>
      </c>
      <c r="G64" s="122">
        <f t="shared" si="43"/>
        <v>1156</v>
      </c>
      <c r="H64" s="122">
        <f t="shared" si="43"/>
        <v>1167</v>
      </c>
      <c r="I64" s="122">
        <f t="shared" si="43"/>
        <v>1209</v>
      </c>
      <c r="J64" s="122">
        <f t="shared" si="43"/>
        <v>1203</v>
      </c>
      <c r="K64" s="122">
        <f t="shared" si="43"/>
        <v>1270</v>
      </c>
      <c r="L64" s="122">
        <f t="shared" si="43"/>
        <v>1323</v>
      </c>
      <c r="M64" s="122">
        <f t="shared" si="43"/>
        <v>1340</v>
      </c>
      <c r="N64" s="122">
        <f t="shared" si="43"/>
        <v>1539</v>
      </c>
      <c r="O64" s="122">
        <f t="shared" si="43"/>
        <v>1654</v>
      </c>
      <c r="P64" s="122">
        <f t="shared" si="43"/>
        <v>1929</v>
      </c>
      <c r="Q64" s="122">
        <f t="shared" si="43"/>
        <v>1741</v>
      </c>
      <c r="S64" s="10">
        <f>J64</f>
        <v>1203</v>
      </c>
      <c r="T64" s="10">
        <f>K64</f>
        <v>1270</v>
      </c>
      <c r="U64" s="10">
        <f>L64</f>
        <v>1323</v>
      </c>
      <c r="V64" s="10">
        <f>M64</f>
        <v>1340</v>
      </c>
      <c r="W64" s="10">
        <f>N64</f>
        <v>1539</v>
      </c>
      <c r="X64" s="10">
        <f>O64</f>
        <v>1654</v>
      </c>
      <c r="Y64" s="10">
        <f>P64</f>
        <v>1929</v>
      </c>
      <c r="Z64" s="10">
        <f>Q64</f>
        <v>1741</v>
      </c>
    </row>
    <row r="65" spans="1:26" ht="12.75" customHeight="1">
      <c r="B65" s="13" t="s">
        <v>20</v>
      </c>
      <c r="C65" s="157">
        <f>SUM(C64:C64)</f>
        <v>1128</v>
      </c>
      <c r="D65" s="157">
        <f>SUM(D64:D64)</f>
        <v>1203</v>
      </c>
      <c r="E65" s="157">
        <f>SUM(E64:E64)</f>
        <v>1539</v>
      </c>
      <c r="F65" s="10"/>
      <c r="G65" s="157">
        <f>SUM(G64:G64)</f>
        <v>1156</v>
      </c>
      <c r="H65" s="157">
        <f>SUM(H64:H64)</f>
        <v>1167</v>
      </c>
      <c r="I65" s="157">
        <f>SUM(I64:I64)</f>
        <v>1209</v>
      </c>
      <c r="J65" s="157">
        <f>SUM(J64:J64)</f>
        <v>1203</v>
      </c>
      <c r="K65" s="157">
        <f>SUM(K64:K64)</f>
        <v>1270</v>
      </c>
      <c r="L65" s="157">
        <f>SUM(L64:L64)</f>
        <v>1323</v>
      </c>
      <c r="M65" s="157">
        <f>SUM(M64:M64)</f>
        <v>1340</v>
      </c>
      <c r="N65" s="157">
        <f>SUM(N64:N64)</f>
        <v>1539</v>
      </c>
      <c r="O65" s="157">
        <f>SUM(O64:O64)</f>
        <v>1654</v>
      </c>
      <c r="P65" s="157">
        <f>SUM(P64:P64)</f>
        <v>1929</v>
      </c>
      <c r="Q65" s="157">
        <f>SUM(Q64:Q64)</f>
        <v>1741</v>
      </c>
      <c r="S65" s="157">
        <f>SUM(S64:S64)</f>
        <v>1203</v>
      </c>
      <c r="T65" s="157">
        <f>SUM(T64:T64)</f>
        <v>1270</v>
      </c>
      <c r="U65" s="157">
        <f>SUM(U64:U64)</f>
        <v>1323</v>
      </c>
      <c r="V65" s="157">
        <f>SUM(V64:V64)</f>
        <v>1340</v>
      </c>
      <c r="W65" s="157">
        <f>SUM(W64:W64)</f>
        <v>1539</v>
      </c>
      <c r="X65" s="157">
        <f>SUM(X64:X64)</f>
        <v>1654</v>
      </c>
      <c r="Y65" s="157">
        <f>SUM(Y64:Y64)</f>
        <v>1929</v>
      </c>
      <c r="Z65" s="157">
        <f>SUM(Z64:Z64)</f>
        <v>1741</v>
      </c>
    </row>
    <row r="66" spans="1:26" ht="5.0999999999999996" customHeight="1"/>
    <row r="67" spans="1:26" ht="12.75" customHeight="1">
      <c r="B67" s="8" t="s">
        <v>46</v>
      </c>
      <c r="C67" s="140">
        <f>'Historical Financials'!C85</f>
        <v>2401</v>
      </c>
      <c r="D67" s="140">
        <f>'Historical Financials'!D85</f>
        <v>2523</v>
      </c>
      <c r="E67" s="140">
        <f>'Historical Financials'!E85</f>
        <v>5525</v>
      </c>
      <c r="G67" s="140">
        <f>'Historical Financials'!G85</f>
        <v>2342</v>
      </c>
      <c r="H67" s="140">
        <f>'Historical Financials'!H85</f>
        <v>2054</v>
      </c>
      <c r="I67" s="140">
        <f>'Historical Financials'!I85</f>
        <v>2139</v>
      </c>
      <c r="J67" s="140">
        <f>'Historical Financials'!J85</f>
        <v>2523</v>
      </c>
      <c r="K67" s="140">
        <f>'Historical Financials'!K85</f>
        <v>3309</v>
      </c>
      <c r="L67" s="140">
        <f>'Historical Financials'!L85</f>
        <v>4259</v>
      </c>
      <c r="M67" s="140">
        <f>'Historical Financials'!M85</f>
        <v>4633</v>
      </c>
      <c r="N67" s="140">
        <f>'Historical Financials'!N85</f>
        <v>5525</v>
      </c>
      <c r="O67" s="140">
        <f>'Historical Financials'!O85</f>
        <v>6247</v>
      </c>
      <c r="P67" s="140">
        <f>'Historical Financials'!P85</f>
        <v>6627</v>
      </c>
      <c r="Q67" s="140">
        <f>'Historical Financials'!Q85</f>
        <v>7779</v>
      </c>
      <c r="S67" s="10">
        <f>J67</f>
        <v>2523</v>
      </c>
      <c r="T67" s="10">
        <f>K67</f>
        <v>3309</v>
      </c>
      <c r="U67" s="10">
        <f>L67</f>
        <v>4259</v>
      </c>
      <c r="V67" s="141">
        <f>M67</f>
        <v>4633</v>
      </c>
      <c r="W67" s="141">
        <f>N67</f>
        <v>5525</v>
      </c>
      <c r="X67" s="141">
        <f>O67</f>
        <v>6247</v>
      </c>
      <c r="Y67" s="141">
        <f>P67</f>
        <v>6627</v>
      </c>
      <c r="Z67" s="141">
        <f>Q67</f>
        <v>7779</v>
      </c>
    </row>
    <row r="68" spans="1:26" ht="12.75" customHeight="1">
      <c r="B68" s="13" t="s">
        <v>47</v>
      </c>
      <c r="C68" s="157">
        <f>SUM(C65:C67)</f>
        <v>3529</v>
      </c>
      <c r="D68" s="157">
        <f>SUM(D65:D67)</f>
        <v>3726</v>
      </c>
      <c r="E68" s="157">
        <f>SUM(E65:E67)</f>
        <v>7064</v>
      </c>
      <c r="F68" s="10"/>
      <c r="G68" s="157">
        <f t="shared" ref="G68:L68" si="44">SUM(G65:G67)</f>
        <v>3498</v>
      </c>
      <c r="H68" s="157">
        <f t="shared" si="44"/>
        <v>3221</v>
      </c>
      <c r="I68" s="157">
        <f t="shared" si="44"/>
        <v>3348</v>
      </c>
      <c r="J68" s="157">
        <f t="shared" si="44"/>
        <v>3726</v>
      </c>
      <c r="K68" s="157">
        <f t="shared" si="44"/>
        <v>4579</v>
      </c>
      <c r="L68" s="157">
        <f t="shared" si="44"/>
        <v>5582</v>
      </c>
      <c r="M68" s="157">
        <f>SUM(M65:M67)</f>
        <v>5973</v>
      </c>
      <c r="N68" s="157">
        <f>SUM(N65:N67)</f>
        <v>7064</v>
      </c>
      <c r="O68" s="157">
        <f>SUM(O65:O67)</f>
        <v>7901</v>
      </c>
      <c r="P68" s="157">
        <f>SUM(P65:P67)</f>
        <v>8556</v>
      </c>
      <c r="Q68" s="157">
        <f>SUM(Q65:Q67)</f>
        <v>9520</v>
      </c>
      <c r="R68" s="5"/>
      <c r="S68" s="14">
        <f t="shared" ref="S68:X68" si="45">SUM(S65:S67)</f>
        <v>3726</v>
      </c>
      <c r="T68" s="14">
        <f t="shared" si="45"/>
        <v>4579</v>
      </c>
      <c r="U68" s="14">
        <f t="shared" si="45"/>
        <v>5582</v>
      </c>
      <c r="V68" s="157">
        <f t="shared" si="45"/>
        <v>5973</v>
      </c>
      <c r="W68" s="157">
        <f t="shared" si="45"/>
        <v>7064</v>
      </c>
      <c r="X68" s="157">
        <f t="shared" si="45"/>
        <v>7901</v>
      </c>
      <c r="Y68" s="157">
        <f>SUM(Y65:Y67)</f>
        <v>8556</v>
      </c>
      <c r="Z68" s="157">
        <f>SUM(Z65:Z67)</f>
        <v>9520</v>
      </c>
    </row>
    <row r="69" spans="1:26" ht="5.0999999999999996" customHeight="1"/>
    <row r="70" spans="1:26" ht="12.75" customHeight="1">
      <c r="A70" s="5"/>
      <c r="B70" s="32" t="s">
        <v>69</v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</row>
    <row r="71" spans="1:26" ht="5.0999999999999996" customHeight="1"/>
    <row r="72" spans="1:26" ht="12.75" customHeight="1">
      <c r="B72" s="30" t="s">
        <v>93</v>
      </c>
      <c r="C72" s="82">
        <f>C65/C29</f>
        <v>-10.542056074766355</v>
      </c>
      <c r="D72" s="82">
        <f>D65/D29</f>
        <v>7.7115384615384617</v>
      </c>
      <c r="E72" s="82">
        <f>E65/E29</f>
        <v>0.85690423162583518</v>
      </c>
      <c r="G72" s="82">
        <f>SUM(G65/SUM(G29:G29))</f>
        <v>-165.14285714285714</v>
      </c>
      <c r="H72" s="82">
        <f>SUM(H65/SUM(G29:H29))</f>
        <v>-50.739130434782609</v>
      </c>
      <c r="I72" s="82">
        <f>SUM(I65/SUM(G29:I29))</f>
        <v>9.3000000000000007</v>
      </c>
      <c r="J72" s="82">
        <f>SUM(J65/SUM(G29:J29))</f>
        <v>7.7115384615384617</v>
      </c>
      <c r="K72" s="82">
        <f>SUM(K65/SUM(H29:K29))</f>
        <v>2.9195402298850577</v>
      </c>
      <c r="L72" s="82">
        <f>SUM(L65/SUM(I29:L29))</f>
        <v>1.5712589073634204</v>
      </c>
      <c r="M72" s="82">
        <f>SUM(M65/SUM(J29:M29))</f>
        <v>1.0841423948220066</v>
      </c>
      <c r="N72" s="82">
        <f>SUM(N65/SUM(K29:N29))</f>
        <v>0.85690423162583518</v>
      </c>
      <c r="O72" s="82">
        <f>SUM(O65/SUM(L29:O29))</f>
        <v>0.78612167300380231</v>
      </c>
      <c r="P72" s="82">
        <f>SUM(P65/SUM(M29:P29))</f>
        <v>0.86931050022532674</v>
      </c>
      <c r="Q72" s="82">
        <f>SUM(Q65/SUM(N29:Q29))</f>
        <v>0.73833757421543678</v>
      </c>
      <c r="R72" s="82"/>
      <c r="S72" s="82">
        <f>S65/S29</f>
        <v>7.7115384615384617</v>
      </c>
      <c r="T72" s="82">
        <f>T65/T29</f>
        <v>2.9195402298850577</v>
      </c>
      <c r="U72" s="82">
        <f>U65/U29</f>
        <v>1.5712589073634204</v>
      </c>
      <c r="V72" s="82">
        <f>V65/V29</f>
        <v>1.0841423948220066</v>
      </c>
      <c r="W72" s="82">
        <f>W65/W29</f>
        <v>0.85690423162583518</v>
      </c>
      <c r="X72" s="82">
        <f>X65/X29</f>
        <v>0.78612167300380231</v>
      </c>
      <c r="Y72" s="82">
        <f>Y65/Y29</f>
        <v>0.86931050022532674</v>
      </c>
      <c r="Z72" s="82">
        <f>Z65/Z29</f>
        <v>0.73833757421543678</v>
      </c>
    </row>
    <row r="73" spans="1:26" ht="12.75" customHeight="1">
      <c r="B73" s="30" t="s">
        <v>94</v>
      </c>
      <c r="C73" s="82">
        <f>SUM(C65-C47)/C29</f>
        <v>12.663551401869158</v>
      </c>
      <c r="D73" s="82">
        <f>SUM(D65-D47)/D29</f>
        <v>-12.25</v>
      </c>
      <c r="E73" s="82">
        <f>SUM(E65-E47)/E29</f>
        <v>-1.8051224944320712</v>
      </c>
      <c r="G73" s="82">
        <f>SUM(G65-G47)/SUM(G29:G29)</f>
        <v>183.85714285714286</v>
      </c>
      <c r="H73" s="82">
        <f>SUM(H65-H47)/SUM(G29:H29)</f>
        <v>60.130434782608695</v>
      </c>
      <c r="I73" s="82">
        <f>SUM(I65-I47)/SUM(G29:I29)</f>
        <v>-10.838461538461539</v>
      </c>
      <c r="J73" s="82">
        <f>SUM(J65-J47)/SUM(G29:J29)</f>
        <v>-12.25</v>
      </c>
      <c r="K73" s="82">
        <f>SUM(K65-K47)/SUM(H29:K29)</f>
        <v>-5.0137931034482754</v>
      </c>
      <c r="L73" s="82">
        <f>SUM(L65-L47)/SUM(I29:L29)</f>
        <v>-3.2434679334916865</v>
      </c>
      <c r="M73" s="82">
        <f>SUM(M65-M47)/SUM(J29:M29)</f>
        <v>-2.70873786407767</v>
      </c>
      <c r="N73" s="82">
        <f>SUM(N65-N47)/SUM(K29:N29)</f>
        <v>-1.8051224944320712</v>
      </c>
      <c r="O73" s="82">
        <f>SUM(O65-O47)/SUM(L29:O29)</f>
        <v>-1.5993346007604563</v>
      </c>
      <c r="P73" s="82">
        <f>SUM(P65-P47)/SUM(M29:P29)</f>
        <v>-1.4565119423163586</v>
      </c>
      <c r="Q73" s="82">
        <f>SUM(Q65-Q47)/SUM(N29:Q29)</f>
        <v>-1.5754877014419</v>
      </c>
      <c r="R73" s="82"/>
      <c r="S73" s="82">
        <f>SUM(S65-S47)/S29</f>
        <v>-12.25</v>
      </c>
      <c r="T73" s="82">
        <f>SUM(T65-T47)/T29</f>
        <v>-5.0137931034482754</v>
      </c>
      <c r="U73" s="82">
        <f>SUM(U65-U47)/U29</f>
        <v>-3.2434679334916865</v>
      </c>
      <c r="V73" s="82">
        <f>SUM(V65-V47)/V29</f>
        <v>-2.70873786407767</v>
      </c>
      <c r="W73" s="82">
        <f>SUM(W65-W47)/W29</f>
        <v>-1.8051224944320712</v>
      </c>
      <c r="X73" s="82">
        <f>SUM(X65-X47)/X29</f>
        <v>-1.5993346007604563</v>
      </c>
      <c r="Y73" s="82">
        <f>SUM(Y65-Y47)/Y29</f>
        <v>-1.4565119423163586</v>
      </c>
      <c r="Z73" s="82">
        <f>SUM(Z65-Z47)/Z29</f>
        <v>-1.5754877014419</v>
      </c>
    </row>
    <row r="74" spans="1:26" ht="12.75" customHeight="1">
      <c r="B74" s="30" t="s">
        <v>95</v>
      </c>
      <c r="C74" s="82">
        <f>C29/-C34</f>
        <v>-2.0188679245283021</v>
      </c>
      <c r="D74" s="82">
        <f>D29/-D34</f>
        <v>4.1052631578947372</v>
      </c>
      <c r="E74" s="82">
        <f>E29/-E34</f>
        <v>49.888888888888886</v>
      </c>
      <c r="G74" s="82" cm="1">
        <f t="array" ref="G74">SUM(G29:G29)/SUM(-G34:G34)</f>
        <v>-0.7</v>
      </c>
      <c r="H74" s="82" cm="1">
        <f t="array" ref="H74">SUM(G29:H29)/SUM(-G34:H34)</f>
        <v>-1.1499999999999999</v>
      </c>
      <c r="I74" s="82" cm="1">
        <f t="array" ref="I74">SUM(G29:I29)/SUM(-G34:I34)</f>
        <v>4.4827586206896548</v>
      </c>
      <c r="J74" s="82" cm="1">
        <f t="array" ref="J74">SUM(G29:J29)/SUM(-G34:J34)</f>
        <v>4.1052631578947372</v>
      </c>
      <c r="K74" s="82" cm="1">
        <f t="array" ref="K74">SUM(H29:K29)/SUM(-H34:K34)</f>
        <v>11.756756756756756</v>
      </c>
      <c r="L74" s="82" cm="1">
        <f t="array" ref="L74">SUM(I29:L29)/SUM(-I34:L34)</f>
        <v>23.388888888888889</v>
      </c>
      <c r="M74" s="82" cm="1">
        <f t="array" ref="M74">SUM(J29:M29)/SUM(-J34:M34)</f>
        <v>34.333333333333336</v>
      </c>
      <c r="N74" s="82" cm="1">
        <f t="array" ref="N74">SUM(K29:N29)/SUM(-K34:N34)</f>
        <v>49.888888888888886</v>
      </c>
      <c r="O74" s="82" cm="1">
        <f t="array" ref="O74">SUM(L29:O29)/SUM(-L34:O34)</f>
        <v>52.6</v>
      </c>
      <c r="P74" s="82" cm="1">
        <f t="array" ref="P74">SUM(M29:P29)/SUM(-M34:P34)</f>
        <v>59.972972972972975</v>
      </c>
      <c r="Q74" s="82" cm="1">
        <f t="array" ref="Q74">SUM(N29:Q29)/SUM(-N34:Q34)</f>
        <v>60.46153846153846</v>
      </c>
      <c r="R74" s="82"/>
      <c r="S74" s="82">
        <f>S29/-S34</f>
        <v>4.1052631578947372</v>
      </c>
      <c r="T74" s="82">
        <f>T29/-T34</f>
        <v>11.756756756756756</v>
      </c>
      <c r="U74" s="82">
        <f>U29/-U34</f>
        <v>23.388888888888889</v>
      </c>
      <c r="V74" s="82">
        <f>V29/-V34</f>
        <v>34.333333333333336</v>
      </c>
      <c r="W74" s="82">
        <f>W29/-W34</f>
        <v>49.888888888888886</v>
      </c>
      <c r="X74" s="82">
        <f>X29/-X34</f>
        <v>52.6</v>
      </c>
      <c r="Y74" s="82">
        <f>Y29/-Y34</f>
        <v>59.972972972972975</v>
      </c>
      <c r="Z74" s="82">
        <f>Z29/-Z34</f>
        <v>60.46153846153846</v>
      </c>
    </row>
    <row r="75" spans="1:26" ht="12.75" customHeight="1">
      <c r="B75" s="30" t="s">
        <v>96</v>
      </c>
      <c r="C75" s="82" cm="1">
        <f t="array" ref="C75">SUM(C29+C32)/SUM(-C33:C34)</f>
        <v>-1.375</v>
      </c>
      <c r="D75" s="82" cm="1">
        <f t="array" ref="D75">SUM(D29+D32)/SUM(-D33:D34)</f>
        <v>1.8518518518518519</v>
      </c>
      <c r="E75" s="82" cm="1">
        <f t="array" ref="E75">SUM(E29+E32)/SUM(-E33:E34)</f>
        <v>19.988764044943821</v>
      </c>
      <c r="G75" s="82" cm="1">
        <f t="array" ref="G75">SUM(G29:G29+G32:G32)/SUM(-G33:G34)</f>
        <v>-0.45</v>
      </c>
      <c r="H75" s="82" cm="1">
        <f t="array" ref="H75">SUM(G29:H29+G32:H32)/SUM(-G33:H34)</f>
        <v>-0.6</v>
      </c>
      <c r="I75" s="82" cm="1">
        <f t="array" ref="I75">SUM(G29:I29+G32:I32)/SUM(-G33:I34)</f>
        <v>2.0491803278688523</v>
      </c>
      <c r="J75" s="82" cm="1">
        <f t="array" ref="J75">SUM(G29:J29+G32:J32)/SUM(-G33:J34)</f>
        <v>1.8518518518518519</v>
      </c>
      <c r="K75" s="82" cm="1">
        <f t="array" ref="K75">SUM(H29:K29+H32:K32)/SUM(-H33:K34)</f>
        <v>5.68</v>
      </c>
      <c r="L75" s="82" cm="1">
        <f t="array" ref="L75">SUM(I29:L29+I32:L32)/SUM(-I33:L34)</f>
        <v>10.158536585365853</v>
      </c>
      <c r="M75" s="82" cm="1">
        <f t="array" ref="M75">SUM(J29:M29+J32:M32)/SUM(-J33:M34)</f>
        <v>13.6</v>
      </c>
      <c r="N75" s="82" cm="1">
        <f t="array" ref="N75">SUM(K29:N29+K32:N32)/SUM(-K33:N34)</f>
        <v>19.988764044943821</v>
      </c>
      <c r="O75" s="82" cm="1">
        <f t="array" ref="O75">SUM(L29:O29+L32:O32)/SUM(-L33:O34)</f>
        <v>19.495327102803738</v>
      </c>
      <c r="P75" s="82" cm="1">
        <f t="array" ref="P75">SUM(M29:P29+M32:P32)/SUM(-M33:P34)</f>
        <v>15.776978417266188</v>
      </c>
      <c r="Q75" s="82" cm="1">
        <f t="array" ref="Q75">SUM(N29:Q29+N32:Q32)/SUM(-N33:Q34)</f>
        <v>17.65648854961832</v>
      </c>
      <c r="R75" s="82"/>
      <c r="S75" s="82" cm="1">
        <f t="array" ref="S75">SUM(S29+S32)/SUM(-S33:S34)</f>
        <v>1.8518518518518519</v>
      </c>
      <c r="T75" s="82" cm="1">
        <f t="array" ref="T75">SUM(T29+T32)/SUM(-T33:T34)</f>
        <v>5.68</v>
      </c>
      <c r="U75" s="82" cm="1">
        <f t="array" ref="U75">SUM(U29+U32)/SUM(-U33:U34)</f>
        <v>10.158536585365853</v>
      </c>
      <c r="V75" s="82" cm="1">
        <f t="array" ref="V75">SUM(V29+V32)/SUM(-V33:V34)</f>
        <v>13.6</v>
      </c>
      <c r="W75" s="82" cm="1">
        <f t="array" ref="W75">SUM(W29+W32)/SUM(-W33:W34)</f>
        <v>19.988764044943821</v>
      </c>
      <c r="X75" s="82" cm="1">
        <f t="array" ref="X75">SUM(X29+X32)/SUM(-X33:X34)</f>
        <v>19.495327102803738</v>
      </c>
      <c r="Y75" s="82" cm="1">
        <f t="array" ref="Y75">SUM(Y29+Y32)/SUM(-Y33:Y34)</f>
        <v>15.776978417266188</v>
      </c>
      <c r="Z75" s="82" cm="1">
        <f t="array" ref="Z75">SUM(Z29+Z32)/SUM(-Z33:Z34)</f>
        <v>17.65648854961832</v>
      </c>
    </row>
    <row r="76" spans="1:26" ht="12.75" customHeight="1">
      <c r="B76" s="30" t="s">
        <v>97</v>
      </c>
      <c r="C76" s="82" cm="1">
        <f t="array" ref="C76">SUM(C29)/SUM(-C32:C34)</f>
        <v>-0.88429752066115708</v>
      </c>
      <c r="D76" s="82" cm="1">
        <f t="array" ref="D76">SUM(D29)/SUM(-D32:D34)</f>
        <v>1.7931034482758621</v>
      </c>
      <c r="E76" s="82" cm="1">
        <f t="array" ref="E76">SUM(E29)/SUM(-E32:E34)</f>
        <v>16.943396226415093</v>
      </c>
      <c r="G76" s="82" cm="1">
        <f t="array" ref="G76">SUM(G29:G29)/SUM(-G32:G34)</f>
        <v>-0.31818181818181818</v>
      </c>
      <c r="H76" s="82" cm="1">
        <f t="array" ref="H76">SUM(G29:H29)/SUM(-G32:H34)</f>
        <v>-0.46938775510204084</v>
      </c>
      <c r="I76" s="82" cm="1">
        <f t="array" ref="I76">SUM(G29:I29)/SUM(-G32:I34)</f>
        <v>1.9696969696969697</v>
      </c>
      <c r="J76" s="82" cm="1">
        <f t="array" ref="J76">SUM(G29:J29)/SUM(-G32:J34)</f>
        <v>1.7931034482758621</v>
      </c>
      <c r="K76" s="82" cm="1">
        <f t="array" ref="K76">SUM(H29:K29)/SUM(-H32:K34)</f>
        <v>5.1785714285714288</v>
      </c>
      <c r="L76" s="82" cm="1">
        <f t="array" ref="L76">SUM(I29:L29)/SUM(-I32:L34)</f>
        <v>9.2527472527472536</v>
      </c>
      <c r="M76" s="82" cm="1">
        <f t="array" ref="M76">SUM(J29:M29)/SUM(-J32:M34)</f>
        <v>12.117647058823529</v>
      </c>
      <c r="N76" s="82" cm="1">
        <f t="array" ref="N76">SUM(K29:N29)/SUM(-K32:N34)</f>
        <v>16.943396226415093</v>
      </c>
      <c r="O76" s="82" cm="1">
        <f t="array" ref="O76">SUM(L29:O29)/SUM(-L32:O34)</f>
        <v>16.832000000000001</v>
      </c>
      <c r="P76" s="82" cm="1">
        <f t="array" ref="P76">SUM(M29:P29)/SUM(-M32:P34)</f>
        <v>13.448484848484849</v>
      </c>
      <c r="Q76" s="82" cm="1">
        <f t="array" ref="Q76">SUM(N29:Q29)/SUM(-N32:Q34)</f>
        <v>13.397727272727273</v>
      </c>
      <c r="R76" s="82"/>
      <c r="S76" s="82" cm="1">
        <f t="array" ref="S76">SUM(S29)/SUM(-S32:S34)</f>
        <v>1.7931034482758621</v>
      </c>
      <c r="T76" s="82" cm="1">
        <f t="array" ref="T76">SUM(T29)/SUM(-T32:T34)</f>
        <v>5.1785714285714288</v>
      </c>
      <c r="U76" s="82" cm="1">
        <f t="array" ref="U76">SUM(U29)/SUM(-U32:U34)</f>
        <v>9.2527472527472536</v>
      </c>
      <c r="V76" s="82" cm="1">
        <f t="array" ref="V76">SUM(V29)/SUM(-V32:V34)</f>
        <v>12.117647058823529</v>
      </c>
      <c r="W76" s="82" cm="1">
        <f t="array" ref="W76">SUM(W29)/SUM(-W32:W34)</f>
        <v>16.943396226415093</v>
      </c>
      <c r="X76" s="82" cm="1">
        <f t="array" ref="X76">SUM(X29)/SUM(-X32:X34)</f>
        <v>16.832000000000001</v>
      </c>
      <c r="Y76" s="82" cm="1">
        <f t="array" ref="Y76">SUM(Y29)/SUM(-Y32:Y34)</f>
        <v>13.448484848484849</v>
      </c>
      <c r="Z76" s="82" cm="1">
        <f t="array" ref="Z76">SUM(Z29)/SUM(-Z32:Z34)</f>
        <v>13.397727272727273</v>
      </c>
    </row>
    <row r="77" spans="1:26" ht="12.75" customHeight="1">
      <c r="B77" s="8" t="s">
        <v>48</v>
      </c>
      <c r="C77" s="82">
        <f>C68/C65</f>
        <v>3.1285460992907801</v>
      </c>
      <c r="D77" s="82">
        <f>D68/D65</f>
        <v>3.0972568578553616</v>
      </c>
      <c r="E77" s="82">
        <f>E68/E65</f>
        <v>4.5899935022742042</v>
      </c>
      <c r="G77" s="82">
        <f t="shared" ref="G77:P77" si="46">G68/G65</f>
        <v>3.0259515570934257</v>
      </c>
      <c r="H77" s="82">
        <f t="shared" si="46"/>
        <v>2.7600685518423309</v>
      </c>
      <c r="I77" s="82">
        <f t="shared" si="46"/>
        <v>2.7692307692307692</v>
      </c>
      <c r="J77" s="82">
        <f t="shared" si="46"/>
        <v>3.0972568578553616</v>
      </c>
      <c r="K77" s="82">
        <f t="shared" si="46"/>
        <v>3.6055118110236219</v>
      </c>
      <c r="L77" s="82">
        <f t="shared" si="46"/>
        <v>4.2191987906273622</v>
      </c>
      <c r="M77" s="82">
        <f t="shared" si="46"/>
        <v>4.4574626865671645</v>
      </c>
      <c r="N77" s="82">
        <f t="shared" si="46"/>
        <v>4.5899935022742042</v>
      </c>
      <c r="O77" s="82">
        <f t="shared" si="46"/>
        <v>4.7769044740024187</v>
      </c>
      <c r="P77" s="82">
        <f t="shared" si="46"/>
        <v>4.4354587869362367</v>
      </c>
      <c r="Q77" s="82">
        <f>Q68/Q65</f>
        <v>5.4681217690982198</v>
      </c>
      <c r="R77" s="82"/>
      <c r="S77" s="82">
        <f t="shared" ref="S77:X77" si="47">S68/S65</f>
        <v>3.0972568578553616</v>
      </c>
      <c r="T77" s="82">
        <f t="shared" si="47"/>
        <v>3.6055118110236219</v>
      </c>
      <c r="U77" s="82">
        <f t="shared" si="47"/>
        <v>4.2191987906273622</v>
      </c>
      <c r="V77" s="82">
        <f t="shared" si="47"/>
        <v>4.4574626865671645</v>
      </c>
      <c r="W77" s="82">
        <f t="shared" si="47"/>
        <v>4.5899935022742042</v>
      </c>
      <c r="X77" s="82">
        <f t="shared" si="47"/>
        <v>4.7769044740024187</v>
      </c>
      <c r="Y77" s="82">
        <f>Y68/Y65</f>
        <v>4.4354587869362367</v>
      </c>
      <c r="Z77" s="82">
        <f>Z68/Z65</f>
        <v>5.4681217690982198</v>
      </c>
    </row>
    <row r="78" spans="1:26" ht="5.0999999999999996" customHeight="1" thickBot="1"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</row>
  </sheetData>
  <mergeCells count="1">
    <mergeCell ref="AB2:AB4"/>
  </mergeCells>
  <dataValidations disablePrompts="1" count="1">
    <dataValidation type="list" allowBlank="1" showInputMessage="1" showErrorMessage="1" sqref="B4" xr:uid="{1A351C5F-161D-4B90-AFF5-74655A629BE5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A37:AB37 F32:F34 F39 AA39:AB39 AA35 AA36 F35 AA38:AB38 G36:P37 F38 C36:F37 C38:E38 Q36:Q37 G38:Q38" formulaRange="1"/>
    <ignoredError sqref="C10:F11 F12 R12 F17:F20 R17:R19 R23 F27 AB29:AB36 R27 AB8:AB12 F14 F23:F24 C72:R77 G11:R11 C21:R22 C15:R16 C25:R26 C30:R30 K9:R9 D9:F9 H10:R10 AB14:AB27 F29 W12:Z12 S17:Z19 S23:Z23 S27:Z27 S72:Z77 S11:Z11 S21:Z22 S15:Z16 S25:Z26 S30:Z30 W9:Z9 S10:Z10" evalError="1"/>
    <ignoredError sqref="W41:Z41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2025-12-13T00:22:00Z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