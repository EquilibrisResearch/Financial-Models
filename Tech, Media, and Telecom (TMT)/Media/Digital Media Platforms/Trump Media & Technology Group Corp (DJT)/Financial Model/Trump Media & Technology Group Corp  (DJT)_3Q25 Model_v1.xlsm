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9ADA4EC3-1A0E-46A9-8D50-098E01B8F7AD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FCF" sheetId="9" r:id="rId2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3" i="8" l="1"/>
  <c r="H142" i="8"/>
  <c r="H125" i="8"/>
  <c r="H116" i="8"/>
  <c r="H112" i="8"/>
  <c r="H110" i="8"/>
  <c r="J110" i="8" s="1"/>
  <c r="H109" i="8"/>
  <c r="H108" i="8"/>
  <c r="J108" i="8" s="1"/>
  <c r="H105" i="8"/>
  <c r="J105" i="8" s="1"/>
  <c r="V105" i="8" s="1"/>
  <c r="H100" i="8"/>
  <c r="J100" i="8" s="1"/>
  <c r="H99" i="8"/>
  <c r="H98" i="8"/>
  <c r="J98" i="8" s="1"/>
  <c r="K141" i="8"/>
  <c r="G145" i="8"/>
  <c r="N117" i="8"/>
  <c r="J117" i="8"/>
  <c r="C112" i="8"/>
  <c r="D112" i="8"/>
  <c r="E112" i="8"/>
  <c r="N112" i="8" s="1"/>
  <c r="E129" i="8"/>
  <c r="D125" i="8"/>
  <c r="J109" i="8"/>
  <c r="N110" i="8"/>
  <c r="N109" i="8"/>
  <c r="P52" i="8"/>
  <c r="P61" i="8" s="1"/>
  <c r="O52" i="8"/>
  <c r="O61" i="8" s="1"/>
  <c r="M52" i="8"/>
  <c r="M61" i="8" s="1"/>
  <c r="L52" i="8"/>
  <c r="K52" i="8"/>
  <c r="K61" i="8" s="1"/>
  <c r="I52" i="8"/>
  <c r="I61" i="8" s="1"/>
  <c r="H52" i="8"/>
  <c r="H61" i="8" s="1"/>
  <c r="G52" i="8"/>
  <c r="G61" i="8" s="1"/>
  <c r="L61" i="8"/>
  <c r="P68" i="8"/>
  <c r="P81" i="8"/>
  <c r="P84" i="8" s="1"/>
  <c r="O81" i="8"/>
  <c r="O84" i="8" s="1"/>
  <c r="M81" i="8"/>
  <c r="M84" i="8" s="1"/>
  <c r="L81" i="8"/>
  <c r="L84" i="8" s="1"/>
  <c r="K81" i="8"/>
  <c r="K84" i="8" s="1"/>
  <c r="H77" i="8"/>
  <c r="H81" i="8" s="1"/>
  <c r="H84" i="8" s="1"/>
  <c r="H67" i="8"/>
  <c r="H65" i="8"/>
  <c r="G77" i="8"/>
  <c r="G81" i="8" s="1"/>
  <c r="G84" i="8" s="1"/>
  <c r="G67" i="8"/>
  <c r="G65" i="8"/>
  <c r="G68" i="8" s="1"/>
  <c r="G74" i="8" s="1"/>
  <c r="I77" i="8"/>
  <c r="I81" i="8" s="1"/>
  <c r="I84" i="8" s="1"/>
  <c r="I65" i="8"/>
  <c r="I67" i="8"/>
  <c r="C67" i="8"/>
  <c r="C77" i="8"/>
  <c r="C65" i="8"/>
  <c r="Z59" i="8"/>
  <c r="Y59" i="8"/>
  <c r="X59" i="8"/>
  <c r="V59" i="8"/>
  <c r="U59" i="8"/>
  <c r="T59" i="8"/>
  <c r="N59" i="8"/>
  <c r="W59" i="8" s="1"/>
  <c r="J59" i="8"/>
  <c r="S59" i="8" s="1"/>
  <c r="K67" i="8"/>
  <c r="K68" i="8" s="1"/>
  <c r="K74" i="8" s="1"/>
  <c r="L67" i="8"/>
  <c r="L68" i="8" s="1"/>
  <c r="L74" i="8" s="1"/>
  <c r="M67" i="8"/>
  <c r="M68" i="8" s="1"/>
  <c r="M74" i="8" s="1"/>
  <c r="N106" i="8"/>
  <c r="W106" i="8" s="1"/>
  <c r="J106" i="8"/>
  <c r="V106" i="8" s="1"/>
  <c r="N105" i="8"/>
  <c r="W105" i="8" s="1"/>
  <c r="J141" i="8"/>
  <c r="N141" i="8"/>
  <c r="N140" i="8"/>
  <c r="J140" i="8"/>
  <c r="J149" i="8"/>
  <c r="J148" i="8"/>
  <c r="N132" i="8"/>
  <c r="J132" i="8"/>
  <c r="N131" i="8"/>
  <c r="J131" i="8"/>
  <c r="N130" i="8"/>
  <c r="J130" i="8"/>
  <c r="N149" i="8"/>
  <c r="N148" i="8"/>
  <c r="N121" i="8"/>
  <c r="Z121" i="8" s="1"/>
  <c r="J121" i="8"/>
  <c r="T121" i="8" s="1"/>
  <c r="N120" i="8"/>
  <c r="Z120" i="8" s="1"/>
  <c r="J120" i="8"/>
  <c r="V120" i="8" s="1"/>
  <c r="N119" i="8"/>
  <c r="Z119" i="8" s="1"/>
  <c r="J119" i="8"/>
  <c r="U119" i="8" s="1"/>
  <c r="N118" i="8"/>
  <c r="Z118" i="8" s="1"/>
  <c r="J118" i="8"/>
  <c r="V118" i="8" s="1"/>
  <c r="N20" i="8"/>
  <c r="Y20" i="8" s="1"/>
  <c r="J20" i="8"/>
  <c r="U20" i="8" s="1"/>
  <c r="Q67" i="8"/>
  <c r="O67" i="8"/>
  <c r="O68" i="8" s="1"/>
  <c r="O74" i="8" s="1"/>
  <c r="E67" i="8"/>
  <c r="N67" i="8" s="1"/>
  <c r="D67" i="8"/>
  <c r="J67" i="8" s="1"/>
  <c r="Z66" i="8"/>
  <c r="Y66" i="8"/>
  <c r="X66" i="8"/>
  <c r="V66" i="8"/>
  <c r="U66" i="8"/>
  <c r="T66" i="8"/>
  <c r="N66" i="8"/>
  <c r="W66" i="8" s="1"/>
  <c r="J66" i="8"/>
  <c r="S66" i="8" s="1"/>
  <c r="J65" i="8"/>
  <c r="N65" i="8"/>
  <c r="Z72" i="8"/>
  <c r="Y72" i="8"/>
  <c r="X72" i="8"/>
  <c r="V72" i="8"/>
  <c r="U72" i="8"/>
  <c r="T72" i="8"/>
  <c r="N72" i="8"/>
  <c r="W72" i="8" s="1"/>
  <c r="J72" i="8"/>
  <c r="S72" i="8" s="1"/>
  <c r="Q71" i="8"/>
  <c r="Z71" i="8" s="1"/>
  <c r="P71" i="8"/>
  <c r="Y71" i="8" s="1"/>
  <c r="Z57" i="8"/>
  <c r="Y57" i="8"/>
  <c r="X57" i="8"/>
  <c r="V57" i="8"/>
  <c r="U57" i="8"/>
  <c r="T57" i="8"/>
  <c r="N57" i="8"/>
  <c r="W57" i="8" s="1"/>
  <c r="J57" i="8"/>
  <c r="S57" i="8" s="1"/>
  <c r="Z83" i="8"/>
  <c r="Y83" i="8"/>
  <c r="X83" i="8"/>
  <c r="V83" i="8"/>
  <c r="U83" i="8"/>
  <c r="T83" i="8"/>
  <c r="N83" i="8"/>
  <c r="W83" i="8" s="1"/>
  <c r="J83" i="8"/>
  <c r="S83" i="8" s="1"/>
  <c r="X71" i="8"/>
  <c r="V71" i="8"/>
  <c r="U71" i="8"/>
  <c r="T71" i="8"/>
  <c r="N71" i="8"/>
  <c r="W71" i="8" s="1"/>
  <c r="J71" i="8"/>
  <c r="S71" i="8" s="1"/>
  <c r="Z49" i="8"/>
  <c r="Y49" i="8"/>
  <c r="X49" i="8"/>
  <c r="V49" i="8"/>
  <c r="U49" i="8"/>
  <c r="T49" i="8"/>
  <c r="N49" i="8"/>
  <c r="W49" i="8" s="1"/>
  <c r="J49" i="8"/>
  <c r="S49" i="8" s="1"/>
  <c r="Z47" i="8"/>
  <c r="Y47" i="8"/>
  <c r="X47" i="8"/>
  <c r="V47" i="8"/>
  <c r="U47" i="8"/>
  <c r="T47" i="8"/>
  <c r="N47" i="8"/>
  <c r="W47" i="8" s="1"/>
  <c r="J47" i="8"/>
  <c r="S47" i="8" s="1"/>
  <c r="K27" i="8"/>
  <c r="Z77" i="8"/>
  <c r="Y77" i="8"/>
  <c r="X77" i="8"/>
  <c r="V77" i="8"/>
  <c r="U77" i="8"/>
  <c r="T77" i="8"/>
  <c r="N77" i="8"/>
  <c r="W77" i="8" s="1"/>
  <c r="J77" i="8"/>
  <c r="S77" i="8" s="1"/>
  <c r="Z73" i="8"/>
  <c r="Y73" i="8"/>
  <c r="X73" i="8"/>
  <c r="V73" i="8"/>
  <c r="U73" i="8"/>
  <c r="T73" i="8"/>
  <c r="N73" i="8"/>
  <c r="W73" i="8" s="1"/>
  <c r="J73" i="8"/>
  <c r="S73" i="8" s="1"/>
  <c r="Z56" i="8"/>
  <c r="Y56" i="8"/>
  <c r="X56" i="8"/>
  <c r="V56" i="8"/>
  <c r="U56" i="8"/>
  <c r="T56" i="8"/>
  <c r="N56" i="8"/>
  <c r="W56" i="8" s="1"/>
  <c r="J56" i="8"/>
  <c r="S56" i="8" s="1"/>
  <c r="Z48" i="8"/>
  <c r="Y48" i="8"/>
  <c r="X48" i="8"/>
  <c r="V48" i="8"/>
  <c r="U48" i="8"/>
  <c r="T48" i="8"/>
  <c r="N48" i="8"/>
  <c r="W48" i="8" s="1"/>
  <c r="J48" i="8"/>
  <c r="S48" i="8" s="1"/>
  <c r="N13" i="8"/>
  <c r="J13" i="8"/>
  <c r="E27" i="8"/>
  <c r="N19" i="8"/>
  <c r="J19" i="8"/>
  <c r="N18" i="8"/>
  <c r="X18" i="8" s="1"/>
  <c r="J18" i="8"/>
  <c r="V18" i="8" s="1"/>
  <c r="N17" i="8"/>
  <c r="J17" i="8"/>
  <c r="AG20" i="9"/>
  <c r="AF20" i="9"/>
  <c r="AE20" i="9"/>
  <c r="AD20" i="9"/>
  <c r="AC20" i="9"/>
  <c r="AB20" i="9"/>
  <c r="AA20" i="9"/>
  <c r="Z20" i="9"/>
  <c r="Y20" i="9"/>
  <c r="X20" i="9"/>
  <c r="W20" i="9"/>
  <c r="V20" i="9"/>
  <c r="D20" i="9"/>
  <c r="C20" i="9"/>
  <c r="N38" i="8"/>
  <c r="W38" i="8" s="1"/>
  <c r="J38" i="8"/>
  <c r="S38" i="8" s="1"/>
  <c r="J35" i="8"/>
  <c r="S35" i="8" s="1"/>
  <c r="N31" i="8"/>
  <c r="J31" i="8"/>
  <c r="J27" i="8"/>
  <c r="N26" i="8"/>
  <c r="J26" i="8"/>
  <c r="N25" i="8"/>
  <c r="J25" i="8"/>
  <c r="N21" i="8"/>
  <c r="J21" i="8"/>
  <c r="N51" i="8"/>
  <c r="J51" i="8"/>
  <c r="N50" i="8"/>
  <c r="J50" i="8"/>
  <c r="N46" i="8"/>
  <c r="J46" i="8"/>
  <c r="N60" i="8"/>
  <c r="J60" i="8"/>
  <c r="N58" i="8"/>
  <c r="J58" i="8"/>
  <c r="N55" i="8"/>
  <c r="J55" i="8"/>
  <c r="N64" i="8"/>
  <c r="J64" i="8"/>
  <c r="N104" i="8"/>
  <c r="J104" i="8"/>
  <c r="N103" i="8"/>
  <c r="J103" i="8"/>
  <c r="N102" i="8"/>
  <c r="J102" i="8"/>
  <c r="N101" i="8"/>
  <c r="J101" i="8"/>
  <c r="N100" i="8"/>
  <c r="N99" i="8"/>
  <c r="J99" i="8"/>
  <c r="N98" i="8"/>
  <c r="N111" i="8"/>
  <c r="J111" i="8"/>
  <c r="N108" i="8"/>
  <c r="N116" i="8"/>
  <c r="J116" i="8"/>
  <c r="Y35" i="8"/>
  <c r="X35" i="8"/>
  <c r="V35" i="8"/>
  <c r="U35" i="8"/>
  <c r="T35" i="8"/>
  <c r="Z35" i="8"/>
  <c r="Y38" i="8"/>
  <c r="X38" i="8"/>
  <c r="V38" i="8"/>
  <c r="U38" i="8"/>
  <c r="T38" i="8"/>
  <c r="Z38" i="8"/>
  <c r="N35" i="8"/>
  <c r="W35" i="8" s="1"/>
  <c r="AG68" i="9"/>
  <c r="AF68" i="9"/>
  <c r="AE68" i="9"/>
  <c r="AC68" i="9"/>
  <c r="AB68" i="9"/>
  <c r="AA68" i="9"/>
  <c r="Y68" i="9"/>
  <c r="X68" i="9"/>
  <c r="W68" i="9"/>
  <c r="U68" i="9"/>
  <c r="AD68" i="9"/>
  <c r="Z68" i="9"/>
  <c r="V68" i="9"/>
  <c r="C69" i="9"/>
  <c r="D69" i="9"/>
  <c r="J112" i="8" l="1"/>
  <c r="Y106" i="8"/>
  <c r="X106" i="8"/>
  <c r="Y105" i="8"/>
  <c r="X105" i="8"/>
  <c r="J68" i="8"/>
  <c r="J74" i="8" s="1"/>
  <c r="N68" i="8"/>
  <c r="N74" i="8" s="1"/>
  <c r="N52" i="8"/>
  <c r="N61" i="8" s="1"/>
  <c r="J52" i="8"/>
  <c r="J61" i="8" s="1"/>
  <c r="I68" i="8"/>
  <c r="I74" i="8" s="1"/>
  <c r="I85" i="8" s="1"/>
  <c r="H68" i="8"/>
  <c r="H74" i="8" s="1"/>
  <c r="H85" i="8" s="1"/>
  <c r="AB59" i="8"/>
  <c r="M85" i="8"/>
  <c r="P74" i="8"/>
  <c r="P85" i="8" s="1"/>
  <c r="G85" i="8"/>
  <c r="O85" i="8"/>
  <c r="L85" i="8"/>
  <c r="K85" i="8"/>
  <c r="V121" i="8"/>
  <c r="AB121" i="8" s="1"/>
  <c r="Y121" i="8"/>
  <c r="S118" i="8"/>
  <c r="X121" i="8"/>
  <c r="U121" i="8"/>
  <c r="W121" i="8"/>
  <c r="S121" i="8"/>
  <c r="Y120" i="8"/>
  <c r="V119" i="8"/>
  <c r="AB119" i="8" s="1"/>
  <c r="T119" i="8"/>
  <c r="X119" i="8"/>
  <c r="W118" i="8"/>
  <c r="Y119" i="8"/>
  <c r="X118" i="8"/>
  <c r="Y118" i="8"/>
  <c r="U120" i="8"/>
  <c r="AB118" i="8"/>
  <c r="AB120" i="8"/>
  <c r="S120" i="8"/>
  <c r="W119" i="8"/>
  <c r="T120" i="8"/>
  <c r="T118" i="8"/>
  <c r="U118" i="8"/>
  <c r="W120" i="8"/>
  <c r="S119" i="8"/>
  <c r="X120" i="8"/>
  <c r="T18" i="8"/>
  <c r="T20" i="8"/>
  <c r="Y18" i="8"/>
  <c r="Z18" i="8"/>
  <c r="S20" i="8"/>
  <c r="V20" i="8"/>
  <c r="W20" i="8"/>
  <c r="X20" i="8"/>
  <c r="Z20" i="8"/>
  <c r="S18" i="8"/>
  <c r="U18" i="8"/>
  <c r="W18" i="8"/>
  <c r="AB83" i="8"/>
  <c r="AB66" i="8"/>
  <c r="AB72" i="8"/>
  <c r="AB57" i="8"/>
  <c r="AB71" i="8"/>
  <c r="N27" i="8"/>
  <c r="AB73" i="8"/>
  <c r="AB56" i="8"/>
  <c r="AI20" i="9"/>
  <c r="U20" i="9"/>
  <c r="AB38" i="8"/>
  <c r="AB20" i="8" l="1"/>
  <c r="AG60" i="9"/>
  <c r="AF60" i="9"/>
  <c r="AE60" i="9"/>
  <c r="AC60" i="9"/>
  <c r="D60" i="9"/>
  <c r="C60" i="9"/>
  <c r="S66" i="9"/>
  <c r="AG66" i="9" s="1"/>
  <c r="R66" i="9"/>
  <c r="AF66" i="9" s="1"/>
  <c r="Q66" i="9"/>
  <c r="AE66" i="9" s="1"/>
  <c r="O66" i="9"/>
  <c r="AC66" i="9" s="1"/>
  <c r="N66" i="9"/>
  <c r="M66" i="9"/>
  <c r="K66" i="9"/>
  <c r="J66" i="9"/>
  <c r="I66" i="9"/>
  <c r="S65" i="9"/>
  <c r="AG65" i="9" s="1"/>
  <c r="R65" i="9"/>
  <c r="AF65" i="9" s="1"/>
  <c r="Q65" i="9"/>
  <c r="AE65" i="9" s="1"/>
  <c r="O65" i="9"/>
  <c r="AC65" i="9" s="1"/>
  <c r="N65" i="9"/>
  <c r="M65" i="9"/>
  <c r="K65" i="9"/>
  <c r="J65" i="9"/>
  <c r="I65" i="9"/>
  <c r="G66" i="9"/>
  <c r="F66" i="9"/>
  <c r="E66" i="9"/>
  <c r="D66" i="9"/>
  <c r="C66" i="9"/>
  <c r="G65" i="9"/>
  <c r="F65" i="9"/>
  <c r="E65" i="9"/>
  <c r="D65" i="9"/>
  <c r="C65" i="9"/>
  <c r="AG59" i="9"/>
  <c r="AF59" i="9"/>
  <c r="AE59" i="9"/>
  <c r="AC59" i="9"/>
  <c r="D59" i="9"/>
  <c r="C59" i="9"/>
  <c r="D58" i="9"/>
  <c r="C58" i="9"/>
  <c r="D57" i="9"/>
  <c r="C57" i="9"/>
  <c r="C44" i="9"/>
  <c r="D44" i="9"/>
  <c r="D45" i="9"/>
  <c r="C45" i="9"/>
  <c r="D43" i="9"/>
  <c r="C43" i="9"/>
  <c r="D52" i="9"/>
  <c r="C52" i="9"/>
  <c r="D51" i="9"/>
  <c r="C51" i="9"/>
  <c r="D42" i="9"/>
  <c r="C42" i="9"/>
  <c r="D41" i="9"/>
  <c r="C41" i="9"/>
  <c r="D40" i="9"/>
  <c r="C40" i="9"/>
  <c r="D37" i="9"/>
  <c r="C37" i="9"/>
  <c r="D36" i="9"/>
  <c r="C36" i="9"/>
  <c r="D35" i="9"/>
  <c r="C35" i="9"/>
  <c r="D34" i="9"/>
  <c r="C34" i="9"/>
  <c r="D30" i="9"/>
  <c r="C30" i="9"/>
  <c r="D26" i="9"/>
  <c r="C26" i="9"/>
  <c r="D22" i="9"/>
  <c r="C22" i="9"/>
  <c r="D21" i="9"/>
  <c r="C21" i="9"/>
  <c r="D19" i="9"/>
  <c r="C19" i="9"/>
  <c r="Z141" i="8"/>
  <c r="Q137" i="8"/>
  <c r="X141" i="8"/>
  <c r="Z137" i="8"/>
  <c r="M137" i="8"/>
  <c r="L137" i="8"/>
  <c r="J137" i="8"/>
  <c r="I137" i="8"/>
  <c r="G133" i="8"/>
  <c r="H133" i="8"/>
  <c r="I133" i="8"/>
  <c r="H137" i="8"/>
  <c r="O137" i="8"/>
  <c r="K137" i="8"/>
  <c r="C15" i="9"/>
  <c r="N128" i="8"/>
  <c r="Z128" i="8" s="1"/>
  <c r="J128" i="8"/>
  <c r="V128" i="8" s="1"/>
  <c r="N127" i="8"/>
  <c r="Z127" i="8" s="1"/>
  <c r="J127" i="8"/>
  <c r="U127" i="8" s="1"/>
  <c r="N126" i="8"/>
  <c r="X126" i="8" s="1"/>
  <c r="J126" i="8"/>
  <c r="V126" i="8" s="1"/>
  <c r="N125" i="8"/>
  <c r="Y125" i="8" s="1"/>
  <c r="J125" i="8"/>
  <c r="U125" i="8" s="1"/>
  <c r="Z104" i="8"/>
  <c r="V104" i="8"/>
  <c r="Z103" i="8"/>
  <c r="T103" i="8"/>
  <c r="Y102" i="8"/>
  <c r="U102" i="8"/>
  <c r="Y101" i="8"/>
  <c r="V101" i="8"/>
  <c r="Y100" i="8"/>
  <c r="V100" i="8"/>
  <c r="X99" i="8"/>
  <c r="V99" i="8"/>
  <c r="P65" i="9"/>
  <c r="AD65" i="9" s="1"/>
  <c r="L65" i="9"/>
  <c r="AD60" i="9"/>
  <c r="AD59" i="9"/>
  <c r="P66" i="9"/>
  <c r="AD66" i="9" s="1"/>
  <c r="L66" i="9"/>
  <c r="N79" i="8"/>
  <c r="J79" i="8"/>
  <c r="N78" i="8"/>
  <c r="J78" i="8"/>
  <c r="N76" i="8"/>
  <c r="J76" i="8"/>
  <c r="X116" i="8"/>
  <c r="V116" i="8"/>
  <c r="N129" i="8"/>
  <c r="Z129" i="8" s="1"/>
  <c r="J129" i="8"/>
  <c r="U129" i="8" s="1"/>
  <c r="D15" i="9" l="1"/>
  <c r="P137" i="8"/>
  <c r="AB128" i="8"/>
  <c r="AC44" i="9"/>
  <c r="S148" i="8"/>
  <c r="Z101" i="8"/>
  <c r="AB101" i="8" s="1"/>
  <c r="AB104" i="8"/>
  <c r="U103" i="8"/>
  <c r="V103" i="8"/>
  <c r="AB103" i="8" s="1"/>
  <c r="S125" i="8"/>
  <c r="U137" i="8"/>
  <c r="W137" i="8"/>
  <c r="Z116" i="8"/>
  <c r="V127" i="8"/>
  <c r="AB127" i="8" s="1"/>
  <c r="U101" i="8"/>
  <c r="X128" i="8"/>
  <c r="V102" i="8"/>
  <c r="X103" i="8"/>
  <c r="W126" i="8"/>
  <c r="V129" i="8"/>
  <c r="AB129" i="8" s="1"/>
  <c r="X100" i="8"/>
  <c r="W102" i="8"/>
  <c r="T104" i="8"/>
  <c r="Y126" i="8"/>
  <c r="W129" i="8"/>
  <c r="T141" i="8"/>
  <c r="S99" i="8"/>
  <c r="U104" i="8"/>
  <c r="Z126" i="8"/>
  <c r="AB126" i="8" s="1"/>
  <c r="Y129" i="8"/>
  <c r="U141" i="8"/>
  <c r="T99" i="8"/>
  <c r="S127" i="8"/>
  <c r="W128" i="8"/>
  <c r="W141" i="8"/>
  <c r="W99" i="8"/>
  <c r="S116" i="8"/>
  <c r="Y99" i="8"/>
  <c r="W101" i="8"/>
  <c r="U116" i="8"/>
  <c r="X125" i="8"/>
  <c r="X127" i="8"/>
  <c r="Z99" i="8"/>
  <c r="AB99" i="8" s="1"/>
  <c r="X101" i="8"/>
  <c r="Y116" i="8"/>
  <c r="Z125" i="8"/>
  <c r="Y127" i="8"/>
  <c r="AD44" i="9"/>
  <c r="AE44" i="9"/>
  <c r="G11" i="9"/>
  <c r="AF44" i="9"/>
  <c r="AG44" i="9"/>
  <c r="C11" i="9"/>
  <c r="D11" i="9"/>
  <c r="E11" i="9"/>
  <c r="F11" i="9"/>
  <c r="L11" i="9"/>
  <c r="J11" i="9"/>
  <c r="K11" i="9"/>
  <c r="I11" i="9"/>
  <c r="R11" i="9"/>
  <c r="Q11" i="9"/>
  <c r="S11" i="9"/>
  <c r="O11" i="9"/>
  <c r="N11" i="9"/>
  <c r="P11" i="9"/>
  <c r="M11" i="9"/>
  <c r="AC10" i="9"/>
  <c r="AD10" i="9"/>
  <c r="AE10" i="9"/>
  <c r="AF10" i="9"/>
  <c r="AG10" i="9"/>
  <c r="S126" i="8"/>
  <c r="S100" i="8"/>
  <c r="T126" i="8"/>
  <c r="U99" i="8"/>
  <c r="T100" i="8"/>
  <c r="S101" i="8"/>
  <c r="V125" i="8"/>
  <c r="U126" i="8"/>
  <c r="T127" i="8"/>
  <c r="S128" i="8"/>
  <c r="T125" i="8"/>
  <c r="U100" i="8"/>
  <c r="T101" i="8"/>
  <c r="S102" i="8"/>
  <c r="W125" i="8"/>
  <c r="T128" i="8"/>
  <c r="S129" i="8"/>
  <c r="T102" i="8"/>
  <c r="S103" i="8"/>
  <c r="U128" i="8"/>
  <c r="T129" i="8"/>
  <c r="W100" i="8"/>
  <c r="S104" i="8"/>
  <c r="W127" i="8"/>
  <c r="S141" i="8"/>
  <c r="Z100" i="8"/>
  <c r="AB100" i="8" s="1"/>
  <c r="X102" i="8"/>
  <c r="W103" i="8"/>
  <c r="T116" i="8"/>
  <c r="Y128" i="8"/>
  <c r="X129" i="8"/>
  <c r="V141" i="8"/>
  <c r="V137" i="8"/>
  <c r="Z102" i="8"/>
  <c r="Y103" i="8"/>
  <c r="X104" i="8"/>
  <c r="X137" i="8"/>
  <c r="Y104" i="8"/>
  <c r="W116" i="8"/>
  <c r="Y141" i="8"/>
  <c r="Y137" i="8"/>
  <c r="W104" i="8"/>
  <c r="D137" i="8"/>
  <c r="E137" i="8"/>
  <c r="N137" i="8"/>
  <c r="AG15" i="9"/>
  <c r="U13" i="8"/>
  <c r="AB44" i="9" l="1"/>
  <c r="X148" i="8"/>
  <c r="Y148" i="8"/>
  <c r="V148" i="8"/>
  <c r="AB125" i="8"/>
  <c r="U148" i="8"/>
  <c r="T148" i="8"/>
  <c r="Z148" i="8"/>
  <c r="W148" i="8"/>
  <c r="AB102" i="8"/>
  <c r="W13" i="8"/>
  <c r="S13" i="8"/>
  <c r="AD15" i="9"/>
  <c r="AF15" i="9"/>
  <c r="T13" i="8"/>
  <c r="V13" i="8"/>
  <c r="AC15" i="9"/>
  <c r="AE15" i="9"/>
  <c r="AI10" i="9"/>
  <c r="X13" i="8"/>
  <c r="Z13" i="8"/>
  <c r="Y13" i="8"/>
  <c r="AB13" i="8" l="1"/>
  <c r="T26" i="8"/>
  <c r="S26" i="8"/>
  <c r="U26" i="8"/>
  <c r="V26" i="8"/>
  <c r="Z26" i="8"/>
  <c r="Y26" i="8"/>
  <c r="X26" i="8"/>
  <c r="W26" i="8"/>
  <c r="S27" i="8"/>
  <c r="V27" i="8"/>
  <c r="U27" i="8"/>
  <c r="T27" i="8"/>
  <c r="S31" i="8"/>
  <c r="V31" i="8"/>
  <c r="U31" i="8"/>
  <c r="T31" i="8"/>
  <c r="Z27" i="8"/>
  <c r="X27" i="8"/>
  <c r="W27" i="8"/>
  <c r="Y27" i="8"/>
  <c r="Z31" i="8"/>
  <c r="Y31" i="8"/>
  <c r="X31" i="8"/>
  <c r="W31" i="8"/>
  <c r="U25" i="8"/>
  <c r="T25" i="8"/>
  <c r="S25" i="8"/>
  <c r="V25" i="8"/>
  <c r="Z25" i="8"/>
  <c r="X25" i="8"/>
  <c r="Y25" i="8"/>
  <c r="W25" i="8"/>
  <c r="AD53" i="9" l="1"/>
  <c r="AG53" i="9"/>
  <c r="AF53" i="9"/>
  <c r="AE53" i="9"/>
  <c r="AC53" i="9"/>
  <c r="AG52" i="9"/>
  <c r="AF52" i="9"/>
  <c r="AE52" i="9"/>
  <c r="AC52" i="9"/>
  <c r="N8" i="8"/>
  <c r="J8" i="8"/>
  <c r="G122" i="8" l="1"/>
  <c r="C54" i="9"/>
  <c r="F54" i="9"/>
  <c r="R54" i="9"/>
  <c r="E54" i="9"/>
  <c r="K54" i="9"/>
  <c r="G54" i="9"/>
  <c r="O54" i="9"/>
  <c r="D54" i="9"/>
  <c r="J54" i="9"/>
  <c r="I54" i="9"/>
  <c r="M54" i="9"/>
  <c r="N54" i="9"/>
  <c r="Q54" i="9"/>
  <c r="S54" i="9"/>
  <c r="K122" i="8"/>
  <c r="O122" i="8"/>
  <c r="L122" i="8"/>
  <c r="H122" i="8"/>
  <c r="I122" i="8"/>
  <c r="AG43" i="9" l="1"/>
  <c r="P122" i="8"/>
  <c r="M122" i="8"/>
  <c r="Q122" i="8" l="1"/>
  <c r="AE43" i="9"/>
  <c r="AD43" i="9"/>
  <c r="AC43" i="9"/>
  <c r="AF43" i="9"/>
  <c r="B2" i="9" l="1"/>
  <c r="AC9" i="9"/>
  <c r="AC7" i="9"/>
  <c r="Q68" i="8"/>
  <c r="E68" i="8"/>
  <c r="D68" i="8"/>
  <c r="C68" i="8"/>
  <c r="D61" i="9"/>
  <c r="E122" i="8"/>
  <c r="D122" i="8"/>
  <c r="C122" i="8"/>
  <c r="T111" i="8"/>
  <c r="AG69" i="9"/>
  <c r="S70" i="9"/>
  <c r="AG58" i="9"/>
  <c r="AG57" i="9"/>
  <c r="AG51" i="9"/>
  <c r="AG54" i="9" s="1"/>
  <c r="S4" i="9"/>
  <c r="AG4" i="9" s="1"/>
  <c r="S3" i="9"/>
  <c r="AG3" i="9" s="1"/>
  <c r="Z80" i="8"/>
  <c r="Z79" i="8"/>
  <c r="Z78" i="8"/>
  <c r="Z76" i="8"/>
  <c r="Z64" i="8"/>
  <c r="Z60" i="8"/>
  <c r="Z58" i="8"/>
  <c r="Z55" i="8"/>
  <c r="Z51" i="8"/>
  <c r="Z50" i="8"/>
  <c r="Z46" i="8"/>
  <c r="Z8" i="8"/>
  <c r="Z92" i="8" s="1"/>
  <c r="Z7" i="8"/>
  <c r="Z91" i="8" s="1"/>
  <c r="Q92" i="8"/>
  <c r="Q91" i="8"/>
  <c r="Q81" i="8"/>
  <c r="Q43" i="8"/>
  <c r="Q42" i="8"/>
  <c r="Q11" i="8"/>
  <c r="O70" i="9"/>
  <c r="G70" i="9"/>
  <c r="F70" i="9"/>
  <c r="E70" i="9"/>
  <c r="D70" i="9"/>
  <c r="C70" i="9"/>
  <c r="Z69" i="9"/>
  <c r="V69" i="9"/>
  <c r="O133" i="8"/>
  <c r="E133" i="8"/>
  <c r="D133" i="8"/>
  <c r="C133" i="8"/>
  <c r="Y55" i="8"/>
  <c r="X55" i="8"/>
  <c r="V55" i="8"/>
  <c r="U55" i="8"/>
  <c r="T55" i="8"/>
  <c r="W55" i="8"/>
  <c r="S55" i="8"/>
  <c r="AF58" i="9"/>
  <c r="AE58" i="9"/>
  <c r="AC58" i="9"/>
  <c r="AB58" i="9"/>
  <c r="AA58" i="9"/>
  <c r="Y58" i="9"/>
  <c r="X58" i="9"/>
  <c r="W58" i="9"/>
  <c r="U58" i="9"/>
  <c r="AF57" i="9"/>
  <c r="AE57" i="9"/>
  <c r="AC57" i="9"/>
  <c r="AB57" i="9"/>
  <c r="AA57" i="9"/>
  <c r="Y57" i="9"/>
  <c r="X57" i="9"/>
  <c r="W57" i="9"/>
  <c r="U57" i="9"/>
  <c r="AF51" i="9"/>
  <c r="AF54" i="9" s="1"/>
  <c r="AE51" i="9"/>
  <c r="AE54" i="9" s="1"/>
  <c r="AC51" i="9"/>
  <c r="AC54" i="9" s="1"/>
  <c r="AB51" i="9"/>
  <c r="AA51" i="9"/>
  <c r="Y51" i="9"/>
  <c r="X51" i="9"/>
  <c r="W51" i="9"/>
  <c r="U51" i="9"/>
  <c r="AE69" i="9"/>
  <c r="AC69" i="9"/>
  <c r="AB69" i="9"/>
  <c r="AA69" i="9"/>
  <c r="Y69" i="9"/>
  <c r="X69" i="9"/>
  <c r="W69" i="9"/>
  <c r="U69" i="9"/>
  <c r="AF69" i="9"/>
  <c r="R4" i="9"/>
  <c r="AF4" i="9" s="1"/>
  <c r="Q4" i="9"/>
  <c r="AE4" i="9" s="1"/>
  <c r="P4" i="9"/>
  <c r="AD4" i="9" s="1"/>
  <c r="O4" i="9"/>
  <c r="AC4" i="9" s="1"/>
  <c r="N4" i="9"/>
  <c r="AB4" i="9" s="1"/>
  <c r="M4" i="9"/>
  <c r="AA4" i="9" s="1"/>
  <c r="L4" i="9"/>
  <c r="Z4" i="9" s="1"/>
  <c r="K4" i="9"/>
  <c r="Y4" i="9" s="1"/>
  <c r="J4" i="9"/>
  <c r="X4" i="9" s="1"/>
  <c r="I4" i="9"/>
  <c r="W4" i="9" s="1"/>
  <c r="V4" i="9"/>
  <c r="U4" i="9"/>
  <c r="R3" i="9"/>
  <c r="AF3" i="9" s="1"/>
  <c r="Q3" i="9"/>
  <c r="AE3" i="9" s="1"/>
  <c r="P3" i="9"/>
  <c r="AD3" i="9" s="1"/>
  <c r="O3" i="9"/>
  <c r="AC3" i="9" s="1"/>
  <c r="N3" i="9"/>
  <c r="AB3" i="9" s="1"/>
  <c r="M3" i="9"/>
  <c r="AA3" i="9" s="1"/>
  <c r="L3" i="9"/>
  <c r="Z3" i="9" s="1"/>
  <c r="K3" i="9"/>
  <c r="Y3" i="9" s="1"/>
  <c r="J3" i="9"/>
  <c r="X3" i="9" s="1"/>
  <c r="I3" i="9"/>
  <c r="W3" i="9" s="1"/>
  <c r="V3" i="9"/>
  <c r="U3" i="9"/>
  <c r="G4" i="9"/>
  <c r="F4" i="9"/>
  <c r="E4" i="9"/>
  <c r="D4" i="9"/>
  <c r="G3" i="9"/>
  <c r="F3" i="9"/>
  <c r="E3" i="9"/>
  <c r="D3" i="9"/>
  <c r="C4" i="9"/>
  <c r="C3" i="9"/>
  <c r="N10" i="8"/>
  <c r="J10" i="8"/>
  <c r="W58" i="8"/>
  <c r="W79" i="8"/>
  <c r="W78" i="8"/>
  <c r="W76" i="8"/>
  <c r="N80" i="8"/>
  <c r="J80" i="8"/>
  <c r="S79" i="8"/>
  <c r="S78" i="8"/>
  <c r="S76" i="8"/>
  <c r="S58" i="8"/>
  <c r="Y80" i="8"/>
  <c r="X80" i="8"/>
  <c r="V80" i="8"/>
  <c r="U80" i="8"/>
  <c r="T80" i="8"/>
  <c r="Y79" i="8"/>
  <c r="X79" i="8"/>
  <c r="V79" i="8"/>
  <c r="U79" i="8"/>
  <c r="T79" i="8"/>
  <c r="Y78" i="8"/>
  <c r="X78" i="8"/>
  <c r="V78" i="8"/>
  <c r="U78" i="8"/>
  <c r="T78" i="8"/>
  <c r="Y76" i="8"/>
  <c r="X76" i="8"/>
  <c r="V76" i="8"/>
  <c r="U76" i="8"/>
  <c r="T76" i="8"/>
  <c r="Y64" i="8"/>
  <c r="X64" i="8"/>
  <c r="V64" i="8"/>
  <c r="U64" i="8"/>
  <c r="T64" i="8"/>
  <c r="Y60" i="8"/>
  <c r="X60" i="8"/>
  <c r="V60" i="8"/>
  <c r="U60" i="8"/>
  <c r="T60" i="8"/>
  <c r="Y58" i="8"/>
  <c r="X58" i="8"/>
  <c r="V58" i="8"/>
  <c r="U58" i="8"/>
  <c r="T58" i="8"/>
  <c r="Y51" i="8"/>
  <c r="X51" i="8"/>
  <c r="V51" i="8"/>
  <c r="U51" i="8"/>
  <c r="T51" i="8"/>
  <c r="Y50" i="8"/>
  <c r="X50" i="8"/>
  <c r="V50" i="8"/>
  <c r="U50" i="8"/>
  <c r="T50" i="8"/>
  <c r="X46" i="8"/>
  <c r="V46" i="8"/>
  <c r="U46" i="8"/>
  <c r="T46" i="8"/>
  <c r="P92" i="8"/>
  <c r="O92" i="8"/>
  <c r="N92" i="8"/>
  <c r="M92" i="8"/>
  <c r="L92" i="8"/>
  <c r="K92" i="8"/>
  <c r="J92" i="8"/>
  <c r="I92" i="8"/>
  <c r="H92" i="8"/>
  <c r="G92" i="8"/>
  <c r="P91" i="8"/>
  <c r="O91" i="8"/>
  <c r="N91" i="8"/>
  <c r="M91" i="8"/>
  <c r="L91" i="8"/>
  <c r="K91" i="8"/>
  <c r="J91" i="8"/>
  <c r="I91" i="8"/>
  <c r="H91" i="8"/>
  <c r="G91" i="8"/>
  <c r="P43" i="8"/>
  <c r="O43" i="8"/>
  <c r="N43" i="8"/>
  <c r="M43" i="8"/>
  <c r="L43" i="8"/>
  <c r="K43" i="8"/>
  <c r="J43" i="8"/>
  <c r="I43" i="8"/>
  <c r="H43" i="8"/>
  <c r="G43" i="8"/>
  <c r="P42" i="8"/>
  <c r="O42" i="8"/>
  <c r="N42" i="8"/>
  <c r="M42" i="8"/>
  <c r="L42" i="8"/>
  <c r="K42" i="8"/>
  <c r="J42" i="8"/>
  <c r="I42" i="8"/>
  <c r="H42" i="8"/>
  <c r="G42" i="8"/>
  <c r="E43" i="8"/>
  <c r="D43" i="8"/>
  <c r="C43" i="8"/>
  <c r="E42" i="8"/>
  <c r="D42" i="8"/>
  <c r="C42" i="8"/>
  <c r="Y46" i="8"/>
  <c r="L11" i="8"/>
  <c r="K11" i="8"/>
  <c r="I11" i="8"/>
  <c r="H11" i="8"/>
  <c r="G11" i="8"/>
  <c r="P11" i="8"/>
  <c r="P14" i="8" s="1"/>
  <c r="T8" i="8"/>
  <c r="S8" i="8"/>
  <c r="T7" i="8"/>
  <c r="S7" i="8"/>
  <c r="X8" i="8"/>
  <c r="W8" i="8"/>
  <c r="V8" i="8"/>
  <c r="U8" i="8"/>
  <c r="X7" i="8"/>
  <c r="W7" i="8"/>
  <c r="V7" i="8"/>
  <c r="U7" i="8"/>
  <c r="Y8" i="8"/>
  <c r="Y7" i="8"/>
  <c r="W80" i="8" l="1"/>
  <c r="N81" i="8"/>
  <c r="N84" i="8" s="1"/>
  <c r="N85" i="8" s="1"/>
  <c r="S80" i="8"/>
  <c r="J81" i="8"/>
  <c r="J84" i="8" s="1"/>
  <c r="J85" i="8" s="1"/>
  <c r="K72" i="9"/>
  <c r="Y72" i="9" s="1"/>
  <c r="N72" i="9"/>
  <c r="AB72" i="9" s="1"/>
  <c r="J72" i="9"/>
  <c r="X72" i="9" s="1"/>
  <c r="O72" i="9"/>
  <c r="AC72" i="9" s="1"/>
  <c r="S72" i="9"/>
  <c r="AG72" i="9" s="1"/>
  <c r="Q84" i="8"/>
  <c r="I72" i="9"/>
  <c r="W72" i="9" s="1"/>
  <c r="M72" i="9"/>
  <c r="AA72" i="9" s="1"/>
  <c r="AC8" i="9"/>
  <c r="S10" i="8"/>
  <c r="U10" i="8"/>
  <c r="V10" i="8"/>
  <c r="T10" i="8"/>
  <c r="Y10" i="8"/>
  <c r="X10" i="8"/>
  <c r="W10" i="8"/>
  <c r="I14" i="8"/>
  <c r="I15" i="8" s="1"/>
  <c r="K14" i="8"/>
  <c r="K22" i="8" s="1"/>
  <c r="K28" i="8" s="1"/>
  <c r="K32" i="8" s="1"/>
  <c r="H14" i="8"/>
  <c r="H15" i="8" s="1"/>
  <c r="G14" i="8"/>
  <c r="G15" i="8" s="1"/>
  <c r="L14" i="8"/>
  <c r="L22" i="8" s="1"/>
  <c r="Q14" i="8"/>
  <c r="Q22" i="8" s="1"/>
  <c r="AB46" i="8"/>
  <c r="AB50" i="8"/>
  <c r="AB51" i="8"/>
  <c r="C61" i="9"/>
  <c r="AB76" i="8"/>
  <c r="AB55" i="8"/>
  <c r="AB78" i="8"/>
  <c r="AC45" i="9"/>
  <c r="AB58" i="8"/>
  <c r="AB79" i="8"/>
  <c r="AB60" i="8"/>
  <c r="AB80" i="8"/>
  <c r="AB64" i="8"/>
  <c r="AC42" i="9"/>
  <c r="W21" i="9"/>
  <c r="V57" i="9"/>
  <c r="S51" i="8"/>
  <c r="Z57" i="9"/>
  <c r="W50" i="8"/>
  <c r="AD52" i="9"/>
  <c r="U72" i="9"/>
  <c r="W51" i="8"/>
  <c r="AD57" i="9"/>
  <c r="Y17" i="8"/>
  <c r="W22" i="9"/>
  <c r="Q74" i="8"/>
  <c r="V21" i="8"/>
  <c r="V58" i="9"/>
  <c r="T17" i="8"/>
  <c r="AB19" i="9"/>
  <c r="Y21" i="8"/>
  <c r="AD22" i="9"/>
  <c r="W60" i="8"/>
  <c r="V19" i="8"/>
  <c r="AC21" i="9"/>
  <c r="X149" i="8"/>
  <c r="S60" i="8"/>
  <c r="W64" i="8"/>
  <c r="AD58" i="9"/>
  <c r="Y19" i="8"/>
  <c r="AG21" i="9"/>
  <c r="S46" i="8"/>
  <c r="L54" i="9"/>
  <c r="S64" i="8"/>
  <c r="Z58" i="9"/>
  <c r="V19" i="9"/>
  <c r="N122" i="8"/>
  <c r="J122" i="8"/>
  <c r="X68" i="8"/>
  <c r="Y68" i="8"/>
  <c r="Z68" i="8"/>
  <c r="V68" i="8"/>
  <c r="AG70" i="9"/>
  <c r="U22" i="9"/>
  <c r="T112" i="8"/>
  <c r="Z112" i="8"/>
  <c r="S112" i="8"/>
  <c r="U112" i="8"/>
  <c r="Z108" i="8"/>
  <c r="Z111" i="8"/>
  <c r="Z21" i="8"/>
  <c r="X21" i="8"/>
  <c r="W21" i="8"/>
  <c r="S21" i="8"/>
  <c r="T21" i="8"/>
  <c r="U21" i="8"/>
  <c r="Q52" i="8"/>
  <c r="Z81" i="8"/>
  <c r="Z84" i="8" s="1"/>
  <c r="Z52" i="8"/>
  <c r="Z10" i="8"/>
  <c r="Z17" i="8"/>
  <c r="Z19" i="8"/>
  <c r="Z42" i="8"/>
  <c r="Z43" i="8"/>
  <c r="Z70" i="9"/>
  <c r="V70" i="9"/>
  <c r="J70" i="9"/>
  <c r="I70" i="9"/>
  <c r="Q70" i="9"/>
  <c r="K70" i="9"/>
  <c r="M70" i="9"/>
  <c r="N70" i="9"/>
  <c r="AB70" i="9"/>
  <c r="U70" i="9"/>
  <c r="AC70" i="9"/>
  <c r="Y70" i="9"/>
  <c r="AE70" i="9"/>
  <c r="AA70" i="9"/>
  <c r="X70" i="9"/>
  <c r="W70" i="9"/>
  <c r="AD69" i="9"/>
  <c r="P133" i="8"/>
  <c r="K133" i="8"/>
  <c r="L133" i="8"/>
  <c r="E74" i="8"/>
  <c r="V149" i="8"/>
  <c r="U21" i="9"/>
  <c r="AB54" i="9"/>
  <c r="X26" i="9"/>
  <c r="U54" i="9"/>
  <c r="Y61" i="9"/>
  <c r="Y111" i="8"/>
  <c r="AA54" i="9"/>
  <c r="U35" i="9"/>
  <c r="U61" i="9"/>
  <c r="X54" i="9"/>
  <c r="W54" i="9"/>
  <c r="Y54" i="9"/>
  <c r="U19" i="9"/>
  <c r="Y108" i="8"/>
  <c r="V108" i="8"/>
  <c r="W149" i="8"/>
  <c r="T149" i="8"/>
  <c r="U149" i="8"/>
  <c r="S149" i="8"/>
  <c r="S108" i="8"/>
  <c r="U111" i="8"/>
  <c r="T108" i="8"/>
  <c r="V111" i="8"/>
  <c r="U108" i="8"/>
  <c r="W111" i="8"/>
  <c r="X111" i="8"/>
  <c r="W108" i="8"/>
  <c r="X108" i="8"/>
  <c r="S111" i="8"/>
  <c r="J11" i="8"/>
  <c r="J14" i="8" s="1"/>
  <c r="W19" i="8"/>
  <c r="X19" i="8"/>
  <c r="U17" i="8"/>
  <c r="V17" i="8"/>
  <c r="S17" i="8"/>
  <c r="W17" i="8"/>
  <c r="X17" i="8"/>
  <c r="S19" i="8"/>
  <c r="T19" i="8"/>
  <c r="U19" i="8"/>
  <c r="S50" i="8"/>
  <c r="W46" i="8"/>
  <c r="H87" i="8" l="1"/>
  <c r="L72" i="9"/>
  <c r="Z72" i="9" s="1"/>
  <c r="Z73" i="9" s="1"/>
  <c r="Z82" i="9" s="1"/>
  <c r="G87" i="8"/>
  <c r="Q85" i="8"/>
  <c r="I87" i="8"/>
  <c r="I22" i="8"/>
  <c r="I28" i="8" s="1"/>
  <c r="I32" i="8" s="1"/>
  <c r="I95" i="8" s="1"/>
  <c r="K95" i="8"/>
  <c r="K36" i="8"/>
  <c r="K39" i="8"/>
  <c r="AG62" i="9"/>
  <c r="U6" i="9"/>
  <c r="AE9" i="9"/>
  <c r="AF9" i="9"/>
  <c r="AD9" i="9"/>
  <c r="AG9" i="9"/>
  <c r="AI9" i="9" s="1"/>
  <c r="AE8" i="9"/>
  <c r="AF8" i="9"/>
  <c r="AG8" i="9"/>
  <c r="AI8" i="9" s="1"/>
  <c r="AD8" i="9"/>
  <c r="AD7" i="9"/>
  <c r="AE7" i="9"/>
  <c r="AF7" i="9"/>
  <c r="AG7" i="9"/>
  <c r="AI7" i="9" s="1"/>
  <c r="Q15" i="8"/>
  <c r="H22" i="8"/>
  <c r="H28" i="8" s="1"/>
  <c r="L15" i="8"/>
  <c r="K15" i="8"/>
  <c r="Q23" i="8"/>
  <c r="Q28" i="8"/>
  <c r="Q32" i="8" s="1"/>
  <c r="G22" i="8"/>
  <c r="W68" i="8"/>
  <c r="AB116" i="8"/>
  <c r="AB17" i="8"/>
  <c r="AF45" i="9"/>
  <c r="AG45" i="9"/>
  <c r="AD45" i="9"/>
  <c r="AE45" i="9"/>
  <c r="AD42" i="9"/>
  <c r="AF42" i="9"/>
  <c r="AE42" i="9"/>
  <c r="AG42" i="9"/>
  <c r="Z61" i="8"/>
  <c r="AB111" i="8"/>
  <c r="Z74" i="8"/>
  <c r="Z85" i="8" s="1"/>
  <c r="AB68" i="8"/>
  <c r="AB108" i="8"/>
  <c r="AB31" i="8"/>
  <c r="AB27" i="8"/>
  <c r="AB25" i="8"/>
  <c r="AB21" i="8"/>
  <c r="AB19" i="8"/>
  <c r="Z11" i="8"/>
  <c r="Z14" i="8" s="1"/>
  <c r="AB10" i="8"/>
  <c r="P54" i="9"/>
  <c r="AD51" i="9"/>
  <c r="AD54" i="9" s="1"/>
  <c r="AB73" i="9"/>
  <c r="AB82" i="9" s="1"/>
  <c r="AA73" i="9"/>
  <c r="AA82" i="9" s="1"/>
  <c r="S73" i="9"/>
  <c r="S82" i="9" s="1"/>
  <c r="AG36" i="9"/>
  <c r="AC36" i="9"/>
  <c r="V72" i="9"/>
  <c r="V73" i="9" s="1"/>
  <c r="V82" i="9" s="1"/>
  <c r="Y73" i="9"/>
  <c r="Y82" i="9" s="1"/>
  <c r="W62" i="9"/>
  <c r="Y62" i="9"/>
  <c r="AC73" i="9"/>
  <c r="AC82" i="9" s="1"/>
  <c r="X62" i="9"/>
  <c r="U62" i="9"/>
  <c r="U73" i="9"/>
  <c r="U82" i="9" s="1"/>
  <c r="AG73" i="9"/>
  <c r="AG82" i="9" s="1"/>
  <c r="V61" i="9"/>
  <c r="X73" i="9"/>
  <c r="X82" i="9" s="1"/>
  <c r="W73" i="9"/>
  <c r="W82" i="9" s="1"/>
  <c r="J22" i="8"/>
  <c r="V22" i="9"/>
  <c r="AI21" i="9"/>
  <c r="AC22" i="9"/>
  <c r="AA22" i="9"/>
  <c r="AB22" i="9"/>
  <c r="Z22" i="9"/>
  <c r="Y22" i="9"/>
  <c r="X22" i="9"/>
  <c r="AF19" i="9"/>
  <c r="AG19" i="9"/>
  <c r="Q61" i="8"/>
  <c r="AG61" i="9"/>
  <c r="AG34" i="9"/>
  <c r="AG22" i="9"/>
  <c r="AE22" i="9"/>
  <c r="AF22" i="9"/>
  <c r="W140" i="8"/>
  <c r="Y140" i="8"/>
  <c r="Z140" i="8"/>
  <c r="X140" i="8"/>
  <c r="V112" i="8"/>
  <c r="AB112" i="8" s="1"/>
  <c r="Q133" i="8"/>
  <c r="X112" i="8"/>
  <c r="W112" i="8"/>
  <c r="Y112" i="8"/>
  <c r="L70" i="9"/>
  <c r="AD70" i="9"/>
  <c r="P70" i="9"/>
  <c r="AF70" i="9"/>
  <c r="R70" i="9"/>
  <c r="AB30" i="9"/>
  <c r="V40" i="9"/>
  <c r="M133" i="8"/>
  <c r="U40" i="9"/>
  <c r="AG40" i="9"/>
  <c r="V51" i="9"/>
  <c r="V54" i="9" s="1"/>
  <c r="Z51" i="9"/>
  <c r="Z54" i="9" s="1"/>
  <c r="X61" i="9"/>
  <c r="AF61" i="9"/>
  <c r="AC61" i="9"/>
  <c r="AB61" i="9"/>
  <c r="W61" i="9"/>
  <c r="AA61" i="9"/>
  <c r="AE19" i="9"/>
  <c r="Z21" i="9"/>
  <c r="U30" i="9"/>
  <c r="AD19" i="9"/>
  <c r="U26" i="9"/>
  <c r="AA21" i="9"/>
  <c r="W26" i="9"/>
  <c r="AB21" i="9"/>
  <c r="AA35" i="9"/>
  <c r="Y37" i="9"/>
  <c r="AC19" i="9"/>
  <c r="AD35" i="9"/>
  <c r="AE34" i="9"/>
  <c r="AG37" i="9"/>
  <c r="Y21" i="9"/>
  <c r="X21" i="9"/>
  <c r="V21" i="9"/>
  <c r="Z61" i="9"/>
  <c r="U37" i="9"/>
  <c r="AB35" i="9"/>
  <c r="Y36" i="9"/>
  <c r="AE21" i="9"/>
  <c r="AD21" i="9"/>
  <c r="AF21" i="9"/>
  <c r="V26" i="9"/>
  <c r="AF34" i="9"/>
  <c r="AD61" i="9"/>
  <c r="Y19" i="9"/>
  <c r="X19" i="9"/>
  <c r="AA19" i="9"/>
  <c r="Z19" i="9"/>
  <c r="AC35" i="9"/>
  <c r="AD34" i="9"/>
  <c r="W19" i="9"/>
  <c r="Z98" i="8"/>
  <c r="Z35" i="9"/>
  <c r="Y34" i="9"/>
  <c r="L23" i="8"/>
  <c r="L28" i="8"/>
  <c r="K23" i="8"/>
  <c r="J87" i="8" l="1"/>
  <c r="Z87" i="8"/>
  <c r="Q87" i="8"/>
  <c r="I23" i="8"/>
  <c r="I39" i="8"/>
  <c r="I36" i="8"/>
  <c r="H23" i="8"/>
  <c r="Q95" i="8"/>
  <c r="Q36" i="8"/>
  <c r="Q39" i="8"/>
  <c r="V62" i="9"/>
  <c r="U11" i="9"/>
  <c r="U16" i="9" s="1"/>
  <c r="U23" i="9" s="1"/>
  <c r="U27" i="9" s="1"/>
  <c r="S16" i="9"/>
  <c r="S23" i="9" s="1"/>
  <c r="S27" i="9" s="1"/>
  <c r="Q29" i="8"/>
  <c r="G28" i="8"/>
  <c r="G23" i="8"/>
  <c r="AB26" i="8"/>
  <c r="Z22" i="8"/>
  <c r="Z23" i="8" s="1"/>
  <c r="AE36" i="9"/>
  <c r="AF36" i="9"/>
  <c r="AD36" i="9"/>
  <c r="AI36" i="9"/>
  <c r="AA36" i="9"/>
  <c r="AB36" i="9"/>
  <c r="Z36" i="9"/>
  <c r="AF35" i="9"/>
  <c r="Y149" i="8"/>
  <c r="Z62" i="9"/>
  <c r="K87" i="8"/>
  <c r="AA62" i="9"/>
  <c r="AE35" i="9"/>
  <c r="AC62" i="9"/>
  <c r="L87" i="8"/>
  <c r="AB62" i="9"/>
  <c r="V6" i="9"/>
  <c r="V11" i="9" s="1"/>
  <c r="AB6" i="9"/>
  <c r="J15" i="8"/>
  <c r="W122" i="8"/>
  <c r="Y122" i="8"/>
  <c r="X122" i="8"/>
  <c r="Z122" i="8"/>
  <c r="AI22" i="9"/>
  <c r="AI19" i="9"/>
  <c r="U140" i="8"/>
  <c r="AF37" i="9"/>
  <c r="L29" i="8"/>
  <c r="L32" i="8"/>
  <c r="H32" i="8"/>
  <c r="H39" i="8" s="1"/>
  <c r="Z15" i="8"/>
  <c r="Y133" i="8"/>
  <c r="Z133" i="8"/>
  <c r="Q33" i="8"/>
  <c r="Z30" i="9"/>
  <c r="U122" i="8"/>
  <c r="AA30" i="9"/>
  <c r="AC30" i="9"/>
  <c r="W133" i="8"/>
  <c r="AB41" i="9"/>
  <c r="AA41" i="9"/>
  <c r="AC41" i="9"/>
  <c r="Z41" i="9"/>
  <c r="U41" i="9"/>
  <c r="Y41" i="9"/>
  <c r="AE40" i="9"/>
  <c r="AF40" i="9"/>
  <c r="Y40" i="9"/>
  <c r="U133" i="8"/>
  <c r="AD40" i="9"/>
  <c r="W40" i="9"/>
  <c r="X40" i="9"/>
  <c r="X133" i="8"/>
  <c r="N133" i="8"/>
  <c r="M87" i="8"/>
  <c r="U98" i="8"/>
  <c r="AE37" i="9"/>
  <c r="S98" i="8"/>
  <c r="V98" i="8"/>
  <c r="AB98" i="8" s="1"/>
  <c r="T98" i="8"/>
  <c r="AD37" i="9"/>
  <c r="V122" i="8"/>
  <c r="T122" i="8"/>
  <c r="S122" i="8"/>
  <c r="X34" i="9"/>
  <c r="W34" i="9"/>
  <c r="U34" i="9"/>
  <c r="V34" i="9"/>
  <c r="X36" i="9"/>
  <c r="W36" i="9"/>
  <c r="U36" i="9"/>
  <c r="V36" i="9"/>
  <c r="X37" i="9"/>
  <c r="V37" i="9"/>
  <c r="W37" i="9"/>
  <c r="Y35" i="9"/>
  <c r="W35" i="9"/>
  <c r="X35" i="9"/>
  <c r="V35" i="9"/>
  <c r="AB34" i="9"/>
  <c r="AA34" i="9"/>
  <c r="AC34" i="9"/>
  <c r="AI34" i="9" s="1"/>
  <c r="Z34" i="9"/>
  <c r="Y98" i="8"/>
  <c r="X98" i="8"/>
  <c r="W98" i="8"/>
  <c r="AC37" i="9"/>
  <c r="AI37" i="9" s="1"/>
  <c r="Z37" i="9"/>
  <c r="AA37" i="9"/>
  <c r="AB26" i="9"/>
  <c r="Z26" i="9"/>
  <c r="AA26" i="9"/>
  <c r="Y26" i="9"/>
  <c r="AC26" i="9"/>
  <c r="AB37" i="9"/>
  <c r="J23" i="8"/>
  <c r="J28" i="8"/>
  <c r="H29" i="8"/>
  <c r="I113" i="8"/>
  <c r="I29" i="8"/>
  <c r="K113" i="8"/>
  <c r="K142" i="8" s="1"/>
  <c r="K29" i="8"/>
  <c r="H36" i="8" l="1"/>
  <c r="L95" i="8"/>
  <c r="L113" i="8" s="1"/>
  <c r="L142" i="8" s="1"/>
  <c r="L39" i="8"/>
  <c r="L36" i="8"/>
  <c r="AB11" i="9"/>
  <c r="AB16" i="9" s="1"/>
  <c r="S17" i="9"/>
  <c r="S24" i="9"/>
  <c r="V16" i="9"/>
  <c r="V23" i="9" s="1"/>
  <c r="V27" i="9" s="1"/>
  <c r="Y6" i="9"/>
  <c r="AC6" i="9"/>
  <c r="AA6" i="9"/>
  <c r="Z6" i="9"/>
  <c r="Z11" i="9" s="1"/>
  <c r="X6" i="9"/>
  <c r="W6" i="9"/>
  <c r="G32" i="8"/>
  <c r="G29" i="8"/>
  <c r="Z28" i="8"/>
  <c r="Z32" i="8" s="1"/>
  <c r="AB35" i="8"/>
  <c r="AB122" i="8"/>
  <c r="AG35" i="9"/>
  <c r="AI35" i="9" s="1"/>
  <c r="Z149" i="8"/>
  <c r="H95" i="8"/>
  <c r="AF30" i="9"/>
  <c r="AG30" i="9"/>
  <c r="AI30" i="9" s="1"/>
  <c r="AF26" i="9"/>
  <c r="AG26" i="9"/>
  <c r="AF41" i="9"/>
  <c r="AG41" i="9"/>
  <c r="S31" i="9"/>
  <c r="S28" i="9"/>
  <c r="S140" i="8"/>
  <c r="V140" i="8"/>
  <c r="T140" i="8"/>
  <c r="AE30" i="9"/>
  <c r="H33" i="8"/>
  <c r="J29" i="8"/>
  <c r="J32" i="8"/>
  <c r="AD30" i="9"/>
  <c r="Y30" i="9"/>
  <c r="X30" i="9"/>
  <c r="W30" i="9"/>
  <c r="V30" i="9"/>
  <c r="Q113" i="8"/>
  <c r="Q142" i="8" s="1"/>
  <c r="S133" i="8"/>
  <c r="I142" i="8"/>
  <c r="AD41" i="9"/>
  <c r="AE41" i="9"/>
  <c r="V41" i="9"/>
  <c r="W41" i="9"/>
  <c r="J133" i="8"/>
  <c r="V133" i="8"/>
  <c r="AB133" i="8" s="1"/>
  <c r="AC40" i="9"/>
  <c r="T133" i="8"/>
  <c r="X41" i="9"/>
  <c r="U17" i="9"/>
  <c r="AE26" i="9"/>
  <c r="AD26" i="9"/>
  <c r="L33" i="8"/>
  <c r="I33" i="8"/>
  <c r="K33" i="8"/>
  <c r="Z33" i="8" l="1"/>
  <c r="Z36" i="8"/>
  <c r="Z39" i="8"/>
  <c r="J95" i="8"/>
  <c r="J36" i="8"/>
  <c r="J39" i="8"/>
  <c r="G39" i="8"/>
  <c r="G36" i="8"/>
  <c r="Z29" i="8"/>
  <c r="W11" i="9"/>
  <c r="W16" i="9" s="1"/>
  <c r="X11" i="9"/>
  <c r="AB12" i="9" s="1"/>
  <c r="AC11" i="9"/>
  <c r="AC16" i="9" s="1"/>
  <c r="Y11" i="9"/>
  <c r="Y16" i="9" s="1"/>
  <c r="AA11" i="9"/>
  <c r="AA16" i="9" s="1"/>
  <c r="V17" i="9"/>
  <c r="AI26" i="9"/>
  <c r="Z16" i="9"/>
  <c r="Z23" i="9" s="1"/>
  <c r="Z27" i="9" s="1"/>
  <c r="Z12" i="9"/>
  <c r="AD6" i="9"/>
  <c r="AF6" i="9"/>
  <c r="AF11" i="9" s="1"/>
  <c r="AG6" i="9"/>
  <c r="AG11" i="9" s="1"/>
  <c r="AE6" i="9"/>
  <c r="AE11" i="9" s="1"/>
  <c r="G95" i="8"/>
  <c r="G113" i="8" s="1"/>
  <c r="G142" i="8" s="1"/>
  <c r="G33" i="8"/>
  <c r="AB17" i="9"/>
  <c r="AB23" i="9"/>
  <c r="S32" i="9"/>
  <c r="S38" i="9"/>
  <c r="S46" i="9" s="1"/>
  <c r="V31" i="9"/>
  <c r="V79" i="9" s="1"/>
  <c r="V24" i="9"/>
  <c r="V28" i="9"/>
  <c r="Z40" i="9"/>
  <c r="AA40" i="9"/>
  <c r="AB40" i="9"/>
  <c r="U31" i="9"/>
  <c r="U79" i="9" s="1"/>
  <c r="U24" i="9"/>
  <c r="J33" i="8"/>
  <c r="AA12" i="9" l="1"/>
  <c r="AC12" i="9"/>
  <c r="Y12" i="9"/>
  <c r="X16" i="9"/>
  <c r="X17" i="9" s="1"/>
  <c r="AA23" i="9"/>
  <c r="AA27" i="9" s="1"/>
  <c r="AA31" i="9" s="1"/>
  <c r="AA80" i="9" s="1" a="1"/>
  <c r="AA80" i="9" s="1"/>
  <c r="AA17" i="9"/>
  <c r="AC23" i="9"/>
  <c r="AC24" i="9" s="1"/>
  <c r="AC17" i="9"/>
  <c r="Y23" i="9"/>
  <c r="Y24" i="9" s="1"/>
  <c r="Y17" i="9"/>
  <c r="W17" i="9"/>
  <c r="W23" i="9"/>
  <c r="W27" i="9" s="1"/>
  <c r="W31" i="9" s="1"/>
  <c r="AD11" i="9"/>
  <c r="AD16" i="9" s="1"/>
  <c r="Z17" i="9"/>
  <c r="AB24" i="9"/>
  <c r="AB27" i="9"/>
  <c r="AB31" i="9" s="1"/>
  <c r="AB79" i="9" s="1"/>
  <c r="Z24" i="9"/>
  <c r="AE12" i="9"/>
  <c r="AE16" i="9"/>
  <c r="AE23" i="9" s="1"/>
  <c r="AE27" i="9" s="1"/>
  <c r="X23" i="9"/>
  <c r="X27" i="9" s="1"/>
  <c r="AI6" i="9"/>
  <c r="AG16" i="9"/>
  <c r="S47" i="9"/>
  <c r="V32" i="9"/>
  <c r="V80" i="9" a="1"/>
  <c r="V80" i="9" s="1"/>
  <c r="V81" i="9" a="1"/>
  <c r="V81" i="9" s="1"/>
  <c r="V77" i="9"/>
  <c r="V78" i="9"/>
  <c r="V38" i="9"/>
  <c r="Z28" i="9"/>
  <c r="Z31" i="9"/>
  <c r="U28" i="9"/>
  <c r="S95" i="8"/>
  <c r="J113" i="8"/>
  <c r="J142" i="8" s="1"/>
  <c r="T95" i="8"/>
  <c r="U95" i="8"/>
  <c r="AA24" i="9" l="1"/>
  <c r="AC27" i="9"/>
  <c r="AC31" i="9" s="1"/>
  <c r="AC79" i="9" s="1"/>
  <c r="AD12" i="9"/>
  <c r="W24" i="9"/>
  <c r="Y27" i="9"/>
  <c r="Y31" i="9" s="1"/>
  <c r="W28" i="9"/>
  <c r="W79" i="9"/>
  <c r="W38" i="9"/>
  <c r="W78" i="9"/>
  <c r="W81" i="9" a="1"/>
  <c r="W81" i="9" s="1"/>
  <c r="W77" i="9"/>
  <c r="W32" i="9"/>
  <c r="W80" i="9" a="1"/>
  <c r="W80" i="9" s="1"/>
  <c r="AE17" i="9"/>
  <c r="X24" i="9"/>
  <c r="AD23" i="9"/>
  <c r="AD27" i="9" s="1"/>
  <c r="AD17" i="9"/>
  <c r="AI11" i="9"/>
  <c r="AG12" i="9"/>
  <c r="AI12" i="9" s="1"/>
  <c r="AA28" i="9"/>
  <c r="AA77" i="9"/>
  <c r="AA81" i="9" a="1"/>
  <c r="AA81" i="9" s="1"/>
  <c r="AA78" i="9"/>
  <c r="AA32" i="9"/>
  <c r="AA79" i="9"/>
  <c r="AA38" i="9"/>
  <c r="AB81" i="9" a="1"/>
  <c r="AB81" i="9" s="1"/>
  <c r="AB28" i="9"/>
  <c r="AE24" i="9"/>
  <c r="T142" i="8"/>
  <c r="U142" i="8"/>
  <c r="S142" i="8"/>
  <c r="Z81" i="9" a="1"/>
  <c r="Z81" i="9" s="1"/>
  <c r="Z79" i="9"/>
  <c r="Z80" i="9" a="1"/>
  <c r="Z80" i="9" s="1"/>
  <c r="Z78" i="9"/>
  <c r="AB78" i="9"/>
  <c r="AB77" i="9"/>
  <c r="AB80" i="9" a="1"/>
  <c r="AB80" i="9" s="1"/>
  <c r="Z32" i="9"/>
  <c r="AB38" i="9"/>
  <c r="Z38" i="9"/>
  <c r="AB32" i="9"/>
  <c r="Z77" i="9"/>
  <c r="U32" i="9"/>
  <c r="U77" i="9"/>
  <c r="U78" i="9"/>
  <c r="U81" i="9" a="1"/>
  <c r="U81" i="9" s="1"/>
  <c r="U38" i="9"/>
  <c r="U80" i="9" a="1"/>
  <c r="U80" i="9" s="1"/>
  <c r="B92" i="8"/>
  <c r="B91" i="8"/>
  <c r="E92" i="8"/>
  <c r="D92" i="8"/>
  <c r="C92" i="8"/>
  <c r="E91" i="8"/>
  <c r="D91" i="8"/>
  <c r="C91" i="8"/>
  <c r="B43" i="8"/>
  <c r="B42" i="8"/>
  <c r="Y43" i="8"/>
  <c r="X43" i="8"/>
  <c r="W43" i="8"/>
  <c r="U43" i="8"/>
  <c r="T43" i="8"/>
  <c r="S43" i="8"/>
  <c r="V43" i="8"/>
  <c r="Y42" i="8"/>
  <c r="X42" i="8"/>
  <c r="W42" i="8"/>
  <c r="V42" i="8"/>
  <c r="U42" i="8"/>
  <c r="T42" i="8"/>
  <c r="S42" i="8"/>
  <c r="AC38" i="9" l="1"/>
  <c r="AC32" i="9"/>
  <c r="AC80" i="9" a="1"/>
  <c r="AC80" i="9" s="1"/>
  <c r="AC77" i="9"/>
  <c r="AC78" i="9"/>
  <c r="AC81" i="9" a="1"/>
  <c r="AC81" i="9" s="1"/>
  <c r="AC28" i="9"/>
  <c r="Y28" i="9"/>
  <c r="X31" i="9"/>
  <c r="X28" i="9"/>
  <c r="AG23" i="9"/>
  <c r="AG27" i="9" s="1"/>
  <c r="AG17" i="9"/>
  <c r="AI17" i="9" s="1"/>
  <c r="AI16" i="9"/>
  <c r="AD24" i="9"/>
  <c r="Y79" i="9"/>
  <c r="Y38" i="9"/>
  <c r="Y77" i="9"/>
  <c r="Y80" i="9" a="1"/>
  <c r="Y80" i="9" s="1"/>
  <c r="Y81" i="9" a="1"/>
  <c r="Y81" i="9" s="1"/>
  <c r="Y32" i="9"/>
  <c r="Y78" i="9"/>
  <c r="AE31" i="9"/>
  <c r="AE28" i="9"/>
  <c r="S91" i="8"/>
  <c r="S92" i="8"/>
  <c r="V91" i="8"/>
  <c r="W91" i="8"/>
  <c r="W92" i="8"/>
  <c r="X92" i="8"/>
  <c r="U91" i="8"/>
  <c r="X91" i="8"/>
  <c r="U92" i="8"/>
  <c r="T92" i="8"/>
  <c r="Y91" i="8"/>
  <c r="V92" i="8"/>
  <c r="T91" i="8"/>
  <c r="Y92" i="8"/>
  <c r="X79" i="9" l="1"/>
  <c r="X77" i="9"/>
  <c r="X78" i="9"/>
  <c r="X32" i="9"/>
  <c r="X81" i="9" a="1"/>
  <c r="X81" i="9" s="1"/>
  <c r="X80" i="9" a="1"/>
  <c r="X80" i="9" s="1"/>
  <c r="X38" i="9"/>
  <c r="AD31" i="9"/>
  <c r="AD28" i="9"/>
  <c r="AG24" i="9"/>
  <c r="AI24" i="9" s="1"/>
  <c r="AI23" i="9"/>
  <c r="AE79" i="9"/>
  <c r="AE32" i="9"/>
  <c r="AE81" i="9" a="1"/>
  <c r="AE81" i="9" s="1"/>
  <c r="AE38" i="9"/>
  <c r="AE80" i="9" a="1"/>
  <c r="AE80" i="9" s="1"/>
  <c r="AE77" i="9"/>
  <c r="AE78" i="9"/>
  <c r="AI27" i="9" l="1"/>
  <c r="AG28" i="9"/>
  <c r="AI28" i="9" s="1"/>
  <c r="AG31" i="9"/>
  <c r="AD79" i="9"/>
  <c r="AD78" i="9"/>
  <c r="AD38" i="9"/>
  <c r="AD80" i="9" a="1"/>
  <c r="AD80" i="9" s="1"/>
  <c r="AD32" i="9"/>
  <c r="AD81" i="9" a="1"/>
  <c r="AD81" i="9" s="1"/>
  <c r="AD77" i="9"/>
  <c r="AG79" i="9" l="1"/>
  <c r="AI31" i="9"/>
  <c r="AG80" i="9" a="1"/>
  <c r="AG80" i="9" s="1"/>
  <c r="AG32" i="9"/>
  <c r="AI32" i="9" s="1"/>
  <c r="AG78" i="9"/>
  <c r="AG77" i="9"/>
  <c r="AG81" i="9" a="1"/>
  <c r="AG81" i="9" s="1"/>
  <c r="AG38" i="9"/>
  <c r="AI38" i="9" s="1"/>
  <c r="P72" i="9" l="1"/>
  <c r="AD72" i="9" s="1"/>
  <c r="AD73" i="9" s="1"/>
  <c r="AD82" i="9" s="1"/>
  <c r="R72" i="9"/>
  <c r="AF72" i="9" s="1"/>
  <c r="F16" i="9"/>
  <c r="M16" i="9"/>
  <c r="K16" i="9"/>
  <c r="N16" i="9"/>
  <c r="C16" i="9"/>
  <c r="D16" i="9"/>
  <c r="I16" i="9"/>
  <c r="Q16" i="9"/>
  <c r="G16" i="9"/>
  <c r="E16" i="9"/>
  <c r="P16" i="9"/>
  <c r="L16" i="9"/>
  <c r="J16" i="9"/>
  <c r="Q72" i="9" l="1"/>
  <c r="AE72" i="9" s="1"/>
  <c r="AE73" i="9" s="1"/>
  <c r="AE82" i="9" s="1"/>
  <c r="S12" i="9"/>
  <c r="O16" i="9"/>
  <c r="S13" i="9"/>
  <c r="R16" i="9"/>
  <c r="AE61" i="9"/>
  <c r="AF73" i="9"/>
  <c r="AF82" i="9" s="1"/>
  <c r="AF16" i="9"/>
  <c r="T11" i="8" l="1"/>
  <c r="D52" i="8"/>
  <c r="D61" i="8" s="1"/>
  <c r="C52" i="8"/>
  <c r="C61" i="8" s="1"/>
  <c r="E52" i="8"/>
  <c r="E61" i="8" s="1"/>
  <c r="T14" i="8" l="1"/>
  <c r="U11" i="8"/>
  <c r="U52" i="8"/>
  <c r="U61" i="8" s="1"/>
  <c r="U81" i="8"/>
  <c r="U84" i="8" s="1"/>
  <c r="S52" i="8"/>
  <c r="S61" i="8" s="1"/>
  <c r="U68" i="8"/>
  <c r="U74" i="8" s="1"/>
  <c r="T68" i="8"/>
  <c r="T74" i="8" s="1"/>
  <c r="T52" i="8"/>
  <c r="T61" i="8" s="1"/>
  <c r="S81" i="8"/>
  <c r="S84" i="8" s="1"/>
  <c r="S11" i="8"/>
  <c r="S68" i="8"/>
  <c r="S74" i="8" s="1"/>
  <c r="T81" i="8"/>
  <c r="T84" i="8" s="1"/>
  <c r="W81" i="8"/>
  <c r="W84" i="8" s="1"/>
  <c r="W52" i="8"/>
  <c r="W61" i="8" s="1"/>
  <c r="X81" i="8"/>
  <c r="X84" i="8" s="1"/>
  <c r="W11" i="8"/>
  <c r="W14" i="8" s="1"/>
  <c r="W74" i="8"/>
  <c r="X74" i="8"/>
  <c r="V11" i="8"/>
  <c r="V14" i="8" s="1"/>
  <c r="X11" i="8"/>
  <c r="X14" i="8" s="1"/>
  <c r="X52" i="8"/>
  <c r="X61" i="8" s="1"/>
  <c r="X85" i="8" l="1"/>
  <c r="X87" i="8" s="1"/>
  <c r="W85" i="8"/>
  <c r="W87" i="8" s="1"/>
  <c r="T85" i="8"/>
  <c r="T87" i="8" s="1"/>
  <c r="U85" i="8"/>
  <c r="S85" i="8"/>
  <c r="S87" i="8" s="1"/>
  <c r="S14" i="8"/>
  <c r="U14" i="8"/>
  <c r="AB11" i="8"/>
  <c r="T22" i="8"/>
  <c r="T28" i="8" s="1"/>
  <c r="T32" i="8" s="1"/>
  <c r="AF23" i="9"/>
  <c r="AF27" i="9" s="1"/>
  <c r="C23" i="9"/>
  <c r="C27" i="9" s="1"/>
  <c r="U87" i="8"/>
  <c r="T15" i="8"/>
  <c r="AB14" i="8"/>
  <c r="T39" i="8" l="1"/>
  <c r="T36" i="8"/>
  <c r="V22" i="8"/>
  <c r="W22" i="8"/>
  <c r="W28" i="8" s="1"/>
  <c r="W32" i="8" s="1"/>
  <c r="S22" i="8"/>
  <c r="S23" i="8" s="1"/>
  <c r="U22" i="8"/>
  <c r="U28" i="8" s="1"/>
  <c r="U32" i="8" s="1"/>
  <c r="T23" i="8"/>
  <c r="X22" i="8"/>
  <c r="X23" i="8" s="1"/>
  <c r="W15" i="8"/>
  <c r="V15" i="8"/>
  <c r="AB15" i="8" s="1"/>
  <c r="S15" i="8"/>
  <c r="X15" i="8"/>
  <c r="U15" i="8"/>
  <c r="AF17" i="9"/>
  <c r="C17" i="9"/>
  <c r="T29" i="8"/>
  <c r="U39" i="8" l="1"/>
  <c r="U36" i="8"/>
  <c r="W39" i="8"/>
  <c r="W36" i="8"/>
  <c r="V28" i="8"/>
  <c r="V29" i="8" s="1"/>
  <c r="AB29" i="8" s="1"/>
  <c r="AB22" i="8"/>
  <c r="C24" i="9"/>
  <c r="C31" i="9"/>
  <c r="C79" i="9" s="1"/>
  <c r="C28" i="9"/>
  <c r="W23" i="8"/>
  <c r="V23" i="8"/>
  <c r="AB23" i="8" s="1"/>
  <c r="U23" i="8"/>
  <c r="S28" i="8"/>
  <c r="S32" i="8" s="1"/>
  <c r="X28" i="8"/>
  <c r="X32" i="8" s="1"/>
  <c r="W29" i="8"/>
  <c r="AF31" i="9"/>
  <c r="AF79" i="9" s="1"/>
  <c r="AF24" i="9"/>
  <c r="T33" i="8"/>
  <c r="U29" i="8"/>
  <c r="S33" i="8" l="1"/>
  <c r="S39" i="8"/>
  <c r="S36" i="8"/>
  <c r="X36" i="8"/>
  <c r="X39" i="8"/>
  <c r="V32" i="8"/>
  <c r="AB28" i="8"/>
  <c r="C38" i="9"/>
  <c r="C47" i="9" s="1"/>
  <c r="C78" i="9"/>
  <c r="C77" i="9"/>
  <c r="C80" i="9" a="1"/>
  <c r="C80" i="9" s="1"/>
  <c r="C32" i="9"/>
  <c r="C81" i="9" a="1"/>
  <c r="C81" i="9" s="1"/>
  <c r="S29" i="8"/>
  <c r="X29" i="8"/>
  <c r="AF28" i="9"/>
  <c r="U33" i="8"/>
  <c r="W33" i="8"/>
  <c r="X33" i="8"/>
  <c r="AB32" i="8" l="1"/>
  <c r="V36" i="8"/>
  <c r="AB36" i="8" s="1"/>
  <c r="V39" i="8"/>
  <c r="AB39" i="8" s="1"/>
  <c r="V33" i="8"/>
  <c r="AB33" i="8" s="1"/>
  <c r="AF81" i="9" a="1"/>
  <c r="AF81" i="9" s="1"/>
  <c r="AF32" i="9"/>
  <c r="AF80" i="9" a="1"/>
  <c r="AF80" i="9" s="1"/>
  <c r="AF77" i="9"/>
  <c r="AF78" i="9"/>
  <c r="AF38" i="9"/>
  <c r="V74" i="8" l="1"/>
  <c r="AB74" i="8" s="1"/>
  <c r="C72" i="9" l="1"/>
  <c r="M11" i="8"/>
  <c r="E11" i="8"/>
  <c r="E14" i="8" s="1"/>
  <c r="D11" i="8"/>
  <c r="D14" i="8" s="1"/>
  <c r="C11" i="8"/>
  <c r="C14" i="8" s="1"/>
  <c r="E81" i="8"/>
  <c r="D81" i="8"/>
  <c r="C81" i="8"/>
  <c r="D72" i="9"/>
  <c r="Y11" i="8"/>
  <c r="Y14" i="8" s="1"/>
  <c r="Q73" i="9"/>
  <c r="Q82" i="9" s="1"/>
  <c r="I73" i="9"/>
  <c r="I82" i="9" s="1"/>
  <c r="D12" i="9"/>
  <c r="E72" i="9" l="1"/>
  <c r="E73" i="9" s="1"/>
  <c r="E82" i="9" s="1"/>
  <c r="C84" i="8"/>
  <c r="G72" i="9"/>
  <c r="G73" i="9" s="1"/>
  <c r="G82" i="9" s="1"/>
  <c r="E84" i="8"/>
  <c r="E85" i="8" s="1"/>
  <c r="F72" i="9"/>
  <c r="F73" i="9" s="1"/>
  <c r="F82" i="9" s="1"/>
  <c r="D84" i="8"/>
  <c r="M14" i="8"/>
  <c r="M22" i="8" s="1"/>
  <c r="D62" i="9"/>
  <c r="D74" i="8"/>
  <c r="C62" i="9"/>
  <c r="C74" i="8"/>
  <c r="C73" i="9"/>
  <c r="C82" i="9" s="1"/>
  <c r="J73" i="9"/>
  <c r="J82" i="9" s="1"/>
  <c r="R73" i="9"/>
  <c r="R82" i="9" s="1"/>
  <c r="K73" i="9"/>
  <c r="K82" i="9" s="1"/>
  <c r="AD62" i="9"/>
  <c r="AF62" i="9"/>
  <c r="K23" i="9"/>
  <c r="K27" i="9" s="1"/>
  <c r="I12" i="9"/>
  <c r="Q12" i="9"/>
  <c r="Q13" i="9"/>
  <c r="V81" i="8"/>
  <c r="V84" i="8" s="1"/>
  <c r="D22" i="8"/>
  <c r="C22" i="8"/>
  <c r="E22" i="8"/>
  <c r="P22" i="8"/>
  <c r="Y74" i="8"/>
  <c r="Y81" i="8"/>
  <c r="Y84" i="8" s="1"/>
  <c r="G23" i="9"/>
  <c r="G27" i="9" s="1"/>
  <c r="G12" i="9"/>
  <c r="E23" i="9"/>
  <c r="E27" i="9" s="1"/>
  <c r="E12" i="9"/>
  <c r="F23" i="9"/>
  <c r="F27" i="9" s="1"/>
  <c r="F12" i="9"/>
  <c r="I13" i="9"/>
  <c r="M73" i="9"/>
  <c r="M82" i="9" s="1"/>
  <c r="D23" i="9"/>
  <c r="D27" i="9" s="1"/>
  <c r="N73" i="9"/>
  <c r="N82" i="9" s="1"/>
  <c r="O73" i="9"/>
  <c r="O82" i="9" s="1"/>
  <c r="D73" i="9"/>
  <c r="D82" i="9" s="1"/>
  <c r="Y85" i="8" l="1"/>
  <c r="V85" i="8"/>
  <c r="AB84" i="8"/>
  <c r="D85" i="8"/>
  <c r="D87" i="8" s="1"/>
  <c r="C85" i="8"/>
  <c r="C87" i="8" s="1"/>
  <c r="AB81" i="8"/>
  <c r="P28" i="8"/>
  <c r="P32" i="8" s="1"/>
  <c r="E28" i="8"/>
  <c r="E32" i="8" s="1"/>
  <c r="M23" i="8"/>
  <c r="C28" i="8"/>
  <c r="C32" i="8" s="1"/>
  <c r="D23" i="8"/>
  <c r="M15" i="8"/>
  <c r="P73" i="9"/>
  <c r="P82" i="9" s="1"/>
  <c r="N87" i="8"/>
  <c r="V52" i="8"/>
  <c r="AB52" i="8" s="1"/>
  <c r="P87" i="8"/>
  <c r="E87" i="8"/>
  <c r="AE62" i="9"/>
  <c r="L73" i="9"/>
  <c r="L82" i="9" s="1"/>
  <c r="L13" i="9"/>
  <c r="P12" i="9"/>
  <c r="M12" i="9"/>
  <c r="N13" i="9"/>
  <c r="P23" i="9"/>
  <c r="P27" i="9" s="1"/>
  <c r="K13" i="9"/>
  <c r="M13" i="9"/>
  <c r="J13" i="9"/>
  <c r="N23" i="9"/>
  <c r="N27" i="9" s="1"/>
  <c r="L23" i="9"/>
  <c r="L27" i="9" s="1"/>
  <c r="N12" i="9"/>
  <c r="J12" i="9"/>
  <c r="L12" i="9"/>
  <c r="Y52" i="8"/>
  <c r="Y61" i="8" s="1"/>
  <c r="D15" i="8"/>
  <c r="E15" i="8"/>
  <c r="C15" i="8"/>
  <c r="Y22" i="8"/>
  <c r="P15" i="8"/>
  <c r="K17" i="9"/>
  <c r="F17" i="9"/>
  <c r="O12" i="9"/>
  <c r="O23" i="9"/>
  <c r="O27" i="9" s="1"/>
  <c r="O13" i="9"/>
  <c r="Q23" i="9"/>
  <c r="Q27" i="9" s="1"/>
  <c r="AF12" i="9"/>
  <c r="J23" i="9"/>
  <c r="J27" i="9" s="1"/>
  <c r="P13" i="9"/>
  <c r="D17" i="9"/>
  <c r="R12" i="9"/>
  <c r="R23" i="9"/>
  <c r="R27" i="9" s="1"/>
  <c r="R13" i="9"/>
  <c r="K12" i="9"/>
  <c r="I23" i="9"/>
  <c r="I27" i="9" s="1"/>
  <c r="G17" i="9"/>
  <c r="M23" i="9"/>
  <c r="M27" i="9" s="1"/>
  <c r="E17" i="9"/>
  <c r="AB85" i="8" l="1"/>
  <c r="E95" i="8"/>
  <c r="E113" i="8" s="1"/>
  <c r="E142" i="8" s="1"/>
  <c r="E36" i="8"/>
  <c r="E39" i="8"/>
  <c r="P95" i="8"/>
  <c r="P36" i="8"/>
  <c r="P39" i="8"/>
  <c r="C36" i="8"/>
  <c r="C39" i="8"/>
  <c r="N17" i="9"/>
  <c r="N24" i="9"/>
  <c r="P23" i="8"/>
  <c r="E23" i="8"/>
  <c r="D28" i="8"/>
  <c r="D32" i="8" s="1"/>
  <c r="M28" i="8"/>
  <c r="M32" i="8" s="1"/>
  <c r="C23" i="8"/>
  <c r="V61" i="8"/>
  <c r="V87" i="8" s="1"/>
  <c r="Y28" i="8"/>
  <c r="Y32" i="8" s="1"/>
  <c r="C29" i="8"/>
  <c r="P29" i="8"/>
  <c r="Y23" i="8"/>
  <c r="E29" i="8"/>
  <c r="Y87" i="8"/>
  <c r="O87" i="8"/>
  <c r="P17" i="9"/>
  <c r="L17" i="9"/>
  <c r="E33" i="8"/>
  <c r="Y15" i="8"/>
  <c r="E31" i="9"/>
  <c r="E79" i="9" s="1"/>
  <c r="E24" i="9"/>
  <c r="D31" i="9"/>
  <c r="D79" i="9" s="1"/>
  <c r="D24" i="9"/>
  <c r="M17" i="9"/>
  <c r="F31" i="9"/>
  <c r="F79" i="9" s="1"/>
  <c r="F24" i="9"/>
  <c r="K31" i="9"/>
  <c r="K24" i="9"/>
  <c r="R17" i="9"/>
  <c r="O17" i="9"/>
  <c r="P31" i="9"/>
  <c r="P24" i="9"/>
  <c r="L24" i="9"/>
  <c r="L31" i="9"/>
  <c r="G24" i="9"/>
  <c r="G31" i="9"/>
  <c r="G79" i="9" s="1"/>
  <c r="Q17" i="9"/>
  <c r="I17" i="9"/>
  <c r="J17" i="9"/>
  <c r="Y39" i="8" l="1"/>
  <c r="Y36" i="8"/>
  <c r="D95" i="8"/>
  <c r="D113" i="8" s="1"/>
  <c r="D142" i="8" s="1"/>
  <c r="D39" i="8"/>
  <c r="D36" i="8"/>
  <c r="M39" i="8"/>
  <c r="M36" i="8"/>
  <c r="AB61" i="8"/>
  <c r="M95" i="8"/>
  <c r="M113" i="8" s="1"/>
  <c r="M142" i="8" s="1"/>
  <c r="D29" i="8"/>
  <c r="D33" i="8"/>
  <c r="M29" i="8"/>
  <c r="C33" i="8"/>
  <c r="C95" i="8"/>
  <c r="P113" i="8"/>
  <c r="P142" i="8" s="1"/>
  <c r="P33" i="8"/>
  <c r="N31" i="9"/>
  <c r="Y29" i="8"/>
  <c r="M33" i="8"/>
  <c r="G28" i="9"/>
  <c r="J31" i="9"/>
  <c r="J24" i="9"/>
  <c r="P28" i="9"/>
  <c r="F28" i="9"/>
  <c r="D28" i="9"/>
  <c r="K28" i="9"/>
  <c r="O24" i="9"/>
  <c r="O31" i="9"/>
  <c r="E28" i="9"/>
  <c r="Q31" i="9"/>
  <c r="Q24" i="9"/>
  <c r="M24" i="9"/>
  <c r="M31" i="9"/>
  <c r="I31" i="9"/>
  <c r="I24" i="9"/>
  <c r="L28" i="9"/>
  <c r="R31" i="9"/>
  <c r="R24" i="9"/>
  <c r="V95" i="8" l="1"/>
  <c r="V113" i="8" s="1"/>
  <c r="S81" i="9" a="1"/>
  <c r="S81" i="9" s="1"/>
  <c r="S77" i="9"/>
  <c r="S78" i="9"/>
  <c r="S79" i="9" a="1"/>
  <c r="S79" i="9" s="1"/>
  <c r="S80" i="9" a="1"/>
  <c r="S80" i="9" s="1"/>
  <c r="V142" i="8"/>
  <c r="M79" i="9" a="1"/>
  <c r="M79" i="9" s="1"/>
  <c r="L79" i="9" a="1"/>
  <c r="L79" i="9" s="1"/>
  <c r="R79" i="9" a="1"/>
  <c r="R79" i="9" s="1"/>
  <c r="J79" i="9" a="1"/>
  <c r="J79" i="9" s="1"/>
  <c r="Q79" i="9" a="1"/>
  <c r="Q79" i="9" s="1"/>
  <c r="P79" i="9" a="1"/>
  <c r="P79" i="9" s="1"/>
  <c r="I79" i="9" a="1"/>
  <c r="I79" i="9" s="1"/>
  <c r="N79" i="9" a="1"/>
  <c r="N79" i="9" s="1"/>
  <c r="K79" i="9" a="1"/>
  <c r="K79" i="9" s="1"/>
  <c r="O79" i="9" a="1"/>
  <c r="O79" i="9" s="1"/>
  <c r="C113" i="8"/>
  <c r="C142" i="8" s="1"/>
  <c r="U113" i="8"/>
  <c r="N28" i="9"/>
  <c r="I28" i="9"/>
  <c r="M28" i="9"/>
  <c r="N81" i="9" a="1"/>
  <c r="N81" i="9" s="1"/>
  <c r="J28" i="9"/>
  <c r="D80" i="9" a="1"/>
  <c r="D80" i="9" s="1"/>
  <c r="D81" i="9" a="1"/>
  <c r="D81" i="9" s="1"/>
  <c r="D38" i="9"/>
  <c r="D46" i="9" s="1"/>
  <c r="D32" i="9"/>
  <c r="D78" i="9"/>
  <c r="D77" i="9"/>
  <c r="F81" i="9" a="1"/>
  <c r="F81" i="9" s="1"/>
  <c r="F80" i="9" a="1"/>
  <c r="F80" i="9" s="1"/>
  <c r="F32" i="9"/>
  <c r="F38" i="9"/>
  <c r="F46" i="9" s="1"/>
  <c r="F77" i="9"/>
  <c r="F78" i="9"/>
  <c r="G80" i="9" a="1"/>
  <c r="G80" i="9" s="1"/>
  <c r="G81" i="9" a="1"/>
  <c r="G81" i="9" s="1"/>
  <c r="G32" i="9"/>
  <c r="G78" i="9"/>
  <c r="G38" i="9"/>
  <c r="G46" i="9" s="1"/>
  <c r="G77" i="9"/>
  <c r="N32" i="9"/>
  <c r="N38" i="9"/>
  <c r="N46" i="9" s="1"/>
  <c r="R28" i="9"/>
  <c r="Q28" i="9"/>
  <c r="L38" i="9"/>
  <c r="L46" i="9" s="1"/>
  <c r="L32" i="9"/>
  <c r="K38" i="9"/>
  <c r="K46" i="9" s="1"/>
  <c r="K32" i="9"/>
  <c r="O28" i="9"/>
  <c r="E81" i="9" a="1"/>
  <c r="E81" i="9" s="1"/>
  <c r="E38" i="9"/>
  <c r="E46" i="9" s="1"/>
  <c r="E32" i="9"/>
  <c r="E80" i="9" a="1"/>
  <c r="E80" i="9" s="1"/>
  <c r="E78" i="9"/>
  <c r="E77" i="9"/>
  <c r="P32" i="9"/>
  <c r="P38" i="9"/>
  <c r="P46" i="9" s="1"/>
  <c r="S113" i="8" l="1"/>
  <c r="T113" i="8"/>
  <c r="Y33" i="8"/>
  <c r="N80" i="9" a="1"/>
  <c r="N80" i="9" s="1"/>
  <c r="D47" i="9"/>
  <c r="Q80" i="9" a="1"/>
  <c r="Q80" i="9" s="1"/>
  <c r="O80" i="9" a="1"/>
  <c r="O80" i="9" s="1"/>
  <c r="Q78" i="9"/>
  <c r="J81" i="9" a="1"/>
  <c r="J81" i="9" s="1"/>
  <c r="J80" i="9" a="1"/>
  <c r="J80" i="9" s="1"/>
  <c r="J77" i="9"/>
  <c r="J78" i="9"/>
  <c r="I80" i="9" a="1"/>
  <c r="I80" i="9" s="1"/>
  <c r="M38" i="9"/>
  <c r="M46" i="9" s="1"/>
  <c r="P80" i="9" a="1"/>
  <c r="P80" i="9" s="1"/>
  <c r="P81" i="9" a="1"/>
  <c r="P81" i="9" s="1"/>
  <c r="M32" i="9"/>
  <c r="P77" i="9"/>
  <c r="P78" i="9"/>
  <c r="N78" i="9"/>
  <c r="O77" i="9"/>
  <c r="G47" i="9"/>
  <c r="N77" i="9"/>
  <c r="K80" i="9" a="1"/>
  <c r="K80" i="9" s="1"/>
  <c r="K81" i="9" a="1"/>
  <c r="K81" i="9" s="1"/>
  <c r="K77" i="9"/>
  <c r="K78" i="9"/>
  <c r="F47" i="9"/>
  <c r="I77" i="9"/>
  <c r="Q38" i="9"/>
  <c r="Q46" i="9" s="1"/>
  <c r="Q32" i="9"/>
  <c r="M81" i="9" a="1"/>
  <c r="M81" i="9" s="1"/>
  <c r="J38" i="9"/>
  <c r="J46" i="9" s="1"/>
  <c r="J32" i="9"/>
  <c r="M80" i="9" a="1"/>
  <c r="M80" i="9" s="1"/>
  <c r="M77" i="9"/>
  <c r="M78" i="9"/>
  <c r="O81" i="9" a="1"/>
  <c r="O81" i="9" s="1"/>
  <c r="Q77" i="9"/>
  <c r="I81" i="9" a="1"/>
  <c r="I81" i="9" s="1"/>
  <c r="E47" i="9"/>
  <c r="R81" i="9" a="1"/>
  <c r="R81" i="9" s="1"/>
  <c r="R80" i="9" a="1"/>
  <c r="R80" i="9" s="1"/>
  <c r="R77" i="9"/>
  <c r="O32" i="9"/>
  <c r="O38" i="9"/>
  <c r="O46" i="9" s="1"/>
  <c r="R78" i="9"/>
  <c r="P47" i="9"/>
  <c r="Q81" i="9" a="1"/>
  <c r="Q81" i="9" s="1"/>
  <c r="L80" i="9" a="1"/>
  <c r="L80" i="9" s="1"/>
  <c r="L81" i="9" a="1"/>
  <c r="L81" i="9" s="1"/>
  <c r="I38" i="9"/>
  <c r="I32" i="9"/>
  <c r="L77" i="9"/>
  <c r="L78" i="9"/>
  <c r="O78" i="9"/>
  <c r="R32" i="9"/>
  <c r="R38" i="9"/>
  <c r="R46" i="9" s="1"/>
  <c r="I78" i="9"/>
  <c r="AG46" i="9" l="1"/>
  <c r="AG47" i="9" s="1"/>
  <c r="AA46" i="9"/>
  <c r="AA47" i="9" s="1"/>
  <c r="W46" i="9"/>
  <c r="W47" i="9" s="1"/>
  <c r="AD46" i="9"/>
  <c r="AD47" i="9" s="1"/>
  <c r="AC46" i="9"/>
  <c r="AC47" i="9" s="1"/>
  <c r="Z46" i="9"/>
  <c r="Z47" i="9" s="1"/>
  <c r="AF46" i="9"/>
  <c r="AF47" i="9" s="1"/>
  <c r="Y46" i="9"/>
  <c r="Y47" i="9" s="1"/>
  <c r="AB46" i="9"/>
  <c r="AB47" i="9" s="1"/>
  <c r="X46" i="9"/>
  <c r="X47" i="9" s="1"/>
  <c r="AE46" i="9"/>
  <c r="AE47" i="9" s="1"/>
  <c r="Q47" i="9"/>
  <c r="R47" i="9"/>
  <c r="O47" i="9"/>
  <c r="N47" i="9"/>
  <c r="I47" i="9"/>
  <c r="K47" i="9"/>
  <c r="L47" i="9"/>
  <c r="V46" i="9" l="1"/>
  <c r="V47" i="9" s="1"/>
  <c r="U46" i="9"/>
  <c r="U47" i="9" s="1"/>
  <c r="J47" i="9"/>
  <c r="M47" i="9"/>
  <c r="C138" i="8" l="1"/>
  <c r="C143" i="8" s="1"/>
  <c r="C145" i="8" s="1"/>
  <c r="D136" i="8" l="1"/>
  <c r="D138" i="8" s="1"/>
  <c r="D143" i="8" s="1"/>
  <c r="D145" i="8" s="1"/>
  <c r="E136" i="8" l="1"/>
  <c r="E138" i="8" s="1"/>
  <c r="E143" i="8" s="1"/>
  <c r="E145" i="8" s="1"/>
  <c r="G138" i="8" l="1"/>
  <c r="G143" i="8" s="1"/>
  <c r="T136" i="8" l="1"/>
  <c r="H136" i="8"/>
  <c r="H138" i="8" s="1"/>
  <c r="H143" i="8" s="1"/>
  <c r="H145" i="8" s="1"/>
  <c r="U136" i="8" l="1"/>
  <c r="I136" i="8"/>
  <c r="I138" i="8" s="1"/>
  <c r="I143" i="8" s="1"/>
  <c r="I145" i="8" s="1"/>
  <c r="V136" i="8" l="1"/>
  <c r="J136" i="8"/>
  <c r="J138" i="8" s="1"/>
  <c r="J143" i="8" s="1"/>
  <c r="J145" i="8" s="1"/>
  <c r="W136" i="8" l="1"/>
  <c r="K136" i="8"/>
  <c r="K138" i="8" s="1"/>
  <c r="K143" i="8" s="1"/>
  <c r="K145" i="8" s="1"/>
  <c r="X136" i="8" l="1"/>
  <c r="T138" i="8"/>
  <c r="T143" i="8" s="1"/>
  <c r="T145" i="8" s="1"/>
  <c r="L136" i="8"/>
  <c r="L138" i="8" s="1"/>
  <c r="L143" i="8" s="1"/>
  <c r="L145" i="8" s="1"/>
  <c r="Y136" i="8" l="1"/>
  <c r="U138" i="8"/>
  <c r="U143" i="8" s="1"/>
  <c r="U145" i="8" s="1"/>
  <c r="M136" i="8"/>
  <c r="M138" i="8" s="1"/>
  <c r="M143" i="8" s="1"/>
  <c r="M145" i="8" s="1"/>
  <c r="Z136" i="8" l="1"/>
  <c r="V138" i="8"/>
  <c r="V143" i="8" s="1"/>
  <c r="V145" i="8" s="1"/>
  <c r="N136" i="8"/>
  <c r="N138" i="8" s="1"/>
  <c r="O11" i="8" l="1"/>
  <c r="O14" i="8" l="1"/>
  <c r="O22" i="8" s="1"/>
  <c r="O28" i="8" l="1"/>
  <c r="O32" i="8" s="1"/>
  <c r="O39" i="8" s="1"/>
  <c r="O15" i="8"/>
  <c r="O95" i="8" l="1"/>
  <c r="O36" i="8"/>
  <c r="O23" i="8"/>
  <c r="O29" i="8"/>
  <c r="O33" i="8" l="1"/>
  <c r="O113" i="8" l="1"/>
  <c r="O142" i="8" s="1"/>
  <c r="N11" i="8"/>
  <c r="N14" i="8" l="1"/>
  <c r="N22" i="8" s="1"/>
  <c r="N15" i="8" l="1"/>
  <c r="N28" i="8"/>
  <c r="N32" i="8" s="1"/>
  <c r="N95" i="8" l="1"/>
  <c r="N39" i="8"/>
  <c r="N36" i="8"/>
  <c r="N23" i="8"/>
  <c r="N29" i="8"/>
  <c r="N33" i="8" l="1"/>
  <c r="Z95" i="8"/>
  <c r="Z113" i="8" l="1"/>
  <c r="AB113" i="8" s="1"/>
  <c r="AB95" i="8"/>
  <c r="Y95" i="8"/>
  <c r="W95" i="8"/>
  <c r="W113" i="8" s="1"/>
  <c r="X95" i="8"/>
  <c r="X113" i="8" s="1"/>
  <c r="N113" i="8"/>
  <c r="N142" i="8" s="1"/>
  <c r="N143" i="8" l="1"/>
  <c r="N145" i="8" s="1"/>
  <c r="Z142" i="8"/>
  <c r="Y142" i="8"/>
  <c r="X142" i="8"/>
  <c r="W142" i="8"/>
  <c r="W138" i="8"/>
  <c r="Y113" i="8"/>
  <c r="O136" i="8" l="1"/>
  <c r="O138" i="8" s="1"/>
  <c r="O143" i="8" s="1"/>
  <c r="O145" i="8" s="1"/>
  <c r="W143" i="8"/>
  <c r="W145" i="8" s="1"/>
  <c r="X138" i="8"/>
  <c r="X143" i="8" s="1"/>
  <c r="X145" i="8" s="1"/>
  <c r="P136" i="8" l="1"/>
  <c r="P138" i="8" s="1"/>
  <c r="P143" i="8" s="1"/>
  <c r="P145" i="8" s="1"/>
  <c r="Y138" i="8"/>
  <c r="Y143" i="8" s="1"/>
  <c r="Y145" i="8" s="1"/>
  <c r="S138" i="8"/>
  <c r="S143" i="8" s="1"/>
  <c r="S145" i="8" s="1"/>
  <c r="Q136" i="8" l="1"/>
  <c r="Q138" i="8" s="1"/>
  <c r="Q143" i="8" s="1"/>
  <c r="Q145" i="8" s="1"/>
  <c r="Z138" i="8"/>
  <c r="Z143" i="8" s="1"/>
  <c r="Z145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<sst xmlns="http://schemas.openxmlformats.org/spreadsheetml/2006/main" count="267" uniqueCount="189">
  <si>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</si>
  <si>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</si>
  <si>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</si>
  <si>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</si>
  <si>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</si>
  <si>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</si>
  <si>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</si>
  <si>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</si>
  <si>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</si>
  <si>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</si>
  <si>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</si>
  <si>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</si>
  <si>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</si>
  <si>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Changes in assets and liabilities: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</si>
  <si>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</si>
  <si>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</si>
  <si>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</si>
  <si>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</si>
  <si>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</si>
  <si>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</si>
  <si>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</si>
  <si>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</si>
  <si>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</si>
  <si>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</si>
  <si>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</si>
  <si>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</si>
  <si>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</si>
  <si>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</si>
  <si>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</si>
  <si>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</si>
  <si>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</si>
  <si>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</si>
  <si>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</si>
  <si>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</si>
  <si>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</si>
  <si>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</si>
  <si>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</si>
  <si>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</si>
  <si>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</si>
  <si>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</si>
  <si>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</si>
  <si>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</si>
  <si>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</si>
  <si>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</si>
  <si>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</si>
  <si>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</si>
  <si>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</si>
  <si>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</si>
  <si>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</si>
  <si>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</si>
  <si>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Net loss</t>
  </si>
  <si>
    <t>Total liabilities and stockholders' equity</t>
  </si>
  <si>
    <t>Cash-Flows From Operating Activities</t>
  </si>
  <si>
    <t>Net income (loss)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</si>
  <si>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</si>
  <si>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</si>
  <si>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</si>
  <si>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</si>
  <si>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</si>
  <si>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</si>
  <si>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</si>
  <si>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</si>
  <si>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</si>
  <si>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</si>
  <si>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</si>
  <si>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Net Margin (%)</t>
  </si>
  <si>
    <t>Basic EPS</t>
  </si>
  <si>
    <t>Fully Diluted Shares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</si>
  <si>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</si>
  <si>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</si>
  <si>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</si>
  <si>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</si>
  <si>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</si>
  <si>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</si>
  <si>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</si>
  <si>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</si>
  <si>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</si>
  <si>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</si>
  <si>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</si>
  <si>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Interest Expense</t>
  </si>
  <si>
    <t>Operating Profit</t>
  </si>
  <si>
    <t>Earning Before Taxes</t>
  </si>
  <si>
    <t>EBT Margin (%)</t>
  </si>
  <si>
    <t>Current Assets</t>
  </si>
  <si>
    <t>Non-Current Assets</t>
  </si>
  <si>
    <t>Non-Current Liabilities</t>
  </si>
  <si>
    <t>Unrestricted Cash BOP</t>
  </si>
  <si>
    <t>EOP FX Adjustment</t>
  </si>
  <si>
    <t xml:space="preserve">Interest Income </t>
  </si>
  <si>
    <t>Property and equipment, net</t>
  </si>
  <si>
    <t>Purchases of property and equipment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</si>
  <si>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</si>
  <si>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</si>
  <si>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</si>
  <si>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</si>
  <si>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</si>
  <si>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</si>
  <si>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</si>
  <si>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</si>
  <si>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</si>
  <si>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Cash and cash equivalents</t>
  </si>
  <si>
    <t>Short-term investments</t>
  </si>
  <si>
    <t>Additions to content assets</t>
  </si>
  <si>
    <t>Change in content liabilities</t>
  </si>
  <si>
    <t>Amortization of content assets</t>
  </si>
  <si>
    <t>EOP Restricted Cash Adjustment</t>
  </si>
  <si>
    <t>Other Income &amp; Expenses</t>
  </si>
  <si>
    <t>Income taxes paid</t>
  </si>
  <si>
    <t>Interest paid</t>
  </si>
  <si>
    <t>BOP Restricted Cash Adjustment</t>
  </si>
  <si>
    <t>$ in thousands except per share</t>
  </si>
  <si>
    <t>(+/-) Proceeds / (Purchases) of ST Investments</t>
  </si>
  <si>
    <t>(-) Proceeds From Equity Issuances / (Share Repurchases)</t>
  </si>
  <si>
    <t>(-) 'Proceeds from issuance of Debt / (Repayment), net</t>
  </si>
  <si>
    <t>(+/-) Changes in Additions to content assets</t>
  </si>
  <si>
    <t>(+/-) Changes in Other Financing Activities</t>
  </si>
  <si>
    <t>Content Liabilities</t>
  </si>
  <si>
    <t>Deferred Revenue</t>
  </si>
  <si>
    <t>Summary Debt:</t>
  </si>
  <si>
    <t>CPLTD</t>
  </si>
  <si>
    <t>LTD</t>
  </si>
  <si>
    <t>Property and Equipment, net</t>
  </si>
  <si>
    <t>Cost of Revenue</t>
  </si>
  <si>
    <t>XXX</t>
  </si>
  <si>
    <t>(-) Cost of Revenues</t>
  </si>
  <si>
    <t>(-) XXX</t>
  </si>
  <si>
    <t>(+) Depreciation and Amortization</t>
  </si>
  <si>
    <t>(+) XXX</t>
  </si>
  <si>
    <t>Trump Media &amp; Technology Group Corp  (NASDAQ: DJT)</t>
  </si>
  <si>
    <t>Research and development</t>
  </si>
  <si>
    <t>Sales and marketing</t>
  </si>
  <si>
    <t>General and administration</t>
  </si>
  <si>
    <t>Depreciation and amortization</t>
  </si>
  <si>
    <t>Prepaid expenses and other current assets</t>
  </si>
  <si>
    <t>Accounts receivable, net</t>
  </si>
  <si>
    <t>Goodwill</t>
  </si>
  <si>
    <t xml:space="preserve">Intangible assets, net	</t>
  </si>
  <si>
    <t>Right-of-use assets, net</t>
  </si>
  <si>
    <t>Accounts payable and accrued expenses</t>
  </si>
  <si>
    <t>Convertible promissory notes</t>
  </si>
  <si>
    <t>Related party payables</t>
  </si>
  <si>
    <t>Derivative liability</t>
  </si>
  <si>
    <t>Unearned revenue</t>
  </si>
  <si>
    <t>Current portion of long-term debt</t>
  </si>
  <si>
    <t>Current portion of operating lease liability</t>
  </si>
  <si>
    <t>Long-term operating lease liability</t>
  </si>
  <si>
    <t>Long-term debt - Other</t>
  </si>
  <si>
    <t>Common Stock</t>
  </si>
  <si>
    <t>Preferred Stock</t>
  </si>
  <si>
    <t>Paid in Capital</t>
  </si>
  <si>
    <t>Treasury Stock</t>
  </si>
  <si>
    <t>Accumulated Deficit</t>
  </si>
  <si>
    <t>Income tax Benefit (Expense)</t>
  </si>
  <si>
    <t>Restricted cash</t>
  </si>
  <si>
    <t>Trading securities</t>
  </si>
  <si>
    <t>Total stockholders’ equity</t>
  </si>
  <si>
    <t>Noncontrolling interest</t>
  </si>
  <si>
    <t>Total liabilities and Equity</t>
  </si>
  <si>
    <t>Total Equity</t>
  </si>
  <si>
    <t>Digital Assets</t>
  </si>
  <si>
    <t xml:space="preserve">Long-Term Debt </t>
  </si>
  <si>
    <t>Other Non-Current Liabilities</t>
  </si>
  <si>
    <t>Current Portion of Long-Term Debt</t>
  </si>
  <si>
    <t>Accounts payable and Accrued Expenses</t>
  </si>
  <si>
    <t>Other Current Liabilities</t>
  </si>
  <si>
    <t>Change in fair value of digital assets</t>
  </si>
  <si>
    <t>Non-cash interest expense on debt</t>
  </si>
  <si>
    <t>Change in fair value of derivative liability</t>
  </si>
  <si>
    <t>Loss on extinguishment of debt</t>
  </si>
  <si>
    <t>Stock based compensation</t>
  </si>
  <si>
    <t>Net unrealized loss on investments</t>
  </si>
  <si>
    <t>Operating lease amortization</t>
  </si>
  <si>
    <t>Deferred taxes</t>
  </si>
  <si>
    <t>Accounts receivable</t>
  </si>
  <si>
    <t>Purchase of intangible assets</t>
  </si>
  <si>
    <t>Purchases of digital assets</t>
  </si>
  <si>
    <t>Proceeds from merger</t>
  </si>
  <si>
    <t>Proceeds from PIPE</t>
  </si>
  <si>
    <t>Payments of debt and equity offering costs</t>
  </si>
  <si>
    <t>Proceeds from SEPA, net</t>
  </si>
  <si>
    <t>Proceeds from the exercise of warrants, net</t>
  </si>
  <si>
    <t>Contribution for non-controlling interest</t>
  </si>
  <si>
    <t>Cash Held in Trust Account</t>
  </si>
  <si>
    <t>Related party receivable/payable</t>
  </si>
  <si>
    <t>Divestiture / Acquisitions</t>
  </si>
  <si>
    <t>Proceeds / (Purchases) of short-term investments</t>
  </si>
  <si>
    <t>Sale / (Purchase) of trading securities</t>
  </si>
  <si>
    <t>Proceeds from Debt Issuances / (Repayment)</t>
  </si>
  <si>
    <t>Issuance of Common Stock / (Repurchases)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</si>
</sst>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29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lightGray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5" fillId="0" borderId="0" applyNumberFormat="0" applyFont="0" applyFill="0" applyBorder="0" applyAlignment="0" applyProtection="0"/>
  </cellStyleXfs>
  <cellXfs count="162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4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5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5" fontId="8" fillId="4" borderId="0" xfId="0" applyNumberFormat="1" applyFont="1" applyFill="1" applyAlignment="1">
      <alignment horizontal="right" vertical="top" wrapTex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6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166" fontId="7" fillId="0" borderId="0" xfId="1" applyNumberFormat="1" applyFont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6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5" borderId="0" xfId="1" applyNumberFormat="1" applyFont="1" applyFill="1" applyBorder="1" applyAlignment="1">
      <alignment horizontal="right" vertical="center" wrapText="1"/>
    </xf>
    <xf numFmtId="166" fontId="9" fillId="5" borderId="0" xfId="1" applyNumberFormat="1" applyFont="1" applyFill="1" applyBorder="1" applyAlignment="1">
      <alignment horizontal="right" vertical="center" wrapText="1"/>
    </xf>
    <xf numFmtId="168" fontId="9" fillId="5" borderId="0" xfId="1" applyNumberFormat="1" applyFont="1" applyFill="1" applyBorder="1" applyAlignment="1">
      <alignment horizontal="right" vertical="center" wrapText="1"/>
    </xf>
    <xf numFmtId="0" fontId="8" fillId="0" borderId="6" xfId="0" applyFont="1" applyBorder="1" applyAlignment="1">
      <alignment vertical="top" wrapText="1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41" fontId="8" fillId="6" borderId="2" xfId="0" applyNumberFormat="1" applyFont="1" applyFill="1" applyBorder="1" applyAlignment="1">
      <alignment horizontal="right" vertical="top" wrapText="1"/>
    </xf>
    <xf numFmtId="3" fontId="4" fillId="0" borderId="0" xfId="0" applyNumberFormat="1" applyFont="1" applyAlignment="1">
      <alignment wrapText="1"/>
    </xf>
    <xf numFmtId="43" fontId="21" fillId="0" borderId="7" xfId="0" applyNumberFormat="1" applyFont="1" applyBorder="1" applyAlignment="1">
      <alignment wrapText="1"/>
    </xf>
    <xf numFmtId="41" fontId="6" fillId="0" borderId="7" xfId="0" applyNumberFormat="1" applyFont="1" applyBorder="1" applyAlignment="1">
      <alignment horizontal="right" vertical="top" wrapText="1"/>
    </xf>
    <xf numFmtId="0" fontId="8" fillId="6" borderId="9" xfId="0" applyFont="1" applyFill="1" applyBorder="1" applyAlignment="1">
      <alignment horizontal="right" vertical="center" wrapText="1"/>
    </xf>
    <xf numFmtId="0" fontId="4" fillId="0" borderId="9" xfId="0" applyFont="1" applyBorder="1"/>
    <xf numFmtId="37" fontId="4" fillId="0" borderId="10" xfId="0" applyNumberFormat="1" applyFont="1" applyBorder="1" applyAlignment="1">
      <alignment wrapText="1"/>
    </xf>
    <xf numFmtId="41" fontId="8" fillId="0" borderId="12" xfId="0" applyNumberFormat="1" applyFont="1" applyBorder="1" applyAlignment="1">
      <alignment horizontal="right"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4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7" borderId="0" xfId="0" applyFont="1" applyFill="1" applyAlignment="1">
      <alignment vertical="center" wrapText="1"/>
    </xf>
    <xf numFmtId="0" fontId="3" fillId="7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7" borderId="4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 wrapText="1"/>
    </xf>
    <xf numFmtId="0" fontId="2" fillId="8" borderId="0" xfId="0" applyFont="1" applyFill="1" applyAlignment="1">
      <alignment vertical="center" wrapText="1"/>
    </xf>
    <xf numFmtId="0" fontId="2" fillId="8" borderId="4" xfId="0" applyFont="1" applyFill="1" applyBorder="1" applyAlignment="1">
      <alignment horizontal="centerContinuous" vertical="center" wrapText="1"/>
    </xf>
    <xf numFmtId="0" fontId="4" fillId="8" borderId="0" xfId="0" applyFont="1" applyFill="1" applyAlignment="1">
      <alignment wrapText="1"/>
    </xf>
    <xf numFmtId="0" fontId="5" fillId="8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vertical="center" wrapText="1"/>
    </xf>
    <xf numFmtId="0" fontId="5" fillId="8" borderId="0" xfId="0" applyFont="1" applyFill="1" applyAlignment="1">
      <alignment vertical="center" wrapText="1"/>
    </xf>
    <xf numFmtId="14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9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7" fillId="3" borderId="0" xfId="1" applyNumberFormat="1" applyFont="1" applyFill="1" applyBorder="1" applyAlignment="1">
      <alignment horizontal="right" vertical="center" wrapText="1"/>
    </xf>
    <xf numFmtId="167" fontId="27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0" fontId="23" fillId="0" borderId="0" xfId="0" applyFont="1" applyAlignment="1">
      <alignment horizontal="left" wrapText="1"/>
    </xf>
    <xf numFmtId="41" fontId="7" fillId="0" borderId="9" xfId="0" applyNumberFormat="1" applyFont="1" applyBorder="1" applyAlignment="1">
      <alignment horizontal="right" vertical="top" wrapText="1"/>
    </xf>
    <xf numFmtId="7" fontId="24" fillId="0" borderId="0" xfId="0" applyNumberFormat="1" applyFont="1" applyAlignment="1">
      <alignment horizontal="right"/>
    </xf>
    <xf numFmtId="41" fontId="8" fillId="6" borderId="0" xfId="0" applyNumberFormat="1" applyFont="1" applyFill="1" applyAlignment="1">
      <alignment horizontal="right" vertical="top" wrapText="1"/>
    </xf>
    <xf numFmtId="41" fontId="6" fillId="6" borderId="0" xfId="0" applyNumberFormat="1" applyFont="1" applyFill="1" applyAlignment="1">
      <alignment horizontal="right" vertical="top" wrapText="1"/>
    </xf>
    <xf numFmtId="41" fontId="6" fillId="0" borderId="10" xfId="0" applyNumberFormat="1" applyFont="1" applyBorder="1" applyAlignment="1">
      <alignment horizontal="right" vertical="top" wrapText="1"/>
    </xf>
    <xf numFmtId="41" fontId="8" fillId="6" borderId="10" xfId="0" applyNumberFormat="1" applyFont="1" applyFill="1" applyBorder="1" applyAlignment="1">
      <alignment horizontal="right" vertical="top" wrapText="1"/>
    </xf>
    <xf numFmtId="41" fontId="8" fillId="0" borderId="10" xfId="0" applyNumberFormat="1" applyFont="1" applyBorder="1" applyAlignment="1">
      <alignment horizontal="right" vertical="top" wrapText="1"/>
    </xf>
    <xf numFmtId="41" fontId="6" fillId="6" borderId="10" xfId="0" applyNumberFormat="1" applyFont="1" applyFill="1" applyBorder="1" applyAlignment="1">
      <alignment horizontal="right" vertical="top" wrapText="1"/>
    </xf>
    <xf numFmtId="43" fontId="21" fillId="0" borderId="11" xfId="0" applyNumberFormat="1" applyFont="1" applyBorder="1" applyAlignment="1">
      <alignment wrapText="1"/>
    </xf>
    <xf numFmtId="0" fontId="8" fillId="0" borderId="9" xfId="0" applyFont="1" applyBorder="1" applyAlignment="1">
      <alignment horizontal="right" vertical="center" wrapText="1"/>
    </xf>
    <xf numFmtId="0" fontId="26" fillId="0" borderId="8" xfId="0" applyFont="1" applyBorder="1" applyAlignment="1">
      <alignment horizontal="right" vertical="top" wrapText="1"/>
    </xf>
    <xf numFmtId="0" fontId="26" fillId="0" borderId="0" xfId="0" applyFont="1" applyAlignment="1">
      <alignment vertical="top" wrapText="1"/>
    </xf>
    <xf numFmtId="41" fontId="6" fillId="0" borderId="14" xfId="0" applyNumberFormat="1" applyFont="1" applyBorder="1" applyAlignment="1">
      <alignment horizontal="right" vertical="top" wrapText="1"/>
    </xf>
    <xf numFmtId="41" fontId="24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23" fillId="0" borderId="3" xfId="0" applyFont="1" applyBorder="1" applyAlignment="1">
      <alignment horizontal="left" wrapText="1"/>
    </xf>
    <xf numFmtId="0" fontId="2" fillId="2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28" fillId="2" borderId="0" xfId="0" applyFont="1" applyFill="1" applyAlignment="1">
      <alignment horizontal="center" vertical="center" wrapText="1"/>
    </xf>
    <xf numFmtId="41" fontId="11" fillId="0" borderId="13" xfId="0" applyNumberFormat="1" applyFont="1" applyBorder="1" applyAlignment="1">
      <alignment horizontal="right" vertical="top" wrapText="1"/>
    </xf>
    <xf numFmtId="0" fontId="4" fillId="0" borderId="0" xfId="0" applyFont="1" applyFill="1" applyAlignment="1">
      <alignment wrapText="1"/>
    </xf>
    <xf numFmtId="0" fontId="8" fillId="0" borderId="0" xfId="0" applyFont="1" applyFill="1" applyBorder="1" applyAlignment="1">
      <alignment vertical="top" wrapText="1"/>
    </xf>
    <xf numFmtId="5" fontId="8" fillId="0" borderId="0" xfId="0" applyNumberFormat="1" applyFont="1" applyFill="1" applyBorder="1" applyAlignment="1">
      <alignment horizontal="right" vertical="top" wrapText="1"/>
    </xf>
    <xf numFmtId="0" fontId="8" fillId="0" borderId="0" xfId="0" applyFont="1" applyFill="1" applyAlignment="1">
      <alignment wrapText="1"/>
    </xf>
    <xf numFmtId="165" fontId="15" fillId="0" borderId="0" xfId="0" applyNumberFormat="1" applyFont="1" applyFill="1" applyAlignment="1">
      <alignment wrapText="1"/>
    </xf>
    <xf numFmtId="5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vertical="center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B164"/>
  <sheetViews>
    <sheetView showGridLines="0" tabSelected="1" zoomScale="115" zoomScaleNormal="115" workbookViewId="0">
      <selection activeCell="B2" sqref="B2"/>
    </sheetView>
  </sheetViews>
  <sheetFormatPr defaultRowHeight="12" outlineLevelCol="2"/>
  <cols>
    <col min="1" max="1" width="1.625" style="5" bestFit="1" customWidth="1"/>
    <col min="2" max="2" width="36.25" style="5" customWidth="1"/>
    <col min="3" max="5" width="9" style="5" bestFit="1" customWidth="1"/>
    <col min="6" max="6" width="1.5" style="5" customWidth="1"/>
    <col min="7" max="10" width="8.875" style="5" customWidth="1" outlineLevel="2"/>
    <col min="11" max="12" width="8.875" style="5" customWidth="1" outlineLevel="1"/>
    <col min="13" max="13" width="9.125" style="5" bestFit="1" customWidth="1"/>
    <col min="14" max="14" width="8.875" style="5" bestFit="1" customWidth="1"/>
    <col min="15" max="17" width="9.125" style="5" bestFit="1" customWidth="1"/>
    <col min="18" max="18" width="1.5" style="5" customWidth="1"/>
    <col min="19" max="21" width="8.75" style="5" customWidth="1" outlineLevel="1"/>
    <col min="22" max="22" width="9" style="5" bestFit="1" customWidth="1"/>
    <col min="23" max="25" width="9" style="5" hidden="1" customWidth="1" outlineLevel="1"/>
    <col min="26" max="26" width="9" style="5" bestFit="1" customWidth="1" collapsed="1"/>
    <col min="27" max="27" width="1.25" style="5" customWidth="1"/>
    <col min="28" max="28" width="8" style="5" bestFit="1" customWidth="1"/>
    <col min="29" max="29" width="1.375" style="5" customWidth="1"/>
    <col min="30" max="16384" width="9" style="5"/>
  </cols>
  <sheetData>
    <row r="2" spans="1:28" ht="12.75" customHeight="1">
      <c r="B2" s="161" t="s">
        <v>128</v>
      </c>
      <c r="C2" s="102"/>
      <c r="D2" s="102"/>
      <c r="E2" s="102"/>
      <c r="F2" s="3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3"/>
      <c r="S2" s="102"/>
      <c r="T2" s="102"/>
      <c r="U2" s="102"/>
      <c r="V2" s="102"/>
      <c r="W2" s="102"/>
      <c r="X2" s="102"/>
      <c r="Y2" s="102"/>
      <c r="Z2" s="102"/>
      <c r="AA2" s="3"/>
      <c r="AB2" s="1"/>
    </row>
    <row r="3" spans="1:28" ht="12.75" customHeight="1">
      <c r="B3" s="6" t="s">
        <v>76</v>
      </c>
      <c r="C3" s="7"/>
      <c r="D3" s="7"/>
      <c r="E3" s="7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3"/>
      <c r="S3" s="4"/>
      <c r="T3" s="4"/>
      <c r="U3" s="4"/>
      <c r="V3" s="4"/>
      <c r="W3" s="4"/>
      <c r="X3" s="4"/>
      <c r="Y3" s="4"/>
      <c r="Z3" s="4"/>
      <c r="AA3" s="3"/>
      <c r="AB3" s="1"/>
    </row>
    <row r="4" spans="1:28" ht="12.75" customHeight="1">
      <c r="B4" s="6" t="s">
        <v>110</v>
      </c>
      <c r="C4" s="3"/>
      <c r="D4" s="85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1"/>
    </row>
    <row r="6" spans="1:28" ht="12.75" customHeight="1">
      <c r="A6" s="5" t="s">
        <v>17</v>
      </c>
      <c r="B6" s="1" t="s">
        <v>74</v>
      </c>
      <c r="C6" s="2" t="s">
        <v>0</v>
      </c>
      <c r="D6" s="2"/>
      <c r="E6" s="2"/>
      <c r="F6" s="3"/>
      <c r="G6" s="2" t="s">
        <v>1</v>
      </c>
      <c r="H6" s="2"/>
      <c r="I6" s="2"/>
      <c r="J6" s="2"/>
      <c r="K6" s="2"/>
      <c r="L6" s="2"/>
      <c r="M6" s="2" t="s">
        <v>1</v>
      </c>
      <c r="N6" s="2"/>
      <c r="O6" s="2"/>
      <c r="P6" s="2"/>
      <c r="Q6" s="2"/>
      <c r="R6" s="3"/>
      <c r="S6" s="2"/>
      <c r="T6" s="2"/>
      <c r="U6" s="2" t="s">
        <v>10</v>
      </c>
      <c r="V6" s="2" t="s">
        <v>10</v>
      </c>
      <c r="W6" s="2"/>
      <c r="X6" s="2"/>
      <c r="Y6" s="2"/>
      <c r="Z6" s="2"/>
      <c r="AA6" s="39"/>
      <c r="AB6" s="150" t="s">
        <v>23</v>
      </c>
    </row>
    <row r="7" spans="1:28" ht="12.75" customHeight="1">
      <c r="B7" s="6" t="s">
        <v>77</v>
      </c>
      <c r="C7" s="7">
        <v>2022</v>
      </c>
      <c r="D7" s="7">
        <v>2023</v>
      </c>
      <c r="E7" s="7">
        <v>2024</v>
      </c>
      <c r="F7" s="3"/>
      <c r="G7" s="4" t="s">
        <v>6</v>
      </c>
      <c r="H7" s="4" t="s">
        <v>7</v>
      </c>
      <c r="I7" s="4" t="s">
        <v>8</v>
      </c>
      <c r="J7" s="4" t="s">
        <v>9</v>
      </c>
      <c r="K7" s="4" t="s">
        <v>2</v>
      </c>
      <c r="L7" s="4" t="s">
        <v>3</v>
      </c>
      <c r="M7" s="4" t="s">
        <v>4</v>
      </c>
      <c r="N7" s="4" t="s">
        <v>5</v>
      </c>
      <c r="O7" s="4" t="s">
        <v>25</v>
      </c>
      <c r="P7" s="4" t="s">
        <v>26</v>
      </c>
      <c r="Q7" s="4" t="s">
        <v>64</v>
      </c>
      <c r="R7" s="3"/>
      <c r="S7" s="4" t="str">
        <f>J7</f>
        <v>4Q23</v>
      </c>
      <c r="T7" s="4" t="str">
        <f>K7</f>
        <v>1Q24</v>
      </c>
      <c r="U7" s="4" t="str">
        <f>L7</f>
        <v>2Q24</v>
      </c>
      <c r="V7" s="4" t="str">
        <f>M7</f>
        <v>3Q24</v>
      </c>
      <c r="W7" s="4" t="str">
        <f>N7</f>
        <v>4Q24</v>
      </c>
      <c r="X7" s="4" t="str">
        <f>O7</f>
        <v>1Q25</v>
      </c>
      <c r="Y7" s="4" t="str">
        <f>P7</f>
        <v>2Q25</v>
      </c>
      <c r="Z7" s="4" t="str">
        <f>Q7</f>
        <v>3Q25</v>
      </c>
      <c r="AA7" s="39"/>
      <c r="AB7" s="150"/>
    </row>
    <row r="8" spans="1:28" ht="12.75" customHeight="1">
      <c r="B8" s="6" t="s">
        <v>78</v>
      </c>
      <c r="C8" s="3">
        <v>44926</v>
      </c>
      <c r="D8" s="85">
        <v>45291</v>
      </c>
      <c r="E8" s="3">
        <v>45657</v>
      </c>
      <c r="F8" s="3"/>
      <c r="G8" s="3">
        <v>45016</v>
      </c>
      <c r="H8" s="3">
        <v>45107</v>
      </c>
      <c r="I8" s="3">
        <v>45199</v>
      </c>
      <c r="J8" s="3">
        <f>D8</f>
        <v>45291</v>
      </c>
      <c r="K8" s="3">
        <v>45382</v>
      </c>
      <c r="L8" s="3">
        <v>45473</v>
      </c>
      <c r="M8" s="3">
        <v>45565</v>
      </c>
      <c r="N8" s="3">
        <f>E8</f>
        <v>45657</v>
      </c>
      <c r="O8" s="3">
        <v>45747</v>
      </c>
      <c r="P8" s="3">
        <v>45838</v>
      </c>
      <c r="Q8" s="3">
        <v>45930</v>
      </c>
      <c r="R8" s="3"/>
      <c r="S8" s="3">
        <f>J8</f>
        <v>45291</v>
      </c>
      <c r="T8" s="3">
        <f>K8</f>
        <v>45382</v>
      </c>
      <c r="U8" s="3">
        <f>L8</f>
        <v>45473</v>
      </c>
      <c r="V8" s="3">
        <f>M8</f>
        <v>45565</v>
      </c>
      <c r="W8" s="3">
        <f>N8</f>
        <v>45657</v>
      </c>
      <c r="X8" s="3">
        <f>O8</f>
        <v>45747</v>
      </c>
      <c r="Y8" s="3">
        <f>P8</f>
        <v>45838</v>
      </c>
      <c r="Z8" s="3">
        <f>Q8</f>
        <v>45930</v>
      </c>
      <c r="AA8" s="39"/>
      <c r="AB8" s="150"/>
    </row>
    <row r="9" spans="1:28" ht="5.0999999999999996" customHeight="1">
      <c r="AB9" s="101"/>
    </row>
    <row r="10" spans="1:28" ht="12.75" customHeight="1">
      <c r="B10" s="9" t="s">
        <v>59</v>
      </c>
      <c r="C10" s="82">
        <v>1470.5</v>
      </c>
      <c r="D10" s="82">
        <v>4131.1000000000004</v>
      </c>
      <c r="E10" s="82">
        <v>3618.8</v>
      </c>
      <c r="F10" s="11"/>
      <c r="G10" s="96">
        <v>1116.2</v>
      </c>
      <c r="H10" s="96">
        <v>1192.0999999999999</v>
      </c>
      <c r="I10" s="96">
        <v>1071.3</v>
      </c>
      <c r="J10" s="33">
        <f>SUM(D10-SUM(G10:I10))</f>
        <v>751.5</v>
      </c>
      <c r="K10" s="96">
        <v>770.5</v>
      </c>
      <c r="L10" s="96">
        <v>836.9</v>
      </c>
      <c r="M10" s="96">
        <v>1010.9</v>
      </c>
      <c r="N10" s="33">
        <f>SUM(E10-SUM(K10:M10))</f>
        <v>1000.5</v>
      </c>
      <c r="O10" s="82">
        <v>821.2</v>
      </c>
      <c r="P10" s="82">
        <v>883.3</v>
      </c>
      <c r="Q10" s="82">
        <v>972.9</v>
      </c>
      <c r="S10" s="33">
        <f>SUM(G10:J10)</f>
        <v>4131.1000000000004</v>
      </c>
      <c r="T10" s="33">
        <f>SUM(H10:K10)</f>
        <v>3785.3999999999996</v>
      </c>
      <c r="U10" s="33">
        <f>SUM(I10:L10)</f>
        <v>3430.2000000000003</v>
      </c>
      <c r="V10" s="33">
        <f>SUM(J10:M10)</f>
        <v>3369.8</v>
      </c>
      <c r="W10" s="33">
        <f>SUM(K10:N10)</f>
        <v>3618.8</v>
      </c>
      <c r="X10" s="33">
        <f>SUM(L10:O10)</f>
        <v>3669.5</v>
      </c>
      <c r="Y10" s="33">
        <f>SUM(M10:P10)</f>
        <v>3715.9000000000005</v>
      </c>
      <c r="Z10" s="33">
        <f>SUM(N10:Q10)</f>
        <v>3677.9</v>
      </c>
      <c r="AA10" s="41"/>
      <c r="AB10" s="12">
        <f>SUM(Z10/V10)-1</f>
        <v>9.1429758442637565E-2</v>
      </c>
    </row>
    <row r="11" spans="1:28" ht="12.75" customHeight="1">
      <c r="B11" s="13" t="s">
        <v>12</v>
      </c>
      <c r="C11" s="14">
        <f t="shared" ref="C11:E11" si="0">+SUM(C10:C10)</f>
        <v>1470.5</v>
      </c>
      <c r="D11" s="14">
        <f t="shared" si="0"/>
        <v>4131.1000000000004</v>
      </c>
      <c r="E11" s="14">
        <f t="shared" si="0"/>
        <v>3618.8</v>
      </c>
      <c r="F11" s="11"/>
      <c r="G11" s="14">
        <f t="shared" ref="G11:P11" si="1">+SUM(G10:G10)</f>
        <v>1116.2</v>
      </c>
      <c r="H11" s="14">
        <f t="shared" si="1"/>
        <v>1192.0999999999999</v>
      </c>
      <c r="I11" s="14">
        <f t="shared" si="1"/>
        <v>1071.3</v>
      </c>
      <c r="J11" s="14">
        <f t="shared" si="1"/>
        <v>751.5</v>
      </c>
      <c r="K11" s="14">
        <f t="shared" si="1"/>
        <v>770.5</v>
      </c>
      <c r="L11" s="14">
        <f t="shared" si="1"/>
        <v>836.9</v>
      </c>
      <c r="M11" s="14">
        <f t="shared" si="1"/>
        <v>1010.9</v>
      </c>
      <c r="N11" s="14">
        <f t="shared" si="1"/>
        <v>1000.5</v>
      </c>
      <c r="O11" s="14">
        <f t="shared" si="1"/>
        <v>821.2</v>
      </c>
      <c r="P11" s="14">
        <f t="shared" si="1"/>
        <v>883.3</v>
      </c>
      <c r="Q11" s="14">
        <f>+SUM(Q10:Q10)</f>
        <v>972.9</v>
      </c>
      <c r="S11" s="14">
        <f t="shared" ref="S11:Y11" si="2">+SUM(S10:S10)</f>
        <v>4131.1000000000004</v>
      </c>
      <c r="T11" s="14">
        <f t="shared" si="2"/>
        <v>3785.3999999999996</v>
      </c>
      <c r="U11" s="14">
        <f t="shared" si="2"/>
        <v>3430.2000000000003</v>
      </c>
      <c r="V11" s="14">
        <f t="shared" si="2"/>
        <v>3369.8</v>
      </c>
      <c r="W11" s="14">
        <f t="shared" si="2"/>
        <v>3618.8</v>
      </c>
      <c r="X11" s="14">
        <f t="shared" si="2"/>
        <v>3669.5</v>
      </c>
      <c r="Y11" s="14">
        <f t="shared" si="2"/>
        <v>3715.9000000000005</v>
      </c>
      <c r="Z11" s="14">
        <f>+SUM(Z10:Z10)</f>
        <v>3677.9</v>
      </c>
      <c r="AA11" s="41"/>
      <c r="AB11" s="15">
        <f>SUM(Z11/V11)-1</f>
        <v>9.1429758442637565E-2</v>
      </c>
    </row>
    <row r="12" spans="1:28" s="21" customFormat="1" ht="5.0999999999999996" customHeight="1">
      <c r="B12" s="19"/>
      <c r="C12" s="20"/>
      <c r="D12" s="20"/>
      <c r="E12" s="20"/>
      <c r="G12" s="22"/>
      <c r="H12" s="22"/>
      <c r="I12" s="22"/>
      <c r="J12" s="22"/>
      <c r="K12" s="22"/>
      <c r="L12" s="22"/>
      <c r="M12" s="22"/>
      <c r="N12" s="22"/>
      <c r="O12" s="23"/>
      <c r="P12" s="22"/>
      <c r="Q12" s="22"/>
      <c r="AB12" s="77"/>
    </row>
    <row r="13" spans="1:28" ht="12.75" customHeight="1">
      <c r="B13" s="9" t="s">
        <v>122</v>
      </c>
      <c r="C13" s="82">
        <v>-54.5</v>
      </c>
      <c r="D13" s="82">
        <v>-164.9</v>
      </c>
      <c r="E13" s="82">
        <v>-619</v>
      </c>
      <c r="F13" s="25"/>
      <c r="G13" s="82">
        <v>-41.3</v>
      </c>
      <c r="H13" s="82">
        <v>-41.2</v>
      </c>
      <c r="I13" s="82">
        <v>-41.3</v>
      </c>
      <c r="J13" s="33">
        <f t="shared" ref="J13" si="3">SUM(D13-SUM(G13:I13))</f>
        <v>-41.100000000000009</v>
      </c>
      <c r="K13" s="96">
        <v>-93.4</v>
      </c>
      <c r="L13" s="96">
        <v>-36.200000000000003</v>
      </c>
      <c r="M13" s="96">
        <v>-123.3</v>
      </c>
      <c r="N13" s="33">
        <f t="shared" ref="N13" si="4">SUM(E13-SUM(K13:M13))</f>
        <v>-366.09999999999997</v>
      </c>
      <c r="O13" s="82">
        <v>-336.7</v>
      </c>
      <c r="P13" s="82">
        <v>-342.9</v>
      </c>
      <c r="Q13" s="82">
        <v>-446.8</v>
      </c>
      <c r="S13" s="33">
        <f>SUM(G13:J13)</f>
        <v>-164.9</v>
      </c>
      <c r="T13" s="33">
        <f>SUM(H13:K13)</f>
        <v>-217</v>
      </c>
      <c r="U13" s="33">
        <f>SUM(I13:L13)</f>
        <v>-212</v>
      </c>
      <c r="V13" s="33">
        <f>SUM(J13:M13)</f>
        <v>-294</v>
      </c>
      <c r="W13" s="33">
        <f>SUM(K13:N13)</f>
        <v>-619</v>
      </c>
      <c r="X13" s="33">
        <f>SUM(L13:O13)</f>
        <v>-862.3</v>
      </c>
      <c r="Y13" s="33">
        <f>SUM(M13:P13)</f>
        <v>-1169</v>
      </c>
      <c r="Z13" s="33">
        <f>SUM(N13:Q13)</f>
        <v>-1492.4999999999998</v>
      </c>
      <c r="AA13" s="11"/>
      <c r="AB13" s="12">
        <f t="shared" ref="AB13" si="5">SUM(Z13/V13)-1</f>
        <v>4.0765306122448974</v>
      </c>
    </row>
    <row r="14" spans="1:28" ht="12.75" customHeight="1">
      <c r="B14" s="26" t="s">
        <v>21</v>
      </c>
      <c r="C14" s="27">
        <f>+SUM(C11+SUM(C13:C13))</f>
        <v>1416</v>
      </c>
      <c r="D14" s="27">
        <f>+SUM(D11+SUM(D13:D13))</f>
        <v>3966.2000000000003</v>
      </c>
      <c r="E14" s="27">
        <f>+SUM(E11+SUM(E13:E13))</f>
        <v>2999.8</v>
      </c>
      <c r="G14" s="27">
        <f t="shared" ref="G14:Q14" si="6">+SUM(G11+SUM(G13:G13))</f>
        <v>1074.9000000000001</v>
      </c>
      <c r="H14" s="27">
        <f t="shared" si="6"/>
        <v>1150.8999999999999</v>
      </c>
      <c r="I14" s="27">
        <f t="shared" si="6"/>
        <v>1030</v>
      </c>
      <c r="J14" s="27">
        <f t="shared" si="6"/>
        <v>710.4</v>
      </c>
      <c r="K14" s="27">
        <f t="shared" si="6"/>
        <v>677.1</v>
      </c>
      <c r="L14" s="27">
        <f t="shared" si="6"/>
        <v>800.69999999999993</v>
      </c>
      <c r="M14" s="27">
        <f t="shared" si="6"/>
        <v>887.6</v>
      </c>
      <c r="N14" s="27">
        <f t="shared" si="6"/>
        <v>634.40000000000009</v>
      </c>
      <c r="O14" s="27">
        <f t="shared" si="6"/>
        <v>484.50000000000006</v>
      </c>
      <c r="P14" s="27">
        <f t="shared" si="6"/>
        <v>540.4</v>
      </c>
      <c r="Q14" s="27">
        <f t="shared" si="6"/>
        <v>526.09999999999991</v>
      </c>
      <c r="S14" s="27">
        <f t="shared" ref="S14:Z14" si="7">+SUM(S11+SUM(S13:S13))</f>
        <v>3966.2000000000003</v>
      </c>
      <c r="T14" s="27">
        <f t="shared" si="7"/>
        <v>3568.3999999999996</v>
      </c>
      <c r="U14" s="27">
        <f t="shared" si="7"/>
        <v>3218.2000000000003</v>
      </c>
      <c r="V14" s="27">
        <f t="shared" si="7"/>
        <v>3075.8</v>
      </c>
      <c r="W14" s="27">
        <f t="shared" si="7"/>
        <v>2999.8</v>
      </c>
      <c r="X14" s="27">
        <f t="shared" si="7"/>
        <v>2807.2</v>
      </c>
      <c r="Y14" s="27">
        <f t="shared" si="7"/>
        <v>2546.9000000000005</v>
      </c>
      <c r="Z14" s="27">
        <f t="shared" si="7"/>
        <v>2185.4000000000005</v>
      </c>
      <c r="AA14" s="43"/>
      <c r="AB14" s="78">
        <f>SUM(Z14/V14)-1</f>
        <v>-0.28948566226672723</v>
      </c>
    </row>
    <row r="15" spans="1:28" ht="12.75" customHeight="1">
      <c r="B15" s="16" t="s">
        <v>30</v>
      </c>
      <c r="C15" s="18">
        <f>C14/C11</f>
        <v>0.96293777626657595</v>
      </c>
      <c r="D15" s="18">
        <f>D14/D11</f>
        <v>0.96008327079954492</v>
      </c>
      <c r="E15" s="18">
        <f>E14/E11</f>
        <v>0.82894882281419258</v>
      </c>
      <c r="F15" s="28"/>
      <c r="G15" s="18">
        <f t="shared" ref="G15:Q15" si="8">G14/G11</f>
        <v>0.96299946246192447</v>
      </c>
      <c r="H15" s="18">
        <f t="shared" si="8"/>
        <v>0.96543914101166006</v>
      </c>
      <c r="I15" s="18">
        <f t="shared" si="8"/>
        <v>0.96144870717819475</v>
      </c>
      <c r="J15" s="18">
        <f t="shared" si="8"/>
        <v>0.94530938123752495</v>
      </c>
      <c r="K15" s="18">
        <f t="shared" si="8"/>
        <v>0.87878001297858532</v>
      </c>
      <c r="L15" s="18">
        <f t="shared" si="8"/>
        <v>0.95674513084000468</v>
      </c>
      <c r="M15" s="18">
        <f t="shared" si="8"/>
        <v>0.87802947868236225</v>
      </c>
      <c r="N15" s="18">
        <f t="shared" si="8"/>
        <v>0.6340829585207397</v>
      </c>
      <c r="O15" s="18">
        <f t="shared" si="8"/>
        <v>0.58999025815879202</v>
      </c>
      <c r="P15" s="18">
        <f t="shared" si="8"/>
        <v>0.61179667157251216</v>
      </c>
      <c r="Q15" s="18">
        <f t="shared" si="8"/>
        <v>0.54075444547229923</v>
      </c>
      <c r="R15" s="29"/>
      <c r="S15" s="18">
        <f t="shared" ref="S15:Z15" si="9">S14/S11</f>
        <v>0.96008327079954492</v>
      </c>
      <c r="T15" s="18">
        <f t="shared" si="9"/>
        <v>0.9426744861837586</v>
      </c>
      <c r="U15" s="18">
        <f t="shared" si="9"/>
        <v>0.93819602355547782</v>
      </c>
      <c r="V15" s="18">
        <f t="shared" si="9"/>
        <v>0.91275446614042377</v>
      </c>
      <c r="W15" s="18">
        <f t="shared" si="9"/>
        <v>0.82894882281419258</v>
      </c>
      <c r="X15" s="18">
        <f t="shared" si="9"/>
        <v>0.76500885679247854</v>
      </c>
      <c r="Y15" s="18">
        <f t="shared" si="9"/>
        <v>0.68540595817971428</v>
      </c>
      <c r="Z15" s="18">
        <f t="shared" si="9"/>
        <v>0.59419777590472833</v>
      </c>
      <c r="AA15" s="43"/>
      <c r="AB15" s="79">
        <f>SUM(Z15-V15)*1000</f>
        <v>-318.55669023569544</v>
      </c>
    </row>
    <row r="16" spans="1:28" ht="5.0999999999999996" customHeight="1">
      <c r="B16" s="30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S16" s="31"/>
      <c r="T16" s="31"/>
      <c r="U16" s="31"/>
      <c r="V16" s="31"/>
      <c r="W16" s="31"/>
      <c r="X16" s="31"/>
      <c r="Y16" s="31"/>
      <c r="Z16" s="31"/>
      <c r="AA16" s="43"/>
      <c r="AB16" s="77"/>
    </row>
    <row r="17" spans="2:28" ht="12.75" customHeight="1">
      <c r="B17" s="9" t="s">
        <v>129</v>
      </c>
      <c r="C17" s="82">
        <v>-13633.1</v>
      </c>
      <c r="D17" s="82">
        <v>-9715.7000000000007</v>
      </c>
      <c r="E17" s="82">
        <v>-49104.3</v>
      </c>
      <c r="F17" s="33"/>
      <c r="G17" s="82">
        <v>-2812.1</v>
      </c>
      <c r="H17" s="82">
        <v>-2197.4</v>
      </c>
      <c r="I17" s="82">
        <v>-2202.6999999999998</v>
      </c>
      <c r="J17" s="33">
        <f t="shared" ref="J17:J19" si="10">SUM(D17-SUM(G17:I17))</f>
        <v>-2503.5000000000009</v>
      </c>
      <c r="K17" s="96">
        <v>-33158.6</v>
      </c>
      <c r="L17" s="96">
        <v>-4861.6000000000004</v>
      </c>
      <c r="M17" s="96">
        <v>-3893.7</v>
      </c>
      <c r="N17" s="33">
        <f t="shared" ref="N17:N19" si="11">SUM(E17-SUM(K17:M17))</f>
        <v>-7190.4000000000087</v>
      </c>
      <c r="O17" s="82">
        <v>-12564.9</v>
      </c>
      <c r="P17" s="82">
        <v>-13041</v>
      </c>
      <c r="Q17" s="82">
        <v>-8302.2000000000007</v>
      </c>
      <c r="S17" s="33">
        <f>SUM(G17:J17)</f>
        <v>-9715.7000000000007</v>
      </c>
      <c r="T17" s="33">
        <f>SUM(H17:K17)</f>
        <v>-40062.199999999997</v>
      </c>
      <c r="U17" s="33">
        <f>SUM(I17:L17)</f>
        <v>-42726.400000000001</v>
      </c>
      <c r="V17" s="33">
        <f>SUM(J17:M17)</f>
        <v>-44417.399999999994</v>
      </c>
      <c r="W17" s="33">
        <f>SUM(K17:N17)</f>
        <v>-49104.3</v>
      </c>
      <c r="X17" s="33">
        <f>SUM(L17:O17)</f>
        <v>-28510.600000000006</v>
      </c>
      <c r="Y17" s="33">
        <f>SUM(M17:P17)</f>
        <v>-36690.000000000007</v>
      </c>
      <c r="Z17" s="33">
        <f>SUM(N17:Q17)</f>
        <v>-41098.500000000015</v>
      </c>
      <c r="AA17" s="11"/>
      <c r="AB17" s="77">
        <f>SUM(Z17/V17)-1</f>
        <v>-7.4720717556632787E-2</v>
      </c>
    </row>
    <row r="18" spans="2:28" ht="12.75" customHeight="1">
      <c r="B18" s="9" t="s">
        <v>130</v>
      </c>
      <c r="C18" s="82">
        <v>-625.9</v>
      </c>
      <c r="D18" s="82">
        <v>-1279.5999999999999</v>
      </c>
      <c r="E18" s="82">
        <v>-6383.7</v>
      </c>
      <c r="F18" s="33"/>
      <c r="G18" s="82">
        <v>-256.10000000000002</v>
      </c>
      <c r="H18" s="82">
        <v>-388.4</v>
      </c>
      <c r="I18" s="82">
        <v>-333.6</v>
      </c>
      <c r="J18" s="33">
        <f t="shared" si="10"/>
        <v>-301.49999999999989</v>
      </c>
      <c r="K18" s="96">
        <v>-1070.4000000000001</v>
      </c>
      <c r="L18" s="96">
        <v>-1175.3</v>
      </c>
      <c r="M18" s="96">
        <v>-2189.4</v>
      </c>
      <c r="N18" s="33">
        <f>SUM(E18-SUM(K18:M18))</f>
        <v>-1948.5999999999995</v>
      </c>
      <c r="O18" s="82">
        <v>-497.4</v>
      </c>
      <c r="P18" s="82">
        <v>-556</v>
      </c>
      <c r="Q18" s="82">
        <v>-717.5</v>
      </c>
      <c r="S18" s="33">
        <f>SUM(G18:J18)</f>
        <v>-1279.5999999999999</v>
      </c>
      <c r="T18" s="33">
        <f>SUM(H18:K18)</f>
        <v>-2093.9</v>
      </c>
      <c r="U18" s="33">
        <f>SUM(I18:L18)</f>
        <v>-2880.8</v>
      </c>
      <c r="V18" s="33">
        <f>SUM(J18:M18)</f>
        <v>-4736.6000000000004</v>
      </c>
      <c r="W18" s="33">
        <f>SUM(K18:N18)</f>
        <v>-6383.7</v>
      </c>
      <c r="X18" s="33">
        <f>SUM(L18:O18)</f>
        <v>-5810.6999999999989</v>
      </c>
      <c r="Y18" s="33">
        <f>SUM(M18:P18)</f>
        <v>-5191.3999999999996</v>
      </c>
      <c r="Z18" s="33">
        <f>SUM(N18:Q18)</f>
        <v>-3719.4999999999995</v>
      </c>
      <c r="AA18" s="11"/>
      <c r="AB18" s="77"/>
    </row>
    <row r="19" spans="2:28" ht="12.75" customHeight="1">
      <c r="B19" s="9" t="s">
        <v>131</v>
      </c>
      <c r="C19" s="82">
        <v>-10345.6</v>
      </c>
      <c r="D19" s="82">
        <v>-8878.7000000000007</v>
      </c>
      <c r="E19" s="82">
        <v>-130616.8</v>
      </c>
      <c r="F19" s="33"/>
      <c r="G19" s="82">
        <v>-1836.3</v>
      </c>
      <c r="H19" s="82">
        <v>-2321.4</v>
      </c>
      <c r="I19" s="82">
        <v>-1509</v>
      </c>
      <c r="J19" s="33">
        <f t="shared" si="10"/>
        <v>-3212.0000000000009</v>
      </c>
      <c r="K19" s="96">
        <v>-64795.1</v>
      </c>
      <c r="L19" s="96">
        <v>-13418.6</v>
      </c>
      <c r="M19" s="96">
        <v>-17697</v>
      </c>
      <c r="N19" s="33">
        <f t="shared" si="11"/>
        <v>-34706.100000000006</v>
      </c>
      <c r="O19" s="82">
        <v>-25178</v>
      </c>
      <c r="P19" s="82">
        <v>-28617.9</v>
      </c>
      <c r="Q19" s="82">
        <v>-31056.1</v>
      </c>
      <c r="S19" s="33">
        <f>SUM(G19:J19)</f>
        <v>-8878.7000000000007</v>
      </c>
      <c r="T19" s="33">
        <f>SUM(H19:K19)</f>
        <v>-71837.5</v>
      </c>
      <c r="U19" s="33">
        <f>SUM(I19:L19)</f>
        <v>-82934.700000000012</v>
      </c>
      <c r="V19" s="33">
        <f>SUM(J19:M19)</f>
        <v>-99122.700000000012</v>
      </c>
      <c r="W19" s="33">
        <f>SUM(K19:N19)</f>
        <v>-130616.8</v>
      </c>
      <c r="X19" s="33">
        <f>SUM(L19:O19)</f>
        <v>-90999.700000000012</v>
      </c>
      <c r="Y19" s="33">
        <f>SUM(M19:P19)</f>
        <v>-106199</v>
      </c>
      <c r="Z19" s="33">
        <f>SUM(N19:Q19)</f>
        <v>-119558.1</v>
      </c>
      <c r="AA19" s="11"/>
      <c r="AB19" s="77">
        <f>SUM(Z19/V19)-1</f>
        <v>0.20616266506057634</v>
      </c>
    </row>
    <row r="20" spans="2:28" ht="12.75" customHeight="1">
      <c r="B20" s="46" t="s">
        <v>165</v>
      </c>
      <c r="C20" s="82">
        <v>0</v>
      </c>
      <c r="D20" s="82">
        <v>0</v>
      </c>
      <c r="E20" s="82">
        <v>0</v>
      </c>
      <c r="F20" s="33"/>
      <c r="G20" s="82">
        <v>0</v>
      </c>
      <c r="H20" s="82">
        <v>0</v>
      </c>
      <c r="I20" s="82">
        <v>0</v>
      </c>
      <c r="J20" s="33">
        <f>SUM(D20-SUM(G20:I20))</f>
        <v>0</v>
      </c>
      <c r="K20" s="82">
        <v>0</v>
      </c>
      <c r="L20" s="82">
        <v>0</v>
      </c>
      <c r="M20" s="82">
        <v>0</v>
      </c>
      <c r="N20" s="33">
        <f>SUM(E20-SUM(K20:M20))</f>
        <v>0</v>
      </c>
      <c r="O20" s="82">
        <v>0</v>
      </c>
      <c r="P20" s="82">
        <v>0</v>
      </c>
      <c r="Q20" s="82">
        <v>-16204.6</v>
      </c>
      <c r="R20" s="33"/>
      <c r="S20" s="33">
        <f>SUM(G20:J20)</f>
        <v>0</v>
      </c>
      <c r="T20" s="33">
        <f>SUM(H20:K20)</f>
        <v>0</v>
      </c>
      <c r="U20" s="33">
        <f>SUM(I20:L20)</f>
        <v>0</v>
      </c>
      <c r="V20" s="33">
        <f>SUM(J20:M20)</f>
        <v>0</v>
      </c>
      <c r="W20" s="33">
        <f>SUM(K20:N20)</f>
        <v>0</v>
      </c>
      <c r="X20" s="33">
        <f>SUM(L20:O20)</f>
        <v>0</v>
      </c>
      <c r="Y20" s="33">
        <f>SUM(M20:P20)</f>
        <v>0</v>
      </c>
      <c r="Z20" s="33">
        <f>SUM(N20:Q20)</f>
        <v>-16204.6</v>
      </c>
      <c r="AA20" s="44"/>
      <c r="AB20" s="77" t="e">
        <f>SUM(Z20/V20)-1</f>
        <v>#DIV/0!</v>
      </c>
    </row>
    <row r="21" spans="2:28" ht="12.75" customHeight="1">
      <c r="B21" s="9" t="s">
        <v>132</v>
      </c>
      <c r="C21" s="82">
        <v>-58.7</v>
      </c>
      <c r="D21" s="82">
        <v>-59.6</v>
      </c>
      <c r="E21" s="82">
        <v>-2933.9</v>
      </c>
      <c r="F21" s="33"/>
      <c r="G21" s="82">
        <v>-16.3</v>
      </c>
      <c r="H21" s="82">
        <v>-16.600000000000001</v>
      </c>
      <c r="I21" s="82">
        <v>-14.7</v>
      </c>
      <c r="J21" s="33">
        <f t="shared" ref="J21" si="12">SUM(D21-SUM(G21:I21))</f>
        <v>-11.999999999999993</v>
      </c>
      <c r="K21" s="96">
        <v>-5.6</v>
      </c>
      <c r="L21" s="96">
        <v>-3.7</v>
      </c>
      <c r="M21" s="96">
        <v>-762.2</v>
      </c>
      <c r="N21" s="33">
        <f t="shared" ref="N21" si="13">SUM(E21-SUM(K21:M21))</f>
        <v>-2162.4</v>
      </c>
      <c r="O21" s="82">
        <v>-1779.2</v>
      </c>
      <c r="P21" s="82">
        <v>-1833.5</v>
      </c>
      <c r="Q21" s="82">
        <v>-1904.1</v>
      </c>
      <c r="S21" s="33">
        <f>SUM(G21:J21)</f>
        <v>-59.6</v>
      </c>
      <c r="T21" s="33">
        <f>SUM(H21:K21)</f>
        <v>-48.9</v>
      </c>
      <c r="U21" s="33">
        <f>SUM(I21:L21)</f>
        <v>-35.999999999999993</v>
      </c>
      <c r="V21" s="33">
        <f>SUM(J21:M21)</f>
        <v>-783.5</v>
      </c>
      <c r="W21" s="33">
        <f>SUM(K21:N21)</f>
        <v>-2933.9</v>
      </c>
      <c r="X21" s="33">
        <f>SUM(L21:O21)</f>
        <v>-4707.5</v>
      </c>
      <c r="Y21" s="33">
        <f>SUM(M21:P21)</f>
        <v>-6537.3</v>
      </c>
      <c r="Z21" s="33">
        <f>SUM(N21:Q21)</f>
        <v>-7679.2000000000007</v>
      </c>
      <c r="AA21" s="11"/>
      <c r="AB21" s="77">
        <f>SUM(Z21/V21)-1</f>
        <v>8.8011486917677093</v>
      </c>
    </row>
    <row r="22" spans="2:28" ht="12.75" customHeight="1">
      <c r="B22" s="26" t="s">
        <v>80</v>
      </c>
      <c r="C22" s="27">
        <f>+SUM(C14+SUM(C17:C21))</f>
        <v>-23247.3</v>
      </c>
      <c r="D22" s="27">
        <f>+SUM(D14+SUM(D17:D21))</f>
        <v>-15967.399999999998</v>
      </c>
      <c r="E22" s="27">
        <f>+SUM(E14+SUM(E17:E21))</f>
        <v>-186038.9</v>
      </c>
      <c r="F22" s="33"/>
      <c r="G22" s="27">
        <f t="shared" ref="G22:Q22" si="14">+SUM(G14+SUM(G17:G21))</f>
        <v>-3845.9</v>
      </c>
      <c r="H22" s="27">
        <f t="shared" si="14"/>
        <v>-3772.9000000000015</v>
      </c>
      <c r="I22" s="27">
        <f t="shared" si="14"/>
        <v>-3029.9999999999995</v>
      </c>
      <c r="J22" s="27">
        <f t="shared" si="14"/>
        <v>-5318.6000000000022</v>
      </c>
      <c r="K22" s="27">
        <f t="shared" si="14"/>
        <v>-98352.6</v>
      </c>
      <c r="L22" s="27">
        <f t="shared" si="14"/>
        <v>-18658.5</v>
      </c>
      <c r="M22" s="27">
        <f t="shared" si="14"/>
        <v>-23654.7</v>
      </c>
      <c r="N22" s="27">
        <f t="shared" si="14"/>
        <v>-45373.100000000013</v>
      </c>
      <c r="O22" s="27">
        <f t="shared" si="14"/>
        <v>-39535</v>
      </c>
      <c r="P22" s="27">
        <f t="shared" si="14"/>
        <v>-43508</v>
      </c>
      <c r="Q22" s="27">
        <f t="shared" si="14"/>
        <v>-57658.400000000001</v>
      </c>
      <c r="S22" s="27">
        <f t="shared" ref="S22:Z22" si="15">+SUM(S14+SUM(S17:S21))</f>
        <v>-15967.399999999998</v>
      </c>
      <c r="T22" s="27">
        <f t="shared" si="15"/>
        <v>-110474.1</v>
      </c>
      <c r="U22" s="27">
        <f t="shared" si="15"/>
        <v>-125359.70000000003</v>
      </c>
      <c r="V22" s="27">
        <f t="shared" si="15"/>
        <v>-145984.40000000002</v>
      </c>
      <c r="W22" s="27">
        <f t="shared" si="15"/>
        <v>-186038.9</v>
      </c>
      <c r="X22" s="27">
        <f t="shared" si="15"/>
        <v>-127221.30000000002</v>
      </c>
      <c r="Y22" s="27">
        <f t="shared" si="15"/>
        <v>-152070.80000000002</v>
      </c>
      <c r="Z22" s="27">
        <f t="shared" si="15"/>
        <v>-186074.50000000006</v>
      </c>
      <c r="AA22" s="11"/>
      <c r="AB22" s="78">
        <f>SUM(Z22/V22)-1</f>
        <v>0.27461906888681287</v>
      </c>
    </row>
    <row r="23" spans="2:28" ht="12.75" customHeight="1">
      <c r="B23" s="16" t="s">
        <v>32</v>
      </c>
      <c r="C23" s="18">
        <f>C22/C11</f>
        <v>-15.809112546752806</v>
      </c>
      <c r="D23" s="18">
        <f>D22/D11</f>
        <v>-3.8651690832950054</v>
      </c>
      <c r="E23" s="18">
        <f>E22/E11</f>
        <v>-51.40900298441472</v>
      </c>
      <c r="F23" s="33"/>
      <c r="G23" s="18">
        <f t="shared" ref="G23:Q23" si="16">G22/G11</f>
        <v>-3.4455294750044794</v>
      </c>
      <c r="H23" s="18">
        <f t="shared" si="16"/>
        <v>-3.1649190504152349</v>
      </c>
      <c r="I23" s="18">
        <f t="shared" si="16"/>
        <v>-2.8283394007280869</v>
      </c>
      <c r="J23" s="18">
        <f t="shared" si="16"/>
        <v>-7.0773120425815064</v>
      </c>
      <c r="K23" s="18">
        <f t="shared" si="16"/>
        <v>-127.64776119402985</v>
      </c>
      <c r="L23" s="18">
        <f t="shared" si="16"/>
        <v>-22.294778348667702</v>
      </c>
      <c r="M23" s="18">
        <f t="shared" si="16"/>
        <v>-23.399643881689585</v>
      </c>
      <c r="N23" s="18">
        <f t="shared" si="16"/>
        <v>-45.350424787606208</v>
      </c>
      <c r="O23" s="18">
        <f t="shared" si="16"/>
        <v>-48.142961519727223</v>
      </c>
      <c r="P23" s="18">
        <f t="shared" si="16"/>
        <v>-49.256198347107443</v>
      </c>
      <c r="Q23" s="18">
        <f t="shared" si="16"/>
        <v>-59.264467057251522</v>
      </c>
      <c r="S23" s="18">
        <f t="shared" ref="S23:Z23" si="17">S22/S11</f>
        <v>-3.8651690832950054</v>
      </c>
      <c r="T23" s="18">
        <f t="shared" si="17"/>
        <v>-29.184260580123638</v>
      </c>
      <c r="U23" s="18">
        <f t="shared" si="17"/>
        <v>-36.545886537228156</v>
      </c>
      <c r="V23" s="18">
        <f t="shared" si="17"/>
        <v>-43.321384058401094</v>
      </c>
      <c r="W23" s="18">
        <f t="shared" si="17"/>
        <v>-51.40900298441472</v>
      </c>
      <c r="X23" s="18">
        <f t="shared" si="17"/>
        <v>-34.669927783076716</v>
      </c>
      <c r="Y23" s="18">
        <f t="shared" si="17"/>
        <v>-40.924352108506689</v>
      </c>
      <c r="Z23" s="18">
        <f t="shared" si="17"/>
        <v>-50.592593599608485</v>
      </c>
      <c r="AA23" s="11"/>
      <c r="AB23" s="79">
        <f>SUM(Z23-V23)*1000</f>
        <v>-7271.2095412073904</v>
      </c>
    </row>
    <row r="24" spans="2:28" ht="5.0999999999999996" customHeight="1">
      <c r="B24" s="16"/>
      <c r="C24" s="18"/>
      <c r="D24" s="18"/>
      <c r="E24" s="18"/>
      <c r="F24" s="33"/>
      <c r="G24" s="82"/>
      <c r="H24" s="82"/>
      <c r="I24" s="82"/>
      <c r="J24" s="82"/>
      <c r="K24" s="82"/>
      <c r="L24" s="82"/>
      <c r="M24" s="82"/>
      <c r="N24" s="82"/>
      <c r="O24" s="33"/>
      <c r="P24" s="82"/>
      <c r="Q24" s="82"/>
      <c r="S24" s="33"/>
      <c r="T24" s="33"/>
      <c r="U24" s="33"/>
      <c r="V24" s="33"/>
      <c r="W24" s="33"/>
      <c r="X24" s="33"/>
      <c r="Y24" s="33"/>
      <c r="Z24" s="33"/>
      <c r="AA24" s="11"/>
      <c r="AB24" s="77"/>
    </row>
    <row r="25" spans="2:28" ht="12.75" customHeight="1">
      <c r="B25" s="9" t="s">
        <v>88</v>
      </c>
      <c r="C25" s="82">
        <v>0</v>
      </c>
      <c r="D25" s="82">
        <v>0</v>
      </c>
      <c r="E25" s="82">
        <v>14722.2</v>
      </c>
      <c r="F25" s="33"/>
      <c r="G25" s="82">
        <v>0</v>
      </c>
      <c r="H25" s="82">
        <v>0</v>
      </c>
      <c r="I25" s="82">
        <v>0</v>
      </c>
      <c r="J25" s="33">
        <f t="shared" ref="J25:J27" si="18">SUM(D25-SUM(G25:I25))</f>
        <v>0</v>
      </c>
      <c r="K25" s="82">
        <v>28.8</v>
      </c>
      <c r="L25" s="82">
        <v>2132.6999999999998</v>
      </c>
      <c r="M25" s="82">
        <v>4653</v>
      </c>
      <c r="N25" s="33">
        <f t="shared" ref="N25:N27" si="19">SUM(E25-SUM(K25:M25))</f>
        <v>7907.7000000000007</v>
      </c>
      <c r="O25" s="82">
        <v>7995.2</v>
      </c>
      <c r="P25" s="82">
        <v>16836.5</v>
      </c>
      <c r="Q25" s="82">
        <v>13384.4</v>
      </c>
      <c r="S25" s="33">
        <f>SUM(G25:J25)</f>
        <v>0</v>
      </c>
      <c r="T25" s="33">
        <f>SUM(H25:K25)</f>
        <v>28.8</v>
      </c>
      <c r="U25" s="33">
        <f>SUM(I25:L25)</f>
        <v>2161.5</v>
      </c>
      <c r="V25" s="33">
        <f>SUM(J25:M25)</f>
        <v>6814.5</v>
      </c>
      <c r="W25" s="33">
        <f>SUM(K25:N25)</f>
        <v>14722.2</v>
      </c>
      <c r="X25" s="33">
        <f>SUM(L25:O25)</f>
        <v>22688.600000000002</v>
      </c>
      <c r="Y25" s="33">
        <f>SUM(M25:P25)</f>
        <v>37392.400000000001</v>
      </c>
      <c r="Z25" s="33">
        <f>SUM(N25:Q25)</f>
        <v>46123.8</v>
      </c>
      <c r="AA25" s="11"/>
      <c r="AB25" s="77">
        <f>SUM(Z25/V25)-1</f>
        <v>5.7684789786484707</v>
      </c>
    </row>
    <row r="26" spans="2:28" ht="12.75" customHeight="1">
      <c r="B26" s="9" t="s">
        <v>79</v>
      </c>
      <c r="C26" s="82">
        <v>-2038.7</v>
      </c>
      <c r="D26" s="82">
        <v>-39429.1</v>
      </c>
      <c r="E26" s="82">
        <v>-3089.8</v>
      </c>
      <c r="F26" s="33"/>
      <c r="G26" s="82">
        <v>-2024.3</v>
      </c>
      <c r="H26" s="82">
        <v>-20606.3</v>
      </c>
      <c r="I26" s="82">
        <v>-15071.9</v>
      </c>
      <c r="J26" s="33">
        <f t="shared" si="18"/>
        <v>-1726.5999999999985</v>
      </c>
      <c r="K26" s="82">
        <v>-2817.6</v>
      </c>
      <c r="L26" s="82">
        <v>-157.80000000000001</v>
      </c>
      <c r="M26" s="82">
        <v>-246.7</v>
      </c>
      <c r="N26" s="33">
        <f t="shared" si="19"/>
        <v>132.29999999999973</v>
      </c>
      <c r="O26" s="82">
        <v>-186.8</v>
      </c>
      <c r="P26" s="82">
        <v>-4105.1000000000004</v>
      </c>
      <c r="Q26" s="82">
        <v>-11474.4</v>
      </c>
      <c r="S26" s="33">
        <f>SUM(G26:J26)</f>
        <v>-39429.1</v>
      </c>
      <c r="T26" s="33">
        <f>SUM(H26:K26)</f>
        <v>-40222.399999999994</v>
      </c>
      <c r="U26" s="33">
        <f>SUM(I26:L26)</f>
        <v>-19773.899999999998</v>
      </c>
      <c r="V26" s="33">
        <f>SUM(J26:M26)</f>
        <v>-4948.6999999999989</v>
      </c>
      <c r="W26" s="33">
        <f>SUM(K26:N26)</f>
        <v>-3089.8</v>
      </c>
      <c r="X26" s="33">
        <f>SUM(L26:O26)</f>
        <v>-459.00000000000028</v>
      </c>
      <c r="Y26" s="33">
        <f>SUM(M26:P26)</f>
        <v>-4406.3000000000011</v>
      </c>
      <c r="Z26" s="33">
        <f>SUM(N26:Q26)</f>
        <v>-15634</v>
      </c>
      <c r="AA26" s="11"/>
      <c r="AB26" s="77">
        <f>SUM(Z26/V26)-1</f>
        <v>2.1592135308262783</v>
      </c>
    </row>
    <row r="27" spans="2:28" ht="12.75" customHeight="1">
      <c r="B27" s="9" t="s">
        <v>106</v>
      </c>
      <c r="C27" s="82">
        <v>75809.899999999994</v>
      </c>
      <c r="D27" s="82">
        <v>-2791.6</v>
      </c>
      <c r="E27" s="82">
        <f>-225916-542.3</f>
        <v>-226458.3</v>
      </c>
      <c r="F27" s="33"/>
      <c r="G27" s="82">
        <v>5659.9</v>
      </c>
      <c r="H27" s="82">
        <v>1611.1</v>
      </c>
      <c r="I27" s="82">
        <v>-7931.2</v>
      </c>
      <c r="J27" s="33">
        <f t="shared" si="18"/>
        <v>-2131.4</v>
      </c>
      <c r="K27" s="82">
        <f>-225916-542.3</f>
        <v>-226458.3</v>
      </c>
      <c r="L27" s="82">
        <v>0</v>
      </c>
      <c r="M27" s="82">
        <v>0</v>
      </c>
      <c r="N27" s="33">
        <f t="shared" si="19"/>
        <v>0</v>
      </c>
      <c r="O27" s="82">
        <v>0</v>
      </c>
      <c r="P27" s="82">
        <v>11085</v>
      </c>
      <c r="Q27" s="82">
        <v>984.5</v>
      </c>
      <c r="S27" s="33">
        <f>SUM(G27:J27)</f>
        <v>-2791.6</v>
      </c>
      <c r="T27" s="33">
        <f>SUM(H27:K27)</f>
        <v>-234909.8</v>
      </c>
      <c r="U27" s="33">
        <f>SUM(I27:L27)</f>
        <v>-236520.9</v>
      </c>
      <c r="V27" s="33">
        <f>SUM(J27:M27)</f>
        <v>-228589.69999999998</v>
      </c>
      <c r="W27" s="33">
        <f>SUM(K27:N27)</f>
        <v>-226458.3</v>
      </c>
      <c r="X27" s="33">
        <f>SUM(L27:O27)</f>
        <v>0</v>
      </c>
      <c r="Y27" s="33">
        <f>SUM(M27:P27)</f>
        <v>11085</v>
      </c>
      <c r="Z27" s="33">
        <f>SUM(N27:Q27)</f>
        <v>12069.5</v>
      </c>
      <c r="AA27" s="11"/>
      <c r="AB27" s="77">
        <f>SUM(Z27/V27)-1</f>
        <v>-1.0527998418126452</v>
      </c>
    </row>
    <row r="28" spans="2:28" ht="12.75" customHeight="1">
      <c r="B28" s="26" t="s">
        <v>81</v>
      </c>
      <c r="C28" s="27">
        <f t="shared" ref="C28:E28" si="20">SUM(C22+SUM(C25:C27))</f>
        <v>50523.899999999994</v>
      </c>
      <c r="D28" s="27">
        <f t="shared" si="20"/>
        <v>-58188.099999999991</v>
      </c>
      <c r="E28" s="27">
        <f t="shared" si="20"/>
        <v>-400864.8</v>
      </c>
      <c r="G28" s="27">
        <f t="shared" ref="G28:Q28" si="21">SUM(G22+SUM(G25:G27))</f>
        <v>-210.30000000000064</v>
      </c>
      <c r="H28" s="27">
        <f t="shared" si="21"/>
        <v>-22768.100000000002</v>
      </c>
      <c r="I28" s="27">
        <f t="shared" si="21"/>
        <v>-26033.1</v>
      </c>
      <c r="J28" s="27">
        <f t="shared" si="21"/>
        <v>-9176.6</v>
      </c>
      <c r="K28" s="27">
        <f t="shared" si="21"/>
        <v>-327599.69999999995</v>
      </c>
      <c r="L28" s="27">
        <f t="shared" si="21"/>
        <v>-16683.599999999999</v>
      </c>
      <c r="M28" s="27">
        <f t="shared" si="21"/>
        <v>-19248.400000000001</v>
      </c>
      <c r="N28" s="27">
        <f t="shared" si="21"/>
        <v>-37333.100000000013</v>
      </c>
      <c r="O28" s="27">
        <f t="shared" si="21"/>
        <v>-31726.6</v>
      </c>
      <c r="P28" s="27">
        <f t="shared" si="21"/>
        <v>-19691.599999999999</v>
      </c>
      <c r="Q28" s="27">
        <f t="shared" si="21"/>
        <v>-54763.9</v>
      </c>
      <c r="S28" s="27">
        <f t="shared" ref="S28:Z28" si="22">SUM(S22+SUM(S25:S27))</f>
        <v>-58188.099999999991</v>
      </c>
      <c r="T28" s="27">
        <f t="shared" si="22"/>
        <v>-385577.5</v>
      </c>
      <c r="U28" s="27">
        <f t="shared" si="22"/>
        <v>-379493</v>
      </c>
      <c r="V28" s="27">
        <f t="shared" si="22"/>
        <v>-372708.30000000005</v>
      </c>
      <c r="W28" s="27">
        <f t="shared" si="22"/>
        <v>-400864.8</v>
      </c>
      <c r="X28" s="27">
        <f t="shared" si="22"/>
        <v>-104991.70000000001</v>
      </c>
      <c r="Y28" s="27">
        <f t="shared" si="22"/>
        <v>-107999.70000000001</v>
      </c>
      <c r="Z28" s="27">
        <f t="shared" si="22"/>
        <v>-143515.20000000007</v>
      </c>
      <c r="AA28" s="43"/>
      <c r="AB28" s="78">
        <f>SUM(Z28/V28)-1</f>
        <v>-0.61493961899963034</v>
      </c>
    </row>
    <row r="29" spans="2:28" ht="12.75" customHeight="1">
      <c r="B29" s="16" t="s">
        <v>82</v>
      </c>
      <c r="C29" s="18">
        <f>C28/C11</f>
        <v>34.358313498809927</v>
      </c>
      <c r="D29" s="18">
        <f>D28/D11</f>
        <v>-14.08537677616131</v>
      </c>
      <c r="E29" s="18">
        <f>E28/E11</f>
        <v>-110.77285287940752</v>
      </c>
      <c r="F29" s="28"/>
      <c r="G29" s="18">
        <f t="shared" ref="G29:Q29" si="23">G28/G11</f>
        <v>-0.18840709550259865</v>
      </c>
      <c r="H29" s="18">
        <f t="shared" si="23"/>
        <v>-19.09915275564131</v>
      </c>
      <c r="I29" s="18">
        <f t="shared" si="23"/>
        <v>-24.300476057126854</v>
      </c>
      <c r="J29" s="18">
        <f t="shared" si="23"/>
        <v>-12.211044577511643</v>
      </c>
      <c r="K29" s="18">
        <f t="shared" si="23"/>
        <v>-425.17806619078516</v>
      </c>
      <c r="L29" s="18">
        <f t="shared" si="23"/>
        <v>-19.934998207671168</v>
      </c>
      <c r="M29" s="18">
        <f t="shared" si="23"/>
        <v>-19.040854683945</v>
      </c>
      <c r="N29" s="18">
        <f t="shared" si="23"/>
        <v>-37.314442778610704</v>
      </c>
      <c r="O29" s="18">
        <f t="shared" si="23"/>
        <v>-38.634437408670237</v>
      </c>
      <c r="P29" s="18">
        <f t="shared" si="23"/>
        <v>-22.293218612023093</v>
      </c>
      <c r="Q29" s="18">
        <f t="shared" si="23"/>
        <v>-56.289341145030328</v>
      </c>
      <c r="R29" s="29"/>
      <c r="S29" s="18">
        <f t="shared" ref="S29:Z29" si="24">S28/S11</f>
        <v>-14.08537677616131</v>
      </c>
      <c r="T29" s="18">
        <f t="shared" si="24"/>
        <v>-101.85911660590692</v>
      </c>
      <c r="U29" s="18">
        <f t="shared" si="24"/>
        <v>-110.63290770217479</v>
      </c>
      <c r="V29" s="18">
        <f t="shared" si="24"/>
        <v>-110.60249866460919</v>
      </c>
      <c r="W29" s="18">
        <f t="shared" si="24"/>
        <v>-110.77285287940752</v>
      </c>
      <c r="X29" s="18">
        <f t="shared" si="24"/>
        <v>-28.611990734432489</v>
      </c>
      <c r="Y29" s="18">
        <f t="shared" si="24"/>
        <v>-29.064210554643559</v>
      </c>
      <c r="Z29" s="18">
        <f t="shared" si="24"/>
        <v>-39.020963049566348</v>
      </c>
      <c r="AA29" s="44"/>
      <c r="AB29" s="79">
        <f>SUM(Z29-V29)*1000</f>
        <v>71581.535615042842</v>
      </c>
    </row>
    <row r="30" spans="2:28" ht="5.0999999999999996" customHeight="1">
      <c r="B30" s="30"/>
      <c r="C30" s="45"/>
      <c r="D30" s="45"/>
      <c r="E30" s="45"/>
      <c r="F30" s="31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S30" s="45"/>
      <c r="T30" s="45"/>
      <c r="U30" s="45"/>
      <c r="V30" s="45"/>
      <c r="W30" s="45"/>
      <c r="X30" s="45"/>
      <c r="Y30" s="45"/>
      <c r="Z30" s="45"/>
      <c r="AA30" s="44"/>
      <c r="AB30" s="77"/>
    </row>
    <row r="31" spans="2:28" ht="12.75" customHeight="1">
      <c r="B31" s="46" t="s">
        <v>152</v>
      </c>
      <c r="C31" s="82">
        <v>-0.2</v>
      </c>
      <c r="D31" s="82">
        <v>-1.1000000000000001</v>
      </c>
      <c r="E31" s="82">
        <v>0</v>
      </c>
      <c r="F31" s="33"/>
      <c r="G31" s="82">
        <v>0</v>
      </c>
      <c r="H31" s="82">
        <v>0</v>
      </c>
      <c r="I31" s="82">
        <v>0</v>
      </c>
      <c r="J31" s="33">
        <f>SUM(D31-SUM(G31:I31))</f>
        <v>-1.1000000000000001</v>
      </c>
      <c r="K31" s="82">
        <v>0</v>
      </c>
      <c r="L31" s="82">
        <v>0</v>
      </c>
      <c r="M31" s="82">
        <v>0</v>
      </c>
      <c r="N31" s="33">
        <f>SUM(E31-SUM(K31:M31))</f>
        <v>0</v>
      </c>
      <c r="O31" s="82">
        <v>0</v>
      </c>
      <c r="P31" s="82">
        <v>-310.3</v>
      </c>
      <c r="Q31" s="82">
        <v>-84.6</v>
      </c>
      <c r="R31" s="33"/>
      <c r="S31" s="33">
        <f>SUM(G31:J31)</f>
        <v>-1.1000000000000001</v>
      </c>
      <c r="T31" s="33">
        <f>SUM(H31:K31)</f>
        <v>-1.1000000000000001</v>
      </c>
      <c r="U31" s="33">
        <f>SUM(I31:L31)</f>
        <v>-1.1000000000000001</v>
      </c>
      <c r="V31" s="33">
        <f>SUM(J31:M31)</f>
        <v>-1.1000000000000001</v>
      </c>
      <c r="W31" s="33">
        <f>SUM(K31:N31)</f>
        <v>0</v>
      </c>
      <c r="X31" s="33">
        <f>SUM(L31:O31)</f>
        <v>0</v>
      </c>
      <c r="Y31" s="33">
        <f>SUM(M31:P31)</f>
        <v>-310.3</v>
      </c>
      <c r="Z31" s="33">
        <f>SUM(N31:Q31)</f>
        <v>-394.9</v>
      </c>
      <c r="AA31" s="44"/>
      <c r="AB31" s="77">
        <f>SUM(Z31/V31)-1</f>
        <v>357.99999999999994</v>
      </c>
    </row>
    <row r="32" spans="2:28" ht="12.75" customHeight="1">
      <c r="B32" s="13" t="s">
        <v>50</v>
      </c>
      <c r="C32" s="14">
        <f t="shared" ref="C32:E32" si="25">SUM(C28+SUM(C31:C31))</f>
        <v>50523.7</v>
      </c>
      <c r="D32" s="14">
        <f t="shared" si="25"/>
        <v>-58189.19999999999</v>
      </c>
      <c r="E32" s="14">
        <f t="shared" si="25"/>
        <v>-400864.8</v>
      </c>
      <c r="F32" s="11"/>
      <c r="G32" s="14">
        <f t="shared" ref="G32:Q32" si="26">SUM(G28+SUM(G31:G31))</f>
        <v>-210.30000000000064</v>
      </c>
      <c r="H32" s="14">
        <f t="shared" si="26"/>
        <v>-22768.100000000002</v>
      </c>
      <c r="I32" s="14">
        <f t="shared" si="26"/>
        <v>-26033.1</v>
      </c>
      <c r="J32" s="14">
        <f t="shared" si="26"/>
        <v>-9177.7000000000007</v>
      </c>
      <c r="K32" s="14">
        <f t="shared" si="26"/>
        <v>-327599.69999999995</v>
      </c>
      <c r="L32" s="14">
        <f t="shared" si="26"/>
        <v>-16683.599999999999</v>
      </c>
      <c r="M32" s="14">
        <f t="shared" si="26"/>
        <v>-19248.400000000001</v>
      </c>
      <c r="N32" s="14">
        <f t="shared" si="26"/>
        <v>-37333.100000000013</v>
      </c>
      <c r="O32" s="14">
        <f t="shared" si="26"/>
        <v>-31726.6</v>
      </c>
      <c r="P32" s="14">
        <f t="shared" si="26"/>
        <v>-20001.899999999998</v>
      </c>
      <c r="Q32" s="14">
        <f t="shared" si="26"/>
        <v>-54848.5</v>
      </c>
      <c r="R32" s="33"/>
      <c r="S32" s="14">
        <f t="shared" ref="S32:Z32" si="27">SUM(S28+SUM(S31:S31))</f>
        <v>-58189.19999999999</v>
      </c>
      <c r="T32" s="14">
        <f t="shared" si="27"/>
        <v>-385578.6</v>
      </c>
      <c r="U32" s="14">
        <f t="shared" si="27"/>
        <v>-379494.1</v>
      </c>
      <c r="V32" s="14">
        <f t="shared" si="27"/>
        <v>-372709.4</v>
      </c>
      <c r="W32" s="14">
        <f t="shared" si="27"/>
        <v>-400864.8</v>
      </c>
      <c r="X32" s="14">
        <f t="shared" si="27"/>
        <v>-104991.70000000001</v>
      </c>
      <c r="Y32" s="14">
        <f t="shared" si="27"/>
        <v>-108310.00000000001</v>
      </c>
      <c r="Z32" s="14">
        <f t="shared" si="27"/>
        <v>-143910.10000000006</v>
      </c>
      <c r="AA32" s="37"/>
      <c r="AB32" s="78">
        <f>SUM(Z32/V32)-1</f>
        <v>-0.61388121684078789</v>
      </c>
    </row>
    <row r="33" spans="1:28" ht="12.75" customHeight="1">
      <c r="B33" s="16" t="s">
        <v>65</v>
      </c>
      <c r="C33" s="18">
        <f>C32/C11</f>
        <v>34.358177490649439</v>
      </c>
      <c r="D33" s="18">
        <f>D32/D11</f>
        <v>-14.085643049066832</v>
      </c>
      <c r="E33" s="18">
        <f>E32/E11</f>
        <v>-110.77285287940752</v>
      </c>
      <c r="F33" s="28"/>
      <c r="G33" s="18">
        <f t="shared" ref="G33:Q33" si="28">G32/G11</f>
        <v>-0.18840709550259865</v>
      </c>
      <c r="H33" s="18">
        <f t="shared" si="28"/>
        <v>-19.09915275564131</v>
      </c>
      <c r="I33" s="18">
        <f t="shared" si="28"/>
        <v>-24.300476057126854</v>
      </c>
      <c r="J33" s="18">
        <f t="shared" si="28"/>
        <v>-12.212508316699935</v>
      </c>
      <c r="K33" s="18">
        <f t="shared" si="28"/>
        <v>-425.17806619078516</v>
      </c>
      <c r="L33" s="18">
        <f t="shared" si="28"/>
        <v>-19.934998207671168</v>
      </c>
      <c r="M33" s="18">
        <f t="shared" si="28"/>
        <v>-19.040854683945</v>
      </c>
      <c r="N33" s="18">
        <f t="shared" si="28"/>
        <v>-37.314442778610704</v>
      </c>
      <c r="O33" s="18">
        <f t="shared" si="28"/>
        <v>-38.634437408670237</v>
      </c>
      <c r="P33" s="18">
        <f t="shared" si="28"/>
        <v>-22.644514887354237</v>
      </c>
      <c r="Q33" s="18">
        <f t="shared" si="28"/>
        <v>-56.376297666769453</v>
      </c>
      <c r="R33" s="29"/>
      <c r="S33" s="18">
        <f t="shared" ref="S33:Z33" si="29">S32/S11</f>
        <v>-14.085643049066832</v>
      </c>
      <c r="T33" s="18">
        <f t="shared" si="29"/>
        <v>-101.85940719606911</v>
      </c>
      <c r="U33" s="18">
        <f t="shared" si="29"/>
        <v>-110.63322838318464</v>
      </c>
      <c r="V33" s="18">
        <f t="shared" si="29"/>
        <v>-110.60282509347736</v>
      </c>
      <c r="W33" s="18">
        <f t="shared" si="29"/>
        <v>-110.77285287940752</v>
      </c>
      <c r="X33" s="18">
        <f t="shared" si="29"/>
        <v>-28.611990734432489</v>
      </c>
      <c r="Y33" s="18">
        <f t="shared" si="29"/>
        <v>-29.147716569337174</v>
      </c>
      <c r="Z33" s="18">
        <f t="shared" si="29"/>
        <v>-39.128334103700496</v>
      </c>
      <c r="AA33" s="44"/>
      <c r="AB33" s="79">
        <f>SUM(Z33-V33)*1000</f>
        <v>71474.490989776867</v>
      </c>
    </row>
    <row r="34" spans="1:28" ht="5.0999999999999996" customHeight="1">
      <c r="B34" s="16"/>
      <c r="C34" s="18"/>
      <c r="D34" s="18"/>
      <c r="E34" s="18"/>
      <c r="F34" s="2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29"/>
      <c r="S34" s="18"/>
      <c r="T34" s="18"/>
      <c r="U34" s="18"/>
      <c r="V34" s="18"/>
      <c r="W34" s="18"/>
      <c r="X34" s="18"/>
      <c r="Y34" s="18"/>
      <c r="Z34" s="18"/>
      <c r="AA34" s="44"/>
      <c r="AB34" s="79"/>
    </row>
    <row r="35" spans="1:28" ht="12.75" customHeight="1">
      <c r="B35" s="46" t="s">
        <v>92</v>
      </c>
      <c r="C35" s="82">
        <v>87500</v>
      </c>
      <c r="D35" s="82">
        <v>87500</v>
      </c>
      <c r="E35" s="82">
        <v>169630.052</v>
      </c>
      <c r="F35" s="28"/>
      <c r="G35" s="82">
        <v>87500</v>
      </c>
      <c r="H35" s="82">
        <v>87500</v>
      </c>
      <c r="I35" s="82">
        <v>87500</v>
      </c>
      <c r="J35" s="33">
        <f>D35</f>
        <v>87500</v>
      </c>
      <c r="K35" s="82">
        <v>90743.994000000006</v>
      </c>
      <c r="L35" s="82">
        <v>166726.51199999999</v>
      </c>
      <c r="M35" s="82">
        <v>200833.83499999999</v>
      </c>
      <c r="N35" s="33">
        <f>E35</f>
        <v>169630.052</v>
      </c>
      <c r="O35" s="82">
        <v>220576.70499999999</v>
      </c>
      <c r="P35" s="82">
        <v>240512.552</v>
      </c>
      <c r="Q35" s="82">
        <v>277876.65399999998</v>
      </c>
      <c r="R35" s="133"/>
      <c r="S35" s="33">
        <f>J35</f>
        <v>87500</v>
      </c>
      <c r="T35" s="33">
        <f>K35</f>
        <v>90743.994000000006</v>
      </c>
      <c r="U35" s="33">
        <f>L35</f>
        <v>166726.51199999999</v>
      </c>
      <c r="V35" s="33">
        <f>M35</f>
        <v>200833.83499999999</v>
      </c>
      <c r="W35" s="33">
        <f>N35</f>
        <v>169630.052</v>
      </c>
      <c r="X35" s="33">
        <f>O35</f>
        <v>220576.70499999999</v>
      </c>
      <c r="Y35" s="33">
        <f>P35</f>
        <v>240512.552</v>
      </c>
      <c r="Z35" s="33">
        <f>Q35</f>
        <v>277876.65399999998</v>
      </c>
      <c r="AA35" s="44"/>
      <c r="AB35" s="77">
        <f>SUM(Z35/V35)-1</f>
        <v>0.38361473802459622</v>
      </c>
    </row>
    <row r="36" spans="1:28" ht="12.75" customHeight="1">
      <c r="B36" s="13" t="s">
        <v>66</v>
      </c>
      <c r="C36" s="148">
        <f t="shared" ref="C36:D36" si="30">C32/C35</f>
        <v>0.57741371428571431</v>
      </c>
      <c r="D36" s="148">
        <f t="shared" si="30"/>
        <v>-0.66501942857142848</v>
      </c>
      <c r="E36" s="148">
        <f>E32/E35</f>
        <v>-2.363170884366645</v>
      </c>
      <c r="F36" s="28"/>
      <c r="G36" s="148">
        <f t="shared" ref="G36:L36" si="31">G32/G35</f>
        <v>-2.4034285714285785E-3</v>
      </c>
      <c r="H36" s="148">
        <f t="shared" si="31"/>
        <v>-0.26020685714285718</v>
      </c>
      <c r="I36" s="148">
        <f t="shared" si="31"/>
        <v>-0.29752114285714282</v>
      </c>
      <c r="J36" s="148">
        <f t="shared" si="31"/>
        <v>-0.10488800000000001</v>
      </c>
      <c r="K36" s="148">
        <f t="shared" si="31"/>
        <v>-3.6101529760746471</v>
      </c>
      <c r="L36" s="148">
        <f t="shared" si="31"/>
        <v>-0.10006566922002183</v>
      </c>
      <c r="M36" s="148">
        <f>M32/M35</f>
        <v>-9.584241619446246E-2</v>
      </c>
      <c r="N36" s="148">
        <f t="shared" ref="N36:Q36" si="32">N32/N35</f>
        <v>-0.22008541269562315</v>
      </c>
      <c r="O36" s="148">
        <f t="shared" si="32"/>
        <v>-0.1438347716727385</v>
      </c>
      <c r="P36" s="148">
        <f t="shared" si="32"/>
        <v>-8.3163642951990288E-2</v>
      </c>
      <c r="Q36" s="148">
        <f t="shared" si="32"/>
        <v>-0.1973843401756234</v>
      </c>
      <c r="R36" s="133"/>
      <c r="S36" s="148">
        <f t="shared" ref="S36" si="33">S32/S35</f>
        <v>-0.66501942857142848</v>
      </c>
      <c r="T36" s="148">
        <f t="shared" ref="T36" si="34">T32/T35</f>
        <v>-4.2490812119202062</v>
      </c>
      <c r="U36" s="148">
        <f t="shared" ref="U36" si="35">U32/U35</f>
        <v>-2.2761472992369685</v>
      </c>
      <c r="V36" s="148">
        <f t="shared" ref="V36" si="36">V32/V35</f>
        <v>-1.8558098041597424</v>
      </c>
      <c r="W36" s="148">
        <f t="shared" ref="W36" si="37">W32/W35</f>
        <v>-2.363170884366645</v>
      </c>
      <c r="X36" s="148">
        <f t="shared" ref="X36" si="38">X32/X35</f>
        <v>-0.47598725350439891</v>
      </c>
      <c r="Y36" s="148">
        <f t="shared" ref="Y36" si="39">Y32/Y35</f>
        <v>-0.4503299270634325</v>
      </c>
      <c r="Z36" s="148">
        <f t="shared" ref="Z36" si="40">Z32/Z35</f>
        <v>-0.5178920140588712</v>
      </c>
      <c r="AA36" s="44"/>
      <c r="AB36" s="78">
        <f>SUM(Z36/V36)-1</f>
        <v>-0.72093475694651921</v>
      </c>
    </row>
    <row r="37" spans="1:28" ht="12.75" customHeight="1">
      <c r="B37" s="26"/>
      <c r="C37" s="50"/>
      <c r="D37" s="50"/>
      <c r="E37" s="50"/>
      <c r="F37" s="147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44"/>
      <c r="AB37" s="77"/>
    </row>
    <row r="38" spans="1:28" ht="12.75" customHeight="1">
      <c r="B38" s="46" t="s">
        <v>67</v>
      </c>
      <c r="C38" s="82">
        <v>87500</v>
      </c>
      <c r="D38" s="82">
        <v>87500</v>
      </c>
      <c r="E38" s="82">
        <v>169630.052</v>
      </c>
      <c r="F38" s="147"/>
      <c r="G38" s="82">
        <v>87500</v>
      </c>
      <c r="H38" s="82">
        <v>87500</v>
      </c>
      <c r="I38" s="82">
        <v>87500</v>
      </c>
      <c r="J38" s="33">
        <f>D38</f>
        <v>87500</v>
      </c>
      <c r="K38" s="82">
        <v>90743.994000000006</v>
      </c>
      <c r="L38" s="82">
        <v>166726.51199999999</v>
      </c>
      <c r="M38" s="82">
        <v>200833.83499999999</v>
      </c>
      <c r="N38" s="33">
        <f>E38</f>
        <v>169630.052</v>
      </c>
      <c r="O38" s="82">
        <v>220576.70499999999</v>
      </c>
      <c r="P38" s="82">
        <v>240512.552</v>
      </c>
      <c r="Q38" s="82">
        <v>277876.65399999998</v>
      </c>
      <c r="R38" s="133"/>
      <c r="S38" s="33">
        <f>J38</f>
        <v>87500</v>
      </c>
      <c r="T38" s="33">
        <f>K38</f>
        <v>90743.994000000006</v>
      </c>
      <c r="U38" s="33">
        <f>L38</f>
        <v>166726.51199999999</v>
      </c>
      <c r="V38" s="33">
        <f>M38</f>
        <v>200833.83499999999</v>
      </c>
      <c r="W38" s="33">
        <f>N38</f>
        <v>169630.052</v>
      </c>
      <c r="X38" s="33">
        <f>O38</f>
        <v>220576.70499999999</v>
      </c>
      <c r="Y38" s="33">
        <f>P38</f>
        <v>240512.552</v>
      </c>
      <c r="Z38" s="33">
        <f>Q38</f>
        <v>277876.65399999998</v>
      </c>
      <c r="AA38" s="44"/>
      <c r="AB38" s="77">
        <f>SUM(Z38/V38)-1</f>
        <v>0.38361473802459622</v>
      </c>
    </row>
    <row r="39" spans="1:28" ht="12.75" customHeight="1">
      <c r="B39" s="13" t="s">
        <v>91</v>
      </c>
      <c r="C39" s="148">
        <f t="shared" ref="C39:D39" si="41">C32/C38</f>
        <v>0.57741371428571431</v>
      </c>
      <c r="D39" s="148">
        <f t="shared" si="41"/>
        <v>-0.66501942857142848</v>
      </c>
      <c r="E39" s="148">
        <f>E32/E38</f>
        <v>-2.363170884366645</v>
      </c>
      <c r="F39" s="28"/>
      <c r="G39" s="148">
        <f t="shared" ref="G39:L39" si="42">G32/G38</f>
        <v>-2.4034285714285785E-3</v>
      </c>
      <c r="H39" s="148">
        <f t="shared" si="42"/>
        <v>-0.26020685714285718</v>
      </c>
      <c r="I39" s="148">
        <f t="shared" si="42"/>
        <v>-0.29752114285714282</v>
      </c>
      <c r="J39" s="148">
        <f t="shared" si="42"/>
        <v>-0.10488800000000001</v>
      </c>
      <c r="K39" s="148">
        <f t="shared" si="42"/>
        <v>-3.6101529760746471</v>
      </c>
      <c r="L39" s="148">
        <f t="shared" si="42"/>
        <v>-0.10006566922002183</v>
      </c>
      <c r="M39" s="148">
        <f>M32/M38</f>
        <v>-9.584241619446246E-2</v>
      </c>
      <c r="N39" s="148">
        <f t="shared" ref="N39:Q39" si="43">N32/N38</f>
        <v>-0.22008541269562315</v>
      </c>
      <c r="O39" s="148">
        <f t="shared" si="43"/>
        <v>-0.1438347716727385</v>
      </c>
      <c r="P39" s="148">
        <f t="shared" si="43"/>
        <v>-8.3163642951990288E-2</v>
      </c>
      <c r="Q39" s="148">
        <f t="shared" si="43"/>
        <v>-0.1973843401756234</v>
      </c>
      <c r="R39" s="133"/>
      <c r="S39" s="148">
        <f t="shared" ref="S39" si="44">S32/S38</f>
        <v>-0.66501942857142848</v>
      </c>
      <c r="T39" s="148">
        <f t="shared" ref="T39" si="45">T32/T38</f>
        <v>-4.2490812119202062</v>
      </c>
      <c r="U39" s="148">
        <f t="shared" ref="U39" si="46">U32/U38</f>
        <v>-2.2761472992369685</v>
      </c>
      <c r="V39" s="148">
        <f t="shared" ref="V39" si="47">V32/V38</f>
        <v>-1.8558098041597424</v>
      </c>
      <c r="W39" s="148">
        <f t="shared" ref="W39" si="48">W32/W38</f>
        <v>-2.363170884366645</v>
      </c>
      <c r="X39" s="148">
        <f t="shared" ref="X39" si="49">X32/X38</f>
        <v>-0.47598725350439891</v>
      </c>
      <c r="Y39" s="148">
        <f t="shared" ref="Y39" si="50">Y32/Y38</f>
        <v>-0.4503299270634325</v>
      </c>
      <c r="Z39" s="148">
        <f t="shared" ref="Z39" si="51">Z32/Z38</f>
        <v>-0.5178920140588712</v>
      </c>
      <c r="AA39" s="44"/>
      <c r="AB39" s="78">
        <f>SUM(Z39/V39)-1</f>
        <v>-0.72093475694651921</v>
      </c>
    </row>
    <row r="40" spans="1:28">
      <c r="B40" s="16"/>
      <c r="C40" s="18"/>
      <c r="D40" s="18"/>
      <c r="E40" s="18"/>
      <c r="F40" s="2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29"/>
      <c r="S40" s="18"/>
      <c r="T40" s="18"/>
      <c r="U40" s="18"/>
      <c r="V40" s="18"/>
      <c r="W40" s="18"/>
      <c r="X40" s="18"/>
      <c r="Y40" s="18"/>
      <c r="Z40" s="18"/>
      <c r="AA40" s="44"/>
    </row>
    <row r="41" spans="1:28" ht="12.75" customHeight="1">
      <c r="A41" s="5" t="s">
        <v>17</v>
      </c>
      <c r="B41" s="107" t="s">
        <v>75</v>
      </c>
      <c r="C41" s="108"/>
      <c r="D41" s="108"/>
      <c r="E41" s="108"/>
      <c r="F41" s="109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7"/>
      <c r="S41" s="108"/>
      <c r="T41" s="108"/>
      <c r="U41" s="108" t="s">
        <v>10</v>
      </c>
      <c r="V41" s="108"/>
      <c r="W41" s="108"/>
      <c r="X41" s="108"/>
      <c r="Y41" s="108"/>
      <c r="Z41" s="108"/>
      <c r="AA41" s="109"/>
      <c r="AB41" s="151" t="s">
        <v>23</v>
      </c>
    </row>
    <row r="42" spans="1:28" ht="12.75" customHeight="1">
      <c r="B42" s="111" t="str">
        <f>B7</f>
        <v>Fiscal Period</v>
      </c>
      <c r="C42" s="110">
        <f>C7</f>
        <v>2022</v>
      </c>
      <c r="D42" s="110">
        <f>D7</f>
        <v>2023</v>
      </c>
      <c r="E42" s="110">
        <f>E7</f>
        <v>2024</v>
      </c>
      <c r="F42" s="109"/>
      <c r="G42" s="110" t="str">
        <f t="shared" ref="G42:Q42" si="52">G7</f>
        <v>1Q23</v>
      </c>
      <c r="H42" s="110" t="str">
        <f t="shared" si="52"/>
        <v>2Q23</v>
      </c>
      <c r="I42" s="110" t="str">
        <f t="shared" si="52"/>
        <v>3Q23</v>
      </c>
      <c r="J42" s="110" t="str">
        <f t="shared" si="52"/>
        <v>4Q23</v>
      </c>
      <c r="K42" s="110" t="str">
        <f t="shared" si="52"/>
        <v>1Q24</v>
      </c>
      <c r="L42" s="110" t="str">
        <f t="shared" si="52"/>
        <v>2Q24</v>
      </c>
      <c r="M42" s="110" t="str">
        <f t="shared" si="52"/>
        <v>3Q24</v>
      </c>
      <c r="N42" s="110" t="str">
        <f t="shared" si="52"/>
        <v>4Q24</v>
      </c>
      <c r="O42" s="110" t="str">
        <f t="shared" si="52"/>
        <v>1Q25</v>
      </c>
      <c r="P42" s="110" t="str">
        <f t="shared" si="52"/>
        <v>2Q25</v>
      </c>
      <c r="Q42" s="110" t="str">
        <f t="shared" si="52"/>
        <v>3Q25</v>
      </c>
      <c r="R42" s="112"/>
      <c r="S42" s="110" t="str">
        <f t="shared" ref="S42:Z42" si="53">S7</f>
        <v>4Q23</v>
      </c>
      <c r="T42" s="110" t="str">
        <f t="shared" si="53"/>
        <v>1Q24</v>
      </c>
      <c r="U42" s="110" t="str">
        <f t="shared" si="53"/>
        <v>2Q24</v>
      </c>
      <c r="V42" s="110" t="str">
        <f t="shared" si="53"/>
        <v>3Q24</v>
      </c>
      <c r="W42" s="110" t="str">
        <f t="shared" si="53"/>
        <v>4Q24</v>
      </c>
      <c r="X42" s="110" t="str">
        <f t="shared" si="53"/>
        <v>1Q25</v>
      </c>
      <c r="Y42" s="110" t="str">
        <f t="shared" si="53"/>
        <v>2Q25</v>
      </c>
      <c r="Z42" s="110" t="str">
        <f t="shared" si="53"/>
        <v>3Q25</v>
      </c>
      <c r="AA42" s="109"/>
      <c r="AB42" s="151"/>
    </row>
    <row r="43" spans="1:28" ht="12.75" customHeight="1">
      <c r="B43" s="111" t="str">
        <f>B8</f>
        <v>Fiscal Period End Date</v>
      </c>
      <c r="C43" s="113">
        <f>C8</f>
        <v>44926</v>
      </c>
      <c r="D43" s="113">
        <f>D8</f>
        <v>45291</v>
      </c>
      <c r="E43" s="113">
        <f>E8</f>
        <v>45657</v>
      </c>
      <c r="F43" s="109"/>
      <c r="G43" s="113">
        <f t="shared" ref="G43:Q43" si="54">G8</f>
        <v>45016</v>
      </c>
      <c r="H43" s="113">
        <f t="shared" si="54"/>
        <v>45107</v>
      </c>
      <c r="I43" s="113">
        <f t="shared" si="54"/>
        <v>45199</v>
      </c>
      <c r="J43" s="113">
        <f t="shared" si="54"/>
        <v>45291</v>
      </c>
      <c r="K43" s="113">
        <f t="shared" si="54"/>
        <v>45382</v>
      </c>
      <c r="L43" s="113">
        <f t="shared" si="54"/>
        <v>45473</v>
      </c>
      <c r="M43" s="113">
        <f t="shared" si="54"/>
        <v>45565</v>
      </c>
      <c r="N43" s="113">
        <f t="shared" si="54"/>
        <v>45657</v>
      </c>
      <c r="O43" s="113">
        <f t="shared" si="54"/>
        <v>45747</v>
      </c>
      <c r="P43" s="113">
        <f t="shared" si="54"/>
        <v>45838</v>
      </c>
      <c r="Q43" s="113">
        <f t="shared" si="54"/>
        <v>45930</v>
      </c>
      <c r="R43" s="114"/>
      <c r="S43" s="113">
        <f t="shared" ref="S43:Z43" si="55">S8</f>
        <v>45291</v>
      </c>
      <c r="T43" s="113">
        <f t="shared" si="55"/>
        <v>45382</v>
      </c>
      <c r="U43" s="113">
        <f t="shared" si="55"/>
        <v>45473</v>
      </c>
      <c r="V43" s="113">
        <f t="shared" si="55"/>
        <v>45565</v>
      </c>
      <c r="W43" s="113">
        <f t="shared" si="55"/>
        <v>45657</v>
      </c>
      <c r="X43" s="113">
        <f t="shared" si="55"/>
        <v>45747</v>
      </c>
      <c r="Y43" s="113">
        <f t="shared" si="55"/>
        <v>45838</v>
      </c>
      <c r="Z43" s="113">
        <f t="shared" si="55"/>
        <v>45930</v>
      </c>
      <c r="AA43" s="109"/>
      <c r="AB43" s="151"/>
    </row>
    <row r="44" spans="1:28" ht="5.0999999999999996" customHeight="1">
      <c r="B44" s="48"/>
      <c r="C44" s="49"/>
      <c r="D44" s="49"/>
      <c r="E44" s="49"/>
    </row>
    <row r="45" spans="1:28">
      <c r="B45" s="80" t="s">
        <v>83</v>
      </c>
      <c r="C45" s="49"/>
      <c r="D45" s="49"/>
      <c r="E45" s="49"/>
    </row>
    <row r="46" spans="1:28" s="123" customFormat="1" ht="12.75" customHeight="1">
      <c r="B46" s="115" t="s">
        <v>100</v>
      </c>
      <c r="C46" s="124">
        <v>9808.4</v>
      </c>
      <c r="D46" s="124">
        <v>2572.6999999999998</v>
      </c>
      <c r="E46" s="124">
        <v>170236.1</v>
      </c>
      <c r="G46" s="82">
        <v>6033.9</v>
      </c>
      <c r="H46" s="82">
        <v>2435.3000000000002</v>
      </c>
      <c r="I46" s="82">
        <v>1839</v>
      </c>
      <c r="J46" s="33">
        <f t="shared" ref="J46:J51" si="56">D46</f>
        <v>2572.6999999999998</v>
      </c>
      <c r="K46" s="82">
        <v>233700.9</v>
      </c>
      <c r="L46" s="82">
        <v>343954.4</v>
      </c>
      <c r="M46" s="82">
        <v>372135.7</v>
      </c>
      <c r="N46" s="33">
        <f t="shared" ref="N46:N51" si="57">E46</f>
        <v>170236.1</v>
      </c>
      <c r="O46" s="82">
        <v>146127.4</v>
      </c>
      <c r="P46" s="82">
        <v>1343901.7</v>
      </c>
      <c r="Q46" s="82">
        <v>166072.70000000001</v>
      </c>
      <c r="S46" s="97">
        <f>J46</f>
        <v>2572.6999999999998</v>
      </c>
      <c r="T46" s="97">
        <f>K46</f>
        <v>233700.9</v>
      </c>
      <c r="U46" s="97">
        <f>L46</f>
        <v>343954.4</v>
      </c>
      <c r="V46" s="97">
        <f>M46</f>
        <v>372135.7</v>
      </c>
      <c r="W46" s="97">
        <f>N46</f>
        <v>170236.1</v>
      </c>
      <c r="X46" s="97">
        <f>O46</f>
        <v>146127.4</v>
      </c>
      <c r="Y46" s="97">
        <f>P46</f>
        <v>1343901.7</v>
      </c>
      <c r="Z46" s="97">
        <f>Q46</f>
        <v>166072.70000000001</v>
      </c>
      <c r="AA46" s="125"/>
      <c r="AB46" s="77">
        <f>SUM(Z46/V46)-1</f>
        <v>-0.55373080303770905</v>
      </c>
    </row>
    <row r="47" spans="1:28" s="123" customFormat="1" ht="12.75" customHeight="1">
      <c r="B47" s="115" t="s">
        <v>153</v>
      </c>
      <c r="C47" s="124">
        <v>0</v>
      </c>
      <c r="D47" s="124">
        <v>0</v>
      </c>
      <c r="E47" s="124">
        <v>0</v>
      </c>
      <c r="G47" s="82">
        <v>0</v>
      </c>
      <c r="H47" s="82">
        <v>0</v>
      </c>
      <c r="I47" s="82">
        <v>0</v>
      </c>
      <c r="J47" s="33">
        <f t="shared" si="56"/>
        <v>0</v>
      </c>
      <c r="K47" s="82">
        <v>40028.300000000003</v>
      </c>
      <c r="L47" s="82">
        <v>0</v>
      </c>
      <c r="M47" s="82">
        <v>0</v>
      </c>
      <c r="N47" s="33">
        <f t="shared" si="57"/>
        <v>0</v>
      </c>
      <c r="O47" s="82">
        <v>0</v>
      </c>
      <c r="P47" s="82">
        <v>1000000</v>
      </c>
      <c r="Q47" s="82">
        <v>335838.8</v>
      </c>
      <c r="S47" s="97">
        <f>J47</f>
        <v>0</v>
      </c>
      <c r="T47" s="97">
        <f>K47</f>
        <v>40028.300000000003</v>
      </c>
      <c r="U47" s="97">
        <f>L47</f>
        <v>0</v>
      </c>
      <c r="V47" s="97">
        <f>M47</f>
        <v>0</v>
      </c>
      <c r="W47" s="97">
        <f>N47</f>
        <v>0</v>
      </c>
      <c r="X47" s="97">
        <f>O47</f>
        <v>0</v>
      </c>
      <c r="Y47" s="97">
        <f>P47</f>
        <v>1000000</v>
      </c>
      <c r="Z47" s="97">
        <f>Q47</f>
        <v>335838.8</v>
      </c>
      <c r="AA47" s="125"/>
      <c r="AB47" s="77"/>
    </row>
    <row r="48" spans="1:28" s="123" customFormat="1" ht="12.75" customHeight="1">
      <c r="B48" s="115" t="s">
        <v>101</v>
      </c>
      <c r="C48" s="124">
        <v>0</v>
      </c>
      <c r="D48" s="124">
        <v>0</v>
      </c>
      <c r="E48" s="124">
        <v>606547.30000000005</v>
      </c>
      <c r="G48" s="82">
        <v>0</v>
      </c>
      <c r="H48" s="82">
        <v>0</v>
      </c>
      <c r="I48" s="82">
        <v>0</v>
      </c>
      <c r="J48" s="33">
        <f t="shared" ref="J48" si="58">D48</f>
        <v>0</v>
      </c>
      <c r="K48" s="82">
        <v>0</v>
      </c>
      <c r="L48" s="82">
        <v>0</v>
      </c>
      <c r="M48" s="82">
        <v>300742.5</v>
      </c>
      <c r="N48" s="33">
        <f t="shared" ref="N48" si="59">E48</f>
        <v>606547.30000000005</v>
      </c>
      <c r="O48" s="82">
        <v>612854.19999999995</v>
      </c>
      <c r="P48" s="82">
        <v>619298.4</v>
      </c>
      <c r="Q48" s="82">
        <v>550421.69999999995</v>
      </c>
      <c r="S48" s="97">
        <f>J48</f>
        <v>0</v>
      </c>
      <c r="T48" s="97">
        <f>K48</f>
        <v>0</v>
      </c>
      <c r="U48" s="97">
        <f>L48</f>
        <v>0</v>
      </c>
      <c r="V48" s="97">
        <f>M48</f>
        <v>300742.5</v>
      </c>
      <c r="W48" s="97">
        <f>N48</f>
        <v>606547.30000000005</v>
      </c>
      <c r="X48" s="97">
        <f>O48</f>
        <v>612854.19999999995</v>
      </c>
      <c r="Y48" s="97">
        <f>P48</f>
        <v>619298.4</v>
      </c>
      <c r="Z48" s="97">
        <f>Q48</f>
        <v>550421.69999999995</v>
      </c>
      <c r="AA48" s="125"/>
      <c r="AB48" s="77"/>
    </row>
    <row r="49" spans="2:28" s="123" customFormat="1" ht="12.75" customHeight="1">
      <c r="B49" s="115" t="s">
        <v>154</v>
      </c>
      <c r="C49" s="124">
        <v>0</v>
      </c>
      <c r="D49" s="124">
        <v>0</v>
      </c>
      <c r="E49" s="124">
        <v>0</v>
      </c>
      <c r="G49" s="82">
        <v>0</v>
      </c>
      <c r="H49" s="82">
        <v>0</v>
      </c>
      <c r="I49" s="82">
        <v>0</v>
      </c>
      <c r="J49" s="33">
        <f t="shared" ref="J49" si="60">D49</f>
        <v>0</v>
      </c>
      <c r="K49" s="82">
        <v>0</v>
      </c>
      <c r="L49" s="82">
        <v>0</v>
      </c>
      <c r="M49" s="82">
        <v>0</v>
      </c>
      <c r="N49" s="33">
        <f t="shared" ref="N49" si="61">E49</f>
        <v>0</v>
      </c>
      <c r="O49" s="82">
        <v>0</v>
      </c>
      <c r="P49" s="82">
        <v>122366.39999999999</v>
      </c>
      <c r="Q49" s="82">
        <v>587505.1</v>
      </c>
      <c r="S49" s="97">
        <f>J49</f>
        <v>0</v>
      </c>
      <c r="T49" s="97">
        <f>K49</f>
        <v>0</v>
      </c>
      <c r="U49" s="97">
        <f>L49</f>
        <v>0</v>
      </c>
      <c r="V49" s="97">
        <f>M49</f>
        <v>0</v>
      </c>
      <c r="W49" s="97">
        <f>N49</f>
        <v>0</v>
      </c>
      <c r="X49" s="97">
        <f>O49</f>
        <v>0</v>
      </c>
      <c r="Y49" s="97">
        <f>P49</f>
        <v>122366.39999999999</v>
      </c>
      <c r="Z49" s="97">
        <f>Q49</f>
        <v>587505.1</v>
      </c>
      <c r="AA49" s="125"/>
      <c r="AB49" s="77"/>
    </row>
    <row r="50" spans="2:28" s="123" customFormat="1" ht="12.75" customHeight="1">
      <c r="B50" s="115" t="s">
        <v>133</v>
      </c>
      <c r="C50" s="124">
        <v>168350</v>
      </c>
      <c r="D50" s="124">
        <v>327.5</v>
      </c>
      <c r="E50" s="124">
        <v>7457.3</v>
      </c>
      <c r="G50" s="82">
        <v>161.43199999999999</v>
      </c>
      <c r="H50" s="82">
        <v>75.763999999999996</v>
      </c>
      <c r="I50" s="82">
        <v>0</v>
      </c>
      <c r="J50" s="33">
        <f t="shared" si="56"/>
        <v>327.5</v>
      </c>
      <c r="K50" s="82">
        <v>324.7</v>
      </c>
      <c r="L50" s="82">
        <v>9553.4</v>
      </c>
      <c r="M50" s="82">
        <v>9233.5</v>
      </c>
      <c r="N50" s="33">
        <f t="shared" si="57"/>
        <v>7457.3</v>
      </c>
      <c r="O50" s="82">
        <v>7871</v>
      </c>
      <c r="P50" s="82">
        <v>10847.3</v>
      </c>
      <c r="Q50" s="82">
        <v>10035.1</v>
      </c>
      <c r="S50" s="97">
        <f>J50</f>
        <v>327.5</v>
      </c>
      <c r="T50" s="97">
        <f>K50</f>
        <v>324.7</v>
      </c>
      <c r="U50" s="97">
        <f>L50</f>
        <v>9553.4</v>
      </c>
      <c r="V50" s="97">
        <f>M50</f>
        <v>9233.5</v>
      </c>
      <c r="W50" s="97">
        <f>N50</f>
        <v>7457.3</v>
      </c>
      <c r="X50" s="97">
        <f>O50</f>
        <v>7871</v>
      </c>
      <c r="Y50" s="97">
        <f>P50</f>
        <v>10847.3</v>
      </c>
      <c r="Z50" s="97">
        <f>Q50</f>
        <v>10035.1</v>
      </c>
      <c r="AA50" s="125"/>
      <c r="AB50" s="77">
        <f>SUM(Z50/V50)-1</f>
        <v>8.6814317431093357E-2</v>
      </c>
    </row>
    <row r="51" spans="2:28" s="123" customFormat="1" ht="12.75" customHeight="1">
      <c r="B51" s="115" t="s">
        <v>134</v>
      </c>
      <c r="C51" s="124">
        <v>0</v>
      </c>
      <c r="D51" s="124">
        <v>81</v>
      </c>
      <c r="E51" s="124">
        <v>17.399999999999999</v>
      </c>
      <c r="G51" s="82">
        <v>0</v>
      </c>
      <c r="H51" s="82">
        <v>0</v>
      </c>
      <c r="I51" s="82">
        <v>0</v>
      </c>
      <c r="J51" s="33">
        <f t="shared" si="56"/>
        <v>81</v>
      </c>
      <c r="K51" s="82">
        <v>47.2</v>
      </c>
      <c r="L51" s="82">
        <v>17.5</v>
      </c>
      <c r="M51" s="82">
        <v>14.8</v>
      </c>
      <c r="N51" s="33">
        <f t="shared" si="57"/>
        <v>17.399999999999999</v>
      </c>
      <c r="O51" s="82">
        <v>33.1</v>
      </c>
      <c r="P51" s="82">
        <v>317.3</v>
      </c>
      <c r="Q51" s="82">
        <v>298.8</v>
      </c>
      <c r="S51" s="97">
        <f>J51</f>
        <v>81</v>
      </c>
      <c r="T51" s="97">
        <f>K51</f>
        <v>47.2</v>
      </c>
      <c r="U51" s="97">
        <f>L51</f>
        <v>17.5</v>
      </c>
      <c r="V51" s="97">
        <f>M51</f>
        <v>14.8</v>
      </c>
      <c r="W51" s="97">
        <f>N51</f>
        <v>17.399999999999999</v>
      </c>
      <c r="X51" s="97">
        <f>O51</f>
        <v>33.1</v>
      </c>
      <c r="Y51" s="97">
        <f>P51</f>
        <v>317.3</v>
      </c>
      <c r="Z51" s="97">
        <f>Q51</f>
        <v>298.8</v>
      </c>
      <c r="AA51" s="125"/>
      <c r="AB51" s="77">
        <f>SUM(Z51/V51)-1</f>
        <v>19.189189189189189</v>
      </c>
    </row>
    <row r="52" spans="2:28" ht="12.75" customHeight="1">
      <c r="B52" s="26" t="s">
        <v>19</v>
      </c>
      <c r="C52" s="27">
        <f>SUM(C46:C51)</f>
        <v>178158.4</v>
      </c>
      <c r="D52" s="27">
        <f>SUM(D46:D51)</f>
        <v>2981.2</v>
      </c>
      <c r="E52" s="27">
        <f>SUM(E46:E51)</f>
        <v>784258.10000000009</v>
      </c>
      <c r="F52" s="50"/>
      <c r="G52" s="27">
        <f t="shared" ref="G52:Q52" si="62">SUM(G46:G51)</f>
        <v>6195.3319999999994</v>
      </c>
      <c r="H52" s="27">
        <f t="shared" si="62"/>
        <v>2511.0640000000003</v>
      </c>
      <c r="I52" s="27">
        <f t="shared" si="62"/>
        <v>1839</v>
      </c>
      <c r="J52" s="27">
        <f t="shared" si="62"/>
        <v>2981.2</v>
      </c>
      <c r="K52" s="27">
        <f t="shared" si="62"/>
        <v>274101.10000000003</v>
      </c>
      <c r="L52" s="27">
        <f t="shared" si="62"/>
        <v>353525.30000000005</v>
      </c>
      <c r="M52" s="27">
        <f t="shared" si="62"/>
        <v>682126.5</v>
      </c>
      <c r="N52" s="27">
        <f t="shared" si="62"/>
        <v>784258.10000000009</v>
      </c>
      <c r="O52" s="27">
        <f t="shared" si="62"/>
        <v>766885.7</v>
      </c>
      <c r="P52" s="27">
        <f t="shared" si="62"/>
        <v>3096731.0999999996</v>
      </c>
      <c r="Q52" s="27">
        <f t="shared" si="62"/>
        <v>1650172.2</v>
      </c>
      <c r="R52" s="50"/>
      <c r="S52" s="27">
        <f>SUM(S46:S51)</f>
        <v>2981.2</v>
      </c>
      <c r="T52" s="27">
        <f>SUM(T46:T51)</f>
        <v>274101.10000000003</v>
      </c>
      <c r="U52" s="27">
        <f>SUM(U46:U51)</f>
        <v>353525.30000000005</v>
      </c>
      <c r="V52" s="27">
        <f>SUM(V46:V51)</f>
        <v>682126.5</v>
      </c>
      <c r="W52" s="27">
        <f>SUM(W46:W51)</f>
        <v>784258.10000000009</v>
      </c>
      <c r="X52" s="27">
        <f>SUM(X46:X51)</f>
        <v>766885.7</v>
      </c>
      <c r="Y52" s="27">
        <f>SUM(Y46:Y51)</f>
        <v>3096731.0999999996</v>
      </c>
      <c r="Z52" s="27">
        <f>SUM(Z46:Z51)</f>
        <v>1650172.2</v>
      </c>
      <c r="AA52" s="43"/>
      <c r="AB52" s="78">
        <f>SUM(Z52/V52)-1</f>
        <v>1.4191586164736307</v>
      </c>
    </row>
    <row r="53" spans="2:28" ht="5.0999999999999996" customHeight="1">
      <c r="B53" s="26"/>
      <c r="C53" s="51"/>
      <c r="D53" s="42"/>
      <c r="E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S53" s="43"/>
      <c r="T53" s="43"/>
      <c r="U53" s="43"/>
      <c r="V53" s="43"/>
      <c r="W53" s="43"/>
      <c r="X53" s="43"/>
      <c r="Y53" s="43"/>
      <c r="Z53" s="43"/>
      <c r="AA53" s="43"/>
      <c r="AB53" s="40"/>
    </row>
    <row r="54" spans="2:28" ht="12.75" customHeight="1">
      <c r="B54" s="80" t="s">
        <v>84</v>
      </c>
      <c r="C54" s="82"/>
      <c r="D54" s="82"/>
      <c r="E54" s="82"/>
      <c r="G54" s="82"/>
      <c r="H54" s="82"/>
      <c r="I54" s="82"/>
      <c r="J54" s="82"/>
      <c r="K54" s="82"/>
      <c r="L54" s="82"/>
      <c r="M54" s="82"/>
      <c r="N54" s="82"/>
      <c r="O54" s="33"/>
      <c r="P54" s="82"/>
      <c r="Q54" s="82"/>
      <c r="S54" s="33"/>
      <c r="T54" s="33"/>
      <c r="U54" s="33"/>
      <c r="V54" s="33"/>
      <c r="W54" s="33"/>
      <c r="X54" s="33"/>
      <c r="Y54" s="33"/>
      <c r="Z54" s="33"/>
      <c r="AA54" s="11"/>
      <c r="AB54" s="77"/>
    </row>
    <row r="55" spans="2:28" ht="12.75" customHeight="1">
      <c r="B55" s="9" t="s">
        <v>89</v>
      </c>
      <c r="C55" s="82">
        <v>0</v>
      </c>
      <c r="D55" s="82">
        <v>29.2</v>
      </c>
      <c r="E55" s="82">
        <v>4366</v>
      </c>
      <c r="G55" s="82">
        <v>0</v>
      </c>
      <c r="H55" s="82">
        <v>0</v>
      </c>
      <c r="I55" s="82">
        <v>0</v>
      </c>
      <c r="J55" s="33">
        <f t="shared" ref="J55:J60" si="63">D55</f>
        <v>29.2</v>
      </c>
      <c r="K55" s="82">
        <v>23.7</v>
      </c>
      <c r="L55" s="82">
        <v>2161.9</v>
      </c>
      <c r="M55" s="82">
        <v>4790.6000000000004</v>
      </c>
      <c r="N55" s="33">
        <f t="shared" ref="N55:N60" si="64">E55</f>
        <v>4366</v>
      </c>
      <c r="O55" s="82">
        <v>3954.4</v>
      </c>
      <c r="P55" s="82">
        <v>4053</v>
      </c>
      <c r="Q55" s="82">
        <v>3557.7</v>
      </c>
      <c r="S55" s="33">
        <f>J55</f>
        <v>29.2</v>
      </c>
      <c r="T55" s="33">
        <f>K55</f>
        <v>23.7</v>
      </c>
      <c r="U55" s="33">
        <f>L55</f>
        <v>2161.9</v>
      </c>
      <c r="V55" s="33">
        <f>M55</f>
        <v>4790.6000000000004</v>
      </c>
      <c r="W55" s="33">
        <f>N55</f>
        <v>4366</v>
      </c>
      <c r="X55" s="33">
        <f>O55</f>
        <v>3954.4</v>
      </c>
      <c r="Y55" s="33">
        <f>P55</f>
        <v>4053</v>
      </c>
      <c r="Z55" s="33">
        <f>Q55</f>
        <v>3557.7</v>
      </c>
      <c r="AA55" s="11"/>
      <c r="AB55" s="77">
        <f t="shared" ref="AB55:AB61" si="65">SUM(Z55/V55)-1</f>
        <v>-0.25735815972947029</v>
      </c>
    </row>
    <row r="56" spans="2:28" ht="12.75" customHeight="1">
      <c r="B56" s="9" t="s">
        <v>135</v>
      </c>
      <c r="C56" s="82">
        <v>0</v>
      </c>
      <c r="D56" s="82">
        <v>0</v>
      </c>
      <c r="E56" s="82">
        <v>120884.2</v>
      </c>
      <c r="G56" s="82">
        <v>0</v>
      </c>
      <c r="H56" s="82">
        <v>0</v>
      </c>
      <c r="I56" s="82">
        <v>0</v>
      </c>
      <c r="J56" s="33">
        <f t="shared" ref="J56:J57" si="66">D56</f>
        <v>0</v>
      </c>
      <c r="K56" s="82">
        <v>0</v>
      </c>
      <c r="L56" s="82">
        <v>0</v>
      </c>
      <c r="M56" s="82">
        <v>132171</v>
      </c>
      <c r="N56" s="33">
        <f t="shared" ref="N56:N57" si="67">E56</f>
        <v>120884.2</v>
      </c>
      <c r="O56" s="82">
        <v>120884.2</v>
      </c>
      <c r="P56" s="82">
        <v>120884.2</v>
      </c>
      <c r="Q56" s="82">
        <v>120884.2</v>
      </c>
      <c r="S56" s="33">
        <f>J56</f>
        <v>0</v>
      </c>
      <c r="T56" s="33">
        <f>K56</f>
        <v>0</v>
      </c>
      <c r="U56" s="33">
        <f>L56</f>
        <v>0</v>
      </c>
      <c r="V56" s="33">
        <f>M56</f>
        <v>132171</v>
      </c>
      <c r="W56" s="33">
        <f>N56</f>
        <v>120884.2</v>
      </c>
      <c r="X56" s="33">
        <f>O56</f>
        <v>120884.2</v>
      </c>
      <c r="Y56" s="33">
        <f>P56</f>
        <v>120884.2</v>
      </c>
      <c r="Z56" s="33">
        <f>Q56</f>
        <v>120884.2</v>
      </c>
      <c r="AA56" s="11"/>
      <c r="AB56" s="77">
        <f t="shared" ref="AB56:AB57" si="68">SUM(Z56/V56)-1</f>
        <v>-8.5395434702014827E-2</v>
      </c>
    </row>
    <row r="57" spans="2:28" ht="12.75" customHeight="1">
      <c r="B57" s="9" t="s">
        <v>159</v>
      </c>
      <c r="C57" s="82">
        <v>0</v>
      </c>
      <c r="D57" s="82">
        <v>0</v>
      </c>
      <c r="E57" s="82">
        <v>0</v>
      </c>
      <c r="G57" s="82">
        <v>0</v>
      </c>
      <c r="H57" s="82">
        <v>0</v>
      </c>
      <c r="I57" s="82">
        <v>0</v>
      </c>
      <c r="J57" s="33">
        <f t="shared" si="66"/>
        <v>0</v>
      </c>
      <c r="K57" s="82">
        <v>0</v>
      </c>
      <c r="L57" s="82">
        <v>0</v>
      </c>
      <c r="M57" s="82">
        <v>0</v>
      </c>
      <c r="N57" s="33">
        <f t="shared" si="67"/>
        <v>0</v>
      </c>
      <c r="O57" s="82">
        <v>0</v>
      </c>
      <c r="P57" s="82">
        <v>0</v>
      </c>
      <c r="Q57" s="82">
        <v>1466689</v>
      </c>
      <c r="S57" s="33">
        <f>J57</f>
        <v>0</v>
      </c>
      <c r="T57" s="33">
        <f>K57</f>
        <v>0</v>
      </c>
      <c r="U57" s="33">
        <f>L57</f>
        <v>0</v>
      </c>
      <c r="V57" s="33">
        <f>M57</f>
        <v>0</v>
      </c>
      <c r="W57" s="33">
        <f>N57</f>
        <v>0</v>
      </c>
      <c r="X57" s="33">
        <f>O57</f>
        <v>0</v>
      </c>
      <c r="Y57" s="33">
        <f>P57</f>
        <v>0</v>
      </c>
      <c r="Z57" s="33">
        <f>Q57</f>
        <v>1466689</v>
      </c>
      <c r="AA57" s="11"/>
      <c r="AB57" s="77" t="e">
        <f t="shared" si="68"/>
        <v>#DIV/0!</v>
      </c>
    </row>
    <row r="58" spans="2:28" ht="12.75" customHeight="1">
      <c r="B58" s="9" t="s">
        <v>136</v>
      </c>
      <c r="C58" s="82">
        <v>0</v>
      </c>
      <c r="D58" s="82">
        <v>0</v>
      </c>
      <c r="E58" s="82">
        <v>25363.1</v>
      </c>
      <c r="G58" s="82">
        <v>0</v>
      </c>
      <c r="H58" s="82">
        <v>0</v>
      </c>
      <c r="I58" s="82">
        <v>0</v>
      </c>
      <c r="J58" s="33">
        <f t="shared" si="63"/>
        <v>0</v>
      </c>
      <c r="K58" s="82">
        <v>0</v>
      </c>
      <c r="L58" s="82">
        <v>0</v>
      </c>
      <c r="M58" s="82">
        <v>15811.6</v>
      </c>
      <c r="N58" s="33">
        <f t="shared" si="64"/>
        <v>25363.1</v>
      </c>
      <c r="O58" s="82">
        <v>23998.7</v>
      </c>
      <c r="P58" s="82">
        <v>22619.1</v>
      </c>
      <c r="Q58" s="82">
        <v>21224.400000000001</v>
      </c>
      <c r="S58" s="33">
        <f>J58</f>
        <v>0</v>
      </c>
      <c r="T58" s="33">
        <f>K58</f>
        <v>0</v>
      </c>
      <c r="U58" s="33">
        <f>L58</f>
        <v>0</v>
      </c>
      <c r="V58" s="33">
        <f>M58</f>
        <v>15811.6</v>
      </c>
      <c r="W58" s="33">
        <f>N58</f>
        <v>25363.1</v>
      </c>
      <c r="X58" s="33">
        <f>O58</f>
        <v>23998.7</v>
      </c>
      <c r="Y58" s="33">
        <f>P58</f>
        <v>22619.1</v>
      </c>
      <c r="Z58" s="33">
        <f>Q58</f>
        <v>21224.400000000001</v>
      </c>
      <c r="AA58" s="11"/>
      <c r="AB58" s="77">
        <f t="shared" si="65"/>
        <v>0.34233094689974464</v>
      </c>
    </row>
    <row r="59" spans="2:28" ht="12.75" customHeight="1">
      <c r="B59" s="9" t="s">
        <v>182</v>
      </c>
      <c r="C59" s="82">
        <v>300330.65100000001</v>
      </c>
      <c r="D59" s="82">
        <v>0</v>
      </c>
      <c r="E59" s="82">
        <v>0</v>
      </c>
      <c r="G59" s="82">
        <v>303517.30900000001</v>
      </c>
      <c r="H59" s="82">
        <v>307136.11300000001</v>
      </c>
      <c r="I59" s="82">
        <v>307195.87</v>
      </c>
      <c r="J59" s="33">
        <f t="shared" si="63"/>
        <v>0</v>
      </c>
      <c r="K59" s="82">
        <v>0</v>
      </c>
      <c r="L59" s="82">
        <v>0</v>
      </c>
      <c r="M59" s="82">
        <v>0</v>
      </c>
      <c r="N59" s="33">
        <f t="shared" si="64"/>
        <v>0</v>
      </c>
      <c r="O59" s="82">
        <v>0</v>
      </c>
      <c r="P59" s="82">
        <v>0</v>
      </c>
      <c r="Q59" s="82">
        <v>0</v>
      </c>
      <c r="S59" s="33">
        <f>J59</f>
        <v>0</v>
      </c>
      <c r="T59" s="33">
        <f>K59</f>
        <v>0</v>
      </c>
      <c r="U59" s="33">
        <f>L59</f>
        <v>0</v>
      </c>
      <c r="V59" s="33">
        <f>M59</f>
        <v>0</v>
      </c>
      <c r="W59" s="33">
        <f>N59</f>
        <v>0</v>
      </c>
      <c r="X59" s="33">
        <f>O59</f>
        <v>0</v>
      </c>
      <c r="Y59" s="33">
        <f>P59</f>
        <v>0</v>
      </c>
      <c r="Z59" s="33">
        <f>Q59</f>
        <v>0</v>
      </c>
      <c r="AA59" s="11"/>
      <c r="AB59" s="77" t="e">
        <f t="shared" si="65"/>
        <v>#DIV/0!</v>
      </c>
    </row>
    <row r="60" spans="2:28" ht="12.75" customHeight="1">
      <c r="B60" s="9" t="s">
        <v>137</v>
      </c>
      <c r="C60" s="82">
        <v>0</v>
      </c>
      <c r="D60" s="82">
        <v>353.2</v>
      </c>
      <c r="E60" s="82">
        <v>3416.1</v>
      </c>
      <c r="G60" s="82">
        <v>0</v>
      </c>
      <c r="H60" s="82">
        <v>0</v>
      </c>
      <c r="I60" s="82">
        <v>0</v>
      </c>
      <c r="J60" s="33">
        <f t="shared" si="63"/>
        <v>353.2</v>
      </c>
      <c r="K60" s="82">
        <v>313.8</v>
      </c>
      <c r="L60" s="82">
        <v>806.6</v>
      </c>
      <c r="M60" s="82">
        <v>2855.1</v>
      </c>
      <c r="N60" s="33">
        <f t="shared" si="64"/>
        <v>3416.1</v>
      </c>
      <c r="O60" s="82">
        <v>3194.1</v>
      </c>
      <c r="P60" s="82">
        <v>2968.3</v>
      </c>
      <c r="Q60" s="82">
        <v>2739</v>
      </c>
      <c r="S60" s="33">
        <f>J60</f>
        <v>353.2</v>
      </c>
      <c r="T60" s="33">
        <f>K60</f>
        <v>313.8</v>
      </c>
      <c r="U60" s="33">
        <f>L60</f>
        <v>806.6</v>
      </c>
      <c r="V60" s="33">
        <f>M60</f>
        <v>2855.1</v>
      </c>
      <c r="W60" s="33">
        <f>N60</f>
        <v>3416.1</v>
      </c>
      <c r="X60" s="33">
        <f>O60</f>
        <v>3194.1</v>
      </c>
      <c r="Y60" s="33">
        <f>P60</f>
        <v>2968.3</v>
      </c>
      <c r="Z60" s="33">
        <f>Q60</f>
        <v>2739</v>
      </c>
      <c r="AA60" s="11"/>
      <c r="AB60" s="77">
        <f t="shared" si="65"/>
        <v>-4.0664074813491657E-2</v>
      </c>
    </row>
    <row r="61" spans="2:28" ht="12.75" customHeight="1">
      <c r="B61" s="13" t="s">
        <v>20</v>
      </c>
      <c r="C61" s="14">
        <f>SUM(C55:C60)+C52</f>
        <v>478489.05099999998</v>
      </c>
      <c r="D61" s="14">
        <f>SUM(D55:D60)+D52</f>
        <v>3363.6</v>
      </c>
      <c r="E61" s="14">
        <f>SUM(E55:E60)+E52</f>
        <v>938287.50000000012</v>
      </c>
      <c r="G61" s="14">
        <f t="shared" ref="G61:Q61" si="69">SUM(G55:G60)+G52</f>
        <v>309712.641</v>
      </c>
      <c r="H61" s="14">
        <f t="shared" si="69"/>
        <v>309647.17700000003</v>
      </c>
      <c r="I61" s="14">
        <f t="shared" si="69"/>
        <v>309034.87</v>
      </c>
      <c r="J61" s="14">
        <f t="shared" si="69"/>
        <v>3363.6</v>
      </c>
      <c r="K61" s="14">
        <f t="shared" si="69"/>
        <v>274438.60000000003</v>
      </c>
      <c r="L61" s="14">
        <f t="shared" si="69"/>
        <v>356493.80000000005</v>
      </c>
      <c r="M61" s="14">
        <f t="shared" si="69"/>
        <v>837754.8</v>
      </c>
      <c r="N61" s="14">
        <f t="shared" si="69"/>
        <v>938287.50000000012</v>
      </c>
      <c r="O61" s="14">
        <f t="shared" si="69"/>
        <v>918917.1</v>
      </c>
      <c r="P61" s="14">
        <f t="shared" si="69"/>
        <v>3247255.6999999997</v>
      </c>
      <c r="Q61" s="14">
        <f t="shared" si="69"/>
        <v>3265266.5</v>
      </c>
      <c r="S61" s="14">
        <f>SUM(S55:S60)+S52</f>
        <v>3363.6</v>
      </c>
      <c r="T61" s="14">
        <f>SUM(T55:T60)+T52</f>
        <v>274438.60000000003</v>
      </c>
      <c r="U61" s="14">
        <f>SUM(U55:U60)+U52</f>
        <v>356493.80000000005</v>
      </c>
      <c r="V61" s="14">
        <f>SUM(V55:V60)+V52</f>
        <v>837754.8</v>
      </c>
      <c r="W61" s="14">
        <f>SUM(W55:W60)+W52</f>
        <v>938287.50000000012</v>
      </c>
      <c r="X61" s="14">
        <f>SUM(X55:X60)+X52</f>
        <v>918917.1</v>
      </c>
      <c r="Y61" s="14">
        <f>SUM(Y55:Y60)+Y52</f>
        <v>3247255.6999999997</v>
      </c>
      <c r="Z61" s="35">
        <f>SUM(Z55:Z60)+Z52</f>
        <v>3265266.5</v>
      </c>
      <c r="AA61" s="43"/>
      <c r="AB61" s="78">
        <f t="shared" si="65"/>
        <v>2.8976398583451863</v>
      </c>
    </row>
    <row r="62" spans="2:28" ht="12.75" customHeight="1">
      <c r="B62" s="26"/>
      <c r="C62" s="52"/>
      <c r="D62" s="42"/>
      <c r="E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S62" s="43"/>
      <c r="T62" s="43"/>
      <c r="U62" s="43"/>
      <c r="V62" s="43"/>
      <c r="W62" s="43"/>
      <c r="X62" s="43"/>
      <c r="Y62" s="43"/>
      <c r="Z62" s="43"/>
      <c r="AA62" s="43"/>
      <c r="AB62" s="40"/>
    </row>
    <row r="63" spans="2:28" ht="12.75" customHeight="1">
      <c r="B63" s="80" t="s">
        <v>46</v>
      </c>
      <c r="C63" s="52"/>
      <c r="D63" s="42"/>
      <c r="E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S63" s="43"/>
      <c r="T63" s="43"/>
      <c r="U63" s="43"/>
      <c r="V63" s="43"/>
      <c r="W63" s="43"/>
      <c r="X63" s="43"/>
      <c r="Y63" s="43"/>
      <c r="Z63" s="43"/>
      <c r="AA63" s="43"/>
      <c r="AB63" s="40"/>
    </row>
    <row r="64" spans="2:28" ht="12.75" customHeight="1">
      <c r="B64" s="121" t="s">
        <v>163</v>
      </c>
      <c r="C64" s="122">
        <v>18054.912</v>
      </c>
      <c r="D64" s="122">
        <v>1600.7</v>
      </c>
      <c r="E64" s="122">
        <v>10167.5</v>
      </c>
      <c r="G64" s="82">
        <v>18524.787</v>
      </c>
      <c r="H64" s="82">
        <v>29586.906999999999</v>
      </c>
      <c r="I64" s="82">
        <v>43674.678999999996</v>
      </c>
      <c r="J64" s="33">
        <f t="shared" ref="J64:J65" si="70">D64</f>
        <v>1600.7</v>
      </c>
      <c r="K64" s="82">
        <v>9704.7000000000007</v>
      </c>
      <c r="L64" s="82">
        <v>10831.7</v>
      </c>
      <c r="M64" s="82">
        <v>6657.4</v>
      </c>
      <c r="N64" s="33">
        <f t="shared" ref="N64:N65" si="71">E64</f>
        <v>10167.5</v>
      </c>
      <c r="O64" s="82">
        <v>13681</v>
      </c>
      <c r="P64" s="82">
        <v>17243.5</v>
      </c>
      <c r="Q64" s="82">
        <v>32741.1</v>
      </c>
      <c r="S64" s="98">
        <f>J64</f>
        <v>1600.7</v>
      </c>
      <c r="T64" s="98">
        <f>K64</f>
        <v>9704.7000000000007</v>
      </c>
      <c r="U64" s="98">
        <f>L64</f>
        <v>10831.7</v>
      </c>
      <c r="V64" s="98">
        <f>M64</f>
        <v>6657.4</v>
      </c>
      <c r="W64" s="98">
        <f>N64</f>
        <v>10167.5</v>
      </c>
      <c r="X64" s="98">
        <f>O64</f>
        <v>13681</v>
      </c>
      <c r="Y64" s="98">
        <f>P64</f>
        <v>17243.5</v>
      </c>
      <c r="Z64" s="98">
        <f>Q64</f>
        <v>32741.1</v>
      </c>
      <c r="AA64" s="11"/>
      <c r="AB64" s="77">
        <f t="shared" ref="AB64:AB68" si="72">SUM(Z64/V64)-1</f>
        <v>3.9180010214197738</v>
      </c>
    </row>
    <row r="65" spans="2:28" ht="12.75" customHeight="1">
      <c r="B65" s="121" t="s">
        <v>162</v>
      </c>
      <c r="C65" s="122">
        <f>2875+625.7</f>
        <v>3500.7</v>
      </c>
      <c r="D65" s="122">
        <v>41818.800000000003</v>
      </c>
      <c r="E65" s="122">
        <v>4780.5</v>
      </c>
      <c r="G65" s="82">
        <f>2875+1166.7</f>
        <v>4041.7</v>
      </c>
      <c r="H65" s="82">
        <f>2875+1275.033</f>
        <v>4150.0329999999994</v>
      </c>
      <c r="I65" s="82">
        <f>2875+2372.033+500</f>
        <v>5747.0329999999994</v>
      </c>
      <c r="J65" s="33">
        <f t="shared" si="70"/>
        <v>41818.800000000003</v>
      </c>
      <c r="K65" s="82">
        <v>50157.8</v>
      </c>
      <c r="L65" s="82">
        <v>0</v>
      </c>
      <c r="M65" s="82">
        <v>4749.8999999999996</v>
      </c>
      <c r="N65" s="33">
        <f t="shared" si="71"/>
        <v>4780.5</v>
      </c>
      <c r="O65" s="82">
        <v>4873.3</v>
      </c>
      <c r="P65" s="82">
        <v>4968</v>
      </c>
      <c r="Q65" s="82">
        <v>4689.3999999999996</v>
      </c>
      <c r="S65" s="98"/>
      <c r="T65" s="98"/>
      <c r="U65" s="98"/>
      <c r="V65" s="98"/>
      <c r="W65" s="98"/>
      <c r="X65" s="98"/>
      <c r="Y65" s="98"/>
      <c r="Z65" s="98"/>
      <c r="AA65" s="11"/>
      <c r="AB65" s="77"/>
    </row>
    <row r="66" spans="2:28" ht="12.75" customHeight="1">
      <c r="B66" s="121" t="s">
        <v>144</v>
      </c>
      <c r="C66" s="122">
        <v>0</v>
      </c>
      <c r="D66" s="122">
        <v>160.30000000000001</v>
      </c>
      <c r="E66" s="122">
        <v>1080.8</v>
      </c>
      <c r="G66" s="82">
        <v>0</v>
      </c>
      <c r="H66" s="82">
        <v>0</v>
      </c>
      <c r="I66" s="82">
        <v>0</v>
      </c>
      <c r="J66" s="33">
        <f t="shared" ref="J66" si="73">D66</f>
        <v>160.30000000000001</v>
      </c>
      <c r="K66" s="82">
        <v>163.1</v>
      </c>
      <c r="L66" s="82">
        <v>276.89999999999998</v>
      </c>
      <c r="M66" s="82">
        <v>734</v>
      </c>
      <c r="N66" s="33">
        <f t="shared" ref="N66" si="74">E66</f>
        <v>1080.8</v>
      </c>
      <c r="O66" s="82">
        <v>902.3</v>
      </c>
      <c r="P66" s="82">
        <v>880.6</v>
      </c>
      <c r="Q66" s="82">
        <v>858.5</v>
      </c>
      <c r="S66" s="98">
        <f>J66</f>
        <v>160.30000000000001</v>
      </c>
      <c r="T66" s="98">
        <f>K66</f>
        <v>163.1</v>
      </c>
      <c r="U66" s="98">
        <f>L66</f>
        <v>276.89999999999998</v>
      </c>
      <c r="V66" s="98">
        <f>M66</f>
        <v>734</v>
      </c>
      <c r="W66" s="98">
        <f>N66</f>
        <v>1080.8</v>
      </c>
      <c r="X66" s="98">
        <f>O66</f>
        <v>902.3</v>
      </c>
      <c r="Y66" s="98">
        <f>P66</f>
        <v>880.6</v>
      </c>
      <c r="Z66" s="98">
        <f>Q66</f>
        <v>858.5</v>
      </c>
      <c r="AA66" s="11"/>
      <c r="AB66" s="77">
        <f t="shared" ref="AB66" si="75">SUM(Z66/V66)-1</f>
        <v>0.1696185286103542</v>
      </c>
    </row>
    <row r="67" spans="2:28" ht="12.75" customHeight="1">
      <c r="B67" s="121" t="s">
        <v>164</v>
      </c>
      <c r="C67" s="122">
        <f>979.475+400+525.835</f>
        <v>1905.31</v>
      </c>
      <c r="D67" s="122">
        <f>4413.1+17282.5</f>
        <v>21695.599999999999</v>
      </c>
      <c r="E67" s="122">
        <f>1010.7+262</f>
        <v>1272.7</v>
      </c>
      <c r="G67" s="82">
        <f>1862.768+532.5+550.835</f>
        <v>2946.1030000000001</v>
      </c>
      <c r="H67" s="82">
        <f>2767.281+582.5+570.835</f>
        <v>3920.616</v>
      </c>
      <c r="I67" s="82">
        <f>3666.968+632.5+34.585</f>
        <v>4334.0529999999999</v>
      </c>
      <c r="J67" s="33">
        <f t="shared" ref="J67" si="76">D67</f>
        <v>21695.599999999999</v>
      </c>
      <c r="K67" s="82">
        <f>262+3717.2</f>
        <v>3979.2</v>
      </c>
      <c r="L67" s="82">
        <f>2924.6+262</f>
        <v>3186.6</v>
      </c>
      <c r="M67" s="82">
        <f>262+1959.7</f>
        <v>2221.6999999999998</v>
      </c>
      <c r="N67" s="33">
        <f t="shared" ref="N67" si="77">E67</f>
        <v>1272.7</v>
      </c>
      <c r="O67" s="82">
        <f>262+246.7</f>
        <v>508.7</v>
      </c>
      <c r="P67" s="82">
        <v>262</v>
      </c>
      <c r="Q67" s="82">
        <f>262+23.8</f>
        <v>285.8</v>
      </c>
      <c r="S67" s="98"/>
      <c r="T67" s="98"/>
      <c r="U67" s="98"/>
      <c r="V67" s="98"/>
      <c r="W67" s="98"/>
      <c r="X67" s="98"/>
      <c r="Y67" s="98"/>
      <c r="Z67" s="98"/>
      <c r="AA67" s="11"/>
      <c r="AB67" s="77"/>
    </row>
    <row r="68" spans="2:28" ht="12.75" customHeight="1">
      <c r="B68" s="26" t="s">
        <v>18</v>
      </c>
      <c r="C68" s="27">
        <f>SUM(C64:C67)</f>
        <v>23460.922000000002</v>
      </c>
      <c r="D68" s="27">
        <f>SUM(D64:D67)</f>
        <v>65275.4</v>
      </c>
      <c r="E68" s="27">
        <f>SUM(E64:E67)</f>
        <v>17301.5</v>
      </c>
      <c r="G68" s="27">
        <f t="shared" ref="G68:P68" si="78">SUM(G64:G67)</f>
        <v>25512.59</v>
      </c>
      <c r="H68" s="27">
        <f t="shared" si="78"/>
        <v>37657.556000000004</v>
      </c>
      <c r="I68" s="27">
        <f t="shared" si="78"/>
        <v>53755.764999999999</v>
      </c>
      <c r="J68" s="27">
        <f t="shared" si="78"/>
        <v>65275.4</v>
      </c>
      <c r="K68" s="27">
        <f t="shared" si="78"/>
        <v>64004.799999999996</v>
      </c>
      <c r="L68" s="27">
        <f t="shared" si="78"/>
        <v>14295.2</v>
      </c>
      <c r="M68" s="27">
        <f t="shared" si="78"/>
        <v>14363</v>
      </c>
      <c r="N68" s="27">
        <f t="shared" si="78"/>
        <v>17301.5</v>
      </c>
      <c r="O68" s="27">
        <f t="shared" si="78"/>
        <v>19965.3</v>
      </c>
      <c r="P68" s="27">
        <f t="shared" si="78"/>
        <v>23354.1</v>
      </c>
      <c r="Q68" s="27">
        <f>SUM(Q64:Q67)</f>
        <v>38574.800000000003</v>
      </c>
      <c r="R68" s="50"/>
      <c r="S68" s="27">
        <f>SUM(S64:S67)</f>
        <v>1761</v>
      </c>
      <c r="T68" s="27">
        <f>SUM(T64:T67)</f>
        <v>9867.8000000000011</v>
      </c>
      <c r="U68" s="27">
        <f>SUM(U64:U67)</f>
        <v>11108.6</v>
      </c>
      <c r="V68" s="27">
        <f>SUM(V64:V67)</f>
        <v>7391.4</v>
      </c>
      <c r="W68" s="27">
        <f>SUM(W64:W67)</f>
        <v>11248.3</v>
      </c>
      <c r="X68" s="27">
        <f>SUM(X64:X67)</f>
        <v>14583.3</v>
      </c>
      <c r="Y68" s="27">
        <f>SUM(Y64:Y67)</f>
        <v>18124.099999999999</v>
      </c>
      <c r="Z68" s="27">
        <f>SUM(Z64:Z67)</f>
        <v>33599.599999999999</v>
      </c>
      <c r="AA68" s="43"/>
      <c r="AB68" s="78">
        <f t="shared" si="72"/>
        <v>3.5457694076900186</v>
      </c>
    </row>
    <row r="69" spans="2:28" ht="5.0999999999999996" customHeight="1">
      <c r="B69" s="26"/>
      <c r="C69" s="52"/>
      <c r="D69" s="42"/>
      <c r="E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S69" s="43"/>
      <c r="T69" s="43"/>
      <c r="U69" s="43"/>
      <c r="V69" s="43"/>
      <c r="W69" s="43"/>
      <c r="X69" s="43"/>
      <c r="Y69" s="43"/>
      <c r="Z69" s="43"/>
      <c r="AA69" s="43"/>
      <c r="AB69" s="40"/>
    </row>
    <row r="70" spans="2:28">
      <c r="B70" s="80" t="s">
        <v>85</v>
      </c>
      <c r="C70" s="52"/>
      <c r="D70" s="42"/>
      <c r="E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S70" s="43"/>
      <c r="T70" s="43"/>
      <c r="U70" s="43"/>
      <c r="V70" s="43"/>
      <c r="W70" s="43"/>
      <c r="X70" s="43"/>
      <c r="Y70" s="43"/>
      <c r="Z70" s="43"/>
      <c r="AA70" s="43"/>
      <c r="AB70" s="40"/>
    </row>
    <row r="71" spans="2:28" ht="12.75" customHeight="1">
      <c r="B71" s="121" t="s">
        <v>160</v>
      </c>
      <c r="C71" s="122">
        <v>0</v>
      </c>
      <c r="D71" s="122">
        <v>3528.2</v>
      </c>
      <c r="E71" s="122">
        <v>4836.2</v>
      </c>
      <c r="F71" s="53"/>
      <c r="G71" s="82">
        <v>0</v>
      </c>
      <c r="H71" s="82">
        <v>0</v>
      </c>
      <c r="I71" s="82">
        <v>0</v>
      </c>
      <c r="J71" s="33">
        <f t="shared" ref="J71" si="79">D71</f>
        <v>3528.2</v>
      </c>
      <c r="K71" s="82">
        <v>0</v>
      </c>
      <c r="L71" s="82">
        <v>0</v>
      </c>
      <c r="M71" s="82">
        <v>4683.6000000000004</v>
      </c>
      <c r="N71" s="33">
        <f t="shared" ref="N71" si="80">E71</f>
        <v>4836.2</v>
      </c>
      <c r="O71" s="82">
        <v>4930.2</v>
      </c>
      <c r="P71" s="82">
        <f>934300.7+5026</f>
        <v>939326.7</v>
      </c>
      <c r="Q71" s="82">
        <f>945645.5+434.2</f>
        <v>946079.7</v>
      </c>
      <c r="R71" s="122"/>
      <c r="S71" s="98">
        <f t="shared" ref="S71" si="81">J71</f>
        <v>3528.2</v>
      </c>
      <c r="T71" s="98">
        <f t="shared" ref="T71" si="82">K71</f>
        <v>0</v>
      </c>
      <c r="U71" s="98">
        <f t="shared" ref="U71" si="83">L71</f>
        <v>0</v>
      </c>
      <c r="V71" s="98">
        <f t="shared" ref="V71" si="84">M71</f>
        <v>4683.6000000000004</v>
      </c>
      <c r="W71" s="98">
        <f t="shared" ref="W71" si="85">N71</f>
        <v>4836.2</v>
      </c>
      <c r="X71" s="98">
        <f t="shared" ref="X71" si="86">O71</f>
        <v>4930.2</v>
      </c>
      <c r="Y71" s="98">
        <f t="shared" ref="Y71" si="87">P71</f>
        <v>939326.7</v>
      </c>
      <c r="Z71" s="98">
        <f t="shared" ref="Z71" si="88">Q71</f>
        <v>946079.7</v>
      </c>
      <c r="AA71" s="43"/>
      <c r="AB71" s="77">
        <f t="shared" ref="AB71:AB85" si="89">SUM(Z71/V71)-1</f>
        <v>200.9983986676915</v>
      </c>
    </row>
    <row r="72" spans="2:28" ht="12.75" customHeight="1">
      <c r="B72" s="121" t="s">
        <v>145</v>
      </c>
      <c r="C72" s="122">
        <v>0</v>
      </c>
      <c r="D72" s="122">
        <v>201.6</v>
      </c>
      <c r="E72" s="122">
        <v>2559.6999999999998</v>
      </c>
      <c r="F72" s="53"/>
      <c r="G72" s="82">
        <v>0</v>
      </c>
      <c r="H72" s="82">
        <v>0</v>
      </c>
      <c r="I72" s="82">
        <v>0</v>
      </c>
      <c r="J72" s="33">
        <f t="shared" ref="J72" si="90">D72</f>
        <v>201.6</v>
      </c>
      <c r="K72" s="82">
        <v>159.80000000000001</v>
      </c>
      <c r="L72" s="82">
        <v>530.29999999999995</v>
      </c>
      <c r="M72" s="82">
        <v>2175.1</v>
      </c>
      <c r="N72" s="33">
        <f t="shared" ref="N72" si="91">E72</f>
        <v>2559.6999999999998</v>
      </c>
      <c r="O72" s="82">
        <v>2335.1</v>
      </c>
      <c r="P72" s="82">
        <v>2136.3000000000002</v>
      </c>
      <c r="Q72" s="82">
        <v>1933</v>
      </c>
      <c r="R72" s="122"/>
      <c r="S72" s="98">
        <f>J72</f>
        <v>201.6</v>
      </c>
      <c r="T72" s="98">
        <f>K72</f>
        <v>159.80000000000001</v>
      </c>
      <c r="U72" s="98">
        <f>L72</f>
        <v>530.29999999999995</v>
      </c>
      <c r="V72" s="98">
        <f>M72</f>
        <v>2175.1</v>
      </c>
      <c r="W72" s="98">
        <f>N72</f>
        <v>2559.6999999999998</v>
      </c>
      <c r="X72" s="98">
        <f>O72</f>
        <v>2335.1</v>
      </c>
      <c r="Y72" s="98">
        <f>P72</f>
        <v>2136.3000000000002</v>
      </c>
      <c r="Z72" s="98">
        <f>Q72</f>
        <v>1933</v>
      </c>
      <c r="AA72" s="43"/>
      <c r="AB72" s="77">
        <f t="shared" ref="AB72" si="92">SUM(Z72/V72)-1</f>
        <v>-0.11130522734586912</v>
      </c>
    </row>
    <row r="73" spans="2:28" ht="12.75" customHeight="1">
      <c r="B73" s="121" t="s">
        <v>161</v>
      </c>
      <c r="C73" s="122">
        <v>10062.5</v>
      </c>
      <c r="D73" s="122">
        <v>1120.3</v>
      </c>
      <c r="E73" s="122">
        <v>0</v>
      </c>
      <c r="F73" s="53"/>
      <c r="G73" s="82">
        <v>10062.5</v>
      </c>
      <c r="H73" s="82">
        <v>10062.5</v>
      </c>
      <c r="I73" s="82">
        <v>10062.5</v>
      </c>
      <c r="J73" s="33">
        <f t="shared" ref="J73" si="93">D73</f>
        <v>1120.3</v>
      </c>
      <c r="K73" s="82">
        <v>0</v>
      </c>
      <c r="L73" s="82">
        <v>0</v>
      </c>
      <c r="M73" s="82">
        <v>0</v>
      </c>
      <c r="N73" s="33">
        <f t="shared" ref="N73" si="94">E73</f>
        <v>0</v>
      </c>
      <c r="O73" s="82">
        <v>0</v>
      </c>
      <c r="P73" s="82">
        <v>310.3</v>
      </c>
      <c r="Q73" s="82">
        <v>394.9</v>
      </c>
      <c r="R73" s="122"/>
      <c r="S73" s="98">
        <f t="shared" ref="S73" si="95">J73</f>
        <v>1120.3</v>
      </c>
      <c r="T73" s="98">
        <f t="shared" ref="T73" si="96">K73</f>
        <v>0</v>
      </c>
      <c r="U73" s="98">
        <f t="shared" ref="U73" si="97">L73</f>
        <v>0</v>
      </c>
      <c r="V73" s="98">
        <f t="shared" ref="V73" si="98">M73</f>
        <v>0</v>
      </c>
      <c r="W73" s="98">
        <f t="shared" ref="W73" si="99">N73</f>
        <v>0</v>
      </c>
      <c r="X73" s="98">
        <f t="shared" ref="X73" si="100">O73</f>
        <v>0</v>
      </c>
      <c r="Y73" s="98">
        <f t="shared" ref="Y73" si="101">P73</f>
        <v>310.3</v>
      </c>
      <c r="Z73" s="98">
        <f t="shared" ref="Z73" si="102">Q73</f>
        <v>394.9</v>
      </c>
      <c r="AA73" s="43"/>
      <c r="AB73" s="77" t="e">
        <f t="shared" ref="AB73" si="103">SUM(Z73/V73)-1</f>
        <v>#DIV/0!</v>
      </c>
    </row>
    <row r="74" spans="2:28" ht="12.75" customHeight="1">
      <c r="B74" s="13" t="s">
        <v>16</v>
      </c>
      <c r="C74" s="14">
        <f>SUM(C71:C73)+C68</f>
        <v>33523.422000000006</v>
      </c>
      <c r="D74" s="14">
        <f>SUM(D71:D73)+D68</f>
        <v>70125.5</v>
      </c>
      <c r="E74" s="14">
        <f>SUM(E71:E73)+E68</f>
        <v>24697.4</v>
      </c>
      <c r="G74" s="14">
        <f t="shared" ref="G74:P74" si="104">SUM(G71:G73)+G68</f>
        <v>35575.089999999997</v>
      </c>
      <c r="H74" s="14">
        <f t="shared" si="104"/>
        <v>47720.056000000004</v>
      </c>
      <c r="I74" s="14">
        <f t="shared" si="104"/>
        <v>63818.264999999999</v>
      </c>
      <c r="J74" s="14">
        <f t="shared" si="104"/>
        <v>70125.5</v>
      </c>
      <c r="K74" s="14">
        <f t="shared" si="104"/>
        <v>64164.6</v>
      </c>
      <c r="L74" s="14">
        <f t="shared" si="104"/>
        <v>14825.5</v>
      </c>
      <c r="M74" s="14">
        <f t="shared" si="104"/>
        <v>21221.7</v>
      </c>
      <c r="N74" s="14">
        <f t="shared" si="104"/>
        <v>24697.4</v>
      </c>
      <c r="O74" s="14">
        <f t="shared" si="104"/>
        <v>27230.6</v>
      </c>
      <c r="P74" s="14">
        <f t="shared" si="104"/>
        <v>965127.4</v>
      </c>
      <c r="Q74" s="14">
        <f>SUM(Q71:Q73)+Q68</f>
        <v>986982.40000000002</v>
      </c>
      <c r="S74" s="14">
        <f>SUM(S71:S73)+S68</f>
        <v>6611.0999999999995</v>
      </c>
      <c r="T74" s="14">
        <f>SUM(T71:T73)+T68</f>
        <v>10027.6</v>
      </c>
      <c r="U74" s="14">
        <f>SUM(U71:U73)+U68</f>
        <v>11638.9</v>
      </c>
      <c r="V74" s="14">
        <f>SUM(V71:V73)+V68</f>
        <v>14250.1</v>
      </c>
      <c r="W74" s="14">
        <f>SUM(W71:W73)+W68</f>
        <v>18644.199999999997</v>
      </c>
      <c r="X74" s="14">
        <f>SUM(X71:X73)+X68</f>
        <v>21848.6</v>
      </c>
      <c r="Y74" s="14">
        <f>SUM(Y71:Y73)+Y68</f>
        <v>959897.4</v>
      </c>
      <c r="Z74" s="14">
        <f>SUM(Z71:Z73)+Z68</f>
        <v>982007.2</v>
      </c>
      <c r="AA74" s="43"/>
      <c r="AB74" s="78">
        <f t="shared" si="89"/>
        <v>67.912302369807932</v>
      </c>
    </row>
    <row r="75" spans="2:28" ht="5.0999999999999996" customHeight="1">
      <c r="B75" s="26"/>
      <c r="C75" s="51"/>
      <c r="D75" s="42"/>
      <c r="E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S75" s="43"/>
      <c r="T75" s="43"/>
      <c r="U75" s="43"/>
      <c r="V75" s="43"/>
      <c r="W75" s="43"/>
      <c r="X75" s="43"/>
      <c r="Y75" s="43"/>
      <c r="Z75" s="43"/>
      <c r="AA75" s="43"/>
      <c r="AB75" s="40"/>
    </row>
    <row r="76" spans="2:28" ht="12.75" customHeight="1">
      <c r="B76" s="9" t="s">
        <v>148</v>
      </c>
      <c r="C76" s="82">
        <v>0</v>
      </c>
      <c r="D76" s="82">
        <v>0</v>
      </c>
      <c r="E76" s="82">
        <v>0</v>
      </c>
      <c r="F76" s="33"/>
      <c r="G76" s="82">
        <v>0</v>
      </c>
      <c r="H76" s="82">
        <v>0</v>
      </c>
      <c r="I76" s="82">
        <v>0</v>
      </c>
      <c r="J76" s="33">
        <f>D76</f>
        <v>0</v>
      </c>
      <c r="K76" s="82">
        <v>0</v>
      </c>
      <c r="L76" s="82">
        <v>0</v>
      </c>
      <c r="M76" s="82">
        <v>0</v>
      </c>
      <c r="N76" s="33">
        <f>E76</f>
        <v>0</v>
      </c>
      <c r="O76" s="82">
        <v>0</v>
      </c>
      <c r="P76" s="82">
        <v>0</v>
      </c>
      <c r="Q76" s="82">
        <v>0</v>
      </c>
      <c r="S76" s="33">
        <f>J76</f>
        <v>0</v>
      </c>
      <c r="T76" s="33">
        <f>K76</f>
        <v>0</v>
      </c>
      <c r="U76" s="33">
        <f>L76</f>
        <v>0</v>
      </c>
      <c r="V76" s="33">
        <f>M76</f>
        <v>0</v>
      </c>
      <c r="W76" s="33">
        <f>N76</f>
        <v>0</v>
      </c>
      <c r="X76" s="33">
        <f>O76</f>
        <v>0</v>
      </c>
      <c r="Y76" s="33">
        <f>P76</f>
        <v>0</v>
      </c>
      <c r="Z76" s="33">
        <f>Q76</f>
        <v>0</v>
      </c>
      <c r="AA76" s="11"/>
      <c r="AB76" s="77" t="e">
        <f t="shared" si="89"/>
        <v>#DIV/0!</v>
      </c>
    </row>
    <row r="77" spans="2:28" ht="12.75" customHeight="1">
      <c r="B77" s="9" t="s">
        <v>147</v>
      </c>
      <c r="C77" s="82">
        <f>298951.176+0.127+0.719</f>
        <v>298952.02199999994</v>
      </c>
      <c r="D77" s="82">
        <v>8.8000000000000007</v>
      </c>
      <c r="E77" s="82">
        <v>22.1</v>
      </c>
      <c r="F77" s="33"/>
      <c r="G77" s="82">
        <f>301122.041+0.719+0.127</f>
        <v>301122.88699999999</v>
      </c>
      <c r="H77" s="82">
        <f>303957.139+0.127+0.719</f>
        <v>303957.98499999999</v>
      </c>
      <c r="I77" s="82">
        <f>306128.902+0.127+0.719</f>
        <v>306129.74799999996</v>
      </c>
      <c r="J77" s="33">
        <f>D77</f>
        <v>8.8000000000000007</v>
      </c>
      <c r="K77" s="82">
        <v>13.7</v>
      </c>
      <c r="L77" s="82">
        <v>19.2</v>
      </c>
      <c r="M77" s="82">
        <v>21.5</v>
      </c>
      <c r="N77" s="33">
        <f>E77</f>
        <v>22.1</v>
      </c>
      <c r="O77" s="82">
        <v>22.1</v>
      </c>
      <c r="P77" s="82">
        <v>27.8</v>
      </c>
      <c r="Q77" s="82">
        <v>28.1</v>
      </c>
      <c r="S77" s="33">
        <f>J77</f>
        <v>8.8000000000000007</v>
      </c>
      <c r="T77" s="33">
        <f>K77</f>
        <v>13.7</v>
      </c>
      <c r="U77" s="33">
        <f>L77</f>
        <v>19.2</v>
      </c>
      <c r="V77" s="33">
        <f>M77</f>
        <v>21.5</v>
      </c>
      <c r="W77" s="33">
        <f>N77</f>
        <v>22.1</v>
      </c>
      <c r="X77" s="33">
        <f>O77</f>
        <v>22.1</v>
      </c>
      <c r="Y77" s="33">
        <f>P77</f>
        <v>27.8</v>
      </c>
      <c r="Z77" s="33">
        <f>Q77</f>
        <v>28.1</v>
      </c>
      <c r="AA77" s="11"/>
      <c r="AB77" s="77"/>
    </row>
    <row r="78" spans="2:28" ht="12.75" customHeight="1">
      <c r="B78" s="9" t="s">
        <v>149</v>
      </c>
      <c r="C78" s="82">
        <v>0</v>
      </c>
      <c r="D78" s="82">
        <v>0</v>
      </c>
      <c r="E78" s="82">
        <v>3861662.4</v>
      </c>
      <c r="F78" s="33"/>
      <c r="G78" s="82">
        <v>0</v>
      </c>
      <c r="H78" s="82">
        <v>0</v>
      </c>
      <c r="I78" s="82">
        <v>0</v>
      </c>
      <c r="J78" s="33">
        <f>D78</f>
        <v>0</v>
      </c>
      <c r="K78" s="82">
        <v>3082180.9</v>
      </c>
      <c r="L78" s="82">
        <v>3229937.7</v>
      </c>
      <c r="M78" s="82">
        <v>3726957.3</v>
      </c>
      <c r="N78" s="33">
        <f>E78</f>
        <v>3861662.4</v>
      </c>
      <c r="O78" s="82">
        <v>3879735.6</v>
      </c>
      <c r="P78" s="82">
        <v>5289923.5999999996</v>
      </c>
      <c r="Q78" s="82">
        <v>5347340.2</v>
      </c>
      <c r="S78" s="33">
        <f>J78</f>
        <v>0</v>
      </c>
      <c r="T78" s="33">
        <f>K78</f>
        <v>3082180.9</v>
      </c>
      <c r="U78" s="33">
        <f>L78</f>
        <v>3229937.7</v>
      </c>
      <c r="V78" s="33">
        <f>M78</f>
        <v>3726957.3</v>
      </c>
      <c r="W78" s="33">
        <f>N78</f>
        <v>3861662.4</v>
      </c>
      <c r="X78" s="33">
        <f>O78</f>
        <v>3879735.6</v>
      </c>
      <c r="Y78" s="33">
        <f>P78</f>
        <v>5289923.5999999996</v>
      </c>
      <c r="Z78" s="33">
        <f>Q78</f>
        <v>5347340.2</v>
      </c>
      <c r="AA78" s="11"/>
      <c r="AB78" s="77">
        <f t="shared" si="89"/>
        <v>0.4347736691268238</v>
      </c>
    </row>
    <row r="79" spans="2:28" ht="12.75" customHeight="1">
      <c r="B79" s="9" t="s">
        <v>150</v>
      </c>
      <c r="C79" s="82">
        <v>0</v>
      </c>
      <c r="D79" s="82">
        <v>0</v>
      </c>
      <c r="E79" s="82">
        <v>-2908.7</v>
      </c>
      <c r="F79" s="33"/>
      <c r="G79" s="82">
        <v>0</v>
      </c>
      <c r="H79" s="82">
        <v>0</v>
      </c>
      <c r="I79" s="82">
        <v>0</v>
      </c>
      <c r="J79" s="33">
        <f>D79</f>
        <v>0</v>
      </c>
      <c r="K79" s="82">
        <v>0</v>
      </c>
      <c r="L79" s="82">
        <v>0</v>
      </c>
      <c r="M79" s="82">
        <v>-2908.7</v>
      </c>
      <c r="N79" s="33">
        <f>E79</f>
        <v>-2908.7</v>
      </c>
      <c r="O79" s="82">
        <v>-11158.9</v>
      </c>
      <c r="P79" s="82">
        <v>-11158.9</v>
      </c>
      <c r="Q79" s="82">
        <v>-17571.5</v>
      </c>
      <c r="S79" s="33">
        <f>J79</f>
        <v>0</v>
      </c>
      <c r="T79" s="33">
        <f>K79</f>
        <v>0</v>
      </c>
      <c r="U79" s="33">
        <f>L79</f>
        <v>0</v>
      </c>
      <c r="V79" s="33">
        <f>M79</f>
        <v>-2908.7</v>
      </c>
      <c r="W79" s="33">
        <f>N79</f>
        <v>-2908.7</v>
      </c>
      <c r="X79" s="33">
        <f>O79</f>
        <v>-11158.9</v>
      </c>
      <c r="Y79" s="33">
        <f>P79</f>
        <v>-11158.9</v>
      </c>
      <c r="Z79" s="33">
        <f>Q79</f>
        <v>-17571.5</v>
      </c>
      <c r="AA79" s="11"/>
      <c r="AB79" s="77">
        <f t="shared" si="89"/>
        <v>5.0410148863753568</v>
      </c>
    </row>
    <row r="80" spans="2:28" ht="12.75" customHeight="1">
      <c r="B80" s="9" t="s">
        <v>151</v>
      </c>
      <c r="C80" s="82">
        <v>-31975.454000000002</v>
      </c>
      <c r="D80" s="82">
        <v>-66770.7</v>
      </c>
      <c r="E80" s="82">
        <v>-2945185.7</v>
      </c>
      <c r="F80" s="33"/>
      <c r="G80" s="82">
        <v>-32866.533000000003</v>
      </c>
      <c r="H80" s="82">
        <v>-44210.591</v>
      </c>
      <c r="I80" s="82">
        <v>-59466.555999999997</v>
      </c>
      <c r="J80" s="33">
        <f>D80</f>
        <v>-66770.7</v>
      </c>
      <c r="K80" s="82">
        <v>-2871920.6</v>
      </c>
      <c r="L80" s="82">
        <v>-2888288.6</v>
      </c>
      <c r="M80" s="82">
        <v>-2907537</v>
      </c>
      <c r="N80" s="33">
        <f>E80</f>
        <v>-2945185.7</v>
      </c>
      <c r="O80" s="82">
        <v>-2976912.3</v>
      </c>
      <c r="P80" s="82">
        <v>-2996894.6</v>
      </c>
      <c r="Q80" s="82">
        <v>-3051702.7</v>
      </c>
      <c r="S80" s="33">
        <f>J80</f>
        <v>-66770.7</v>
      </c>
      <c r="T80" s="33">
        <f>K80</f>
        <v>-2871920.6</v>
      </c>
      <c r="U80" s="33">
        <f>L80</f>
        <v>-2888288.6</v>
      </c>
      <c r="V80" s="33">
        <f>M80</f>
        <v>-2907537</v>
      </c>
      <c r="W80" s="33">
        <f>N80</f>
        <v>-2945185.7</v>
      </c>
      <c r="X80" s="33">
        <f>O80</f>
        <v>-2976912.3</v>
      </c>
      <c r="Y80" s="33">
        <f>P80</f>
        <v>-2996894.6</v>
      </c>
      <c r="Z80" s="33">
        <f>Q80</f>
        <v>-3051702.7</v>
      </c>
      <c r="AA80" s="11"/>
      <c r="AB80" s="77">
        <f t="shared" si="89"/>
        <v>4.9583444681873479E-2</v>
      </c>
    </row>
    <row r="81" spans="1:28" ht="12.75" customHeight="1">
      <c r="B81" s="13" t="s">
        <v>155</v>
      </c>
      <c r="C81" s="14">
        <f>SUM(C76:C80)</f>
        <v>266976.56799999991</v>
      </c>
      <c r="D81" s="14">
        <f>SUM(D76:D80)</f>
        <v>-66761.899999999994</v>
      </c>
      <c r="E81" s="14">
        <f>SUM(E76:E80)</f>
        <v>913590.09999999963</v>
      </c>
      <c r="F81" s="54"/>
      <c r="G81" s="14">
        <f t="shared" ref="G81:Q81" si="105">SUM(G76:G80)</f>
        <v>268256.35399999999</v>
      </c>
      <c r="H81" s="14">
        <f t="shared" si="105"/>
        <v>259747.39399999997</v>
      </c>
      <c r="I81" s="14">
        <f t="shared" si="105"/>
        <v>246663.19199999998</v>
      </c>
      <c r="J81" s="14">
        <f t="shared" si="105"/>
        <v>-66761.899999999994</v>
      </c>
      <c r="K81" s="14">
        <f t="shared" si="105"/>
        <v>210274</v>
      </c>
      <c r="L81" s="14">
        <f t="shared" si="105"/>
        <v>341668.30000000028</v>
      </c>
      <c r="M81" s="14">
        <f t="shared" si="105"/>
        <v>816533.09999999963</v>
      </c>
      <c r="N81" s="14">
        <f t="shared" si="105"/>
        <v>913590.09999999963</v>
      </c>
      <c r="O81" s="14">
        <f t="shared" si="105"/>
        <v>891686.50000000047</v>
      </c>
      <c r="P81" s="14">
        <f t="shared" si="105"/>
        <v>2281897.899999999</v>
      </c>
      <c r="Q81" s="14">
        <f t="shared" si="105"/>
        <v>2278094.0999999996</v>
      </c>
      <c r="S81" s="14">
        <f>SUM(S76:S80)</f>
        <v>-66761.899999999994</v>
      </c>
      <c r="T81" s="14">
        <f>SUM(T76:T80)</f>
        <v>210274</v>
      </c>
      <c r="U81" s="14">
        <f>SUM(U76:U80)</f>
        <v>341668.30000000028</v>
      </c>
      <c r="V81" s="14">
        <f>SUM(V76:V80)</f>
        <v>816533.09999999963</v>
      </c>
      <c r="W81" s="14">
        <f>SUM(W76:W80)</f>
        <v>913590.09999999963</v>
      </c>
      <c r="X81" s="14">
        <f>SUM(X76:X80)</f>
        <v>891686.50000000047</v>
      </c>
      <c r="Y81" s="14">
        <f>SUM(Y76:Y80)</f>
        <v>2281897.899999999</v>
      </c>
      <c r="Z81" s="14">
        <f>SUM(Z76:Z80)</f>
        <v>2278094.0999999996</v>
      </c>
      <c r="AA81" s="43"/>
      <c r="AB81" s="77">
        <f t="shared" si="89"/>
        <v>1.7899592802790245</v>
      </c>
    </row>
    <row r="82" spans="1:28" s="155" customFormat="1" ht="5.0999999999999996" customHeight="1">
      <c r="B82" s="156"/>
      <c r="C82" s="157"/>
      <c r="D82" s="157"/>
      <c r="E82" s="157"/>
      <c r="F82" s="158"/>
      <c r="G82" s="157"/>
      <c r="H82" s="157"/>
      <c r="I82" s="157"/>
      <c r="J82" s="157"/>
      <c r="K82" s="157"/>
      <c r="L82" s="157"/>
      <c r="M82" s="157"/>
      <c r="N82" s="157"/>
      <c r="O82" s="157"/>
      <c r="P82" s="157"/>
      <c r="Q82" s="157"/>
      <c r="S82" s="157"/>
      <c r="T82" s="157"/>
      <c r="U82" s="157"/>
      <c r="V82" s="157"/>
      <c r="W82" s="157"/>
      <c r="X82" s="157"/>
      <c r="Y82" s="157"/>
      <c r="Z82" s="157"/>
      <c r="AA82" s="159"/>
      <c r="AB82" s="101"/>
    </row>
    <row r="83" spans="1:28" ht="12.75" customHeight="1">
      <c r="B83" s="9" t="s">
        <v>156</v>
      </c>
      <c r="C83" s="82">
        <v>0</v>
      </c>
      <c r="D83" s="82">
        <v>0</v>
      </c>
      <c r="E83" s="82">
        <v>0</v>
      </c>
      <c r="F83" s="33"/>
      <c r="G83" s="82">
        <v>0</v>
      </c>
      <c r="H83" s="82">
        <v>0</v>
      </c>
      <c r="I83" s="82">
        <v>0</v>
      </c>
      <c r="J83" s="33">
        <f>D83</f>
        <v>0</v>
      </c>
      <c r="K83" s="82">
        <v>0</v>
      </c>
      <c r="L83" s="82">
        <v>0</v>
      </c>
      <c r="M83" s="82">
        <v>0</v>
      </c>
      <c r="N83" s="33">
        <f>E83</f>
        <v>0</v>
      </c>
      <c r="O83" s="82">
        <v>0</v>
      </c>
      <c r="P83" s="82">
        <v>230.4</v>
      </c>
      <c r="Q83" s="82">
        <v>190</v>
      </c>
      <c r="S83" s="33">
        <f>J83</f>
        <v>0</v>
      </c>
      <c r="T83" s="33">
        <f>K83</f>
        <v>0</v>
      </c>
      <c r="U83" s="33">
        <f>L83</f>
        <v>0</v>
      </c>
      <c r="V83" s="33">
        <f>M83</f>
        <v>0</v>
      </c>
      <c r="W83" s="33">
        <f>N83</f>
        <v>0</v>
      </c>
      <c r="X83" s="33">
        <f>O83</f>
        <v>0</v>
      </c>
      <c r="Y83" s="33">
        <f>P83</f>
        <v>230.4</v>
      </c>
      <c r="Z83" s="33">
        <f>Q83</f>
        <v>190</v>
      </c>
      <c r="AA83" s="11"/>
      <c r="AB83" s="77" t="e">
        <f t="shared" ref="AB83:AB84" si="106">SUM(Z83/V83)-1</f>
        <v>#DIV/0!</v>
      </c>
    </row>
    <row r="84" spans="1:28" ht="12.75" customHeight="1">
      <c r="B84" s="13" t="s">
        <v>158</v>
      </c>
      <c r="C84" s="14">
        <f t="shared" ref="C84" si="107">SUM(C81:C83)</f>
        <v>266976.56799999991</v>
      </c>
      <c r="D84" s="14">
        <f t="shared" ref="D84" si="108">SUM(D81:D83)</f>
        <v>-66761.899999999994</v>
      </c>
      <c r="E84" s="14">
        <f t="shared" ref="E84" si="109">SUM(E81:E83)</f>
        <v>913590.09999999963</v>
      </c>
      <c r="F84" s="54"/>
      <c r="G84" s="14">
        <f t="shared" ref="G84" si="110">SUM(G81:G83)</f>
        <v>268256.35399999999</v>
      </c>
      <c r="H84" s="14">
        <f t="shared" ref="H84" si="111">SUM(H81:H83)</f>
        <v>259747.39399999997</v>
      </c>
      <c r="I84" s="14">
        <f t="shared" ref="I84" si="112">SUM(I81:I83)</f>
        <v>246663.19199999998</v>
      </c>
      <c r="J84" s="14">
        <f t="shared" ref="J84" si="113">SUM(J81:J83)</f>
        <v>-66761.899999999994</v>
      </c>
      <c r="K84" s="14">
        <f t="shared" ref="K84" si="114">SUM(K81:K83)</f>
        <v>210274</v>
      </c>
      <c r="L84" s="14">
        <f t="shared" ref="L84" si="115">SUM(L81:L83)</f>
        <v>341668.30000000028</v>
      </c>
      <c r="M84" s="14">
        <f t="shared" ref="M84" si="116">SUM(M81:M83)</f>
        <v>816533.09999999963</v>
      </c>
      <c r="N84" s="14">
        <f t="shared" ref="N84" si="117">SUM(N81:N83)</f>
        <v>913590.09999999963</v>
      </c>
      <c r="O84" s="14">
        <f t="shared" ref="O84" si="118">SUM(O81:O83)</f>
        <v>891686.50000000047</v>
      </c>
      <c r="P84" s="14">
        <f t="shared" ref="P84" si="119">SUM(P81:P83)</f>
        <v>2282128.2999999989</v>
      </c>
      <c r="Q84" s="14">
        <f t="shared" ref="Q84" si="120">SUM(Q81:Q83)</f>
        <v>2278284.0999999996</v>
      </c>
      <c r="S84" s="14">
        <f t="shared" ref="S84" si="121">SUM(S81:S83)</f>
        <v>-66761.899999999994</v>
      </c>
      <c r="T84" s="14">
        <f t="shared" ref="T84" si="122">SUM(T81:T83)</f>
        <v>210274</v>
      </c>
      <c r="U84" s="14">
        <f t="shared" ref="U84" si="123">SUM(U81:U83)</f>
        <v>341668.30000000028</v>
      </c>
      <c r="V84" s="14">
        <f t="shared" ref="V84" si="124">SUM(V81:V83)</f>
        <v>816533.09999999963</v>
      </c>
      <c r="W84" s="14">
        <f t="shared" ref="W84" si="125">SUM(W81:W83)</f>
        <v>913590.09999999963</v>
      </c>
      <c r="X84" s="14">
        <f t="shared" ref="X84" si="126">SUM(X81:X83)</f>
        <v>891686.50000000047</v>
      </c>
      <c r="Y84" s="14">
        <f t="shared" ref="Y84" si="127">SUM(Y81:Y83)</f>
        <v>2282128.2999999989</v>
      </c>
      <c r="Z84" s="14">
        <f t="shared" ref="Z84" si="128">SUM(Z81:Z83)</f>
        <v>2278284.0999999996</v>
      </c>
      <c r="AA84" s="43"/>
      <c r="AB84" s="77">
        <f t="shared" si="106"/>
        <v>1.7901919713971188</v>
      </c>
    </row>
    <row r="85" spans="1:28" ht="12.75" customHeight="1">
      <c r="B85" s="26" t="s">
        <v>157</v>
      </c>
      <c r="C85" s="33">
        <f>SUM(C84+C74)</f>
        <v>300499.98999999993</v>
      </c>
      <c r="D85" s="33">
        <f t="shared" ref="D85:E85" si="129">SUM(D84+D74)</f>
        <v>3363.6000000000058</v>
      </c>
      <c r="E85" s="33">
        <f t="shared" si="129"/>
        <v>938287.49999999965</v>
      </c>
      <c r="F85" s="33"/>
      <c r="G85" s="33">
        <f t="shared" ref="G85" si="130">SUM(G84+G74)</f>
        <v>303831.44400000002</v>
      </c>
      <c r="H85" s="33">
        <f t="shared" ref="H85" si="131">SUM(H84+H74)</f>
        <v>307467.44999999995</v>
      </c>
      <c r="I85" s="33">
        <f t="shared" ref="I85" si="132">SUM(I84+I74)</f>
        <v>310481.45699999999</v>
      </c>
      <c r="J85" s="33">
        <f t="shared" ref="J85" si="133">SUM(J84+J74)</f>
        <v>3363.6000000000058</v>
      </c>
      <c r="K85" s="33">
        <f t="shared" ref="K85" si="134">SUM(K84+K74)</f>
        <v>274438.59999999998</v>
      </c>
      <c r="L85" s="33">
        <f t="shared" ref="L85" si="135">SUM(L84+L74)</f>
        <v>356493.80000000028</v>
      </c>
      <c r="M85" s="33">
        <f t="shared" ref="M85" si="136">SUM(M84+M74)</f>
        <v>837754.79999999958</v>
      </c>
      <c r="N85" s="33">
        <f t="shared" ref="N85" si="137">SUM(N84+N74)</f>
        <v>938287.49999999965</v>
      </c>
      <c r="O85" s="33">
        <f t="shared" ref="O85" si="138">SUM(O84+O74)</f>
        <v>918917.10000000044</v>
      </c>
      <c r="P85" s="33">
        <f t="shared" ref="P85" si="139">SUM(P84+P74)</f>
        <v>3247255.6999999988</v>
      </c>
      <c r="Q85" s="33">
        <f t="shared" ref="Q85" si="140">SUM(Q84+Q74)</f>
        <v>3265266.4999999995</v>
      </c>
      <c r="R85" s="33"/>
      <c r="S85" s="33">
        <f t="shared" ref="S85" si="141">SUM(S84+S74)</f>
        <v>-60150.799999999996</v>
      </c>
      <c r="T85" s="33">
        <f t="shared" ref="T85" si="142">SUM(T84+T74)</f>
        <v>220301.6</v>
      </c>
      <c r="U85" s="33">
        <f t="shared" ref="U85" si="143">SUM(U84+U74)</f>
        <v>353307.2000000003</v>
      </c>
      <c r="V85" s="33">
        <f t="shared" ref="V85" si="144">SUM(V84+V74)</f>
        <v>830783.1999999996</v>
      </c>
      <c r="W85" s="33">
        <f t="shared" ref="W85" si="145">SUM(W84+W74)</f>
        <v>932234.29999999958</v>
      </c>
      <c r="X85" s="33">
        <f t="shared" ref="X85" si="146">SUM(X84+X74)</f>
        <v>913535.10000000044</v>
      </c>
      <c r="Y85" s="33">
        <f t="shared" ref="Y85" si="147">SUM(Y84+Y74)</f>
        <v>3242025.6999999988</v>
      </c>
      <c r="Z85" s="33">
        <f t="shared" ref="Z85" si="148">SUM(Z84+Z74)</f>
        <v>3260291.3</v>
      </c>
      <c r="AA85" s="11"/>
      <c r="AB85" s="78">
        <f t="shared" si="89"/>
        <v>2.9243587255977266</v>
      </c>
    </row>
    <row r="86" spans="1:28" ht="5.0999999999999996" customHeight="1">
      <c r="B86" s="26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11"/>
    </row>
    <row r="87" spans="1:28" ht="12.75" customHeight="1">
      <c r="B87" s="143" t="s">
        <v>61</v>
      </c>
      <c r="C87" s="71">
        <f>ROUND(C85-C61,1)</f>
        <v>-177989.1</v>
      </c>
      <c r="D87" s="71">
        <f>ROUND(D85-D61,1)</f>
        <v>0</v>
      </c>
      <c r="E87" s="71">
        <f>ROUND(E85-E61,1)</f>
        <v>0</v>
      </c>
      <c r="F87" s="72"/>
      <c r="G87" s="71">
        <f>ROUND(G85-G61,1)</f>
        <v>-5881.2</v>
      </c>
      <c r="H87" s="71">
        <f>ROUND(H85-H61,1)</f>
        <v>-2179.6999999999998</v>
      </c>
      <c r="I87" s="71">
        <f>ROUND(I85-I61,1)</f>
        <v>1446.6</v>
      </c>
      <c r="J87" s="71">
        <f>ROUND(J85-J61,1)</f>
        <v>0</v>
      </c>
      <c r="K87" s="71">
        <f>ROUND(K85-K61,1)</f>
        <v>0</v>
      </c>
      <c r="L87" s="71">
        <f>ROUND(L85-L61,1)</f>
        <v>0</v>
      </c>
      <c r="M87" s="71">
        <f>ROUND(M85-M61,1)</f>
        <v>0</v>
      </c>
      <c r="N87" s="71">
        <f>ROUND(N85-N61,1)</f>
        <v>0</v>
      </c>
      <c r="O87" s="71">
        <f>ROUND(O85-O61,1)</f>
        <v>0</v>
      </c>
      <c r="P87" s="71">
        <f>ROUND(P85-P61,1)</f>
        <v>0</v>
      </c>
      <c r="Q87" s="71">
        <f>ROUND(Q85-Q61,1)</f>
        <v>0</v>
      </c>
      <c r="R87" s="29"/>
      <c r="S87" s="71">
        <f>ROUND(S85-S61,1)</f>
        <v>-63514.400000000001</v>
      </c>
      <c r="T87" s="71">
        <f>ROUND(T85-T61,1)</f>
        <v>-54137</v>
      </c>
      <c r="U87" s="71">
        <f>ROUND(U85-U61,1)</f>
        <v>-3186.6</v>
      </c>
      <c r="V87" s="71">
        <f>ROUND(V85-V61,1)</f>
        <v>-6971.6</v>
      </c>
      <c r="W87" s="71">
        <f>ROUND(W85-W61,1)</f>
        <v>-6053.2</v>
      </c>
      <c r="X87" s="71">
        <f>ROUND(X85-X61,1)</f>
        <v>-5382</v>
      </c>
      <c r="Y87" s="71">
        <f>ROUND(Y85-Y61,1)</f>
        <v>-5230</v>
      </c>
      <c r="Z87" s="71">
        <f>ROUND(Z85-Z61,1)</f>
        <v>-4975.2</v>
      </c>
    </row>
    <row r="88" spans="1:28" ht="5.0999999999999996" customHeight="1" thickBot="1">
      <c r="B88" s="117"/>
      <c r="C88" s="118"/>
      <c r="D88" s="118"/>
      <c r="E88" s="118"/>
      <c r="F88" s="119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20"/>
      <c r="S88" s="118"/>
      <c r="T88" s="118"/>
      <c r="U88" s="118"/>
      <c r="V88" s="118"/>
      <c r="W88" s="118"/>
      <c r="X88" s="118"/>
      <c r="Y88" s="118"/>
      <c r="Z88" s="118"/>
      <c r="AA88" s="75"/>
      <c r="AB88" s="75"/>
    </row>
    <row r="89" spans="1:28">
      <c r="B89" s="70"/>
      <c r="C89" s="25"/>
      <c r="D89" s="25"/>
      <c r="E89" s="25"/>
      <c r="F89" s="55"/>
    </row>
    <row r="90" spans="1:28" ht="12.75" customHeight="1">
      <c r="A90" s="5" t="s">
        <v>17</v>
      </c>
      <c r="B90" s="99" t="s">
        <v>14</v>
      </c>
      <c r="C90" s="103"/>
      <c r="D90" s="103"/>
      <c r="E90" s="103"/>
      <c r="F90" s="104"/>
      <c r="G90" s="103"/>
      <c r="H90" s="103"/>
      <c r="I90" s="103"/>
      <c r="J90" s="103"/>
      <c r="K90" s="103"/>
      <c r="L90" s="103"/>
      <c r="M90" s="103"/>
      <c r="N90" s="103"/>
      <c r="O90" s="103"/>
      <c r="P90" s="103"/>
      <c r="Q90" s="103"/>
      <c r="R90" s="99"/>
      <c r="S90" s="103"/>
      <c r="T90" s="103"/>
      <c r="U90" s="103" t="s">
        <v>10</v>
      </c>
      <c r="V90" s="103"/>
      <c r="W90" s="103"/>
      <c r="X90" s="103"/>
      <c r="Y90" s="103"/>
      <c r="Z90" s="103"/>
      <c r="AA90" s="104"/>
      <c r="AB90" s="152" t="s">
        <v>23</v>
      </c>
    </row>
    <row r="91" spans="1:28" ht="12.75" customHeight="1">
      <c r="B91" s="100" t="str">
        <f>B7</f>
        <v>Fiscal Period</v>
      </c>
      <c r="C91" s="105">
        <f>C7</f>
        <v>2022</v>
      </c>
      <c r="D91" s="105">
        <f>D7</f>
        <v>2023</v>
      </c>
      <c r="E91" s="105">
        <f>E7</f>
        <v>2024</v>
      </c>
      <c r="F91" s="104"/>
      <c r="G91" s="105" t="str">
        <f>G7</f>
        <v>1Q23</v>
      </c>
      <c r="H91" s="105" t="str">
        <f>H7</f>
        <v>2Q23</v>
      </c>
      <c r="I91" s="105" t="str">
        <f>I7</f>
        <v>3Q23</v>
      </c>
      <c r="J91" s="105" t="str">
        <f>J7</f>
        <v>4Q23</v>
      </c>
      <c r="K91" s="105" t="str">
        <f>K7</f>
        <v>1Q24</v>
      </c>
      <c r="L91" s="105" t="str">
        <f>L7</f>
        <v>2Q24</v>
      </c>
      <c r="M91" s="105" t="str">
        <f>M7</f>
        <v>3Q24</v>
      </c>
      <c r="N91" s="105" t="str">
        <f>N7</f>
        <v>4Q24</v>
      </c>
      <c r="O91" s="105" t="str">
        <f>O7</f>
        <v>1Q25</v>
      </c>
      <c r="P91" s="105" t="str">
        <f>P7</f>
        <v>2Q25</v>
      </c>
      <c r="Q91" s="105" t="str">
        <f>Q7</f>
        <v>3Q25</v>
      </c>
      <c r="R91" s="105"/>
      <c r="S91" s="105" t="str">
        <f>S7</f>
        <v>4Q23</v>
      </c>
      <c r="T91" s="105" t="str">
        <f>T7</f>
        <v>1Q24</v>
      </c>
      <c r="U91" s="105" t="str">
        <f>U7</f>
        <v>2Q24</v>
      </c>
      <c r="V91" s="105" t="str">
        <f>V7</f>
        <v>3Q24</v>
      </c>
      <c r="W91" s="105" t="str">
        <f>W7</f>
        <v>4Q24</v>
      </c>
      <c r="X91" s="105" t="str">
        <f>X7</f>
        <v>1Q25</v>
      </c>
      <c r="Y91" s="105" t="str">
        <f>Y7</f>
        <v>2Q25</v>
      </c>
      <c r="Z91" s="105" t="str">
        <f>Z7</f>
        <v>3Q25</v>
      </c>
      <c r="AA91" s="104"/>
      <c r="AB91" s="152"/>
    </row>
    <row r="92" spans="1:28" ht="12.75" customHeight="1">
      <c r="B92" s="100" t="str">
        <f>B8</f>
        <v>Fiscal Period End Date</v>
      </c>
      <c r="C92" s="106">
        <f>C8</f>
        <v>44926</v>
      </c>
      <c r="D92" s="106">
        <f>D8</f>
        <v>45291</v>
      </c>
      <c r="E92" s="106">
        <f>E8</f>
        <v>45657</v>
      </c>
      <c r="F92" s="104"/>
      <c r="G92" s="106">
        <f>G8</f>
        <v>45016</v>
      </c>
      <c r="H92" s="106">
        <f>H8</f>
        <v>45107</v>
      </c>
      <c r="I92" s="106">
        <f>I8</f>
        <v>45199</v>
      </c>
      <c r="J92" s="106">
        <f>J8</f>
        <v>45291</v>
      </c>
      <c r="K92" s="106">
        <f>K8</f>
        <v>45382</v>
      </c>
      <c r="L92" s="106">
        <f>L8</f>
        <v>45473</v>
      </c>
      <c r="M92" s="106">
        <f>M8</f>
        <v>45565</v>
      </c>
      <c r="N92" s="106">
        <f>N8</f>
        <v>45657</v>
      </c>
      <c r="O92" s="106">
        <f>O8</f>
        <v>45747</v>
      </c>
      <c r="P92" s="106">
        <f>P8</f>
        <v>45838</v>
      </c>
      <c r="Q92" s="106">
        <f>Q8</f>
        <v>45930</v>
      </c>
      <c r="R92" s="106"/>
      <c r="S92" s="106">
        <f>S8</f>
        <v>45291</v>
      </c>
      <c r="T92" s="106">
        <f>T8</f>
        <v>45382</v>
      </c>
      <c r="U92" s="106">
        <f>U8</f>
        <v>45473</v>
      </c>
      <c r="V92" s="106">
        <f>V8</f>
        <v>45565</v>
      </c>
      <c r="W92" s="106">
        <f>W8</f>
        <v>45657</v>
      </c>
      <c r="X92" s="106">
        <f>X8</f>
        <v>45747</v>
      </c>
      <c r="Y92" s="106">
        <f>Y8</f>
        <v>45838</v>
      </c>
      <c r="Z92" s="106">
        <f>Z8</f>
        <v>45930</v>
      </c>
      <c r="AA92" s="104"/>
      <c r="AB92" s="152"/>
    </row>
    <row r="93" spans="1:28" ht="5.0999999999999996" customHeight="1">
      <c r="B93" s="56"/>
      <c r="C93" s="49"/>
      <c r="D93" s="49"/>
      <c r="E93" s="49"/>
    </row>
    <row r="94" spans="1:28" ht="12.75" customHeight="1">
      <c r="B94" s="57" t="s">
        <v>52</v>
      </c>
      <c r="C94" s="58"/>
      <c r="D94" s="58"/>
      <c r="E94" s="58"/>
    </row>
    <row r="95" spans="1:28" ht="12.75" customHeight="1">
      <c r="B95" s="59" t="s">
        <v>53</v>
      </c>
      <c r="C95" s="33">
        <f>C32</f>
        <v>50523.7</v>
      </c>
      <c r="D95" s="33">
        <f>D32</f>
        <v>-58189.19999999999</v>
      </c>
      <c r="E95" s="33">
        <f>E32</f>
        <v>-400864.8</v>
      </c>
      <c r="F95" s="33"/>
      <c r="G95" s="33">
        <f>G32</f>
        <v>-210.30000000000064</v>
      </c>
      <c r="H95" s="33">
        <f>H32</f>
        <v>-22768.100000000002</v>
      </c>
      <c r="I95" s="33">
        <f>I32</f>
        <v>-26033.1</v>
      </c>
      <c r="J95" s="33">
        <f>J32</f>
        <v>-9177.7000000000007</v>
      </c>
      <c r="K95" s="33">
        <f>K32</f>
        <v>-327599.69999999995</v>
      </c>
      <c r="L95" s="33">
        <f>L32</f>
        <v>-16683.599999999999</v>
      </c>
      <c r="M95" s="33">
        <f>M32</f>
        <v>-19248.400000000001</v>
      </c>
      <c r="N95" s="33">
        <f>N32</f>
        <v>-37333.100000000013</v>
      </c>
      <c r="O95" s="33">
        <f>O32</f>
        <v>-31726.6</v>
      </c>
      <c r="P95" s="33">
        <f>P32</f>
        <v>-20001.899999999998</v>
      </c>
      <c r="Q95" s="33">
        <f>Q32</f>
        <v>-54848.5</v>
      </c>
      <c r="S95" s="33">
        <f>SUM(G95:J95)</f>
        <v>-58189.2</v>
      </c>
      <c r="T95" s="33">
        <f>SUM(H95:K95)</f>
        <v>-385578.6</v>
      </c>
      <c r="U95" s="33">
        <f>SUM(I95:L95)</f>
        <v>-379494.09999999992</v>
      </c>
      <c r="V95" s="33">
        <f>SUM(J95:M95)</f>
        <v>-372709.39999999997</v>
      </c>
      <c r="W95" s="33">
        <f>SUM(K95:N95)</f>
        <v>-400864.8</v>
      </c>
      <c r="X95" s="33">
        <f>SUM(L95:O95)</f>
        <v>-104991.70000000001</v>
      </c>
      <c r="Y95" s="33">
        <f>SUM(M95:P95)</f>
        <v>-108310</v>
      </c>
      <c r="Z95" s="33">
        <f>SUM(N95:Q95)</f>
        <v>-143910.1</v>
      </c>
      <c r="AA95" s="11"/>
      <c r="AB95" s="77">
        <f>SUM(Z95/V95)-1</f>
        <v>-0.61388121684078789</v>
      </c>
    </row>
    <row r="96" spans="1:28" ht="5.0999999999999996" customHeight="1"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S96" s="33"/>
      <c r="T96" s="33"/>
      <c r="U96" s="33"/>
      <c r="V96" s="33"/>
      <c r="W96" s="33"/>
      <c r="X96" s="33"/>
      <c r="Y96" s="33"/>
      <c r="Z96" s="33"/>
      <c r="AA96" s="11"/>
      <c r="AB96" s="77"/>
    </row>
    <row r="97" spans="2:28" ht="12.75" customHeight="1">
      <c r="B97" s="37" t="s">
        <v>60</v>
      </c>
      <c r="C97" s="33"/>
      <c r="D97" s="33"/>
      <c r="E97" s="33"/>
      <c r="F97" s="33"/>
      <c r="G97" s="82"/>
      <c r="H97" s="82"/>
      <c r="I97" s="82"/>
      <c r="J97" s="33"/>
      <c r="K97" s="82"/>
      <c r="L97" s="82"/>
      <c r="M97" s="82"/>
      <c r="N97" s="33"/>
      <c r="O97" s="82"/>
      <c r="P97" s="82"/>
      <c r="Q97" s="82"/>
      <c r="S97" s="33"/>
      <c r="T97" s="33"/>
      <c r="U97" s="33"/>
      <c r="V97" s="33"/>
      <c r="W97" s="33"/>
      <c r="X97" s="33"/>
      <c r="Y97" s="33"/>
      <c r="Z97" s="33"/>
      <c r="AA97" s="61"/>
      <c r="AB97" s="77"/>
    </row>
    <row r="98" spans="2:28" ht="12.75" customHeight="1">
      <c r="B98" s="62" t="s">
        <v>166</v>
      </c>
      <c r="C98" s="82">
        <v>2038.7</v>
      </c>
      <c r="D98" s="82">
        <v>39429.1</v>
      </c>
      <c r="E98" s="82">
        <v>2963.3</v>
      </c>
      <c r="F98" s="33"/>
      <c r="G98" s="82">
        <v>2024.3</v>
      </c>
      <c r="H98" s="82">
        <f>22630.6-G98</f>
        <v>20606.3</v>
      </c>
      <c r="I98" s="82">
        <v>37702.5</v>
      </c>
      <c r="J98" s="33">
        <f t="shared" ref="J98:J104" si="149">SUM(D98-SUM(G98:I98))</f>
        <v>-20904</v>
      </c>
      <c r="K98" s="82">
        <v>2817.6</v>
      </c>
      <c r="L98" s="82">
        <v>2659.8</v>
      </c>
      <c r="M98" s="82">
        <v>2780.1</v>
      </c>
      <c r="N98" s="33">
        <f t="shared" ref="N98:N104" si="150">SUM(E98-SUM(K98:M98))</f>
        <v>-5294.2</v>
      </c>
      <c r="O98" s="82"/>
      <c r="P98" s="82"/>
      <c r="Q98" s="82"/>
      <c r="S98" s="33">
        <f>SUM(G98:J98)</f>
        <v>39429.1</v>
      </c>
      <c r="T98" s="33">
        <f>SUM(H98:K98)</f>
        <v>40222.400000000001</v>
      </c>
      <c r="U98" s="33">
        <f>SUM(I98:L98)</f>
        <v>22275.899999999998</v>
      </c>
      <c r="V98" s="33">
        <f>SUM(J98:M98)</f>
        <v>-12646.500000000002</v>
      </c>
      <c r="W98" s="33">
        <f>SUM(K98:N98)</f>
        <v>2963.3</v>
      </c>
      <c r="X98" s="33">
        <f>SUM(L98:O98)</f>
        <v>145.69999999999982</v>
      </c>
      <c r="Y98" s="33">
        <f>SUM(M98:P98)</f>
        <v>-2514.1</v>
      </c>
      <c r="Z98" s="33">
        <f>SUM(N98:Q98)</f>
        <v>-5294.2</v>
      </c>
      <c r="AA98" s="11"/>
      <c r="AB98" s="77">
        <f t="shared" ref="AB98:AB113" si="151">SUM(Z98/V98)-1</f>
        <v>-0.58137033961965767</v>
      </c>
    </row>
    <row r="99" spans="2:28" ht="12.75" customHeight="1">
      <c r="B99" s="62" t="s">
        <v>167</v>
      </c>
      <c r="C99" s="82">
        <v>-75809.899999999994</v>
      </c>
      <c r="D99" s="82">
        <v>2791.6</v>
      </c>
      <c r="E99" s="82">
        <v>225916</v>
      </c>
      <c r="F99" s="33"/>
      <c r="G99" s="82">
        <v>-5659.9</v>
      </c>
      <c r="H99" s="82">
        <f>-7271.1-G99</f>
        <v>-1611.2000000000007</v>
      </c>
      <c r="I99" s="82">
        <v>660.2</v>
      </c>
      <c r="J99" s="33">
        <f t="shared" si="149"/>
        <v>9402.5</v>
      </c>
      <c r="K99" s="82">
        <v>225916</v>
      </c>
      <c r="L99" s="82">
        <v>225916</v>
      </c>
      <c r="M99" s="82">
        <v>225916</v>
      </c>
      <c r="N99" s="33">
        <f t="shared" si="150"/>
        <v>-451832</v>
      </c>
      <c r="O99" s="82"/>
      <c r="P99" s="82"/>
      <c r="Q99" s="82"/>
      <c r="S99" s="33">
        <f>SUM(G99:J99)</f>
        <v>2791.5999999999995</v>
      </c>
      <c r="T99" s="33">
        <f>SUM(H99:K99)</f>
        <v>234367.5</v>
      </c>
      <c r="U99" s="33">
        <f>SUM(I99:L99)</f>
        <v>461894.7</v>
      </c>
      <c r="V99" s="33">
        <f>SUM(J99:M99)</f>
        <v>687150.5</v>
      </c>
      <c r="W99" s="33">
        <f>SUM(K99:N99)</f>
        <v>225916</v>
      </c>
      <c r="X99" s="33">
        <f>SUM(L99:O99)</f>
        <v>0</v>
      </c>
      <c r="Y99" s="33">
        <f>SUM(M99:P99)</f>
        <v>-225916</v>
      </c>
      <c r="Z99" s="33">
        <f>SUM(N99:Q99)</f>
        <v>-451832</v>
      </c>
      <c r="AA99" s="11"/>
      <c r="AB99" s="77">
        <f t="shared" si="151"/>
        <v>-1.6575444535076378</v>
      </c>
    </row>
    <row r="100" spans="2:28" ht="12.75" customHeight="1">
      <c r="B100" s="62" t="s">
        <v>132</v>
      </c>
      <c r="C100" s="82">
        <v>59.1</v>
      </c>
      <c r="D100" s="82">
        <v>60.4</v>
      </c>
      <c r="E100" s="82">
        <v>2933.9</v>
      </c>
      <c r="F100" s="33"/>
      <c r="G100" s="82">
        <v>16.5</v>
      </c>
      <c r="H100" s="82">
        <f>33.3-G100</f>
        <v>16.799999999999997</v>
      </c>
      <c r="I100" s="82">
        <v>48.3</v>
      </c>
      <c r="J100" s="33">
        <f t="shared" si="149"/>
        <v>-21.199999999999996</v>
      </c>
      <c r="K100" s="82">
        <v>5.6</v>
      </c>
      <c r="L100" s="82">
        <v>9.3000000000000007</v>
      </c>
      <c r="M100" s="82">
        <v>771.5</v>
      </c>
      <c r="N100" s="33">
        <f t="shared" si="150"/>
        <v>2147.5</v>
      </c>
      <c r="O100" s="82"/>
      <c r="P100" s="82"/>
      <c r="Q100" s="82"/>
      <c r="S100" s="33">
        <f>SUM(G100:J100)</f>
        <v>60.4</v>
      </c>
      <c r="T100" s="33">
        <f>SUM(H100:K100)</f>
        <v>49.5</v>
      </c>
      <c r="U100" s="33">
        <f>SUM(I100:L100)</f>
        <v>42</v>
      </c>
      <c r="V100" s="33">
        <f>SUM(J100:M100)</f>
        <v>765.2</v>
      </c>
      <c r="W100" s="33">
        <f>SUM(K100:N100)</f>
        <v>2933.9</v>
      </c>
      <c r="X100" s="33">
        <f>SUM(L100:O100)</f>
        <v>2928.3</v>
      </c>
      <c r="Y100" s="33">
        <f>SUM(M100:P100)</f>
        <v>2919</v>
      </c>
      <c r="Z100" s="33">
        <f>SUM(N100:Q100)</f>
        <v>2147.5</v>
      </c>
      <c r="AA100" s="11"/>
      <c r="AB100" s="77">
        <f t="shared" si="151"/>
        <v>1.8064558285415577</v>
      </c>
    </row>
    <row r="101" spans="2:28" ht="12.75" customHeight="1">
      <c r="B101" s="62" t="s">
        <v>168</v>
      </c>
      <c r="C101" s="82">
        <v>0</v>
      </c>
      <c r="D101" s="82">
        <v>0</v>
      </c>
      <c r="E101" s="82">
        <v>542.29999999999995</v>
      </c>
      <c r="F101" s="33"/>
      <c r="G101" s="82">
        <v>0</v>
      </c>
      <c r="H101" s="82">
        <v>0</v>
      </c>
      <c r="I101" s="82">
        <v>0</v>
      </c>
      <c r="J101" s="33">
        <f t="shared" si="149"/>
        <v>0</v>
      </c>
      <c r="K101" s="82">
        <v>542.29999999999995</v>
      </c>
      <c r="L101" s="82">
        <v>542.29999999999995</v>
      </c>
      <c r="M101" s="82">
        <v>542.29999999999995</v>
      </c>
      <c r="N101" s="33">
        <f t="shared" si="150"/>
        <v>-1084.5999999999999</v>
      </c>
      <c r="O101" s="82"/>
      <c r="P101" s="82"/>
      <c r="Q101" s="82"/>
      <c r="S101" s="33">
        <f>SUM(G101:J101)</f>
        <v>0</v>
      </c>
      <c r="T101" s="33">
        <f>SUM(H101:K101)</f>
        <v>542.29999999999995</v>
      </c>
      <c r="U101" s="33">
        <f>SUM(I101:L101)</f>
        <v>1084.5999999999999</v>
      </c>
      <c r="V101" s="33">
        <f>SUM(J101:M101)</f>
        <v>1626.8999999999999</v>
      </c>
      <c r="W101" s="33">
        <f>SUM(K101:N101)</f>
        <v>542.29999999999995</v>
      </c>
      <c r="X101" s="33">
        <f>SUM(L101:O101)</f>
        <v>0</v>
      </c>
      <c r="Y101" s="33">
        <f>SUM(M101:P101)</f>
        <v>-542.29999999999995</v>
      </c>
      <c r="Z101" s="33">
        <f>SUM(N101:Q101)</f>
        <v>-1084.5999999999999</v>
      </c>
      <c r="AA101" s="11"/>
      <c r="AB101" s="77">
        <f t="shared" si="151"/>
        <v>-1.6666666666666665</v>
      </c>
    </row>
    <row r="102" spans="2:28" ht="12.75" customHeight="1">
      <c r="B102" s="62" t="s">
        <v>169</v>
      </c>
      <c r="C102" s="82">
        <v>0</v>
      </c>
      <c r="D102" s="82">
        <v>0</v>
      </c>
      <c r="E102" s="82">
        <v>107387.1</v>
      </c>
      <c r="F102" s="33"/>
      <c r="G102" s="82">
        <v>0</v>
      </c>
      <c r="H102" s="82">
        <v>0</v>
      </c>
      <c r="I102" s="82">
        <v>0</v>
      </c>
      <c r="J102" s="33">
        <f t="shared" si="149"/>
        <v>0</v>
      </c>
      <c r="K102" s="82">
        <v>84588</v>
      </c>
      <c r="L102" s="82">
        <v>84588</v>
      </c>
      <c r="M102" s="82">
        <v>84633.7</v>
      </c>
      <c r="N102" s="33">
        <f t="shared" si="150"/>
        <v>-146422.6</v>
      </c>
      <c r="O102" s="82"/>
      <c r="P102" s="82"/>
      <c r="Q102" s="82"/>
      <c r="S102" s="33">
        <f>SUM(G102:J102)</f>
        <v>0</v>
      </c>
      <c r="T102" s="33">
        <f>SUM(H102:K102)</f>
        <v>84588</v>
      </c>
      <c r="U102" s="33">
        <f>SUM(I102:L102)</f>
        <v>169176</v>
      </c>
      <c r="V102" s="33">
        <f>SUM(J102:M102)</f>
        <v>253809.7</v>
      </c>
      <c r="W102" s="33">
        <f>SUM(K102:N102)</f>
        <v>107387.1</v>
      </c>
      <c r="X102" s="33">
        <f>SUM(L102:O102)</f>
        <v>22799.100000000006</v>
      </c>
      <c r="Y102" s="33">
        <f>SUM(M102:P102)</f>
        <v>-61788.900000000009</v>
      </c>
      <c r="Z102" s="33">
        <f>SUM(N102:Q102)</f>
        <v>-146422.6</v>
      </c>
      <c r="AA102" s="11"/>
      <c r="AB102" s="77">
        <f t="shared" si="151"/>
        <v>-1.576899149244493</v>
      </c>
    </row>
    <row r="103" spans="2:28" ht="12.75" customHeight="1">
      <c r="B103" s="62" t="s">
        <v>165</v>
      </c>
      <c r="C103" s="82">
        <v>0</v>
      </c>
      <c r="D103" s="82">
        <v>0</v>
      </c>
      <c r="E103" s="82">
        <v>0</v>
      </c>
      <c r="F103" s="33"/>
      <c r="G103" s="82">
        <v>0</v>
      </c>
      <c r="H103" s="82">
        <v>0</v>
      </c>
      <c r="I103" s="82">
        <v>0</v>
      </c>
      <c r="J103" s="33">
        <f t="shared" si="149"/>
        <v>0</v>
      </c>
      <c r="K103" s="82"/>
      <c r="L103" s="82"/>
      <c r="M103" s="82">
        <v>0</v>
      </c>
      <c r="N103" s="33">
        <f t="shared" si="150"/>
        <v>0</v>
      </c>
      <c r="O103" s="82"/>
      <c r="P103" s="82"/>
      <c r="Q103" s="82"/>
      <c r="S103" s="33">
        <f>SUM(G103:J103)</f>
        <v>0</v>
      </c>
      <c r="T103" s="33">
        <f>SUM(H103:K103)</f>
        <v>0</v>
      </c>
      <c r="U103" s="33">
        <f>SUM(I103:L103)</f>
        <v>0</v>
      </c>
      <c r="V103" s="33">
        <f>SUM(J103:M103)</f>
        <v>0</v>
      </c>
      <c r="W103" s="33">
        <f>SUM(K103:N103)</f>
        <v>0</v>
      </c>
      <c r="X103" s="33">
        <f>SUM(L103:O103)</f>
        <v>0</v>
      </c>
      <c r="Y103" s="33">
        <f>SUM(M103:P103)</f>
        <v>0</v>
      </c>
      <c r="Z103" s="33">
        <f>SUM(N103:Q103)</f>
        <v>0</v>
      </c>
      <c r="AA103" s="11"/>
      <c r="AB103" s="77" t="e">
        <f t="shared" si="151"/>
        <v>#DIV/0!</v>
      </c>
    </row>
    <row r="104" spans="2:28" ht="12.75" customHeight="1">
      <c r="B104" s="62" t="s">
        <v>170</v>
      </c>
      <c r="C104" s="82">
        <v>0</v>
      </c>
      <c r="D104" s="82">
        <v>0</v>
      </c>
      <c r="E104" s="82">
        <v>0</v>
      </c>
      <c r="F104" s="33"/>
      <c r="G104" s="82">
        <v>0</v>
      </c>
      <c r="H104" s="82">
        <v>0</v>
      </c>
      <c r="I104" s="82">
        <v>0</v>
      </c>
      <c r="J104" s="33">
        <f t="shared" si="149"/>
        <v>0</v>
      </c>
      <c r="K104" s="82"/>
      <c r="L104" s="82"/>
      <c r="M104" s="82">
        <v>0</v>
      </c>
      <c r="N104" s="33">
        <f t="shared" si="150"/>
        <v>0</v>
      </c>
      <c r="O104" s="82"/>
      <c r="P104" s="82"/>
      <c r="Q104" s="82"/>
      <c r="S104" s="33">
        <f>SUM(G104:J104)</f>
        <v>0</v>
      </c>
      <c r="T104" s="33">
        <f>SUM(H104:K104)</f>
        <v>0</v>
      </c>
      <c r="U104" s="33">
        <f>SUM(I104:L104)</f>
        <v>0</v>
      </c>
      <c r="V104" s="33">
        <f>SUM(J104:M104)</f>
        <v>0</v>
      </c>
      <c r="W104" s="33">
        <f>SUM(K104:N104)</f>
        <v>0</v>
      </c>
      <c r="X104" s="33">
        <f>SUM(L104:O104)</f>
        <v>0</v>
      </c>
      <c r="Y104" s="33">
        <f>SUM(M104:P104)</f>
        <v>0</v>
      </c>
      <c r="Z104" s="33">
        <f>SUM(N104:Q104)</f>
        <v>0</v>
      </c>
      <c r="AA104" s="11"/>
      <c r="AB104" s="77" t="e">
        <f t="shared" si="151"/>
        <v>#DIV/0!</v>
      </c>
    </row>
    <row r="105" spans="2:28" ht="12.75" customHeight="1">
      <c r="B105" s="62" t="s">
        <v>171</v>
      </c>
      <c r="C105" s="82">
        <v>86.8</v>
      </c>
      <c r="D105" s="82">
        <v>153.80000000000001</v>
      </c>
      <c r="E105" s="82">
        <v>418.9</v>
      </c>
      <c r="F105" s="33"/>
      <c r="G105" s="82">
        <v>1.8</v>
      </c>
      <c r="H105" s="82">
        <f>3.2-G105</f>
        <v>1.4000000000000001</v>
      </c>
      <c r="I105" s="82">
        <v>3.8</v>
      </c>
      <c r="J105" s="33">
        <f t="shared" ref="J105:J106" si="152">SUM(D105-SUM(G105:I105))</f>
        <v>146.80000000000001</v>
      </c>
      <c r="K105" s="82">
        <v>0.4</v>
      </c>
      <c r="L105" s="82">
        <v>-7.9</v>
      </c>
      <c r="M105" s="82">
        <v>201.2</v>
      </c>
      <c r="N105" s="33">
        <f t="shared" ref="N105:N106" si="153">SUM(E105-SUM(K105:M105))</f>
        <v>225.2</v>
      </c>
      <c r="O105" s="82"/>
      <c r="P105" s="82"/>
      <c r="Q105" s="82"/>
      <c r="S105" s="33"/>
      <c r="T105" s="33"/>
      <c r="U105" s="33"/>
      <c r="V105" s="33">
        <f>SUM(J105:M105)</f>
        <v>340.5</v>
      </c>
      <c r="W105" s="33">
        <f>SUM(K105:N105)</f>
        <v>418.9</v>
      </c>
      <c r="X105" s="33">
        <f>SUM(L105:O105)</f>
        <v>418.5</v>
      </c>
      <c r="Y105" s="33">
        <f>SUM(M105:P105)</f>
        <v>426.4</v>
      </c>
      <c r="Z105" s="33"/>
      <c r="AA105" s="11"/>
      <c r="AB105" s="77"/>
    </row>
    <row r="106" spans="2:28" ht="12.75" customHeight="1">
      <c r="B106" s="62" t="s">
        <v>172</v>
      </c>
      <c r="C106" s="82">
        <v>0</v>
      </c>
      <c r="D106" s="82">
        <v>0</v>
      </c>
      <c r="E106" s="82">
        <v>0</v>
      </c>
      <c r="F106" s="33"/>
      <c r="G106" s="82">
        <v>0</v>
      </c>
      <c r="H106" s="82">
        <v>0</v>
      </c>
      <c r="I106" s="82">
        <v>0</v>
      </c>
      <c r="J106" s="33">
        <f t="shared" si="152"/>
        <v>0</v>
      </c>
      <c r="K106" s="82"/>
      <c r="L106" s="82"/>
      <c r="M106" s="82">
        <v>0</v>
      </c>
      <c r="N106" s="33">
        <f t="shared" si="153"/>
        <v>0</v>
      </c>
      <c r="O106" s="82"/>
      <c r="P106" s="82"/>
      <c r="Q106" s="82"/>
      <c r="S106" s="33"/>
      <c r="T106" s="33"/>
      <c r="U106" s="33"/>
      <c r="V106" s="33">
        <f>SUM(J106:M106)</f>
        <v>0</v>
      </c>
      <c r="W106" s="33">
        <f>SUM(K106:N106)</f>
        <v>0</v>
      </c>
      <c r="X106" s="33">
        <f>SUM(L106:O106)</f>
        <v>0</v>
      </c>
      <c r="Y106" s="33">
        <f>SUM(M106:P106)</f>
        <v>0</v>
      </c>
      <c r="Z106" s="33"/>
      <c r="AA106" s="11"/>
      <c r="AB106" s="77"/>
    </row>
    <row r="107" spans="2:28" ht="12.75" customHeight="1">
      <c r="B107" s="37" t="s">
        <v>13</v>
      </c>
      <c r="C107" s="82"/>
      <c r="D107" s="82"/>
      <c r="E107" s="82"/>
      <c r="F107" s="33"/>
      <c r="G107" s="82"/>
      <c r="H107" s="82"/>
      <c r="I107" s="82"/>
      <c r="J107" s="33"/>
      <c r="K107" s="82"/>
      <c r="L107" s="82"/>
      <c r="M107" s="82"/>
      <c r="N107" s="33"/>
      <c r="O107" s="82"/>
      <c r="P107" s="82"/>
      <c r="Q107" s="82"/>
      <c r="S107" s="33"/>
      <c r="T107" s="33"/>
      <c r="U107" s="33"/>
      <c r="V107" s="33"/>
      <c r="W107" s="33"/>
      <c r="X107" s="33"/>
      <c r="Y107" s="33"/>
      <c r="Z107" s="33"/>
      <c r="AA107" s="61"/>
      <c r="AB107" s="77"/>
    </row>
    <row r="108" spans="2:28" ht="12.75" customHeight="1">
      <c r="B108" s="62" t="s">
        <v>183</v>
      </c>
      <c r="C108" s="82">
        <v>-72.099999999999994</v>
      </c>
      <c r="D108" s="82">
        <v>0</v>
      </c>
      <c r="E108" s="82">
        <v>0</v>
      </c>
      <c r="F108" s="33"/>
      <c r="G108" s="82">
        <v>0</v>
      </c>
      <c r="H108" s="82">
        <f>3.2-G108</f>
        <v>3.2</v>
      </c>
      <c r="I108" s="82">
        <v>0</v>
      </c>
      <c r="J108" s="33">
        <f t="shared" ref="J108:J112" si="154">SUM(D108-SUM(G108:I108))</f>
        <v>-3.2</v>
      </c>
      <c r="K108" s="82">
        <v>0</v>
      </c>
      <c r="L108" s="82">
        <v>0</v>
      </c>
      <c r="M108" s="82">
        <v>0</v>
      </c>
      <c r="N108" s="33">
        <f t="shared" ref="N108:N112" si="155">SUM(E108-SUM(K108:M108))</f>
        <v>0</v>
      </c>
      <c r="O108" s="82">
        <v>0</v>
      </c>
      <c r="P108" s="82">
        <v>0</v>
      </c>
      <c r="Q108" s="82"/>
      <c r="S108" s="33">
        <f>SUM(G108:J108)</f>
        <v>0</v>
      </c>
      <c r="T108" s="33">
        <f>SUM(H108:K108)</f>
        <v>0</v>
      </c>
      <c r="U108" s="33">
        <f>SUM(I108:L108)</f>
        <v>-3.2</v>
      </c>
      <c r="V108" s="33">
        <f>SUM(J108:M108)</f>
        <v>-3.2</v>
      </c>
      <c r="W108" s="33">
        <f>SUM(K108:N108)</f>
        <v>0</v>
      </c>
      <c r="X108" s="33">
        <f>SUM(L108:O108)</f>
        <v>0</v>
      </c>
      <c r="Y108" s="33">
        <f>SUM(M108:P108)</f>
        <v>0</v>
      </c>
      <c r="Z108" s="33">
        <f>SUM(N108:Q108)</f>
        <v>0</v>
      </c>
      <c r="AA108" s="61"/>
      <c r="AB108" s="77">
        <f t="shared" si="151"/>
        <v>-1</v>
      </c>
    </row>
    <row r="109" spans="2:28" ht="12.75" customHeight="1">
      <c r="B109" s="62" t="s">
        <v>133</v>
      </c>
      <c r="C109" s="82">
        <v>105.2</v>
      </c>
      <c r="D109" s="82">
        <v>-1.6</v>
      </c>
      <c r="E109" s="82">
        <v>-2273.4</v>
      </c>
      <c r="F109" s="33"/>
      <c r="G109" s="82">
        <v>0</v>
      </c>
      <c r="H109" s="82">
        <f>6-G109</f>
        <v>6</v>
      </c>
      <c r="I109" s="82">
        <v>-1.6</v>
      </c>
      <c r="J109" s="33">
        <f t="shared" si="154"/>
        <v>-6</v>
      </c>
      <c r="K109" s="82">
        <v>2.8</v>
      </c>
      <c r="L109" s="82">
        <v>-5269.1</v>
      </c>
      <c r="M109" s="82">
        <v>-3751.4</v>
      </c>
      <c r="N109" s="33">
        <f t="shared" si="155"/>
        <v>6744.3000000000011</v>
      </c>
      <c r="O109" s="82"/>
      <c r="P109" s="82"/>
      <c r="Q109" s="82"/>
      <c r="S109" s="33"/>
      <c r="T109" s="33"/>
      <c r="U109" s="33"/>
      <c r="V109" s="33"/>
      <c r="W109" s="33"/>
      <c r="X109" s="33"/>
      <c r="Y109" s="33"/>
      <c r="Z109" s="33"/>
      <c r="AA109" s="61"/>
      <c r="AB109" s="77"/>
    </row>
    <row r="110" spans="2:28" ht="12.75" customHeight="1">
      <c r="B110" s="62" t="s">
        <v>173</v>
      </c>
      <c r="C110" s="82">
        <v>-507.8</v>
      </c>
      <c r="D110" s="82">
        <v>426.9</v>
      </c>
      <c r="E110" s="82">
        <v>63.6</v>
      </c>
      <c r="F110" s="33"/>
      <c r="G110" s="82">
        <v>13.2</v>
      </c>
      <c r="H110" s="82">
        <f>94.5-G110</f>
        <v>81.3</v>
      </c>
      <c r="I110" s="82">
        <v>197.2</v>
      </c>
      <c r="J110" s="33">
        <f t="shared" si="154"/>
        <v>135.19999999999999</v>
      </c>
      <c r="K110" s="82">
        <v>33.799999999999997</v>
      </c>
      <c r="L110" s="82">
        <v>63.4</v>
      </c>
      <c r="M110" s="82">
        <v>66.099999999999994</v>
      </c>
      <c r="N110" s="33">
        <f t="shared" si="155"/>
        <v>-99.699999999999989</v>
      </c>
      <c r="O110" s="82"/>
      <c r="P110" s="82"/>
      <c r="Q110" s="82"/>
      <c r="S110" s="33"/>
      <c r="T110" s="33"/>
      <c r="U110" s="33"/>
      <c r="V110" s="33"/>
      <c r="W110" s="33"/>
      <c r="X110" s="33"/>
      <c r="Y110" s="33"/>
      <c r="Z110" s="33"/>
      <c r="AA110" s="61"/>
      <c r="AB110" s="77"/>
    </row>
    <row r="111" spans="2:28" ht="12.75" customHeight="1">
      <c r="B111" s="62" t="s">
        <v>142</v>
      </c>
      <c r="C111" s="82">
        <v>0</v>
      </c>
      <c r="D111" s="82">
        <v>4413.1000000000004</v>
      </c>
      <c r="E111" s="82">
        <v>-3402.4</v>
      </c>
      <c r="F111" s="33"/>
      <c r="G111" s="82">
        <v>0</v>
      </c>
      <c r="H111" s="82">
        <v>0</v>
      </c>
      <c r="I111" s="82">
        <v>0</v>
      </c>
      <c r="J111" s="33">
        <f t="shared" si="154"/>
        <v>4413.1000000000004</v>
      </c>
      <c r="K111" s="82">
        <v>-695.9</v>
      </c>
      <c r="L111" s="82">
        <v>-1488.5</v>
      </c>
      <c r="M111" s="82">
        <v>-2453.5</v>
      </c>
      <c r="N111" s="33">
        <f t="shared" si="155"/>
        <v>1235.4999999999995</v>
      </c>
      <c r="O111" s="82"/>
      <c r="P111" s="82"/>
      <c r="Q111" s="82"/>
      <c r="S111" s="33">
        <f>SUM(G111:J111)</f>
        <v>4413.1000000000004</v>
      </c>
      <c r="T111" s="33">
        <f>SUM(H111:K111)</f>
        <v>3717.2000000000003</v>
      </c>
      <c r="U111" s="33">
        <f>SUM(I111:L111)</f>
        <v>2228.7000000000003</v>
      </c>
      <c r="V111" s="33">
        <f>SUM(J111:M111)</f>
        <v>-224.79999999999973</v>
      </c>
      <c r="W111" s="33">
        <f>SUM(K111:N111)</f>
        <v>-3402.4</v>
      </c>
      <c r="X111" s="33">
        <f>SUM(L111:O111)</f>
        <v>-2706.5000000000005</v>
      </c>
      <c r="Y111" s="33">
        <f>SUM(M111:P111)</f>
        <v>-1218.0000000000005</v>
      </c>
      <c r="Z111" s="33">
        <f>SUM(N111:Q111)</f>
        <v>1235.4999999999995</v>
      </c>
      <c r="AA111" s="61"/>
      <c r="AB111" s="77">
        <f t="shared" si="151"/>
        <v>-6.4959964412811431</v>
      </c>
    </row>
    <row r="112" spans="2:28" ht="12.75" customHeight="1">
      <c r="B112" s="62" t="s">
        <v>138</v>
      </c>
      <c r="C112" s="82">
        <f>-542.7-82.5</f>
        <v>-625.20000000000005</v>
      </c>
      <c r="D112" s="82">
        <f>1332-149.6</f>
        <v>1182.4000000000001</v>
      </c>
      <c r="E112" s="82">
        <f>5535.9-203.1</f>
        <v>5332.7999999999993</v>
      </c>
      <c r="F112" s="33"/>
      <c r="G112" s="82">
        <v>39.9</v>
      </c>
      <c r="H112" s="82">
        <f>111-G112</f>
        <v>71.099999999999994</v>
      </c>
      <c r="I112" s="82">
        <v>-66.099999999999994</v>
      </c>
      <c r="J112" s="33">
        <f t="shared" si="154"/>
        <v>1137.5</v>
      </c>
      <c r="K112" s="82">
        <v>5073.1000000000004</v>
      </c>
      <c r="L112" s="82">
        <v>6200.1</v>
      </c>
      <c r="M112" s="82">
        <v>1870.1</v>
      </c>
      <c r="N112" s="33">
        <f t="shared" si="155"/>
        <v>-7810.5000000000018</v>
      </c>
      <c r="O112" s="82"/>
      <c r="P112" s="82"/>
      <c r="Q112" s="82"/>
      <c r="S112" s="33">
        <f>SUM(G112:J112)</f>
        <v>1182.4000000000001</v>
      </c>
      <c r="T112" s="33">
        <f>SUM(H112:K112)</f>
        <v>6215.6</v>
      </c>
      <c r="U112" s="33">
        <f>SUM(I112:L112)</f>
        <v>12344.6</v>
      </c>
      <c r="V112" s="33">
        <f>SUM(J112:M112)</f>
        <v>14280.800000000001</v>
      </c>
      <c r="W112" s="33">
        <f>SUM(K112:N112)</f>
        <v>5332.7999999999993</v>
      </c>
      <c r="X112" s="33">
        <f>SUM(L112:O112)</f>
        <v>259.69999999999891</v>
      </c>
      <c r="Y112" s="33">
        <f>SUM(M112:P112)</f>
        <v>-5940.4000000000015</v>
      </c>
      <c r="Z112" s="33">
        <f>SUM(N112:Q112)</f>
        <v>-7810.5000000000018</v>
      </c>
      <c r="AA112" s="61"/>
      <c r="AB112" s="77">
        <f t="shared" si="151"/>
        <v>-1.546923141560697</v>
      </c>
    </row>
    <row r="113" spans="2:28" ht="12.75" customHeight="1">
      <c r="B113" s="13" t="s">
        <v>54</v>
      </c>
      <c r="C113" s="14">
        <f>SUM(C95:C112)</f>
        <v>-24201.5</v>
      </c>
      <c r="D113" s="14">
        <f>SUM(D95:D112)</f>
        <v>-9733.4999999999927</v>
      </c>
      <c r="E113" s="14">
        <f>SUM(E95:E112)</f>
        <v>-60982.700000000012</v>
      </c>
      <c r="G113" s="14">
        <f>SUM(G95:G112)</f>
        <v>-3774.5000000000005</v>
      </c>
      <c r="H113" s="35">
        <f>SUM(H95:H112)</f>
        <v>-3593.2000000000035</v>
      </c>
      <c r="I113" s="14">
        <f>SUM(I95:I112)</f>
        <v>12511.2</v>
      </c>
      <c r="J113" s="14">
        <f>SUM(J95:J112)</f>
        <v>-14877.000000000002</v>
      </c>
      <c r="K113" s="14">
        <f>SUM(K95:K112)</f>
        <v>-9315.9999999999691</v>
      </c>
      <c r="L113" s="14">
        <f>SUM(L95:L112)</f>
        <v>296529.8</v>
      </c>
      <c r="M113" s="14">
        <f>SUM(M95:M112)</f>
        <v>291327.69999999995</v>
      </c>
      <c r="N113" s="14">
        <f>SUM(N95:N112)</f>
        <v>-639524.19999999995</v>
      </c>
      <c r="O113" s="14">
        <f>SUM(O95:O112)</f>
        <v>-31726.6</v>
      </c>
      <c r="P113" s="14">
        <f>SUM(P95:P112)</f>
        <v>-20001.899999999998</v>
      </c>
      <c r="Q113" s="14">
        <f>SUM(Q95:Q112)</f>
        <v>-54848.5</v>
      </c>
      <c r="S113" s="14">
        <f>SUM(S95:S112)</f>
        <v>-10312.6</v>
      </c>
      <c r="T113" s="14">
        <f>SUM(T95:T112)</f>
        <v>-15876.099999999949</v>
      </c>
      <c r="U113" s="14">
        <f>SUM(U95:U112)</f>
        <v>289549.20000000007</v>
      </c>
      <c r="V113" s="14">
        <f>SUM(V95:V112)</f>
        <v>572389.70000000019</v>
      </c>
      <c r="W113" s="14">
        <f>SUM(W95:W112)</f>
        <v>-58772.900000000009</v>
      </c>
      <c r="X113" s="14">
        <f>SUM(X95:X112)</f>
        <v>-81146.900000000009</v>
      </c>
      <c r="Y113" s="14">
        <f>SUM(Y95:Y112)</f>
        <v>-402884.3</v>
      </c>
      <c r="Z113" s="14">
        <f>SUM(Z95:Z112)</f>
        <v>-752971</v>
      </c>
      <c r="AA113" s="43"/>
      <c r="AB113" s="78">
        <f t="shared" si="151"/>
        <v>-2.3154866343681579</v>
      </c>
    </row>
    <row r="114" spans="2:28" ht="12.75" customHeight="1">
      <c r="B114" s="55"/>
      <c r="C114" s="63"/>
      <c r="D114" s="63"/>
      <c r="E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S114" s="43"/>
      <c r="T114" s="43"/>
      <c r="U114" s="43"/>
      <c r="V114" s="43"/>
      <c r="W114" s="43"/>
      <c r="X114" s="43"/>
      <c r="Y114" s="43"/>
      <c r="Z114" s="43"/>
      <c r="AA114" s="43"/>
      <c r="AB114" s="40"/>
    </row>
    <row r="115" spans="2:28" ht="12.75" customHeight="1">
      <c r="B115" s="55" t="s">
        <v>55</v>
      </c>
      <c r="C115" s="60"/>
      <c r="D115" s="60"/>
      <c r="E115" s="60"/>
      <c r="G115" s="82"/>
      <c r="H115" s="82"/>
      <c r="I115" s="82"/>
      <c r="J115" s="33"/>
      <c r="K115" s="82"/>
      <c r="L115" s="82"/>
      <c r="M115" s="82"/>
      <c r="N115" s="33"/>
      <c r="O115" s="60"/>
      <c r="P115" s="60"/>
      <c r="Q115" s="60"/>
      <c r="S115" s="60"/>
      <c r="T115" s="60"/>
      <c r="U115" s="60"/>
      <c r="V115" s="60"/>
      <c r="W115" s="60"/>
      <c r="X115" s="60"/>
      <c r="Y115" s="60"/>
      <c r="Z115" s="60"/>
      <c r="AA115" s="61"/>
      <c r="AB115" s="40"/>
    </row>
    <row r="116" spans="2:28" ht="12.75" customHeight="1">
      <c r="B116" s="62" t="s">
        <v>90</v>
      </c>
      <c r="C116" s="82">
        <v>-84.5</v>
      </c>
      <c r="D116" s="82">
        <v>-2.2000000000000002</v>
      </c>
      <c r="E116" s="82">
        <v>-5033.8</v>
      </c>
      <c r="F116" s="33"/>
      <c r="G116" s="82">
        <v>0</v>
      </c>
      <c r="H116" s="82">
        <f>-2.2-G116</f>
        <v>-2.2000000000000002</v>
      </c>
      <c r="I116" s="82">
        <v>-2.2000000000000002</v>
      </c>
      <c r="J116" s="33">
        <f t="shared" ref="J116:J117" si="156">SUM(D116-SUM(G116:I116))</f>
        <v>2.2000000000000002</v>
      </c>
      <c r="K116" s="82">
        <v>0</v>
      </c>
      <c r="L116" s="82">
        <v>-2141.9</v>
      </c>
      <c r="M116" s="82">
        <v>-5031.2</v>
      </c>
      <c r="N116" s="33">
        <f t="shared" ref="N116:N117" si="157">SUM(E116-SUM(K116:M116))</f>
        <v>2139.3000000000002</v>
      </c>
      <c r="O116" s="82"/>
      <c r="P116" s="82"/>
      <c r="Q116" s="82"/>
      <c r="R116" s="33"/>
      <c r="S116" s="33">
        <f>SUM(G116:J116)</f>
        <v>-2.2000000000000002</v>
      </c>
      <c r="T116" s="33">
        <f>SUM(H116:K116)</f>
        <v>-2.2000000000000002</v>
      </c>
      <c r="U116" s="33">
        <f>SUM(I116:L116)</f>
        <v>-2141.9</v>
      </c>
      <c r="V116" s="33">
        <f>SUM(J116:M116)</f>
        <v>-7170.9</v>
      </c>
      <c r="W116" s="33">
        <f>SUM(K116:N116)</f>
        <v>-5033.8</v>
      </c>
      <c r="X116" s="33">
        <f>SUM(L116:O116)</f>
        <v>-5033.8</v>
      </c>
      <c r="Y116" s="33">
        <f>SUM(M116:P116)</f>
        <v>-2891.8999999999996</v>
      </c>
      <c r="Z116" s="33">
        <f>SUM(N116:Q116)</f>
        <v>2139.3000000000002</v>
      </c>
      <c r="AA116" s="61"/>
      <c r="AB116" s="77">
        <f t="shared" ref="AB116:AB133" si="158">SUM(Z116/V116)-1</f>
        <v>-1.2983307534619086</v>
      </c>
    </row>
    <row r="117" spans="2:28" ht="12.75" customHeight="1">
      <c r="B117" s="62" t="s">
        <v>184</v>
      </c>
      <c r="C117" s="82">
        <v>0</v>
      </c>
      <c r="D117" s="82">
        <v>0</v>
      </c>
      <c r="E117" s="82">
        <v>-7000</v>
      </c>
      <c r="F117" s="33"/>
      <c r="G117" s="82">
        <v>0</v>
      </c>
      <c r="H117" s="82">
        <v>0</v>
      </c>
      <c r="I117" s="82">
        <v>0</v>
      </c>
      <c r="J117" s="33">
        <f t="shared" si="156"/>
        <v>0</v>
      </c>
      <c r="K117" s="82">
        <v>0</v>
      </c>
      <c r="L117" s="82">
        <v>0</v>
      </c>
      <c r="M117" s="82">
        <v>0</v>
      </c>
      <c r="N117" s="33">
        <f t="shared" si="157"/>
        <v>-7000</v>
      </c>
      <c r="O117" s="82"/>
      <c r="P117" s="82"/>
      <c r="Q117" s="82"/>
      <c r="R117" s="33"/>
      <c r="S117" s="33"/>
      <c r="T117" s="33"/>
      <c r="U117" s="33"/>
      <c r="V117" s="33"/>
      <c r="W117" s="33"/>
      <c r="X117" s="33"/>
      <c r="Y117" s="33"/>
      <c r="Z117" s="33"/>
      <c r="AA117" s="61"/>
      <c r="AB117" s="77"/>
    </row>
    <row r="118" spans="2:28" ht="12.75" customHeight="1">
      <c r="B118" s="62" t="s">
        <v>174</v>
      </c>
      <c r="C118" s="82">
        <v>0</v>
      </c>
      <c r="D118" s="82">
        <v>0</v>
      </c>
      <c r="E118" s="82">
        <v>0</v>
      </c>
      <c r="F118" s="33"/>
      <c r="G118" s="82">
        <v>0</v>
      </c>
      <c r="H118" s="82">
        <v>0</v>
      </c>
      <c r="I118" s="82">
        <v>0</v>
      </c>
      <c r="J118" s="33">
        <f t="shared" ref="J118:J120" si="159">SUM(D118-SUM(G118:I118))</f>
        <v>0</v>
      </c>
      <c r="K118" s="82">
        <v>0</v>
      </c>
      <c r="L118" s="82">
        <v>0</v>
      </c>
      <c r="M118" s="82">
        <v>0</v>
      </c>
      <c r="N118" s="33">
        <f t="shared" ref="N118:N120" si="160">SUM(E118-SUM(K118:M118))</f>
        <v>0</v>
      </c>
      <c r="O118" s="82"/>
      <c r="P118" s="82"/>
      <c r="Q118" s="82"/>
      <c r="R118" s="33"/>
      <c r="S118" s="33">
        <f t="shared" ref="S118:S120" si="161">SUM(G118:J118)</f>
        <v>0</v>
      </c>
      <c r="T118" s="33">
        <f t="shared" ref="T118:T120" si="162">SUM(H118:K118)</f>
        <v>0</v>
      </c>
      <c r="U118" s="33">
        <f t="shared" ref="U118:U120" si="163">SUM(I118:L118)</f>
        <v>0</v>
      </c>
      <c r="V118" s="33">
        <f t="shared" ref="V118:V120" si="164">SUM(J118:M118)</f>
        <v>0</v>
      </c>
      <c r="W118" s="33">
        <f t="shared" ref="W118:W120" si="165">SUM(K118:N118)</f>
        <v>0</v>
      </c>
      <c r="X118" s="33">
        <f t="shared" ref="X118:X120" si="166">SUM(L118:O118)</f>
        <v>0</v>
      </c>
      <c r="Y118" s="33">
        <f t="shared" ref="Y118:Y120" si="167">SUM(M118:P118)</f>
        <v>0</v>
      </c>
      <c r="Z118" s="33">
        <f t="shared" ref="Z118:Z120" si="168">SUM(N118:Q118)</f>
        <v>0</v>
      </c>
      <c r="AA118" s="61"/>
      <c r="AB118" s="77" t="e">
        <f t="shared" ref="AB118:AB120" si="169">SUM(Z118/V118)-1</f>
        <v>#DIV/0!</v>
      </c>
    </row>
    <row r="119" spans="2:28" ht="12.75" customHeight="1">
      <c r="B119" s="62" t="s">
        <v>175</v>
      </c>
      <c r="C119" s="82">
        <v>0</v>
      </c>
      <c r="D119" s="82">
        <v>0</v>
      </c>
      <c r="E119" s="82">
        <v>0</v>
      </c>
      <c r="F119" s="33"/>
      <c r="G119" s="82">
        <v>0</v>
      </c>
      <c r="H119" s="82">
        <v>0</v>
      </c>
      <c r="I119" s="82">
        <v>0</v>
      </c>
      <c r="J119" s="33">
        <f t="shared" si="159"/>
        <v>0</v>
      </c>
      <c r="K119" s="82">
        <v>0</v>
      </c>
      <c r="L119" s="82">
        <v>0</v>
      </c>
      <c r="M119" s="82">
        <v>0</v>
      </c>
      <c r="N119" s="33">
        <f t="shared" si="160"/>
        <v>0</v>
      </c>
      <c r="O119" s="82"/>
      <c r="P119" s="82"/>
      <c r="Q119" s="82"/>
      <c r="R119" s="33"/>
      <c r="S119" s="33">
        <f t="shared" si="161"/>
        <v>0</v>
      </c>
      <c r="T119" s="33">
        <f t="shared" si="162"/>
        <v>0</v>
      </c>
      <c r="U119" s="33">
        <f t="shared" si="163"/>
        <v>0</v>
      </c>
      <c r="V119" s="33">
        <f t="shared" si="164"/>
        <v>0</v>
      </c>
      <c r="W119" s="33">
        <f t="shared" si="165"/>
        <v>0</v>
      </c>
      <c r="X119" s="33">
        <f t="shared" si="166"/>
        <v>0</v>
      </c>
      <c r="Y119" s="33">
        <f t="shared" si="167"/>
        <v>0</v>
      </c>
      <c r="Z119" s="33">
        <f t="shared" si="168"/>
        <v>0</v>
      </c>
      <c r="AA119" s="61"/>
      <c r="AB119" s="77" t="e">
        <f t="shared" si="169"/>
        <v>#DIV/0!</v>
      </c>
    </row>
    <row r="120" spans="2:28" ht="12.75" customHeight="1">
      <c r="B120" s="62" t="s">
        <v>185</v>
      </c>
      <c r="C120" s="82">
        <v>0</v>
      </c>
      <c r="D120" s="82">
        <v>0</v>
      </c>
      <c r="E120" s="82">
        <v>-606547.30000000005</v>
      </c>
      <c r="F120" s="33"/>
      <c r="G120" s="82">
        <v>0</v>
      </c>
      <c r="H120" s="82">
        <v>0</v>
      </c>
      <c r="I120" s="82">
        <v>0</v>
      </c>
      <c r="J120" s="33">
        <f t="shared" si="159"/>
        <v>0</v>
      </c>
      <c r="K120" s="82">
        <v>0</v>
      </c>
      <c r="L120" s="82">
        <v>0</v>
      </c>
      <c r="M120" s="82">
        <v>-300742.5</v>
      </c>
      <c r="N120" s="33">
        <f t="shared" si="160"/>
        <v>-305804.80000000005</v>
      </c>
      <c r="O120" s="82"/>
      <c r="P120" s="82"/>
      <c r="Q120" s="82"/>
      <c r="R120" s="33"/>
      <c r="S120" s="33">
        <f t="shared" si="161"/>
        <v>0</v>
      </c>
      <c r="T120" s="33">
        <f t="shared" si="162"/>
        <v>0</v>
      </c>
      <c r="U120" s="33">
        <f t="shared" si="163"/>
        <v>0</v>
      </c>
      <c r="V120" s="33">
        <f t="shared" si="164"/>
        <v>-300742.5</v>
      </c>
      <c r="W120" s="33">
        <f t="shared" si="165"/>
        <v>-606547.30000000005</v>
      </c>
      <c r="X120" s="33">
        <f t="shared" si="166"/>
        <v>-606547.30000000005</v>
      </c>
      <c r="Y120" s="33">
        <f t="shared" si="167"/>
        <v>-606547.30000000005</v>
      </c>
      <c r="Z120" s="33">
        <f t="shared" si="168"/>
        <v>-305804.80000000005</v>
      </c>
      <c r="AA120" s="61"/>
      <c r="AB120" s="77">
        <f t="shared" si="169"/>
        <v>1.6832672468972687E-2</v>
      </c>
    </row>
    <row r="121" spans="2:28" ht="12.75" customHeight="1">
      <c r="B121" s="62" t="s">
        <v>186</v>
      </c>
      <c r="C121" s="82">
        <v>0</v>
      </c>
      <c r="D121" s="82">
        <v>0</v>
      </c>
      <c r="E121" s="82">
        <v>0</v>
      </c>
      <c r="F121" s="33"/>
      <c r="G121" s="82">
        <v>0</v>
      </c>
      <c r="H121" s="82">
        <v>0</v>
      </c>
      <c r="I121" s="82">
        <v>0</v>
      </c>
      <c r="J121" s="33">
        <f t="shared" ref="J121" si="170">SUM(D121-SUM(G121:I121))</f>
        <v>0</v>
      </c>
      <c r="K121" s="82">
        <v>0</v>
      </c>
      <c r="L121" s="82">
        <v>0</v>
      </c>
      <c r="M121" s="82">
        <v>0</v>
      </c>
      <c r="N121" s="33">
        <f t="shared" ref="N121" si="171">SUM(E121-SUM(K121:M121))</f>
        <v>0</v>
      </c>
      <c r="O121" s="82"/>
      <c r="P121" s="82"/>
      <c r="Q121" s="82"/>
      <c r="R121" s="33"/>
      <c r="S121" s="33">
        <f t="shared" ref="S121" si="172">SUM(G121:J121)</f>
        <v>0</v>
      </c>
      <c r="T121" s="33">
        <f t="shared" ref="T121" si="173">SUM(H121:K121)</f>
        <v>0</v>
      </c>
      <c r="U121" s="33">
        <f t="shared" ref="U121" si="174">SUM(I121:L121)</f>
        <v>0</v>
      </c>
      <c r="V121" s="33">
        <f t="shared" ref="V121" si="175">SUM(J121:M121)</f>
        <v>0</v>
      </c>
      <c r="W121" s="33">
        <f t="shared" ref="W121" si="176">SUM(K121:N121)</f>
        <v>0</v>
      </c>
      <c r="X121" s="33">
        <f t="shared" ref="X121" si="177">SUM(L121:O121)</f>
        <v>0</v>
      </c>
      <c r="Y121" s="33">
        <f t="shared" ref="Y121" si="178">SUM(M121:P121)</f>
        <v>0</v>
      </c>
      <c r="Z121" s="33">
        <f t="shared" ref="Z121" si="179">SUM(N121:Q121)</f>
        <v>0</v>
      </c>
      <c r="AA121" s="61"/>
      <c r="AB121" s="77" t="e">
        <f t="shared" ref="AB121" si="180">SUM(Z121/V121)-1</f>
        <v>#DIV/0!</v>
      </c>
    </row>
    <row r="122" spans="2:28" ht="12.75" customHeight="1">
      <c r="B122" s="13" t="s">
        <v>56</v>
      </c>
      <c r="C122" s="14">
        <f>SUM(C116:C121)</f>
        <v>-84.5</v>
      </c>
      <c r="D122" s="14">
        <f>SUM(D116:D121)</f>
        <v>-2.2000000000000002</v>
      </c>
      <c r="E122" s="14">
        <f>SUM(E116:E121)</f>
        <v>-618581.10000000009</v>
      </c>
      <c r="G122" s="14">
        <f>SUM(G116:G121)</f>
        <v>0</v>
      </c>
      <c r="H122" s="14">
        <f>SUM(H116:H121)</f>
        <v>-2.2000000000000002</v>
      </c>
      <c r="I122" s="14">
        <f>SUM(I116:I121)</f>
        <v>-2.2000000000000002</v>
      </c>
      <c r="J122" s="14">
        <f>SUM(J116:J121)</f>
        <v>2.2000000000000002</v>
      </c>
      <c r="K122" s="14">
        <f>SUM(K116:K121)</f>
        <v>0</v>
      </c>
      <c r="L122" s="14">
        <f>SUM(L116:L121)</f>
        <v>-2141.9</v>
      </c>
      <c r="M122" s="14">
        <f>SUM(M116:M121)</f>
        <v>-305773.7</v>
      </c>
      <c r="N122" s="14">
        <f>SUM(N116:N121)</f>
        <v>-310665.50000000006</v>
      </c>
      <c r="O122" s="14">
        <f>SUM(O116:O121)</f>
        <v>0</v>
      </c>
      <c r="P122" s="14">
        <f>SUM(P116:P121)</f>
        <v>0</v>
      </c>
      <c r="Q122" s="14">
        <f>SUM(Q116:Q121)</f>
        <v>0</v>
      </c>
      <c r="S122" s="14">
        <f>SUM(S116:S121)</f>
        <v>-2.2000000000000002</v>
      </c>
      <c r="T122" s="14">
        <f>SUM(T116:T121)</f>
        <v>-2.2000000000000002</v>
      </c>
      <c r="U122" s="14">
        <f>SUM(U116:U121)</f>
        <v>-2141.9</v>
      </c>
      <c r="V122" s="14">
        <f>SUM(V116:V121)</f>
        <v>-307913.40000000002</v>
      </c>
      <c r="W122" s="14">
        <f>SUM(W116:W121)</f>
        <v>-611581.10000000009</v>
      </c>
      <c r="X122" s="14">
        <f>SUM(X116:X121)</f>
        <v>-611581.10000000009</v>
      </c>
      <c r="Y122" s="14">
        <f>SUM(Y116:Y121)</f>
        <v>-609439.20000000007</v>
      </c>
      <c r="Z122" s="14">
        <f>SUM(Z116:Z121)</f>
        <v>-303665.50000000006</v>
      </c>
      <c r="AA122" s="43"/>
      <c r="AB122" s="78">
        <f t="shared" si="158"/>
        <v>-1.3795762055175187E-2</v>
      </c>
    </row>
    <row r="123" spans="2:28" ht="5.0999999999999996" customHeight="1">
      <c r="B123" s="54"/>
      <c r="C123" s="63"/>
      <c r="D123" s="63"/>
      <c r="E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S123" s="43"/>
      <c r="T123" s="43"/>
      <c r="U123" s="43"/>
      <c r="V123" s="43"/>
      <c r="W123" s="43"/>
      <c r="X123" s="43"/>
      <c r="Y123" s="43"/>
      <c r="Z123" s="43"/>
      <c r="AA123" s="43"/>
      <c r="AB123" s="40"/>
    </row>
    <row r="124" spans="2:28" ht="12.75" customHeight="1">
      <c r="B124" s="55" t="s">
        <v>57</v>
      </c>
      <c r="C124" s="65"/>
      <c r="D124" s="65"/>
      <c r="E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33"/>
      <c r="S124" s="33"/>
      <c r="T124" s="33"/>
      <c r="U124" s="33"/>
      <c r="V124" s="33"/>
      <c r="W124" s="33"/>
      <c r="X124" s="33"/>
      <c r="Y124" s="33"/>
      <c r="Z124" s="33"/>
      <c r="AA124" s="66"/>
      <c r="AB124" s="77"/>
    </row>
    <row r="125" spans="2:28" ht="12.75" customHeight="1">
      <c r="B125" s="84" t="s">
        <v>187</v>
      </c>
      <c r="C125" s="82">
        <v>15360</v>
      </c>
      <c r="D125" s="82">
        <f>3500-1000</f>
        <v>2500</v>
      </c>
      <c r="E125" s="82">
        <v>47455</v>
      </c>
      <c r="G125" s="82">
        <v>0</v>
      </c>
      <c r="H125" s="82">
        <f>2500-G125</f>
        <v>2500</v>
      </c>
      <c r="I125" s="82">
        <v>2500</v>
      </c>
      <c r="J125" s="33">
        <f t="shared" ref="J125:J129" si="181">SUM(D125-SUM(G125:I125))</f>
        <v>-2500</v>
      </c>
      <c r="K125" s="82">
        <v>47455</v>
      </c>
      <c r="L125" s="82">
        <v>47455</v>
      </c>
      <c r="M125" s="82">
        <v>47455</v>
      </c>
      <c r="N125" s="33">
        <f t="shared" ref="N125:N129" si="182">SUM(E125-SUM(K125:M125))</f>
        <v>-94910</v>
      </c>
      <c r="O125" s="82"/>
      <c r="P125" s="82"/>
      <c r="Q125" s="82"/>
      <c r="R125" s="33"/>
      <c r="S125" s="33">
        <f>SUM(G125:J125)</f>
        <v>2500</v>
      </c>
      <c r="T125" s="33">
        <f>SUM(H125:K125)</f>
        <v>49955</v>
      </c>
      <c r="U125" s="33">
        <f>SUM(I125:L125)</f>
        <v>94910</v>
      </c>
      <c r="V125" s="33">
        <f>SUM(J125:M125)</f>
        <v>139865</v>
      </c>
      <c r="W125" s="33">
        <f>SUM(K125:N125)</f>
        <v>47455</v>
      </c>
      <c r="X125" s="33">
        <f>SUM(L125:O125)</f>
        <v>0</v>
      </c>
      <c r="Y125" s="33">
        <f>SUM(M125:P125)</f>
        <v>-47455</v>
      </c>
      <c r="Z125" s="33">
        <f>SUM(N125:Q125)</f>
        <v>-94910</v>
      </c>
      <c r="AA125" s="66"/>
      <c r="AB125" s="77">
        <f t="shared" si="158"/>
        <v>-1.6785829192435564</v>
      </c>
    </row>
    <row r="126" spans="2:28" ht="12.75" customHeight="1">
      <c r="B126" s="84" t="s">
        <v>176</v>
      </c>
      <c r="C126" s="82">
        <v>0</v>
      </c>
      <c r="D126" s="82">
        <v>0</v>
      </c>
      <c r="E126" s="82">
        <v>233017.5</v>
      </c>
      <c r="G126" s="82">
        <v>0</v>
      </c>
      <c r="H126" s="82">
        <v>0</v>
      </c>
      <c r="I126" s="82">
        <v>0</v>
      </c>
      <c r="J126" s="33">
        <f t="shared" si="181"/>
        <v>0</v>
      </c>
      <c r="K126" s="82">
        <v>233017.5</v>
      </c>
      <c r="L126" s="82">
        <v>233017.5</v>
      </c>
      <c r="M126" s="82">
        <v>233017.5</v>
      </c>
      <c r="N126" s="33">
        <f t="shared" si="182"/>
        <v>-466035</v>
      </c>
      <c r="O126" s="82"/>
      <c r="P126" s="82"/>
      <c r="Q126" s="82"/>
      <c r="R126" s="33"/>
      <c r="S126" s="33">
        <f>SUM(G126:J126)</f>
        <v>0</v>
      </c>
      <c r="T126" s="33">
        <f>SUM(H126:K126)</f>
        <v>233017.5</v>
      </c>
      <c r="U126" s="33">
        <f>SUM(I126:L126)</f>
        <v>466035</v>
      </c>
      <c r="V126" s="33">
        <f>SUM(J126:M126)</f>
        <v>699052.5</v>
      </c>
      <c r="W126" s="33">
        <f>SUM(K126:N126)</f>
        <v>233017.5</v>
      </c>
      <c r="X126" s="33">
        <f>SUM(L126:O126)</f>
        <v>0</v>
      </c>
      <c r="Y126" s="33">
        <f>SUM(M126:P126)</f>
        <v>-233017.5</v>
      </c>
      <c r="Z126" s="33">
        <f>SUM(N126:Q126)</f>
        <v>-466035</v>
      </c>
      <c r="AA126" s="66"/>
      <c r="AB126" s="77">
        <f t="shared" si="158"/>
        <v>-1.6666666666666665</v>
      </c>
    </row>
    <row r="127" spans="2:28" ht="12.75" customHeight="1">
      <c r="B127" s="84" t="s">
        <v>177</v>
      </c>
      <c r="C127" s="82">
        <v>0</v>
      </c>
      <c r="D127" s="82">
        <v>0</v>
      </c>
      <c r="E127" s="82">
        <v>0</v>
      </c>
      <c r="G127" s="82">
        <v>0</v>
      </c>
      <c r="H127" s="82">
        <v>0</v>
      </c>
      <c r="I127" s="82">
        <v>0</v>
      </c>
      <c r="J127" s="33">
        <f t="shared" si="181"/>
        <v>0</v>
      </c>
      <c r="K127" s="82">
        <v>0</v>
      </c>
      <c r="L127" s="82">
        <v>0</v>
      </c>
      <c r="M127" s="82">
        <v>0</v>
      </c>
      <c r="N127" s="33">
        <f t="shared" si="182"/>
        <v>0</v>
      </c>
      <c r="O127" s="82"/>
      <c r="P127" s="82"/>
      <c r="Q127" s="82"/>
      <c r="R127" s="33"/>
      <c r="S127" s="33">
        <f>SUM(G127:J127)</f>
        <v>0</v>
      </c>
      <c r="T127" s="33">
        <f>SUM(H127:K127)</f>
        <v>0</v>
      </c>
      <c r="U127" s="33">
        <f>SUM(I127:L127)</f>
        <v>0</v>
      </c>
      <c r="V127" s="33">
        <f>SUM(J127:M127)</f>
        <v>0</v>
      </c>
      <c r="W127" s="33">
        <f>SUM(K127:N127)</f>
        <v>0</v>
      </c>
      <c r="X127" s="33">
        <f>SUM(L127:O127)</f>
        <v>0</v>
      </c>
      <c r="Y127" s="33">
        <f>SUM(M127:P127)</f>
        <v>0</v>
      </c>
      <c r="Z127" s="33">
        <f>SUM(N127:Q127)</f>
        <v>0</v>
      </c>
      <c r="AA127" s="66"/>
      <c r="AB127" s="77" t="e">
        <f t="shared" si="158"/>
        <v>#DIV/0!</v>
      </c>
    </row>
    <row r="128" spans="2:28" ht="12.75" customHeight="1">
      <c r="B128" s="84" t="s">
        <v>178</v>
      </c>
      <c r="C128" s="82">
        <v>0</v>
      </c>
      <c r="D128" s="82">
        <v>0</v>
      </c>
      <c r="E128" s="82">
        <v>0</v>
      </c>
      <c r="G128" s="82">
        <v>0</v>
      </c>
      <c r="H128" s="82">
        <v>0</v>
      </c>
      <c r="I128" s="82">
        <v>0</v>
      </c>
      <c r="J128" s="33">
        <f t="shared" si="181"/>
        <v>0</v>
      </c>
      <c r="K128" s="82">
        <v>0</v>
      </c>
      <c r="L128" s="82">
        <v>0</v>
      </c>
      <c r="M128" s="82">
        <v>0</v>
      </c>
      <c r="N128" s="33">
        <f t="shared" si="182"/>
        <v>0</v>
      </c>
      <c r="O128" s="82"/>
      <c r="P128" s="82"/>
      <c r="Q128" s="82"/>
      <c r="R128" s="33"/>
      <c r="S128" s="33">
        <f>SUM(G128:J128)</f>
        <v>0</v>
      </c>
      <c r="T128" s="33">
        <f>SUM(H128:K128)</f>
        <v>0</v>
      </c>
      <c r="U128" s="33">
        <f>SUM(I128:L128)</f>
        <v>0</v>
      </c>
      <c r="V128" s="33">
        <f>SUM(J128:M128)</f>
        <v>0</v>
      </c>
      <c r="W128" s="33">
        <f>SUM(K128:N128)</f>
        <v>0</v>
      </c>
      <c r="X128" s="33">
        <f>SUM(L128:O128)</f>
        <v>0</v>
      </c>
      <c r="Y128" s="33">
        <f>SUM(M128:P128)</f>
        <v>0</v>
      </c>
      <c r="Z128" s="33">
        <f>SUM(N128:Q128)</f>
        <v>0</v>
      </c>
      <c r="AA128" s="66"/>
      <c r="AB128" s="77" t="e">
        <f t="shared" si="158"/>
        <v>#DIV/0!</v>
      </c>
    </row>
    <row r="129" spans="2:28" ht="12.75" customHeight="1">
      <c r="B129" s="84" t="s">
        <v>188</v>
      </c>
      <c r="C129" s="82">
        <v>0</v>
      </c>
      <c r="D129" s="82">
        <v>0</v>
      </c>
      <c r="E129" s="82">
        <f>-2908.7+449874.6</f>
        <v>446965.89999999997</v>
      </c>
      <c r="G129" s="82">
        <v>0</v>
      </c>
      <c r="H129" s="82">
        <v>0</v>
      </c>
      <c r="I129" s="82">
        <v>0</v>
      </c>
      <c r="J129" s="33">
        <f t="shared" si="181"/>
        <v>0</v>
      </c>
      <c r="K129" s="82">
        <v>0</v>
      </c>
      <c r="L129" s="82">
        <v>0</v>
      </c>
      <c r="M129" s="82">
        <v>0</v>
      </c>
      <c r="N129" s="33">
        <f t="shared" si="182"/>
        <v>446965.89999999997</v>
      </c>
      <c r="O129" s="82"/>
      <c r="P129" s="82"/>
      <c r="Q129" s="82"/>
      <c r="R129" s="33"/>
      <c r="S129" s="33">
        <f>SUM(G129:J129)</f>
        <v>0</v>
      </c>
      <c r="T129" s="33">
        <f>SUM(H129:K129)</f>
        <v>0</v>
      </c>
      <c r="U129" s="33">
        <f>SUM(I129:L129)</f>
        <v>0</v>
      </c>
      <c r="V129" s="33">
        <f>SUM(J129:M129)</f>
        <v>0</v>
      </c>
      <c r="W129" s="33">
        <f>SUM(K129:N129)</f>
        <v>446965.89999999997</v>
      </c>
      <c r="X129" s="33">
        <f>SUM(L129:O129)</f>
        <v>446965.89999999997</v>
      </c>
      <c r="Y129" s="33">
        <f>SUM(M129:P129)</f>
        <v>446965.89999999997</v>
      </c>
      <c r="Z129" s="33">
        <f>SUM(N129:Q129)</f>
        <v>446965.89999999997</v>
      </c>
      <c r="AA129" s="66"/>
      <c r="AB129" s="77" t="e">
        <f t="shared" si="158"/>
        <v>#DIV/0!</v>
      </c>
    </row>
    <row r="130" spans="2:28" ht="12.75" customHeight="1">
      <c r="B130" s="84" t="s">
        <v>179</v>
      </c>
      <c r="C130" s="82">
        <v>0</v>
      </c>
      <c r="D130" s="82">
        <v>0</v>
      </c>
      <c r="E130" s="82">
        <v>0</v>
      </c>
      <c r="G130" s="82">
        <v>0</v>
      </c>
      <c r="H130" s="82">
        <v>0</v>
      </c>
      <c r="I130" s="82">
        <v>0</v>
      </c>
      <c r="J130" s="33">
        <f t="shared" ref="J130:J132" si="183">SUM(D130-SUM(G130:I130))</f>
        <v>0</v>
      </c>
      <c r="K130" s="82">
        <v>0</v>
      </c>
      <c r="L130" s="82">
        <v>0</v>
      </c>
      <c r="M130" s="82">
        <v>0</v>
      </c>
      <c r="N130" s="33">
        <f t="shared" ref="N130:N132" si="184">SUM(E130-SUM(K130:M130))</f>
        <v>0</v>
      </c>
      <c r="O130" s="82"/>
      <c r="P130" s="82"/>
      <c r="Q130" s="82"/>
      <c r="R130" s="33"/>
      <c r="S130" s="33"/>
      <c r="T130" s="33"/>
      <c r="U130" s="33"/>
      <c r="V130" s="33"/>
      <c r="W130" s="33"/>
      <c r="X130" s="33"/>
      <c r="Y130" s="33"/>
      <c r="Z130" s="33"/>
      <c r="AA130" s="66"/>
      <c r="AB130" s="77"/>
    </row>
    <row r="131" spans="2:28" ht="12.75" customHeight="1">
      <c r="B131" s="84" t="s">
        <v>180</v>
      </c>
      <c r="C131" s="82">
        <v>0</v>
      </c>
      <c r="D131" s="82">
        <v>0</v>
      </c>
      <c r="E131" s="82">
        <v>119788.8</v>
      </c>
      <c r="G131" s="82">
        <v>0</v>
      </c>
      <c r="H131" s="82">
        <v>0</v>
      </c>
      <c r="I131" s="82">
        <v>0</v>
      </c>
      <c r="J131" s="33">
        <f t="shared" si="183"/>
        <v>0</v>
      </c>
      <c r="K131" s="82">
        <v>0</v>
      </c>
      <c r="L131" s="82">
        <v>93805.4</v>
      </c>
      <c r="M131" s="82">
        <v>0</v>
      </c>
      <c r="N131" s="33">
        <f t="shared" si="184"/>
        <v>25983.400000000009</v>
      </c>
      <c r="O131" s="82"/>
      <c r="P131" s="82"/>
      <c r="Q131" s="82"/>
      <c r="R131" s="33"/>
      <c r="S131" s="33"/>
      <c r="T131" s="33"/>
      <c r="U131" s="33"/>
      <c r="V131" s="33"/>
      <c r="W131" s="33"/>
      <c r="X131" s="33"/>
      <c r="Y131" s="33"/>
      <c r="Z131" s="33"/>
      <c r="AA131" s="66"/>
      <c r="AB131" s="77"/>
    </row>
    <row r="132" spans="2:28" ht="12.75" customHeight="1">
      <c r="B132" s="84" t="s">
        <v>181</v>
      </c>
      <c r="C132" s="82">
        <v>0</v>
      </c>
      <c r="D132" s="82">
        <v>0</v>
      </c>
      <c r="E132" s="82">
        <v>0</v>
      </c>
      <c r="G132" s="82">
        <v>0</v>
      </c>
      <c r="H132" s="82">
        <v>0</v>
      </c>
      <c r="I132" s="82">
        <v>0</v>
      </c>
      <c r="J132" s="33">
        <f t="shared" si="183"/>
        <v>0</v>
      </c>
      <c r="K132" s="82">
        <v>0</v>
      </c>
      <c r="L132" s="82"/>
      <c r="M132" s="82"/>
      <c r="N132" s="33">
        <f t="shared" si="184"/>
        <v>0</v>
      </c>
      <c r="O132" s="82"/>
      <c r="P132" s="82"/>
      <c r="Q132" s="82"/>
      <c r="R132" s="33"/>
      <c r="S132" s="33"/>
      <c r="T132" s="33"/>
      <c r="U132" s="33"/>
      <c r="V132" s="33"/>
      <c r="W132" s="33"/>
      <c r="X132" s="33"/>
      <c r="Y132" s="33"/>
      <c r="Z132" s="33"/>
      <c r="AA132" s="66"/>
      <c r="AB132" s="77"/>
    </row>
    <row r="133" spans="2:28" ht="12.75" customHeight="1">
      <c r="B133" s="13" t="s">
        <v>58</v>
      </c>
      <c r="C133" s="14">
        <f>SUM(C125:C132)</f>
        <v>15360</v>
      </c>
      <c r="D133" s="14">
        <f>SUM(D125:D132)</f>
        <v>2500</v>
      </c>
      <c r="E133" s="14">
        <f>SUM(E125:E132)</f>
        <v>847227.2</v>
      </c>
      <c r="G133" s="14">
        <f>SUM(G125:G132)</f>
        <v>0</v>
      </c>
      <c r="H133" s="14">
        <f>SUM(H125:H132)</f>
        <v>2500</v>
      </c>
      <c r="I133" s="14">
        <f>SUM(I125:I132)</f>
        <v>2500</v>
      </c>
      <c r="J133" s="14">
        <f>SUM(J125:J132)</f>
        <v>-2500</v>
      </c>
      <c r="K133" s="14">
        <f>SUM(K125:K132)</f>
        <v>280472.5</v>
      </c>
      <c r="L133" s="14">
        <f>SUM(L125:L132)</f>
        <v>374277.9</v>
      </c>
      <c r="M133" s="14">
        <f>SUM(M125:M132)</f>
        <v>280472.5</v>
      </c>
      <c r="N133" s="14">
        <f>SUM(N125:N132)</f>
        <v>-87995.700000000026</v>
      </c>
      <c r="O133" s="14">
        <f>SUM(O125:O132)</f>
        <v>0</v>
      </c>
      <c r="P133" s="14">
        <f>SUM(P125:P132)</f>
        <v>0</v>
      </c>
      <c r="Q133" s="14">
        <f>SUM(Q125:Q132)</f>
        <v>0</v>
      </c>
      <c r="S133" s="14">
        <f>SUM(S125:S132)</f>
        <v>2500</v>
      </c>
      <c r="T133" s="14">
        <f>SUM(T125:T132)</f>
        <v>282972.5</v>
      </c>
      <c r="U133" s="14">
        <f>SUM(U125:U132)</f>
        <v>560945</v>
      </c>
      <c r="V133" s="14">
        <f>SUM(V125:V132)</f>
        <v>838917.5</v>
      </c>
      <c r="W133" s="14">
        <f>SUM(W125:W132)</f>
        <v>727438.39999999991</v>
      </c>
      <c r="X133" s="14">
        <f>SUM(X125:X132)</f>
        <v>446965.89999999997</v>
      </c>
      <c r="Y133" s="14">
        <f>SUM(Y125:Y132)</f>
        <v>166493.39999999997</v>
      </c>
      <c r="Z133" s="14">
        <f>SUM(Z125:Z132)</f>
        <v>-113979.10000000003</v>
      </c>
      <c r="AA133" s="43"/>
      <c r="AB133" s="78">
        <f t="shared" si="158"/>
        <v>-1.1358644920388477</v>
      </c>
    </row>
    <row r="134" spans="2:28" ht="5.0999999999999996" customHeight="1">
      <c r="B134" s="8"/>
      <c r="C134" s="67"/>
      <c r="D134" s="67"/>
      <c r="E134" s="67"/>
      <c r="F134" s="33"/>
      <c r="G134" s="67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S134" s="11"/>
      <c r="T134" s="11"/>
      <c r="U134" s="11"/>
      <c r="V134" s="11"/>
      <c r="W134" s="11"/>
      <c r="X134" s="11"/>
      <c r="Y134" s="11"/>
      <c r="Z134" s="11"/>
      <c r="AA134" s="11"/>
      <c r="AB134" s="47"/>
    </row>
    <row r="135" spans="2:28" ht="5.0999999999999996" customHeight="1">
      <c r="B135" s="7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11"/>
      <c r="AB135" s="47"/>
    </row>
    <row r="136" spans="2:28">
      <c r="B136" s="93" t="s">
        <v>86</v>
      </c>
      <c r="C136" s="154">
        <v>18734.400000000001</v>
      </c>
      <c r="D136" s="94">
        <f t="shared" ref="D136:E136" si="185">C143</f>
        <v>9808.4000000000015</v>
      </c>
      <c r="E136" s="94">
        <f t="shared" si="185"/>
        <v>2572.7000000000089</v>
      </c>
      <c r="F136" s="94"/>
      <c r="G136" s="94">
        <v>9808.4</v>
      </c>
      <c r="H136" s="94">
        <f t="shared" ref="H136:Q136" si="186">G143</f>
        <v>6033.9</v>
      </c>
      <c r="I136" s="94">
        <f t="shared" si="186"/>
        <v>4938.4999999999964</v>
      </c>
      <c r="J136" s="94">
        <f t="shared" si="186"/>
        <v>19947.499999999996</v>
      </c>
      <c r="K136" s="94">
        <f t="shared" si="186"/>
        <v>2572.6999999999935</v>
      </c>
      <c r="L136" s="94">
        <f t="shared" si="186"/>
        <v>233700.90000000005</v>
      </c>
      <c r="M136" s="94">
        <f t="shared" si="186"/>
        <v>942395.00000000012</v>
      </c>
      <c r="N136" s="94">
        <f t="shared" si="186"/>
        <v>1208421.5</v>
      </c>
      <c r="O136" s="94">
        <f t="shared" si="186"/>
        <v>170236.09999999998</v>
      </c>
      <c r="P136" s="94">
        <f t="shared" si="186"/>
        <v>138509.49999999997</v>
      </c>
      <c r="Q136" s="94">
        <f t="shared" si="186"/>
        <v>118507.59999999998</v>
      </c>
      <c r="R136" s="94"/>
      <c r="S136" s="94"/>
      <c r="T136" s="94">
        <f>G143</f>
        <v>6033.9</v>
      </c>
      <c r="U136" s="94">
        <f>H143</f>
        <v>4938.4999999999964</v>
      </c>
      <c r="V136" s="94">
        <f>I143</f>
        <v>19947.499999999996</v>
      </c>
      <c r="W136" s="94">
        <f>J143</f>
        <v>2572.6999999999935</v>
      </c>
      <c r="X136" s="94">
        <f>K143</f>
        <v>233700.90000000005</v>
      </c>
      <c r="Y136" s="94">
        <f>L143</f>
        <v>942395.00000000012</v>
      </c>
      <c r="Z136" s="144">
        <f>M143</f>
        <v>1208421.5</v>
      </c>
      <c r="AA136" s="11"/>
      <c r="AB136" s="47"/>
    </row>
    <row r="137" spans="2:28">
      <c r="B137" s="132" t="s">
        <v>109</v>
      </c>
      <c r="C137" s="33"/>
      <c r="D137" s="33">
        <f t="shared" ref="D137:E137" si="187">-C141</f>
        <v>0</v>
      </c>
      <c r="E137" s="33">
        <f t="shared" si="187"/>
        <v>0</v>
      </c>
      <c r="F137" s="33"/>
      <c r="G137" s="33"/>
      <c r="H137" s="33">
        <f t="shared" ref="H137:Q137" si="188">-G141</f>
        <v>0</v>
      </c>
      <c r="I137" s="33">
        <f t="shared" si="188"/>
        <v>0</v>
      </c>
      <c r="J137" s="33">
        <f t="shared" si="188"/>
        <v>0</v>
      </c>
      <c r="K137" s="33">
        <f t="shared" si="188"/>
        <v>0</v>
      </c>
      <c r="L137" s="33">
        <f t="shared" si="188"/>
        <v>40028.300000000003</v>
      </c>
      <c r="M137" s="33">
        <f t="shared" si="188"/>
        <v>0</v>
      </c>
      <c r="N137" s="33">
        <f t="shared" si="188"/>
        <v>0</v>
      </c>
      <c r="O137" s="33">
        <f t="shared" si="188"/>
        <v>0</v>
      </c>
      <c r="P137" s="33">
        <f t="shared" si="188"/>
        <v>0</v>
      </c>
      <c r="Q137" s="33">
        <f t="shared" si="188"/>
        <v>0</v>
      </c>
      <c r="R137" s="33"/>
      <c r="S137" s="33"/>
      <c r="T137" s="33"/>
      <c r="U137" s="33">
        <f>-H141</f>
        <v>0</v>
      </c>
      <c r="V137" s="33">
        <f>-I141</f>
        <v>0</v>
      </c>
      <c r="W137" s="33">
        <f>-J141</f>
        <v>0</v>
      </c>
      <c r="X137" s="33">
        <f>-K141</f>
        <v>40028.300000000003</v>
      </c>
      <c r="Y137" s="33">
        <f>-L141</f>
        <v>0</v>
      </c>
      <c r="Z137" s="136">
        <f>-M141</f>
        <v>0</v>
      </c>
      <c r="AA137" s="11"/>
      <c r="AB137" s="47"/>
    </row>
    <row r="138" spans="2:28">
      <c r="B138" s="90" t="s">
        <v>70</v>
      </c>
      <c r="C138" s="86">
        <f t="shared" ref="C138:E138" si="189">SUM(C136:C137)</f>
        <v>18734.400000000001</v>
      </c>
      <c r="D138" s="86">
        <f t="shared" si="189"/>
        <v>9808.4000000000015</v>
      </c>
      <c r="E138" s="86">
        <f t="shared" si="189"/>
        <v>2572.7000000000089</v>
      </c>
      <c r="F138" s="33"/>
      <c r="G138" s="86">
        <f t="shared" ref="G138:Q138" si="190">SUM(G136:G137)</f>
        <v>9808.4</v>
      </c>
      <c r="H138" s="86">
        <f t="shared" si="190"/>
        <v>6033.9</v>
      </c>
      <c r="I138" s="86">
        <f t="shared" si="190"/>
        <v>4938.4999999999964</v>
      </c>
      <c r="J138" s="86">
        <f t="shared" si="190"/>
        <v>19947.499999999996</v>
      </c>
      <c r="K138" s="86">
        <f t="shared" si="190"/>
        <v>2572.6999999999935</v>
      </c>
      <c r="L138" s="86">
        <f t="shared" si="190"/>
        <v>273729.20000000007</v>
      </c>
      <c r="M138" s="86">
        <f t="shared" si="190"/>
        <v>942395.00000000012</v>
      </c>
      <c r="N138" s="86">
        <f t="shared" si="190"/>
        <v>1208421.5</v>
      </c>
      <c r="O138" s="86">
        <f t="shared" si="190"/>
        <v>170236.09999999998</v>
      </c>
      <c r="P138" s="86">
        <f t="shared" si="190"/>
        <v>138509.49999999997</v>
      </c>
      <c r="Q138" s="86">
        <f t="shared" si="190"/>
        <v>118507.59999999998</v>
      </c>
      <c r="R138" s="33"/>
      <c r="S138" s="134">
        <f t="shared" ref="S138:Z138" si="191">SUM(S136:S137)</f>
        <v>0</v>
      </c>
      <c r="T138" s="134">
        <f t="shared" si="191"/>
        <v>6033.9</v>
      </c>
      <c r="U138" s="134">
        <f t="shared" si="191"/>
        <v>4938.4999999999964</v>
      </c>
      <c r="V138" s="134">
        <f t="shared" si="191"/>
        <v>19947.499999999996</v>
      </c>
      <c r="W138" s="134">
        <f t="shared" si="191"/>
        <v>2572.6999999999935</v>
      </c>
      <c r="X138" s="134">
        <f t="shared" si="191"/>
        <v>273729.20000000007</v>
      </c>
      <c r="Y138" s="134">
        <f t="shared" si="191"/>
        <v>942395.00000000012</v>
      </c>
      <c r="Z138" s="137">
        <f t="shared" si="191"/>
        <v>1208421.5</v>
      </c>
      <c r="AA138" s="11"/>
      <c r="AB138" s="47"/>
    </row>
    <row r="139" spans="2:28" ht="5.0999999999999996" customHeight="1">
      <c r="B139" s="141"/>
      <c r="C139" s="73"/>
      <c r="D139" s="73"/>
      <c r="E139" s="73"/>
      <c r="F139" s="3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33"/>
      <c r="S139" s="73"/>
      <c r="T139" s="73"/>
      <c r="U139" s="73"/>
      <c r="V139" s="73"/>
      <c r="W139" s="73"/>
      <c r="X139" s="73"/>
      <c r="Y139" s="73"/>
      <c r="Z139" s="138"/>
      <c r="AA139" s="11"/>
      <c r="AB139" s="47"/>
    </row>
    <row r="140" spans="2:28">
      <c r="B140" s="132" t="s">
        <v>87</v>
      </c>
      <c r="C140" s="82"/>
      <c r="D140" s="82"/>
      <c r="E140" s="82"/>
      <c r="F140" s="33"/>
      <c r="G140" s="82"/>
      <c r="H140" s="82"/>
      <c r="I140" s="82"/>
      <c r="J140" s="33">
        <f t="shared" ref="J140" si="192">SUM(D140-SUM(G140:I140))</f>
        <v>0</v>
      </c>
      <c r="K140" s="82"/>
      <c r="L140" s="82"/>
      <c r="M140" s="82"/>
      <c r="N140" s="33">
        <f t="shared" ref="N140" si="193">SUM(E140-SUM(K140:M140))</f>
        <v>0</v>
      </c>
      <c r="O140" s="82"/>
      <c r="P140" s="82"/>
      <c r="Q140" s="82"/>
      <c r="R140" s="33"/>
      <c r="S140" s="33">
        <f>SUM(G140:J140)</f>
        <v>0</v>
      </c>
      <c r="T140" s="33">
        <f>SUM(H140:K140)</f>
        <v>0</v>
      </c>
      <c r="U140" s="33">
        <f>SUM(I140:L140)</f>
        <v>0</v>
      </c>
      <c r="V140" s="33">
        <f>SUM(J140:M140)</f>
        <v>0</v>
      </c>
      <c r="W140" s="33">
        <f>SUM(K140:N140)</f>
        <v>0</v>
      </c>
      <c r="X140" s="33">
        <f>SUM(L140:O140)</f>
        <v>0</v>
      </c>
      <c r="Y140" s="33">
        <f>SUM(M140:P140)</f>
        <v>0</v>
      </c>
      <c r="Z140" s="136">
        <f>SUM(N140:Q140)</f>
        <v>0</v>
      </c>
      <c r="AA140" s="11"/>
      <c r="AB140" s="47"/>
    </row>
    <row r="141" spans="2:28">
      <c r="B141" s="132" t="s">
        <v>105</v>
      </c>
      <c r="C141" s="82"/>
      <c r="D141" s="82"/>
      <c r="E141" s="82"/>
      <c r="F141" s="33"/>
      <c r="G141" s="82"/>
      <c r="H141" s="82"/>
      <c r="I141" s="82"/>
      <c r="J141" s="33">
        <f>D141</f>
        <v>0</v>
      </c>
      <c r="K141" s="82">
        <f>-K47</f>
        <v>-40028.300000000003</v>
      </c>
      <c r="L141" s="82"/>
      <c r="M141" s="82">
        <v>0</v>
      </c>
      <c r="N141" s="33">
        <f>E141</f>
        <v>0</v>
      </c>
      <c r="O141" s="82"/>
      <c r="P141" s="82"/>
      <c r="Q141" s="82">
        <v>335838.8</v>
      </c>
      <c r="R141" s="33"/>
      <c r="S141" s="33">
        <f>J141</f>
        <v>0</v>
      </c>
      <c r="T141" s="33">
        <f>K141</f>
        <v>-40028.300000000003</v>
      </c>
      <c r="U141" s="33">
        <f>L141</f>
        <v>0</v>
      </c>
      <c r="V141" s="33">
        <f>M141</f>
        <v>0</v>
      </c>
      <c r="W141" s="33">
        <f>N141</f>
        <v>0</v>
      </c>
      <c r="X141" s="33">
        <f>O141</f>
        <v>0</v>
      </c>
      <c r="Y141" s="33">
        <f>P141</f>
        <v>0</v>
      </c>
      <c r="Z141" s="136">
        <f>Q141</f>
        <v>335838.8</v>
      </c>
      <c r="AA141" s="11"/>
      <c r="AB141" s="47"/>
    </row>
    <row r="142" spans="2:28">
      <c r="B142" s="132" t="s">
        <v>62</v>
      </c>
      <c r="C142" s="33">
        <f>+C133+C122+C113</f>
        <v>-8926</v>
      </c>
      <c r="D142" s="33">
        <f>+D133+D122+D113</f>
        <v>-7235.6999999999925</v>
      </c>
      <c r="E142" s="33">
        <f>+E133+E122+E113</f>
        <v>167663.39999999985</v>
      </c>
      <c r="F142" s="33"/>
      <c r="G142" s="33">
        <f>+G133+G122+G113</f>
        <v>-3774.5000000000005</v>
      </c>
      <c r="H142" s="160">
        <f>+H133+H122+H113</f>
        <v>-1095.4000000000033</v>
      </c>
      <c r="I142" s="33">
        <f>+I133+I122+I113</f>
        <v>15009</v>
      </c>
      <c r="J142" s="33">
        <f>+J133+J122+J113</f>
        <v>-17374.800000000003</v>
      </c>
      <c r="K142" s="33">
        <f>+K133+K122+K113</f>
        <v>271156.50000000006</v>
      </c>
      <c r="L142" s="33">
        <f>+L133+L122+L113</f>
        <v>668665.80000000005</v>
      </c>
      <c r="M142" s="33">
        <f>+M133+M122+M113</f>
        <v>266026.49999999994</v>
      </c>
      <c r="N142" s="33">
        <f>+N133+N122+N113</f>
        <v>-1038185.4</v>
      </c>
      <c r="O142" s="33">
        <f>+O133+O122+O113</f>
        <v>-31726.6</v>
      </c>
      <c r="P142" s="33">
        <f>+P133+P122+P113</f>
        <v>-20001.899999999998</v>
      </c>
      <c r="Q142" s="33">
        <f>+Q133+Q122+Q113</f>
        <v>-54848.5</v>
      </c>
      <c r="R142" s="33"/>
      <c r="S142" s="33">
        <f>SUM(G142:J142)</f>
        <v>-7235.7000000000062</v>
      </c>
      <c r="T142" s="33">
        <f>SUM(H142:K142)</f>
        <v>267695.30000000005</v>
      </c>
      <c r="U142" s="33">
        <f>SUM(I142:L142)</f>
        <v>937456.50000000012</v>
      </c>
      <c r="V142" s="33">
        <f>SUM(J142:M142)</f>
        <v>1188474</v>
      </c>
      <c r="W142" s="33">
        <f>SUM(K142:N142)</f>
        <v>167663.40000000002</v>
      </c>
      <c r="X142" s="33">
        <f>SUM(L142:O142)</f>
        <v>-135219.69999999998</v>
      </c>
      <c r="Y142" s="33">
        <f>SUM(M142:P142)</f>
        <v>-823887.40000000014</v>
      </c>
      <c r="Z142" s="136">
        <f>SUM(N142:Q142)</f>
        <v>-1144762.3999999999</v>
      </c>
      <c r="AA142" s="11"/>
      <c r="AB142" s="47"/>
    </row>
    <row r="143" spans="2:28">
      <c r="B143" s="90" t="s">
        <v>71</v>
      </c>
      <c r="C143" s="86">
        <f t="shared" ref="C143:E143" si="194">SUM(C138:C142)</f>
        <v>9808.4000000000015</v>
      </c>
      <c r="D143" s="86">
        <f t="shared" si="194"/>
        <v>2572.7000000000089</v>
      </c>
      <c r="E143" s="86">
        <f t="shared" si="194"/>
        <v>170236.09999999986</v>
      </c>
      <c r="F143" s="33"/>
      <c r="G143" s="86">
        <f t="shared" ref="G143:Q143" si="195">SUM(G138:G142)</f>
        <v>6033.9</v>
      </c>
      <c r="H143" s="86">
        <f t="shared" si="195"/>
        <v>4938.4999999999964</v>
      </c>
      <c r="I143" s="86">
        <f t="shared" si="195"/>
        <v>19947.499999999996</v>
      </c>
      <c r="J143" s="86">
        <f t="shared" si="195"/>
        <v>2572.6999999999935</v>
      </c>
      <c r="K143" s="86">
        <f t="shared" si="195"/>
        <v>233700.90000000005</v>
      </c>
      <c r="L143" s="86">
        <f t="shared" si="195"/>
        <v>942395.00000000012</v>
      </c>
      <c r="M143" s="86">
        <f t="shared" si="195"/>
        <v>1208421.5</v>
      </c>
      <c r="N143" s="86">
        <f t="shared" si="195"/>
        <v>170236.09999999998</v>
      </c>
      <c r="O143" s="86">
        <f t="shared" si="195"/>
        <v>138509.49999999997</v>
      </c>
      <c r="P143" s="86">
        <f t="shared" si="195"/>
        <v>118507.59999999998</v>
      </c>
      <c r="Q143" s="86">
        <f t="shared" si="195"/>
        <v>399497.89999999997</v>
      </c>
      <c r="R143" s="33"/>
      <c r="S143" s="135">
        <f t="shared" ref="S143:Z143" si="196">SUM(S138:S142)</f>
        <v>-7235.7000000000062</v>
      </c>
      <c r="T143" s="135">
        <f t="shared" si="196"/>
        <v>233700.90000000005</v>
      </c>
      <c r="U143" s="135">
        <f t="shared" si="196"/>
        <v>942395.00000000012</v>
      </c>
      <c r="V143" s="135">
        <f t="shared" si="196"/>
        <v>1208421.5</v>
      </c>
      <c r="W143" s="135">
        <f t="shared" si="196"/>
        <v>170236.1</v>
      </c>
      <c r="X143" s="135">
        <f t="shared" si="196"/>
        <v>138509.50000000009</v>
      </c>
      <c r="Y143" s="135">
        <f t="shared" si="196"/>
        <v>118507.59999999998</v>
      </c>
      <c r="Z143" s="139">
        <f t="shared" si="196"/>
        <v>399497.90000000014</v>
      </c>
      <c r="AA143" s="11"/>
      <c r="AB143" s="47"/>
    </row>
    <row r="144" spans="2:28" ht="5.0999999999999996" customHeight="1">
      <c r="B144" s="91"/>
      <c r="C144" s="67"/>
      <c r="D144" s="67"/>
      <c r="E144" s="67"/>
      <c r="F144" s="33"/>
      <c r="G144" s="67"/>
      <c r="H144" s="67"/>
      <c r="I144" s="67"/>
      <c r="J144" s="67"/>
      <c r="K144" s="67"/>
      <c r="L144" s="67"/>
      <c r="M144" s="67"/>
      <c r="N144" s="67"/>
      <c r="O144" s="67"/>
      <c r="P144" s="67"/>
      <c r="Q144" s="67"/>
      <c r="S144" s="11"/>
      <c r="T144" s="11"/>
      <c r="U144" s="11"/>
      <c r="V144" s="11"/>
      <c r="W144" s="11"/>
      <c r="X144" s="11"/>
      <c r="Y144" s="11"/>
      <c r="Z144" s="92"/>
      <c r="AA144" s="11"/>
      <c r="AB144" s="47"/>
    </row>
    <row r="145" spans="2:28">
      <c r="B145" s="142" t="s">
        <v>93</v>
      </c>
      <c r="C145" s="88">
        <f>ROUND(C143-C46,1)</f>
        <v>0</v>
      </c>
      <c r="D145" s="88">
        <f>ROUND(D143-D46,1)</f>
        <v>0</v>
      </c>
      <c r="E145" s="88">
        <f>ROUND(E143-E46,1)</f>
        <v>0</v>
      </c>
      <c r="F145" s="89"/>
      <c r="G145" s="88">
        <f>ROUND(G143-G46,1)</f>
        <v>0</v>
      </c>
      <c r="H145" s="88">
        <f>ROUND(H143-H46,1)</f>
        <v>2503.1999999999998</v>
      </c>
      <c r="I145" s="88">
        <f>ROUND(I143-I46,1)</f>
        <v>18108.5</v>
      </c>
      <c r="J145" s="88">
        <f>ROUND(J143-J46,1)</f>
        <v>0</v>
      </c>
      <c r="K145" s="88">
        <f>ROUND(K143-K46,1)</f>
        <v>0</v>
      </c>
      <c r="L145" s="88">
        <f>ROUND(L143-L46,1)</f>
        <v>598440.6</v>
      </c>
      <c r="M145" s="88">
        <f>ROUND(M143-M46,1)</f>
        <v>836285.8</v>
      </c>
      <c r="N145" s="88">
        <f>ROUND(N143-N46,1)</f>
        <v>0</v>
      </c>
      <c r="O145" s="88">
        <f>ROUND(O143-O46,1)</f>
        <v>-7617.9</v>
      </c>
      <c r="P145" s="88">
        <f>ROUND(P143-P46,1)</f>
        <v>-1225394.1000000001</v>
      </c>
      <c r="Q145" s="88">
        <f>ROUND(Q143-Q46,1)</f>
        <v>233425.2</v>
      </c>
      <c r="R145" s="88"/>
      <c r="S145" s="88">
        <f>ROUND(S143-S46,1)</f>
        <v>-9808.4</v>
      </c>
      <c r="T145" s="88">
        <f>ROUND(T143-T46,1)</f>
        <v>0</v>
      </c>
      <c r="U145" s="88">
        <f>ROUND(U143-U46,1)</f>
        <v>598440.6</v>
      </c>
      <c r="V145" s="88">
        <f>ROUND(V143-V46,1)</f>
        <v>836285.8</v>
      </c>
      <c r="W145" s="88">
        <f>ROUND(W143-W46,1)</f>
        <v>0</v>
      </c>
      <c r="X145" s="88">
        <f>ROUND(X143-X46,1)</f>
        <v>-7617.9</v>
      </c>
      <c r="Y145" s="88">
        <f>ROUND(Y143-Y46,1)</f>
        <v>-1225394.1000000001</v>
      </c>
      <c r="Z145" s="140">
        <f>ROUND(Z143-Z46,1)</f>
        <v>233425.2</v>
      </c>
      <c r="AA145" s="11"/>
      <c r="AB145" s="47"/>
    </row>
    <row r="146" spans="2:28" ht="5.0999999999999996" customHeight="1">
      <c r="B146" s="8"/>
      <c r="C146" s="67"/>
      <c r="D146" s="67"/>
      <c r="E146" s="67"/>
      <c r="F146" s="33"/>
      <c r="G146" s="67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S146" s="11"/>
      <c r="T146" s="11"/>
      <c r="U146" s="11"/>
      <c r="V146" s="11"/>
      <c r="W146" s="11"/>
      <c r="X146" s="11"/>
      <c r="Y146" s="11"/>
      <c r="Z146" s="11"/>
      <c r="AA146" s="11"/>
      <c r="AB146" s="47"/>
    </row>
    <row r="147" spans="2:28" ht="12.75" customHeight="1">
      <c r="B147" s="74" t="s">
        <v>63</v>
      </c>
      <c r="C147" s="64"/>
      <c r="D147" s="64"/>
      <c r="E147" s="64"/>
      <c r="F147" s="11"/>
      <c r="G147" s="64"/>
      <c r="H147" s="64"/>
      <c r="I147" s="64"/>
      <c r="J147" s="64"/>
      <c r="K147" s="64"/>
      <c r="L147" s="64"/>
      <c r="M147" s="64"/>
      <c r="N147" s="64"/>
      <c r="O147" s="82"/>
      <c r="P147" s="64"/>
      <c r="Q147" s="64"/>
      <c r="S147" s="64"/>
      <c r="T147" s="64"/>
      <c r="U147" s="64"/>
      <c r="V147" s="64"/>
      <c r="W147" s="64"/>
      <c r="X147" s="64"/>
      <c r="Y147" s="64"/>
      <c r="Z147" s="64"/>
      <c r="AA147" s="68"/>
      <c r="AB147" s="47"/>
    </row>
    <row r="148" spans="2:28" ht="12.75" customHeight="1">
      <c r="B148" s="8" t="s">
        <v>107</v>
      </c>
      <c r="C148" s="82"/>
      <c r="D148" s="82"/>
      <c r="E148" s="82"/>
      <c r="F148" s="11"/>
      <c r="G148" s="82">
        <v>0</v>
      </c>
      <c r="H148" s="82">
        <v>0</v>
      </c>
      <c r="I148" s="82">
        <v>0</v>
      </c>
      <c r="J148" s="33">
        <f t="shared" ref="J148:J149" si="197">SUM(D148-SUM(G148:I148))</f>
        <v>0</v>
      </c>
      <c r="K148" s="82">
        <v>0</v>
      </c>
      <c r="L148" s="82">
        <v>1897.7</v>
      </c>
      <c r="M148" s="82">
        <v>1897.7</v>
      </c>
      <c r="N148" s="33">
        <f t="shared" ref="N148:N149" si="198">SUM(E148-SUM(K148:M148))</f>
        <v>-3795.4</v>
      </c>
      <c r="O148" s="82"/>
      <c r="P148" s="82"/>
      <c r="Q148" s="82">
        <v>895.7</v>
      </c>
      <c r="S148" s="33">
        <f>SUM(G148:J148)</f>
        <v>0</v>
      </c>
      <c r="T148" s="33">
        <f>SUM(H148:K148)</f>
        <v>0</v>
      </c>
      <c r="U148" s="33">
        <f>SUM(I148:L148)</f>
        <v>1897.7</v>
      </c>
      <c r="V148" s="33">
        <f>SUM(J148:M148)</f>
        <v>3795.4</v>
      </c>
      <c r="W148" s="33">
        <f>SUM(K148:N148)</f>
        <v>0</v>
      </c>
      <c r="X148" s="33">
        <f>SUM(L148:O148)</f>
        <v>0</v>
      </c>
      <c r="Y148" s="33">
        <f>SUM(M148:P148)</f>
        <v>-1897.7</v>
      </c>
      <c r="Z148" s="33">
        <f>SUM(N148:Q148)</f>
        <v>-2899.7</v>
      </c>
      <c r="AA148" s="68"/>
      <c r="AB148" s="47"/>
    </row>
    <row r="149" spans="2:28" ht="12.75" customHeight="1">
      <c r="B149" s="8" t="s">
        <v>108</v>
      </c>
      <c r="C149" s="82"/>
      <c r="D149" s="82"/>
      <c r="E149" s="82"/>
      <c r="F149" s="33"/>
      <c r="G149" s="82">
        <v>0</v>
      </c>
      <c r="H149" s="82">
        <v>0</v>
      </c>
      <c r="I149" s="82">
        <v>0</v>
      </c>
      <c r="J149" s="33">
        <f t="shared" si="197"/>
        <v>0</v>
      </c>
      <c r="K149" s="82">
        <v>0</v>
      </c>
      <c r="L149" s="82">
        <v>0</v>
      </c>
      <c r="M149" s="82">
        <v>126.4</v>
      </c>
      <c r="N149" s="33">
        <f t="shared" si="198"/>
        <v>-126.4</v>
      </c>
      <c r="O149" s="82"/>
      <c r="P149" s="82"/>
      <c r="Q149" s="82">
        <v>370.4</v>
      </c>
      <c r="R149" s="33"/>
      <c r="S149" s="33">
        <f>SUM(G149:J149)</f>
        <v>0</v>
      </c>
      <c r="T149" s="33">
        <f>SUM(H149:K149)</f>
        <v>0</v>
      </c>
      <c r="U149" s="33">
        <f>SUM(I149:L149)</f>
        <v>0</v>
      </c>
      <c r="V149" s="33">
        <f>SUM(J149:M149)</f>
        <v>126.4</v>
      </c>
      <c r="W149" s="33">
        <f>SUM(K149:N149)</f>
        <v>0</v>
      </c>
      <c r="X149" s="33">
        <f>SUM(L149:O149)</f>
        <v>0</v>
      </c>
      <c r="Y149" s="33">
        <f>SUM(M149:P149)</f>
        <v>0</v>
      </c>
      <c r="Z149" s="33">
        <f>SUM(N149:Q149)</f>
        <v>243.99999999999997</v>
      </c>
      <c r="AA149" s="11"/>
      <c r="AB149" s="47"/>
    </row>
    <row r="150" spans="2:28" ht="5.0999999999999996" customHeight="1" thickBot="1">
      <c r="B150" s="75"/>
      <c r="C150" s="76"/>
      <c r="D150" s="76"/>
      <c r="E150" s="76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B150" s="47"/>
    </row>
    <row r="151" spans="2:28" ht="12.75" customHeight="1">
      <c r="B151" s="149"/>
      <c r="C151" s="149"/>
      <c r="D151" s="149"/>
      <c r="E151" s="149"/>
      <c r="F151" s="149"/>
      <c r="G151" s="149"/>
      <c r="H151" s="149"/>
      <c r="I151" s="149"/>
      <c r="J151" s="149"/>
      <c r="K151" s="149"/>
      <c r="L151" s="149"/>
      <c r="M151" s="149"/>
      <c r="N151" s="149"/>
      <c r="O151" s="149"/>
      <c r="P151" s="149"/>
      <c r="Q151" s="149"/>
      <c r="R151" s="149"/>
      <c r="S151" s="149"/>
      <c r="T151" s="149"/>
      <c r="U151" s="149"/>
      <c r="V151" s="149"/>
      <c r="W151" s="149"/>
      <c r="X151" s="149"/>
      <c r="Y151" s="149"/>
      <c r="Z151" s="131"/>
      <c r="AB151" s="47"/>
    </row>
    <row r="152" spans="2:28" ht="12.75" customHeight="1">
      <c r="B152" s="55"/>
      <c r="C152" s="69"/>
      <c r="D152" s="69"/>
      <c r="E152" s="69"/>
    </row>
    <row r="153" spans="2:28" ht="12.75" customHeight="1">
      <c r="C153" s="58"/>
      <c r="D153" s="58"/>
      <c r="E153" s="58"/>
    </row>
    <row r="154" spans="2:28" ht="12.75" customHeight="1">
      <c r="C154" s="58"/>
      <c r="D154" s="58"/>
      <c r="E154" s="58"/>
    </row>
    <row r="155" spans="2:28" ht="12.75" customHeight="1">
      <c r="C155" s="58"/>
      <c r="D155" s="58"/>
      <c r="E155" s="58"/>
    </row>
    <row r="156" spans="2:28" ht="12.75" customHeight="1">
      <c r="C156" s="58"/>
      <c r="D156" s="58"/>
      <c r="E156" s="58"/>
    </row>
    <row r="157" spans="2:28" ht="12.75" customHeight="1">
      <c r="C157" s="58"/>
      <c r="D157" s="58"/>
      <c r="E157" s="58"/>
      <c r="G157" s="87"/>
      <c r="H157" s="87"/>
      <c r="I157" s="87"/>
      <c r="J157" s="87"/>
      <c r="K157" s="87"/>
      <c r="L157" s="87"/>
    </row>
    <row r="158" spans="2:28" ht="12.75" customHeight="1">
      <c r="C158" s="58"/>
      <c r="D158" s="58"/>
      <c r="E158" s="58"/>
    </row>
    <row r="159" spans="2:28" ht="12.75" customHeight="1">
      <c r="C159" s="58"/>
      <c r="D159" s="58"/>
      <c r="E159" s="58"/>
      <c r="G159" s="87"/>
      <c r="H159" s="87"/>
      <c r="I159" s="87"/>
      <c r="J159" s="87"/>
      <c r="K159" s="87"/>
      <c r="L159" s="87"/>
    </row>
    <row r="160" spans="2:28">
      <c r="G160" s="87"/>
      <c r="H160" s="87"/>
      <c r="I160" s="87"/>
      <c r="J160" s="87"/>
      <c r="K160" s="87"/>
      <c r="L160" s="87"/>
    </row>
    <row r="161" spans="7:12">
      <c r="G161" s="87"/>
      <c r="H161" s="87"/>
      <c r="I161" s="87"/>
      <c r="J161" s="87"/>
      <c r="K161" s="87"/>
      <c r="L161" s="87"/>
    </row>
    <row r="163" spans="7:12">
      <c r="G163" s="87"/>
      <c r="H163" s="87"/>
      <c r="I163" s="87"/>
      <c r="J163" s="87"/>
      <c r="K163" s="87"/>
      <c r="L163" s="87"/>
    </row>
    <row r="164" spans="7:12">
      <c r="G164" s="87"/>
      <c r="H164" s="87"/>
      <c r="I164" s="87"/>
      <c r="J164" s="87"/>
      <c r="K164" s="87"/>
      <c r="L164" s="87"/>
    </row>
  </sheetData>
  <mergeCells count="4">
    <mergeCell ref="B151:Y151"/>
    <mergeCell ref="AB6:AB8"/>
    <mergeCell ref="AB41:AB43"/>
    <mergeCell ref="AB90:AB92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Y15:Y16 Y33 F52 S23:W24 S28:W30" formulaRange="1"/>
    <ignoredError sqref="C15:E16 C23:E24 C28:E30 C32:E34 G15:Q16 G22:Q24 G32:Q34 G28:Q30 Z122:AB124 Z113:AB116 Z125:AB125" evalError="1"/>
    <ignoredError sqref="S140:Z141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I83"/>
  <sheetViews>
    <sheetView showGridLines="0" zoomScaleNormal="100" workbookViewId="0">
      <selection activeCell="B2" sqref="B2"/>
    </sheetView>
  </sheetViews>
  <sheetFormatPr defaultRowHeight="12" outlineLevelCol="1"/>
  <cols>
    <col min="1" max="1" width="1.5" style="8" customWidth="1"/>
    <col min="2" max="2" width="41.625" style="8" customWidth="1"/>
    <col min="3" max="4" width="8.625" style="8" hidden="1" customWidth="1" outlineLevel="1"/>
    <col min="5" max="5" width="9" style="8" bestFit="1" customWidth="1" collapsed="1"/>
    <col min="6" max="6" width="9.25" style="8" bestFit="1" customWidth="1"/>
    <col min="7" max="7" width="9" style="8"/>
    <col min="8" max="8" width="1.5" style="8" customWidth="1"/>
    <col min="9" max="10" width="8" style="8" customWidth="1" outlineLevel="1"/>
    <col min="11" max="14" width="8.875" style="8" customWidth="1" outlineLevel="1"/>
    <col min="15" max="19" width="8.875" style="8" bestFit="1" customWidth="1"/>
    <col min="20" max="20" width="1.625" style="8" customWidth="1"/>
    <col min="21" max="21" width="9" style="8" hidden="1" customWidth="1" outlineLevel="1"/>
    <col min="22" max="22" width="8.625" style="8" hidden="1" customWidth="1" outlineLevel="1"/>
    <col min="23" max="23" width="8.5" style="8" hidden="1" customWidth="1" outlineLevel="1"/>
    <col min="24" max="25" width="8.25" style="8" hidden="1" customWidth="1" outlineLevel="1"/>
    <col min="26" max="26" width="9.25" style="8" hidden="1" customWidth="1" outlineLevel="1"/>
    <col min="27" max="27" width="9.75" style="8" hidden="1" customWidth="1" outlineLevel="1"/>
    <col min="28" max="28" width="9" style="8" hidden="1" customWidth="1" outlineLevel="1"/>
    <col min="29" max="29" width="9" style="8" customWidth="1" collapsed="1"/>
    <col min="30" max="31" width="9" style="8" hidden="1" customWidth="1" outlineLevel="1"/>
    <col min="32" max="32" width="8.5" style="8" hidden="1" customWidth="1" outlineLevel="1"/>
    <col min="33" max="33" width="8.5" style="8" bestFit="1" customWidth="1" collapsed="1"/>
    <col min="34" max="34" width="1.5" style="8" customWidth="1"/>
    <col min="35" max="35" width="9.375" style="130" bestFit="1" customWidth="1"/>
    <col min="36" max="16384" width="9" style="8"/>
  </cols>
  <sheetData>
    <row r="2" spans="2:35" s="5" customFormat="1" ht="12.75" customHeight="1">
      <c r="B2" s="1" t="str">
        <f>'Historical Financials'!B2</f>
        <v>Trump Media &amp; Technology Group Corp  (NASDAQ: DJT)</v>
      </c>
      <c r="C2" s="2" t="s">
        <v>0</v>
      </c>
      <c r="D2" s="2"/>
      <c r="E2" s="2" t="s">
        <v>0</v>
      </c>
      <c r="F2" s="2"/>
      <c r="G2" s="2"/>
      <c r="H2" s="3"/>
      <c r="I2" s="2" t="s">
        <v>1</v>
      </c>
      <c r="J2" s="2"/>
      <c r="K2" s="2"/>
      <c r="L2" s="2"/>
      <c r="M2" s="2"/>
      <c r="N2" s="2"/>
      <c r="O2" s="2" t="s">
        <v>1</v>
      </c>
      <c r="P2" s="2"/>
      <c r="Q2" s="2"/>
      <c r="R2" s="2"/>
      <c r="S2" s="2"/>
      <c r="T2" s="3"/>
      <c r="U2" s="2" t="s">
        <v>10</v>
      </c>
      <c r="V2" s="2"/>
      <c r="W2" s="2"/>
      <c r="X2" s="2"/>
      <c r="Y2" s="2"/>
      <c r="Z2" s="2"/>
      <c r="AA2" s="2"/>
      <c r="AB2" s="2" t="s">
        <v>10</v>
      </c>
      <c r="AC2" s="2" t="s">
        <v>10</v>
      </c>
      <c r="AD2" s="2"/>
      <c r="AE2" s="2"/>
      <c r="AF2" s="2"/>
      <c r="AG2" s="2"/>
      <c r="AH2" s="3"/>
      <c r="AI2" s="153" t="s">
        <v>23</v>
      </c>
    </row>
    <row r="3" spans="2:35" s="5" customFormat="1" ht="12.75" customHeight="1">
      <c r="B3" s="6" t="s">
        <v>24</v>
      </c>
      <c r="C3" s="7" t="e">
        <f>'Historical Financials'!#REF!</f>
        <v>#REF!</v>
      </c>
      <c r="D3" s="7" t="e">
        <f>'Historical Financials'!#REF!</f>
        <v>#REF!</v>
      </c>
      <c r="E3" s="7">
        <f>'Historical Financials'!C7</f>
        <v>2022</v>
      </c>
      <c r="F3" s="7">
        <f>'Historical Financials'!D7</f>
        <v>2023</v>
      </c>
      <c r="G3" s="7">
        <f>'Historical Financials'!E7</f>
        <v>2024</v>
      </c>
      <c r="H3" s="3"/>
      <c r="I3" s="7" t="str">
        <f>'Historical Financials'!G7</f>
        <v>1Q23</v>
      </c>
      <c r="J3" s="7" t="str">
        <f>'Historical Financials'!H7</f>
        <v>2Q23</v>
      </c>
      <c r="K3" s="7" t="str">
        <f>'Historical Financials'!I7</f>
        <v>3Q23</v>
      </c>
      <c r="L3" s="7" t="str">
        <f>'Historical Financials'!J7</f>
        <v>4Q23</v>
      </c>
      <c r="M3" s="7" t="str">
        <f>'Historical Financials'!K7</f>
        <v>1Q24</v>
      </c>
      <c r="N3" s="7" t="str">
        <f>'Historical Financials'!L7</f>
        <v>2Q24</v>
      </c>
      <c r="O3" s="7" t="str">
        <f>'Historical Financials'!M7</f>
        <v>3Q24</v>
      </c>
      <c r="P3" s="7" t="str">
        <f>'Historical Financials'!N7</f>
        <v>4Q24</v>
      </c>
      <c r="Q3" s="7" t="str">
        <f>'Historical Financials'!O7</f>
        <v>1Q25</v>
      </c>
      <c r="R3" s="7" t="str">
        <f>'Historical Financials'!P7</f>
        <v>2Q25</v>
      </c>
      <c r="S3" s="7" t="str">
        <f>'Historical Financials'!Q7</f>
        <v>3Q25</v>
      </c>
      <c r="T3" s="3"/>
      <c r="U3" s="4" t="e">
        <f>#REF!</f>
        <v>#REF!</v>
      </c>
      <c r="V3" s="4" t="e">
        <f>#REF!</f>
        <v>#REF!</v>
      </c>
      <c r="W3" s="4" t="str">
        <f t="shared" ref="W3:AG4" si="0">I3</f>
        <v>1Q23</v>
      </c>
      <c r="X3" s="4" t="str">
        <f t="shared" si="0"/>
        <v>2Q23</v>
      </c>
      <c r="Y3" s="4" t="str">
        <f t="shared" si="0"/>
        <v>3Q23</v>
      </c>
      <c r="Z3" s="4" t="str">
        <f t="shared" si="0"/>
        <v>4Q23</v>
      </c>
      <c r="AA3" s="4" t="str">
        <f t="shared" si="0"/>
        <v>1Q24</v>
      </c>
      <c r="AB3" s="4" t="str">
        <f t="shared" si="0"/>
        <v>2Q24</v>
      </c>
      <c r="AC3" s="4" t="str">
        <f t="shared" si="0"/>
        <v>3Q24</v>
      </c>
      <c r="AD3" s="4" t="str">
        <f t="shared" si="0"/>
        <v>4Q24</v>
      </c>
      <c r="AE3" s="4" t="str">
        <f t="shared" si="0"/>
        <v>1Q25</v>
      </c>
      <c r="AF3" s="4" t="str">
        <f t="shared" si="0"/>
        <v>2Q25</v>
      </c>
      <c r="AG3" s="4" t="str">
        <f t="shared" si="0"/>
        <v>3Q25</v>
      </c>
      <c r="AH3" s="3"/>
      <c r="AI3" s="153"/>
    </row>
    <row r="4" spans="2:35" s="5" customFormat="1" ht="12.75" customHeight="1">
      <c r="B4" s="6" t="s">
        <v>73</v>
      </c>
      <c r="C4" s="3" t="e">
        <f>'Historical Financials'!#REF!</f>
        <v>#REF!</v>
      </c>
      <c r="D4" s="3" t="e">
        <f>'Historical Financials'!#REF!</f>
        <v>#REF!</v>
      </c>
      <c r="E4" s="3">
        <f>'Historical Financials'!C8</f>
        <v>44926</v>
      </c>
      <c r="F4" s="3">
        <f>'Historical Financials'!D8</f>
        <v>45291</v>
      </c>
      <c r="G4" s="3">
        <f>'Historical Financials'!E8</f>
        <v>45657</v>
      </c>
      <c r="H4" s="3"/>
      <c r="I4" s="3">
        <f>'Historical Financials'!G8</f>
        <v>45016</v>
      </c>
      <c r="J4" s="3">
        <f>'Historical Financials'!H8</f>
        <v>45107</v>
      </c>
      <c r="K4" s="3">
        <f>'Historical Financials'!I8</f>
        <v>45199</v>
      </c>
      <c r="L4" s="3">
        <f>'Historical Financials'!J8</f>
        <v>45291</v>
      </c>
      <c r="M4" s="3">
        <f>'Historical Financials'!K8</f>
        <v>45382</v>
      </c>
      <c r="N4" s="3">
        <f>'Historical Financials'!L8</f>
        <v>45473</v>
      </c>
      <c r="O4" s="3">
        <f>'Historical Financials'!M8</f>
        <v>45565</v>
      </c>
      <c r="P4" s="3">
        <f>'Historical Financials'!N8</f>
        <v>45657</v>
      </c>
      <c r="Q4" s="3">
        <f>'Historical Financials'!O8</f>
        <v>45747</v>
      </c>
      <c r="R4" s="3">
        <f>'Historical Financials'!P8</f>
        <v>45838</v>
      </c>
      <c r="S4" s="3">
        <f>'Historical Financials'!Q8</f>
        <v>45930</v>
      </c>
      <c r="T4" s="3"/>
      <c r="U4" s="3" t="e">
        <f>#REF!</f>
        <v>#REF!</v>
      </c>
      <c r="V4" s="3" t="e">
        <f>#REF!</f>
        <v>#REF!</v>
      </c>
      <c r="W4" s="3">
        <f t="shared" si="0"/>
        <v>45016</v>
      </c>
      <c r="X4" s="3">
        <f t="shared" si="0"/>
        <v>45107</v>
      </c>
      <c r="Y4" s="3">
        <f t="shared" si="0"/>
        <v>45199</v>
      </c>
      <c r="Z4" s="3">
        <f t="shared" si="0"/>
        <v>45291</v>
      </c>
      <c r="AA4" s="3">
        <f t="shared" si="0"/>
        <v>45382</v>
      </c>
      <c r="AB4" s="3">
        <f t="shared" si="0"/>
        <v>45473</v>
      </c>
      <c r="AC4" s="3">
        <f t="shared" si="0"/>
        <v>45565</v>
      </c>
      <c r="AD4" s="3">
        <f t="shared" si="0"/>
        <v>45657</v>
      </c>
      <c r="AE4" s="3">
        <f t="shared" si="0"/>
        <v>45747</v>
      </c>
      <c r="AF4" s="3">
        <f t="shared" si="0"/>
        <v>45838</v>
      </c>
      <c r="AG4" s="3">
        <f t="shared" si="0"/>
        <v>45930</v>
      </c>
      <c r="AH4" s="3"/>
      <c r="AI4" s="153"/>
    </row>
    <row r="5" spans="2:35" ht="5.0999999999999996" customHeight="1">
      <c r="AI5" s="126"/>
    </row>
    <row r="6" spans="2:35" ht="12.75" customHeight="1">
      <c r="B6" s="9"/>
      <c r="C6" s="95"/>
      <c r="D6" s="95"/>
      <c r="E6" s="95"/>
      <c r="F6" s="95"/>
      <c r="G6" s="95"/>
      <c r="H6" s="10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5"/>
      <c r="U6" s="10">
        <f>SUM(H6:H6)</f>
        <v>0</v>
      </c>
      <c r="V6" s="10" t="e">
        <f>SUM(#REF!)</f>
        <v>#REF!</v>
      </c>
      <c r="W6" s="10">
        <f>SUM(I6:I6)</f>
        <v>0</v>
      </c>
      <c r="X6" s="10">
        <f>SUM(I6:J6)</f>
        <v>0</v>
      </c>
      <c r="Y6" s="10">
        <f>SUM(I6:K6)</f>
        <v>0</v>
      </c>
      <c r="Z6" s="10">
        <f t="shared" ref="Z6:AG6" si="1">SUM(I6:L6)</f>
        <v>0</v>
      </c>
      <c r="AA6" s="10">
        <f t="shared" si="1"/>
        <v>0</v>
      </c>
      <c r="AB6" s="10">
        <f t="shared" si="1"/>
        <v>0</v>
      </c>
      <c r="AC6" s="146">
        <f t="shared" si="1"/>
        <v>0</v>
      </c>
      <c r="AD6" s="146">
        <f t="shared" si="1"/>
        <v>0</v>
      </c>
      <c r="AE6" s="146">
        <f t="shared" si="1"/>
        <v>0</v>
      </c>
      <c r="AF6" s="146">
        <f t="shared" si="1"/>
        <v>0</v>
      </c>
      <c r="AG6" s="146">
        <f t="shared" si="1"/>
        <v>0</v>
      </c>
      <c r="AI6" s="127" t="e">
        <f t="shared" ref="AI6:AI11" si="2">SUM(AG6/AC6)-1</f>
        <v>#DIV/0!</v>
      </c>
    </row>
    <row r="7" spans="2:35" ht="12.75" customHeight="1">
      <c r="B7" s="9"/>
      <c r="C7" s="95"/>
      <c r="D7" s="95"/>
      <c r="E7" s="95"/>
      <c r="F7" s="95"/>
      <c r="G7" s="95"/>
      <c r="H7" s="10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5"/>
      <c r="U7" s="10"/>
      <c r="V7" s="10"/>
      <c r="W7" s="10"/>
      <c r="X7" s="10"/>
      <c r="Y7" s="10"/>
      <c r="Z7" s="10"/>
      <c r="AA7" s="10"/>
      <c r="AB7" s="10"/>
      <c r="AC7" s="146">
        <f t="shared" ref="AC7:AG9" si="3">SUM(L7:O7)</f>
        <v>0</v>
      </c>
      <c r="AD7" s="146">
        <f t="shared" si="3"/>
        <v>0</v>
      </c>
      <c r="AE7" s="146">
        <f t="shared" si="3"/>
        <v>0</v>
      </c>
      <c r="AF7" s="146">
        <f t="shared" si="3"/>
        <v>0</v>
      </c>
      <c r="AG7" s="146">
        <f t="shared" si="3"/>
        <v>0</v>
      </c>
      <c r="AI7" s="127" t="e">
        <f t="shared" si="2"/>
        <v>#DIV/0!</v>
      </c>
    </row>
    <row r="8" spans="2:35" ht="12.75" customHeight="1">
      <c r="B8" s="9"/>
      <c r="C8" s="95"/>
      <c r="D8" s="95"/>
      <c r="E8" s="95"/>
      <c r="F8" s="95"/>
      <c r="G8" s="95"/>
      <c r="H8" s="10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5"/>
      <c r="U8" s="10"/>
      <c r="V8" s="10"/>
      <c r="W8" s="10"/>
      <c r="X8" s="10"/>
      <c r="Y8" s="10"/>
      <c r="Z8" s="10"/>
      <c r="AA8" s="10"/>
      <c r="AB8" s="10"/>
      <c r="AC8" s="146">
        <f t="shared" si="3"/>
        <v>0</v>
      </c>
      <c r="AD8" s="146">
        <f t="shared" si="3"/>
        <v>0</v>
      </c>
      <c r="AE8" s="146">
        <f t="shared" si="3"/>
        <v>0</v>
      </c>
      <c r="AF8" s="146">
        <f t="shared" si="3"/>
        <v>0</v>
      </c>
      <c r="AG8" s="146">
        <f t="shared" si="3"/>
        <v>0</v>
      </c>
      <c r="AI8" s="127" t="e">
        <f t="shared" si="2"/>
        <v>#DIV/0!</v>
      </c>
    </row>
    <row r="9" spans="2:35" ht="12.75" customHeight="1">
      <c r="B9" s="9"/>
      <c r="C9" s="95"/>
      <c r="D9" s="95"/>
      <c r="E9" s="95"/>
      <c r="F9" s="95"/>
      <c r="G9" s="95"/>
      <c r="H9" s="10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5"/>
      <c r="U9" s="10"/>
      <c r="V9" s="10"/>
      <c r="W9" s="10"/>
      <c r="X9" s="10"/>
      <c r="Y9" s="10"/>
      <c r="Z9" s="10"/>
      <c r="AA9" s="10"/>
      <c r="AB9" s="10"/>
      <c r="AC9" s="146">
        <f t="shared" si="3"/>
        <v>0</v>
      </c>
      <c r="AD9" s="146">
        <f t="shared" si="3"/>
        <v>0</v>
      </c>
      <c r="AE9" s="146">
        <f t="shared" si="3"/>
        <v>0</v>
      </c>
      <c r="AF9" s="146">
        <f t="shared" si="3"/>
        <v>0</v>
      </c>
      <c r="AG9" s="146">
        <f t="shared" si="3"/>
        <v>0</v>
      </c>
      <c r="AI9" s="127" t="e">
        <f t="shared" si="2"/>
        <v>#DIV/0!</v>
      </c>
    </row>
    <row r="10" spans="2:35" ht="12.75" customHeight="1">
      <c r="B10" s="9"/>
      <c r="C10" s="95"/>
      <c r="D10" s="95"/>
      <c r="E10" s="95"/>
      <c r="F10" s="95"/>
      <c r="G10" s="95"/>
      <c r="H10" s="10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5"/>
      <c r="U10" s="10"/>
      <c r="V10" s="10"/>
      <c r="W10" s="10"/>
      <c r="X10" s="10"/>
      <c r="Y10" s="10"/>
      <c r="Z10" s="10"/>
      <c r="AA10" s="10"/>
      <c r="AB10" s="10"/>
      <c r="AC10" s="146">
        <f t="shared" ref="AC10" si="4">SUM(L10:O10)</f>
        <v>0</v>
      </c>
      <c r="AD10" s="146">
        <f t="shared" ref="AD10" si="5">SUM(M10:P10)</f>
        <v>0</v>
      </c>
      <c r="AE10" s="146">
        <f t="shared" ref="AE10" si="6">SUM(N10:Q10)</f>
        <v>0</v>
      </c>
      <c r="AF10" s="146">
        <f t="shared" ref="AF10" si="7">SUM(O10:R10)</f>
        <v>0</v>
      </c>
      <c r="AG10" s="146">
        <f t="shared" ref="AG10" si="8">SUM(P10:S10)</f>
        <v>0</v>
      </c>
      <c r="AI10" s="127" t="e">
        <f t="shared" si="2"/>
        <v>#DIV/0!</v>
      </c>
    </row>
    <row r="11" spans="2:35" ht="12.75" customHeight="1">
      <c r="B11" s="13" t="s">
        <v>12</v>
      </c>
      <c r="C11" s="14">
        <f>SUM(C6:C10)</f>
        <v>0</v>
      </c>
      <c r="D11" s="14">
        <f t="shared" ref="D11:G11" si="9">SUM(D6:D10)</f>
        <v>0</v>
      </c>
      <c r="E11" s="14">
        <f t="shared" si="9"/>
        <v>0</v>
      </c>
      <c r="F11" s="14">
        <f t="shared" si="9"/>
        <v>0</v>
      </c>
      <c r="G11" s="14">
        <f t="shared" si="9"/>
        <v>0</v>
      </c>
      <c r="H11" s="10"/>
      <c r="I11" s="14">
        <f t="shared" ref="I11" si="10">SUM(I6:I10)</f>
        <v>0</v>
      </c>
      <c r="J11" s="14">
        <f t="shared" ref="J11" si="11">SUM(J6:J10)</f>
        <v>0</v>
      </c>
      <c r="K11" s="14">
        <f t="shared" ref="K11" si="12">SUM(K6:K10)</f>
        <v>0</v>
      </c>
      <c r="L11" s="14">
        <f t="shared" ref="L11" si="13">SUM(L6:L10)</f>
        <v>0</v>
      </c>
      <c r="M11" s="14">
        <f t="shared" ref="M11" si="14">SUM(M6:M10)</f>
        <v>0</v>
      </c>
      <c r="N11" s="14">
        <f t="shared" ref="N11" si="15">SUM(N6:N10)</f>
        <v>0</v>
      </c>
      <c r="O11" s="14">
        <f t="shared" ref="O11" si="16">SUM(O6:O10)</f>
        <v>0</v>
      </c>
      <c r="P11" s="14">
        <f t="shared" ref="P11" si="17">SUM(P6:P10)</f>
        <v>0</v>
      </c>
      <c r="Q11" s="14">
        <f t="shared" ref="Q11" si="18">SUM(Q6:Q10)</f>
        <v>0</v>
      </c>
      <c r="R11" s="14">
        <f t="shared" ref="R11" si="19">SUM(R6:R10)</f>
        <v>0</v>
      </c>
      <c r="S11" s="14">
        <f t="shared" ref="S11" si="20">SUM(S6:S10)</f>
        <v>0</v>
      </c>
      <c r="T11" s="5"/>
      <c r="U11" s="14">
        <f t="shared" ref="U11" si="21">SUM(U6:U10)</f>
        <v>0</v>
      </c>
      <c r="V11" s="14" t="e">
        <f t="shared" ref="V11" si="22">SUM(V6:V10)</f>
        <v>#REF!</v>
      </c>
      <c r="W11" s="14">
        <f t="shared" ref="W11" si="23">SUM(W6:W10)</f>
        <v>0</v>
      </c>
      <c r="X11" s="14">
        <f t="shared" ref="X11" si="24">SUM(X6:X10)</f>
        <v>0</v>
      </c>
      <c r="Y11" s="14">
        <f t="shared" ref="Y11" si="25">SUM(Y6:Y10)</f>
        <v>0</v>
      </c>
      <c r="Z11" s="14">
        <f t="shared" ref="Z11" si="26">SUM(Z6:Z10)</f>
        <v>0</v>
      </c>
      <c r="AA11" s="14">
        <f t="shared" ref="AA11" si="27">SUM(AA6:AA10)</f>
        <v>0</v>
      </c>
      <c r="AB11" s="14">
        <f t="shared" ref="AB11" si="28">SUM(AB6:AB10)</f>
        <v>0</v>
      </c>
      <c r="AC11" s="14">
        <f t="shared" ref="AC11" si="29">SUM(AC6:AC10)</f>
        <v>0</v>
      </c>
      <c r="AD11" s="14">
        <f t="shared" ref="AD11" si="30">SUM(AD6:AD10)</f>
        <v>0</v>
      </c>
      <c r="AE11" s="14">
        <f t="shared" ref="AE11" si="31">SUM(AE6:AE10)</f>
        <v>0</v>
      </c>
      <c r="AF11" s="14">
        <f t="shared" ref="AF11" si="32">SUM(AF6:AF10)</f>
        <v>0</v>
      </c>
      <c r="AG11" s="14">
        <f t="shared" ref="AG11" si="33">SUM(AG6:AG10)</f>
        <v>0</v>
      </c>
      <c r="AI11" s="128" t="e">
        <f t="shared" si="2"/>
        <v>#DIV/0!</v>
      </c>
    </row>
    <row r="12" spans="2:35" ht="12.75" customHeight="1">
      <c r="B12" s="16" t="s">
        <v>27</v>
      </c>
      <c r="C12" s="17"/>
      <c r="D12" s="18" t="e">
        <f>SUM(D11/C11)-1</f>
        <v>#DIV/0!</v>
      </c>
      <c r="E12" s="18" t="e">
        <f>SUM(E11/D11)-1</f>
        <v>#DIV/0!</v>
      </c>
      <c r="F12" s="18" t="e">
        <f>SUM(F11/E11)-1</f>
        <v>#DIV/0!</v>
      </c>
      <c r="G12" s="18" t="e">
        <f>SUM(G11/F11)-1</f>
        <v>#DIV/0!</v>
      </c>
      <c r="H12" s="11"/>
      <c r="I12" s="18" t="e">
        <f>SUM(I11/#REF!)-1</f>
        <v>#REF!</v>
      </c>
      <c r="J12" s="18" t="e">
        <f>SUM(J11/#REF!)-1</f>
        <v>#REF!</v>
      </c>
      <c r="K12" s="18" t="e">
        <f>SUM(K11/#REF!)-1</f>
        <v>#REF!</v>
      </c>
      <c r="L12" s="18" t="e">
        <f>SUM(L11/#REF!)-1</f>
        <v>#REF!</v>
      </c>
      <c r="M12" s="18" t="e">
        <f t="shared" ref="M12:S12" si="34">SUM(M11/I11)-1</f>
        <v>#DIV/0!</v>
      </c>
      <c r="N12" s="18" t="e">
        <f t="shared" si="34"/>
        <v>#DIV/0!</v>
      </c>
      <c r="O12" s="18" t="e">
        <f t="shared" si="34"/>
        <v>#DIV/0!</v>
      </c>
      <c r="P12" s="18" t="e">
        <f t="shared" si="34"/>
        <v>#DIV/0!</v>
      </c>
      <c r="Q12" s="18" t="e">
        <f t="shared" si="34"/>
        <v>#DIV/0!</v>
      </c>
      <c r="R12" s="18" t="e">
        <f t="shared" si="34"/>
        <v>#DIV/0!</v>
      </c>
      <c r="S12" s="18" t="e">
        <f t="shared" si="34"/>
        <v>#DIV/0!</v>
      </c>
      <c r="T12" s="5"/>
      <c r="U12" s="116"/>
      <c r="V12" s="116"/>
      <c r="W12" s="116"/>
      <c r="X12" s="116"/>
      <c r="Y12" s="18" t="e">
        <f t="shared" ref="Y12:AG12" si="35">SUM(Y11/U11)-1</f>
        <v>#DIV/0!</v>
      </c>
      <c r="Z12" s="18" t="e">
        <f t="shared" si="35"/>
        <v>#REF!</v>
      </c>
      <c r="AA12" s="18" t="e">
        <f t="shared" si="35"/>
        <v>#DIV/0!</v>
      </c>
      <c r="AB12" s="18" t="e">
        <f t="shared" si="35"/>
        <v>#DIV/0!</v>
      </c>
      <c r="AC12" s="18" t="e">
        <f t="shared" si="35"/>
        <v>#DIV/0!</v>
      </c>
      <c r="AD12" s="18" t="e">
        <f t="shared" si="35"/>
        <v>#DIV/0!</v>
      </c>
      <c r="AE12" s="18" t="e">
        <f t="shared" si="35"/>
        <v>#DIV/0!</v>
      </c>
      <c r="AF12" s="18" t="e">
        <f t="shared" si="35"/>
        <v>#DIV/0!</v>
      </c>
      <c r="AG12" s="18" t="e">
        <f t="shared" si="35"/>
        <v>#DIV/0!</v>
      </c>
      <c r="AI12" s="129" t="e">
        <f>SUM(AG12-AC12)*10000</f>
        <v>#DIV/0!</v>
      </c>
    </row>
    <row r="13" spans="2:35" ht="12.75" customHeight="1">
      <c r="B13" s="16" t="s">
        <v>28</v>
      </c>
      <c r="C13" s="18" t="s">
        <v>29</v>
      </c>
      <c r="D13" s="18" t="s">
        <v>29</v>
      </c>
      <c r="E13" s="18" t="s">
        <v>29</v>
      </c>
      <c r="F13" s="18" t="s">
        <v>29</v>
      </c>
      <c r="G13" s="18" t="s">
        <v>29</v>
      </c>
      <c r="H13" s="11"/>
      <c r="I13" s="18" t="e">
        <f>SUM(I11/#REF!)-1</f>
        <v>#REF!</v>
      </c>
      <c r="J13" s="18" t="e">
        <f t="shared" ref="J13:S13" si="36">SUM(J11/I11)-1</f>
        <v>#DIV/0!</v>
      </c>
      <c r="K13" s="18" t="e">
        <f t="shared" si="36"/>
        <v>#DIV/0!</v>
      </c>
      <c r="L13" s="18" t="e">
        <f t="shared" si="36"/>
        <v>#DIV/0!</v>
      </c>
      <c r="M13" s="18" t="e">
        <f t="shared" si="36"/>
        <v>#DIV/0!</v>
      </c>
      <c r="N13" s="18" t="e">
        <f t="shared" si="36"/>
        <v>#DIV/0!</v>
      </c>
      <c r="O13" s="18" t="e">
        <f t="shared" si="36"/>
        <v>#DIV/0!</v>
      </c>
      <c r="P13" s="18" t="e">
        <f t="shared" si="36"/>
        <v>#DIV/0!</v>
      </c>
      <c r="Q13" s="18" t="e">
        <f t="shared" si="36"/>
        <v>#DIV/0!</v>
      </c>
      <c r="R13" s="18" t="e">
        <f t="shared" si="36"/>
        <v>#DIV/0!</v>
      </c>
      <c r="S13" s="18" t="e">
        <f t="shared" si="36"/>
        <v>#DIV/0!</v>
      </c>
      <c r="T13" s="5"/>
      <c r="U13" s="18" t="s">
        <v>29</v>
      </c>
      <c r="V13" s="18" t="s">
        <v>29</v>
      </c>
      <c r="W13" s="18" t="s">
        <v>29</v>
      </c>
      <c r="X13" s="18" t="s">
        <v>29</v>
      </c>
      <c r="Y13" s="18" t="s">
        <v>29</v>
      </c>
      <c r="Z13" s="18" t="s">
        <v>29</v>
      </c>
      <c r="AA13" s="18" t="s">
        <v>29</v>
      </c>
      <c r="AB13" s="18" t="s">
        <v>29</v>
      </c>
      <c r="AC13" s="18" t="s">
        <v>29</v>
      </c>
      <c r="AD13" s="18" t="s">
        <v>29</v>
      </c>
      <c r="AE13" s="18" t="s">
        <v>29</v>
      </c>
      <c r="AF13" s="18" t="s">
        <v>29</v>
      </c>
      <c r="AG13" s="18" t="s">
        <v>29</v>
      </c>
      <c r="AI13" s="126"/>
    </row>
    <row r="14" spans="2:35" ht="5.0999999999999996" customHeight="1">
      <c r="B14" s="19"/>
      <c r="C14" s="95"/>
      <c r="D14" s="20"/>
      <c r="E14" s="20"/>
      <c r="F14" s="20"/>
      <c r="G14" s="20"/>
      <c r="H14" s="21"/>
      <c r="I14" s="22"/>
      <c r="J14" s="22"/>
      <c r="K14" s="22"/>
      <c r="L14" s="23"/>
      <c r="M14" s="22"/>
      <c r="N14" s="22"/>
      <c r="O14" s="22"/>
      <c r="P14" s="22"/>
      <c r="Q14" s="22"/>
      <c r="R14" s="22"/>
      <c r="S14" s="22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I14" s="126"/>
    </row>
    <row r="15" spans="2:35" ht="12.75" customHeight="1">
      <c r="B15" s="24" t="s">
        <v>124</v>
      </c>
      <c r="C15" s="95" t="e">
        <f>('Historical Financials'!#REF!)/1000</f>
        <v>#REF!</v>
      </c>
      <c r="D15" s="95" t="e">
        <f>('Historical Financials'!#REF!)/1000</f>
        <v>#REF!</v>
      </c>
      <c r="E15" s="95"/>
      <c r="F15" s="95"/>
      <c r="G15" s="95"/>
      <c r="H15" s="10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5"/>
      <c r="U15" s="10"/>
      <c r="V15" s="10"/>
      <c r="W15" s="10"/>
      <c r="X15" s="10"/>
      <c r="Y15" s="10"/>
      <c r="Z15" s="10"/>
      <c r="AA15" s="10"/>
      <c r="AB15" s="10"/>
      <c r="AC15" s="146">
        <f t="shared" ref="AC15" si="37">SUM(L15:O15)</f>
        <v>0</v>
      </c>
      <c r="AD15" s="146">
        <f t="shared" ref="AD15" si="38">SUM(M15:P15)</f>
        <v>0</v>
      </c>
      <c r="AE15" s="146">
        <f t="shared" ref="AE15" si="39">SUM(N15:Q15)</f>
        <v>0</v>
      </c>
      <c r="AF15" s="146">
        <f t="shared" ref="AF15" si="40">SUM(O15:R15)</f>
        <v>0</v>
      </c>
      <c r="AG15" s="146">
        <f t="shared" ref="AG15" si="41">SUM(P15:S15)</f>
        <v>0</v>
      </c>
      <c r="AI15" s="127"/>
    </row>
    <row r="16" spans="2:35" ht="12.75" customHeight="1">
      <c r="B16" s="26" t="s">
        <v>21</v>
      </c>
      <c r="C16" s="27" t="e">
        <f>SUM(C11+SUM(C15:C15))</f>
        <v>#REF!</v>
      </c>
      <c r="D16" s="27" t="e">
        <f>SUM(D11+SUM(D15:D15))</f>
        <v>#REF!</v>
      </c>
      <c r="E16" s="27">
        <f>SUM(E11+SUM(E15:E15))</f>
        <v>0</v>
      </c>
      <c r="F16" s="27">
        <f>SUM(F11+SUM(F15:F15))</f>
        <v>0</v>
      </c>
      <c r="G16" s="27">
        <f>SUM(G11+SUM(G15:G15))</f>
        <v>0</v>
      </c>
      <c r="H16" s="5"/>
      <c r="I16" s="27">
        <f t="shared" ref="I16:S16" si="42">SUM(I11+SUM(I15:I15))</f>
        <v>0</v>
      </c>
      <c r="J16" s="27">
        <f t="shared" si="42"/>
        <v>0</v>
      </c>
      <c r="K16" s="27">
        <f t="shared" si="42"/>
        <v>0</v>
      </c>
      <c r="L16" s="27">
        <f t="shared" si="42"/>
        <v>0</v>
      </c>
      <c r="M16" s="27">
        <f t="shared" si="42"/>
        <v>0</v>
      </c>
      <c r="N16" s="27">
        <f t="shared" si="42"/>
        <v>0</v>
      </c>
      <c r="O16" s="27">
        <f t="shared" si="42"/>
        <v>0</v>
      </c>
      <c r="P16" s="27">
        <f t="shared" si="42"/>
        <v>0</v>
      </c>
      <c r="Q16" s="27">
        <f t="shared" si="42"/>
        <v>0</v>
      </c>
      <c r="R16" s="27">
        <f t="shared" si="42"/>
        <v>0</v>
      </c>
      <c r="S16" s="27">
        <f t="shared" si="42"/>
        <v>0</v>
      </c>
      <c r="T16" s="5"/>
      <c r="U16" s="27">
        <f t="shared" ref="U16:AG16" si="43">SUM(U11+SUM(U15:U15))</f>
        <v>0</v>
      </c>
      <c r="V16" s="27" t="e">
        <f t="shared" si="43"/>
        <v>#REF!</v>
      </c>
      <c r="W16" s="27">
        <f t="shared" si="43"/>
        <v>0</v>
      </c>
      <c r="X16" s="27">
        <f t="shared" si="43"/>
        <v>0</v>
      </c>
      <c r="Y16" s="27">
        <f t="shared" si="43"/>
        <v>0</v>
      </c>
      <c r="Z16" s="27">
        <f t="shared" si="43"/>
        <v>0</v>
      </c>
      <c r="AA16" s="27">
        <f t="shared" si="43"/>
        <v>0</v>
      </c>
      <c r="AB16" s="27">
        <f t="shared" si="43"/>
        <v>0</v>
      </c>
      <c r="AC16" s="27">
        <f t="shared" si="43"/>
        <v>0</v>
      </c>
      <c r="AD16" s="27">
        <f t="shared" si="43"/>
        <v>0</v>
      </c>
      <c r="AE16" s="27">
        <f t="shared" si="43"/>
        <v>0</v>
      </c>
      <c r="AF16" s="27">
        <f t="shared" si="43"/>
        <v>0</v>
      </c>
      <c r="AG16" s="27">
        <f t="shared" si="43"/>
        <v>0</v>
      </c>
      <c r="AI16" s="128" t="e">
        <f>SUM(AG16/AC16)-1</f>
        <v>#DIV/0!</v>
      </c>
    </row>
    <row r="17" spans="2:35" ht="12.75" customHeight="1">
      <c r="B17" s="16" t="s">
        <v>30</v>
      </c>
      <c r="C17" s="18" t="e">
        <f>C16/C11</f>
        <v>#REF!</v>
      </c>
      <c r="D17" s="18" t="e">
        <f>D16/D11</f>
        <v>#REF!</v>
      </c>
      <c r="E17" s="18" t="e">
        <f>E16/E11</f>
        <v>#DIV/0!</v>
      </c>
      <c r="F17" s="18" t="e">
        <f>F16/F11</f>
        <v>#DIV/0!</v>
      </c>
      <c r="G17" s="18" t="e">
        <f>G16/G11</f>
        <v>#DIV/0!</v>
      </c>
      <c r="H17" s="28"/>
      <c r="I17" s="18" t="e">
        <f t="shared" ref="I17:S17" si="44">I16/I11</f>
        <v>#DIV/0!</v>
      </c>
      <c r="J17" s="18" t="e">
        <f t="shared" si="44"/>
        <v>#DIV/0!</v>
      </c>
      <c r="K17" s="18" t="e">
        <f t="shared" si="44"/>
        <v>#DIV/0!</v>
      </c>
      <c r="L17" s="18" t="e">
        <f t="shared" si="44"/>
        <v>#DIV/0!</v>
      </c>
      <c r="M17" s="18" t="e">
        <f t="shared" si="44"/>
        <v>#DIV/0!</v>
      </c>
      <c r="N17" s="18" t="e">
        <f t="shared" si="44"/>
        <v>#DIV/0!</v>
      </c>
      <c r="O17" s="18" t="e">
        <f t="shared" si="44"/>
        <v>#DIV/0!</v>
      </c>
      <c r="P17" s="18" t="e">
        <f t="shared" si="44"/>
        <v>#DIV/0!</v>
      </c>
      <c r="Q17" s="18" t="e">
        <f t="shared" si="44"/>
        <v>#DIV/0!</v>
      </c>
      <c r="R17" s="18" t="e">
        <f t="shared" si="44"/>
        <v>#DIV/0!</v>
      </c>
      <c r="S17" s="18" t="e">
        <f t="shared" si="44"/>
        <v>#DIV/0!</v>
      </c>
      <c r="T17" s="29"/>
      <c r="U17" s="18" t="e">
        <f t="shared" ref="U17:AG17" si="45">U16/U11</f>
        <v>#DIV/0!</v>
      </c>
      <c r="V17" s="18" t="e">
        <f t="shared" si="45"/>
        <v>#REF!</v>
      </c>
      <c r="W17" s="18" t="e">
        <f t="shared" si="45"/>
        <v>#DIV/0!</v>
      </c>
      <c r="X17" s="18" t="e">
        <f t="shared" si="45"/>
        <v>#DIV/0!</v>
      </c>
      <c r="Y17" s="18" t="e">
        <f t="shared" si="45"/>
        <v>#DIV/0!</v>
      </c>
      <c r="Z17" s="18" t="e">
        <f t="shared" si="45"/>
        <v>#DIV/0!</v>
      </c>
      <c r="AA17" s="18" t="e">
        <f t="shared" si="45"/>
        <v>#DIV/0!</v>
      </c>
      <c r="AB17" s="18" t="e">
        <f t="shared" si="45"/>
        <v>#DIV/0!</v>
      </c>
      <c r="AC17" s="18" t="e">
        <f t="shared" si="45"/>
        <v>#DIV/0!</v>
      </c>
      <c r="AD17" s="18" t="e">
        <f t="shared" si="45"/>
        <v>#DIV/0!</v>
      </c>
      <c r="AE17" s="18" t="e">
        <f t="shared" si="45"/>
        <v>#DIV/0!</v>
      </c>
      <c r="AF17" s="18" t="e">
        <f t="shared" si="45"/>
        <v>#DIV/0!</v>
      </c>
      <c r="AG17" s="18" t="e">
        <f t="shared" si="45"/>
        <v>#DIV/0!</v>
      </c>
      <c r="AI17" s="129" t="e">
        <f>SUM(AG17-AC17)*10000</f>
        <v>#DIV/0!</v>
      </c>
    </row>
    <row r="18" spans="2:35" ht="5.0999999999999996" customHeight="1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5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I18" s="126"/>
    </row>
    <row r="19" spans="2:35" ht="12.75" customHeight="1">
      <c r="B19" s="24" t="s">
        <v>125</v>
      </c>
      <c r="C19" s="145" t="e">
        <f>('Historical Financials'!#REF!)/1000</f>
        <v>#REF!</v>
      </c>
      <c r="D19" s="145" t="e">
        <f>('Historical Financials'!#REF!)/1000</f>
        <v>#REF!</v>
      </c>
      <c r="E19" s="145"/>
      <c r="F19" s="145"/>
      <c r="G19" s="145"/>
      <c r="H19" s="9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5"/>
      <c r="U19" s="10">
        <f>SUM(H19:H19)</f>
        <v>0</v>
      </c>
      <c r="V19" s="10" t="e">
        <f>SUM(#REF!)</f>
        <v>#REF!</v>
      </c>
      <c r="W19" s="10">
        <f>SUM(I19:I19)</f>
        <v>0</v>
      </c>
      <c r="X19" s="10">
        <f>SUM(I19:J19)</f>
        <v>0</v>
      </c>
      <c r="Y19" s="10">
        <f>SUM(I19:K19)</f>
        <v>0</v>
      </c>
      <c r="Z19" s="10">
        <f t="shared" ref="Z19:AG22" si="46">SUM(I19:L19)</f>
        <v>0</v>
      </c>
      <c r="AA19" s="10">
        <f t="shared" si="46"/>
        <v>0</v>
      </c>
      <c r="AB19" s="10">
        <f t="shared" si="46"/>
        <v>0</v>
      </c>
      <c r="AC19" s="146">
        <f t="shared" si="46"/>
        <v>0</v>
      </c>
      <c r="AD19" s="146">
        <f t="shared" si="46"/>
        <v>0</v>
      </c>
      <c r="AE19" s="146">
        <f t="shared" si="46"/>
        <v>0</v>
      </c>
      <c r="AF19" s="146">
        <f t="shared" si="46"/>
        <v>0</v>
      </c>
      <c r="AG19" s="146">
        <f t="shared" si="46"/>
        <v>0</v>
      </c>
      <c r="AI19" s="127" t="e">
        <f>SUM(AG19/AC19)-1</f>
        <v>#DIV/0!</v>
      </c>
    </row>
    <row r="20" spans="2:35" ht="12.75" customHeight="1">
      <c r="B20" s="24" t="s">
        <v>125</v>
      </c>
      <c r="C20" s="145" t="e">
        <f>('Historical Financials'!#REF!)/1000</f>
        <v>#REF!</v>
      </c>
      <c r="D20" s="145" t="e">
        <f>('Historical Financials'!#REF!)/1000</f>
        <v>#REF!</v>
      </c>
      <c r="E20" s="145"/>
      <c r="F20" s="145"/>
      <c r="G20" s="145"/>
      <c r="H20" s="9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5"/>
      <c r="U20" s="10">
        <f>SUM(H20:H20)</f>
        <v>0</v>
      </c>
      <c r="V20" s="10" t="e">
        <f>SUM(#REF!)</f>
        <v>#REF!</v>
      </c>
      <c r="W20" s="10">
        <f>SUM(I20:I20)</f>
        <v>0</v>
      </c>
      <c r="X20" s="10">
        <f>SUM(I20:J20)</f>
        <v>0</v>
      </c>
      <c r="Y20" s="10">
        <f>SUM(I20:K20)</f>
        <v>0</v>
      </c>
      <c r="Z20" s="10">
        <f t="shared" ref="Z20" si="47">SUM(I20:L20)</f>
        <v>0</v>
      </c>
      <c r="AA20" s="10">
        <f t="shared" ref="AA20" si="48">SUM(J20:M20)</f>
        <v>0</v>
      </c>
      <c r="AB20" s="10">
        <f t="shared" ref="AB20" si="49">SUM(K20:N20)</f>
        <v>0</v>
      </c>
      <c r="AC20" s="146">
        <f t="shared" ref="AC20" si="50">SUM(L20:O20)</f>
        <v>0</v>
      </c>
      <c r="AD20" s="146">
        <f t="shared" ref="AD20" si="51">SUM(M20:P20)</f>
        <v>0</v>
      </c>
      <c r="AE20" s="146">
        <f t="shared" ref="AE20" si="52">SUM(N20:Q20)</f>
        <v>0</v>
      </c>
      <c r="AF20" s="146">
        <f t="shared" ref="AF20" si="53">SUM(O20:R20)</f>
        <v>0</v>
      </c>
      <c r="AG20" s="146">
        <f t="shared" ref="AG20" si="54">SUM(P20:S20)</f>
        <v>0</v>
      </c>
      <c r="AI20" s="127" t="e">
        <f>SUM(AG20/AC20)-1</f>
        <v>#DIV/0!</v>
      </c>
    </row>
    <row r="21" spans="2:35" ht="12.75" customHeight="1">
      <c r="B21" s="24" t="s">
        <v>125</v>
      </c>
      <c r="C21" s="145" t="e">
        <f>('Historical Financials'!#REF!)/1000</f>
        <v>#REF!</v>
      </c>
      <c r="D21" s="145" t="e">
        <f>('Historical Financials'!#REF!)/1000</f>
        <v>#REF!</v>
      </c>
      <c r="E21" s="145"/>
      <c r="F21" s="145"/>
      <c r="G21" s="145"/>
      <c r="H21" s="9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5"/>
      <c r="U21" s="10">
        <f>SUM(H21:H21)</f>
        <v>0</v>
      </c>
      <c r="V21" s="10" t="e">
        <f>SUM(#REF!)</f>
        <v>#REF!</v>
      </c>
      <c r="W21" s="10">
        <f>SUM(I21:I21)</f>
        <v>0</v>
      </c>
      <c r="X21" s="10">
        <f>SUM(I21:J21)</f>
        <v>0</v>
      </c>
      <c r="Y21" s="10">
        <f>SUM(I21:K21)</f>
        <v>0</v>
      </c>
      <c r="Z21" s="10">
        <f t="shared" si="46"/>
        <v>0</v>
      </c>
      <c r="AA21" s="10">
        <f t="shared" si="46"/>
        <v>0</v>
      </c>
      <c r="AB21" s="10">
        <f t="shared" si="46"/>
        <v>0</v>
      </c>
      <c r="AC21" s="146">
        <f t="shared" si="46"/>
        <v>0</v>
      </c>
      <c r="AD21" s="146">
        <f t="shared" si="46"/>
        <v>0</v>
      </c>
      <c r="AE21" s="146">
        <f t="shared" si="46"/>
        <v>0</v>
      </c>
      <c r="AF21" s="146">
        <f t="shared" si="46"/>
        <v>0</v>
      </c>
      <c r="AG21" s="146">
        <f t="shared" si="46"/>
        <v>0</v>
      </c>
      <c r="AI21" s="127" t="e">
        <f>SUM(AG21/AC21)-1</f>
        <v>#DIV/0!</v>
      </c>
    </row>
    <row r="22" spans="2:35" ht="12.75" customHeight="1">
      <c r="B22" s="24" t="s">
        <v>125</v>
      </c>
      <c r="C22" s="145" t="e">
        <f>('Historical Financials'!#REF!)/1000</f>
        <v>#REF!</v>
      </c>
      <c r="D22" s="145" t="e">
        <f>('Historical Financials'!#REF!)/1000</f>
        <v>#REF!</v>
      </c>
      <c r="E22" s="145"/>
      <c r="F22" s="145"/>
      <c r="G22" s="145"/>
      <c r="H22" s="9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5"/>
      <c r="U22" s="10">
        <f>SUM(H22:H22)</f>
        <v>0</v>
      </c>
      <c r="V22" s="10" t="e">
        <f>SUM(#REF!)</f>
        <v>#REF!</v>
      </c>
      <c r="W22" s="10">
        <f>SUM(I22:I22)</f>
        <v>0</v>
      </c>
      <c r="X22" s="10">
        <f>SUM(I22:J22)</f>
        <v>0</v>
      </c>
      <c r="Y22" s="10">
        <f>SUM(I22:K22)</f>
        <v>0</v>
      </c>
      <c r="Z22" s="10">
        <f t="shared" si="46"/>
        <v>0</v>
      </c>
      <c r="AA22" s="10">
        <f t="shared" si="46"/>
        <v>0</v>
      </c>
      <c r="AB22" s="10">
        <f t="shared" si="46"/>
        <v>0</v>
      </c>
      <c r="AC22" s="146">
        <f t="shared" si="46"/>
        <v>0</v>
      </c>
      <c r="AD22" s="146">
        <f t="shared" si="46"/>
        <v>0</v>
      </c>
      <c r="AE22" s="146">
        <f t="shared" si="46"/>
        <v>0</v>
      </c>
      <c r="AF22" s="146">
        <f t="shared" si="46"/>
        <v>0</v>
      </c>
      <c r="AG22" s="146">
        <f t="shared" si="46"/>
        <v>0</v>
      </c>
      <c r="AI22" s="127" t="e">
        <f>SUM(AG22/AC22)-1</f>
        <v>#DIV/0!</v>
      </c>
    </row>
    <row r="23" spans="2:35" ht="12.75" customHeight="1">
      <c r="B23" s="13" t="s">
        <v>31</v>
      </c>
      <c r="C23" s="14" t="e">
        <f>SUM(C16+SUM(C19:C22))</f>
        <v>#REF!</v>
      </c>
      <c r="D23" s="14" t="e">
        <f>SUM(D16+SUM(D19:D22))</f>
        <v>#REF!</v>
      </c>
      <c r="E23" s="14">
        <f>SUM(E16+SUM(E19:E22))</f>
        <v>0</v>
      </c>
      <c r="F23" s="14">
        <f>SUM(F16+SUM(F19:F22))</f>
        <v>0</v>
      </c>
      <c r="G23" s="14">
        <f>SUM(G16+SUM(G19:G22))</f>
        <v>0</v>
      </c>
      <c r="H23" s="11"/>
      <c r="I23" s="14">
        <f t="shared" ref="I23:S23" si="55">SUM(I16+SUM(I19:I22))</f>
        <v>0</v>
      </c>
      <c r="J23" s="14">
        <f t="shared" si="55"/>
        <v>0</v>
      </c>
      <c r="K23" s="14">
        <f t="shared" si="55"/>
        <v>0</v>
      </c>
      <c r="L23" s="14">
        <f t="shared" si="55"/>
        <v>0</v>
      </c>
      <c r="M23" s="14">
        <f t="shared" si="55"/>
        <v>0</v>
      </c>
      <c r="N23" s="14">
        <f t="shared" si="55"/>
        <v>0</v>
      </c>
      <c r="O23" s="14">
        <f t="shared" si="55"/>
        <v>0</v>
      </c>
      <c r="P23" s="14">
        <f t="shared" si="55"/>
        <v>0</v>
      </c>
      <c r="Q23" s="14">
        <f t="shared" si="55"/>
        <v>0</v>
      </c>
      <c r="R23" s="14">
        <f t="shared" si="55"/>
        <v>0</v>
      </c>
      <c r="S23" s="14">
        <f t="shared" si="55"/>
        <v>0</v>
      </c>
      <c r="T23" s="5"/>
      <c r="U23" s="14">
        <f t="shared" ref="U23:AG23" si="56">SUM(U16+SUM(U19:U22))</f>
        <v>0</v>
      </c>
      <c r="V23" s="14" t="e">
        <f t="shared" si="56"/>
        <v>#REF!</v>
      </c>
      <c r="W23" s="14">
        <f t="shared" si="56"/>
        <v>0</v>
      </c>
      <c r="X23" s="14">
        <f t="shared" si="56"/>
        <v>0</v>
      </c>
      <c r="Y23" s="14">
        <f t="shared" si="56"/>
        <v>0</v>
      </c>
      <c r="Z23" s="14">
        <f t="shared" si="56"/>
        <v>0</v>
      </c>
      <c r="AA23" s="14">
        <f t="shared" si="56"/>
        <v>0</v>
      </c>
      <c r="AB23" s="14">
        <f t="shared" si="56"/>
        <v>0</v>
      </c>
      <c r="AC23" s="14">
        <f t="shared" si="56"/>
        <v>0</v>
      </c>
      <c r="AD23" s="14">
        <f t="shared" si="56"/>
        <v>0</v>
      </c>
      <c r="AE23" s="14">
        <f t="shared" si="56"/>
        <v>0</v>
      </c>
      <c r="AF23" s="14">
        <f t="shared" si="56"/>
        <v>0</v>
      </c>
      <c r="AG23" s="14">
        <f t="shared" si="56"/>
        <v>0</v>
      </c>
      <c r="AI23" s="128" t="e">
        <f>SUM(AG23/AC23)-1</f>
        <v>#DIV/0!</v>
      </c>
    </row>
    <row r="24" spans="2:35" ht="12.75" customHeight="1">
      <c r="B24" s="16" t="s">
        <v>32</v>
      </c>
      <c r="C24" s="18" t="e">
        <f>C23/C11</f>
        <v>#REF!</v>
      </c>
      <c r="D24" s="18" t="e">
        <f>D23/D11</f>
        <v>#REF!</v>
      </c>
      <c r="E24" s="18" t="e">
        <f>E23/E11</f>
        <v>#DIV/0!</v>
      </c>
      <c r="F24" s="18" t="e">
        <f>F23/F11</f>
        <v>#DIV/0!</v>
      </c>
      <c r="G24" s="18" t="e">
        <f>G23/G11</f>
        <v>#DIV/0!</v>
      </c>
      <c r="H24" s="28"/>
      <c r="I24" s="18" t="e">
        <f t="shared" ref="I24:S24" si="57">I23/I11</f>
        <v>#DIV/0!</v>
      </c>
      <c r="J24" s="18" t="e">
        <f t="shared" si="57"/>
        <v>#DIV/0!</v>
      </c>
      <c r="K24" s="18" t="e">
        <f t="shared" si="57"/>
        <v>#DIV/0!</v>
      </c>
      <c r="L24" s="18" t="e">
        <f t="shared" si="57"/>
        <v>#DIV/0!</v>
      </c>
      <c r="M24" s="18" t="e">
        <f t="shared" si="57"/>
        <v>#DIV/0!</v>
      </c>
      <c r="N24" s="18" t="e">
        <f t="shared" si="57"/>
        <v>#DIV/0!</v>
      </c>
      <c r="O24" s="18" t="e">
        <f t="shared" si="57"/>
        <v>#DIV/0!</v>
      </c>
      <c r="P24" s="18" t="e">
        <f t="shared" si="57"/>
        <v>#DIV/0!</v>
      </c>
      <c r="Q24" s="18" t="e">
        <f t="shared" si="57"/>
        <v>#DIV/0!</v>
      </c>
      <c r="R24" s="18" t="e">
        <f t="shared" si="57"/>
        <v>#DIV/0!</v>
      </c>
      <c r="S24" s="18" t="e">
        <f t="shared" si="57"/>
        <v>#DIV/0!</v>
      </c>
      <c r="T24" s="29"/>
      <c r="U24" s="18" t="e">
        <f t="shared" ref="U24:AG24" si="58">U23/U11</f>
        <v>#DIV/0!</v>
      </c>
      <c r="V24" s="18" t="e">
        <f t="shared" si="58"/>
        <v>#REF!</v>
      </c>
      <c r="W24" s="18" t="e">
        <f t="shared" si="58"/>
        <v>#DIV/0!</v>
      </c>
      <c r="X24" s="18" t="e">
        <f t="shared" si="58"/>
        <v>#DIV/0!</v>
      </c>
      <c r="Y24" s="18" t="e">
        <f t="shared" si="58"/>
        <v>#DIV/0!</v>
      </c>
      <c r="Z24" s="18" t="e">
        <f t="shared" si="58"/>
        <v>#DIV/0!</v>
      </c>
      <c r="AA24" s="18" t="e">
        <f t="shared" si="58"/>
        <v>#DIV/0!</v>
      </c>
      <c r="AB24" s="18" t="e">
        <f t="shared" si="58"/>
        <v>#DIV/0!</v>
      </c>
      <c r="AC24" s="18" t="e">
        <f t="shared" si="58"/>
        <v>#DIV/0!</v>
      </c>
      <c r="AD24" s="18" t="e">
        <f t="shared" si="58"/>
        <v>#DIV/0!</v>
      </c>
      <c r="AE24" s="18" t="e">
        <f t="shared" si="58"/>
        <v>#DIV/0!</v>
      </c>
      <c r="AF24" s="18" t="e">
        <f t="shared" si="58"/>
        <v>#DIV/0!</v>
      </c>
      <c r="AG24" s="18" t="e">
        <f t="shared" si="58"/>
        <v>#DIV/0!</v>
      </c>
      <c r="AI24" s="129" t="e">
        <f>SUM(AG24-AC24)*10000</f>
        <v>#DIV/0!</v>
      </c>
    </row>
    <row r="25" spans="2:35" ht="5.0999999999999996" customHeight="1">
      <c r="AI25" s="126"/>
    </row>
    <row r="26" spans="2:35" ht="12.75" customHeight="1">
      <c r="B26" s="32" t="s">
        <v>126</v>
      </c>
      <c r="C26" s="145" t="e">
        <f>('Historical Financials'!#REF!)/1000</f>
        <v>#REF!</v>
      </c>
      <c r="D26" s="145" t="e">
        <f>('Historical Financials'!#REF!)/1000</f>
        <v>#REF!</v>
      </c>
      <c r="E26" s="145"/>
      <c r="F26" s="145"/>
      <c r="G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  <c r="S26" s="145"/>
      <c r="U26" s="10">
        <f>SUM(H26:H26)</f>
        <v>0</v>
      </c>
      <c r="V26" s="10" t="e">
        <f>SUM(#REF!)</f>
        <v>#REF!</v>
      </c>
      <c r="W26" s="10">
        <f>SUM(I26:I26)</f>
        <v>0</v>
      </c>
      <c r="X26" s="10">
        <f>SUM(I26:J26)</f>
        <v>0</v>
      </c>
      <c r="Y26" s="10">
        <f>SUM(I26:K26)</f>
        <v>0</v>
      </c>
      <c r="Z26" s="10">
        <f t="shared" ref="Z26:AG26" si="59">SUM(I26:L26)</f>
        <v>0</v>
      </c>
      <c r="AA26" s="10">
        <f t="shared" si="59"/>
        <v>0</v>
      </c>
      <c r="AB26" s="10">
        <f t="shared" si="59"/>
        <v>0</v>
      </c>
      <c r="AC26" s="10">
        <f t="shared" si="59"/>
        <v>0</v>
      </c>
      <c r="AD26" s="10">
        <f t="shared" si="59"/>
        <v>0</v>
      </c>
      <c r="AE26" s="10">
        <f t="shared" si="59"/>
        <v>0</v>
      </c>
      <c r="AF26" s="10">
        <f t="shared" si="59"/>
        <v>0</v>
      </c>
      <c r="AG26" s="10">
        <f t="shared" si="59"/>
        <v>0</v>
      </c>
      <c r="AI26" s="127" t="e">
        <f>SUM(AG26/AC26)-1</f>
        <v>#DIV/0!</v>
      </c>
    </row>
    <row r="27" spans="2:35" ht="12.75" customHeight="1">
      <c r="B27" s="26" t="s">
        <v>11</v>
      </c>
      <c r="C27" s="27" t="e">
        <f>SUM(C23+SUM(C26:C26))</f>
        <v>#REF!</v>
      </c>
      <c r="D27" s="27" t="e">
        <f>SUM(D23+SUM(D26:D26))</f>
        <v>#REF!</v>
      </c>
      <c r="E27" s="27">
        <f>SUM(E23+SUM(E26:E26))</f>
        <v>0</v>
      </c>
      <c r="F27" s="27">
        <f>SUM(F23+SUM(F26:F26))</f>
        <v>0</v>
      </c>
      <c r="G27" s="27">
        <f>SUM(G23+SUM(G26:G26))</f>
        <v>0</v>
      </c>
      <c r="I27" s="27">
        <f t="shared" ref="I27:S27" si="60">SUM(I23+SUM(I26:I26))</f>
        <v>0</v>
      </c>
      <c r="J27" s="27">
        <f t="shared" si="60"/>
        <v>0</v>
      </c>
      <c r="K27" s="27">
        <f t="shared" si="60"/>
        <v>0</v>
      </c>
      <c r="L27" s="27">
        <f t="shared" si="60"/>
        <v>0</v>
      </c>
      <c r="M27" s="27">
        <f t="shared" si="60"/>
        <v>0</v>
      </c>
      <c r="N27" s="27">
        <f t="shared" si="60"/>
        <v>0</v>
      </c>
      <c r="O27" s="27">
        <f t="shared" si="60"/>
        <v>0</v>
      </c>
      <c r="P27" s="27">
        <f t="shared" si="60"/>
        <v>0</v>
      </c>
      <c r="Q27" s="27">
        <f t="shared" si="60"/>
        <v>0</v>
      </c>
      <c r="R27" s="27">
        <f t="shared" si="60"/>
        <v>0</v>
      </c>
      <c r="S27" s="27">
        <f t="shared" si="60"/>
        <v>0</v>
      </c>
      <c r="U27" s="27">
        <f t="shared" ref="U27:AG27" si="61">SUM(U23+SUM(U26:U26))</f>
        <v>0</v>
      </c>
      <c r="V27" s="27" t="e">
        <f t="shared" si="61"/>
        <v>#REF!</v>
      </c>
      <c r="W27" s="27">
        <f t="shared" si="61"/>
        <v>0</v>
      </c>
      <c r="X27" s="27">
        <f t="shared" si="61"/>
        <v>0</v>
      </c>
      <c r="Y27" s="27">
        <f t="shared" si="61"/>
        <v>0</v>
      </c>
      <c r="Z27" s="27">
        <f t="shared" si="61"/>
        <v>0</v>
      </c>
      <c r="AA27" s="27">
        <f t="shared" si="61"/>
        <v>0</v>
      </c>
      <c r="AB27" s="27">
        <f t="shared" si="61"/>
        <v>0</v>
      </c>
      <c r="AC27" s="27">
        <f t="shared" si="61"/>
        <v>0</v>
      </c>
      <c r="AD27" s="27">
        <f t="shared" si="61"/>
        <v>0</v>
      </c>
      <c r="AE27" s="27">
        <f t="shared" si="61"/>
        <v>0</v>
      </c>
      <c r="AF27" s="27">
        <f t="shared" si="61"/>
        <v>0</v>
      </c>
      <c r="AG27" s="27">
        <f t="shared" si="61"/>
        <v>0</v>
      </c>
      <c r="AI27" s="128" t="e">
        <f>SUM(AG27/AC27)-1</f>
        <v>#DIV/0!</v>
      </c>
    </row>
    <row r="28" spans="2:35" ht="12.75" customHeight="1">
      <c r="B28" s="16" t="s">
        <v>33</v>
      </c>
      <c r="C28" s="18" t="e">
        <f>C27/C11</f>
        <v>#REF!</v>
      </c>
      <c r="D28" s="18" t="e">
        <f>D27/D11</f>
        <v>#REF!</v>
      </c>
      <c r="E28" s="18" t="e">
        <f>E27/E11</f>
        <v>#DIV/0!</v>
      </c>
      <c r="F28" s="18" t="e">
        <f>F27/F11</f>
        <v>#DIV/0!</v>
      </c>
      <c r="G28" s="18" t="e">
        <f>G27/G11</f>
        <v>#DIV/0!</v>
      </c>
      <c r="I28" s="18" t="e">
        <f t="shared" ref="I28:S28" si="62">I27/I11</f>
        <v>#DIV/0!</v>
      </c>
      <c r="J28" s="18" t="e">
        <f t="shared" si="62"/>
        <v>#DIV/0!</v>
      </c>
      <c r="K28" s="18" t="e">
        <f t="shared" si="62"/>
        <v>#DIV/0!</v>
      </c>
      <c r="L28" s="18" t="e">
        <f t="shared" si="62"/>
        <v>#DIV/0!</v>
      </c>
      <c r="M28" s="18" t="e">
        <f t="shared" si="62"/>
        <v>#DIV/0!</v>
      </c>
      <c r="N28" s="18" t="e">
        <f t="shared" si="62"/>
        <v>#DIV/0!</v>
      </c>
      <c r="O28" s="18" t="e">
        <f t="shared" si="62"/>
        <v>#DIV/0!</v>
      </c>
      <c r="P28" s="18" t="e">
        <f t="shared" si="62"/>
        <v>#DIV/0!</v>
      </c>
      <c r="Q28" s="18" t="e">
        <f t="shared" si="62"/>
        <v>#DIV/0!</v>
      </c>
      <c r="R28" s="18" t="e">
        <f t="shared" si="62"/>
        <v>#DIV/0!</v>
      </c>
      <c r="S28" s="18" t="e">
        <f t="shared" si="62"/>
        <v>#DIV/0!</v>
      </c>
      <c r="U28" s="18" t="e">
        <f t="shared" ref="U28:AG28" si="63">U27/U11</f>
        <v>#DIV/0!</v>
      </c>
      <c r="V28" s="18" t="e">
        <f t="shared" si="63"/>
        <v>#REF!</v>
      </c>
      <c r="W28" s="18" t="e">
        <f t="shared" si="63"/>
        <v>#DIV/0!</v>
      </c>
      <c r="X28" s="18" t="e">
        <f t="shared" si="63"/>
        <v>#DIV/0!</v>
      </c>
      <c r="Y28" s="18" t="e">
        <f t="shared" si="63"/>
        <v>#DIV/0!</v>
      </c>
      <c r="Z28" s="18" t="e">
        <f t="shared" si="63"/>
        <v>#DIV/0!</v>
      </c>
      <c r="AA28" s="18" t="e">
        <f t="shared" si="63"/>
        <v>#DIV/0!</v>
      </c>
      <c r="AB28" s="18" t="e">
        <f t="shared" si="63"/>
        <v>#DIV/0!</v>
      </c>
      <c r="AC28" s="18" t="e">
        <f t="shared" si="63"/>
        <v>#DIV/0!</v>
      </c>
      <c r="AD28" s="18" t="e">
        <f t="shared" si="63"/>
        <v>#DIV/0!</v>
      </c>
      <c r="AE28" s="18" t="e">
        <f t="shared" si="63"/>
        <v>#DIV/0!</v>
      </c>
      <c r="AF28" s="18" t="e">
        <f t="shared" si="63"/>
        <v>#DIV/0!</v>
      </c>
      <c r="AG28" s="18" t="e">
        <f t="shared" si="63"/>
        <v>#DIV/0!</v>
      </c>
      <c r="AI28" s="129" t="e">
        <f>SUM(AG28-AC28)*10000</f>
        <v>#DIV/0!</v>
      </c>
    </row>
    <row r="29" spans="2:35" ht="5.0999999999999996" customHeight="1">
      <c r="AI29" s="126"/>
    </row>
    <row r="30" spans="2:35" ht="12.75" customHeight="1">
      <c r="B30" s="32" t="s">
        <v>127</v>
      </c>
      <c r="C30" s="145" t="e">
        <f>('Historical Financials'!#REF!)/1000</f>
        <v>#REF!</v>
      </c>
      <c r="D30" s="145" t="e">
        <f>('Historical Financials'!#REF!)/1000</f>
        <v>#REF!</v>
      </c>
      <c r="E30" s="145"/>
      <c r="F30" s="145"/>
      <c r="G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U30" s="10">
        <f>SUM(H30:H30)</f>
        <v>0</v>
      </c>
      <c r="V30" s="10" t="e">
        <f>SUM(#REF!)</f>
        <v>#REF!</v>
      </c>
      <c r="W30" s="10">
        <f>SUM(I30:I30)</f>
        <v>0</v>
      </c>
      <c r="X30" s="10">
        <f>SUM(I30:J30)</f>
        <v>0</v>
      </c>
      <c r="Y30" s="10">
        <f>SUM(I30:K30)</f>
        <v>0</v>
      </c>
      <c r="Z30" s="10">
        <f t="shared" ref="Z30:AG30" si="64">SUM(I30:L30)</f>
        <v>0</v>
      </c>
      <c r="AA30" s="10">
        <f t="shared" si="64"/>
        <v>0</v>
      </c>
      <c r="AB30" s="10">
        <f t="shared" si="64"/>
        <v>0</v>
      </c>
      <c r="AC30" s="146">
        <f t="shared" si="64"/>
        <v>0</v>
      </c>
      <c r="AD30" s="146">
        <f t="shared" si="64"/>
        <v>0</v>
      </c>
      <c r="AE30" s="146">
        <f t="shared" si="64"/>
        <v>0</v>
      </c>
      <c r="AF30" s="146">
        <f t="shared" si="64"/>
        <v>0</v>
      </c>
      <c r="AG30" s="146">
        <f t="shared" si="64"/>
        <v>0</v>
      </c>
      <c r="AI30" s="127" t="e">
        <f>SUM(AG30/AC30)-1</f>
        <v>#DIV/0!</v>
      </c>
    </row>
    <row r="31" spans="2:35" ht="12.75" customHeight="1">
      <c r="B31" s="13" t="s">
        <v>34</v>
      </c>
      <c r="C31" s="14" t="e">
        <f>+SUM(C27+SUM(C30:C30))</f>
        <v>#REF!</v>
      </c>
      <c r="D31" s="14" t="e">
        <f>+SUM(D27+SUM(D30:D30))</f>
        <v>#REF!</v>
      </c>
      <c r="E31" s="14">
        <f>+SUM(E27+SUM(E30:E30))</f>
        <v>0</v>
      </c>
      <c r="F31" s="14">
        <f>+SUM(F27+SUM(F30:F30))</f>
        <v>0</v>
      </c>
      <c r="G31" s="14">
        <f>+SUM(G27+SUM(G30:G30))</f>
        <v>0</v>
      </c>
      <c r="H31" s="11"/>
      <c r="I31" s="14">
        <f t="shared" ref="I31:S31" si="65">+SUM(I27+SUM(I30:I30))</f>
        <v>0</v>
      </c>
      <c r="J31" s="14">
        <f t="shared" si="65"/>
        <v>0</v>
      </c>
      <c r="K31" s="14">
        <f t="shared" si="65"/>
        <v>0</v>
      </c>
      <c r="L31" s="14">
        <f t="shared" si="65"/>
        <v>0</v>
      </c>
      <c r="M31" s="14">
        <f t="shared" si="65"/>
        <v>0</v>
      </c>
      <c r="N31" s="14">
        <f t="shared" si="65"/>
        <v>0</v>
      </c>
      <c r="O31" s="14">
        <f t="shared" si="65"/>
        <v>0</v>
      </c>
      <c r="P31" s="14">
        <f t="shared" si="65"/>
        <v>0</v>
      </c>
      <c r="Q31" s="14">
        <f t="shared" si="65"/>
        <v>0</v>
      </c>
      <c r="R31" s="14">
        <f t="shared" si="65"/>
        <v>0</v>
      </c>
      <c r="S31" s="14">
        <f t="shared" si="65"/>
        <v>0</v>
      </c>
      <c r="U31" s="14">
        <f t="shared" ref="U31:AG31" si="66">+SUM(U27+SUM(U30:U30))</f>
        <v>0</v>
      </c>
      <c r="V31" s="14" t="e">
        <f t="shared" si="66"/>
        <v>#REF!</v>
      </c>
      <c r="W31" s="14">
        <f t="shared" si="66"/>
        <v>0</v>
      </c>
      <c r="X31" s="14">
        <f t="shared" si="66"/>
        <v>0</v>
      </c>
      <c r="Y31" s="14">
        <f t="shared" si="66"/>
        <v>0</v>
      </c>
      <c r="Z31" s="14">
        <f t="shared" si="66"/>
        <v>0</v>
      </c>
      <c r="AA31" s="14">
        <f t="shared" si="66"/>
        <v>0</v>
      </c>
      <c r="AB31" s="14">
        <f t="shared" si="66"/>
        <v>0</v>
      </c>
      <c r="AC31" s="14">
        <f t="shared" si="66"/>
        <v>0</v>
      </c>
      <c r="AD31" s="14">
        <f t="shared" si="66"/>
        <v>0</v>
      </c>
      <c r="AE31" s="14">
        <f t="shared" si="66"/>
        <v>0</v>
      </c>
      <c r="AF31" s="14">
        <f t="shared" si="66"/>
        <v>0</v>
      </c>
      <c r="AG31" s="14">
        <f t="shared" si="66"/>
        <v>0</v>
      </c>
      <c r="AI31" s="128" t="e">
        <f>SUM(AG31/AC31)-1</f>
        <v>#DIV/0!</v>
      </c>
    </row>
    <row r="32" spans="2:35" ht="12.75" customHeight="1">
      <c r="B32" s="16" t="s">
        <v>35</v>
      </c>
      <c r="C32" s="18" t="e">
        <f>C31/C11</f>
        <v>#REF!</v>
      </c>
      <c r="D32" s="18" t="e">
        <f>D31/D11</f>
        <v>#REF!</v>
      </c>
      <c r="E32" s="18" t="e">
        <f>E31/E11</f>
        <v>#DIV/0!</v>
      </c>
      <c r="F32" s="18" t="e">
        <f>F31/F11</f>
        <v>#DIV/0!</v>
      </c>
      <c r="G32" s="18" t="e">
        <f>G31/G11</f>
        <v>#DIV/0!</v>
      </c>
      <c r="I32" s="18" t="e">
        <f t="shared" ref="I32:S32" si="67">I31/I11</f>
        <v>#DIV/0!</v>
      </c>
      <c r="J32" s="18" t="e">
        <f t="shared" si="67"/>
        <v>#DIV/0!</v>
      </c>
      <c r="K32" s="18" t="e">
        <f t="shared" si="67"/>
        <v>#DIV/0!</v>
      </c>
      <c r="L32" s="18" t="e">
        <f t="shared" si="67"/>
        <v>#DIV/0!</v>
      </c>
      <c r="M32" s="18" t="e">
        <f t="shared" si="67"/>
        <v>#DIV/0!</v>
      </c>
      <c r="N32" s="18" t="e">
        <f t="shared" si="67"/>
        <v>#DIV/0!</v>
      </c>
      <c r="O32" s="18" t="e">
        <f t="shared" si="67"/>
        <v>#DIV/0!</v>
      </c>
      <c r="P32" s="18" t="e">
        <f t="shared" si="67"/>
        <v>#DIV/0!</v>
      </c>
      <c r="Q32" s="18" t="e">
        <f t="shared" si="67"/>
        <v>#DIV/0!</v>
      </c>
      <c r="R32" s="18" t="e">
        <f t="shared" si="67"/>
        <v>#DIV/0!</v>
      </c>
      <c r="S32" s="18" t="e">
        <f t="shared" si="67"/>
        <v>#DIV/0!</v>
      </c>
      <c r="U32" s="18" t="e">
        <f t="shared" ref="U32:AG32" si="68">U31/U11</f>
        <v>#DIV/0!</v>
      </c>
      <c r="V32" s="18" t="e">
        <f t="shared" si="68"/>
        <v>#REF!</v>
      </c>
      <c r="W32" s="18" t="e">
        <f t="shared" si="68"/>
        <v>#DIV/0!</v>
      </c>
      <c r="X32" s="18" t="e">
        <f t="shared" si="68"/>
        <v>#DIV/0!</v>
      </c>
      <c r="Y32" s="18" t="e">
        <f t="shared" si="68"/>
        <v>#DIV/0!</v>
      </c>
      <c r="Z32" s="18" t="e">
        <f t="shared" si="68"/>
        <v>#DIV/0!</v>
      </c>
      <c r="AA32" s="18" t="e">
        <f t="shared" si="68"/>
        <v>#DIV/0!</v>
      </c>
      <c r="AB32" s="18" t="e">
        <f t="shared" si="68"/>
        <v>#DIV/0!</v>
      </c>
      <c r="AC32" s="18" t="e">
        <f t="shared" si="68"/>
        <v>#DIV/0!</v>
      </c>
      <c r="AD32" s="18" t="e">
        <f t="shared" si="68"/>
        <v>#DIV/0!</v>
      </c>
      <c r="AE32" s="18" t="e">
        <f t="shared" si="68"/>
        <v>#DIV/0!</v>
      </c>
      <c r="AF32" s="18" t="e">
        <f t="shared" si="68"/>
        <v>#DIV/0!</v>
      </c>
      <c r="AG32" s="18" t="e">
        <f t="shared" si="68"/>
        <v>#DIV/0!</v>
      </c>
      <c r="AI32" s="129" t="e">
        <f>SUM(AG32-AC32)*10000</f>
        <v>#DIV/0!</v>
      </c>
    </row>
    <row r="33" spans="2:35" ht="5.0999999999999996" customHeight="1">
      <c r="AI33" s="126"/>
    </row>
    <row r="34" spans="2:35" ht="12.75" customHeight="1">
      <c r="B34" s="24" t="s">
        <v>36</v>
      </c>
      <c r="C34" s="145" t="e">
        <f>('Historical Financials'!#REF!)/1000</f>
        <v>#REF!</v>
      </c>
      <c r="D34" s="145" t="e">
        <f>('Historical Financials'!#REF!)/1000</f>
        <v>#REF!</v>
      </c>
      <c r="E34" s="145"/>
      <c r="F34" s="145"/>
      <c r="G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  <c r="S34" s="145"/>
      <c r="U34" s="10">
        <f>SUM(H34:H34)</f>
        <v>0</v>
      </c>
      <c r="V34" s="10" t="e">
        <f>SUM(#REF!)</f>
        <v>#REF!</v>
      </c>
      <c r="W34" s="10">
        <f>SUM(I34:I34)</f>
        <v>0</v>
      </c>
      <c r="X34" s="10">
        <f>SUM(I34:J34)</f>
        <v>0</v>
      </c>
      <c r="Y34" s="10">
        <f>SUM(I34:K34)</f>
        <v>0</v>
      </c>
      <c r="Z34" s="10">
        <f t="shared" ref="Z34:AG37" si="69">SUM(I34:L34)</f>
        <v>0</v>
      </c>
      <c r="AA34" s="10">
        <f t="shared" si="69"/>
        <v>0</v>
      </c>
      <c r="AB34" s="10">
        <f t="shared" si="69"/>
        <v>0</v>
      </c>
      <c r="AC34" s="146">
        <f t="shared" si="69"/>
        <v>0</v>
      </c>
      <c r="AD34" s="146">
        <f t="shared" si="69"/>
        <v>0</v>
      </c>
      <c r="AE34" s="146">
        <f t="shared" si="69"/>
        <v>0</v>
      </c>
      <c r="AF34" s="146">
        <f t="shared" si="69"/>
        <v>0</v>
      </c>
      <c r="AG34" s="146">
        <f t="shared" si="69"/>
        <v>0</v>
      </c>
      <c r="AI34" s="127" t="e">
        <f>SUM(AG34/AC34)-1</f>
        <v>#DIV/0!</v>
      </c>
    </row>
    <row r="35" spans="2:35" ht="12.75" customHeight="1">
      <c r="B35" s="24" t="s">
        <v>37</v>
      </c>
      <c r="C35" s="145" t="e">
        <f>-('Historical Financials'!#REF!)/1000</f>
        <v>#REF!</v>
      </c>
      <c r="D35" s="145" t="e">
        <f>-('Historical Financials'!#REF!)/1000</f>
        <v>#REF!</v>
      </c>
      <c r="E35" s="145"/>
      <c r="F35" s="145"/>
      <c r="G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U35" s="10">
        <f>SUM(H35:H35)</f>
        <v>0</v>
      </c>
      <c r="V35" s="10" t="e">
        <f>SUM(#REF!)</f>
        <v>#REF!</v>
      </c>
      <c r="W35" s="10">
        <f>SUM(I35:I35)</f>
        <v>0</v>
      </c>
      <c r="X35" s="10">
        <f>SUM(I35:J35)</f>
        <v>0</v>
      </c>
      <c r="Y35" s="10">
        <f>SUM(I35:K35)</f>
        <v>0</v>
      </c>
      <c r="Z35" s="10">
        <f t="shared" si="69"/>
        <v>0</v>
      </c>
      <c r="AA35" s="10">
        <f t="shared" si="69"/>
        <v>0</v>
      </c>
      <c r="AB35" s="10">
        <f t="shared" si="69"/>
        <v>0</v>
      </c>
      <c r="AC35" s="146">
        <f t="shared" si="69"/>
        <v>0</v>
      </c>
      <c r="AD35" s="146">
        <f t="shared" si="69"/>
        <v>0</v>
      </c>
      <c r="AE35" s="146">
        <f t="shared" si="69"/>
        <v>0</v>
      </c>
      <c r="AF35" s="146">
        <f t="shared" si="69"/>
        <v>0</v>
      </c>
      <c r="AG35" s="146">
        <f t="shared" si="69"/>
        <v>0</v>
      </c>
      <c r="AI35" s="127" t="e">
        <f>SUM(AG35/AC35)-1</f>
        <v>#DIV/0!</v>
      </c>
    </row>
    <row r="36" spans="2:35" ht="12.75" customHeight="1">
      <c r="B36" s="24" t="s">
        <v>72</v>
      </c>
      <c r="C36" s="145" t="e">
        <f>-('Historical Financials'!#REF!)/1000</f>
        <v>#REF!</v>
      </c>
      <c r="D36" s="145" t="e">
        <f>-('Historical Financials'!#REF!)/1000</f>
        <v>#REF!</v>
      </c>
      <c r="E36" s="145"/>
      <c r="F36" s="145"/>
      <c r="G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  <c r="S36" s="145"/>
      <c r="U36" s="10">
        <f>SUM(H36:H36)</f>
        <v>0</v>
      </c>
      <c r="V36" s="10" t="e">
        <f>SUM(#REF!)</f>
        <v>#REF!</v>
      </c>
      <c r="W36" s="10">
        <f>SUM(I36:I36)</f>
        <v>0</v>
      </c>
      <c r="X36" s="10">
        <f>SUM(I36:J36)</f>
        <v>0</v>
      </c>
      <c r="Y36" s="10">
        <f>SUM(I36:K36)</f>
        <v>0</v>
      </c>
      <c r="Z36" s="10">
        <f t="shared" si="69"/>
        <v>0</v>
      </c>
      <c r="AA36" s="10">
        <f t="shared" si="69"/>
        <v>0</v>
      </c>
      <c r="AB36" s="10">
        <f t="shared" si="69"/>
        <v>0</v>
      </c>
      <c r="AC36" s="146">
        <f t="shared" si="69"/>
        <v>0</v>
      </c>
      <c r="AD36" s="146">
        <f t="shared" si="69"/>
        <v>0</v>
      </c>
      <c r="AE36" s="146">
        <f t="shared" si="69"/>
        <v>0</v>
      </c>
      <c r="AF36" s="146">
        <f t="shared" si="69"/>
        <v>0</v>
      </c>
      <c r="AG36" s="146">
        <f t="shared" si="69"/>
        <v>0</v>
      </c>
      <c r="AI36" s="127" t="e">
        <f>SUM(AG36/AC36)-1</f>
        <v>#DIV/0!</v>
      </c>
    </row>
    <row r="37" spans="2:35" ht="12.75" customHeight="1">
      <c r="B37" s="24" t="s">
        <v>38</v>
      </c>
      <c r="C37" s="145" t="e">
        <f>SUM('Historical Financials'!#REF!)/1000</f>
        <v>#REF!</v>
      </c>
      <c r="D37" s="145" t="e">
        <f>SUM('Historical Financials'!#REF!)/1000</f>
        <v>#REF!</v>
      </c>
      <c r="E37" s="145"/>
      <c r="F37" s="145"/>
      <c r="G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U37" s="10">
        <f>SUM(H37:H37)</f>
        <v>0</v>
      </c>
      <c r="V37" s="10" t="e">
        <f>SUM(#REF!)</f>
        <v>#REF!</v>
      </c>
      <c r="W37" s="10">
        <f>SUM(I37:I37)</f>
        <v>0</v>
      </c>
      <c r="X37" s="10">
        <f>SUM(I37:J37)</f>
        <v>0</v>
      </c>
      <c r="Y37" s="10">
        <f>SUM(I37:K37)</f>
        <v>0</v>
      </c>
      <c r="Z37" s="10">
        <f t="shared" si="69"/>
        <v>0</v>
      </c>
      <c r="AA37" s="10">
        <f t="shared" si="69"/>
        <v>0</v>
      </c>
      <c r="AB37" s="10">
        <f t="shared" si="69"/>
        <v>0</v>
      </c>
      <c r="AC37" s="146">
        <f t="shared" si="69"/>
        <v>0</v>
      </c>
      <c r="AD37" s="146">
        <f t="shared" si="69"/>
        <v>0</v>
      </c>
      <c r="AE37" s="146">
        <f t="shared" si="69"/>
        <v>0</v>
      </c>
      <c r="AF37" s="146">
        <f t="shared" si="69"/>
        <v>0</v>
      </c>
      <c r="AG37" s="146">
        <f t="shared" si="69"/>
        <v>0</v>
      </c>
      <c r="AI37" s="127" t="e">
        <f>SUM(AG37/AC37)-1</f>
        <v>#DIV/0!</v>
      </c>
    </row>
    <row r="38" spans="2:35" ht="12.75" customHeight="1">
      <c r="B38" s="13" t="s">
        <v>39</v>
      </c>
      <c r="C38" s="14" t="e">
        <f>SUM(C31+SUM(C34:C37))</f>
        <v>#REF!</v>
      </c>
      <c r="D38" s="14" t="e">
        <f>SUM(D31+SUM(D34:D37))</f>
        <v>#REF!</v>
      </c>
      <c r="E38" s="14">
        <f>SUM(E31+SUM(E34:E37))</f>
        <v>0</v>
      </c>
      <c r="F38" s="14">
        <f>SUM(F31+SUM(F34:F37))</f>
        <v>0</v>
      </c>
      <c r="G38" s="14">
        <f>SUM(G31+SUM(G34:G37))</f>
        <v>0</v>
      </c>
      <c r="I38" s="14">
        <f t="shared" ref="I38:R38" si="70">SUM(I31+SUM(I34:I37))</f>
        <v>0</v>
      </c>
      <c r="J38" s="14">
        <f t="shared" si="70"/>
        <v>0</v>
      </c>
      <c r="K38" s="14">
        <f t="shared" si="70"/>
        <v>0</v>
      </c>
      <c r="L38" s="14">
        <f t="shared" si="70"/>
        <v>0</v>
      </c>
      <c r="M38" s="14">
        <f t="shared" si="70"/>
        <v>0</v>
      </c>
      <c r="N38" s="14">
        <f t="shared" si="70"/>
        <v>0</v>
      </c>
      <c r="O38" s="14">
        <f t="shared" si="70"/>
        <v>0</v>
      </c>
      <c r="P38" s="14">
        <f t="shared" si="70"/>
        <v>0</v>
      </c>
      <c r="Q38" s="14">
        <f t="shared" si="70"/>
        <v>0</v>
      </c>
      <c r="R38" s="14">
        <f t="shared" si="70"/>
        <v>0</v>
      </c>
      <c r="S38" s="14">
        <f>SUM(S31+SUM(S34:S37))</f>
        <v>0</v>
      </c>
      <c r="U38" s="14">
        <f t="shared" ref="U38:AE38" si="71">SUM(U31+SUM(U34:U37))</f>
        <v>0</v>
      </c>
      <c r="V38" s="14" t="e">
        <f t="shared" si="71"/>
        <v>#REF!</v>
      </c>
      <c r="W38" s="14">
        <f t="shared" si="71"/>
        <v>0</v>
      </c>
      <c r="X38" s="14">
        <f t="shared" si="71"/>
        <v>0</v>
      </c>
      <c r="Y38" s="14">
        <f t="shared" si="71"/>
        <v>0</v>
      </c>
      <c r="Z38" s="14">
        <f t="shared" si="71"/>
        <v>0</v>
      </c>
      <c r="AA38" s="14">
        <f t="shared" si="71"/>
        <v>0</v>
      </c>
      <c r="AB38" s="14">
        <f t="shared" si="71"/>
        <v>0</v>
      </c>
      <c r="AC38" s="14">
        <f t="shared" si="71"/>
        <v>0</v>
      </c>
      <c r="AD38" s="14">
        <f t="shared" si="71"/>
        <v>0</v>
      </c>
      <c r="AE38" s="14">
        <f t="shared" si="71"/>
        <v>0</v>
      </c>
      <c r="AF38" s="14">
        <f>SUM(AF31+SUM(AF34:AF37))</f>
        <v>0</v>
      </c>
      <c r="AG38" s="14">
        <f>SUM(AG31+SUM(AG34:AG37))</f>
        <v>0</v>
      </c>
      <c r="AI38" s="128" t="e">
        <f>SUM(AG38/AC38)-1</f>
        <v>#DIV/0!</v>
      </c>
    </row>
    <row r="39" spans="2:35" ht="5.0999999999999996" customHeight="1"/>
    <row r="40" spans="2:35" ht="12.75" customHeight="1">
      <c r="B40" s="32" t="s">
        <v>111</v>
      </c>
      <c r="C40" s="145" t="e">
        <f>SUM('Historical Financials'!#REF!)/1000</f>
        <v>#REF!</v>
      </c>
      <c r="D40" s="145" t="e">
        <f>SUM('Historical Financials'!#REF!)/1000</f>
        <v>#REF!</v>
      </c>
      <c r="E40" s="145"/>
      <c r="F40" s="145"/>
      <c r="G40" s="145"/>
      <c r="H40" s="33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U40" s="10">
        <f>SUM(H40:H40)</f>
        <v>0</v>
      </c>
      <c r="V40" s="10" t="e">
        <f>SUM(#REF!)</f>
        <v>#REF!</v>
      </c>
      <c r="W40" s="10">
        <f>SUM(I40:I40)</f>
        <v>0</v>
      </c>
      <c r="X40" s="10">
        <f>SUM(I40:J40)</f>
        <v>0</v>
      </c>
      <c r="Y40" s="10">
        <f>SUM(I40:K40)</f>
        <v>0</v>
      </c>
      <c r="Z40" s="10">
        <f t="shared" ref="Z40:AG41" si="72">SUM(I40:L40)</f>
        <v>0</v>
      </c>
      <c r="AA40" s="10">
        <f t="shared" si="72"/>
        <v>0</v>
      </c>
      <c r="AB40" s="10">
        <f t="shared" si="72"/>
        <v>0</v>
      </c>
      <c r="AC40" s="146">
        <f t="shared" si="72"/>
        <v>0</v>
      </c>
      <c r="AD40" s="146">
        <f t="shared" si="72"/>
        <v>0</v>
      </c>
      <c r="AE40" s="146">
        <f t="shared" si="72"/>
        <v>0</v>
      </c>
      <c r="AF40" s="146">
        <f t="shared" si="72"/>
        <v>0</v>
      </c>
      <c r="AG40" s="146">
        <f t="shared" si="72"/>
        <v>0</v>
      </c>
    </row>
    <row r="41" spans="2:35" ht="12.75" customHeight="1">
      <c r="B41" s="32" t="s">
        <v>94</v>
      </c>
      <c r="C41" s="145" t="e">
        <f>('Historical Financials'!#REF!)/1000</f>
        <v>#REF!</v>
      </c>
      <c r="D41" s="145" t="e">
        <f>('Historical Financials'!#REF!)/1000</f>
        <v>#REF!</v>
      </c>
      <c r="E41" s="145"/>
      <c r="F41" s="145"/>
      <c r="G41" s="145"/>
      <c r="H41" s="33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U41" s="10">
        <f>SUM(H41:H41)</f>
        <v>0</v>
      </c>
      <c r="V41" s="10" t="e">
        <f>SUM(#REF!)</f>
        <v>#REF!</v>
      </c>
      <c r="W41" s="10">
        <f>SUM(I41:I41)</f>
        <v>0</v>
      </c>
      <c r="X41" s="10">
        <f>SUM(I41:J41)</f>
        <v>0</v>
      </c>
      <c r="Y41" s="10">
        <f>SUM(I41:K41)</f>
        <v>0</v>
      </c>
      <c r="Z41" s="10">
        <f t="shared" si="72"/>
        <v>0</v>
      </c>
      <c r="AA41" s="10">
        <f t="shared" si="72"/>
        <v>0</v>
      </c>
      <c r="AB41" s="10">
        <f t="shared" si="72"/>
        <v>0</v>
      </c>
      <c r="AC41" s="146">
        <f t="shared" si="72"/>
        <v>0</v>
      </c>
      <c r="AD41" s="146">
        <f t="shared" si="72"/>
        <v>0</v>
      </c>
      <c r="AE41" s="146">
        <f t="shared" si="72"/>
        <v>0</v>
      </c>
      <c r="AF41" s="146">
        <f t="shared" si="72"/>
        <v>0</v>
      </c>
      <c r="AG41" s="146">
        <f t="shared" si="72"/>
        <v>0</v>
      </c>
    </row>
    <row r="42" spans="2:35" ht="12.75" customHeight="1">
      <c r="B42" s="32" t="s">
        <v>112</v>
      </c>
      <c r="C42" s="145" t="e">
        <f>SUM('Historical Financials'!#REF!)/1000</f>
        <v>#REF!</v>
      </c>
      <c r="D42" s="145" t="e">
        <f>SUM('Historical Financials'!#REF!)/1000</f>
        <v>#REF!</v>
      </c>
      <c r="E42" s="145"/>
      <c r="F42" s="145"/>
      <c r="G42" s="145"/>
      <c r="H42" s="33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U42" s="10"/>
      <c r="V42" s="10"/>
      <c r="W42" s="10"/>
      <c r="X42" s="10"/>
      <c r="Y42" s="10"/>
      <c r="Z42" s="10"/>
      <c r="AA42" s="10"/>
      <c r="AB42" s="10"/>
      <c r="AC42" s="146">
        <f t="shared" ref="AC42:AG43" si="73">SUM(L42:O42)</f>
        <v>0</v>
      </c>
      <c r="AD42" s="146">
        <f t="shared" si="73"/>
        <v>0</v>
      </c>
      <c r="AE42" s="146">
        <f t="shared" si="73"/>
        <v>0</v>
      </c>
      <c r="AF42" s="146">
        <f t="shared" si="73"/>
        <v>0</v>
      </c>
      <c r="AG42" s="146">
        <f t="shared" si="73"/>
        <v>0</v>
      </c>
    </row>
    <row r="43" spans="2:35" ht="12.75" customHeight="1">
      <c r="B43" s="32" t="s">
        <v>113</v>
      </c>
      <c r="C43" s="145" t="e">
        <f>SUM('Historical Financials'!#REF!)/1000</f>
        <v>#REF!</v>
      </c>
      <c r="D43" s="145" t="e">
        <f>SUM('Historical Financials'!#REF!)/1000</f>
        <v>#REF!</v>
      </c>
      <c r="E43" s="145"/>
      <c r="F43" s="145"/>
      <c r="G43" s="145"/>
      <c r="H43" s="33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U43" s="10"/>
      <c r="V43" s="10"/>
      <c r="W43" s="10"/>
      <c r="X43" s="10"/>
      <c r="Y43" s="10"/>
      <c r="Z43" s="10"/>
      <c r="AA43" s="10"/>
      <c r="AB43" s="10"/>
      <c r="AC43" s="146">
        <f t="shared" si="73"/>
        <v>0</v>
      </c>
      <c r="AD43" s="146">
        <f t="shared" si="73"/>
        <v>0</v>
      </c>
      <c r="AE43" s="146">
        <f t="shared" si="73"/>
        <v>0</v>
      </c>
      <c r="AF43" s="146">
        <f t="shared" si="73"/>
        <v>0</v>
      </c>
      <c r="AG43" s="146">
        <f t="shared" si="73"/>
        <v>0</v>
      </c>
    </row>
    <row r="44" spans="2:35" ht="12.75" customHeight="1">
      <c r="B44" s="32" t="s">
        <v>114</v>
      </c>
      <c r="C44" s="145" t="e">
        <f>SUM('Historical Financials'!#REF!)/1000</f>
        <v>#REF!</v>
      </c>
      <c r="D44" s="145" t="e">
        <f>SUM('Historical Financials'!#REF!)/1000</f>
        <v>#REF!</v>
      </c>
      <c r="E44" s="145"/>
      <c r="F44" s="145"/>
      <c r="G44" s="145"/>
      <c r="H44" s="33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U44" s="10"/>
      <c r="V44" s="10"/>
      <c r="W44" s="10"/>
      <c r="X44" s="10"/>
      <c r="Y44" s="10"/>
      <c r="Z44" s="10"/>
      <c r="AA44" s="10"/>
      <c r="AB44" s="10">
        <f t="shared" ref="AB44:AG46" si="74">SUM(K44:N44)</f>
        <v>0</v>
      </c>
      <c r="AC44" s="146">
        <f t="shared" si="74"/>
        <v>0</v>
      </c>
      <c r="AD44" s="146">
        <f t="shared" si="74"/>
        <v>0</v>
      </c>
      <c r="AE44" s="146">
        <f t="shared" si="74"/>
        <v>0</v>
      </c>
      <c r="AF44" s="146">
        <f t="shared" si="74"/>
        <v>0</v>
      </c>
      <c r="AG44" s="146">
        <f t="shared" si="74"/>
        <v>0</v>
      </c>
    </row>
    <row r="45" spans="2:35" ht="12.75" customHeight="1">
      <c r="B45" s="32" t="s">
        <v>115</v>
      </c>
      <c r="C45" s="145" t="e">
        <f>SUM('Historical Financials'!#REF!)/1000</f>
        <v>#REF!</v>
      </c>
      <c r="D45" s="145" t="e">
        <f>SUM('Historical Financials'!#REF!)/1000</f>
        <v>#REF!</v>
      </c>
      <c r="E45" s="145"/>
      <c r="F45" s="145"/>
      <c r="G45" s="145"/>
      <c r="H45" s="33"/>
      <c r="I45" s="145"/>
      <c r="J45" s="145"/>
      <c r="K45" s="145"/>
      <c r="L45" s="145"/>
      <c r="M45" s="145"/>
      <c r="N45" s="145"/>
      <c r="O45" s="145"/>
      <c r="P45" s="145"/>
      <c r="Q45" s="145"/>
      <c r="R45" s="145"/>
      <c r="S45" s="145"/>
      <c r="U45" s="10"/>
      <c r="V45" s="10"/>
      <c r="W45" s="10"/>
      <c r="X45" s="10"/>
      <c r="Y45" s="10"/>
      <c r="Z45" s="10"/>
      <c r="AA45" s="10"/>
      <c r="AB45" s="10"/>
      <c r="AC45" s="146">
        <f>SUM(L45:O45)</f>
        <v>0</v>
      </c>
      <c r="AD45" s="146">
        <f>SUM(M45:P45)</f>
        <v>0</v>
      </c>
      <c r="AE45" s="146">
        <f>SUM(N45:Q45)</f>
        <v>0</v>
      </c>
      <c r="AF45" s="146">
        <f>SUM(O45:R45)</f>
        <v>0</v>
      </c>
      <c r="AG45" s="146">
        <f>SUM(P45:S45)</f>
        <v>0</v>
      </c>
    </row>
    <row r="46" spans="2:35" ht="12.75" customHeight="1">
      <c r="B46" s="32" t="s">
        <v>68</v>
      </c>
      <c r="C46" s="97"/>
      <c r="D46" s="97" t="e">
        <f>SUM(D51-C51)-SUM(D38:D44)</f>
        <v>#REF!</v>
      </c>
      <c r="E46" s="97" t="e">
        <f>SUM(E51-D51)-SUM(E38:E44)</f>
        <v>#REF!</v>
      </c>
      <c r="F46" s="97">
        <f>SUM(F51-E51)-SUM(F38:F44)</f>
        <v>0</v>
      </c>
      <c r="G46" s="97">
        <f>SUM(G51-F51)-SUM(G38:G45)</f>
        <v>0</v>
      </c>
      <c r="H46" s="33"/>
      <c r="I46" s="97"/>
      <c r="J46" s="97">
        <f t="shared" ref="J46:S46" si="75">SUM(J51-I51)-SUM(J38:J45)</f>
        <v>0</v>
      </c>
      <c r="K46" s="97">
        <f t="shared" si="75"/>
        <v>0</v>
      </c>
      <c r="L46" s="97">
        <f t="shared" si="75"/>
        <v>0</v>
      </c>
      <c r="M46" s="97">
        <f t="shared" si="75"/>
        <v>0</v>
      </c>
      <c r="N46" s="97">
        <f t="shared" si="75"/>
        <v>0</v>
      </c>
      <c r="O46" s="97">
        <f t="shared" si="75"/>
        <v>0</v>
      </c>
      <c r="P46" s="97">
        <f t="shared" si="75"/>
        <v>0</v>
      </c>
      <c r="Q46" s="97">
        <f t="shared" si="75"/>
        <v>0</v>
      </c>
      <c r="R46" s="97">
        <f t="shared" si="75"/>
        <v>0</v>
      </c>
      <c r="S46" s="97">
        <f t="shared" si="75"/>
        <v>0</v>
      </c>
      <c r="U46" s="10">
        <f>SUM(H46:H46)</f>
        <v>0</v>
      </c>
      <c r="V46" s="10" t="e">
        <f>SUM(#REF!)</f>
        <v>#REF!</v>
      </c>
      <c r="W46" s="10">
        <f>SUM(I46:I46)</f>
        <v>0</v>
      </c>
      <c r="X46" s="10">
        <f>SUM(I46:J46)</f>
        <v>0</v>
      </c>
      <c r="Y46" s="10">
        <f>SUM(I46:K46)</f>
        <v>0</v>
      </c>
      <c r="Z46" s="10">
        <f t="shared" ref="Z46:AA46" si="76">SUM(I46:L46)</f>
        <v>0</v>
      </c>
      <c r="AA46" s="10">
        <f t="shared" si="76"/>
        <v>0</v>
      </c>
      <c r="AB46" s="10">
        <f t="shared" si="74"/>
        <v>0</v>
      </c>
      <c r="AC46" s="146">
        <f t="shared" si="74"/>
        <v>0</v>
      </c>
      <c r="AD46" s="146">
        <f t="shared" si="74"/>
        <v>0</v>
      </c>
      <c r="AE46" s="146">
        <f t="shared" si="74"/>
        <v>0</v>
      </c>
      <c r="AF46" s="146">
        <f t="shared" si="74"/>
        <v>0</v>
      </c>
      <c r="AG46" s="146">
        <f t="shared" si="74"/>
        <v>0</v>
      </c>
    </row>
    <row r="47" spans="2:35" ht="12.75" customHeight="1">
      <c r="B47" s="13" t="s">
        <v>40</v>
      </c>
      <c r="C47" s="14" t="e">
        <f>SUM(C38+SUM(C40:C46))</f>
        <v>#REF!</v>
      </c>
      <c r="D47" s="14" t="e">
        <f>SUM(D38+SUM(D40:D46))</f>
        <v>#REF!</v>
      </c>
      <c r="E47" s="14" t="e">
        <f>SUM(E38+SUM(E40:E46))</f>
        <v>#REF!</v>
      </c>
      <c r="F47" s="14">
        <f>SUM(F38+SUM(F40:F46))</f>
        <v>0</v>
      </c>
      <c r="G47" s="14">
        <f>SUM(G38+SUM(G40:G46))</f>
        <v>0</v>
      </c>
      <c r="I47" s="14">
        <f t="shared" ref="I47:S47" si="77">SUM(I38+SUM(I40:I46))</f>
        <v>0</v>
      </c>
      <c r="J47" s="14">
        <f t="shared" si="77"/>
        <v>0</v>
      </c>
      <c r="K47" s="14">
        <f t="shared" si="77"/>
        <v>0</v>
      </c>
      <c r="L47" s="14">
        <f t="shared" si="77"/>
        <v>0</v>
      </c>
      <c r="M47" s="14">
        <f t="shared" si="77"/>
        <v>0</v>
      </c>
      <c r="N47" s="14">
        <f t="shared" si="77"/>
        <v>0</v>
      </c>
      <c r="O47" s="14">
        <f t="shared" si="77"/>
        <v>0</v>
      </c>
      <c r="P47" s="14">
        <f t="shared" si="77"/>
        <v>0</v>
      </c>
      <c r="Q47" s="14">
        <f t="shared" si="77"/>
        <v>0</v>
      </c>
      <c r="R47" s="14">
        <f t="shared" si="77"/>
        <v>0</v>
      </c>
      <c r="S47" s="14">
        <f t="shared" si="77"/>
        <v>0</v>
      </c>
      <c r="U47" s="14">
        <f t="shared" ref="U47:AG47" si="78">SUM(U38+SUM(U40:U46))</f>
        <v>0</v>
      </c>
      <c r="V47" s="14" t="e">
        <f t="shared" si="78"/>
        <v>#REF!</v>
      </c>
      <c r="W47" s="14">
        <f t="shared" si="78"/>
        <v>0</v>
      </c>
      <c r="X47" s="14">
        <f t="shared" si="78"/>
        <v>0</v>
      </c>
      <c r="Y47" s="14">
        <f t="shared" si="78"/>
        <v>0</v>
      </c>
      <c r="Z47" s="14">
        <f t="shared" si="78"/>
        <v>0</v>
      </c>
      <c r="AA47" s="14">
        <f t="shared" si="78"/>
        <v>0</v>
      </c>
      <c r="AB47" s="14">
        <f t="shared" si="78"/>
        <v>0</v>
      </c>
      <c r="AC47" s="14">
        <f t="shared" si="78"/>
        <v>0</v>
      </c>
      <c r="AD47" s="14">
        <f t="shared" si="78"/>
        <v>0</v>
      </c>
      <c r="AE47" s="14">
        <f t="shared" si="78"/>
        <v>0</v>
      </c>
      <c r="AF47" s="14">
        <f t="shared" si="78"/>
        <v>0</v>
      </c>
      <c r="AG47" s="14">
        <f t="shared" si="78"/>
        <v>0</v>
      </c>
    </row>
    <row r="48" spans="2:35" ht="5.0999999999999996" customHeight="1"/>
    <row r="49" spans="1:33" ht="12.75" customHeight="1">
      <c r="A49" s="5"/>
      <c r="B49" s="34" t="s">
        <v>41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</row>
    <row r="50" spans="1:33" ht="5.0999999999999996" customHeight="1"/>
    <row r="51" spans="1:33" ht="12.75" customHeight="1">
      <c r="B51" s="8" t="s">
        <v>42</v>
      </c>
      <c r="C51" s="95" t="e">
        <f>('Historical Financials'!#REF!)/1000</f>
        <v>#REF!</v>
      </c>
      <c r="D51" s="95" t="e">
        <f>('Historical Financials'!#REF!)/1000</f>
        <v>#REF!</v>
      </c>
      <c r="E51" s="95"/>
      <c r="F51" s="95"/>
      <c r="G51" s="95"/>
      <c r="H51" s="33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U51" s="10" t="e">
        <f>#REF!</f>
        <v>#REF!</v>
      </c>
      <c r="V51" s="10" t="e">
        <f>#REF!</f>
        <v>#REF!</v>
      </c>
      <c r="W51" s="10">
        <f t="shared" ref="W51:AG51" si="79">I51</f>
        <v>0</v>
      </c>
      <c r="X51" s="10">
        <f t="shared" si="79"/>
        <v>0</v>
      </c>
      <c r="Y51" s="10">
        <f t="shared" si="79"/>
        <v>0</v>
      </c>
      <c r="Z51" s="10">
        <f t="shared" si="79"/>
        <v>0</v>
      </c>
      <c r="AA51" s="10">
        <f t="shared" si="79"/>
        <v>0</v>
      </c>
      <c r="AB51" s="10">
        <f t="shared" si="79"/>
        <v>0</v>
      </c>
      <c r="AC51" s="10">
        <f t="shared" si="79"/>
        <v>0</v>
      </c>
      <c r="AD51" s="10">
        <f t="shared" si="79"/>
        <v>0</v>
      </c>
      <c r="AE51" s="10">
        <f t="shared" si="79"/>
        <v>0</v>
      </c>
      <c r="AF51" s="10">
        <f t="shared" si="79"/>
        <v>0</v>
      </c>
      <c r="AG51" s="10">
        <f t="shared" si="79"/>
        <v>0</v>
      </c>
    </row>
    <row r="52" spans="1:33" ht="12.75" customHeight="1">
      <c r="B52" s="8" t="s">
        <v>123</v>
      </c>
      <c r="C52" s="95" t="e">
        <f>('Historical Financials'!#REF!)/1000</f>
        <v>#REF!</v>
      </c>
      <c r="D52" s="95" t="e">
        <f>('Historical Financials'!#REF!)/1000</f>
        <v>#REF!</v>
      </c>
      <c r="E52" s="95"/>
      <c r="F52" s="95"/>
      <c r="G52" s="95"/>
      <c r="H52" s="33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U52" s="10"/>
      <c r="V52" s="10"/>
      <c r="W52" s="10"/>
      <c r="X52" s="10"/>
      <c r="Y52" s="10"/>
      <c r="Z52" s="10"/>
      <c r="AA52" s="10"/>
      <c r="AB52" s="10"/>
      <c r="AC52" s="10">
        <f t="shared" ref="AC52:AG53" si="80">O52</f>
        <v>0</v>
      </c>
      <c r="AD52" s="10">
        <f t="shared" si="80"/>
        <v>0</v>
      </c>
      <c r="AE52" s="10">
        <f t="shared" si="80"/>
        <v>0</v>
      </c>
      <c r="AF52" s="10">
        <f t="shared" si="80"/>
        <v>0</v>
      </c>
      <c r="AG52" s="10">
        <f t="shared" si="80"/>
        <v>0</v>
      </c>
    </row>
    <row r="53" spans="1:33" ht="12.75" customHeight="1">
      <c r="B53" s="32" t="s">
        <v>123</v>
      </c>
      <c r="C53" s="81">
        <v>750</v>
      </c>
      <c r="D53" s="81">
        <v>1000</v>
      </c>
      <c r="E53" s="81"/>
      <c r="F53" s="81"/>
      <c r="G53" s="81"/>
      <c r="H53" s="95"/>
      <c r="I53" s="81"/>
      <c r="J53" s="81"/>
      <c r="K53" s="81"/>
      <c r="L53" s="10"/>
      <c r="M53" s="81"/>
      <c r="N53" s="81"/>
      <c r="O53" s="81"/>
      <c r="P53" s="10"/>
      <c r="Q53" s="81"/>
      <c r="R53" s="81"/>
      <c r="S53" s="81"/>
      <c r="U53" s="10"/>
      <c r="V53" s="10"/>
      <c r="W53" s="10"/>
      <c r="X53" s="10"/>
      <c r="Y53" s="10"/>
      <c r="Z53" s="10"/>
      <c r="AA53" s="10"/>
      <c r="AB53" s="10"/>
      <c r="AC53" s="10">
        <f t="shared" si="80"/>
        <v>0</v>
      </c>
      <c r="AD53" s="10">
        <f t="shared" si="80"/>
        <v>0</v>
      </c>
      <c r="AE53" s="10">
        <f t="shared" si="80"/>
        <v>0</v>
      </c>
      <c r="AF53" s="10">
        <f t="shared" si="80"/>
        <v>0</v>
      </c>
      <c r="AG53" s="10">
        <f t="shared" si="80"/>
        <v>0</v>
      </c>
    </row>
    <row r="54" spans="1:33" ht="12.75" customHeight="1">
      <c r="B54" s="13" t="s">
        <v>43</v>
      </c>
      <c r="C54" s="14" t="e">
        <f>SUM(C51:C53)</f>
        <v>#REF!</v>
      </c>
      <c r="D54" s="14" t="e">
        <f>SUM(D51:D53)</f>
        <v>#REF!</v>
      </c>
      <c r="E54" s="14">
        <f>SUM(E51:E53)</f>
        <v>0</v>
      </c>
      <c r="F54" s="14">
        <f>SUM(F51:F53)</f>
        <v>0</v>
      </c>
      <c r="G54" s="14">
        <f>SUM(G51:G53)</f>
        <v>0</v>
      </c>
      <c r="H54" s="33"/>
      <c r="I54" s="14">
        <f t="shared" ref="I54:S54" si="81">SUM(I51:I53)</f>
        <v>0</v>
      </c>
      <c r="J54" s="14">
        <f t="shared" si="81"/>
        <v>0</v>
      </c>
      <c r="K54" s="14">
        <f t="shared" si="81"/>
        <v>0</v>
      </c>
      <c r="L54" s="14">
        <f t="shared" si="81"/>
        <v>0</v>
      </c>
      <c r="M54" s="14">
        <f t="shared" si="81"/>
        <v>0</v>
      </c>
      <c r="N54" s="14">
        <f t="shared" si="81"/>
        <v>0</v>
      </c>
      <c r="O54" s="14">
        <f t="shared" si="81"/>
        <v>0</v>
      </c>
      <c r="P54" s="14">
        <f t="shared" si="81"/>
        <v>0</v>
      </c>
      <c r="Q54" s="14">
        <f t="shared" si="81"/>
        <v>0</v>
      </c>
      <c r="R54" s="14">
        <f t="shared" si="81"/>
        <v>0</v>
      </c>
      <c r="S54" s="14">
        <f t="shared" si="81"/>
        <v>0</v>
      </c>
      <c r="U54" s="14" t="e">
        <f t="shared" ref="U54:AB54" si="82">SUM(U51:U51)</f>
        <v>#REF!</v>
      </c>
      <c r="V54" s="14" t="e">
        <f t="shared" si="82"/>
        <v>#REF!</v>
      </c>
      <c r="W54" s="14">
        <f t="shared" si="82"/>
        <v>0</v>
      </c>
      <c r="X54" s="14">
        <f t="shared" si="82"/>
        <v>0</v>
      </c>
      <c r="Y54" s="14">
        <f t="shared" si="82"/>
        <v>0</v>
      </c>
      <c r="Z54" s="14">
        <f t="shared" si="82"/>
        <v>0</v>
      </c>
      <c r="AA54" s="14">
        <f t="shared" si="82"/>
        <v>0</v>
      </c>
      <c r="AB54" s="14">
        <f t="shared" si="82"/>
        <v>0</v>
      </c>
      <c r="AC54" s="14">
        <f>SUM(AC51:AC53)</f>
        <v>0</v>
      </c>
      <c r="AD54" s="14">
        <f>SUM(AD51:AD53)</f>
        <v>0</v>
      </c>
      <c r="AE54" s="14">
        <f>SUM(AE51:AE53)</f>
        <v>0</v>
      </c>
      <c r="AF54" s="14">
        <f>SUM(AF51:AF53)</f>
        <v>0</v>
      </c>
      <c r="AG54" s="14">
        <f>SUM(AG51:AG53)</f>
        <v>0</v>
      </c>
    </row>
    <row r="55" spans="1:33" ht="5.0999999999999996" customHeight="1"/>
    <row r="56" spans="1:33" ht="12.75" customHeight="1">
      <c r="B56" s="36" t="s">
        <v>44</v>
      </c>
    </row>
    <row r="57" spans="1:33" ht="12.75" customHeight="1">
      <c r="B57" s="8" t="s">
        <v>121</v>
      </c>
      <c r="C57" s="95" t="e">
        <f>('Historical Financials'!#REF!)/1000</f>
        <v>#REF!</v>
      </c>
      <c r="D57" s="95" t="e">
        <f>('Historical Financials'!#REF!)/1000</f>
        <v>#REF!</v>
      </c>
      <c r="E57" s="95"/>
      <c r="F57" s="95"/>
      <c r="G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10"/>
      <c r="U57" s="10" t="e">
        <f>#REF!</f>
        <v>#REF!</v>
      </c>
      <c r="V57" s="10" t="e">
        <f>#REF!</f>
        <v>#REF!</v>
      </c>
      <c r="W57" s="10">
        <f t="shared" ref="W57:AE62" si="83">I57</f>
        <v>0</v>
      </c>
      <c r="X57" s="10">
        <f t="shared" si="83"/>
        <v>0</v>
      </c>
      <c r="Y57" s="10">
        <f t="shared" si="83"/>
        <v>0</v>
      </c>
      <c r="Z57" s="10">
        <f t="shared" si="83"/>
        <v>0</v>
      </c>
      <c r="AA57" s="10">
        <f t="shared" si="83"/>
        <v>0</v>
      </c>
      <c r="AB57" s="10">
        <f t="shared" si="83"/>
        <v>0</v>
      </c>
      <c r="AC57" s="10">
        <f t="shared" si="83"/>
        <v>0</v>
      </c>
      <c r="AD57" s="10">
        <f t="shared" si="83"/>
        <v>0</v>
      </c>
      <c r="AE57" s="10">
        <f t="shared" si="83"/>
        <v>0</v>
      </c>
      <c r="AF57" s="10">
        <f t="shared" ref="AF57:AG62" si="84">R57</f>
        <v>0</v>
      </c>
      <c r="AG57" s="10">
        <f t="shared" si="84"/>
        <v>0</v>
      </c>
    </row>
    <row r="58" spans="1:33" ht="12.75" customHeight="1">
      <c r="B58" s="8" t="s">
        <v>116</v>
      </c>
      <c r="C58" s="95" t="e">
        <f>('Historical Financials'!#REF!)/1000</f>
        <v>#REF!</v>
      </c>
      <c r="D58" s="95" t="e">
        <f>('Historical Financials'!#REF!)/1000</f>
        <v>#REF!</v>
      </c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U58" s="10" t="e">
        <f>#REF!</f>
        <v>#REF!</v>
      </c>
      <c r="V58" s="10" t="e">
        <f>#REF!</f>
        <v>#REF!</v>
      </c>
      <c r="W58" s="10">
        <f t="shared" si="83"/>
        <v>0</v>
      </c>
      <c r="X58" s="10">
        <f t="shared" si="83"/>
        <v>0</v>
      </c>
      <c r="Y58" s="10">
        <f t="shared" si="83"/>
        <v>0</v>
      </c>
      <c r="Z58" s="10">
        <f t="shared" si="83"/>
        <v>0</v>
      </c>
      <c r="AA58" s="10">
        <f t="shared" si="83"/>
        <v>0</v>
      </c>
      <c r="AB58" s="10">
        <f t="shared" si="83"/>
        <v>0</v>
      </c>
      <c r="AC58" s="10">
        <f t="shared" si="83"/>
        <v>0</v>
      </c>
      <c r="AD58" s="10">
        <f t="shared" si="83"/>
        <v>0</v>
      </c>
      <c r="AE58" s="10">
        <f t="shared" si="83"/>
        <v>0</v>
      </c>
      <c r="AF58" s="10">
        <f t="shared" si="84"/>
        <v>0</v>
      </c>
      <c r="AG58" s="10">
        <f t="shared" si="84"/>
        <v>0</v>
      </c>
    </row>
    <row r="59" spans="1:33" ht="12.75" customHeight="1">
      <c r="B59" s="8" t="s">
        <v>45</v>
      </c>
      <c r="C59" s="95" t="e">
        <f>('Historical Financials'!#REF!)/1000</f>
        <v>#REF!</v>
      </c>
      <c r="D59" s="95" t="e">
        <f>('Historical Financials'!#REF!)/1000</f>
        <v>#REF!</v>
      </c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U59" s="10"/>
      <c r="V59" s="10"/>
      <c r="W59" s="10"/>
      <c r="X59" s="10"/>
      <c r="Y59" s="10"/>
      <c r="Z59" s="10"/>
      <c r="AA59" s="10"/>
      <c r="AB59" s="10"/>
      <c r="AC59" s="10">
        <f t="shared" ref="AC59:AC60" si="85">O59</f>
        <v>0</v>
      </c>
      <c r="AD59" s="10">
        <f t="shared" ref="AD59:AD60" si="86">P59</f>
        <v>0</v>
      </c>
      <c r="AE59" s="10">
        <f t="shared" ref="AE59:AE60" si="87">Q59</f>
        <v>0</v>
      </c>
      <c r="AF59" s="10">
        <f t="shared" ref="AF59:AF60" si="88">R59</f>
        <v>0</v>
      </c>
      <c r="AG59" s="10">
        <f t="shared" ref="AG59:AG60" si="89">S59</f>
        <v>0</v>
      </c>
    </row>
    <row r="60" spans="1:33" ht="12.75" customHeight="1">
      <c r="B60" s="8" t="s">
        <v>117</v>
      </c>
      <c r="C60" s="95" t="e">
        <f>('Historical Financials'!#REF!)/1000</f>
        <v>#REF!</v>
      </c>
      <c r="D60" s="95" t="e">
        <f>('Historical Financials'!#REF!)/1000</f>
        <v>#REF!</v>
      </c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U60" s="10"/>
      <c r="V60" s="10"/>
      <c r="W60" s="10"/>
      <c r="X60" s="10"/>
      <c r="Y60" s="10"/>
      <c r="Z60" s="10"/>
      <c r="AA60" s="10"/>
      <c r="AB60" s="10"/>
      <c r="AC60" s="10">
        <f t="shared" si="85"/>
        <v>0</v>
      </c>
      <c r="AD60" s="10">
        <f t="shared" si="86"/>
        <v>0</v>
      </c>
      <c r="AE60" s="10">
        <f t="shared" si="87"/>
        <v>0</v>
      </c>
      <c r="AF60" s="10">
        <f t="shared" si="88"/>
        <v>0</v>
      </c>
      <c r="AG60" s="10">
        <f t="shared" si="89"/>
        <v>0</v>
      </c>
    </row>
    <row r="61" spans="1:33" ht="12.75" customHeight="1">
      <c r="B61" s="8" t="s">
        <v>46</v>
      </c>
      <c r="C61" s="95" t="e">
        <f>('Historical Financials'!#REF!)/1000</f>
        <v>#REF!</v>
      </c>
      <c r="D61" s="95" t="e">
        <f>('Historical Financials'!#REF!)/1000</f>
        <v>#REF!</v>
      </c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U61" s="10" t="e">
        <f>#REF!</f>
        <v>#REF!</v>
      </c>
      <c r="V61" s="10" t="e">
        <f>#REF!</f>
        <v>#REF!</v>
      </c>
      <c r="W61" s="10">
        <f t="shared" si="83"/>
        <v>0</v>
      </c>
      <c r="X61" s="10">
        <f t="shared" si="83"/>
        <v>0</v>
      </c>
      <c r="Y61" s="10">
        <f t="shared" si="83"/>
        <v>0</v>
      </c>
      <c r="Z61" s="10">
        <f t="shared" si="83"/>
        <v>0</v>
      </c>
      <c r="AA61" s="10">
        <f t="shared" si="83"/>
        <v>0</v>
      </c>
      <c r="AB61" s="10">
        <f t="shared" si="83"/>
        <v>0</v>
      </c>
      <c r="AC61" s="10">
        <f t="shared" si="83"/>
        <v>0</v>
      </c>
      <c r="AD61" s="10">
        <f t="shared" si="83"/>
        <v>0</v>
      </c>
      <c r="AE61" s="10">
        <f t="shared" si="83"/>
        <v>0</v>
      </c>
      <c r="AF61" s="10">
        <f t="shared" si="84"/>
        <v>0</v>
      </c>
      <c r="AG61" s="10">
        <f t="shared" si="84"/>
        <v>0</v>
      </c>
    </row>
    <row r="62" spans="1:33" ht="12.75" customHeight="1">
      <c r="B62" s="8" t="s">
        <v>16</v>
      </c>
      <c r="C62" s="95" t="e">
        <f>('Historical Financials'!#REF!)/1000</f>
        <v>#REF!</v>
      </c>
      <c r="D62" s="95" t="e">
        <f>('Historical Financials'!#REF!)/1000</f>
        <v>#REF!</v>
      </c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U62" s="10" t="e">
        <f>#REF!</f>
        <v>#REF!</v>
      </c>
      <c r="V62" s="10" t="e">
        <f>#REF!</f>
        <v>#REF!</v>
      </c>
      <c r="W62" s="10">
        <f t="shared" si="83"/>
        <v>0</v>
      </c>
      <c r="X62" s="10">
        <f t="shared" si="83"/>
        <v>0</v>
      </c>
      <c r="Y62" s="10">
        <f t="shared" si="83"/>
        <v>0</v>
      </c>
      <c r="Z62" s="10">
        <f t="shared" si="83"/>
        <v>0</v>
      </c>
      <c r="AA62" s="10">
        <f t="shared" si="83"/>
        <v>0</v>
      </c>
      <c r="AB62" s="10">
        <f t="shared" si="83"/>
        <v>0</v>
      </c>
      <c r="AC62" s="10">
        <f t="shared" si="83"/>
        <v>0</v>
      </c>
      <c r="AD62" s="10">
        <f t="shared" si="83"/>
        <v>0</v>
      </c>
      <c r="AE62" s="10">
        <f t="shared" si="83"/>
        <v>0</v>
      </c>
      <c r="AF62" s="10">
        <f t="shared" si="84"/>
        <v>0</v>
      </c>
      <c r="AG62" s="10">
        <f t="shared" si="84"/>
        <v>0</v>
      </c>
    </row>
    <row r="63" spans="1:33" ht="5.0999999999999996" customHeight="1">
      <c r="G63" s="10"/>
    </row>
    <row r="64" spans="1:33">
      <c r="B64" s="36" t="s">
        <v>118</v>
      </c>
      <c r="G64" s="10"/>
    </row>
    <row r="65" spans="1:33">
      <c r="B65" s="8" t="s">
        <v>119</v>
      </c>
      <c r="C65" s="95" t="e">
        <f>('Historical Financials'!#REF!)/1000</f>
        <v>#REF!</v>
      </c>
      <c r="D65" s="95" t="e">
        <f>('Historical Financials'!#REF!)/1000</f>
        <v>#REF!</v>
      </c>
      <c r="E65" s="95" t="e">
        <f>('Historical Financials'!#REF!)/1000</f>
        <v>#REF!</v>
      </c>
      <c r="F65" s="95" t="e">
        <f>('Historical Financials'!#REF!)/1000</f>
        <v>#REF!</v>
      </c>
      <c r="G65" s="95" t="e">
        <f>('Historical Financials'!#REF!)/1000</f>
        <v>#REF!</v>
      </c>
      <c r="I65" s="95" t="e">
        <f>('Historical Financials'!#REF!)/1000</f>
        <v>#REF!</v>
      </c>
      <c r="J65" s="95" t="e">
        <f>('Historical Financials'!#REF!)/1000</f>
        <v>#REF!</v>
      </c>
      <c r="K65" s="95" t="e">
        <f>('Historical Financials'!#REF!)/1000</f>
        <v>#REF!</v>
      </c>
      <c r="L65" s="95" t="e">
        <f>('Historical Financials'!#REF!)/1000</f>
        <v>#REF!</v>
      </c>
      <c r="M65" s="95" t="e">
        <f>('Historical Financials'!#REF!)/1000</f>
        <v>#REF!</v>
      </c>
      <c r="N65" s="95" t="e">
        <f>('Historical Financials'!#REF!)/1000</f>
        <v>#REF!</v>
      </c>
      <c r="O65" s="95" t="e">
        <f>('Historical Financials'!#REF!)/1000</f>
        <v>#REF!</v>
      </c>
      <c r="P65" s="95" t="e">
        <f>('Historical Financials'!#REF!)/1000</f>
        <v>#REF!</v>
      </c>
      <c r="Q65" s="95" t="e">
        <f>('Historical Financials'!#REF!)/1000</f>
        <v>#REF!</v>
      </c>
      <c r="R65" s="95" t="e">
        <f>('Historical Financials'!#REF!)/1000</f>
        <v>#REF!</v>
      </c>
      <c r="S65" s="95" t="e">
        <f>('Historical Financials'!#REF!)/1000</f>
        <v>#REF!</v>
      </c>
      <c r="AC65" s="10" t="e">
        <f t="shared" ref="AC65:AC66" si="90">O65</f>
        <v>#REF!</v>
      </c>
      <c r="AD65" s="10" t="e">
        <f t="shared" ref="AD65:AD66" si="91">P65</f>
        <v>#REF!</v>
      </c>
      <c r="AE65" s="10" t="e">
        <f t="shared" ref="AE65:AE66" si="92">Q65</f>
        <v>#REF!</v>
      </c>
      <c r="AF65" s="10" t="e">
        <f t="shared" ref="AF65:AF66" si="93">R65</f>
        <v>#REF!</v>
      </c>
      <c r="AG65" s="10" t="e">
        <f t="shared" ref="AG65:AG66" si="94">S65</f>
        <v>#REF!</v>
      </c>
    </row>
    <row r="66" spans="1:33">
      <c r="B66" s="8" t="s">
        <v>120</v>
      </c>
      <c r="C66" s="95" t="e">
        <f>('Historical Financials'!#REF!)/1000</f>
        <v>#REF!</v>
      </c>
      <c r="D66" s="95" t="e">
        <f>('Historical Financials'!#REF!)/1000</f>
        <v>#REF!</v>
      </c>
      <c r="E66" s="95" t="e">
        <f>('Historical Financials'!#REF!)/1000</f>
        <v>#REF!</v>
      </c>
      <c r="F66" s="95" t="e">
        <f>('Historical Financials'!#REF!)/1000</f>
        <v>#REF!</v>
      </c>
      <c r="G66" s="95" t="e">
        <f>('Historical Financials'!#REF!)/1000</f>
        <v>#REF!</v>
      </c>
      <c r="I66" s="95" t="e">
        <f>('Historical Financials'!#REF!)/1000</f>
        <v>#REF!</v>
      </c>
      <c r="J66" s="95" t="e">
        <f>('Historical Financials'!#REF!)/1000</f>
        <v>#REF!</v>
      </c>
      <c r="K66" s="95" t="e">
        <f>('Historical Financials'!#REF!)/1000</f>
        <v>#REF!</v>
      </c>
      <c r="L66" s="95" t="e">
        <f>('Historical Financials'!#REF!)/1000</f>
        <v>#REF!</v>
      </c>
      <c r="M66" s="95" t="e">
        <f>('Historical Financials'!#REF!)/1000</f>
        <v>#REF!</v>
      </c>
      <c r="N66" s="95" t="e">
        <f>('Historical Financials'!#REF!)/1000</f>
        <v>#REF!</v>
      </c>
      <c r="O66" s="95" t="e">
        <f>('Historical Financials'!#REF!)/1000</f>
        <v>#REF!</v>
      </c>
      <c r="P66" s="95" t="e">
        <f>('Historical Financials'!#REF!)/1000</f>
        <v>#REF!</v>
      </c>
      <c r="Q66" s="95" t="e">
        <f>('Historical Financials'!#REF!)/1000</f>
        <v>#REF!</v>
      </c>
      <c r="R66" s="95" t="e">
        <f>('Historical Financials'!#REF!)/1000</f>
        <v>#REF!</v>
      </c>
      <c r="S66" s="95" t="e">
        <f>('Historical Financials'!#REF!)/1000</f>
        <v>#REF!</v>
      </c>
      <c r="AC66" s="10" t="e">
        <f t="shared" si="90"/>
        <v>#REF!</v>
      </c>
      <c r="AD66" s="10" t="e">
        <f t="shared" si="91"/>
        <v>#REF!</v>
      </c>
      <c r="AE66" s="10" t="e">
        <f t="shared" si="92"/>
        <v>#REF!</v>
      </c>
      <c r="AF66" s="10" t="e">
        <f t="shared" si="93"/>
        <v>#REF!</v>
      </c>
      <c r="AG66" s="10" t="e">
        <f t="shared" si="94"/>
        <v>#REF!</v>
      </c>
    </row>
    <row r="67" spans="1:33">
      <c r="G67" s="10"/>
    </row>
    <row r="68" spans="1:33">
      <c r="B68" s="32" t="s">
        <v>123</v>
      </c>
      <c r="C68" s="81">
        <v>0</v>
      </c>
      <c r="D68" s="81">
        <v>0</v>
      </c>
      <c r="E68" s="81"/>
      <c r="F68" s="81"/>
      <c r="G68" s="81"/>
      <c r="I68" s="81"/>
      <c r="J68" s="81"/>
      <c r="K68" s="81"/>
      <c r="L68" s="10"/>
      <c r="M68" s="81"/>
      <c r="N68" s="81"/>
      <c r="O68" s="81"/>
      <c r="P68" s="10"/>
      <c r="Q68" s="81"/>
      <c r="R68" s="81"/>
      <c r="S68" s="81"/>
      <c r="U68" s="10" t="e">
        <f>#REF!</f>
        <v>#REF!</v>
      </c>
      <c r="V68" s="10" t="e">
        <f>#REF!</f>
        <v>#REF!</v>
      </c>
      <c r="W68" s="10">
        <f t="shared" ref="W68" si="95">I68</f>
        <v>0</v>
      </c>
      <c r="X68" s="10">
        <f t="shared" ref="X68" si="96">J68</f>
        <v>0</v>
      </c>
      <c r="Y68" s="10">
        <f t="shared" ref="Y68" si="97">K68</f>
        <v>0</v>
      </c>
      <c r="Z68" s="10">
        <f t="shared" ref="Z68" si="98">L68</f>
        <v>0</v>
      </c>
      <c r="AA68" s="10">
        <f t="shared" ref="AA68" si="99">M68</f>
        <v>0</v>
      </c>
      <c r="AB68" s="10">
        <f t="shared" ref="AB68" si="100">N68</f>
        <v>0</v>
      </c>
      <c r="AC68" s="10">
        <f t="shared" ref="AC68" si="101">O68</f>
        <v>0</v>
      </c>
      <c r="AD68" s="10">
        <f t="shared" ref="AD68" si="102">P68</f>
        <v>0</v>
      </c>
      <c r="AE68" s="10">
        <f t="shared" ref="AE68" si="103">Q68</f>
        <v>0</v>
      </c>
      <c r="AF68" s="10">
        <f t="shared" ref="AF68" si="104">R68</f>
        <v>0</v>
      </c>
      <c r="AG68" s="10">
        <f t="shared" ref="AG68" si="105">S68</f>
        <v>0</v>
      </c>
    </row>
    <row r="69" spans="1:33" ht="12.75" customHeight="1">
      <c r="B69" s="32" t="s">
        <v>123</v>
      </c>
      <c r="C69" s="95" t="e">
        <f>#REF!</f>
        <v>#REF!</v>
      </c>
      <c r="D69" s="95" t="e">
        <f>#REF!</f>
        <v>#REF!</v>
      </c>
      <c r="E69" s="95"/>
      <c r="F69" s="95"/>
      <c r="G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U69" s="10" t="e">
        <f>#REF!</f>
        <v>#REF!</v>
      </c>
      <c r="V69" s="10" t="e">
        <f>#REF!</f>
        <v>#REF!</v>
      </c>
      <c r="W69" s="10">
        <f t="shared" ref="W69:AG69" si="106">I69</f>
        <v>0</v>
      </c>
      <c r="X69" s="10">
        <f t="shared" si="106"/>
        <v>0</v>
      </c>
      <c r="Y69" s="10">
        <f t="shared" si="106"/>
        <v>0</v>
      </c>
      <c r="Z69" s="10">
        <f t="shared" si="106"/>
        <v>0</v>
      </c>
      <c r="AA69" s="10">
        <f t="shared" si="106"/>
        <v>0</v>
      </c>
      <c r="AB69" s="10">
        <f t="shared" si="106"/>
        <v>0</v>
      </c>
      <c r="AC69" s="10">
        <f t="shared" si="106"/>
        <v>0</v>
      </c>
      <c r="AD69" s="10">
        <f t="shared" si="106"/>
        <v>0</v>
      </c>
      <c r="AE69" s="10">
        <f t="shared" si="106"/>
        <v>0</v>
      </c>
      <c r="AF69" s="10">
        <f t="shared" si="106"/>
        <v>0</v>
      </c>
      <c r="AG69" s="10">
        <f t="shared" si="106"/>
        <v>0</v>
      </c>
    </row>
    <row r="70" spans="1:33" ht="12.75" customHeight="1">
      <c r="B70" s="13" t="s">
        <v>22</v>
      </c>
      <c r="C70" s="14" t="e">
        <f>SUM(C69:C69)</f>
        <v>#REF!</v>
      </c>
      <c r="D70" s="14" t="e">
        <f>SUM(D69:D69)</f>
        <v>#REF!</v>
      </c>
      <c r="E70" s="14">
        <f>SUM(E69:E69)</f>
        <v>0</v>
      </c>
      <c r="F70" s="14">
        <f>SUM(F69:F69)</f>
        <v>0</v>
      </c>
      <c r="G70" s="14">
        <f>SUM(G69:G69)</f>
        <v>0</v>
      </c>
      <c r="I70" s="14">
        <f t="shared" ref="I70:S70" si="107">SUM(I69:I69)</f>
        <v>0</v>
      </c>
      <c r="J70" s="14">
        <f t="shared" si="107"/>
        <v>0</v>
      </c>
      <c r="K70" s="14">
        <f t="shared" si="107"/>
        <v>0</v>
      </c>
      <c r="L70" s="14">
        <f t="shared" si="107"/>
        <v>0</v>
      </c>
      <c r="M70" s="14">
        <f t="shared" si="107"/>
        <v>0</v>
      </c>
      <c r="N70" s="14">
        <f t="shared" si="107"/>
        <v>0</v>
      </c>
      <c r="O70" s="14">
        <f t="shared" si="107"/>
        <v>0</v>
      </c>
      <c r="P70" s="14">
        <f t="shared" si="107"/>
        <v>0</v>
      </c>
      <c r="Q70" s="14">
        <f t="shared" si="107"/>
        <v>0</v>
      </c>
      <c r="R70" s="14">
        <f t="shared" si="107"/>
        <v>0</v>
      </c>
      <c r="S70" s="14">
        <f t="shared" si="107"/>
        <v>0</v>
      </c>
      <c r="U70" s="14" t="e">
        <f t="shared" ref="U70:AG70" si="108">SUM(U69:U69)</f>
        <v>#REF!</v>
      </c>
      <c r="V70" s="14" t="e">
        <f t="shared" si="108"/>
        <v>#REF!</v>
      </c>
      <c r="W70" s="14">
        <f t="shared" si="108"/>
        <v>0</v>
      </c>
      <c r="X70" s="14">
        <f t="shared" si="108"/>
        <v>0</v>
      </c>
      <c r="Y70" s="14">
        <f t="shared" si="108"/>
        <v>0</v>
      </c>
      <c r="Z70" s="14">
        <f t="shared" si="108"/>
        <v>0</v>
      </c>
      <c r="AA70" s="14">
        <f t="shared" si="108"/>
        <v>0</v>
      </c>
      <c r="AB70" s="14">
        <f t="shared" si="108"/>
        <v>0</v>
      </c>
      <c r="AC70" s="14">
        <f t="shared" si="108"/>
        <v>0</v>
      </c>
      <c r="AD70" s="14">
        <f t="shared" si="108"/>
        <v>0</v>
      </c>
      <c r="AE70" s="14">
        <f t="shared" si="108"/>
        <v>0</v>
      </c>
      <c r="AF70" s="14">
        <f t="shared" si="108"/>
        <v>0</v>
      </c>
      <c r="AG70" s="14">
        <f t="shared" si="108"/>
        <v>0</v>
      </c>
    </row>
    <row r="71" spans="1:33" ht="5.0999999999999996" customHeight="1"/>
    <row r="72" spans="1:33" ht="12.75" customHeight="1">
      <c r="B72" s="8" t="s">
        <v>47</v>
      </c>
      <c r="C72" s="145" t="e">
        <f>('Historical Financials'!#REF!)/1000</f>
        <v>#REF!</v>
      </c>
      <c r="D72" s="145" t="e">
        <f>('Historical Financials'!#REF!)/1000</f>
        <v>#REF!</v>
      </c>
      <c r="E72" s="145">
        <f>('Historical Financials'!C81)/1000</f>
        <v>266.97656799999993</v>
      </c>
      <c r="F72" s="145">
        <f>('Historical Financials'!D81)/1000</f>
        <v>-66.761899999999997</v>
      </c>
      <c r="G72" s="145">
        <f>('Historical Financials'!E81)/1000</f>
        <v>913.59009999999967</v>
      </c>
      <c r="I72" s="145">
        <f>('Historical Financials'!G81)/1000</f>
        <v>268.25635399999999</v>
      </c>
      <c r="J72" s="145">
        <f>('Historical Financials'!H81)/1000</f>
        <v>259.74739399999999</v>
      </c>
      <c r="K72" s="145">
        <f>('Historical Financials'!I81)/1000</f>
        <v>246.66319199999998</v>
      </c>
      <c r="L72" s="145">
        <f>('Historical Financials'!J81)/1000</f>
        <v>-66.761899999999997</v>
      </c>
      <c r="M72" s="145">
        <f>('Historical Financials'!K81)/1000</f>
        <v>210.274</v>
      </c>
      <c r="N72" s="145">
        <f>('Historical Financials'!L81)/1000</f>
        <v>341.66830000000027</v>
      </c>
      <c r="O72" s="145">
        <f>('Historical Financials'!M81)/1000</f>
        <v>816.53309999999965</v>
      </c>
      <c r="P72" s="145">
        <f>('Historical Financials'!N81)/1000</f>
        <v>913.59009999999967</v>
      </c>
      <c r="Q72" s="145">
        <f>('Historical Financials'!O81)/1000</f>
        <v>891.68650000000048</v>
      </c>
      <c r="R72" s="145">
        <f>('Historical Financials'!P81)/1000</f>
        <v>2281.897899999999</v>
      </c>
      <c r="S72" s="145">
        <f>('Historical Financials'!Q81)/1000</f>
        <v>2278.0940999999998</v>
      </c>
      <c r="U72" s="10" t="e">
        <f>#REF!</f>
        <v>#REF!</v>
      </c>
      <c r="V72" s="10" t="e">
        <f>#REF!</f>
        <v>#REF!</v>
      </c>
      <c r="W72" s="10">
        <f t="shared" ref="W72:AG72" si="109">I72</f>
        <v>268.25635399999999</v>
      </c>
      <c r="X72" s="10">
        <f t="shared" si="109"/>
        <v>259.74739399999999</v>
      </c>
      <c r="Y72" s="10">
        <f t="shared" si="109"/>
        <v>246.66319199999998</v>
      </c>
      <c r="Z72" s="10">
        <f t="shared" si="109"/>
        <v>-66.761899999999997</v>
      </c>
      <c r="AA72" s="10">
        <f t="shared" si="109"/>
        <v>210.274</v>
      </c>
      <c r="AB72" s="10">
        <f t="shared" si="109"/>
        <v>341.66830000000027</v>
      </c>
      <c r="AC72" s="146">
        <f t="shared" si="109"/>
        <v>816.53309999999965</v>
      </c>
      <c r="AD72" s="146">
        <f t="shared" si="109"/>
        <v>913.59009999999967</v>
      </c>
      <c r="AE72" s="146">
        <f t="shared" si="109"/>
        <v>891.68650000000048</v>
      </c>
      <c r="AF72" s="146">
        <f t="shared" si="109"/>
        <v>2281.897899999999</v>
      </c>
      <c r="AG72" s="146">
        <f t="shared" si="109"/>
        <v>2278.0940999999998</v>
      </c>
    </row>
    <row r="73" spans="1:33" ht="12.75" customHeight="1">
      <c r="B73" s="13" t="s">
        <v>48</v>
      </c>
      <c r="C73" s="14" t="e">
        <f>SUM(C70:C72)</f>
        <v>#REF!</v>
      </c>
      <c r="D73" s="14" t="e">
        <f>SUM(D70:D72)</f>
        <v>#REF!</v>
      </c>
      <c r="E73" s="14">
        <f>SUM(E70:E72)</f>
        <v>266.97656799999993</v>
      </c>
      <c r="F73" s="14">
        <f>SUM(F70:F72)</f>
        <v>-66.761899999999997</v>
      </c>
      <c r="G73" s="14">
        <f>SUM(G70:G72)</f>
        <v>913.59009999999967</v>
      </c>
      <c r="I73" s="14">
        <f t="shared" ref="I73:N73" si="110">SUM(I70:I72)</f>
        <v>268.25635399999999</v>
      </c>
      <c r="J73" s="14">
        <f t="shared" si="110"/>
        <v>259.74739399999999</v>
      </c>
      <c r="K73" s="14">
        <f t="shared" si="110"/>
        <v>246.66319199999998</v>
      </c>
      <c r="L73" s="14">
        <f t="shared" si="110"/>
        <v>-66.761899999999997</v>
      </c>
      <c r="M73" s="14">
        <f t="shared" si="110"/>
        <v>210.274</v>
      </c>
      <c r="N73" s="14">
        <f t="shared" si="110"/>
        <v>341.66830000000027</v>
      </c>
      <c r="O73" s="14">
        <f>SUM(O70:O72)</f>
        <v>816.53309999999965</v>
      </c>
      <c r="P73" s="14">
        <f>SUM(P70:P72)</f>
        <v>913.59009999999967</v>
      </c>
      <c r="Q73" s="14">
        <f>SUM(Q70:Q72)</f>
        <v>891.68650000000048</v>
      </c>
      <c r="R73" s="14">
        <f>SUM(R70:R72)</f>
        <v>2281.897899999999</v>
      </c>
      <c r="S73" s="14">
        <f>SUM(S70:S72)</f>
        <v>2278.0940999999998</v>
      </c>
      <c r="U73" s="14" t="e">
        <f t="shared" ref="U73:AE73" si="111">SUM(U70:U72)</f>
        <v>#REF!</v>
      </c>
      <c r="V73" s="14" t="e">
        <f t="shared" si="111"/>
        <v>#REF!</v>
      </c>
      <c r="W73" s="14">
        <f t="shared" si="111"/>
        <v>268.25635399999999</v>
      </c>
      <c r="X73" s="14">
        <f t="shared" si="111"/>
        <v>259.74739399999999</v>
      </c>
      <c r="Y73" s="14">
        <f t="shared" si="111"/>
        <v>246.66319199999998</v>
      </c>
      <c r="Z73" s="14">
        <f t="shared" si="111"/>
        <v>-66.761899999999997</v>
      </c>
      <c r="AA73" s="14">
        <f t="shared" si="111"/>
        <v>210.274</v>
      </c>
      <c r="AB73" s="14">
        <f t="shared" si="111"/>
        <v>341.66830000000027</v>
      </c>
      <c r="AC73" s="14">
        <f t="shared" si="111"/>
        <v>816.53309999999965</v>
      </c>
      <c r="AD73" s="14">
        <f t="shared" si="111"/>
        <v>913.59009999999967</v>
      </c>
      <c r="AE73" s="14">
        <f t="shared" si="111"/>
        <v>891.68650000000048</v>
      </c>
      <c r="AF73" s="14">
        <f>SUM(AF70:AF72)</f>
        <v>2281.897899999999</v>
      </c>
      <c r="AG73" s="14">
        <f>SUM(AG70:AG72)</f>
        <v>2278.0940999999998</v>
      </c>
    </row>
    <row r="74" spans="1:33" ht="5.0999999999999996" customHeight="1"/>
    <row r="75" spans="1:33" ht="12.75" customHeight="1">
      <c r="A75" s="5"/>
      <c r="B75" s="34" t="s">
        <v>69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</row>
    <row r="76" spans="1:33" ht="5.0999999999999996" customHeight="1"/>
    <row r="77" spans="1:33" ht="12.75" customHeight="1">
      <c r="B77" s="32" t="s">
        <v>95</v>
      </c>
      <c r="C77" s="83" t="e">
        <f>C70/C31</f>
        <v>#REF!</v>
      </c>
      <c r="D77" s="83" t="e">
        <f>D70/D31</f>
        <v>#REF!</v>
      </c>
      <c r="E77" s="83" t="e">
        <f>E70/E31</f>
        <v>#DIV/0!</v>
      </c>
      <c r="F77" s="83" t="e">
        <f>F70/F31</f>
        <v>#DIV/0!</v>
      </c>
      <c r="G77" s="83" t="e">
        <f>G70/G31</f>
        <v>#DIV/0!</v>
      </c>
      <c r="I77" s="83" t="e">
        <f>SUM(I70/SUM(I31:I31))</f>
        <v>#DIV/0!</v>
      </c>
      <c r="J77" s="83" t="e">
        <f>SUM(J70/SUM(I31:J31))</f>
        <v>#DIV/0!</v>
      </c>
      <c r="K77" s="83" t="e">
        <f>SUM(K70/SUM(I31:K31))</f>
        <v>#DIV/0!</v>
      </c>
      <c r="L77" s="83" t="e">
        <f t="shared" ref="L77:S77" si="112">SUM(L70/SUM(I31:L31))</f>
        <v>#DIV/0!</v>
      </c>
      <c r="M77" s="83" t="e">
        <f t="shared" si="112"/>
        <v>#DIV/0!</v>
      </c>
      <c r="N77" s="83" t="e">
        <f t="shared" si="112"/>
        <v>#DIV/0!</v>
      </c>
      <c r="O77" s="83" t="e">
        <f t="shared" si="112"/>
        <v>#DIV/0!</v>
      </c>
      <c r="P77" s="83" t="e">
        <f t="shared" si="112"/>
        <v>#DIV/0!</v>
      </c>
      <c r="Q77" s="83" t="e">
        <f t="shared" si="112"/>
        <v>#DIV/0!</v>
      </c>
      <c r="R77" s="83" t="e">
        <f t="shared" si="112"/>
        <v>#DIV/0!</v>
      </c>
      <c r="S77" s="83" t="e">
        <f t="shared" si="112"/>
        <v>#DIV/0!</v>
      </c>
      <c r="T77" s="83"/>
      <c r="U77" s="83" t="e">
        <f t="shared" ref="U77:AG77" si="113">U70/U31</f>
        <v>#REF!</v>
      </c>
      <c r="V77" s="83" t="e">
        <f t="shared" si="113"/>
        <v>#REF!</v>
      </c>
      <c r="W77" s="83" t="e">
        <f t="shared" si="113"/>
        <v>#DIV/0!</v>
      </c>
      <c r="X77" s="83" t="e">
        <f t="shared" si="113"/>
        <v>#DIV/0!</v>
      </c>
      <c r="Y77" s="83" t="e">
        <f t="shared" si="113"/>
        <v>#DIV/0!</v>
      </c>
      <c r="Z77" s="83" t="e">
        <f t="shared" si="113"/>
        <v>#DIV/0!</v>
      </c>
      <c r="AA77" s="83" t="e">
        <f t="shared" si="113"/>
        <v>#DIV/0!</v>
      </c>
      <c r="AB77" s="83" t="e">
        <f t="shared" si="113"/>
        <v>#DIV/0!</v>
      </c>
      <c r="AC77" s="83" t="e">
        <f t="shared" si="113"/>
        <v>#DIV/0!</v>
      </c>
      <c r="AD77" s="83" t="e">
        <f t="shared" si="113"/>
        <v>#DIV/0!</v>
      </c>
      <c r="AE77" s="83" t="e">
        <f t="shared" si="113"/>
        <v>#DIV/0!</v>
      </c>
      <c r="AF77" s="83" t="e">
        <f t="shared" si="113"/>
        <v>#DIV/0!</v>
      </c>
      <c r="AG77" s="83" t="e">
        <f t="shared" si="113"/>
        <v>#DIV/0!</v>
      </c>
    </row>
    <row r="78" spans="1:33" ht="12.75" customHeight="1">
      <c r="B78" s="32" t="s">
        <v>96</v>
      </c>
      <c r="C78" s="83" t="e">
        <f>SUM(C70-C51)/C31</f>
        <v>#REF!</v>
      </c>
      <c r="D78" s="83" t="e">
        <f>SUM(D70-D51)/D31</f>
        <v>#REF!</v>
      </c>
      <c r="E78" s="83" t="e">
        <f>SUM(E70-E51)/E31</f>
        <v>#DIV/0!</v>
      </c>
      <c r="F78" s="83" t="e">
        <f>SUM(F70-F51)/F31</f>
        <v>#DIV/0!</v>
      </c>
      <c r="G78" s="83" t="e">
        <f>SUM(G70-G51)/G31</f>
        <v>#DIV/0!</v>
      </c>
      <c r="I78" s="83" t="e">
        <f>SUM(I70-I51)/SUM(I31:I31)</f>
        <v>#DIV/0!</v>
      </c>
      <c r="J78" s="83" t="e">
        <f>SUM(J70-J51)/SUM(I31:J31)</f>
        <v>#DIV/0!</v>
      </c>
      <c r="K78" s="83" t="e">
        <f>SUM(K70-K51)/SUM(I31:K31)</f>
        <v>#DIV/0!</v>
      </c>
      <c r="L78" s="83" t="e">
        <f t="shared" ref="L78:S78" si="114">SUM(L70-L51)/SUM(I31:L31)</f>
        <v>#DIV/0!</v>
      </c>
      <c r="M78" s="83" t="e">
        <f t="shared" si="114"/>
        <v>#DIV/0!</v>
      </c>
      <c r="N78" s="83" t="e">
        <f t="shared" si="114"/>
        <v>#DIV/0!</v>
      </c>
      <c r="O78" s="83" t="e">
        <f t="shared" si="114"/>
        <v>#DIV/0!</v>
      </c>
      <c r="P78" s="83" t="e">
        <f t="shared" si="114"/>
        <v>#DIV/0!</v>
      </c>
      <c r="Q78" s="83" t="e">
        <f t="shared" si="114"/>
        <v>#DIV/0!</v>
      </c>
      <c r="R78" s="83" t="e">
        <f t="shared" si="114"/>
        <v>#DIV/0!</v>
      </c>
      <c r="S78" s="83" t="e">
        <f t="shared" si="114"/>
        <v>#DIV/0!</v>
      </c>
      <c r="T78" s="83"/>
      <c r="U78" s="83" t="e">
        <f t="shared" ref="U78:AG78" si="115">SUM(U70-U51)/U31</f>
        <v>#REF!</v>
      </c>
      <c r="V78" s="83" t="e">
        <f t="shared" si="115"/>
        <v>#REF!</v>
      </c>
      <c r="W78" s="83" t="e">
        <f t="shared" si="115"/>
        <v>#DIV/0!</v>
      </c>
      <c r="X78" s="83" t="e">
        <f t="shared" si="115"/>
        <v>#DIV/0!</v>
      </c>
      <c r="Y78" s="83" t="e">
        <f t="shared" si="115"/>
        <v>#DIV/0!</v>
      </c>
      <c r="Z78" s="83" t="e">
        <f t="shared" si="115"/>
        <v>#DIV/0!</v>
      </c>
      <c r="AA78" s="83" t="e">
        <f t="shared" si="115"/>
        <v>#DIV/0!</v>
      </c>
      <c r="AB78" s="83" t="e">
        <f t="shared" si="115"/>
        <v>#DIV/0!</v>
      </c>
      <c r="AC78" s="83" t="e">
        <f t="shared" si="115"/>
        <v>#DIV/0!</v>
      </c>
      <c r="AD78" s="83" t="e">
        <f t="shared" si="115"/>
        <v>#DIV/0!</v>
      </c>
      <c r="AE78" s="83" t="e">
        <f t="shared" si="115"/>
        <v>#DIV/0!</v>
      </c>
      <c r="AF78" s="83" t="e">
        <f t="shared" si="115"/>
        <v>#DIV/0!</v>
      </c>
      <c r="AG78" s="83" t="e">
        <f t="shared" si="115"/>
        <v>#DIV/0!</v>
      </c>
    </row>
    <row r="79" spans="1:33" ht="12.75" customHeight="1">
      <c r="B79" s="32" t="s">
        <v>97</v>
      </c>
      <c r="C79" s="83" t="e">
        <f>C31/-C36</f>
        <v>#REF!</v>
      </c>
      <c r="D79" s="83" t="e">
        <f>D31/-D36</f>
        <v>#REF!</v>
      </c>
      <c r="E79" s="83" t="e">
        <f>E31/-E36</f>
        <v>#DIV/0!</v>
      </c>
      <c r="F79" s="83" t="e">
        <f>F31/-F36</f>
        <v>#DIV/0!</v>
      </c>
      <c r="G79" s="83" t="e">
        <f>G31/-G36</f>
        <v>#DIV/0!</v>
      </c>
      <c r="I79" s="83" t="e" cm="1">
        <f t="array" ref="I79">SUM(I31:I31)/SUM(-I36:I36)</f>
        <v>#DIV/0!</v>
      </c>
      <c r="J79" s="83" t="e" cm="1">
        <f t="array" ref="J79">SUM(I31:J31)/SUM(-I36:J36)</f>
        <v>#DIV/0!</v>
      </c>
      <c r="K79" s="83" t="e" cm="1">
        <f t="array" ref="K79">SUM(I31:K31)/SUM(-I36:K36)</f>
        <v>#DIV/0!</v>
      </c>
      <c r="L79" s="83" t="e" cm="1">
        <f t="array" ref="L79">SUM(I31:L31)/SUM(-I36:L36)</f>
        <v>#DIV/0!</v>
      </c>
      <c r="M79" s="83" t="e" cm="1">
        <f t="array" ref="M79">SUM(J31:M31)/SUM(-J36:M36)</f>
        <v>#DIV/0!</v>
      </c>
      <c r="N79" s="83" t="e" cm="1">
        <f t="array" ref="N79">SUM(K31:N31)/SUM(-K36:N36)</f>
        <v>#DIV/0!</v>
      </c>
      <c r="O79" s="83" t="e" cm="1">
        <f t="array" ref="O79">SUM(L31:O31)/SUM(-L36:O36)</f>
        <v>#DIV/0!</v>
      </c>
      <c r="P79" s="83" t="e" cm="1">
        <f t="array" ref="P79">SUM(M31:P31)/SUM(-M36:P36)</f>
        <v>#DIV/0!</v>
      </c>
      <c r="Q79" s="83" t="e" cm="1">
        <f t="array" ref="Q79">SUM(N31:Q31)/SUM(-N36:Q36)</f>
        <v>#DIV/0!</v>
      </c>
      <c r="R79" s="83" t="e" cm="1">
        <f t="array" ref="R79">SUM(O31:R31)/SUM(-O36:R36)</f>
        <v>#DIV/0!</v>
      </c>
      <c r="S79" s="83" t="e" cm="1">
        <f t="array" ref="S79">SUM(P31:S31)/SUM(-P36:S36)</f>
        <v>#DIV/0!</v>
      </c>
      <c r="T79" s="83"/>
      <c r="U79" s="83" t="e">
        <f t="shared" ref="U79:AG79" si="116">U31/-U36</f>
        <v>#DIV/0!</v>
      </c>
      <c r="V79" s="83" t="e">
        <f t="shared" si="116"/>
        <v>#REF!</v>
      </c>
      <c r="W79" s="83" t="e">
        <f t="shared" si="116"/>
        <v>#DIV/0!</v>
      </c>
      <c r="X79" s="83" t="e">
        <f t="shared" si="116"/>
        <v>#DIV/0!</v>
      </c>
      <c r="Y79" s="83" t="e">
        <f t="shared" si="116"/>
        <v>#DIV/0!</v>
      </c>
      <c r="Z79" s="83" t="e">
        <f t="shared" si="116"/>
        <v>#DIV/0!</v>
      </c>
      <c r="AA79" s="83" t="e">
        <f t="shared" si="116"/>
        <v>#DIV/0!</v>
      </c>
      <c r="AB79" s="83" t="e">
        <f t="shared" si="116"/>
        <v>#DIV/0!</v>
      </c>
      <c r="AC79" s="83" t="e">
        <f t="shared" si="116"/>
        <v>#DIV/0!</v>
      </c>
      <c r="AD79" s="83" t="e">
        <f t="shared" si="116"/>
        <v>#DIV/0!</v>
      </c>
      <c r="AE79" s="83" t="e">
        <f t="shared" si="116"/>
        <v>#DIV/0!</v>
      </c>
      <c r="AF79" s="83" t="e">
        <f t="shared" si="116"/>
        <v>#DIV/0!</v>
      </c>
      <c r="AG79" s="83" t="e">
        <f t="shared" si="116"/>
        <v>#DIV/0!</v>
      </c>
    </row>
    <row r="80" spans="1:33" ht="12.75" customHeight="1">
      <c r="B80" s="32" t="s">
        <v>98</v>
      </c>
      <c r="C80" s="83" t="e" cm="1">
        <f t="array" ref="C80">SUM(C31+C34)/SUM(-C35:C36)</f>
        <v>#REF!</v>
      </c>
      <c r="D80" s="83" t="e" cm="1">
        <f t="array" ref="D80">SUM(D31+D34)/SUM(-D35:D36)</f>
        <v>#REF!</v>
      </c>
      <c r="E80" s="83" t="e" cm="1">
        <f t="array" ref="E80">SUM(E31+E34)/SUM(-E35:E36)</f>
        <v>#DIV/0!</v>
      </c>
      <c r="F80" s="83" t="e" cm="1">
        <f t="array" ref="F80">SUM(F31+F34)/SUM(-F35:F36)</f>
        <v>#DIV/0!</v>
      </c>
      <c r="G80" s="83" t="e" cm="1">
        <f t="array" ref="G80">SUM(G31+G34)/SUM(-G35:G36)</f>
        <v>#DIV/0!</v>
      </c>
      <c r="I80" s="83" t="e" cm="1">
        <f t="array" ref="I80">SUM(I31:I31+I34:I34)/SUM(-I35:I36)</f>
        <v>#DIV/0!</v>
      </c>
      <c r="J80" s="83" t="e" cm="1">
        <f t="array" ref="J80">SUM(I31:J31+I34:J34)/SUM(-I35:J36)</f>
        <v>#DIV/0!</v>
      </c>
      <c r="K80" s="83" t="e" cm="1">
        <f t="array" ref="K80">SUM(I31:K31+I34:K34)/SUM(-I35:K36)</f>
        <v>#DIV/0!</v>
      </c>
      <c r="L80" s="83" t="e" cm="1">
        <f t="array" ref="L80">SUM(I31:L31+I34:L34)/SUM(-I35:L36)</f>
        <v>#DIV/0!</v>
      </c>
      <c r="M80" s="83" t="e" cm="1">
        <f t="array" ref="M80">SUM(J31:M31+J34:M34)/SUM(-J35:M36)</f>
        <v>#DIV/0!</v>
      </c>
      <c r="N80" s="83" t="e" cm="1">
        <f t="array" ref="N80">SUM(K31:N31+K34:N34)/SUM(-K35:N36)</f>
        <v>#DIV/0!</v>
      </c>
      <c r="O80" s="83" t="e" cm="1">
        <f t="array" ref="O80">SUM(L31:O31+L34:O34)/SUM(-L35:O36)</f>
        <v>#DIV/0!</v>
      </c>
      <c r="P80" s="83" t="e" cm="1">
        <f t="array" ref="P80">SUM(M31:P31+M34:P34)/SUM(-M35:P36)</f>
        <v>#DIV/0!</v>
      </c>
      <c r="Q80" s="83" t="e" cm="1">
        <f t="array" ref="Q80">SUM(N31:Q31+N34:Q34)/SUM(-N35:Q36)</f>
        <v>#DIV/0!</v>
      </c>
      <c r="R80" s="83" t="e" cm="1">
        <f t="array" ref="R80">SUM(O31:R31+O34:R34)/SUM(-O35:R36)</f>
        <v>#DIV/0!</v>
      </c>
      <c r="S80" s="83" t="e" cm="1">
        <f t="array" ref="S80">SUM(P31:S31+P34:S34)/SUM(-P35:S36)</f>
        <v>#DIV/0!</v>
      </c>
      <c r="T80" s="83"/>
      <c r="U80" s="83" t="e" cm="1">
        <f t="array" ref="U80">SUM(U31+U34)/SUM(-U35:U36)</f>
        <v>#DIV/0!</v>
      </c>
      <c r="V80" s="83" t="e" cm="1">
        <f t="array" ref="V80">SUM(V31+V34)/SUM(-V35:V36)</f>
        <v>#REF!</v>
      </c>
      <c r="W80" s="83" t="e" cm="1">
        <f t="array" ref="W80">SUM(W31+W34)/SUM(-W35:W36)</f>
        <v>#DIV/0!</v>
      </c>
      <c r="X80" s="83" t="e" cm="1">
        <f t="array" ref="X80">SUM(X31+X34)/SUM(-X35:X36)</f>
        <v>#DIV/0!</v>
      </c>
      <c r="Y80" s="83" t="e" cm="1">
        <f t="array" ref="Y80">SUM(Y31+Y34)/SUM(-Y35:Y36)</f>
        <v>#DIV/0!</v>
      </c>
      <c r="Z80" s="83" t="e" cm="1">
        <f t="array" ref="Z80">SUM(Z31+Z34)/SUM(-Z35:Z36)</f>
        <v>#DIV/0!</v>
      </c>
      <c r="AA80" s="83" t="e" cm="1">
        <f t="array" ref="AA80">SUM(AA31+AA34)/SUM(-AA35:AA36)</f>
        <v>#DIV/0!</v>
      </c>
      <c r="AB80" s="83" t="e" cm="1">
        <f t="array" ref="AB80">SUM(AB31+AB34)/SUM(-AB35:AB36)</f>
        <v>#DIV/0!</v>
      </c>
      <c r="AC80" s="83" t="e" cm="1">
        <f t="array" ref="AC80">SUM(AC31+AC34)/SUM(-AC35:AC36)</f>
        <v>#DIV/0!</v>
      </c>
      <c r="AD80" s="83" t="e" cm="1">
        <f t="array" ref="AD80">SUM(AD31+AD34)/SUM(-AD35:AD36)</f>
        <v>#DIV/0!</v>
      </c>
      <c r="AE80" s="83" t="e" cm="1">
        <f t="array" ref="AE80">SUM(AE31+AE34)/SUM(-AE35:AE36)</f>
        <v>#DIV/0!</v>
      </c>
      <c r="AF80" s="83" t="e" cm="1">
        <f t="array" ref="AF80">SUM(AF31+AF34)/SUM(-AF35:AF36)</f>
        <v>#DIV/0!</v>
      </c>
      <c r="AG80" s="83" t="e" cm="1">
        <f t="array" ref="AG80">SUM(AG31+AG34)/SUM(-AG35:AG36)</f>
        <v>#DIV/0!</v>
      </c>
    </row>
    <row r="81" spans="2:33" ht="12.75" customHeight="1">
      <c r="B81" s="32" t="s">
        <v>99</v>
      </c>
      <c r="C81" s="83" t="e" cm="1">
        <f t="array" ref="C81">SUM(C31)/SUM(-C34:C36)</f>
        <v>#REF!</v>
      </c>
      <c r="D81" s="83" t="e" cm="1">
        <f t="array" ref="D81">SUM(D31)/SUM(-D34:D36)</f>
        <v>#REF!</v>
      </c>
      <c r="E81" s="83" t="e" cm="1">
        <f t="array" ref="E81">SUM(E31)/SUM(-E34:E36)</f>
        <v>#DIV/0!</v>
      </c>
      <c r="F81" s="83" t="e" cm="1">
        <f t="array" ref="F81">SUM(F31)/SUM(-F34:F36)</f>
        <v>#DIV/0!</v>
      </c>
      <c r="G81" s="83" t="e" cm="1">
        <f t="array" ref="G81">SUM(G31)/SUM(-G34:G36)</f>
        <v>#DIV/0!</v>
      </c>
      <c r="I81" s="83" t="e" cm="1">
        <f t="array" ref="I81">SUM(I31:I31)/SUM(-I34:I36)</f>
        <v>#DIV/0!</v>
      </c>
      <c r="J81" s="83" t="e" cm="1">
        <f t="array" ref="J81">SUM(I31:J31)/SUM(-I34:J36)</f>
        <v>#DIV/0!</v>
      </c>
      <c r="K81" s="83" t="e" cm="1">
        <f t="array" ref="K81">SUM(I31:K31)/SUM(-I34:K36)</f>
        <v>#DIV/0!</v>
      </c>
      <c r="L81" s="83" t="e" cm="1">
        <f t="array" ref="L81">SUM(I31:L31)/SUM(-I34:L36)</f>
        <v>#DIV/0!</v>
      </c>
      <c r="M81" s="83" t="e" cm="1">
        <f t="array" ref="M81">SUM(J31:M31)/SUM(-J34:M36)</f>
        <v>#DIV/0!</v>
      </c>
      <c r="N81" s="83" t="e" cm="1">
        <f t="array" ref="N81">SUM(K31:N31)/SUM(-K34:N36)</f>
        <v>#DIV/0!</v>
      </c>
      <c r="O81" s="83" t="e" cm="1">
        <f t="array" ref="O81">SUM(L31:O31)/SUM(-L34:O36)</f>
        <v>#DIV/0!</v>
      </c>
      <c r="P81" s="83" t="e" cm="1">
        <f t="array" ref="P81">SUM(M31:P31)/SUM(-M34:P36)</f>
        <v>#DIV/0!</v>
      </c>
      <c r="Q81" s="83" t="e" cm="1">
        <f t="array" ref="Q81">SUM(N31:Q31)/SUM(-N34:Q36)</f>
        <v>#DIV/0!</v>
      </c>
      <c r="R81" s="83" t="e" cm="1">
        <f t="array" ref="R81">SUM(O31:R31)/SUM(-O34:R36)</f>
        <v>#DIV/0!</v>
      </c>
      <c r="S81" s="83" t="e" cm="1">
        <f t="array" ref="S81">SUM(P31:S31)/SUM(-P34:S36)</f>
        <v>#DIV/0!</v>
      </c>
      <c r="T81" s="83"/>
      <c r="U81" s="83" t="e" cm="1">
        <f t="array" ref="U81">SUM(U31)/SUM(-U34:U36)</f>
        <v>#DIV/0!</v>
      </c>
      <c r="V81" s="83" t="e" cm="1">
        <f t="array" ref="V81">SUM(V31)/SUM(-V34:V36)</f>
        <v>#REF!</v>
      </c>
      <c r="W81" s="83" t="e" cm="1">
        <f t="array" ref="W81">SUM(W31)/SUM(-W34:W36)</f>
        <v>#DIV/0!</v>
      </c>
      <c r="X81" s="83" t="e" cm="1">
        <f t="array" ref="X81">SUM(X31)/SUM(-X34:X36)</f>
        <v>#DIV/0!</v>
      </c>
      <c r="Y81" s="83" t="e" cm="1">
        <f t="array" ref="Y81">SUM(Y31)/SUM(-Y34:Y36)</f>
        <v>#DIV/0!</v>
      </c>
      <c r="Z81" s="83" t="e" cm="1">
        <f t="array" ref="Z81">SUM(Z31)/SUM(-Z34:Z36)</f>
        <v>#DIV/0!</v>
      </c>
      <c r="AA81" s="83" t="e" cm="1">
        <f t="array" ref="AA81">SUM(AA31)/SUM(-AA34:AA36)</f>
        <v>#DIV/0!</v>
      </c>
      <c r="AB81" s="83" t="e" cm="1">
        <f t="array" ref="AB81">SUM(AB31)/SUM(-AB34:AB36)</f>
        <v>#DIV/0!</v>
      </c>
      <c r="AC81" s="83" t="e" cm="1">
        <f t="array" ref="AC81">SUM(AC31)/SUM(-AC34:AC36)</f>
        <v>#DIV/0!</v>
      </c>
      <c r="AD81" s="83" t="e" cm="1">
        <f t="array" ref="AD81">SUM(AD31)/SUM(-AD34:AD36)</f>
        <v>#DIV/0!</v>
      </c>
      <c r="AE81" s="83" t="e" cm="1">
        <f t="array" ref="AE81">SUM(AE31)/SUM(-AE34:AE36)</f>
        <v>#DIV/0!</v>
      </c>
      <c r="AF81" s="83" t="e" cm="1">
        <f t="array" ref="AF81">SUM(AF31)/SUM(-AF34:AF36)</f>
        <v>#DIV/0!</v>
      </c>
      <c r="AG81" s="83" t="e" cm="1">
        <f t="array" ref="AG81">SUM(AG31)/SUM(-AG34:AG36)</f>
        <v>#DIV/0!</v>
      </c>
    </row>
    <row r="82" spans="2:33" ht="12.75" customHeight="1">
      <c r="B82" s="8" t="s">
        <v>49</v>
      </c>
      <c r="C82" s="83" t="e">
        <f>C73/C70</f>
        <v>#REF!</v>
      </c>
      <c r="D82" s="83" t="e">
        <f>D73/D70</f>
        <v>#REF!</v>
      </c>
      <c r="E82" s="83" t="e">
        <f>E73/E70</f>
        <v>#DIV/0!</v>
      </c>
      <c r="F82" s="83" t="e">
        <f>F73/F70</f>
        <v>#DIV/0!</v>
      </c>
      <c r="G82" s="83" t="e">
        <f>G73/G70</f>
        <v>#DIV/0!</v>
      </c>
      <c r="I82" s="83" t="e">
        <f t="shared" ref="I82:R82" si="117">I73/I70</f>
        <v>#DIV/0!</v>
      </c>
      <c r="J82" s="83" t="e">
        <f t="shared" si="117"/>
        <v>#DIV/0!</v>
      </c>
      <c r="K82" s="83" t="e">
        <f t="shared" si="117"/>
        <v>#DIV/0!</v>
      </c>
      <c r="L82" s="83" t="e">
        <f t="shared" si="117"/>
        <v>#DIV/0!</v>
      </c>
      <c r="M82" s="83" t="e">
        <f t="shared" si="117"/>
        <v>#DIV/0!</v>
      </c>
      <c r="N82" s="83" t="e">
        <f t="shared" si="117"/>
        <v>#DIV/0!</v>
      </c>
      <c r="O82" s="83" t="e">
        <f t="shared" si="117"/>
        <v>#DIV/0!</v>
      </c>
      <c r="P82" s="83" t="e">
        <f t="shared" si="117"/>
        <v>#DIV/0!</v>
      </c>
      <c r="Q82" s="83" t="e">
        <f t="shared" si="117"/>
        <v>#DIV/0!</v>
      </c>
      <c r="R82" s="83" t="e">
        <f t="shared" si="117"/>
        <v>#DIV/0!</v>
      </c>
      <c r="S82" s="83" t="e">
        <f>S73/S70</f>
        <v>#DIV/0!</v>
      </c>
      <c r="T82" s="83"/>
      <c r="U82" s="83" t="e">
        <f t="shared" ref="U82:AE82" si="118">U73/U70</f>
        <v>#REF!</v>
      </c>
      <c r="V82" s="83" t="e">
        <f t="shared" si="118"/>
        <v>#REF!</v>
      </c>
      <c r="W82" s="83" t="e">
        <f t="shared" si="118"/>
        <v>#DIV/0!</v>
      </c>
      <c r="X82" s="83" t="e">
        <f t="shared" si="118"/>
        <v>#DIV/0!</v>
      </c>
      <c r="Y82" s="83" t="e">
        <f t="shared" si="118"/>
        <v>#DIV/0!</v>
      </c>
      <c r="Z82" s="83" t="e">
        <f t="shared" si="118"/>
        <v>#DIV/0!</v>
      </c>
      <c r="AA82" s="83" t="e">
        <f t="shared" si="118"/>
        <v>#DIV/0!</v>
      </c>
      <c r="AB82" s="83" t="e">
        <f t="shared" si="118"/>
        <v>#DIV/0!</v>
      </c>
      <c r="AC82" s="83" t="e">
        <f t="shared" si="118"/>
        <v>#DIV/0!</v>
      </c>
      <c r="AD82" s="83" t="e">
        <f t="shared" si="118"/>
        <v>#DIV/0!</v>
      </c>
      <c r="AE82" s="83" t="e">
        <f t="shared" si="118"/>
        <v>#DIV/0!</v>
      </c>
      <c r="AF82" s="83" t="e">
        <f>AF73/AF70</f>
        <v>#DIV/0!</v>
      </c>
      <c r="AG82" s="83" t="e">
        <f>AG73/AG70</f>
        <v>#DIV/0!</v>
      </c>
    </row>
    <row r="83" spans="2:33" ht="5.0999999999999996" customHeight="1" thickBot="1"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</row>
  </sheetData>
  <mergeCells count="1">
    <mergeCell ref="AI2:AI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38:H39 AH39:AI39 H34:H36 H41 AH41:AI41 AH37 AH38 H37 AH40:AI40 H40 C44:D44 C43:D43 C40:D40 C41:D42 C45:D45 I38:R39" formulaRange="1"/>
    <ignoredError sqref="C77:H82 D12:H14 C24:H25 C17:H18 H21:H23 T21:AG22 C28:H29 H26 T26:AG26 C31:H32 H30 AI27:AI38 T30:AG30 AI10:AI14 H16 AI21:AI26 H27 AI16:AI19 T19:AG19 H19 I77:AG82 I12:AG14 I24:AG25 I17:AG18 I28:AG29 I31:AG32" evalError="1"/>
    <ignoredError sqref="AC44:AG44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Historical Financials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2025-12-21T05:58:06Z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