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36CB490B-0BB3-4E99-A83D-6CBF9C608C9F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5" i="9" l="1" a="1"/>
  <c r="J75" i="9" s="1"/>
  <c r="P78" i="9"/>
  <c r="O78" i="9"/>
  <c r="N78" i="9"/>
  <c r="M78" i="9"/>
  <c r="L78" i="9"/>
  <c r="K78" i="9"/>
  <c r="J78" i="9"/>
  <c r="P77" i="9"/>
  <c r="P77" i="9" a="1"/>
  <c r="O77" i="9" a="1"/>
  <c r="O77" i="9" s="1"/>
  <c r="N77" i="9"/>
  <c r="N77" i="9" a="1"/>
  <c r="M77" i="9"/>
  <c r="M77" i="9" a="1"/>
  <c r="L77" i="9"/>
  <c r="L77" i="9" a="1"/>
  <c r="K77" i="9" a="1"/>
  <c r="K77" i="9" s="1"/>
  <c r="J77" i="9"/>
  <c r="J77" i="9" a="1"/>
  <c r="P76" i="9"/>
  <c r="P76" i="9" a="1"/>
  <c r="O76" i="9"/>
  <c r="O76" i="9" a="1"/>
  <c r="N76" i="9"/>
  <c r="N76" i="9" a="1"/>
  <c r="M76" i="9" a="1"/>
  <c r="M76" i="9" s="1"/>
  <c r="L76" i="9"/>
  <c r="L76" i="9" a="1"/>
  <c r="K76" i="9"/>
  <c r="K76" i="9" a="1"/>
  <c r="J76" i="9"/>
  <c r="J76" i="9" a="1"/>
  <c r="P75" i="9"/>
  <c r="P75" i="9" a="1"/>
  <c r="O75" i="9" a="1"/>
  <c r="O75" i="9" s="1"/>
  <c r="N75" i="9"/>
  <c r="N75" i="9" a="1"/>
  <c r="M75" i="9"/>
  <c r="M75" i="9" a="1"/>
  <c r="L75" i="9"/>
  <c r="L75" i="9" a="1"/>
  <c r="K75" i="9" a="1"/>
  <c r="K75" i="9" s="1"/>
  <c r="P74" i="9"/>
  <c r="O74" i="9"/>
  <c r="N74" i="9"/>
  <c r="M74" i="9"/>
  <c r="L74" i="9"/>
  <c r="K74" i="9"/>
  <c r="J74" i="9"/>
  <c r="P73" i="9"/>
  <c r="O73" i="9"/>
  <c r="N73" i="9"/>
  <c r="M73" i="9"/>
  <c r="L73" i="9"/>
  <c r="K73" i="9"/>
  <c r="J73" i="9"/>
  <c r="Q59" i="9"/>
  <c r="P59" i="9"/>
  <c r="O59" i="9"/>
  <c r="N59" i="9"/>
  <c r="M59" i="9"/>
  <c r="L59" i="9"/>
  <c r="K59" i="9"/>
  <c r="J59" i="9"/>
  <c r="I59" i="9"/>
  <c r="H59" i="9"/>
  <c r="Q58" i="9"/>
  <c r="P58" i="9"/>
  <c r="O58" i="9"/>
  <c r="N58" i="9"/>
  <c r="M58" i="9"/>
  <c r="L58" i="9"/>
  <c r="K58" i="9"/>
  <c r="J58" i="9"/>
  <c r="I58" i="9"/>
  <c r="H58" i="9"/>
  <c r="Q57" i="9"/>
  <c r="P57" i="9"/>
  <c r="O57" i="9"/>
  <c r="N57" i="9"/>
  <c r="M57" i="9"/>
  <c r="L57" i="9"/>
  <c r="K57" i="9"/>
  <c r="J57" i="9"/>
  <c r="I57" i="9"/>
  <c r="H57" i="9"/>
  <c r="Q56" i="9"/>
  <c r="P56" i="9"/>
  <c r="O56" i="9"/>
  <c r="N56" i="9"/>
  <c r="M56" i="9"/>
  <c r="L56" i="9"/>
  <c r="K56" i="9"/>
  <c r="J56" i="9"/>
  <c r="I56" i="9"/>
  <c r="H56" i="9"/>
  <c r="Q55" i="9"/>
  <c r="P55" i="9"/>
  <c r="O55" i="9"/>
  <c r="N55" i="9"/>
  <c r="M55" i="9"/>
  <c r="L55" i="9"/>
  <c r="K55" i="9"/>
  <c r="J55" i="9"/>
  <c r="I55" i="9"/>
  <c r="H55" i="9"/>
  <c r="G59" i="9"/>
  <c r="G58" i="9"/>
  <c r="G57" i="9"/>
  <c r="G56" i="9"/>
  <c r="G55" i="9"/>
  <c r="E59" i="9"/>
  <c r="D59" i="9"/>
  <c r="E58" i="9"/>
  <c r="D58" i="9"/>
  <c r="E57" i="9"/>
  <c r="D57" i="9"/>
  <c r="E56" i="9"/>
  <c r="D56" i="9"/>
  <c r="E55" i="9"/>
  <c r="D55" i="9"/>
  <c r="C59" i="9"/>
  <c r="C58" i="9"/>
  <c r="C57" i="9"/>
  <c r="C56" i="9"/>
  <c r="C55" i="9"/>
  <c r="Q68" i="9"/>
  <c r="P68" i="9"/>
  <c r="O68" i="9"/>
  <c r="N68" i="9"/>
  <c r="M68" i="9"/>
  <c r="L68" i="9"/>
  <c r="K68" i="9"/>
  <c r="J68" i="9"/>
  <c r="I68" i="9"/>
  <c r="H68" i="9"/>
  <c r="G68" i="9"/>
  <c r="E68" i="9"/>
  <c r="D68" i="9"/>
  <c r="C68" i="9"/>
  <c r="I50" i="9"/>
  <c r="H50" i="9"/>
  <c r="G50" i="9"/>
  <c r="E50" i="9"/>
  <c r="N50" i="9" s="1"/>
  <c r="D50" i="9"/>
  <c r="J50" i="9" s="1"/>
  <c r="C50" i="9"/>
  <c r="E52" i="9"/>
  <c r="N52" i="9" s="1"/>
  <c r="W52" i="9" s="1"/>
  <c r="D52" i="9"/>
  <c r="J52" i="9" s="1"/>
  <c r="S52" i="9" s="1"/>
  <c r="C52" i="9"/>
  <c r="M52" i="9"/>
  <c r="V52" i="9" s="1"/>
  <c r="L52" i="9"/>
  <c r="U52" i="9" s="1"/>
  <c r="K52" i="9"/>
  <c r="T52" i="9" s="1"/>
  <c r="I52" i="9"/>
  <c r="H52" i="9"/>
  <c r="G52" i="9"/>
  <c r="M50" i="9"/>
  <c r="L50" i="9"/>
  <c r="K50" i="9"/>
  <c r="O50" i="9"/>
  <c r="O52" i="9"/>
  <c r="X52" i="9" s="1"/>
  <c r="P50" i="9"/>
  <c r="P52" i="9"/>
  <c r="Y52" i="9" s="1"/>
  <c r="Q50" i="9"/>
  <c r="Q52" i="9"/>
  <c r="Z52" i="9" s="1"/>
  <c r="Q49" i="9"/>
  <c r="P49" i="9"/>
  <c r="O49" i="9"/>
  <c r="N49" i="9"/>
  <c r="M49" i="9"/>
  <c r="L49" i="9"/>
  <c r="K49" i="9"/>
  <c r="J49" i="9"/>
  <c r="I49" i="9"/>
  <c r="H49" i="9"/>
  <c r="G49" i="9"/>
  <c r="E49" i="9"/>
  <c r="D49" i="9"/>
  <c r="C49" i="9"/>
  <c r="Q48" i="9"/>
  <c r="P48" i="9"/>
  <c r="O48" i="9"/>
  <c r="N48" i="9"/>
  <c r="M48" i="9"/>
  <c r="L48" i="9"/>
  <c r="K48" i="9"/>
  <c r="J48" i="9"/>
  <c r="I48" i="9"/>
  <c r="H48" i="9"/>
  <c r="G48" i="9"/>
  <c r="E48" i="9"/>
  <c r="D48" i="9"/>
  <c r="C48" i="9"/>
  <c r="Q42" i="9"/>
  <c r="P42" i="9"/>
  <c r="O42" i="9"/>
  <c r="N42" i="9"/>
  <c r="M42" i="9"/>
  <c r="L42" i="9"/>
  <c r="K42" i="9"/>
  <c r="J42" i="9"/>
  <c r="I42" i="9"/>
  <c r="H42" i="9"/>
  <c r="G42" i="9"/>
  <c r="E42" i="9"/>
  <c r="D42" i="9"/>
  <c r="C42" i="9"/>
  <c r="Q41" i="9"/>
  <c r="P41" i="9"/>
  <c r="O41" i="9"/>
  <c r="N41" i="9"/>
  <c r="M41" i="9"/>
  <c r="L41" i="9"/>
  <c r="K41" i="9"/>
  <c r="J41" i="9"/>
  <c r="I41" i="9"/>
  <c r="H41" i="9"/>
  <c r="G41" i="9"/>
  <c r="E41" i="9"/>
  <c r="D41" i="9"/>
  <c r="C41" i="9"/>
  <c r="Q40" i="9"/>
  <c r="P40" i="9"/>
  <c r="O40" i="9"/>
  <c r="N40" i="9"/>
  <c r="M40" i="9"/>
  <c r="L40" i="9"/>
  <c r="K40" i="9"/>
  <c r="J40" i="9"/>
  <c r="I40" i="9"/>
  <c r="H40" i="9"/>
  <c r="Q39" i="9"/>
  <c r="P39" i="9"/>
  <c r="O39" i="9"/>
  <c r="N39" i="9"/>
  <c r="M39" i="9"/>
  <c r="L39" i="9"/>
  <c r="K39" i="9"/>
  <c r="J39" i="9"/>
  <c r="I39" i="9"/>
  <c r="H39" i="9"/>
  <c r="Q38" i="9"/>
  <c r="P38" i="9"/>
  <c r="O38" i="9"/>
  <c r="N38" i="9"/>
  <c r="M38" i="9"/>
  <c r="L38" i="9"/>
  <c r="K38" i="9"/>
  <c r="J38" i="9"/>
  <c r="I38" i="9"/>
  <c r="H38" i="9"/>
  <c r="G40" i="9"/>
  <c r="G39" i="9"/>
  <c r="G38" i="9"/>
  <c r="E40" i="9"/>
  <c r="D40" i="9"/>
  <c r="E39" i="9"/>
  <c r="D39" i="9"/>
  <c r="E38" i="9"/>
  <c r="D38" i="9"/>
  <c r="C40" i="9"/>
  <c r="C39" i="9"/>
  <c r="C38" i="9"/>
  <c r="Q37" i="9"/>
  <c r="P37" i="9"/>
  <c r="O37" i="9"/>
  <c r="N37" i="9"/>
  <c r="M37" i="9"/>
  <c r="L37" i="9"/>
  <c r="K37" i="9"/>
  <c r="J37" i="9"/>
  <c r="I37" i="9"/>
  <c r="H37" i="9"/>
  <c r="G37" i="9"/>
  <c r="E37" i="9"/>
  <c r="D37" i="9"/>
  <c r="C37" i="9"/>
  <c r="Q36" i="9"/>
  <c r="P36" i="9"/>
  <c r="O36" i="9"/>
  <c r="N36" i="9"/>
  <c r="M36" i="9"/>
  <c r="L36" i="9"/>
  <c r="K36" i="9"/>
  <c r="J36" i="9"/>
  <c r="I36" i="9"/>
  <c r="H36" i="9"/>
  <c r="G36" i="9"/>
  <c r="E36" i="9"/>
  <c r="D36" i="9"/>
  <c r="C36" i="9"/>
  <c r="Q33" i="9"/>
  <c r="P33" i="9"/>
  <c r="O33" i="9"/>
  <c r="N33" i="9"/>
  <c r="M33" i="9"/>
  <c r="L33" i="9"/>
  <c r="K33" i="9"/>
  <c r="J33" i="9"/>
  <c r="I33" i="9"/>
  <c r="H33" i="9"/>
  <c r="G33" i="9"/>
  <c r="E33" i="9"/>
  <c r="D33" i="9"/>
  <c r="C33" i="9"/>
  <c r="Q31" i="9"/>
  <c r="P31" i="9"/>
  <c r="O31" i="9"/>
  <c r="N31" i="9"/>
  <c r="M31" i="9"/>
  <c r="L31" i="9"/>
  <c r="K31" i="9"/>
  <c r="J31" i="9"/>
  <c r="I31" i="9"/>
  <c r="H31" i="9"/>
  <c r="G31" i="9"/>
  <c r="E31" i="9"/>
  <c r="D31" i="9"/>
  <c r="C31" i="9"/>
  <c r="Q30" i="9"/>
  <c r="P30" i="9"/>
  <c r="O30" i="9"/>
  <c r="N30" i="9"/>
  <c r="M30" i="9"/>
  <c r="L30" i="9"/>
  <c r="K30" i="9"/>
  <c r="J30" i="9"/>
  <c r="I30" i="9"/>
  <c r="H30" i="9"/>
  <c r="G30" i="9"/>
  <c r="E30" i="9"/>
  <c r="D30" i="9"/>
  <c r="C30" i="9"/>
  <c r="Q26" i="9"/>
  <c r="P26" i="9"/>
  <c r="O26" i="9"/>
  <c r="N26" i="9"/>
  <c r="M26" i="9"/>
  <c r="L26" i="9"/>
  <c r="K26" i="9"/>
  <c r="J26" i="9"/>
  <c r="I26" i="9"/>
  <c r="H26" i="9"/>
  <c r="G26" i="9"/>
  <c r="E26" i="9"/>
  <c r="D26" i="9"/>
  <c r="C26" i="9"/>
  <c r="Q22" i="9"/>
  <c r="P22" i="9"/>
  <c r="O22" i="9"/>
  <c r="N22" i="9"/>
  <c r="M22" i="9"/>
  <c r="L22" i="9"/>
  <c r="K22" i="9"/>
  <c r="J22" i="9"/>
  <c r="I22" i="9"/>
  <c r="H22" i="9"/>
  <c r="G22" i="9"/>
  <c r="E22" i="9"/>
  <c r="D22" i="9"/>
  <c r="C22" i="9"/>
  <c r="Z15" i="10"/>
  <c r="Y15" i="10"/>
  <c r="X15" i="10"/>
  <c r="W15" i="10"/>
  <c r="V15" i="10"/>
  <c r="U15" i="10"/>
  <c r="T15" i="10"/>
  <c r="S15" i="10"/>
  <c r="Z14" i="10"/>
  <c r="Y14" i="10"/>
  <c r="X14" i="10"/>
  <c r="W14" i="10"/>
  <c r="V14" i="10"/>
  <c r="U14" i="10"/>
  <c r="T14" i="10"/>
  <c r="S14" i="10"/>
  <c r="Z26" i="10"/>
  <c r="Y26" i="10"/>
  <c r="X26" i="10"/>
  <c r="W26" i="10"/>
  <c r="V26" i="10"/>
  <c r="U26" i="10"/>
  <c r="T26" i="10"/>
  <c r="S26" i="10"/>
  <c r="Z25" i="10"/>
  <c r="Y25" i="10"/>
  <c r="X25" i="10"/>
  <c r="W25" i="10"/>
  <c r="V25" i="10"/>
  <c r="U25" i="10"/>
  <c r="T25" i="10"/>
  <c r="S25" i="10"/>
  <c r="Q26" i="10"/>
  <c r="P26" i="10"/>
  <c r="O26" i="10"/>
  <c r="N26" i="10"/>
  <c r="M26" i="10"/>
  <c r="L26" i="10"/>
  <c r="K26" i="10"/>
  <c r="J26" i="10"/>
  <c r="I26" i="10"/>
  <c r="H26" i="10"/>
  <c r="G26" i="10"/>
  <c r="Q25" i="10"/>
  <c r="P25" i="10"/>
  <c r="O25" i="10"/>
  <c r="N25" i="10"/>
  <c r="M25" i="10"/>
  <c r="L25" i="10"/>
  <c r="K25" i="10"/>
  <c r="J25" i="10"/>
  <c r="I25" i="10"/>
  <c r="H25" i="10"/>
  <c r="G25" i="10"/>
  <c r="E26" i="10"/>
  <c r="D26" i="10"/>
  <c r="E25" i="10"/>
  <c r="D25" i="10"/>
  <c r="C26" i="10"/>
  <c r="C25" i="10"/>
  <c r="Z50" i="10"/>
  <c r="Y50" i="10"/>
  <c r="X50" i="10"/>
  <c r="W50" i="10"/>
  <c r="V50" i="10"/>
  <c r="U50" i="10"/>
  <c r="T50" i="10"/>
  <c r="S50" i="10"/>
  <c r="Z49" i="10"/>
  <c r="Y49" i="10"/>
  <c r="X49" i="10"/>
  <c r="W49" i="10"/>
  <c r="V49" i="10"/>
  <c r="U49" i="10"/>
  <c r="T49" i="10"/>
  <c r="S49" i="10"/>
  <c r="Q50" i="10"/>
  <c r="P50" i="10"/>
  <c r="O50" i="10"/>
  <c r="N50" i="10"/>
  <c r="M50" i="10"/>
  <c r="L50" i="10"/>
  <c r="K50" i="10"/>
  <c r="J50" i="10"/>
  <c r="I50" i="10"/>
  <c r="H50" i="10"/>
  <c r="G50" i="10"/>
  <c r="Q49" i="10"/>
  <c r="P49" i="10"/>
  <c r="O49" i="10"/>
  <c r="N49" i="10"/>
  <c r="M49" i="10"/>
  <c r="L49" i="10"/>
  <c r="K49" i="10"/>
  <c r="J49" i="10"/>
  <c r="I49" i="10"/>
  <c r="H49" i="10"/>
  <c r="G49" i="10"/>
  <c r="D50" i="10"/>
  <c r="C50" i="10"/>
  <c r="D49" i="10"/>
  <c r="C49" i="10"/>
  <c r="E50" i="10"/>
  <c r="E49" i="10"/>
  <c r="Q40" i="10"/>
  <c r="P40" i="10"/>
  <c r="O40" i="10"/>
  <c r="N40" i="10"/>
  <c r="M40" i="10"/>
  <c r="L40" i="10"/>
  <c r="K40" i="10"/>
  <c r="J40" i="10"/>
  <c r="I40" i="10"/>
  <c r="H40" i="10"/>
  <c r="Z39" i="10"/>
  <c r="Y39" i="10"/>
  <c r="X39" i="10"/>
  <c r="W39" i="10"/>
  <c r="Q39" i="10"/>
  <c r="P39" i="10"/>
  <c r="O39" i="10"/>
  <c r="N39" i="10"/>
  <c r="M39" i="10"/>
  <c r="L39" i="10"/>
  <c r="K39" i="10"/>
  <c r="E39" i="10"/>
  <c r="D39" i="10"/>
  <c r="Q18" i="9"/>
  <c r="P18" i="9"/>
  <c r="O18" i="9"/>
  <c r="N18" i="9"/>
  <c r="M18" i="9"/>
  <c r="L18" i="9"/>
  <c r="K18" i="9"/>
  <c r="J18" i="9"/>
  <c r="I18" i="9"/>
  <c r="H18" i="9"/>
  <c r="Q17" i="9"/>
  <c r="P17" i="9"/>
  <c r="O17" i="9"/>
  <c r="N17" i="9"/>
  <c r="M17" i="9"/>
  <c r="L17" i="9"/>
  <c r="K17" i="9"/>
  <c r="J17" i="9"/>
  <c r="I17" i="9"/>
  <c r="H17" i="9"/>
  <c r="Q16" i="9"/>
  <c r="P16" i="9"/>
  <c r="O16" i="9"/>
  <c r="N16" i="9"/>
  <c r="M16" i="9"/>
  <c r="L16" i="9"/>
  <c r="K16" i="9"/>
  <c r="J16" i="9"/>
  <c r="I16" i="9"/>
  <c r="H16" i="9"/>
  <c r="G18" i="9"/>
  <c r="G17" i="9"/>
  <c r="G16" i="9"/>
  <c r="E18" i="9"/>
  <c r="D18" i="9"/>
  <c r="E17" i="9"/>
  <c r="D17" i="9"/>
  <c r="E16" i="9"/>
  <c r="D16" i="9"/>
  <c r="C18" i="9"/>
  <c r="C17" i="9"/>
  <c r="C16" i="9"/>
  <c r="Q12" i="9"/>
  <c r="P12" i="9"/>
  <c r="O12" i="9"/>
  <c r="N12" i="9"/>
  <c r="M12" i="9"/>
  <c r="L12" i="9"/>
  <c r="K12" i="9"/>
  <c r="J12" i="9"/>
  <c r="I12" i="9"/>
  <c r="H12" i="9"/>
  <c r="G12" i="9"/>
  <c r="E12" i="9"/>
  <c r="D12" i="9"/>
  <c r="C12" i="9"/>
  <c r="Q7" i="9"/>
  <c r="P7" i="9"/>
  <c r="O7" i="9"/>
  <c r="M7" i="9"/>
  <c r="L7" i="9"/>
  <c r="K7" i="9"/>
  <c r="I7" i="9"/>
  <c r="H7" i="9"/>
  <c r="G7" i="9"/>
  <c r="E7" i="9"/>
  <c r="D7" i="9"/>
  <c r="C7" i="9"/>
  <c r="Q6" i="9"/>
  <c r="P6" i="9"/>
  <c r="O6" i="9"/>
  <c r="M6" i="9"/>
  <c r="L6" i="9"/>
  <c r="K6" i="9"/>
  <c r="I6" i="9"/>
  <c r="H6" i="9"/>
  <c r="G6" i="9"/>
  <c r="E6" i="9"/>
  <c r="D6" i="9"/>
  <c r="C6" i="9"/>
  <c r="B7" i="9"/>
  <c r="B6" i="9"/>
  <c r="Q37" i="10"/>
  <c r="P37" i="10"/>
  <c r="O37" i="10"/>
  <c r="M37" i="10"/>
  <c r="L37" i="10"/>
  <c r="K37" i="10"/>
  <c r="I37" i="10"/>
  <c r="H37" i="10"/>
  <c r="G37" i="10"/>
  <c r="E37" i="10"/>
  <c r="D37" i="10"/>
  <c r="C37" i="10"/>
  <c r="N21" i="10"/>
  <c r="N20" i="10"/>
  <c r="N53" i="10"/>
  <c r="N37" i="10" s="1"/>
  <c r="J53" i="10"/>
  <c r="J37" i="10" s="1"/>
  <c r="C47" i="10"/>
  <c r="C31" i="10" s="1"/>
  <c r="Q47" i="10"/>
  <c r="Q31" i="10" s="1"/>
  <c r="P47" i="10"/>
  <c r="P31" i="10" s="1"/>
  <c r="O47" i="10"/>
  <c r="O31" i="10" s="1"/>
  <c r="M47" i="10"/>
  <c r="M31" i="10" s="1"/>
  <c r="L47" i="10"/>
  <c r="L31" i="10" s="1"/>
  <c r="K47" i="10"/>
  <c r="K31" i="10" s="1"/>
  <c r="I47" i="10"/>
  <c r="I31" i="10" s="1"/>
  <c r="H47" i="10"/>
  <c r="H31" i="10" s="1"/>
  <c r="G47" i="10"/>
  <c r="G31" i="10" s="1"/>
  <c r="E47" i="10"/>
  <c r="E31" i="10" s="1"/>
  <c r="J21" i="10"/>
  <c r="J20" i="10"/>
  <c r="AB73" i="8"/>
  <c r="AB72" i="8"/>
  <c r="AB71" i="8"/>
  <c r="AB70" i="8"/>
  <c r="AB69" i="8"/>
  <c r="AB68" i="8"/>
  <c r="AB67" i="8"/>
  <c r="AB93" i="8"/>
  <c r="AB92" i="8"/>
  <c r="AB91" i="8"/>
  <c r="AB90" i="8"/>
  <c r="AB89" i="8"/>
  <c r="Z124" i="8"/>
  <c r="Y124" i="8"/>
  <c r="X124" i="8"/>
  <c r="W124" i="8"/>
  <c r="V124" i="8"/>
  <c r="U124" i="8"/>
  <c r="T124" i="8"/>
  <c r="U120" i="8" s="1"/>
  <c r="Z125" i="8"/>
  <c r="Y125" i="8"/>
  <c r="X125" i="8"/>
  <c r="W125" i="8"/>
  <c r="V125" i="8"/>
  <c r="U125" i="8"/>
  <c r="T125" i="8"/>
  <c r="S125" i="8"/>
  <c r="S124" i="8"/>
  <c r="S123" i="8"/>
  <c r="S120" i="8"/>
  <c r="S119" i="8"/>
  <c r="S42" i="8"/>
  <c r="S100" i="8"/>
  <c r="S110" i="8"/>
  <c r="S117" i="8"/>
  <c r="S90" i="8"/>
  <c r="Z116" i="8"/>
  <c r="Y116" i="8"/>
  <c r="X116" i="8"/>
  <c r="W116" i="8"/>
  <c r="V116" i="8"/>
  <c r="U116" i="8"/>
  <c r="T116" i="8"/>
  <c r="S116" i="8"/>
  <c r="Z115" i="8"/>
  <c r="Y115" i="8"/>
  <c r="X115" i="8"/>
  <c r="W115" i="8"/>
  <c r="V115" i="8"/>
  <c r="U115" i="8"/>
  <c r="T115" i="8"/>
  <c r="S115" i="8"/>
  <c r="Z114" i="8"/>
  <c r="Y114" i="8"/>
  <c r="X114" i="8"/>
  <c r="W114" i="8"/>
  <c r="V114" i="8"/>
  <c r="U114" i="8"/>
  <c r="T114" i="8"/>
  <c r="S114" i="8"/>
  <c r="Z113" i="8"/>
  <c r="Y113" i="8"/>
  <c r="X113" i="8"/>
  <c r="W113" i="8"/>
  <c r="V113" i="8"/>
  <c r="U113" i="8"/>
  <c r="T113" i="8"/>
  <c r="S113" i="8"/>
  <c r="Z109" i="8"/>
  <c r="Y109" i="8"/>
  <c r="X109" i="8"/>
  <c r="W109" i="8"/>
  <c r="V109" i="8"/>
  <c r="U109" i="8"/>
  <c r="T109" i="8"/>
  <c r="S109" i="8"/>
  <c r="Z108" i="8"/>
  <c r="Y108" i="8"/>
  <c r="X108" i="8"/>
  <c r="W108" i="8"/>
  <c r="V108" i="8"/>
  <c r="U108" i="8"/>
  <c r="T108" i="8"/>
  <c r="S108" i="8"/>
  <c r="Z107" i="8"/>
  <c r="Y107" i="8"/>
  <c r="X107" i="8"/>
  <c r="W107" i="8"/>
  <c r="V107" i="8"/>
  <c r="U107" i="8"/>
  <c r="T107" i="8"/>
  <c r="S107" i="8"/>
  <c r="Z106" i="8"/>
  <c r="Y106" i="8"/>
  <c r="Y110" i="8" s="1"/>
  <c r="X106" i="8"/>
  <c r="W106" i="8"/>
  <c r="V106" i="8"/>
  <c r="U106" i="8"/>
  <c r="T106" i="8"/>
  <c r="S106" i="8"/>
  <c r="Z105" i="8"/>
  <c r="Y105" i="8"/>
  <c r="X105" i="8"/>
  <c r="W105" i="8"/>
  <c r="V105" i="8"/>
  <c r="U105" i="8"/>
  <c r="T105" i="8"/>
  <c r="S105" i="8"/>
  <c r="Z104" i="8"/>
  <c r="Y104" i="8"/>
  <c r="X104" i="8"/>
  <c r="W104" i="8"/>
  <c r="V104" i="8"/>
  <c r="U104" i="8"/>
  <c r="T104" i="8"/>
  <c r="S104" i="8"/>
  <c r="Z103" i="8"/>
  <c r="Y103" i="8"/>
  <c r="X103" i="8"/>
  <c r="W103" i="8"/>
  <c r="V103" i="8"/>
  <c r="U103" i="8"/>
  <c r="T103" i="8"/>
  <c r="S103" i="8"/>
  <c r="Z99" i="8"/>
  <c r="Y99" i="8"/>
  <c r="X99" i="8"/>
  <c r="W99" i="8"/>
  <c r="V99" i="8"/>
  <c r="U99" i="8"/>
  <c r="T99" i="8"/>
  <c r="S99" i="8"/>
  <c r="Z98" i="8"/>
  <c r="Y98" i="8"/>
  <c r="X98" i="8"/>
  <c r="W98" i="8"/>
  <c r="V98" i="8"/>
  <c r="U98" i="8"/>
  <c r="T98" i="8"/>
  <c r="S98" i="8"/>
  <c r="Z97" i="8"/>
  <c r="Y97" i="8"/>
  <c r="X97" i="8"/>
  <c r="W97" i="8"/>
  <c r="V97" i="8"/>
  <c r="U97" i="8"/>
  <c r="T97" i="8"/>
  <c r="S97" i="8"/>
  <c r="Z96" i="8"/>
  <c r="Y96" i="8"/>
  <c r="X96" i="8"/>
  <c r="W96" i="8"/>
  <c r="V96" i="8"/>
  <c r="U96" i="8"/>
  <c r="T96" i="8"/>
  <c r="S96" i="8"/>
  <c r="Z95" i="8"/>
  <c r="Y95" i="8"/>
  <c r="X95" i="8"/>
  <c r="W95" i="8"/>
  <c r="V95" i="8"/>
  <c r="U95" i="8"/>
  <c r="T95" i="8"/>
  <c r="S95" i="8"/>
  <c r="Z93" i="8"/>
  <c r="Y93" i="8"/>
  <c r="X93" i="8"/>
  <c r="W93" i="8"/>
  <c r="V93" i="8"/>
  <c r="U93" i="8"/>
  <c r="T93" i="8"/>
  <c r="S93" i="8"/>
  <c r="Z92" i="8"/>
  <c r="Y92" i="8"/>
  <c r="X92" i="8"/>
  <c r="W92" i="8"/>
  <c r="V92" i="8"/>
  <c r="U92" i="8"/>
  <c r="T92" i="8"/>
  <c r="S92" i="8"/>
  <c r="Z91" i="8"/>
  <c r="Y91" i="8"/>
  <c r="X91" i="8"/>
  <c r="W91" i="8"/>
  <c r="V91" i="8"/>
  <c r="U91" i="8"/>
  <c r="T91" i="8"/>
  <c r="S91" i="8"/>
  <c r="Z90" i="8"/>
  <c r="Y90" i="8"/>
  <c r="X90" i="8"/>
  <c r="W90" i="8"/>
  <c r="V90" i="8"/>
  <c r="U90" i="8"/>
  <c r="T90" i="8"/>
  <c r="Z89" i="8"/>
  <c r="Y89" i="8"/>
  <c r="X89" i="8"/>
  <c r="W89" i="8"/>
  <c r="V89" i="8"/>
  <c r="U89" i="8"/>
  <c r="T89" i="8"/>
  <c r="S89" i="8"/>
  <c r="Z86" i="8"/>
  <c r="Y86" i="8"/>
  <c r="X86" i="8"/>
  <c r="W86" i="8"/>
  <c r="V86" i="8"/>
  <c r="U86" i="8"/>
  <c r="T86" i="8"/>
  <c r="S86" i="8"/>
  <c r="Z27" i="8"/>
  <c r="Y27" i="8"/>
  <c r="X27" i="8"/>
  <c r="W27" i="8"/>
  <c r="V27" i="8"/>
  <c r="U27" i="8"/>
  <c r="T27" i="8"/>
  <c r="S27" i="8"/>
  <c r="Z23" i="8"/>
  <c r="Y23" i="8"/>
  <c r="X23" i="8"/>
  <c r="W23" i="8"/>
  <c r="V23" i="8"/>
  <c r="U23" i="8"/>
  <c r="T23" i="8"/>
  <c r="S23" i="8"/>
  <c r="Z19" i="8"/>
  <c r="Y19" i="8"/>
  <c r="X19" i="8"/>
  <c r="W19" i="8"/>
  <c r="V19" i="8"/>
  <c r="U19" i="8"/>
  <c r="T19" i="8"/>
  <c r="S19" i="8"/>
  <c r="Z18" i="8"/>
  <c r="Y18" i="8"/>
  <c r="X18" i="8"/>
  <c r="W18" i="8"/>
  <c r="V18" i="8"/>
  <c r="U18" i="8"/>
  <c r="T18" i="8"/>
  <c r="S18" i="8"/>
  <c r="Z17" i="8"/>
  <c r="Y17" i="8"/>
  <c r="X17" i="8"/>
  <c r="W17" i="8"/>
  <c r="V17" i="8"/>
  <c r="U17" i="8"/>
  <c r="T17" i="8"/>
  <c r="S17" i="8"/>
  <c r="Z13" i="8"/>
  <c r="Y13" i="8"/>
  <c r="X13" i="8"/>
  <c r="W13" i="8"/>
  <c r="V13" i="8"/>
  <c r="U13" i="8"/>
  <c r="T13" i="8"/>
  <c r="S13" i="8"/>
  <c r="Y10" i="8"/>
  <c r="X10" i="8"/>
  <c r="W10" i="8"/>
  <c r="V10" i="8"/>
  <c r="U10" i="8"/>
  <c r="T10" i="8"/>
  <c r="S10" i="8"/>
  <c r="Z110" i="8"/>
  <c r="X110" i="8"/>
  <c r="W110" i="8"/>
  <c r="V110" i="8"/>
  <c r="U110" i="8"/>
  <c r="T110" i="8"/>
  <c r="Y120" i="8"/>
  <c r="X120" i="8"/>
  <c r="W120" i="8"/>
  <c r="V120" i="8"/>
  <c r="T120" i="8"/>
  <c r="Z120" i="8"/>
  <c r="Y123" i="8"/>
  <c r="X123" i="8"/>
  <c r="W123" i="8"/>
  <c r="V123" i="8"/>
  <c r="U123" i="8"/>
  <c r="T123" i="8"/>
  <c r="Z123" i="8"/>
  <c r="Q114" i="8"/>
  <c r="P114" i="8"/>
  <c r="O120" i="8"/>
  <c r="O114" i="8"/>
  <c r="G119" i="8"/>
  <c r="I42" i="8"/>
  <c r="I120" i="8"/>
  <c r="I114" i="8"/>
  <c r="M114" i="8"/>
  <c r="L114" i="8"/>
  <c r="H114" i="8"/>
  <c r="K120" i="8"/>
  <c r="K114" i="8"/>
  <c r="G114" i="8"/>
  <c r="J73" i="8"/>
  <c r="J72" i="8"/>
  <c r="J71" i="8"/>
  <c r="J70" i="8"/>
  <c r="J69" i="8"/>
  <c r="J68" i="8"/>
  <c r="J67" i="8"/>
  <c r="N73" i="8"/>
  <c r="N72" i="8"/>
  <c r="N71" i="8"/>
  <c r="N70" i="8"/>
  <c r="N69" i="8"/>
  <c r="N68" i="8"/>
  <c r="N67" i="8"/>
  <c r="N8" i="8"/>
  <c r="J8" i="8"/>
  <c r="Y41" i="9" l="1"/>
  <c r="W41" i="9"/>
  <c r="Z41" i="9"/>
  <c r="S41" i="9"/>
  <c r="X41" i="9"/>
  <c r="T41" i="9"/>
  <c r="V41" i="9"/>
  <c r="U41" i="9"/>
  <c r="N92" i="8" l="1"/>
  <c r="J92" i="8"/>
  <c r="N91" i="8"/>
  <c r="J91" i="8"/>
  <c r="N90" i="8"/>
  <c r="J90" i="8"/>
  <c r="N89" i="8"/>
  <c r="J89" i="8"/>
  <c r="N93" i="8"/>
  <c r="J93" i="8"/>
  <c r="E120" i="8"/>
  <c r="E114" i="8"/>
  <c r="D114" i="8"/>
  <c r="C114" i="8"/>
  <c r="N116" i="8"/>
  <c r="J116" i="8"/>
  <c r="N115" i="8"/>
  <c r="J115" i="8"/>
  <c r="N108" i="8"/>
  <c r="J108" i="8"/>
  <c r="N107" i="8"/>
  <c r="J107" i="8"/>
  <c r="N105" i="8"/>
  <c r="J105" i="8"/>
  <c r="N104" i="8"/>
  <c r="J104" i="8"/>
  <c r="Z73" i="8"/>
  <c r="Y73" i="8"/>
  <c r="X73" i="8"/>
  <c r="V73" i="8"/>
  <c r="U73" i="8"/>
  <c r="T73" i="8"/>
  <c r="W73" i="8"/>
  <c r="S73" i="8"/>
  <c r="Z71" i="8"/>
  <c r="Y71" i="8"/>
  <c r="X71" i="8"/>
  <c r="V71" i="8"/>
  <c r="U71" i="8"/>
  <c r="T71" i="8"/>
  <c r="W71" i="8"/>
  <c r="S71" i="8"/>
  <c r="Z70" i="8"/>
  <c r="Y70" i="8"/>
  <c r="X70" i="8"/>
  <c r="V70" i="8"/>
  <c r="U70" i="8"/>
  <c r="T70" i="8"/>
  <c r="W70" i="8"/>
  <c r="S70" i="8"/>
  <c r="Z69" i="8"/>
  <c r="Y69" i="8"/>
  <c r="X69" i="8"/>
  <c r="V69" i="8"/>
  <c r="U69" i="8"/>
  <c r="T69" i="8"/>
  <c r="W69" i="8"/>
  <c r="S69" i="8"/>
  <c r="AB115" i="8" l="1"/>
  <c r="AB116" i="8"/>
  <c r="AB107" i="8"/>
  <c r="AB108" i="8"/>
  <c r="AB104" i="8"/>
  <c r="AB105" i="8"/>
  <c r="N64" i="8" l="1"/>
  <c r="W64" i="8" s="1"/>
  <c r="N63" i="8"/>
  <c r="J64" i="8"/>
  <c r="S64" i="8" s="1"/>
  <c r="J63" i="8"/>
  <c r="N45" i="8"/>
  <c r="W45" i="8" s="1"/>
  <c r="N44" i="8"/>
  <c r="W44" i="8" s="1"/>
  <c r="N43" i="8"/>
  <c r="N42" i="8"/>
  <c r="N53" i="8"/>
  <c r="W53" i="8" s="1"/>
  <c r="N52" i="8"/>
  <c r="W52" i="8" s="1"/>
  <c r="N51" i="8"/>
  <c r="W51" i="8" s="1"/>
  <c r="N50" i="8"/>
  <c r="N49" i="8"/>
  <c r="N59" i="8"/>
  <c r="N58" i="8"/>
  <c r="N57" i="8"/>
  <c r="J53" i="8"/>
  <c r="S53" i="8" s="1"/>
  <c r="J52" i="8"/>
  <c r="S52" i="8" s="1"/>
  <c r="J51" i="8"/>
  <c r="S51" i="8" s="1"/>
  <c r="J50" i="8"/>
  <c r="J49" i="8"/>
  <c r="J59" i="8"/>
  <c r="J58" i="8"/>
  <c r="J57" i="8"/>
  <c r="J45" i="8"/>
  <c r="S45" i="8" s="1"/>
  <c r="J44" i="8"/>
  <c r="S44" i="8" s="1"/>
  <c r="J43" i="8"/>
  <c r="J42" i="8"/>
  <c r="Z51" i="8"/>
  <c r="Y51" i="8"/>
  <c r="X51" i="8"/>
  <c r="V51" i="8"/>
  <c r="U51" i="8"/>
  <c r="T51" i="8"/>
  <c r="N27" i="8"/>
  <c r="N23" i="8"/>
  <c r="J27" i="8"/>
  <c r="J23" i="8"/>
  <c r="N13" i="8"/>
  <c r="N19" i="8"/>
  <c r="N18" i="8"/>
  <c r="N17" i="8"/>
  <c r="J13" i="8"/>
  <c r="J19" i="8"/>
  <c r="J18" i="8"/>
  <c r="J17" i="8"/>
  <c r="N10" i="8"/>
  <c r="J10" i="8"/>
  <c r="Q54" i="10"/>
  <c r="P54" i="10"/>
  <c r="O54" i="10"/>
  <c r="M54" i="10"/>
  <c r="L54" i="10"/>
  <c r="K54" i="10"/>
  <c r="I54" i="10"/>
  <c r="H54" i="10"/>
  <c r="G54" i="10"/>
  <c r="E54" i="10"/>
  <c r="D54" i="10"/>
  <c r="C54" i="10"/>
  <c r="Z53" i="10"/>
  <c r="Y53" i="10"/>
  <c r="X53" i="10"/>
  <c r="V53" i="10"/>
  <c r="U53" i="10"/>
  <c r="T53" i="10"/>
  <c r="W53" i="10"/>
  <c r="W37" i="10" s="1"/>
  <c r="J54" i="10"/>
  <c r="N46" i="10"/>
  <c r="W46" i="10" s="1"/>
  <c r="N45" i="10"/>
  <c r="J46" i="10"/>
  <c r="J45" i="10"/>
  <c r="Y46" i="10"/>
  <c r="X46" i="10"/>
  <c r="V46" i="10"/>
  <c r="U46" i="10"/>
  <c r="T46" i="10"/>
  <c r="Y45" i="10"/>
  <c r="X45" i="10"/>
  <c r="V45" i="10"/>
  <c r="U45" i="10"/>
  <c r="T45" i="10"/>
  <c r="Z45" i="10"/>
  <c r="Z46" i="10"/>
  <c r="B50" i="10"/>
  <c r="B49" i="10"/>
  <c r="D47" i="10"/>
  <c r="D31" i="10" s="1"/>
  <c r="N10" i="10"/>
  <c r="N9" i="10"/>
  <c r="J10" i="10"/>
  <c r="J9" i="10"/>
  <c r="N74" i="8"/>
  <c r="J74" i="8"/>
  <c r="W58" i="8"/>
  <c r="S58" i="8"/>
  <c r="Z44" i="8"/>
  <c r="Y44" i="8"/>
  <c r="X44" i="8"/>
  <c r="V44" i="8"/>
  <c r="U44" i="8"/>
  <c r="T44" i="8"/>
  <c r="Y21" i="10"/>
  <c r="Y20" i="10"/>
  <c r="V21" i="10"/>
  <c r="U20" i="10"/>
  <c r="Z58" i="8"/>
  <c r="Y58" i="8"/>
  <c r="X58" i="8"/>
  <c r="V58" i="8"/>
  <c r="U58" i="8"/>
  <c r="T58" i="8"/>
  <c r="B26" i="10"/>
  <c r="B25" i="10"/>
  <c r="Q22" i="10"/>
  <c r="P22" i="10"/>
  <c r="O22" i="10"/>
  <c r="M22" i="10"/>
  <c r="L22" i="10"/>
  <c r="K22" i="10"/>
  <c r="I22" i="10"/>
  <c r="H22" i="10"/>
  <c r="G22" i="10"/>
  <c r="E22" i="10"/>
  <c r="D22" i="10"/>
  <c r="C22" i="10"/>
  <c r="Z53" i="8"/>
  <c r="Y53" i="8"/>
  <c r="X53" i="8"/>
  <c r="V53" i="8"/>
  <c r="U53" i="8"/>
  <c r="T53" i="8"/>
  <c r="Z52" i="8"/>
  <c r="Y52" i="8"/>
  <c r="X52" i="8"/>
  <c r="V52" i="8"/>
  <c r="U52" i="8"/>
  <c r="T52" i="8"/>
  <c r="Z45" i="8"/>
  <c r="Y45" i="8"/>
  <c r="X45" i="8"/>
  <c r="V45" i="8"/>
  <c r="U45" i="8"/>
  <c r="T45" i="8"/>
  <c r="N34" i="8"/>
  <c r="J34" i="8"/>
  <c r="Z64" i="8"/>
  <c r="Y64" i="8"/>
  <c r="X64" i="8"/>
  <c r="V64" i="8"/>
  <c r="U64" i="8"/>
  <c r="T64" i="8"/>
  <c r="V9" i="10" l="1"/>
  <c r="J6" i="9"/>
  <c r="V10" i="10"/>
  <c r="J7" i="9"/>
  <c r="W9" i="10"/>
  <c r="N6" i="9"/>
  <c r="X10" i="10"/>
  <c r="N7" i="9"/>
  <c r="Y54" i="10"/>
  <c r="Y37" i="10"/>
  <c r="Z54" i="10"/>
  <c r="Z37" i="10"/>
  <c r="T54" i="10"/>
  <c r="T37" i="10"/>
  <c r="U54" i="10"/>
  <c r="U37" i="10"/>
  <c r="V54" i="10"/>
  <c r="V37" i="10"/>
  <c r="X54" i="10"/>
  <c r="X37" i="10"/>
  <c r="Y47" i="10"/>
  <c r="Y31" i="10" s="1"/>
  <c r="W45" i="10"/>
  <c r="W47" i="10" s="1"/>
  <c r="W31" i="10" s="1"/>
  <c r="N47" i="10"/>
  <c r="N31" i="10" s="1"/>
  <c r="Z47" i="10"/>
  <c r="Z31" i="10" s="1"/>
  <c r="T47" i="10"/>
  <c r="T31" i="10" s="1"/>
  <c r="U47" i="10"/>
  <c r="U31" i="10" s="1"/>
  <c r="V47" i="10"/>
  <c r="V31" i="10" s="1"/>
  <c r="S45" i="10"/>
  <c r="J47" i="10"/>
  <c r="J31" i="10" s="1"/>
  <c r="X47" i="10"/>
  <c r="X31" i="10" s="1"/>
  <c r="AB51" i="8"/>
  <c r="S53" i="10"/>
  <c r="N54" i="10"/>
  <c r="W54" i="10"/>
  <c r="S46" i="10"/>
  <c r="Y9" i="10"/>
  <c r="S9" i="10"/>
  <c r="AB44" i="8"/>
  <c r="V20" i="10"/>
  <c r="S21" i="10"/>
  <c r="T20" i="10"/>
  <c r="W20" i="10"/>
  <c r="T21" i="10"/>
  <c r="X20" i="10"/>
  <c r="U21" i="10"/>
  <c r="U10" i="10"/>
  <c r="Y22" i="10"/>
  <c r="W21" i="10"/>
  <c r="S20" i="10"/>
  <c r="X21" i="10"/>
  <c r="U9" i="10"/>
  <c r="W10" i="10"/>
  <c r="W11" i="10" s="1"/>
  <c r="Y10" i="10"/>
  <c r="S10" i="10"/>
  <c r="T10" i="10"/>
  <c r="V11" i="10"/>
  <c r="X9" i="10"/>
  <c r="T9" i="10"/>
  <c r="AB58" i="8"/>
  <c r="M11" i="10"/>
  <c r="Z20" i="10"/>
  <c r="Z21" i="10"/>
  <c r="Z10" i="10"/>
  <c r="J22" i="10"/>
  <c r="N22" i="10"/>
  <c r="AB53" i="8"/>
  <c r="AB45" i="8"/>
  <c r="AB52" i="8"/>
  <c r="AB64" i="8"/>
  <c r="Z74" i="8"/>
  <c r="Y74" i="8"/>
  <c r="X74" i="8"/>
  <c r="V74" i="8"/>
  <c r="U74" i="8"/>
  <c r="T74" i="8"/>
  <c r="Z72" i="8"/>
  <c r="Y72" i="8"/>
  <c r="X72" i="8"/>
  <c r="V72" i="8"/>
  <c r="U72" i="8"/>
  <c r="T72" i="8"/>
  <c r="Z68" i="8"/>
  <c r="Y68" i="8"/>
  <c r="X68" i="8"/>
  <c r="V68" i="8"/>
  <c r="U68" i="8"/>
  <c r="T68" i="8"/>
  <c r="W74" i="8"/>
  <c r="W72" i="8"/>
  <c r="W68" i="8"/>
  <c r="S74" i="8"/>
  <c r="S72" i="8"/>
  <c r="S68" i="8"/>
  <c r="W59" i="8"/>
  <c r="S59" i="8"/>
  <c r="Z59" i="8"/>
  <c r="Y59" i="8"/>
  <c r="X59" i="8"/>
  <c r="V59" i="8"/>
  <c r="U59" i="8"/>
  <c r="T59" i="8"/>
  <c r="W43" i="8"/>
  <c r="S43" i="8"/>
  <c r="Z43" i="8"/>
  <c r="Y43" i="8"/>
  <c r="X43" i="8"/>
  <c r="V43" i="8"/>
  <c r="U43" i="8"/>
  <c r="T43" i="8"/>
  <c r="Q4" i="10"/>
  <c r="P4" i="10"/>
  <c r="Y4" i="10" s="1"/>
  <c r="O4" i="10"/>
  <c r="X4" i="10" s="1"/>
  <c r="M4" i="10"/>
  <c r="V4" i="10" s="1"/>
  <c r="L4" i="10"/>
  <c r="U4" i="10" s="1"/>
  <c r="K4" i="10"/>
  <c r="T4" i="10" s="1"/>
  <c r="I4" i="10"/>
  <c r="H4" i="10"/>
  <c r="G4" i="10"/>
  <c r="Q3" i="10"/>
  <c r="P3" i="10"/>
  <c r="Y3" i="10" s="1"/>
  <c r="O3" i="10"/>
  <c r="X3" i="10" s="1"/>
  <c r="N3" i="10"/>
  <c r="W3" i="10" s="1"/>
  <c r="M3" i="10"/>
  <c r="V3" i="10" s="1"/>
  <c r="L3" i="10"/>
  <c r="U3" i="10" s="1"/>
  <c r="K3" i="10"/>
  <c r="T3" i="10" s="1"/>
  <c r="J3" i="10"/>
  <c r="S3" i="10" s="1"/>
  <c r="I3" i="10"/>
  <c r="H3" i="10"/>
  <c r="G3" i="10"/>
  <c r="E4" i="10"/>
  <c r="D4" i="10"/>
  <c r="C4" i="10"/>
  <c r="E3" i="10"/>
  <c r="D3" i="10"/>
  <c r="C3" i="10"/>
  <c r="B2" i="10"/>
  <c r="B15" i="10"/>
  <c r="B14" i="10"/>
  <c r="Q11" i="10"/>
  <c r="P11" i="10"/>
  <c r="O11" i="10"/>
  <c r="L11" i="10"/>
  <c r="K11" i="10"/>
  <c r="I11" i="10"/>
  <c r="H11" i="10"/>
  <c r="G11" i="10"/>
  <c r="E11" i="10"/>
  <c r="D11" i="10"/>
  <c r="C11" i="10"/>
  <c r="X11" i="10" l="1"/>
  <c r="L32" i="10"/>
  <c r="L38" i="10"/>
  <c r="I38" i="10"/>
  <c r="I32" i="10"/>
  <c r="I34" i="10" s="1"/>
  <c r="V32" i="10"/>
  <c r="V12" i="10"/>
  <c r="V38" i="10"/>
  <c r="S54" i="10"/>
  <c r="S37" i="10"/>
  <c r="K32" i="10"/>
  <c r="K38" i="10"/>
  <c r="O38" i="10"/>
  <c r="O32" i="10"/>
  <c r="D32" i="10"/>
  <c r="D38" i="10"/>
  <c r="P38" i="10"/>
  <c r="P32" i="10"/>
  <c r="M32" i="10"/>
  <c r="M38" i="10"/>
  <c r="W32" i="10"/>
  <c r="W12" i="10"/>
  <c r="W38" i="10"/>
  <c r="C32" i="10"/>
  <c r="C38" i="10"/>
  <c r="E32" i="10"/>
  <c r="E38" i="10"/>
  <c r="Q38" i="10"/>
  <c r="Q32" i="10"/>
  <c r="G38" i="10"/>
  <c r="G32" i="10"/>
  <c r="H38" i="10"/>
  <c r="H32" i="10"/>
  <c r="X12" i="10"/>
  <c r="X38" i="10"/>
  <c r="X32" i="10"/>
  <c r="S47" i="10"/>
  <c r="S31" i="10" s="1"/>
  <c r="C23" i="10"/>
  <c r="O23" i="10"/>
  <c r="Q23" i="10"/>
  <c r="G23" i="10"/>
  <c r="D23" i="10"/>
  <c r="M23" i="10"/>
  <c r="E23" i="10"/>
  <c r="I23" i="10"/>
  <c r="K23" i="10"/>
  <c r="P23" i="10"/>
  <c r="H23" i="10"/>
  <c r="L23" i="10"/>
  <c r="Y11" i="10"/>
  <c r="S11" i="10"/>
  <c r="T22" i="10"/>
  <c r="V22" i="10"/>
  <c r="V23" i="10" s="1"/>
  <c r="W22" i="10"/>
  <c r="W23" i="10" s="1"/>
  <c r="S22" i="10"/>
  <c r="U22" i="10"/>
  <c r="X22" i="10"/>
  <c r="X23" i="10" s="1"/>
  <c r="U11" i="10"/>
  <c r="T11" i="10"/>
  <c r="J11" i="10"/>
  <c r="Z22" i="10"/>
  <c r="Z4" i="10"/>
  <c r="Z3" i="10"/>
  <c r="AB13" i="8"/>
  <c r="Q15" i="10"/>
  <c r="I15" i="10"/>
  <c r="G15" i="10"/>
  <c r="L15" i="10"/>
  <c r="D15" i="10"/>
  <c r="AB59" i="8"/>
  <c r="AB43" i="8"/>
  <c r="AB19" i="8"/>
  <c r="AB18" i="8"/>
  <c r="K15" i="10"/>
  <c r="D14" i="10"/>
  <c r="O15" i="10"/>
  <c r="K14" i="10"/>
  <c r="C15" i="10"/>
  <c r="G14" i="10"/>
  <c r="L14" i="10"/>
  <c r="O14" i="10"/>
  <c r="C14" i="10"/>
  <c r="I14" i="10"/>
  <c r="Q14" i="10"/>
  <c r="E15" i="10"/>
  <c r="M15" i="10"/>
  <c r="H15" i="10"/>
  <c r="P15" i="10"/>
  <c r="E14" i="10"/>
  <c r="M14" i="10"/>
  <c r="N11" i="10"/>
  <c r="H14" i="10"/>
  <c r="P14" i="10"/>
  <c r="D33" i="10" l="1"/>
  <c r="O33" i="10"/>
  <c r="Q34" i="10"/>
  <c r="Q33" i="10"/>
  <c r="X33" i="10"/>
  <c r="M33" i="10"/>
  <c r="M34" i="10"/>
  <c r="K33" i="10"/>
  <c r="K34" i="10"/>
  <c r="E33" i="10"/>
  <c r="P34" i="10"/>
  <c r="P33" i="10"/>
  <c r="L33" i="10"/>
  <c r="L34" i="10"/>
  <c r="H34" i="10"/>
  <c r="J32" i="10"/>
  <c r="J34" i="10" s="1"/>
  <c r="J38" i="10"/>
  <c r="N32" i="10"/>
  <c r="N38" i="10"/>
  <c r="T32" i="10"/>
  <c r="T12" i="10"/>
  <c r="T38" i="10"/>
  <c r="S32" i="10"/>
  <c r="W33" i="10" s="1"/>
  <c r="S12" i="10"/>
  <c r="S38" i="10"/>
  <c r="U32" i="10"/>
  <c r="U12" i="10"/>
  <c r="U38" i="10"/>
  <c r="Y12" i="10"/>
  <c r="Y38" i="10"/>
  <c r="Y32" i="10"/>
  <c r="N23" i="10"/>
  <c r="J23" i="10"/>
  <c r="Y23" i="10"/>
  <c r="S23" i="10"/>
  <c r="U23" i="10"/>
  <c r="T23" i="10"/>
  <c r="Z9" i="10"/>
  <c r="J15" i="10"/>
  <c r="J14" i="10"/>
  <c r="N15" i="10"/>
  <c r="N14" i="10"/>
  <c r="N33" i="10" l="1"/>
  <c r="N34" i="10"/>
  <c r="O34" i="10"/>
  <c r="Y33" i="10"/>
  <c r="Z11" i="10"/>
  <c r="Y34" i="8"/>
  <c r="X34" i="8"/>
  <c r="W34" i="8"/>
  <c r="V34" i="8"/>
  <c r="U34" i="8"/>
  <c r="T34" i="8"/>
  <c r="S34" i="8"/>
  <c r="Y31" i="8"/>
  <c r="X31" i="8"/>
  <c r="V31" i="8"/>
  <c r="U31" i="8"/>
  <c r="T31" i="8"/>
  <c r="S48" i="9"/>
  <c r="W42" i="8"/>
  <c r="S55" i="9"/>
  <c r="S50" i="8"/>
  <c r="S56" i="9"/>
  <c r="S57" i="9"/>
  <c r="W50" i="8"/>
  <c r="W49" i="8"/>
  <c r="W57" i="8"/>
  <c r="W63" i="8"/>
  <c r="S63" i="9"/>
  <c r="Q46" i="8"/>
  <c r="P46" i="8"/>
  <c r="O46" i="8"/>
  <c r="M46" i="8"/>
  <c r="L46" i="8"/>
  <c r="K46" i="8"/>
  <c r="I46" i="8"/>
  <c r="H46" i="8"/>
  <c r="G46" i="8"/>
  <c r="E46" i="8"/>
  <c r="D46" i="8"/>
  <c r="C46" i="8"/>
  <c r="N114" i="8"/>
  <c r="J114" i="8"/>
  <c r="N113" i="8"/>
  <c r="J113" i="8"/>
  <c r="N109" i="8"/>
  <c r="J109" i="8"/>
  <c r="N106" i="8"/>
  <c r="J106" i="8"/>
  <c r="N103" i="8"/>
  <c r="J103" i="8"/>
  <c r="Y65" i="9"/>
  <c r="X65" i="9"/>
  <c r="V65" i="9"/>
  <c r="U65" i="9"/>
  <c r="T65" i="9"/>
  <c r="Y67" i="8"/>
  <c r="X67" i="8"/>
  <c r="V67" i="8"/>
  <c r="U67" i="8"/>
  <c r="T67" i="8"/>
  <c r="Y63" i="8"/>
  <c r="X63" i="8"/>
  <c r="V63" i="8"/>
  <c r="U63" i="8"/>
  <c r="T63" i="8"/>
  <c r="Y57" i="8"/>
  <c r="X57" i="8"/>
  <c r="Y50" i="8"/>
  <c r="X50" i="8"/>
  <c r="V50" i="8"/>
  <c r="U50" i="8"/>
  <c r="T50" i="8"/>
  <c r="Y49" i="8"/>
  <c r="X49" i="8"/>
  <c r="V49" i="8"/>
  <c r="U49" i="8"/>
  <c r="T49" i="8"/>
  <c r="Y42" i="8"/>
  <c r="X42" i="8"/>
  <c r="V42" i="8"/>
  <c r="U42" i="8"/>
  <c r="T42" i="8"/>
  <c r="W50" i="9"/>
  <c r="S50" i="9"/>
  <c r="Z57" i="9"/>
  <c r="Y57" i="9"/>
  <c r="X57" i="9"/>
  <c r="Z56" i="9"/>
  <c r="Y56" i="9"/>
  <c r="X56" i="9"/>
  <c r="V56" i="9"/>
  <c r="U56" i="9"/>
  <c r="T56" i="9"/>
  <c r="Z55" i="9"/>
  <c r="Y55" i="9"/>
  <c r="X55" i="9"/>
  <c r="V55" i="9"/>
  <c r="U55" i="9"/>
  <c r="T55" i="9"/>
  <c r="Y63" i="9"/>
  <c r="X63" i="9"/>
  <c r="V63" i="9"/>
  <c r="U63" i="9"/>
  <c r="T63" i="9"/>
  <c r="Y62" i="9"/>
  <c r="X62" i="9"/>
  <c r="V62" i="9"/>
  <c r="U62" i="9"/>
  <c r="T62" i="9"/>
  <c r="Z65" i="9"/>
  <c r="V50" i="9"/>
  <c r="U50" i="9"/>
  <c r="T50" i="9"/>
  <c r="Y50" i="9"/>
  <c r="X50" i="9"/>
  <c r="N65" i="9"/>
  <c r="J65" i="9"/>
  <c r="Q66" i="9"/>
  <c r="P66" i="9"/>
  <c r="O66" i="9"/>
  <c r="M66" i="9"/>
  <c r="L66" i="9"/>
  <c r="K66" i="9"/>
  <c r="I66" i="9"/>
  <c r="H66" i="9"/>
  <c r="G66" i="9"/>
  <c r="E66" i="9"/>
  <c r="D66" i="9"/>
  <c r="C66" i="9"/>
  <c r="Y49" i="9"/>
  <c r="X49" i="9"/>
  <c r="V49" i="9"/>
  <c r="U49" i="9"/>
  <c r="T49" i="9"/>
  <c r="Y48" i="9"/>
  <c r="X48" i="9"/>
  <c r="V48" i="9"/>
  <c r="U48" i="9"/>
  <c r="T48" i="9"/>
  <c r="N99" i="8"/>
  <c r="J99" i="8"/>
  <c r="J131" i="8"/>
  <c r="J97" i="8"/>
  <c r="N98" i="8"/>
  <c r="V57" i="8"/>
  <c r="U57" i="9"/>
  <c r="T57" i="9"/>
  <c r="J132" i="8"/>
  <c r="N132" i="8"/>
  <c r="N131" i="8"/>
  <c r="N124" i="8"/>
  <c r="N123" i="8"/>
  <c r="J124" i="8"/>
  <c r="J123" i="8"/>
  <c r="Z67" i="8"/>
  <c r="Z63" i="8"/>
  <c r="Z57" i="8"/>
  <c r="Z50" i="8"/>
  <c r="Z49" i="8"/>
  <c r="Z42" i="8"/>
  <c r="S63" i="8"/>
  <c r="W67" i="8"/>
  <c r="S67" i="8"/>
  <c r="J31" i="8"/>
  <c r="S31" i="8" s="1"/>
  <c r="W62" i="9"/>
  <c r="S62" i="9"/>
  <c r="Z31" i="8"/>
  <c r="Z34" i="8"/>
  <c r="N31" i="8"/>
  <c r="W31" i="8" s="1"/>
  <c r="S65" i="9" l="1"/>
  <c r="W65" i="9"/>
  <c r="S66" i="9"/>
  <c r="U66" i="9"/>
  <c r="T66" i="9"/>
  <c r="Z23" i="10"/>
  <c r="Z12" i="10"/>
  <c r="Z38" i="10"/>
  <c r="Z32" i="10"/>
  <c r="Z33" i="10" s="1"/>
  <c r="S7" i="9"/>
  <c r="T6" i="9"/>
  <c r="S6" i="9"/>
  <c r="U6" i="9"/>
  <c r="T7" i="9"/>
  <c r="V6" i="9"/>
  <c r="U7" i="9"/>
  <c r="V7" i="9"/>
  <c r="V46" i="8"/>
  <c r="X46" i="8"/>
  <c r="Y46" i="8"/>
  <c r="Z46" i="8"/>
  <c r="N46" i="8"/>
  <c r="J46" i="8"/>
  <c r="S49" i="9"/>
  <c r="W46" i="8"/>
  <c r="N96" i="8"/>
  <c r="V12" i="9"/>
  <c r="U18" i="9"/>
  <c r="T12" i="9"/>
  <c r="U12" i="9"/>
  <c r="T38" i="9"/>
  <c r="S12" i="9"/>
  <c r="U38" i="9"/>
  <c r="V18" i="9"/>
  <c r="X18" i="9"/>
  <c r="W12" i="9"/>
  <c r="Y18" i="9"/>
  <c r="X12" i="9"/>
  <c r="W18" i="9"/>
  <c r="S18" i="9"/>
  <c r="Y12" i="9"/>
  <c r="S38" i="9"/>
  <c r="S57" i="8"/>
  <c r="T57" i="8"/>
  <c r="U57" i="8"/>
  <c r="T18" i="9"/>
  <c r="S49" i="8"/>
  <c r="AB74" i="8"/>
  <c r="AB50" i="8"/>
  <c r="AB63" i="8"/>
  <c r="O110" i="8"/>
  <c r="V57" i="9"/>
  <c r="W55" i="9"/>
  <c r="W57" i="9"/>
  <c r="W63" i="9"/>
  <c r="W56" i="9"/>
  <c r="X66" i="9"/>
  <c r="Z66" i="9"/>
  <c r="V66" i="9"/>
  <c r="J66" i="9"/>
  <c r="W66" i="9"/>
  <c r="Y66" i="9"/>
  <c r="N66" i="9"/>
  <c r="E110" i="8"/>
  <c r="V26" i="9"/>
  <c r="Y17" i="9"/>
  <c r="T37" i="9"/>
  <c r="W49" i="9"/>
  <c r="W48" i="9"/>
  <c r="S16" i="9"/>
  <c r="K110" i="8"/>
  <c r="S17" i="9"/>
  <c r="Y16" i="9"/>
  <c r="Z18" i="9"/>
  <c r="C110" i="8"/>
  <c r="G110" i="8"/>
  <c r="D110" i="8"/>
  <c r="J98" i="8"/>
  <c r="J95" i="8"/>
  <c r="Q110" i="8"/>
  <c r="N97" i="8"/>
  <c r="N95" i="8"/>
  <c r="AB34" i="8"/>
  <c r="AB23" i="8" l="1"/>
  <c r="V8" i="9"/>
  <c r="U8" i="9"/>
  <c r="T8" i="9"/>
  <c r="S8" i="9"/>
  <c r="J96" i="8"/>
  <c r="AB96" i="8" s="1"/>
  <c r="AB99" i="8"/>
  <c r="U26" i="9"/>
  <c r="Y37" i="9"/>
  <c r="U39" i="9"/>
  <c r="T17" i="9"/>
  <c r="T39" i="9"/>
  <c r="X17" i="9"/>
  <c r="W16" i="9"/>
  <c r="V37" i="9"/>
  <c r="U37" i="9"/>
  <c r="S37" i="9"/>
  <c r="W17" i="9"/>
  <c r="S26" i="9"/>
  <c r="T26" i="9"/>
  <c r="T16" i="9"/>
  <c r="V16" i="9"/>
  <c r="U16" i="9"/>
  <c r="AB98" i="8"/>
  <c r="U17" i="9"/>
  <c r="V17" i="9"/>
  <c r="X16" i="9"/>
  <c r="W37" i="9"/>
  <c r="S39" i="9"/>
  <c r="X37" i="9"/>
  <c r="V39" i="9"/>
  <c r="AB18" i="9"/>
  <c r="Z17" i="9"/>
  <c r="Y22" i="9"/>
  <c r="I110" i="8"/>
  <c r="Y36" i="9"/>
  <c r="S22" i="9"/>
  <c r="H110" i="8"/>
  <c r="AB97" i="8"/>
  <c r="P110" i="8"/>
  <c r="M110" i="8"/>
  <c r="L110" i="8"/>
  <c r="AB27" i="8"/>
  <c r="Z63" i="9"/>
  <c r="Z62" i="9"/>
  <c r="Q120" i="8"/>
  <c r="M120" i="8"/>
  <c r="L120" i="8"/>
  <c r="J120" i="8"/>
  <c r="G117" i="8"/>
  <c r="H117" i="8"/>
  <c r="I117" i="8"/>
  <c r="V13" i="9" l="1"/>
  <c r="V19" i="9" s="1"/>
  <c r="U13" i="9"/>
  <c r="U19" i="9" s="1"/>
  <c r="S13" i="9"/>
  <c r="S19" i="9" s="1"/>
  <c r="T13" i="9"/>
  <c r="T19" i="9" s="1"/>
  <c r="X7" i="9"/>
  <c r="W7" i="9"/>
  <c r="Y7" i="9"/>
  <c r="X6" i="9"/>
  <c r="W6" i="9"/>
  <c r="Y6" i="9"/>
  <c r="V40" i="9"/>
  <c r="T22" i="9"/>
  <c r="X22" i="9"/>
  <c r="AB17" i="9"/>
  <c r="W22" i="9"/>
  <c r="J110" i="8"/>
  <c r="AB106" i="8"/>
  <c r="W36" i="9"/>
  <c r="W26" i="9"/>
  <c r="Y26" i="9"/>
  <c r="X36" i="9"/>
  <c r="V22" i="9"/>
  <c r="U22" i="9"/>
  <c r="X26" i="9"/>
  <c r="U40" i="9"/>
  <c r="T40" i="9"/>
  <c r="S40" i="9"/>
  <c r="Y40" i="9"/>
  <c r="X40" i="9"/>
  <c r="W40" i="9"/>
  <c r="V38" i="9"/>
  <c r="Z38" i="9"/>
  <c r="AB103" i="8"/>
  <c r="AB114" i="8"/>
  <c r="AB109" i="8"/>
  <c r="V36" i="9"/>
  <c r="N110" i="8"/>
  <c r="P120" i="8"/>
  <c r="S131" i="8"/>
  <c r="E8" i="9"/>
  <c r="E13" i="9" s="1"/>
  <c r="C8" i="9"/>
  <c r="C13" i="9" s="1"/>
  <c r="D8" i="9"/>
  <c r="D13" i="9" s="1"/>
  <c r="J8" i="9"/>
  <c r="J13" i="9" s="1"/>
  <c r="H8" i="9"/>
  <c r="H13" i="9" s="1"/>
  <c r="I8" i="9"/>
  <c r="I13" i="9" s="1"/>
  <c r="G8" i="9"/>
  <c r="G13" i="9" s="1"/>
  <c r="P8" i="9"/>
  <c r="P13" i="9" s="1"/>
  <c r="O8" i="9"/>
  <c r="O13" i="9" s="1"/>
  <c r="Q8" i="9"/>
  <c r="Q13" i="9" s="1"/>
  <c r="M8" i="9"/>
  <c r="M13" i="9" s="1"/>
  <c r="L8" i="9"/>
  <c r="L13" i="9" s="1"/>
  <c r="K8" i="9"/>
  <c r="K13" i="9" s="1"/>
  <c r="N120" i="8"/>
  <c r="Z12" i="9"/>
  <c r="S23" i="9" l="1"/>
  <c r="S27" i="9" s="1"/>
  <c r="X8" i="9"/>
  <c r="X13" i="9" s="1"/>
  <c r="X19" i="9" s="1"/>
  <c r="X23" i="9" s="1"/>
  <c r="X27" i="9" s="1"/>
  <c r="Y8" i="9"/>
  <c r="Y13" i="9" s="1"/>
  <c r="Y19" i="9" s="1"/>
  <c r="Y23" i="9" s="1"/>
  <c r="Y27" i="9" s="1"/>
  <c r="T23" i="9"/>
  <c r="T27" i="9" s="1"/>
  <c r="V23" i="9"/>
  <c r="V27" i="9" s="1"/>
  <c r="U23" i="9"/>
  <c r="U27" i="9" s="1"/>
  <c r="W38" i="9"/>
  <c r="S36" i="9"/>
  <c r="U36" i="9"/>
  <c r="X38" i="9"/>
  <c r="W42" i="9"/>
  <c r="X42" i="9"/>
  <c r="Y42" i="9"/>
  <c r="Y39" i="9"/>
  <c r="X39" i="9"/>
  <c r="W39" i="9"/>
  <c r="V42" i="9"/>
  <c r="U42" i="9"/>
  <c r="S42" i="9"/>
  <c r="T42" i="9"/>
  <c r="Y38" i="9"/>
  <c r="T36" i="9"/>
  <c r="N8" i="9"/>
  <c r="N13" i="9" s="1"/>
  <c r="Z39" i="9"/>
  <c r="X131" i="8"/>
  <c r="Y131" i="8"/>
  <c r="V131" i="8"/>
  <c r="U131" i="8"/>
  <c r="T131" i="8"/>
  <c r="Z131" i="8"/>
  <c r="W131" i="8"/>
  <c r="AB12" i="9"/>
  <c r="W8" i="9" l="1"/>
  <c r="W13" i="9" s="1"/>
  <c r="W19" i="9" s="1"/>
  <c r="W23" i="9" s="1"/>
  <c r="W27" i="9" s="1"/>
  <c r="Z50" i="9" l="1"/>
  <c r="Z49" i="9"/>
  <c r="N4" i="10"/>
  <c r="W4" i="10" s="1"/>
  <c r="J4" i="10"/>
  <c r="S4" i="10" s="1"/>
  <c r="D51" i="9" l="1"/>
  <c r="P51" i="9"/>
  <c r="C51" i="9"/>
  <c r="I51" i="9"/>
  <c r="E51" i="9"/>
  <c r="M51" i="9"/>
  <c r="H51" i="9"/>
  <c r="G51" i="9"/>
  <c r="K51" i="9"/>
  <c r="L51" i="9"/>
  <c r="O51" i="9"/>
  <c r="Q51" i="9"/>
  <c r="Z42" i="9" l="1"/>
  <c r="B2" i="9" l="1"/>
  <c r="Q60" i="8"/>
  <c r="P60" i="8"/>
  <c r="Y58" i="9" s="1"/>
  <c r="O60" i="8"/>
  <c r="X58" i="9" s="1"/>
  <c r="M60" i="8"/>
  <c r="V58" i="9" s="1"/>
  <c r="L60" i="8"/>
  <c r="U58" i="9" s="1"/>
  <c r="K60" i="8"/>
  <c r="T58" i="9" s="1"/>
  <c r="I60" i="8"/>
  <c r="H60" i="8"/>
  <c r="G60" i="8"/>
  <c r="E60" i="8"/>
  <c r="D60" i="8"/>
  <c r="C60" i="8"/>
  <c r="Z48" i="9"/>
  <c r="Z51" i="9" s="1"/>
  <c r="Q4" i="9"/>
  <c r="Z4" i="9" s="1"/>
  <c r="Q3" i="9"/>
  <c r="Z3" i="9" s="1"/>
  <c r="Z8" i="8"/>
  <c r="Z83" i="8" s="1"/>
  <c r="Z7" i="8"/>
  <c r="Z82" i="8" s="1"/>
  <c r="Q83" i="8"/>
  <c r="Q82" i="8"/>
  <c r="Q75" i="8"/>
  <c r="Q39" i="8"/>
  <c r="Q38" i="8"/>
  <c r="Q11" i="8"/>
  <c r="O117" i="8"/>
  <c r="E117" i="8"/>
  <c r="D117" i="8"/>
  <c r="C117" i="8"/>
  <c r="Y51" i="9"/>
  <c r="X51" i="9"/>
  <c r="V51" i="9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S4" i="9" s="1"/>
  <c r="I4" i="9"/>
  <c r="H4" i="9"/>
  <c r="G4" i="9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S3" i="9" s="1"/>
  <c r="I3" i="9"/>
  <c r="H3" i="9"/>
  <c r="G3" i="9"/>
  <c r="E4" i="9"/>
  <c r="D4" i="9"/>
  <c r="C4" i="9"/>
  <c r="E3" i="9"/>
  <c r="D3" i="9"/>
  <c r="C3" i="9"/>
  <c r="I75" i="8"/>
  <c r="P83" i="8"/>
  <c r="O83" i="8"/>
  <c r="N83" i="8"/>
  <c r="M83" i="8"/>
  <c r="L83" i="8"/>
  <c r="K83" i="8"/>
  <c r="J83" i="8"/>
  <c r="I83" i="8"/>
  <c r="H83" i="8"/>
  <c r="G83" i="8"/>
  <c r="P82" i="8"/>
  <c r="O82" i="8"/>
  <c r="N82" i="8"/>
  <c r="M82" i="8"/>
  <c r="L82" i="8"/>
  <c r="K82" i="8"/>
  <c r="J82" i="8"/>
  <c r="I82" i="8"/>
  <c r="H82" i="8"/>
  <c r="G82" i="8"/>
  <c r="M75" i="8"/>
  <c r="L75" i="8"/>
  <c r="K75" i="8"/>
  <c r="H75" i="8"/>
  <c r="G75" i="8"/>
  <c r="P39" i="8"/>
  <c r="O39" i="8"/>
  <c r="N39" i="8"/>
  <c r="M39" i="8"/>
  <c r="L39" i="8"/>
  <c r="K39" i="8"/>
  <c r="J39" i="8"/>
  <c r="I39" i="8"/>
  <c r="H39" i="8"/>
  <c r="G39" i="8"/>
  <c r="P38" i="8"/>
  <c r="O38" i="8"/>
  <c r="N38" i="8"/>
  <c r="M38" i="8"/>
  <c r="L38" i="8"/>
  <c r="K38" i="8"/>
  <c r="J38" i="8"/>
  <c r="I38" i="8"/>
  <c r="H38" i="8"/>
  <c r="G38" i="8"/>
  <c r="E39" i="8"/>
  <c r="D39" i="8"/>
  <c r="C39" i="8"/>
  <c r="E38" i="8"/>
  <c r="D38" i="8"/>
  <c r="C38" i="8"/>
  <c r="L11" i="8"/>
  <c r="K11" i="8"/>
  <c r="I11" i="8"/>
  <c r="H11" i="8"/>
  <c r="G11" i="8"/>
  <c r="P11" i="8"/>
  <c r="T8" i="8"/>
  <c r="S8" i="8"/>
  <c r="T7" i="8"/>
  <c r="S7" i="8"/>
  <c r="X8" i="8"/>
  <c r="W8" i="8"/>
  <c r="V8" i="8"/>
  <c r="U8" i="8"/>
  <c r="X7" i="8"/>
  <c r="W7" i="8"/>
  <c r="V7" i="8"/>
  <c r="U7" i="8"/>
  <c r="Y8" i="8"/>
  <c r="Y7" i="8"/>
  <c r="H14" i="8" l="1"/>
  <c r="P14" i="8"/>
  <c r="L14" i="8"/>
  <c r="I14" i="8"/>
  <c r="G14" i="8"/>
  <c r="K14" i="8"/>
  <c r="Q14" i="8"/>
  <c r="I12" i="10"/>
  <c r="G12" i="10"/>
  <c r="H12" i="10"/>
  <c r="K12" i="10"/>
  <c r="Q12" i="10"/>
  <c r="L12" i="10"/>
  <c r="P12" i="10"/>
  <c r="AB42" i="8"/>
  <c r="AB49" i="8"/>
  <c r="AB57" i="8"/>
  <c r="Q65" i="8"/>
  <c r="T68" i="9"/>
  <c r="Z68" i="9"/>
  <c r="X132" i="8"/>
  <c r="U68" i="9"/>
  <c r="V68" i="9"/>
  <c r="J51" i="9"/>
  <c r="I54" i="8"/>
  <c r="X60" i="8"/>
  <c r="Y60" i="8"/>
  <c r="Z60" i="8"/>
  <c r="V60" i="8"/>
  <c r="J60" i="8"/>
  <c r="S58" i="9" s="1"/>
  <c r="N60" i="8"/>
  <c r="W58" i="9" s="1"/>
  <c r="I65" i="8"/>
  <c r="Z75" i="8"/>
  <c r="Z10" i="8"/>
  <c r="H65" i="8"/>
  <c r="Z38" i="8"/>
  <c r="Z39" i="8"/>
  <c r="G65" i="8"/>
  <c r="H54" i="8"/>
  <c r="P117" i="8"/>
  <c r="K117" i="8"/>
  <c r="L117" i="8"/>
  <c r="P54" i="8"/>
  <c r="M54" i="8"/>
  <c r="G54" i="8"/>
  <c r="L54" i="8"/>
  <c r="K54" i="8"/>
  <c r="E65" i="8"/>
  <c r="V132" i="8"/>
  <c r="U51" i="9"/>
  <c r="T51" i="9"/>
  <c r="W132" i="8"/>
  <c r="T132" i="8"/>
  <c r="U132" i="8"/>
  <c r="S132" i="8"/>
  <c r="J11" i="8"/>
  <c r="J75" i="8"/>
  <c r="J54" i="8"/>
  <c r="N54" i="8"/>
  <c r="K15" i="8" l="1"/>
  <c r="K20" i="8"/>
  <c r="K24" i="8" s="1"/>
  <c r="G15" i="8"/>
  <c r="G20" i="8"/>
  <c r="G24" i="8" s="1"/>
  <c r="I15" i="8"/>
  <c r="I20" i="8"/>
  <c r="I24" i="8" s="1"/>
  <c r="L15" i="8"/>
  <c r="L20" i="8"/>
  <c r="L24" i="8" s="1"/>
  <c r="L28" i="8" s="1"/>
  <c r="L86" i="8" s="1"/>
  <c r="P15" i="8"/>
  <c r="P20" i="8"/>
  <c r="P24" i="8" s="1"/>
  <c r="Q15" i="8"/>
  <c r="Q20" i="8"/>
  <c r="Q24" i="8" s="1"/>
  <c r="Q28" i="8" s="1"/>
  <c r="Q86" i="8" s="1"/>
  <c r="H15" i="8"/>
  <c r="H20" i="8"/>
  <c r="H24" i="8" s="1"/>
  <c r="J14" i="8"/>
  <c r="J12" i="10"/>
  <c r="Q76" i="8"/>
  <c r="Z59" i="9"/>
  <c r="Z7" i="9"/>
  <c r="AB7" i="9" s="1"/>
  <c r="W60" i="8"/>
  <c r="AB17" i="8"/>
  <c r="AB113" i="8"/>
  <c r="Z40" i="9"/>
  <c r="Z54" i="8"/>
  <c r="Z65" i="8"/>
  <c r="Z76" i="8" s="1"/>
  <c r="AB60" i="8"/>
  <c r="Z11" i="8"/>
  <c r="AB10" i="8"/>
  <c r="N51" i="9"/>
  <c r="W51" i="9"/>
  <c r="U69" i="9"/>
  <c r="U78" i="9" s="1"/>
  <c r="T69" i="9"/>
  <c r="T78" i="9" s="1"/>
  <c r="Q69" i="9"/>
  <c r="Q78" i="9" s="1"/>
  <c r="Z32" i="9"/>
  <c r="V32" i="9"/>
  <c r="V69" i="9"/>
  <c r="V78" i="9" s="1"/>
  <c r="Z69" i="9"/>
  <c r="Z78" i="9" s="1"/>
  <c r="S68" i="9"/>
  <c r="S69" i="9" s="1"/>
  <c r="S78" i="9" s="1"/>
  <c r="Z16" i="9"/>
  <c r="Q54" i="8"/>
  <c r="Z58" i="9"/>
  <c r="Z30" i="9"/>
  <c r="Q117" i="8"/>
  <c r="M117" i="8"/>
  <c r="Z36" i="9"/>
  <c r="S51" i="9"/>
  <c r="L65" i="8"/>
  <c r="U59" i="9" s="1"/>
  <c r="K65" i="8"/>
  <c r="T59" i="9" s="1"/>
  <c r="J65" i="8"/>
  <c r="S59" i="9" s="1"/>
  <c r="M65" i="8"/>
  <c r="V59" i="9" s="1"/>
  <c r="T31" i="9"/>
  <c r="W31" i="9"/>
  <c r="X30" i="9"/>
  <c r="Z33" i="9"/>
  <c r="U31" i="9"/>
  <c r="Y30" i="9"/>
  <c r="V31" i="9"/>
  <c r="W30" i="9"/>
  <c r="S31" i="9"/>
  <c r="K21" i="8" l="1"/>
  <c r="Q21" i="8"/>
  <c r="J15" i="8"/>
  <c r="J20" i="8"/>
  <c r="J24" i="8" s="1"/>
  <c r="J28" i="8" s="1"/>
  <c r="J86" i="8" s="1"/>
  <c r="L21" i="8"/>
  <c r="Z14" i="8"/>
  <c r="Z20" i="8" s="1"/>
  <c r="Z24" i="8" s="1"/>
  <c r="Z25" i="8" s="1"/>
  <c r="Q35" i="8"/>
  <c r="Q32" i="8"/>
  <c r="L35" i="8"/>
  <c r="L32" i="8"/>
  <c r="AB16" i="9"/>
  <c r="K28" i="8"/>
  <c r="K86" i="8" s="1"/>
  <c r="H28" i="8"/>
  <c r="H86" i="8" s="1"/>
  <c r="I25" i="8"/>
  <c r="I21" i="8"/>
  <c r="H21" i="8"/>
  <c r="Q78" i="8"/>
  <c r="Q19" i="9"/>
  <c r="Q23" i="9" s="1"/>
  <c r="Q27" i="9" s="1"/>
  <c r="Q25" i="8"/>
  <c r="G28" i="8"/>
  <c r="G86" i="8" s="1"/>
  <c r="G21" i="8"/>
  <c r="Z78" i="8"/>
  <c r="X32" i="9"/>
  <c r="Y32" i="9"/>
  <c r="W32" i="9"/>
  <c r="AB32" i="9"/>
  <c r="T32" i="9"/>
  <c r="U32" i="9"/>
  <c r="S32" i="9"/>
  <c r="Y31" i="9"/>
  <c r="Y132" i="8"/>
  <c r="K76" i="8"/>
  <c r="K78" i="8" s="1"/>
  <c r="X31" i="9"/>
  <c r="L76" i="8"/>
  <c r="L78" i="8" s="1"/>
  <c r="Y33" i="9"/>
  <c r="L25" i="8"/>
  <c r="Y117" i="8"/>
  <c r="Z117" i="8"/>
  <c r="W117" i="8"/>
  <c r="U117" i="8"/>
  <c r="X117" i="8"/>
  <c r="N117" i="8"/>
  <c r="M76" i="8"/>
  <c r="M78" i="8" s="1"/>
  <c r="J76" i="8"/>
  <c r="J78" i="8" s="1"/>
  <c r="X33" i="9"/>
  <c r="AB95" i="8"/>
  <c r="W33" i="9"/>
  <c r="U30" i="9"/>
  <c r="T30" i="9"/>
  <c r="V30" i="9"/>
  <c r="S30" i="9"/>
  <c r="V33" i="9"/>
  <c r="AB33" i="9" s="1"/>
  <c r="S33" i="9"/>
  <c r="T33" i="9"/>
  <c r="U33" i="9"/>
  <c r="K25" i="8"/>
  <c r="J21" i="8" l="1"/>
  <c r="Z15" i="8"/>
  <c r="K32" i="8"/>
  <c r="K35" i="8"/>
  <c r="G35" i="8"/>
  <c r="G32" i="8"/>
  <c r="H32" i="8"/>
  <c r="H35" i="8"/>
  <c r="J35" i="8"/>
  <c r="J32" i="8"/>
  <c r="Q100" i="8"/>
  <c r="Q125" i="8" s="1"/>
  <c r="L100" i="8"/>
  <c r="L125" i="8" s="1"/>
  <c r="W34" i="9"/>
  <c r="X34" i="9"/>
  <c r="Y34" i="9"/>
  <c r="S34" i="9"/>
  <c r="AB30" i="9"/>
  <c r="V34" i="9"/>
  <c r="T34" i="9"/>
  <c r="U34" i="9"/>
  <c r="I28" i="8"/>
  <c r="I86" i="8" s="1"/>
  <c r="H25" i="8"/>
  <c r="Q29" i="8"/>
  <c r="Q14" i="9"/>
  <c r="Q20" i="9"/>
  <c r="G25" i="8"/>
  <c r="AB31" i="8"/>
  <c r="AB110" i="8"/>
  <c r="Z31" i="9"/>
  <c r="AB31" i="9" s="1"/>
  <c r="Z132" i="8"/>
  <c r="Z26" i="9"/>
  <c r="AB26" i="9" s="1"/>
  <c r="Z22" i="9"/>
  <c r="Z37" i="9"/>
  <c r="Q24" i="9"/>
  <c r="H29" i="8"/>
  <c r="J25" i="8"/>
  <c r="J117" i="8"/>
  <c r="V117" i="8"/>
  <c r="AB117" i="8" s="1"/>
  <c r="T117" i="8"/>
  <c r="L29" i="8"/>
  <c r="K29" i="8"/>
  <c r="I35" i="8" l="1"/>
  <c r="I32" i="8"/>
  <c r="G100" i="8"/>
  <c r="G125" i="8" s="1"/>
  <c r="K100" i="8"/>
  <c r="K125" i="8" s="1"/>
  <c r="H100" i="8"/>
  <c r="H125" i="8" s="1"/>
  <c r="I29" i="8"/>
  <c r="Z21" i="8"/>
  <c r="Z28" i="8"/>
  <c r="AB22" i="9"/>
  <c r="Z6" i="9"/>
  <c r="Z8" i="9" s="1"/>
  <c r="Z13" i="9" s="1"/>
  <c r="Z19" i="9" s="1"/>
  <c r="Z23" i="9" s="1"/>
  <c r="Z27" i="9" s="1"/>
  <c r="Z34" i="9" s="1"/>
  <c r="G29" i="8"/>
  <c r="U14" i="9"/>
  <c r="Q28" i="9"/>
  <c r="Q34" i="9"/>
  <c r="Q43" i="9" s="1"/>
  <c r="J29" i="8"/>
  <c r="Z29" i="8" l="1"/>
  <c r="Z35" i="8"/>
  <c r="Z32" i="8"/>
  <c r="I100" i="8"/>
  <c r="I125" i="8" s="1"/>
  <c r="T14" i="9"/>
  <c r="V20" i="9"/>
  <c r="V14" i="9"/>
  <c r="S14" i="9"/>
  <c r="U20" i="9"/>
  <c r="S20" i="9"/>
  <c r="X9" i="9"/>
  <c r="AB6" i="9"/>
  <c r="Q44" i="9"/>
  <c r="S24" i="9"/>
  <c r="J100" i="8"/>
  <c r="J125" i="8" s="1"/>
  <c r="T76" i="9" l="1" a="1"/>
  <c r="T76" i="9" s="1"/>
  <c r="U75" i="9"/>
  <c r="T20" i="9"/>
  <c r="W9" i="9"/>
  <c r="X14" i="9"/>
  <c r="W14" i="9"/>
  <c r="AB8" i="9"/>
  <c r="Z9" i="9"/>
  <c r="AB9" i="9" s="1"/>
  <c r="T24" i="9"/>
  <c r="U24" i="9"/>
  <c r="X20" i="9"/>
  <c r="S77" i="9" a="1"/>
  <c r="S77" i="9" s="1"/>
  <c r="S75" i="9"/>
  <c r="S76" i="9" a="1"/>
  <c r="S76" i="9" s="1"/>
  <c r="S74" i="9"/>
  <c r="S28" i="9"/>
  <c r="S73" i="9"/>
  <c r="B83" i="8"/>
  <c r="B82" i="8"/>
  <c r="E83" i="8"/>
  <c r="D83" i="8"/>
  <c r="C83" i="8"/>
  <c r="E82" i="8"/>
  <c r="D82" i="8"/>
  <c r="C82" i="8"/>
  <c r="B39" i="8"/>
  <c r="B38" i="8"/>
  <c r="Y39" i="8"/>
  <c r="X39" i="8"/>
  <c r="W39" i="8"/>
  <c r="U39" i="8"/>
  <c r="T39" i="8"/>
  <c r="S39" i="8"/>
  <c r="V39" i="8"/>
  <c r="Y38" i="8"/>
  <c r="X38" i="8"/>
  <c r="W38" i="8"/>
  <c r="V38" i="8"/>
  <c r="U38" i="8"/>
  <c r="T38" i="8"/>
  <c r="S38" i="8"/>
  <c r="U77" i="9" l="1" a="1"/>
  <c r="U77" i="9" s="1"/>
  <c r="T74" i="9"/>
  <c r="U28" i="9"/>
  <c r="U73" i="9"/>
  <c r="U76" i="9" a="1"/>
  <c r="U76" i="9" s="1"/>
  <c r="T77" i="9" a="1"/>
  <c r="T77" i="9" s="1"/>
  <c r="U74" i="9"/>
  <c r="T75" i="9"/>
  <c r="T28" i="9"/>
  <c r="T73" i="9"/>
  <c r="V73" i="9"/>
  <c r="V24" i="9"/>
  <c r="Z14" i="9"/>
  <c r="AB14" i="9" s="1"/>
  <c r="AB13" i="9"/>
  <c r="W20" i="9"/>
  <c r="X24" i="9"/>
  <c r="S82" i="8"/>
  <c r="S83" i="8"/>
  <c r="V82" i="8"/>
  <c r="W82" i="8"/>
  <c r="W83" i="8"/>
  <c r="X83" i="8"/>
  <c r="U82" i="8"/>
  <c r="X82" i="8"/>
  <c r="U83" i="8"/>
  <c r="T83" i="8"/>
  <c r="Y82" i="8"/>
  <c r="V83" i="8"/>
  <c r="T82" i="8"/>
  <c r="Y83" i="8"/>
  <c r="V77" i="9" l="1" a="1"/>
  <c r="V77" i="9" s="1"/>
  <c r="V76" i="9" a="1"/>
  <c r="V76" i="9" s="1"/>
  <c r="V28" i="9"/>
  <c r="V74" i="9"/>
  <c r="V75" i="9"/>
  <c r="W24" i="9"/>
  <c r="Z20" i="9"/>
  <c r="AB20" i="9" s="1"/>
  <c r="AB19" i="9"/>
  <c r="X75" i="9"/>
  <c r="X28" i="9"/>
  <c r="X77" i="9" a="1"/>
  <c r="X77" i="9" s="1"/>
  <c r="X76" i="9" a="1"/>
  <c r="X76" i="9" s="1"/>
  <c r="X73" i="9"/>
  <c r="X74" i="9"/>
  <c r="AB23" i="9" l="1"/>
  <c r="Z24" i="9"/>
  <c r="AB24" i="9" s="1"/>
  <c r="W75" i="9"/>
  <c r="W74" i="9"/>
  <c r="W76" i="9" a="1"/>
  <c r="W76" i="9" s="1"/>
  <c r="W28" i="9"/>
  <c r="W77" i="9" a="1"/>
  <c r="W77" i="9" s="1"/>
  <c r="W73" i="9"/>
  <c r="Z75" i="9" l="1"/>
  <c r="AB27" i="9"/>
  <c r="Z76" i="9" a="1"/>
  <c r="Z76" i="9" s="1"/>
  <c r="Z28" i="9"/>
  <c r="AB28" i="9" s="1"/>
  <c r="Z74" i="9"/>
  <c r="Z73" i="9"/>
  <c r="Z77" i="9" a="1"/>
  <c r="Z77" i="9" s="1"/>
  <c r="AB34" i="9"/>
  <c r="N75" i="8" l="1"/>
  <c r="P75" i="8"/>
  <c r="Y68" i="9" l="1"/>
  <c r="W68" i="9"/>
  <c r="W69" i="9" s="1"/>
  <c r="W78" i="9" s="1"/>
  <c r="O54" i="8"/>
  <c r="O75" i="8"/>
  <c r="Q9" i="9" l="1"/>
  <c r="Q10" i="9"/>
  <c r="X68" i="9"/>
  <c r="X69" i="9" s="1"/>
  <c r="X78" i="9" s="1"/>
  <c r="Y69" i="9"/>
  <c r="Y78" i="9" s="1"/>
  <c r="T11" i="8" l="1"/>
  <c r="D54" i="8"/>
  <c r="C54" i="8"/>
  <c r="E54" i="8"/>
  <c r="T14" i="8" l="1"/>
  <c r="U11" i="8"/>
  <c r="U46" i="8"/>
  <c r="U54" i="8" s="1"/>
  <c r="U75" i="8"/>
  <c r="S46" i="8"/>
  <c r="S54" i="8" s="1"/>
  <c r="U60" i="8"/>
  <c r="U65" i="8" s="1"/>
  <c r="T60" i="8"/>
  <c r="T65" i="8" s="1"/>
  <c r="T46" i="8"/>
  <c r="T54" i="8" s="1"/>
  <c r="S75" i="8"/>
  <c r="S11" i="8"/>
  <c r="S60" i="8"/>
  <c r="S65" i="8" s="1"/>
  <c r="T75" i="8"/>
  <c r="W75" i="8"/>
  <c r="W54" i="8"/>
  <c r="X75" i="8"/>
  <c r="W11" i="8"/>
  <c r="W65" i="8"/>
  <c r="X65" i="8"/>
  <c r="V11" i="8"/>
  <c r="X11" i="8"/>
  <c r="X54" i="8"/>
  <c r="T15" i="8" l="1"/>
  <c r="T20" i="8"/>
  <c r="T24" i="8" s="1"/>
  <c r="T25" i="8" s="1"/>
  <c r="W14" i="8"/>
  <c r="X14" i="8"/>
  <c r="V14" i="8"/>
  <c r="V20" i="8" s="1"/>
  <c r="V24" i="8" s="1"/>
  <c r="V25" i="8" s="1"/>
  <c r="S14" i="8"/>
  <c r="U14" i="8"/>
  <c r="AB11" i="8"/>
  <c r="U76" i="8"/>
  <c r="U78" i="8" s="1"/>
  <c r="S76" i="8"/>
  <c r="S78" i="8" s="1"/>
  <c r="T76" i="8"/>
  <c r="T78" i="8" s="1"/>
  <c r="W76" i="8"/>
  <c r="W78" i="8" s="1"/>
  <c r="X76" i="8"/>
  <c r="X78" i="8" s="1"/>
  <c r="U15" i="8" l="1"/>
  <c r="U20" i="8"/>
  <c r="U24" i="8" s="1"/>
  <c r="U25" i="8" s="1"/>
  <c r="W15" i="8"/>
  <c r="W20" i="8"/>
  <c r="W24" i="8" s="1"/>
  <c r="W25" i="8" s="1"/>
  <c r="S15" i="8"/>
  <c r="S20" i="8"/>
  <c r="S24" i="8" s="1"/>
  <c r="S25" i="8" s="1"/>
  <c r="X15" i="8"/>
  <c r="X20" i="8"/>
  <c r="X24" i="8" s="1"/>
  <c r="X25" i="8" s="1"/>
  <c r="V15" i="8"/>
  <c r="AB15" i="8" s="1"/>
  <c r="AB14" i="8"/>
  <c r="T21" i="8"/>
  <c r="Y14" i="9"/>
  <c r="S21" i="8" l="1"/>
  <c r="T28" i="8"/>
  <c r="X21" i="8"/>
  <c r="W28" i="8"/>
  <c r="V28" i="8"/>
  <c r="AB20" i="8"/>
  <c r="W21" i="8"/>
  <c r="V21" i="8"/>
  <c r="AB21" i="8" s="1"/>
  <c r="U21" i="8"/>
  <c r="X28" i="8"/>
  <c r="Y75" i="9"/>
  <c r="Y20" i="9"/>
  <c r="V29" i="8" l="1"/>
  <c r="W29" i="8"/>
  <c r="X29" i="8"/>
  <c r="T29" i="8"/>
  <c r="V32" i="8"/>
  <c r="V35" i="8"/>
  <c r="X35" i="8"/>
  <c r="X32" i="8"/>
  <c r="W32" i="8"/>
  <c r="W35" i="8"/>
  <c r="T35" i="8"/>
  <c r="T32" i="8"/>
  <c r="S28" i="8"/>
  <c r="U28" i="8"/>
  <c r="AB25" i="8"/>
  <c r="AB24" i="8"/>
  <c r="Y24" i="9"/>
  <c r="U29" i="8" l="1"/>
  <c r="S29" i="8"/>
  <c r="U32" i="8"/>
  <c r="U35" i="8"/>
  <c r="S32" i="8"/>
  <c r="S35" i="8"/>
  <c r="AB35" i="8"/>
  <c r="AB32" i="8"/>
  <c r="AB28" i="8"/>
  <c r="AB29" i="8"/>
  <c r="Y77" i="9" a="1"/>
  <c r="Y77" i="9" s="1"/>
  <c r="Y28" i="9"/>
  <c r="Y76" i="9" a="1"/>
  <c r="Y76" i="9" s="1"/>
  <c r="Y73" i="9"/>
  <c r="Y74" i="9"/>
  <c r="V65" i="8" l="1"/>
  <c r="AB65" i="8" s="1"/>
  <c r="M11" i="8" l="1"/>
  <c r="E11" i="8"/>
  <c r="D11" i="8"/>
  <c r="C11" i="8"/>
  <c r="E75" i="8"/>
  <c r="D75" i="8"/>
  <c r="C75" i="8"/>
  <c r="P65" i="8"/>
  <c r="Y59" i="9" s="1"/>
  <c r="N65" i="8"/>
  <c r="W59" i="9" s="1"/>
  <c r="Y11" i="8"/>
  <c r="O69" i="9"/>
  <c r="G69" i="9"/>
  <c r="D14" i="8" l="1"/>
  <c r="C14" i="8"/>
  <c r="E14" i="8"/>
  <c r="Y14" i="8"/>
  <c r="M14" i="8"/>
  <c r="C12" i="10"/>
  <c r="D12" i="10"/>
  <c r="E12" i="10"/>
  <c r="M12" i="10"/>
  <c r="D65" i="8"/>
  <c r="C65" i="8"/>
  <c r="H69" i="9"/>
  <c r="P69" i="9"/>
  <c r="C69" i="9"/>
  <c r="C78" i="9" s="1"/>
  <c r="I69" i="9"/>
  <c r="E69" i="9"/>
  <c r="E78" i="9" s="1"/>
  <c r="I19" i="9"/>
  <c r="I23" i="9" s="1"/>
  <c r="I27" i="9" s="1"/>
  <c r="O9" i="9"/>
  <c r="D69" i="9"/>
  <c r="D78" i="9" s="1"/>
  <c r="O10" i="9"/>
  <c r="V75" i="8"/>
  <c r="O65" i="8"/>
  <c r="X59" i="9" s="1"/>
  <c r="Y65" i="8"/>
  <c r="Y75" i="8"/>
  <c r="E19" i="9"/>
  <c r="E23" i="9" s="1"/>
  <c r="E27" i="9" s="1"/>
  <c r="E9" i="9"/>
  <c r="C19" i="9"/>
  <c r="C23" i="9" s="1"/>
  <c r="C27" i="9" s="1"/>
  <c r="D19" i="9"/>
  <c r="D23" i="9" s="1"/>
  <c r="D27" i="9" s="1"/>
  <c r="D9" i="9"/>
  <c r="K69" i="9"/>
  <c r="L69" i="9"/>
  <c r="M69" i="9"/>
  <c r="M15" i="8" l="1"/>
  <c r="M20" i="8"/>
  <c r="M24" i="8" s="1"/>
  <c r="Y15" i="8"/>
  <c r="Y20" i="8"/>
  <c r="Y24" i="8" s="1"/>
  <c r="Y25" i="8" s="1"/>
  <c r="E15" i="8"/>
  <c r="E20" i="8"/>
  <c r="E24" i="8" s="1"/>
  <c r="E28" i="8" s="1"/>
  <c r="E86" i="8" s="1"/>
  <c r="C15" i="8"/>
  <c r="C20" i="8"/>
  <c r="C24" i="8" s="1"/>
  <c r="C28" i="8" s="1"/>
  <c r="C86" i="8" s="1"/>
  <c r="D15" i="8"/>
  <c r="D20" i="8"/>
  <c r="D24" i="8" s="1"/>
  <c r="V76" i="8"/>
  <c r="AB76" i="8" s="1"/>
  <c r="AB75" i="8"/>
  <c r="C76" i="8"/>
  <c r="P28" i="8"/>
  <c r="P86" i="8" s="1"/>
  <c r="N69" i="9"/>
  <c r="N76" i="8"/>
  <c r="N78" i="8" s="1"/>
  <c r="AB46" i="8"/>
  <c r="P76" i="8"/>
  <c r="P78" i="8" s="1"/>
  <c r="D76" i="8"/>
  <c r="D78" i="8" s="1"/>
  <c r="E76" i="8"/>
  <c r="E78" i="8" s="1"/>
  <c r="J69" i="9"/>
  <c r="J10" i="9"/>
  <c r="N9" i="9"/>
  <c r="K9" i="9"/>
  <c r="L10" i="9"/>
  <c r="N19" i="9"/>
  <c r="N23" i="9" s="1"/>
  <c r="N27" i="9" s="1"/>
  <c r="I10" i="9"/>
  <c r="K10" i="9"/>
  <c r="H10" i="9"/>
  <c r="L19" i="9"/>
  <c r="L23" i="9" s="1"/>
  <c r="L27" i="9" s="1"/>
  <c r="J19" i="9"/>
  <c r="J23" i="9" s="1"/>
  <c r="J27" i="9" s="1"/>
  <c r="L9" i="9"/>
  <c r="Y54" i="8"/>
  <c r="I14" i="9"/>
  <c r="D14" i="9"/>
  <c r="M9" i="9"/>
  <c r="M19" i="9"/>
  <c r="M23" i="9" s="1"/>
  <c r="M27" i="9" s="1"/>
  <c r="M10" i="9"/>
  <c r="O19" i="9"/>
  <c r="O23" i="9" s="1"/>
  <c r="O27" i="9" s="1"/>
  <c r="Y9" i="9"/>
  <c r="H19" i="9"/>
  <c r="H23" i="9" s="1"/>
  <c r="H27" i="9" s="1"/>
  <c r="N10" i="9"/>
  <c r="P9" i="9"/>
  <c r="P19" i="9"/>
  <c r="P23" i="9" s="1"/>
  <c r="P27" i="9" s="1"/>
  <c r="P10" i="9"/>
  <c r="G19" i="9"/>
  <c r="G23" i="9" s="1"/>
  <c r="G27" i="9" s="1"/>
  <c r="E14" i="9"/>
  <c r="K19" i="9"/>
  <c r="K23" i="9" s="1"/>
  <c r="K27" i="9" s="1"/>
  <c r="C14" i="9"/>
  <c r="M21" i="8" l="1"/>
  <c r="D21" i="8"/>
  <c r="C35" i="8"/>
  <c r="C32" i="8"/>
  <c r="E32" i="8"/>
  <c r="E35" i="8"/>
  <c r="P32" i="8"/>
  <c r="P35" i="8"/>
  <c r="Q73" i="9"/>
  <c r="L14" i="9"/>
  <c r="L20" i="9"/>
  <c r="P21" i="8"/>
  <c r="E21" i="8"/>
  <c r="D28" i="8"/>
  <c r="D86" i="8" s="1"/>
  <c r="M28" i="8"/>
  <c r="M86" i="8" s="1"/>
  <c r="C21" i="8"/>
  <c r="V54" i="8"/>
  <c r="Y28" i="8"/>
  <c r="C25" i="8"/>
  <c r="P25" i="8"/>
  <c r="Y21" i="8"/>
  <c r="E25" i="8"/>
  <c r="Y76" i="8"/>
  <c r="O76" i="8"/>
  <c r="O78" i="8" s="1"/>
  <c r="N14" i="9"/>
  <c r="J14" i="9"/>
  <c r="E29" i="8"/>
  <c r="C75" i="9"/>
  <c r="C20" i="9"/>
  <c r="K14" i="9"/>
  <c r="D75" i="9"/>
  <c r="D20" i="9"/>
  <c r="I20" i="9"/>
  <c r="P14" i="9"/>
  <c r="M14" i="9"/>
  <c r="N20" i="9"/>
  <c r="J20" i="9"/>
  <c r="E20" i="9"/>
  <c r="E75" i="9"/>
  <c r="O14" i="9"/>
  <c r="G14" i="9"/>
  <c r="H14" i="9"/>
  <c r="Y29" i="8" l="1"/>
  <c r="M32" i="8"/>
  <c r="M35" i="8"/>
  <c r="D32" i="8"/>
  <c r="D35" i="8"/>
  <c r="Y35" i="8"/>
  <c r="Y32" i="8"/>
  <c r="P100" i="8"/>
  <c r="P125" i="8" s="1"/>
  <c r="E100" i="8"/>
  <c r="E125" i="8" s="1"/>
  <c r="C100" i="8"/>
  <c r="V78" i="8"/>
  <c r="AB54" i="8"/>
  <c r="D25" i="8"/>
  <c r="D29" i="8"/>
  <c r="M25" i="8"/>
  <c r="C29" i="8"/>
  <c r="P29" i="8"/>
  <c r="Y78" i="8"/>
  <c r="E24" i="9"/>
  <c r="H20" i="9"/>
  <c r="N24" i="9"/>
  <c r="D24" i="9"/>
  <c r="I24" i="9"/>
  <c r="M20" i="9"/>
  <c r="C24" i="9"/>
  <c r="O20" i="9"/>
  <c r="K20" i="9"/>
  <c r="G20" i="9"/>
  <c r="J24" i="9"/>
  <c r="P20" i="9"/>
  <c r="D100" i="8" l="1"/>
  <c r="D125" i="8" s="1"/>
  <c r="M100" i="8"/>
  <c r="M125" i="8" s="1"/>
  <c r="M29" i="8"/>
  <c r="Q77" i="9" a="1"/>
  <c r="Q77" i="9" s="1"/>
  <c r="Q74" i="9"/>
  <c r="Q75" i="9" a="1"/>
  <c r="Q75" i="9" s="1"/>
  <c r="Q76" i="9" a="1"/>
  <c r="Q76" i="9" s="1"/>
  <c r="C125" i="8"/>
  <c r="U100" i="8"/>
  <c r="L24" i="9"/>
  <c r="G24" i="9"/>
  <c r="K24" i="9"/>
  <c r="H24" i="9"/>
  <c r="D77" i="9" a="1"/>
  <c r="D77" i="9" s="1"/>
  <c r="D76" i="9" a="1"/>
  <c r="D76" i="9" s="1"/>
  <c r="D28" i="9"/>
  <c r="D34" i="9"/>
  <c r="D43" i="9" s="1"/>
  <c r="D73" i="9"/>
  <c r="D74" i="9"/>
  <c r="E76" i="9" a="1"/>
  <c r="E76" i="9" s="1"/>
  <c r="E77" i="9" a="1"/>
  <c r="E77" i="9" s="1"/>
  <c r="E28" i="9"/>
  <c r="E74" i="9"/>
  <c r="E34" i="9"/>
  <c r="E43" i="9" s="1"/>
  <c r="E73" i="9"/>
  <c r="L28" i="9"/>
  <c r="L34" i="9"/>
  <c r="L43" i="9" s="1"/>
  <c r="P24" i="9"/>
  <c r="O24" i="9"/>
  <c r="J34" i="9"/>
  <c r="J43" i="9" s="1"/>
  <c r="J28" i="9"/>
  <c r="I34" i="9"/>
  <c r="I43" i="9" s="1"/>
  <c r="I28" i="9"/>
  <c r="M24" i="9"/>
  <c r="C77" i="9" a="1"/>
  <c r="C77" i="9" s="1"/>
  <c r="C34" i="9"/>
  <c r="C28" i="9"/>
  <c r="C76" i="9" a="1"/>
  <c r="C76" i="9" s="1"/>
  <c r="C74" i="9"/>
  <c r="C73" i="9"/>
  <c r="N28" i="9"/>
  <c r="N34" i="9"/>
  <c r="N43" i="9" s="1"/>
  <c r="V100" i="8" l="1"/>
  <c r="T100" i="8"/>
  <c r="K34" i="9"/>
  <c r="K43" i="9" s="1"/>
  <c r="U43" i="9" s="1"/>
  <c r="U44" i="9" s="1"/>
  <c r="K28" i="9"/>
  <c r="E44" i="9"/>
  <c r="D44" i="9"/>
  <c r="O34" i="9"/>
  <c r="O43" i="9" s="1"/>
  <c r="O28" i="9"/>
  <c r="H34" i="9"/>
  <c r="H43" i="9" s="1"/>
  <c r="H28" i="9"/>
  <c r="C44" i="9"/>
  <c r="M28" i="9"/>
  <c r="M34" i="9"/>
  <c r="M43" i="9" s="1"/>
  <c r="N44" i="9"/>
  <c r="G34" i="9"/>
  <c r="G28" i="9"/>
  <c r="P28" i="9"/>
  <c r="P34" i="9"/>
  <c r="P43" i="9" s="1"/>
  <c r="Y43" i="9" l="1"/>
  <c r="Y44" i="9" s="1"/>
  <c r="T43" i="9"/>
  <c r="T44" i="9" s="1"/>
  <c r="S43" i="9"/>
  <c r="S44" i="9" s="1"/>
  <c r="W43" i="9"/>
  <c r="W44" i="9" s="1"/>
  <c r="X43" i="9"/>
  <c r="X44" i="9" s="1"/>
  <c r="V43" i="9"/>
  <c r="V44" i="9" s="1"/>
  <c r="Z43" i="9"/>
  <c r="Z44" i="9" s="1"/>
  <c r="O44" i="9"/>
  <c r="P44" i="9"/>
  <c r="M44" i="9"/>
  <c r="L44" i="9"/>
  <c r="G44" i="9"/>
  <c r="I44" i="9"/>
  <c r="J44" i="9"/>
  <c r="H44" i="9" l="1"/>
  <c r="K44" i="9"/>
  <c r="C121" i="8" l="1"/>
  <c r="C126" i="8" s="1"/>
  <c r="C128" i="8" s="1"/>
  <c r="D119" i="8" l="1"/>
  <c r="D121" i="8" l="1"/>
  <c r="D126" i="8" l="1"/>
  <c r="D128" i="8" s="1"/>
  <c r="E119" i="8" l="1"/>
  <c r="E121" i="8" s="1"/>
  <c r="E126" i="8" s="1"/>
  <c r="G121" i="8"/>
  <c r="G126" i="8" s="1"/>
  <c r="G128" i="8" s="1"/>
  <c r="E128" i="8" l="1"/>
  <c r="H119" i="8"/>
  <c r="H121" i="8" s="1"/>
  <c r="H126" i="8" s="1"/>
  <c r="H128" i="8" l="1"/>
  <c r="I119" i="8"/>
  <c r="I121" i="8" s="1"/>
  <c r="I126" i="8" s="1"/>
  <c r="I128" i="8" s="1"/>
  <c r="J119" i="8" l="1"/>
  <c r="J121" i="8" s="1"/>
  <c r="J126" i="8" s="1"/>
  <c r="J128" i="8" s="1"/>
  <c r="K119" i="8" l="1"/>
  <c r="K121" i="8" s="1"/>
  <c r="K126" i="8" s="1"/>
  <c r="K128" i="8" s="1"/>
  <c r="L119" i="8" l="1"/>
  <c r="L121" i="8" s="1"/>
  <c r="L126" i="8" s="1"/>
  <c r="L128" i="8" s="1"/>
  <c r="M119" i="8" l="1"/>
  <c r="M121" i="8" s="1"/>
  <c r="M126" i="8" s="1"/>
  <c r="M128" i="8" s="1"/>
  <c r="N119" i="8" l="1"/>
  <c r="N121" i="8" s="1"/>
  <c r="O11" i="8" l="1"/>
  <c r="O14" i="8" l="1"/>
  <c r="O12" i="10"/>
  <c r="O15" i="8" l="1"/>
  <c r="O20" i="8"/>
  <c r="O24" i="8" s="1"/>
  <c r="O28" i="8" s="1"/>
  <c r="O86" i="8" s="1"/>
  <c r="O32" i="8" l="1"/>
  <c r="O35" i="8"/>
  <c r="O21" i="8"/>
  <c r="O25" i="8"/>
  <c r="O29" i="8" l="1"/>
  <c r="O100" i="8" l="1"/>
  <c r="O125" i="8" s="1"/>
  <c r="N11" i="8"/>
  <c r="N14" i="8" l="1"/>
  <c r="N12" i="10"/>
  <c r="N15" i="8" l="1"/>
  <c r="N20" i="8"/>
  <c r="N24" i="8" s="1"/>
  <c r="N28" i="8" s="1"/>
  <c r="N86" i="8" s="1"/>
  <c r="N32" i="8" l="1"/>
  <c r="N35" i="8"/>
  <c r="N21" i="8"/>
  <c r="N25" i="8"/>
  <c r="N29" i="8" l="1"/>
  <c r="Z100" i="8" l="1"/>
  <c r="AB100" i="8" s="1"/>
  <c r="AB86" i="8"/>
  <c r="W100" i="8"/>
  <c r="X100" i="8"/>
  <c r="N100" i="8"/>
  <c r="N125" i="8" s="1"/>
  <c r="N126" i="8" l="1"/>
  <c r="N128" i="8" s="1"/>
  <c r="Y100" i="8"/>
  <c r="O119" i="8" l="1"/>
  <c r="O121" i="8" s="1"/>
  <c r="O126" i="8" s="1"/>
  <c r="O128" i="8" s="1"/>
  <c r="P119" i="8" l="1"/>
  <c r="P121" i="8" s="1"/>
  <c r="P126" i="8" s="1"/>
  <c r="P128" i="8" s="1"/>
  <c r="S121" i="8"/>
  <c r="S126" i="8" s="1"/>
  <c r="S128" i="8" s="1"/>
  <c r="T119" i="8" l="1"/>
  <c r="T121" i="8" s="1"/>
  <c r="T126" i="8" s="1"/>
  <c r="Q119" i="8"/>
  <c r="Q121" i="8" s="1"/>
  <c r="Q126" i="8" s="1"/>
  <c r="T128" i="8" l="1"/>
  <c r="U119" i="8"/>
  <c r="U121" i="8" s="1"/>
  <c r="U126" i="8" s="1"/>
  <c r="Q128" i="8"/>
  <c r="U128" i="8" l="1"/>
  <c r="V119" i="8"/>
  <c r="V121" i="8" s="1"/>
  <c r="V126" i="8" s="1"/>
  <c r="V128" i="8" l="1"/>
  <c r="W119" i="8"/>
  <c r="W121" i="8" s="1"/>
  <c r="W126" i="8" s="1"/>
  <c r="W128" i="8" l="1"/>
  <c r="X119" i="8"/>
  <c r="X121" i="8" s="1"/>
  <c r="X126" i="8" s="1"/>
  <c r="X128" i="8" l="1"/>
  <c r="Y119" i="8"/>
  <c r="Y121" i="8" s="1"/>
  <c r="Y126" i="8" s="1"/>
  <c r="Y128" i="8" l="1"/>
  <c r="Z119" i="8"/>
  <c r="Z121" i="8" s="1"/>
  <c r="Z126" i="8" s="1"/>
  <c r="Z128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<sst xmlns="http://schemas.openxmlformats.org/spreadsheetml/2006/main" count="268" uniqueCount="189">
  <si>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</si>
  <si>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</si>
  <si>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</si>
  <si>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</si>
  <si>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</si>
  <si>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</si>
  <si>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</si>
  <si>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</si>
  <si>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</si>
  <si>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</si>
  <si>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</si>
  <si>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</si>
  <si>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</si>
  <si>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</si>
  <si>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</si>
  <si>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</si>
  <si>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</si>
  <si>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</si>
  <si>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</si>
  <si>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</si>
  <si>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</si>
  <si>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</si>
  <si>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</si>
  <si>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</si>
  <si>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</si>
  <si>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</si>
  <si>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</si>
  <si>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</si>
  <si>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</si>
  <si>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</si>
  <si>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</si>
  <si>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</si>
  <si>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</si>
  <si>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</si>
  <si>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</si>
  <si>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</si>
  <si>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</si>
  <si>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</si>
  <si>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</si>
  <si>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</si>
  <si>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</si>
  <si>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</si>
  <si>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</si>
  <si>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</si>
  <si>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</si>
  <si>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</si>
  <si>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</si>
  <si>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</si>
  <si>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</si>
  <si>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</si>
  <si>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</si>
  <si>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</si>
  <si>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</si>
  <si>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</si>
  <si>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</si>
  <si>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</si>
  <si>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</si>
  <si>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</si>
  <si>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</si>
  <si>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</si>
  <si>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</si>
  <si>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</si>
  <si>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</si>
  <si>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</si>
  <si>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</si>
  <si>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</si>
  <si>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</si>
  <si>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</si>
  <si>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</si>
  <si>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</si>
  <si>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</si>
  <si>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</si>
  <si>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</si>
  <si>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</si>
  <si>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</si>
  <si>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</si>
  <si>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</si>
  <si>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</si>
  <si>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</si>
  <si>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</si>
  <si>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</si>
  <si>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</si>
  <si>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</si>
  <si>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</si>
  <si>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</si>
  <si>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</si>
  <si>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</si>
  <si>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</si>
  <si>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</si>
  <si>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</si>
  <si>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</si>
  <si>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</si>
  <si>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</si>
  <si>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</si>
  <si>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</si>
  <si>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</si>
  <si>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</si>
  <si>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</si>
  <si>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</si>
  <si>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</si>
  <si>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</si>
  <si>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</si>
  <si>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Goodwill</t>
  </si>
  <si>
    <t xml:space="preserve">Income taxes paid </t>
  </si>
  <si>
    <t>(-) Cost of Sales</t>
  </si>
  <si>
    <t>(+) Stock-Based Compensation</t>
  </si>
  <si>
    <t>Accounts Receivable</t>
  </si>
  <si>
    <t>Debt Issuance / (Repayment)</t>
  </si>
  <si>
    <t>Common Equity Issuance / (Buyback)</t>
  </si>
  <si>
    <t>Earnings before income taxes (EBT)</t>
  </si>
  <si>
    <t>EBT Margin (%)</t>
  </si>
  <si>
    <t>($ In Millions)</t>
  </si>
  <si>
    <t>Revenue by reportable segment</t>
  </si>
  <si>
    <t>Revenue Segment Anaysis</t>
  </si>
  <si>
    <t>Variance  Check</t>
  </si>
  <si>
    <t>Cost Of Sales</t>
  </si>
  <si>
    <t>Sales &amp; Marketing</t>
  </si>
  <si>
    <t>Other Income</t>
  </si>
  <si>
    <t>U.S. Revenues</t>
  </si>
  <si>
    <t>Marketable Securities</t>
  </si>
  <si>
    <t xml:space="preserve">Rest of World </t>
  </si>
  <si>
    <t>KPIs</t>
  </si>
  <si>
    <t>Total DAUs</t>
  </si>
  <si>
    <t xml:space="preserve">Logged-in DAUs </t>
  </si>
  <si>
    <t xml:space="preserve">Logged-out DAUs </t>
  </si>
  <si>
    <t xml:space="preserve">DAUs </t>
  </si>
  <si>
    <t xml:space="preserve">WAUs </t>
  </si>
  <si>
    <t>General &amp; Administrative</t>
  </si>
  <si>
    <t>Reddit Inc (NYSE: RDDT)</t>
  </si>
  <si>
    <t xml:space="preserve">Cash and cash equivalents	</t>
  </si>
  <si>
    <t xml:space="preserve">Accounts receivable, net	</t>
  </si>
  <si>
    <t xml:space="preserve">Prepaid expenses and other current assets	</t>
  </si>
  <si>
    <t xml:space="preserve">Property and equipment, net	</t>
  </si>
  <si>
    <t xml:space="preserve">Operating lease right-of-use assets, net	</t>
  </si>
  <si>
    <t xml:space="preserve">Intangible assets, net	</t>
  </si>
  <si>
    <t xml:space="preserve">Other noncurrent assets	</t>
  </si>
  <si>
    <t xml:space="preserve">Accounts payable	</t>
  </si>
  <si>
    <t xml:space="preserve">Operating lease liabilities	</t>
  </si>
  <si>
    <t xml:space="preserve">Accrued expenses and other current liabilities	</t>
  </si>
  <si>
    <t xml:space="preserve">Operating lease liabilities, noncurrent	</t>
  </si>
  <si>
    <t xml:space="preserve">Other noncurrent liabilities	</t>
  </si>
  <si>
    <t>Convertible preferred stock</t>
  </si>
  <si>
    <t>Preferred stock</t>
  </si>
  <si>
    <t>Class A common stock</t>
  </si>
  <si>
    <t>Class B common stock</t>
  </si>
  <si>
    <t>Class C common stock</t>
  </si>
  <si>
    <t xml:space="preserve">Additional paid-in capital	</t>
  </si>
  <si>
    <t>Accumulated OCI</t>
  </si>
  <si>
    <t xml:space="preserve">Accumulated deficit	</t>
  </si>
  <si>
    <t xml:space="preserve">Research and development	</t>
  </si>
  <si>
    <t>Amortization of premium on marketable securities</t>
  </si>
  <si>
    <t>Accrued expenses and other liabilities</t>
  </si>
  <si>
    <t>Accounts payable</t>
  </si>
  <si>
    <t>Operating lease right-of-use assets and liabilities</t>
  </si>
  <si>
    <t>Prepaid expenses and other assets</t>
  </si>
  <si>
    <t>Accounts receivable</t>
  </si>
  <si>
    <t>Other adjustments</t>
  </si>
  <si>
    <t>Stock-based compensation expense</t>
  </si>
  <si>
    <t>Non-cash operating lease cost</t>
  </si>
  <si>
    <t>Depreciation and amortization</t>
  </si>
  <si>
    <t>Purchases of property and equipment</t>
  </si>
  <si>
    <t xml:space="preserve">Proceeds from sale of cryptocurrency	</t>
  </si>
  <si>
    <t xml:space="preserve">Purchases of marketable securities	</t>
  </si>
  <si>
    <t xml:space="preserve">Maturities of marketable securities	</t>
  </si>
  <si>
    <t xml:space="preserve">Proceeds from sale of marketable securities	</t>
  </si>
  <si>
    <t xml:space="preserve">Cash paid for acquisitions, net of cash acquired	</t>
  </si>
  <si>
    <t xml:space="preserve">Other investing activities	</t>
  </si>
  <si>
    <t xml:space="preserve">Payments of deferred consideration and holdbacks for acquisitions	</t>
  </si>
  <si>
    <t xml:space="preserve">Other financing activities	</t>
  </si>
  <si>
    <t>Adjustments to reconcile net income (loss) to CFO</t>
  </si>
  <si>
    <t>Changes in Working Capital:</t>
  </si>
  <si>
    <t>Trends in User Metrics</t>
  </si>
  <si>
    <t>Daily ARPU</t>
  </si>
  <si>
    <t>Weekly ARPU</t>
  </si>
  <si>
    <t>Total WAUs</t>
  </si>
  <si>
    <t xml:space="preserve">Advertising revenue	</t>
  </si>
  <si>
    <t xml:space="preserve">Other revenue	</t>
  </si>
  <si>
    <t>(-) General &amp; Administrative</t>
  </si>
  <si>
    <t>(-) Sales &amp; Marketing</t>
  </si>
  <si>
    <t xml:space="preserve">(-) Research and development	</t>
  </si>
  <si>
    <t xml:space="preserve">(+/-) Proceeds / (Purchases) of marketable securities	</t>
  </si>
  <si>
    <t>(+/-) Debt Issuance / (Repayment)</t>
  </si>
  <si>
    <t>(+/-) Common Equity Issuance / (Buyback)</t>
  </si>
  <si>
    <t xml:space="preserve">(+/-) Payments of deferred consideration and holdbacks for acquisitions	</t>
  </si>
  <si>
    <t xml:space="preserve">(+/-) Changes in Other Investing Activities	</t>
  </si>
  <si>
    <t>Revolver Utilization: Outstanding L/Cs</t>
  </si>
  <si>
    <t>L/C Avaliability</t>
  </si>
  <si>
    <t xml:space="preserve">$500MM RCF </t>
  </si>
  <si>
    <t>($ In Millions, except per share)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</si>
</sst>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3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3" xfId="0" applyNumberFormat="1" applyFont="1" applyFill="1" applyBorder="1" applyAlignment="1">
      <alignment horizontal="right" vertical="center" wrapText="1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0" fontId="23" fillId="9" borderId="14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5" xfId="1" applyFont="1" applyBorder="1"/>
    <xf numFmtId="0" fontId="23" fillId="9" borderId="16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7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41" fontId="11" fillId="8" borderId="0" xfId="0" applyNumberFormat="1" applyFont="1" applyFill="1" applyAlignment="1">
      <alignment horizontal="right" vertical="center" wrapText="1"/>
    </xf>
    <xf numFmtId="41" fontId="11" fillId="0" borderId="12" xfId="0" applyNumberFormat="1" applyFont="1" applyBorder="1" applyAlignment="1">
      <alignment horizontal="right" vertical="top" wrapText="1"/>
    </xf>
    <xf numFmtId="41" fontId="11" fillId="8" borderId="0" xfId="0" applyNumberFormat="1" applyFont="1" applyFill="1" applyAlignment="1">
      <alignment horizontal="right" vertical="top" wrapText="1"/>
    </xf>
    <xf numFmtId="41" fontId="6" fillId="0" borderId="18" xfId="0" applyNumberFormat="1" applyFont="1" applyBorder="1" applyAlignment="1">
      <alignment horizontal="right" vertical="top" wrapText="1"/>
    </xf>
    <xf numFmtId="164" fontId="8" fillId="3" borderId="2" xfId="2" applyNumberFormat="1" applyFont="1" applyFill="1" applyBorder="1" applyAlignment="1">
      <alignment horizontal="right" vertical="top" wrapText="1"/>
    </xf>
    <xf numFmtId="41" fontId="6" fillId="0" borderId="0" xfId="0" applyNumberFormat="1" applyFont="1"/>
    <xf numFmtId="0" fontId="30" fillId="0" borderId="0" xfId="0" applyFont="1" applyAlignment="1">
      <alignment horizontal="right" wrapText="1"/>
    </xf>
    <xf numFmtId="41" fontId="11" fillId="0" borderId="0" xfId="0" applyNumberFormat="1" applyFont="1" applyAlignment="1">
      <alignment vertical="center"/>
    </xf>
    <xf numFmtId="41" fontId="10" fillId="0" borderId="0" xfId="0" applyNumberFormat="1" applyFont="1" applyAlignment="1">
      <alignment vertical="center"/>
    </xf>
    <xf numFmtId="169" fontId="4" fillId="8" borderId="0" xfId="0" applyNumberFormat="1" applyFont="1" applyFill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B149"/>
  <sheetViews>
    <sheetView showGridLines="0" tabSelected="1" zoomScale="115" zoomScaleNormal="115" workbookViewId="0">
      <selection activeCell="B5" sqref="B5"/>
    </sheetView>
  </sheetViews>
  <sheetFormatPr defaultRowHeight="12" outlineLevelCol="2"/>
  <cols>
    <col min="1" max="1" width="1.625" style="5" bestFit="1" customWidth="1"/>
    <col min="2" max="2" width="36.25" style="5" customWidth="1"/>
    <col min="3" max="5" width="9" style="5" bestFit="1" customWidth="1"/>
    <col min="6" max="6" width="1.5" style="5" customWidth="1"/>
    <col min="7" max="10" width="8.875" style="5" hidden="1" customWidth="1" outlineLevel="2"/>
    <col min="11" max="12" width="8.875" style="5" hidden="1" customWidth="1" outlineLevel="1"/>
    <col min="13" max="13" width="9.125" style="5" bestFit="1" customWidth="1" collapsed="1"/>
    <col min="14" max="17" width="8.875" style="5" bestFit="1" customWidth="1"/>
    <col min="18" max="18" width="1.5" style="5" customWidth="1"/>
    <col min="19" max="21" width="8.75" style="5" hidden="1" customWidth="1" outlineLevel="1"/>
    <col min="22" max="22" width="9" style="5" bestFit="1" customWidth="1" collapsed="1"/>
    <col min="23" max="25" width="9" style="5" hidden="1" customWidth="1" outlineLevel="1"/>
    <col min="26" max="26" width="9" style="5" bestFit="1" customWidth="1" collapsed="1"/>
    <col min="27" max="27" width="1.25" style="5" customWidth="1"/>
    <col min="28" max="28" width="8" style="5" bestFit="1" customWidth="1"/>
    <col min="29" max="29" width="1.375" style="5" customWidth="1"/>
    <col min="30" max="16384" width="9" style="5"/>
  </cols>
  <sheetData>
    <row r="2" spans="1:28" ht="12.75" customHeight="1">
      <c r="B2" s="1" t="s">
        <v>128</v>
      </c>
      <c r="C2" s="101"/>
      <c r="D2" s="101"/>
      <c r="E2" s="101"/>
      <c r="F2" s="3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3"/>
      <c r="S2" s="101"/>
      <c r="T2" s="101"/>
      <c r="U2" s="101"/>
      <c r="V2" s="101"/>
      <c r="W2" s="101"/>
      <c r="X2" s="101"/>
      <c r="Y2" s="101"/>
      <c r="Z2" s="101"/>
      <c r="AA2" s="3"/>
      <c r="AB2" s="1"/>
    </row>
    <row r="3" spans="1:28" ht="12.75" customHeight="1">
      <c r="B3" s="6" t="s">
        <v>72</v>
      </c>
      <c r="C3" s="7"/>
      <c r="D3" s="7"/>
      <c r="E3" s="7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4"/>
      <c r="T3" s="4"/>
      <c r="U3" s="4"/>
      <c r="V3" s="4"/>
      <c r="W3" s="4"/>
      <c r="X3" s="4"/>
      <c r="Y3" s="4"/>
      <c r="Z3" s="4"/>
      <c r="AA3" s="3"/>
      <c r="AB3" s="1"/>
    </row>
    <row r="4" spans="1:28" ht="12.75" customHeight="1">
      <c r="B4" s="6" t="s">
        <v>188</v>
      </c>
      <c r="C4" s="3"/>
      <c r="D4" s="85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1"/>
    </row>
    <row r="6" spans="1:28" ht="12.75" customHeight="1">
      <c r="A6" s="5" t="s">
        <v>16</v>
      </c>
      <c r="B6" s="1" t="s">
        <v>70</v>
      </c>
      <c r="C6" s="2"/>
      <c r="D6" s="2"/>
      <c r="E6" s="2"/>
      <c r="F6" s="3"/>
      <c r="G6" s="2" t="s">
        <v>1</v>
      </c>
      <c r="H6" s="2"/>
      <c r="I6" s="2"/>
      <c r="J6" s="2"/>
      <c r="K6" s="2"/>
      <c r="L6" s="2"/>
      <c r="M6" s="2" t="s">
        <v>1</v>
      </c>
      <c r="N6" s="2"/>
      <c r="O6" s="2"/>
      <c r="P6" s="2"/>
      <c r="Q6" s="2"/>
      <c r="R6" s="3"/>
      <c r="S6" s="2"/>
      <c r="T6" s="2"/>
      <c r="U6" s="2" t="s">
        <v>10</v>
      </c>
      <c r="V6" s="2" t="s">
        <v>10</v>
      </c>
      <c r="W6" s="2"/>
      <c r="X6" s="2"/>
      <c r="Y6" s="2"/>
      <c r="Z6" s="2"/>
      <c r="AA6" s="38"/>
      <c r="AB6" s="159" t="s">
        <v>22</v>
      </c>
    </row>
    <row r="7" spans="1:28" ht="12.75" customHeight="1">
      <c r="B7" s="6" t="s">
        <v>73</v>
      </c>
      <c r="C7" s="7">
        <v>2022</v>
      </c>
      <c r="D7" s="7">
        <v>2023</v>
      </c>
      <c r="E7" s="7">
        <v>2024</v>
      </c>
      <c r="F7" s="3"/>
      <c r="G7" s="4" t="s">
        <v>6</v>
      </c>
      <c r="H7" s="4" t="s">
        <v>7</v>
      </c>
      <c r="I7" s="4" t="s">
        <v>8</v>
      </c>
      <c r="J7" s="4" t="s">
        <v>9</v>
      </c>
      <c r="K7" s="4" t="s">
        <v>2</v>
      </c>
      <c r="L7" s="4" t="s">
        <v>3</v>
      </c>
      <c r="M7" s="4" t="s">
        <v>4</v>
      </c>
      <c r="N7" s="4" t="s">
        <v>5</v>
      </c>
      <c r="O7" s="4" t="s">
        <v>24</v>
      </c>
      <c r="P7" s="4" t="s">
        <v>25</v>
      </c>
      <c r="Q7" s="4" t="s">
        <v>60</v>
      </c>
      <c r="R7" s="3"/>
      <c r="S7" s="4" t="str">
        <f t="shared" ref="S7:Z8" si="0">J7</f>
        <v>4Q23</v>
      </c>
      <c r="T7" s="4" t="str">
        <f t="shared" si="0"/>
        <v>1Q24</v>
      </c>
      <c r="U7" s="4" t="str">
        <f t="shared" si="0"/>
        <v>2Q24</v>
      </c>
      <c r="V7" s="4" t="str">
        <f t="shared" si="0"/>
        <v>3Q24</v>
      </c>
      <c r="W7" s="4" t="str">
        <f t="shared" si="0"/>
        <v>4Q24</v>
      </c>
      <c r="X7" s="4" t="str">
        <f t="shared" si="0"/>
        <v>1Q25</v>
      </c>
      <c r="Y7" s="4" t="str">
        <f t="shared" si="0"/>
        <v>2Q25</v>
      </c>
      <c r="Z7" s="4" t="str">
        <f t="shared" si="0"/>
        <v>3Q25</v>
      </c>
      <c r="AA7" s="38"/>
      <c r="AB7" s="159"/>
    </row>
    <row r="8" spans="1:28" ht="12.75" customHeight="1">
      <c r="B8" s="6" t="s">
        <v>74</v>
      </c>
      <c r="C8" s="3">
        <v>44926</v>
      </c>
      <c r="D8" s="85">
        <v>45291</v>
      </c>
      <c r="E8" s="85">
        <v>45657</v>
      </c>
      <c r="F8" s="3"/>
      <c r="G8" s="3">
        <v>45016</v>
      </c>
      <c r="H8" s="3">
        <v>45107</v>
      </c>
      <c r="I8" s="3">
        <v>45199</v>
      </c>
      <c r="J8" s="3">
        <f>D8</f>
        <v>45291</v>
      </c>
      <c r="K8" s="3">
        <v>45382</v>
      </c>
      <c r="L8" s="3">
        <v>45473</v>
      </c>
      <c r="M8" s="3">
        <v>45565</v>
      </c>
      <c r="N8" s="3">
        <f>E8</f>
        <v>45657</v>
      </c>
      <c r="O8" s="3">
        <v>45747</v>
      </c>
      <c r="P8" s="3">
        <v>45838</v>
      </c>
      <c r="Q8" s="3">
        <v>45930</v>
      </c>
      <c r="R8" s="3"/>
      <c r="S8" s="3">
        <f t="shared" si="0"/>
        <v>45291</v>
      </c>
      <c r="T8" s="3">
        <f t="shared" si="0"/>
        <v>45382</v>
      </c>
      <c r="U8" s="3">
        <f t="shared" si="0"/>
        <v>45473</v>
      </c>
      <c r="V8" s="3">
        <f t="shared" si="0"/>
        <v>45565</v>
      </c>
      <c r="W8" s="3">
        <f t="shared" si="0"/>
        <v>45657</v>
      </c>
      <c r="X8" s="3">
        <f t="shared" si="0"/>
        <v>45747</v>
      </c>
      <c r="Y8" s="3">
        <f t="shared" si="0"/>
        <v>45838</v>
      </c>
      <c r="Z8" s="3">
        <f t="shared" si="0"/>
        <v>45930</v>
      </c>
      <c r="AA8" s="38"/>
      <c r="AB8" s="159"/>
    </row>
    <row r="9" spans="1:28" ht="5.0999999999999996" customHeight="1">
      <c r="AB9" s="100"/>
    </row>
    <row r="10" spans="1:28" ht="12.75" customHeight="1">
      <c r="B10" s="9" t="s">
        <v>56</v>
      </c>
      <c r="C10" s="95">
        <v>666701</v>
      </c>
      <c r="D10" s="82">
        <v>804029</v>
      </c>
      <c r="E10" s="82">
        <v>1300205</v>
      </c>
      <c r="F10" s="11"/>
      <c r="G10" s="82">
        <v>163740</v>
      </c>
      <c r="H10" s="82">
        <v>183031</v>
      </c>
      <c r="I10" s="82">
        <v>207508</v>
      </c>
      <c r="J10" s="32">
        <f>SUM(D10-SUM(G10:I10))</f>
        <v>249750</v>
      </c>
      <c r="K10" s="82">
        <v>242963</v>
      </c>
      <c r="L10" s="82">
        <v>281184</v>
      </c>
      <c r="M10" s="82">
        <v>348351</v>
      </c>
      <c r="N10" s="32">
        <f>SUM(E10-SUM(K10:M10))</f>
        <v>427707</v>
      </c>
      <c r="O10" s="82">
        <v>392361</v>
      </c>
      <c r="P10" s="82">
        <v>499627</v>
      </c>
      <c r="Q10" s="82">
        <v>584911</v>
      </c>
      <c r="S10" s="32">
        <f t="shared" ref="S10" si="1">SUM(G10:J10)</f>
        <v>804029</v>
      </c>
      <c r="T10" s="32">
        <f t="shared" ref="T10" si="2">SUM(H10:K10)</f>
        <v>883252</v>
      </c>
      <c r="U10" s="32">
        <f t="shared" ref="U10" si="3">SUM(I10:L10)</f>
        <v>981405</v>
      </c>
      <c r="V10" s="32">
        <f t="shared" ref="V10" si="4">SUM(J10:M10)</f>
        <v>1122248</v>
      </c>
      <c r="W10" s="32">
        <f t="shared" ref="W10" si="5">SUM(K10:N10)</f>
        <v>1300205</v>
      </c>
      <c r="X10" s="32">
        <f t="shared" ref="X10" si="6">SUM(L10:O10)</f>
        <v>1449603</v>
      </c>
      <c r="Y10" s="32">
        <f t="shared" ref="Y10" si="7">SUM(M10:P10)</f>
        <v>1668046</v>
      </c>
      <c r="Z10" s="32">
        <f t="shared" ref="S10:Z10" si="8">SUM(N10:Q10)</f>
        <v>1904606</v>
      </c>
      <c r="AA10" s="40"/>
      <c r="AB10" s="12">
        <f>SUM(Z10/V10)-1</f>
        <v>0.69713467967864506</v>
      </c>
    </row>
    <row r="11" spans="1:28" ht="12.75" customHeight="1">
      <c r="B11" s="13" t="s">
        <v>12</v>
      </c>
      <c r="C11" s="14">
        <f t="shared" ref="C11:E11" si="9">+SUM(C10:C10)</f>
        <v>666701</v>
      </c>
      <c r="D11" s="14">
        <f t="shared" si="9"/>
        <v>804029</v>
      </c>
      <c r="E11" s="14">
        <f t="shared" si="9"/>
        <v>1300205</v>
      </c>
      <c r="F11" s="11"/>
      <c r="G11" s="14">
        <f t="shared" ref="G11:P11" si="10">+SUM(G10:G10)</f>
        <v>163740</v>
      </c>
      <c r="H11" s="14">
        <f t="shared" si="10"/>
        <v>183031</v>
      </c>
      <c r="I11" s="14">
        <f t="shared" si="10"/>
        <v>207508</v>
      </c>
      <c r="J11" s="14">
        <f t="shared" si="10"/>
        <v>249750</v>
      </c>
      <c r="K11" s="14">
        <f t="shared" si="10"/>
        <v>242963</v>
      </c>
      <c r="L11" s="14">
        <f t="shared" si="10"/>
        <v>281184</v>
      </c>
      <c r="M11" s="14">
        <f t="shared" si="10"/>
        <v>348351</v>
      </c>
      <c r="N11" s="14">
        <f t="shared" si="10"/>
        <v>427707</v>
      </c>
      <c r="O11" s="14">
        <f t="shared" si="10"/>
        <v>392361</v>
      </c>
      <c r="P11" s="14">
        <f t="shared" si="10"/>
        <v>499627</v>
      </c>
      <c r="Q11" s="14">
        <f>+SUM(Q10:Q10)</f>
        <v>584911</v>
      </c>
      <c r="S11" s="14">
        <f t="shared" ref="S11:Y11" si="11">+SUM(S10:S10)</f>
        <v>804029</v>
      </c>
      <c r="T11" s="14">
        <f t="shared" si="11"/>
        <v>883252</v>
      </c>
      <c r="U11" s="14">
        <f t="shared" si="11"/>
        <v>981405</v>
      </c>
      <c r="V11" s="14">
        <f t="shared" si="11"/>
        <v>1122248</v>
      </c>
      <c r="W11" s="14">
        <f t="shared" si="11"/>
        <v>1300205</v>
      </c>
      <c r="X11" s="14">
        <f t="shared" si="11"/>
        <v>1449603</v>
      </c>
      <c r="Y11" s="14">
        <f t="shared" si="11"/>
        <v>1668046</v>
      </c>
      <c r="Z11" s="14">
        <f>+SUM(Z10:Z10)</f>
        <v>1904606</v>
      </c>
      <c r="AA11" s="40"/>
      <c r="AB11" s="15">
        <f>SUM(Z11/V11)-1</f>
        <v>0.69713467967864506</v>
      </c>
    </row>
    <row r="12" spans="1:28" s="20" customFormat="1" ht="5.0999999999999996" customHeight="1">
      <c r="B12" s="18"/>
      <c r="C12" s="19"/>
      <c r="D12" s="19"/>
      <c r="E12" s="19"/>
      <c r="G12" s="21"/>
      <c r="H12" s="21"/>
      <c r="I12" s="21"/>
      <c r="J12" s="21"/>
      <c r="K12" s="21"/>
      <c r="L12" s="21"/>
      <c r="M12" s="21"/>
      <c r="N12" s="21"/>
      <c r="O12" s="22"/>
      <c r="P12" s="21"/>
      <c r="Q12" s="21"/>
      <c r="AB12" s="75"/>
    </row>
    <row r="13" spans="1:28" s="20" customFormat="1">
      <c r="B13" s="9" t="s">
        <v>115</v>
      </c>
      <c r="C13" s="82">
        <v>-104799</v>
      </c>
      <c r="D13" s="82">
        <v>-111011</v>
      </c>
      <c r="E13" s="82">
        <v>-123595</v>
      </c>
      <c r="F13" s="32"/>
      <c r="G13" s="82">
        <v>-26863</v>
      </c>
      <c r="H13" s="82">
        <v>-28836</v>
      </c>
      <c r="I13" s="82">
        <v>-26395</v>
      </c>
      <c r="J13" s="32">
        <f t="shared" ref="J13" si="12">SUM(D13-SUM(G13:I13))</f>
        <v>-28917</v>
      </c>
      <c r="K13" s="82">
        <v>-27616</v>
      </c>
      <c r="L13" s="82">
        <v>-29501</v>
      </c>
      <c r="M13" s="82">
        <v>-34633</v>
      </c>
      <c r="N13" s="32">
        <f t="shared" ref="N13" si="13">SUM(E13-SUM(K13:M13))</f>
        <v>-31845</v>
      </c>
      <c r="O13" s="82">
        <v>-37089</v>
      </c>
      <c r="P13" s="82">
        <v>-45900</v>
      </c>
      <c r="Q13" s="82">
        <v>-52509</v>
      </c>
      <c r="R13" s="5"/>
      <c r="S13" s="32">
        <f t="shared" ref="S13" si="14">SUM(G13:J13)</f>
        <v>-111011</v>
      </c>
      <c r="T13" s="32">
        <f t="shared" ref="T13" si="15">SUM(H13:K13)</f>
        <v>-111764</v>
      </c>
      <c r="U13" s="32">
        <f t="shared" ref="U13" si="16">SUM(I13:L13)</f>
        <v>-112429</v>
      </c>
      <c r="V13" s="32">
        <f t="shared" ref="V13" si="17">SUM(J13:M13)</f>
        <v>-120667</v>
      </c>
      <c r="W13" s="32">
        <f t="shared" ref="W13" si="18">SUM(K13:N13)</f>
        <v>-123595</v>
      </c>
      <c r="X13" s="32">
        <f t="shared" ref="X13" si="19">SUM(L13:O13)</f>
        <v>-133068</v>
      </c>
      <c r="Y13" s="32">
        <f t="shared" ref="Y13" si="20">SUM(M13:P13)</f>
        <v>-149467</v>
      </c>
      <c r="Z13" s="32">
        <f t="shared" ref="Z13" si="21">SUM(N13:Q13)</f>
        <v>-167343</v>
      </c>
      <c r="AA13" s="11"/>
      <c r="AB13" s="75">
        <f t="shared" ref="AB13" si="22">SUM(Z13/V13)-1</f>
        <v>0.38681661100383691</v>
      </c>
    </row>
    <row r="14" spans="1:28" s="20" customFormat="1">
      <c r="B14" s="25" t="s">
        <v>20</v>
      </c>
      <c r="C14" s="26">
        <f t="shared" ref="C14:E14" si="23">SUM(C11+C13)</f>
        <v>561902</v>
      </c>
      <c r="D14" s="26">
        <f t="shared" si="23"/>
        <v>693018</v>
      </c>
      <c r="E14" s="26">
        <f t="shared" si="23"/>
        <v>1176610</v>
      </c>
      <c r="F14" s="32"/>
      <c r="G14" s="26">
        <f t="shared" ref="G14" si="24">SUM(G11+G13)</f>
        <v>136877</v>
      </c>
      <c r="H14" s="26">
        <f t="shared" ref="H14" si="25">SUM(H11+H13)</f>
        <v>154195</v>
      </c>
      <c r="I14" s="26">
        <f t="shared" ref="I14" si="26">SUM(I11+I13)</f>
        <v>181113</v>
      </c>
      <c r="J14" s="26">
        <f t="shared" ref="J14" si="27">SUM(J11+J13)</f>
        <v>220833</v>
      </c>
      <c r="K14" s="26">
        <f t="shared" ref="K14" si="28">SUM(K11+K13)</f>
        <v>215347</v>
      </c>
      <c r="L14" s="26">
        <f t="shared" ref="L14" si="29">SUM(L11+L13)</f>
        <v>251683</v>
      </c>
      <c r="M14" s="26">
        <f t="shared" ref="M14" si="30">SUM(M11+M13)</f>
        <v>313718</v>
      </c>
      <c r="N14" s="26">
        <f t="shared" ref="N14" si="31">SUM(N11+N13)</f>
        <v>395862</v>
      </c>
      <c r="O14" s="26">
        <f t="shared" ref="O14" si="32">SUM(O11+O13)</f>
        <v>355272</v>
      </c>
      <c r="P14" s="26">
        <f t="shared" ref="P14" si="33">SUM(P11+P13)</f>
        <v>453727</v>
      </c>
      <c r="Q14" s="26">
        <f t="shared" ref="Q14" si="34">SUM(Q11+Q13)</f>
        <v>532402</v>
      </c>
      <c r="R14" s="5"/>
      <c r="S14" s="26">
        <f t="shared" ref="S14" si="35">SUM(S11+S13)</f>
        <v>693018</v>
      </c>
      <c r="T14" s="26">
        <f t="shared" ref="T14" si="36">SUM(T11+T13)</f>
        <v>771488</v>
      </c>
      <c r="U14" s="26">
        <f t="shared" ref="U14" si="37">SUM(U11+U13)</f>
        <v>868976</v>
      </c>
      <c r="V14" s="26">
        <f t="shared" ref="V14" si="38">SUM(V11+V13)</f>
        <v>1001581</v>
      </c>
      <c r="W14" s="26">
        <f t="shared" ref="W14" si="39">SUM(W11+W13)</f>
        <v>1176610</v>
      </c>
      <c r="X14" s="26">
        <f t="shared" ref="X14" si="40">SUM(X11+X13)</f>
        <v>1316535</v>
      </c>
      <c r="Y14" s="26">
        <f t="shared" ref="Y14" si="41">SUM(Y11+Y13)</f>
        <v>1518579</v>
      </c>
      <c r="Z14" s="26">
        <f t="shared" ref="Z14" si="42">SUM(Z11+Z13)</f>
        <v>1737263</v>
      </c>
      <c r="AA14" s="11"/>
      <c r="AB14" s="76">
        <f>SUM(Z14/V14)-1</f>
        <v>0.73452072273735225</v>
      </c>
    </row>
    <row r="15" spans="1:28" s="20" customFormat="1">
      <c r="B15" s="16" t="s">
        <v>29</v>
      </c>
      <c r="C15" s="17">
        <f t="shared" ref="C15:E15" si="43">C14/C11</f>
        <v>0.84280959530584176</v>
      </c>
      <c r="D15" s="17">
        <f t="shared" si="43"/>
        <v>0.86193159699463573</v>
      </c>
      <c r="E15" s="17">
        <f t="shared" si="43"/>
        <v>0.904941913006026</v>
      </c>
      <c r="F15" s="32"/>
      <c r="G15" s="17">
        <f t="shared" ref="G15" si="44">G14/G11</f>
        <v>0.83594112617564431</v>
      </c>
      <c r="H15" s="17">
        <f t="shared" ref="H15" si="45">H14/H11</f>
        <v>0.84245291781173681</v>
      </c>
      <c r="I15" s="17">
        <f t="shared" ref="I15" si="46">I14/I11</f>
        <v>0.87280008481600713</v>
      </c>
      <c r="J15" s="17">
        <f t="shared" ref="J15" si="47">J14/J11</f>
        <v>0.88421621621621627</v>
      </c>
      <c r="K15" s="17">
        <f t="shared" ref="K15" si="48">K14/K11</f>
        <v>0.88633660269259107</v>
      </c>
      <c r="L15" s="17">
        <f t="shared" ref="L15" si="49">L14/L11</f>
        <v>0.89508293501763969</v>
      </c>
      <c r="M15" s="17">
        <f t="shared" ref="M15" si="50">M14/M11</f>
        <v>0.90058016196307744</v>
      </c>
      <c r="N15" s="17">
        <f t="shared" ref="N15" si="51">N14/N11</f>
        <v>0.92554482390982606</v>
      </c>
      <c r="O15" s="17">
        <f t="shared" ref="O15" si="52">O14/O11</f>
        <v>0.90547225641692219</v>
      </c>
      <c r="P15" s="17">
        <f t="shared" ref="P15" si="53">P14/P11</f>
        <v>0.908131466073691</v>
      </c>
      <c r="Q15" s="17">
        <f t="shared" ref="Q15" si="54">Q14/Q11</f>
        <v>0.91022736792435088</v>
      </c>
      <c r="R15" s="5"/>
      <c r="S15" s="17">
        <f t="shared" ref="S15" si="55">S14/S11</f>
        <v>0.86193159699463573</v>
      </c>
      <c r="T15" s="17">
        <f t="shared" ref="T15" si="56">T14/T11</f>
        <v>0.87346306603324986</v>
      </c>
      <c r="U15" s="17">
        <f t="shared" ref="U15" si="57">U14/U11</f>
        <v>0.88544077113933595</v>
      </c>
      <c r="V15" s="17">
        <f t="shared" ref="V15" si="58">V14/V11</f>
        <v>0.89247742032064215</v>
      </c>
      <c r="W15" s="17">
        <f t="shared" ref="W15" si="59">W14/W11</f>
        <v>0.904941913006026</v>
      </c>
      <c r="X15" s="17">
        <f t="shared" ref="X15" si="60">X14/X11</f>
        <v>0.90820383235961843</v>
      </c>
      <c r="Y15" s="17">
        <f t="shared" ref="Y15" si="61">Y14/Y11</f>
        <v>0.91039395796039202</v>
      </c>
      <c r="Z15" s="17">
        <f t="shared" ref="Z15" si="62">Z14/Z11</f>
        <v>0.91213773347348481</v>
      </c>
      <c r="AA15" s="11"/>
      <c r="AB15" s="77">
        <f>SUM(Z15-V15)*1000</f>
        <v>19.660313152842669</v>
      </c>
    </row>
    <row r="16" spans="1:28" s="20" customFormat="1" ht="5.0999999999999996" customHeight="1">
      <c r="B16" s="18"/>
      <c r="C16" s="19"/>
      <c r="D16" s="19"/>
      <c r="E16" s="19"/>
      <c r="G16" s="21"/>
      <c r="H16" s="21"/>
      <c r="I16" s="21"/>
      <c r="J16" s="21"/>
      <c r="K16" s="21"/>
      <c r="L16" s="21"/>
      <c r="M16" s="21"/>
      <c r="N16" s="21"/>
      <c r="O16" s="22"/>
      <c r="P16" s="21"/>
      <c r="Q16" s="21"/>
      <c r="AB16" s="75"/>
    </row>
    <row r="17" spans="2:28" ht="12.75" customHeight="1">
      <c r="B17" s="9" t="s">
        <v>149</v>
      </c>
      <c r="C17" s="82">
        <v>-365164</v>
      </c>
      <c r="D17" s="82">
        <v>-438346</v>
      </c>
      <c r="E17" s="82">
        <v>-935152</v>
      </c>
      <c r="F17" s="32"/>
      <c r="G17" s="82">
        <v>-108767</v>
      </c>
      <c r="H17" s="82">
        <v>-109726</v>
      </c>
      <c r="I17" s="82">
        <v>-108285</v>
      </c>
      <c r="J17" s="32">
        <f t="shared" ref="J17:J19" si="63">SUM(D17-SUM(G17:I17))</f>
        <v>-111568</v>
      </c>
      <c r="K17" s="82">
        <v>-437030</v>
      </c>
      <c r="L17" s="82">
        <v>-142777</v>
      </c>
      <c r="M17" s="82">
        <v>-166701</v>
      </c>
      <c r="N17" s="32">
        <f t="shared" ref="N17:N19" si="64">SUM(E17-SUM(K17:M17))</f>
        <v>-188644</v>
      </c>
      <c r="O17" s="82">
        <v>-191271</v>
      </c>
      <c r="P17" s="82">
        <v>-196610</v>
      </c>
      <c r="Q17" s="82">
        <v>-196379</v>
      </c>
      <c r="S17" s="32">
        <f t="shared" ref="S17:S19" si="65">SUM(G17:J17)</f>
        <v>-438346</v>
      </c>
      <c r="T17" s="32">
        <f t="shared" ref="T17:T19" si="66">SUM(H17:K17)</f>
        <v>-766609</v>
      </c>
      <c r="U17" s="32">
        <f t="shared" ref="U17:U19" si="67">SUM(I17:L17)</f>
        <v>-799660</v>
      </c>
      <c r="V17" s="32">
        <f t="shared" ref="V17:V19" si="68">SUM(J17:M17)</f>
        <v>-858076</v>
      </c>
      <c r="W17" s="32">
        <f t="shared" ref="W17:W19" si="69">SUM(K17:N17)</f>
        <v>-935152</v>
      </c>
      <c r="X17" s="32">
        <f t="shared" ref="X17:X19" si="70">SUM(L17:O17)</f>
        <v>-689393</v>
      </c>
      <c r="Y17" s="32">
        <f t="shared" ref="Y17:Y19" si="71">SUM(M17:P17)</f>
        <v>-743226</v>
      </c>
      <c r="Z17" s="32">
        <f t="shared" ref="Z17:Z19" si="72">SUM(N17:Q17)</f>
        <v>-772904</v>
      </c>
      <c r="AA17" s="11"/>
      <c r="AB17" s="75">
        <f>SUM(Z17/V17)-1</f>
        <v>-9.9259273071382936E-2</v>
      </c>
    </row>
    <row r="18" spans="2:28" ht="12.75" customHeight="1">
      <c r="B18" s="9" t="s">
        <v>116</v>
      </c>
      <c r="C18" s="82">
        <v>-225078</v>
      </c>
      <c r="D18" s="82">
        <v>-230175</v>
      </c>
      <c r="E18" s="82">
        <v>-350579</v>
      </c>
      <c r="F18" s="32"/>
      <c r="G18" s="82">
        <v>-57911</v>
      </c>
      <c r="H18" s="82">
        <v>-59225</v>
      </c>
      <c r="I18" s="82">
        <v>-55114</v>
      </c>
      <c r="J18" s="32">
        <f t="shared" si="63"/>
        <v>-57925</v>
      </c>
      <c r="K18" s="82">
        <v>-124095</v>
      </c>
      <c r="L18" s="82">
        <v>-71458</v>
      </c>
      <c r="M18" s="82">
        <v>-74510</v>
      </c>
      <c r="N18" s="32">
        <f t="shared" si="64"/>
        <v>-80516</v>
      </c>
      <c r="O18" s="82">
        <v>-90685</v>
      </c>
      <c r="P18" s="82">
        <v>-120619</v>
      </c>
      <c r="Q18" s="82">
        <v>-128707</v>
      </c>
      <c r="S18" s="32">
        <f t="shared" si="65"/>
        <v>-230175</v>
      </c>
      <c r="T18" s="32">
        <f t="shared" si="66"/>
        <v>-296359</v>
      </c>
      <c r="U18" s="32">
        <f t="shared" si="67"/>
        <v>-308592</v>
      </c>
      <c r="V18" s="32">
        <f t="shared" si="68"/>
        <v>-327988</v>
      </c>
      <c r="W18" s="32">
        <f t="shared" si="69"/>
        <v>-350579</v>
      </c>
      <c r="X18" s="32">
        <f t="shared" si="70"/>
        <v>-317169</v>
      </c>
      <c r="Y18" s="32">
        <f t="shared" si="71"/>
        <v>-366330</v>
      </c>
      <c r="Z18" s="32">
        <f t="shared" si="72"/>
        <v>-420527</v>
      </c>
      <c r="AA18" s="11"/>
      <c r="AB18" s="75">
        <f t="shared" ref="AB18:AB19" si="73">SUM(Z18/V18)-1</f>
        <v>0.28214141980804186</v>
      </c>
    </row>
    <row r="19" spans="2:28" ht="12.75" customHeight="1">
      <c r="B19" s="9" t="s">
        <v>127</v>
      </c>
      <c r="C19" s="82">
        <v>-143822</v>
      </c>
      <c r="D19" s="82">
        <v>-164658</v>
      </c>
      <c r="E19" s="82">
        <v>-451447</v>
      </c>
      <c r="F19" s="32"/>
      <c r="G19" s="82">
        <v>-40801</v>
      </c>
      <c r="H19" s="82">
        <v>-38233</v>
      </c>
      <c r="I19" s="82">
        <v>-37299</v>
      </c>
      <c r="J19" s="32">
        <f t="shared" si="63"/>
        <v>-48325</v>
      </c>
      <c r="K19" s="82">
        <v>-243477</v>
      </c>
      <c r="L19" s="82">
        <v>-68487</v>
      </c>
      <c r="M19" s="82">
        <v>-65653</v>
      </c>
      <c r="N19" s="32">
        <f t="shared" si="64"/>
        <v>-73830</v>
      </c>
      <c r="O19" s="82">
        <v>-69413</v>
      </c>
      <c r="P19" s="82">
        <v>-68787</v>
      </c>
      <c r="Q19" s="82">
        <v>-68774</v>
      </c>
      <c r="S19" s="32">
        <f t="shared" si="65"/>
        <v>-164658</v>
      </c>
      <c r="T19" s="32">
        <f t="shared" si="66"/>
        <v>-367334</v>
      </c>
      <c r="U19" s="32">
        <f t="shared" si="67"/>
        <v>-397588</v>
      </c>
      <c r="V19" s="32">
        <f t="shared" si="68"/>
        <v>-425942</v>
      </c>
      <c r="W19" s="32">
        <f t="shared" si="69"/>
        <v>-451447</v>
      </c>
      <c r="X19" s="32">
        <f t="shared" si="70"/>
        <v>-277383</v>
      </c>
      <c r="Y19" s="32">
        <f t="shared" si="71"/>
        <v>-277683</v>
      </c>
      <c r="Z19" s="32">
        <f t="shared" si="72"/>
        <v>-280804</v>
      </c>
      <c r="AA19" s="11"/>
      <c r="AB19" s="75">
        <f t="shared" si="73"/>
        <v>-0.34074592315385666</v>
      </c>
    </row>
    <row r="20" spans="2:28" ht="12.75" customHeight="1">
      <c r="B20" s="25" t="s">
        <v>75</v>
      </c>
      <c r="C20" s="26">
        <f t="shared" ref="C20:E20" si="74">+SUM(C14+SUM(C17:C19))</f>
        <v>-172162</v>
      </c>
      <c r="D20" s="26">
        <f t="shared" si="74"/>
        <v>-140161</v>
      </c>
      <c r="E20" s="26">
        <f t="shared" si="74"/>
        <v>-560568</v>
      </c>
      <c r="F20" s="32"/>
      <c r="G20" s="26">
        <f t="shared" ref="G20" si="75">+SUM(G14+SUM(G17:G19))</f>
        <v>-70602</v>
      </c>
      <c r="H20" s="26">
        <f t="shared" ref="H20" si="76">+SUM(H14+SUM(H17:H19))</f>
        <v>-52989</v>
      </c>
      <c r="I20" s="26">
        <f t="shared" ref="I20" si="77">+SUM(I14+SUM(I17:I19))</f>
        <v>-19585</v>
      </c>
      <c r="J20" s="26">
        <f t="shared" ref="J20" si="78">+SUM(J14+SUM(J17:J19))</f>
        <v>3015</v>
      </c>
      <c r="K20" s="26">
        <f t="shared" ref="K20" si="79">+SUM(K14+SUM(K17:K19))</f>
        <v>-589255</v>
      </c>
      <c r="L20" s="26">
        <f t="shared" ref="L20" si="80">+SUM(L14+SUM(L17:L19))</f>
        <v>-31039</v>
      </c>
      <c r="M20" s="26">
        <f t="shared" ref="M20" si="81">+SUM(M14+SUM(M17:M19))</f>
        <v>6854</v>
      </c>
      <c r="N20" s="26">
        <f t="shared" ref="N20" si="82">+SUM(N14+SUM(N17:N19))</f>
        <v>52872</v>
      </c>
      <c r="O20" s="26">
        <f t="shared" ref="O20" si="83">+SUM(O14+SUM(O17:O19))</f>
        <v>3903</v>
      </c>
      <c r="P20" s="26">
        <f t="shared" ref="P20" si="84">+SUM(P14+SUM(P17:P19))</f>
        <v>67711</v>
      </c>
      <c r="Q20" s="26">
        <f t="shared" ref="Q20" si="85">+SUM(Q14+SUM(Q17:Q19))</f>
        <v>138542</v>
      </c>
      <c r="S20" s="26">
        <f t="shared" ref="S20" si="86">+SUM(S14+SUM(S17:S19))</f>
        <v>-140161</v>
      </c>
      <c r="T20" s="26">
        <f t="shared" ref="T20" si="87">+SUM(T14+SUM(T17:T19))</f>
        <v>-658814</v>
      </c>
      <c r="U20" s="26">
        <f t="shared" ref="U20" si="88">+SUM(U14+SUM(U17:U19))</f>
        <v>-636864</v>
      </c>
      <c r="V20" s="26">
        <f t="shared" ref="V20" si="89">+SUM(V14+SUM(V17:V19))</f>
        <v>-610425</v>
      </c>
      <c r="W20" s="26">
        <f t="shared" ref="W20" si="90">+SUM(W14+SUM(W17:W19))</f>
        <v>-560568</v>
      </c>
      <c r="X20" s="26">
        <f t="shared" ref="X20" si="91">+SUM(X14+SUM(X17:X19))</f>
        <v>32590</v>
      </c>
      <c r="Y20" s="26">
        <f t="shared" ref="Y20" si="92">+SUM(Y14+SUM(Y17:Y19))</f>
        <v>131340</v>
      </c>
      <c r="Z20" s="26">
        <f t="shared" ref="Z20" si="93">+SUM(Z14+SUM(Z17:Z19))</f>
        <v>263028</v>
      </c>
      <c r="AA20" s="11"/>
      <c r="AB20" s="76">
        <f>SUM(Z20/V20)-1</f>
        <v>-1.4308932301265511</v>
      </c>
    </row>
    <row r="21" spans="2:28" ht="12.75" customHeight="1">
      <c r="B21" s="16" t="s">
        <v>31</v>
      </c>
      <c r="C21" s="17">
        <f>C20/C11</f>
        <v>-0.25822970117038974</v>
      </c>
      <c r="D21" s="17">
        <f>D20/D11</f>
        <v>-0.17432331420881586</v>
      </c>
      <c r="E21" s="17">
        <f>E20/E11</f>
        <v>-0.43113816667371685</v>
      </c>
      <c r="F21" s="32"/>
      <c r="G21" s="17">
        <f t="shared" ref="G21:Q21" si="94">G20/G11</f>
        <v>-0.43118358373030413</v>
      </c>
      <c r="H21" s="17">
        <f t="shared" si="94"/>
        <v>-0.28950833465369252</v>
      </c>
      <c r="I21" s="17">
        <f t="shared" si="94"/>
        <v>-9.4381903348304638E-2</v>
      </c>
      <c r="J21" s="17">
        <f t="shared" si="94"/>
        <v>1.2072072072072072E-2</v>
      </c>
      <c r="K21" s="17">
        <f t="shared" si="94"/>
        <v>-2.4252869778525947</v>
      </c>
      <c r="L21" s="17">
        <f t="shared" si="94"/>
        <v>-0.11038679298964379</v>
      </c>
      <c r="M21" s="17">
        <f t="shared" si="94"/>
        <v>1.9675557124853953E-2</v>
      </c>
      <c r="N21" s="17">
        <f t="shared" si="94"/>
        <v>0.12361733616704894</v>
      </c>
      <c r="O21" s="17">
        <f t="shared" si="94"/>
        <v>9.9474718435318497E-3</v>
      </c>
      <c r="P21" s="17">
        <f t="shared" si="94"/>
        <v>0.13552310023277364</v>
      </c>
      <c r="Q21" s="17">
        <f t="shared" si="94"/>
        <v>0.23685996672998114</v>
      </c>
      <c r="S21" s="17">
        <f t="shared" ref="S21:Z21" si="95">S20/S11</f>
        <v>-0.17432331420881586</v>
      </c>
      <c r="T21" s="17">
        <f t="shared" si="95"/>
        <v>-0.74589584852341118</v>
      </c>
      <c r="U21" s="17">
        <f t="shared" si="95"/>
        <v>-0.64893086951870027</v>
      </c>
      <c r="V21" s="17">
        <f t="shared" si="95"/>
        <v>-0.54393057506005804</v>
      </c>
      <c r="W21" s="17">
        <f t="shared" si="95"/>
        <v>-0.43113816667371685</v>
      </c>
      <c r="X21" s="17">
        <f t="shared" si="95"/>
        <v>2.2482017490305966E-2</v>
      </c>
      <c r="Y21" s="17">
        <f t="shared" si="95"/>
        <v>7.8738835739541949E-2</v>
      </c>
      <c r="Z21" s="17">
        <f t="shared" si="95"/>
        <v>0.13810100356714197</v>
      </c>
      <c r="AA21" s="11"/>
      <c r="AB21" s="77">
        <f>SUM(Z21-V21)*1000</f>
        <v>682.03157862720002</v>
      </c>
    </row>
    <row r="22" spans="2:28" ht="5.0999999999999996" customHeight="1">
      <c r="B22" s="16"/>
      <c r="C22" s="17"/>
      <c r="D22" s="17"/>
      <c r="E22" s="17"/>
      <c r="F22" s="32"/>
      <c r="G22" s="82"/>
      <c r="H22" s="82"/>
      <c r="I22" s="82"/>
      <c r="J22" s="82"/>
      <c r="K22" s="82"/>
      <c r="L22" s="82"/>
      <c r="M22" s="82"/>
      <c r="N22" s="82"/>
      <c r="O22" s="32"/>
      <c r="P22" s="82"/>
      <c r="Q22" s="82"/>
      <c r="S22" s="32"/>
      <c r="T22" s="32"/>
      <c r="U22" s="32"/>
      <c r="V22" s="32"/>
      <c r="W22" s="32"/>
      <c r="X22" s="32"/>
      <c r="Y22" s="32"/>
      <c r="Z22" s="32"/>
      <c r="AA22" s="11"/>
      <c r="AB22" s="75"/>
    </row>
    <row r="23" spans="2:28" ht="12.75" customHeight="1">
      <c r="B23" s="9" t="s">
        <v>117</v>
      </c>
      <c r="C23" s="82">
        <v>14234</v>
      </c>
      <c r="D23" s="82">
        <v>53138</v>
      </c>
      <c r="E23" s="82">
        <v>75361</v>
      </c>
      <c r="F23" s="32"/>
      <c r="G23" s="82">
        <v>10724</v>
      </c>
      <c r="H23" s="82">
        <v>13306</v>
      </c>
      <c r="I23" s="82">
        <v>12647</v>
      </c>
      <c r="J23" s="32">
        <f t="shared" ref="J23" si="96">SUM(D23-SUM(G23:I23))</f>
        <v>16461</v>
      </c>
      <c r="K23" s="82">
        <v>14554</v>
      </c>
      <c r="L23" s="82">
        <v>20724</v>
      </c>
      <c r="M23" s="82">
        <v>22968</v>
      </c>
      <c r="N23" s="32">
        <f t="shared" ref="N23" si="97">SUM(E23-SUM(K23:M23))</f>
        <v>17115</v>
      </c>
      <c r="O23" s="82">
        <v>20534</v>
      </c>
      <c r="P23" s="82">
        <v>21147</v>
      </c>
      <c r="Q23" s="82">
        <v>22035</v>
      </c>
      <c r="S23" s="32">
        <f t="shared" ref="S23" si="98">SUM(G23:J23)</f>
        <v>53138</v>
      </c>
      <c r="T23" s="32">
        <f t="shared" ref="T23" si="99">SUM(H23:K23)</f>
        <v>56968</v>
      </c>
      <c r="U23" s="32">
        <f t="shared" ref="U23" si="100">SUM(I23:L23)</f>
        <v>64386</v>
      </c>
      <c r="V23" s="32">
        <f t="shared" ref="V23" si="101">SUM(J23:M23)</f>
        <v>74707</v>
      </c>
      <c r="W23" s="32">
        <f t="shared" ref="W23" si="102">SUM(K23:N23)</f>
        <v>75361</v>
      </c>
      <c r="X23" s="32">
        <f t="shared" ref="X23" si="103">SUM(L23:O23)</f>
        <v>81341</v>
      </c>
      <c r="Y23" s="32">
        <f t="shared" ref="Y23" si="104">SUM(M23:P23)</f>
        <v>81764</v>
      </c>
      <c r="Z23" s="32">
        <f t="shared" ref="Z23" si="105">SUM(N23:Q23)</f>
        <v>80831</v>
      </c>
      <c r="AA23" s="11"/>
      <c r="AB23" s="75">
        <f t="shared" ref="AB23" si="106">SUM(Z23/V23)-1</f>
        <v>8.1973576773260781E-2</v>
      </c>
    </row>
    <row r="24" spans="2:28" ht="12.75" customHeight="1">
      <c r="B24" s="25" t="s">
        <v>109</v>
      </c>
      <c r="C24" s="26">
        <f>SUM(C20+SUM(C23:C23))</f>
        <v>-157928</v>
      </c>
      <c r="D24" s="26">
        <f>SUM(D20+SUM(D23:D23))</f>
        <v>-87023</v>
      </c>
      <c r="E24" s="26">
        <f>SUM(E20+SUM(E23:E23))</f>
        <v>-485207</v>
      </c>
      <c r="G24" s="26">
        <f t="shared" ref="G24:Q24" si="107">SUM(G20+SUM(G23:G23))</f>
        <v>-59878</v>
      </c>
      <c r="H24" s="26">
        <f t="shared" si="107"/>
        <v>-39683</v>
      </c>
      <c r="I24" s="26">
        <f t="shared" si="107"/>
        <v>-6938</v>
      </c>
      <c r="J24" s="26">
        <f t="shared" si="107"/>
        <v>19476</v>
      </c>
      <c r="K24" s="26">
        <f t="shared" si="107"/>
        <v>-574701</v>
      </c>
      <c r="L24" s="26">
        <f t="shared" si="107"/>
        <v>-10315</v>
      </c>
      <c r="M24" s="26">
        <f t="shared" si="107"/>
        <v>29822</v>
      </c>
      <c r="N24" s="26">
        <f t="shared" si="107"/>
        <v>69987</v>
      </c>
      <c r="O24" s="26">
        <f t="shared" si="107"/>
        <v>24437</v>
      </c>
      <c r="P24" s="26">
        <f t="shared" si="107"/>
        <v>88858</v>
      </c>
      <c r="Q24" s="26">
        <f t="shared" si="107"/>
        <v>160577</v>
      </c>
      <c r="S24" s="26">
        <f t="shared" ref="S24:Z24" si="108">SUM(S20+SUM(S23:S23))</f>
        <v>-87023</v>
      </c>
      <c r="T24" s="26">
        <f t="shared" si="108"/>
        <v>-601846</v>
      </c>
      <c r="U24" s="26">
        <f t="shared" si="108"/>
        <v>-572478</v>
      </c>
      <c r="V24" s="26">
        <f t="shared" si="108"/>
        <v>-535718</v>
      </c>
      <c r="W24" s="26">
        <f t="shared" si="108"/>
        <v>-485207</v>
      </c>
      <c r="X24" s="26">
        <f t="shared" si="108"/>
        <v>113931</v>
      </c>
      <c r="Y24" s="26">
        <f t="shared" si="108"/>
        <v>213104</v>
      </c>
      <c r="Z24" s="26">
        <f t="shared" si="108"/>
        <v>343859</v>
      </c>
      <c r="AA24" s="42"/>
      <c r="AB24" s="76">
        <f>SUM(Z24/V24)-1</f>
        <v>-1.6418656830645975</v>
      </c>
    </row>
    <row r="25" spans="2:28" ht="12.75" customHeight="1">
      <c r="B25" s="16" t="s">
        <v>110</v>
      </c>
      <c r="C25" s="17">
        <f>C24/C11</f>
        <v>-0.23687980069026446</v>
      </c>
      <c r="D25" s="17">
        <f>D24/D11</f>
        <v>-0.10823365823869537</v>
      </c>
      <c r="E25" s="17">
        <f>E24/E11</f>
        <v>-0.37317730665548893</v>
      </c>
      <c r="F25" s="27"/>
      <c r="G25" s="17">
        <f t="shared" ref="G25:Q25" si="109">G24/G11</f>
        <v>-0.36568950775619885</v>
      </c>
      <c r="H25" s="17">
        <f t="shared" si="109"/>
        <v>-0.21681026711322127</v>
      </c>
      <c r="I25" s="17">
        <f t="shared" si="109"/>
        <v>-3.3434855523642462E-2</v>
      </c>
      <c r="J25" s="17">
        <f t="shared" si="109"/>
        <v>7.7981981981981988E-2</v>
      </c>
      <c r="K25" s="17">
        <f t="shared" si="109"/>
        <v>-2.3653848528376749</v>
      </c>
      <c r="L25" s="17">
        <f t="shared" si="109"/>
        <v>-3.6684164106065779E-2</v>
      </c>
      <c r="M25" s="17">
        <f t="shared" si="109"/>
        <v>8.5609055234519213E-2</v>
      </c>
      <c r="N25" s="17">
        <f t="shared" si="109"/>
        <v>0.16363304785752864</v>
      </c>
      <c r="O25" s="17">
        <f t="shared" si="109"/>
        <v>6.2281929141785243E-2</v>
      </c>
      <c r="P25" s="17">
        <f t="shared" si="109"/>
        <v>0.17784867511163327</v>
      </c>
      <c r="Q25" s="17">
        <f t="shared" si="109"/>
        <v>0.27453236475292825</v>
      </c>
      <c r="R25" s="28"/>
      <c r="S25" s="17">
        <f t="shared" ref="S25:Z25" si="110">S24/S11</f>
        <v>-0.10823365823869537</v>
      </c>
      <c r="T25" s="17">
        <f t="shared" si="110"/>
        <v>-0.68139783436663603</v>
      </c>
      <c r="U25" s="17">
        <f t="shared" si="110"/>
        <v>-0.58332492701789784</v>
      </c>
      <c r="V25" s="17">
        <f t="shared" si="110"/>
        <v>-0.47736151011184691</v>
      </c>
      <c r="W25" s="17">
        <f t="shared" si="110"/>
        <v>-0.37317730665548893</v>
      </c>
      <c r="X25" s="17">
        <f t="shared" si="110"/>
        <v>7.8594622113778739E-2</v>
      </c>
      <c r="Y25" s="17">
        <f t="shared" si="110"/>
        <v>0.12775666858108228</v>
      </c>
      <c r="Z25" s="17">
        <f t="shared" si="110"/>
        <v>0.18054075226057253</v>
      </c>
      <c r="AA25" s="43"/>
      <c r="AB25" s="77">
        <f>SUM(Z25-V25)*1000</f>
        <v>657.9022623724195</v>
      </c>
    </row>
    <row r="26" spans="2:28" ht="5.0999999999999996" customHeight="1">
      <c r="B26" s="16"/>
      <c r="C26" s="17"/>
      <c r="D26" s="17"/>
      <c r="E26" s="17"/>
      <c r="F26" s="2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28"/>
      <c r="S26" s="17"/>
      <c r="T26" s="17"/>
      <c r="U26" s="17"/>
      <c r="V26" s="17"/>
      <c r="W26" s="17"/>
      <c r="X26" s="17"/>
      <c r="Y26" s="17"/>
      <c r="Z26" s="17"/>
      <c r="AA26" s="43"/>
      <c r="AB26" s="77"/>
    </row>
    <row r="27" spans="2:28" ht="12.75" customHeight="1">
      <c r="B27" s="9" t="s">
        <v>100</v>
      </c>
      <c r="C27" s="82">
        <v>-622</v>
      </c>
      <c r="D27" s="82">
        <v>-3801</v>
      </c>
      <c r="E27" s="82">
        <v>931</v>
      </c>
      <c r="F27" s="32"/>
      <c r="G27" s="82">
        <v>-988</v>
      </c>
      <c r="H27" s="82">
        <v>-1426</v>
      </c>
      <c r="I27" s="82">
        <v>-445</v>
      </c>
      <c r="J27" s="32">
        <f t="shared" ref="J27" si="111">SUM(D27-SUM(G27:I27))</f>
        <v>-942</v>
      </c>
      <c r="K27" s="82">
        <v>-365</v>
      </c>
      <c r="L27" s="82">
        <v>216</v>
      </c>
      <c r="M27" s="82">
        <v>31</v>
      </c>
      <c r="N27" s="32">
        <f t="shared" ref="N27" si="112">SUM(E27-SUM(K27:M27))</f>
        <v>1049</v>
      </c>
      <c r="O27" s="82">
        <v>1721</v>
      </c>
      <c r="P27" s="82">
        <v>439</v>
      </c>
      <c r="Q27" s="82">
        <v>2086</v>
      </c>
      <c r="S27" s="32">
        <f t="shared" ref="S27" si="113">SUM(G27:J27)</f>
        <v>-3801</v>
      </c>
      <c r="T27" s="32">
        <f t="shared" ref="T27" si="114">SUM(H27:K27)</f>
        <v>-3178</v>
      </c>
      <c r="U27" s="32">
        <f t="shared" ref="U27" si="115">SUM(I27:L27)</f>
        <v>-1536</v>
      </c>
      <c r="V27" s="32">
        <f t="shared" ref="V27" si="116">SUM(J27:M27)</f>
        <v>-1060</v>
      </c>
      <c r="W27" s="32">
        <f t="shared" ref="W27" si="117">SUM(K27:N27)</f>
        <v>931</v>
      </c>
      <c r="X27" s="32">
        <f t="shared" ref="X27" si="118">SUM(L27:O27)</f>
        <v>3017</v>
      </c>
      <c r="Y27" s="32">
        <f t="shared" ref="Y27" si="119">SUM(M27:P27)</f>
        <v>3240</v>
      </c>
      <c r="Z27" s="32">
        <f t="shared" ref="Z27" si="120">SUM(N27:Q27)</f>
        <v>5295</v>
      </c>
      <c r="AA27" s="11"/>
      <c r="AB27" s="75">
        <f>SUM(Z27/V27)-1</f>
        <v>-5.9952830188679247</v>
      </c>
    </row>
    <row r="28" spans="2:28" ht="12.75" customHeight="1">
      <c r="B28" s="13" t="s">
        <v>101</v>
      </c>
      <c r="C28" s="14">
        <f t="shared" ref="C28:E28" si="121">SUM(C24+SUM(C27:C27))</f>
        <v>-158550</v>
      </c>
      <c r="D28" s="14">
        <f t="shared" si="121"/>
        <v>-90824</v>
      </c>
      <c r="E28" s="14">
        <f t="shared" si="121"/>
        <v>-484276</v>
      </c>
      <c r="F28" s="11"/>
      <c r="G28" s="14">
        <f t="shared" ref="G28:Q28" si="122">SUM(G24+SUM(G27:G27))</f>
        <v>-60866</v>
      </c>
      <c r="H28" s="14">
        <f t="shared" si="122"/>
        <v>-41109</v>
      </c>
      <c r="I28" s="14">
        <f t="shared" si="122"/>
        <v>-7383</v>
      </c>
      <c r="J28" s="14">
        <f t="shared" si="122"/>
        <v>18534</v>
      </c>
      <c r="K28" s="14">
        <f t="shared" si="122"/>
        <v>-575066</v>
      </c>
      <c r="L28" s="14">
        <f t="shared" si="122"/>
        <v>-10099</v>
      </c>
      <c r="M28" s="14">
        <f t="shared" si="122"/>
        <v>29853</v>
      </c>
      <c r="N28" s="14">
        <f t="shared" si="122"/>
        <v>71036</v>
      </c>
      <c r="O28" s="14">
        <f t="shared" si="122"/>
        <v>26158</v>
      </c>
      <c r="P28" s="14">
        <f t="shared" si="122"/>
        <v>89297</v>
      </c>
      <c r="Q28" s="14">
        <f t="shared" si="122"/>
        <v>162663</v>
      </c>
      <c r="R28" s="32"/>
      <c r="S28" s="14">
        <f t="shared" ref="S28:Z28" si="123">SUM(S24+SUM(S27:S27))</f>
        <v>-90824</v>
      </c>
      <c r="T28" s="14">
        <f t="shared" si="123"/>
        <v>-605024</v>
      </c>
      <c r="U28" s="14">
        <f t="shared" si="123"/>
        <v>-574014</v>
      </c>
      <c r="V28" s="14">
        <f t="shared" si="123"/>
        <v>-536778</v>
      </c>
      <c r="W28" s="14">
        <f t="shared" si="123"/>
        <v>-484276</v>
      </c>
      <c r="X28" s="14">
        <f t="shared" si="123"/>
        <v>116948</v>
      </c>
      <c r="Y28" s="14">
        <f t="shared" si="123"/>
        <v>216344</v>
      </c>
      <c r="Z28" s="14">
        <f t="shared" si="123"/>
        <v>349154</v>
      </c>
      <c r="AA28" s="36"/>
      <c r="AB28" s="76">
        <f>SUM(Z28/V28)-1</f>
        <v>-1.6504625748447217</v>
      </c>
    </row>
    <row r="29" spans="2:28" ht="12.75" customHeight="1">
      <c r="B29" s="16" t="s">
        <v>99</v>
      </c>
      <c r="C29" s="17">
        <f>C28/C11</f>
        <v>-0.23781275264323887</v>
      </c>
      <c r="D29" s="17">
        <f>D28/D11</f>
        <v>-0.11296109966182812</v>
      </c>
      <c r="E29" s="17">
        <f>E28/E11</f>
        <v>-0.37246126572348209</v>
      </c>
      <c r="F29" s="27"/>
      <c r="G29" s="17">
        <f t="shared" ref="G29:Q29" si="124">G28/G11</f>
        <v>-0.37172346402833761</v>
      </c>
      <c r="H29" s="17">
        <f t="shared" si="124"/>
        <v>-0.22460129704804105</v>
      </c>
      <c r="I29" s="17">
        <f t="shared" si="124"/>
        <v>-3.5579351157545736E-2</v>
      </c>
      <c r="J29" s="17">
        <f t="shared" si="124"/>
        <v>7.4210210210210209E-2</v>
      </c>
      <c r="K29" s="17">
        <f t="shared" si="124"/>
        <v>-2.3668871391940338</v>
      </c>
      <c r="L29" s="17">
        <f t="shared" si="124"/>
        <v>-3.5915983839763285E-2</v>
      </c>
      <c r="M29" s="17">
        <f t="shared" si="124"/>
        <v>8.5698045936426187E-2</v>
      </c>
      <c r="N29" s="17">
        <f t="shared" si="124"/>
        <v>0.16608566144580286</v>
      </c>
      <c r="O29" s="17">
        <f t="shared" si="124"/>
        <v>6.6668195870639532E-2</v>
      </c>
      <c r="P29" s="17">
        <f t="shared" si="124"/>
        <v>0.17872733058861912</v>
      </c>
      <c r="Q29" s="17">
        <f t="shared" si="124"/>
        <v>0.27809871929233676</v>
      </c>
      <c r="R29" s="28"/>
      <c r="S29" s="17">
        <f t="shared" ref="S29:Z29" si="125">S28/S11</f>
        <v>-0.11296109966182812</v>
      </c>
      <c r="T29" s="17">
        <f t="shared" si="125"/>
        <v>-0.68499590150942202</v>
      </c>
      <c r="U29" s="17">
        <f t="shared" si="125"/>
        <v>-0.58489003010989349</v>
      </c>
      <c r="V29" s="17">
        <f t="shared" si="125"/>
        <v>-0.47830604287109446</v>
      </c>
      <c r="W29" s="17">
        <f t="shared" si="125"/>
        <v>-0.37246126572348209</v>
      </c>
      <c r="X29" s="17">
        <f t="shared" si="125"/>
        <v>8.0675881603445909E-2</v>
      </c>
      <c r="Y29" s="17">
        <f t="shared" si="125"/>
        <v>0.12969906105706916</v>
      </c>
      <c r="Z29" s="17">
        <f t="shared" si="125"/>
        <v>0.18332085481196636</v>
      </c>
      <c r="AA29" s="43"/>
      <c r="AB29" s="77">
        <f>SUM(Z29-V29)*1000</f>
        <v>661.62689768306086</v>
      </c>
    </row>
    <row r="30" spans="2:28" ht="5.0999999999999996" customHeight="1">
      <c r="B30" s="16"/>
      <c r="C30" s="17"/>
      <c r="D30" s="17"/>
      <c r="E30" s="17"/>
      <c r="F30" s="2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28"/>
      <c r="S30" s="17"/>
      <c r="T30" s="17"/>
      <c r="U30" s="17"/>
      <c r="V30" s="17"/>
      <c r="W30" s="17"/>
      <c r="X30" s="17"/>
      <c r="Y30" s="17"/>
      <c r="Z30" s="17"/>
      <c r="AA30" s="43"/>
      <c r="AB30" s="77"/>
    </row>
    <row r="31" spans="2:28" ht="12.75" customHeight="1">
      <c r="B31" s="44" t="s">
        <v>82</v>
      </c>
      <c r="C31" s="82">
        <v>57251.112000000001</v>
      </c>
      <c r="D31" s="82">
        <v>59138.086000000003</v>
      </c>
      <c r="E31" s="82">
        <v>145472.389</v>
      </c>
      <c r="F31" s="27"/>
      <c r="G31" s="82">
        <v>58114.745000000003</v>
      </c>
      <c r="H31" s="82">
        <v>58508.158000000003</v>
      </c>
      <c r="I31" s="82">
        <v>58855.589</v>
      </c>
      <c r="J31" s="32">
        <f>D31</f>
        <v>59138.086000000003</v>
      </c>
      <c r="K31" s="82">
        <v>70240.491999999998</v>
      </c>
      <c r="L31" s="82">
        <v>164382.736</v>
      </c>
      <c r="M31" s="82">
        <v>169169.92199999999</v>
      </c>
      <c r="N31" s="32">
        <f>E31</f>
        <v>145472.389</v>
      </c>
      <c r="O31" s="82">
        <v>182024.20699999999</v>
      </c>
      <c r="P31" s="82">
        <v>185437.777</v>
      </c>
      <c r="Q31" s="82">
        <v>188041.63200000001</v>
      </c>
      <c r="R31" s="132"/>
      <c r="S31" s="32">
        <f t="shared" ref="S31:Z31" si="126">J31</f>
        <v>59138.086000000003</v>
      </c>
      <c r="T31" s="32">
        <f t="shared" si="126"/>
        <v>70240.491999999998</v>
      </c>
      <c r="U31" s="32">
        <f t="shared" si="126"/>
        <v>164382.736</v>
      </c>
      <c r="V31" s="32">
        <f t="shared" si="126"/>
        <v>169169.92199999999</v>
      </c>
      <c r="W31" s="32">
        <f t="shared" si="126"/>
        <v>145472.389</v>
      </c>
      <c r="X31" s="32">
        <f t="shared" si="126"/>
        <v>182024.20699999999</v>
      </c>
      <c r="Y31" s="32">
        <f t="shared" si="126"/>
        <v>185437.777</v>
      </c>
      <c r="Z31" s="32">
        <f t="shared" si="126"/>
        <v>188041.63200000001</v>
      </c>
      <c r="AA31" s="43"/>
      <c r="AB31" s="75">
        <f>SUM(Z31/V31)-1</f>
        <v>0.11155475971668305</v>
      </c>
    </row>
    <row r="32" spans="2:28" ht="12.75" customHeight="1">
      <c r="B32" s="13" t="s">
        <v>61</v>
      </c>
      <c r="C32" s="143">
        <f t="shared" ref="C32:E32" si="127">C28/C31</f>
        <v>-2.7693785231630086</v>
      </c>
      <c r="D32" s="143">
        <f t="shared" si="127"/>
        <v>-1.5357953924988372</v>
      </c>
      <c r="E32" s="143">
        <f t="shared" si="127"/>
        <v>-3.3289891183405258</v>
      </c>
      <c r="F32" s="27"/>
      <c r="G32" s="143">
        <f t="shared" ref="G32:Q32" si="128">G28/G31</f>
        <v>-1.0473417718687399</v>
      </c>
      <c r="H32" s="143">
        <f t="shared" si="128"/>
        <v>-0.7026199662617989</v>
      </c>
      <c r="I32" s="143">
        <f t="shared" si="128"/>
        <v>-0.12544263213473236</v>
      </c>
      <c r="J32" s="143">
        <f t="shared" si="128"/>
        <v>0.31340209421048898</v>
      </c>
      <c r="K32" s="143">
        <f t="shared" si="128"/>
        <v>-8.1871009673451614</v>
      </c>
      <c r="L32" s="143">
        <f t="shared" si="128"/>
        <v>-6.143589190533974E-2</v>
      </c>
      <c r="M32" s="143">
        <f t="shared" si="128"/>
        <v>0.17646754013399618</v>
      </c>
      <c r="N32" s="143">
        <f t="shared" si="128"/>
        <v>0.48831259655741271</v>
      </c>
      <c r="O32" s="143">
        <f t="shared" si="128"/>
        <v>0.14370616101626527</v>
      </c>
      <c r="P32" s="143">
        <f t="shared" si="128"/>
        <v>0.4815469719527537</v>
      </c>
      <c r="Q32" s="143">
        <f t="shared" si="128"/>
        <v>0.86503716368511407</v>
      </c>
      <c r="R32" s="132"/>
      <c r="S32" s="143">
        <f t="shared" ref="S32:Z32" si="129">S28/S31</f>
        <v>-1.5357953924988372</v>
      </c>
      <c r="T32" s="143">
        <f t="shared" si="129"/>
        <v>-8.6136070914765241</v>
      </c>
      <c r="U32" s="143">
        <f t="shared" si="129"/>
        <v>-3.4919360388307443</v>
      </c>
      <c r="V32" s="143">
        <f t="shared" si="129"/>
        <v>-3.1730108618244799</v>
      </c>
      <c r="W32" s="143">
        <f t="shared" si="129"/>
        <v>-3.3289891183405258</v>
      </c>
      <c r="X32" s="143">
        <f t="shared" si="129"/>
        <v>0.64248597440668975</v>
      </c>
      <c r="Y32" s="143">
        <f t="shared" si="129"/>
        <v>1.1666662721048473</v>
      </c>
      <c r="Z32" s="143">
        <f t="shared" si="129"/>
        <v>1.8567909472302389</v>
      </c>
      <c r="AA32" s="43"/>
      <c r="AB32" s="76">
        <f>SUM(Z32/V32)-1</f>
        <v>-1.5851826634348756</v>
      </c>
    </row>
    <row r="33" spans="1:28" ht="12.75" customHeight="1">
      <c r="B33" s="25"/>
      <c r="C33" s="48"/>
      <c r="D33" s="48"/>
      <c r="E33" s="48"/>
      <c r="F33" s="142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132"/>
      <c r="S33" s="132"/>
      <c r="T33" s="132"/>
      <c r="U33" s="132"/>
      <c r="V33" s="48"/>
      <c r="W33" s="132"/>
      <c r="X33" s="132"/>
      <c r="Y33" s="132"/>
      <c r="Z33" s="132"/>
      <c r="AA33" s="43"/>
      <c r="AB33" s="75"/>
    </row>
    <row r="34" spans="1:28" ht="12.75" customHeight="1">
      <c r="B34" s="44" t="s">
        <v>62</v>
      </c>
      <c r="C34" s="82">
        <v>57251.112000000001</v>
      </c>
      <c r="D34" s="82">
        <v>59138.086000000003</v>
      </c>
      <c r="E34" s="82">
        <v>145472.389</v>
      </c>
      <c r="F34" s="142"/>
      <c r="G34" s="82">
        <v>58114.745000000003</v>
      </c>
      <c r="H34" s="82">
        <v>58508.158000000003</v>
      </c>
      <c r="I34" s="82">
        <v>58855.589</v>
      </c>
      <c r="J34" s="32">
        <f>D34</f>
        <v>59138.086000000003</v>
      </c>
      <c r="K34" s="82">
        <v>70240.491999999998</v>
      </c>
      <c r="L34" s="82">
        <v>164382.736</v>
      </c>
      <c r="M34" s="82">
        <v>192322.916</v>
      </c>
      <c r="N34" s="32">
        <f>E34</f>
        <v>145472.389</v>
      </c>
      <c r="O34" s="82">
        <v>201275.223</v>
      </c>
      <c r="P34" s="82">
        <v>199522.43299999999</v>
      </c>
      <c r="Q34" s="82">
        <v>202727.80900000001</v>
      </c>
      <c r="R34" s="132"/>
      <c r="S34" s="32">
        <f t="shared" ref="S34:Z34" si="130">J34</f>
        <v>59138.086000000003</v>
      </c>
      <c r="T34" s="32">
        <f t="shared" si="130"/>
        <v>70240.491999999998</v>
      </c>
      <c r="U34" s="32">
        <f t="shared" si="130"/>
        <v>164382.736</v>
      </c>
      <c r="V34" s="32">
        <f t="shared" si="130"/>
        <v>192322.916</v>
      </c>
      <c r="W34" s="32">
        <f t="shared" si="130"/>
        <v>145472.389</v>
      </c>
      <c r="X34" s="32">
        <f t="shared" si="130"/>
        <v>201275.223</v>
      </c>
      <c r="Y34" s="32">
        <f t="shared" si="130"/>
        <v>199522.43299999999</v>
      </c>
      <c r="Z34" s="32">
        <f t="shared" si="130"/>
        <v>202727.80900000001</v>
      </c>
      <c r="AA34" s="43"/>
      <c r="AB34" s="75">
        <f>SUM(Z34/V34)-1</f>
        <v>5.4101160778989188E-2</v>
      </c>
    </row>
    <row r="35" spans="1:28" ht="12.75" customHeight="1">
      <c r="B35" s="13" t="s">
        <v>81</v>
      </c>
      <c r="C35" s="143">
        <f t="shared" ref="C35:E35" si="131">C28/C34</f>
        <v>-2.7693785231630086</v>
      </c>
      <c r="D35" s="143">
        <f t="shared" si="131"/>
        <v>-1.5357953924988372</v>
      </c>
      <c r="E35" s="143">
        <f t="shared" si="131"/>
        <v>-3.3289891183405258</v>
      </c>
      <c r="F35" s="27"/>
      <c r="G35" s="143">
        <f t="shared" ref="G35:Q35" si="132">G28/G34</f>
        <v>-1.0473417718687399</v>
      </c>
      <c r="H35" s="143">
        <f t="shared" si="132"/>
        <v>-0.7026199662617989</v>
      </c>
      <c r="I35" s="143">
        <f t="shared" si="132"/>
        <v>-0.12544263213473236</v>
      </c>
      <c r="J35" s="143">
        <f t="shared" si="132"/>
        <v>0.31340209421048898</v>
      </c>
      <c r="K35" s="143">
        <f t="shared" si="132"/>
        <v>-8.1871009673451614</v>
      </c>
      <c r="L35" s="143">
        <f t="shared" si="132"/>
        <v>-6.143589190533974E-2</v>
      </c>
      <c r="M35" s="143">
        <f t="shared" si="132"/>
        <v>0.15522331202590545</v>
      </c>
      <c r="N35" s="143">
        <f t="shared" si="132"/>
        <v>0.48831259655741271</v>
      </c>
      <c r="O35" s="143">
        <f t="shared" si="132"/>
        <v>0.12996135147742452</v>
      </c>
      <c r="P35" s="143">
        <f t="shared" si="132"/>
        <v>0.44755368435187437</v>
      </c>
      <c r="Q35" s="143">
        <f t="shared" si="132"/>
        <v>0.80237142009461559</v>
      </c>
      <c r="R35" s="132"/>
      <c r="S35" s="143">
        <f t="shared" ref="S35:Z35" si="133">S28/S34</f>
        <v>-1.5357953924988372</v>
      </c>
      <c r="T35" s="143">
        <f t="shared" si="133"/>
        <v>-8.6136070914765241</v>
      </c>
      <c r="U35" s="143">
        <f t="shared" si="133"/>
        <v>-3.4919360388307443</v>
      </c>
      <c r="V35" s="143">
        <f t="shared" si="133"/>
        <v>-2.7910246535571455</v>
      </c>
      <c r="W35" s="143">
        <f t="shared" si="133"/>
        <v>-3.3289891183405258</v>
      </c>
      <c r="X35" s="143">
        <f t="shared" si="133"/>
        <v>0.58103525241156984</v>
      </c>
      <c r="Y35" s="143">
        <f t="shared" si="133"/>
        <v>1.0843091513423957</v>
      </c>
      <c r="Z35" s="143">
        <f t="shared" si="133"/>
        <v>1.7222797490007895</v>
      </c>
      <c r="AA35" s="43"/>
      <c r="AB35" s="76">
        <f>SUM(Z35/V35)-1</f>
        <v>-1.6170779418969852</v>
      </c>
    </row>
    <row r="36" spans="1:28">
      <c r="B36" s="16"/>
      <c r="C36" s="17"/>
      <c r="D36" s="17"/>
      <c r="E36" s="17"/>
      <c r="F36" s="2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28"/>
      <c r="S36" s="17"/>
      <c r="T36" s="17"/>
      <c r="U36" s="17"/>
      <c r="V36" s="17"/>
      <c r="W36" s="17"/>
      <c r="X36" s="17"/>
      <c r="Y36" s="17"/>
      <c r="Z36" s="17"/>
      <c r="AA36" s="43"/>
    </row>
    <row r="37" spans="1:28" ht="12.75" customHeight="1">
      <c r="A37" s="5" t="s">
        <v>16</v>
      </c>
      <c r="B37" s="106" t="s">
        <v>71</v>
      </c>
      <c r="C37" s="107"/>
      <c r="D37" s="107"/>
      <c r="E37" s="107"/>
      <c r="F37" s="108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6"/>
      <c r="S37" s="107"/>
      <c r="T37" s="107"/>
      <c r="U37" s="107" t="s">
        <v>10</v>
      </c>
      <c r="V37" s="107"/>
      <c r="W37" s="107"/>
      <c r="X37" s="107"/>
      <c r="Y37" s="107"/>
      <c r="Z37" s="107"/>
      <c r="AA37" s="108"/>
      <c r="AB37" s="160" t="s">
        <v>22</v>
      </c>
    </row>
    <row r="38" spans="1:28" ht="12.75" customHeight="1">
      <c r="B38" s="110" t="str">
        <f t="shared" ref="B38:E39" si="134">B7</f>
        <v>Fiscal Period</v>
      </c>
      <c r="C38" s="109">
        <f t="shared" si="134"/>
        <v>2022</v>
      </c>
      <c r="D38" s="109">
        <f t="shared" si="134"/>
        <v>2023</v>
      </c>
      <c r="E38" s="109">
        <f t="shared" si="134"/>
        <v>2024</v>
      </c>
      <c r="F38" s="108"/>
      <c r="G38" s="109" t="str">
        <f t="shared" ref="G38:Q38" si="135">G7</f>
        <v>1Q23</v>
      </c>
      <c r="H38" s="109" t="str">
        <f t="shared" si="135"/>
        <v>2Q23</v>
      </c>
      <c r="I38" s="109" t="str">
        <f t="shared" si="135"/>
        <v>3Q23</v>
      </c>
      <c r="J38" s="109" t="str">
        <f t="shared" si="135"/>
        <v>4Q23</v>
      </c>
      <c r="K38" s="109" t="str">
        <f t="shared" si="135"/>
        <v>1Q24</v>
      </c>
      <c r="L38" s="109" t="str">
        <f t="shared" si="135"/>
        <v>2Q24</v>
      </c>
      <c r="M38" s="109" t="str">
        <f t="shared" si="135"/>
        <v>3Q24</v>
      </c>
      <c r="N38" s="109" t="str">
        <f t="shared" si="135"/>
        <v>4Q24</v>
      </c>
      <c r="O38" s="109" t="str">
        <f t="shared" si="135"/>
        <v>1Q25</v>
      </c>
      <c r="P38" s="109" t="str">
        <f t="shared" si="135"/>
        <v>2Q25</v>
      </c>
      <c r="Q38" s="109" t="str">
        <f t="shared" si="135"/>
        <v>3Q25</v>
      </c>
      <c r="R38" s="111"/>
      <c r="S38" s="109" t="str">
        <f t="shared" ref="S38:Z39" si="136">S7</f>
        <v>4Q23</v>
      </c>
      <c r="T38" s="109" t="str">
        <f t="shared" si="136"/>
        <v>1Q24</v>
      </c>
      <c r="U38" s="109" t="str">
        <f t="shared" si="136"/>
        <v>2Q24</v>
      </c>
      <c r="V38" s="109" t="str">
        <f t="shared" si="136"/>
        <v>3Q24</v>
      </c>
      <c r="W38" s="109" t="str">
        <f t="shared" si="136"/>
        <v>4Q24</v>
      </c>
      <c r="X38" s="109" t="str">
        <f t="shared" si="136"/>
        <v>1Q25</v>
      </c>
      <c r="Y38" s="109" t="str">
        <f t="shared" si="136"/>
        <v>2Q25</v>
      </c>
      <c r="Z38" s="109" t="str">
        <f t="shared" si="136"/>
        <v>3Q25</v>
      </c>
      <c r="AA38" s="108"/>
      <c r="AB38" s="160"/>
    </row>
    <row r="39" spans="1:28" ht="12.75" customHeight="1">
      <c r="B39" s="110" t="str">
        <f t="shared" si="134"/>
        <v>Fiscal Period End Date</v>
      </c>
      <c r="C39" s="112">
        <f t="shared" si="134"/>
        <v>44926</v>
      </c>
      <c r="D39" s="112">
        <f t="shared" si="134"/>
        <v>45291</v>
      </c>
      <c r="E39" s="112">
        <f t="shared" si="134"/>
        <v>45657</v>
      </c>
      <c r="F39" s="108"/>
      <c r="G39" s="112">
        <f t="shared" ref="G39:Q39" si="137">G8</f>
        <v>45016</v>
      </c>
      <c r="H39" s="112">
        <f t="shared" si="137"/>
        <v>45107</v>
      </c>
      <c r="I39" s="112">
        <f t="shared" si="137"/>
        <v>45199</v>
      </c>
      <c r="J39" s="112">
        <f t="shared" si="137"/>
        <v>45291</v>
      </c>
      <c r="K39" s="112">
        <f t="shared" si="137"/>
        <v>45382</v>
      </c>
      <c r="L39" s="112">
        <f t="shared" si="137"/>
        <v>45473</v>
      </c>
      <c r="M39" s="112">
        <f t="shared" si="137"/>
        <v>45565</v>
      </c>
      <c r="N39" s="112">
        <f t="shared" si="137"/>
        <v>45657</v>
      </c>
      <c r="O39" s="112">
        <f t="shared" si="137"/>
        <v>45747</v>
      </c>
      <c r="P39" s="112">
        <f t="shared" si="137"/>
        <v>45838</v>
      </c>
      <c r="Q39" s="112">
        <f t="shared" si="137"/>
        <v>45930</v>
      </c>
      <c r="R39" s="113"/>
      <c r="S39" s="112">
        <f t="shared" si="136"/>
        <v>45291</v>
      </c>
      <c r="T39" s="112">
        <f t="shared" si="136"/>
        <v>45382</v>
      </c>
      <c r="U39" s="112">
        <f t="shared" si="136"/>
        <v>45473</v>
      </c>
      <c r="V39" s="112">
        <f t="shared" si="136"/>
        <v>45565</v>
      </c>
      <c r="W39" s="112">
        <f t="shared" si="136"/>
        <v>45657</v>
      </c>
      <c r="X39" s="112">
        <f t="shared" si="136"/>
        <v>45747</v>
      </c>
      <c r="Y39" s="112">
        <f t="shared" si="136"/>
        <v>45838</v>
      </c>
      <c r="Z39" s="112">
        <f t="shared" si="136"/>
        <v>45930</v>
      </c>
      <c r="AA39" s="108"/>
      <c r="AB39" s="160"/>
    </row>
    <row r="40" spans="1:28" ht="5.0999999999999996" customHeight="1">
      <c r="B40" s="46"/>
      <c r="C40" s="47"/>
      <c r="D40" s="47"/>
      <c r="E40" s="47"/>
    </row>
    <row r="41" spans="1:28">
      <c r="B41" s="78" t="s">
        <v>76</v>
      </c>
      <c r="C41" s="47"/>
      <c r="D41" s="47"/>
      <c r="E41" s="47"/>
    </row>
    <row r="42" spans="1:28" s="122" customFormat="1" ht="12.75" customHeight="1">
      <c r="B42" s="114" t="s">
        <v>129</v>
      </c>
      <c r="C42" s="123">
        <v>435860</v>
      </c>
      <c r="D42" s="82">
        <v>401176</v>
      </c>
      <c r="E42" s="82">
        <v>562092</v>
      </c>
      <c r="G42" s="82">
        <v>525327</v>
      </c>
      <c r="H42" s="82">
        <v>439665</v>
      </c>
      <c r="I42" s="82">
        <f>434364-50</f>
        <v>434314</v>
      </c>
      <c r="J42" s="32">
        <f t="shared" ref="J42:J45" si="138">D42</f>
        <v>401176</v>
      </c>
      <c r="K42" s="82">
        <v>968515</v>
      </c>
      <c r="L42" s="82">
        <v>467952</v>
      </c>
      <c r="M42" s="82">
        <v>515895</v>
      </c>
      <c r="N42" s="32">
        <f t="shared" ref="N42:N45" si="139">E42</f>
        <v>562092</v>
      </c>
      <c r="O42" s="82">
        <v>635727</v>
      </c>
      <c r="P42" s="82">
        <v>734060</v>
      </c>
      <c r="Q42" s="82">
        <v>911653</v>
      </c>
      <c r="S42" s="96">
        <f>J42</f>
        <v>401176</v>
      </c>
      <c r="T42" s="96">
        <f t="shared" ref="S42:Z43" si="140">K42</f>
        <v>968515</v>
      </c>
      <c r="U42" s="96">
        <f t="shared" si="140"/>
        <v>467952</v>
      </c>
      <c r="V42" s="96">
        <f t="shared" si="140"/>
        <v>515895</v>
      </c>
      <c r="W42" s="96">
        <f t="shared" si="140"/>
        <v>562092</v>
      </c>
      <c r="X42" s="96">
        <f t="shared" si="140"/>
        <v>635727</v>
      </c>
      <c r="Y42" s="96">
        <f t="shared" si="140"/>
        <v>734060</v>
      </c>
      <c r="Z42" s="96">
        <f t="shared" si="140"/>
        <v>911653</v>
      </c>
      <c r="AA42" s="124"/>
      <c r="AB42" s="75">
        <f>SUM(Z42/V42)-1</f>
        <v>0.76712897004235359</v>
      </c>
    </row>
    <row r="43" spans="1:28" s="122" customFormat="1" ht="12.75" customHeight="1">
      <c r="B43" s="114" t="s">
        <v>119</v>
      </c>
      <c r="C43" s="163"/>
      <c r="D43" s="82">
        <v>811946</v>
      </c>
      <c r="E43" s="82">
        <v>1278717</v>
      </c>
      <c r="G43" s="165"/>
      <c r="H43" s="165"/>
      <c r="I43" s="165"/>
      <c r="J43" s="32">
        <f t="shared" si="138"/>
        <v>811946</v>
      </c>
      <c r="K43" s="82">
        <v>701835</v>
      </c>
      <c r="L43" s="82">
        <v>1231099</v>
      </c>
      <c r="M43" s="82">
        <v>1229072</v>
      </c>
      <c r="N43" s="32">
        <f t="shared" si="139"/>
        <v>1278717</v>
      </c>
      <c r="O43" s="82">
        <v>1315415</v>
      </c>
      <c r="P43" s="82">
        <v>1325881</v>
      </c>
      <c r="Q43" s="82">
        <v>1314170</v>
      </c>
      <c r="S43" s="96">
        <f t="shared" si="140"/>
        <v>811946</v>
      </c>
      <c r="T43" s="96">
        <f t="shared" si="140"/>
        <v>701835</v>
      </c>
      <c r="U43" s="96">
        <f t="shared" si="140"/>
        <v>1231099</v>
      </c>
      <c r="V43" s="96">
        <f t="shared" si="140"/>
        <v>1229072</v>
      </c>
      <c r="W43" s="96">
        <f t="shared" si="140"/>
        <v>1278717</v>
      </c>
      <c r="X43" s="96">
        <f t="shared" si="140"/>
        <v>1315415</v>
      </c>
      <c r="Y43" s="96">
        <f t="shared" si="140"/>
        <v>1325881</v>
      </c>
      <c r="Z43" s="96">
        <f t="shared" si="140"/>
        <v>1314170</v>
      </c>
      <c r="AA43" s="124"/>
      <c r="AB43" s="75">
        <f t="shared" ref="AB43" si="141">SUM(Z43/V43)-1</f>
        <v>6.923760365544096E-2</v>
      </c>
    </row>
    <row r="44" spans="1:28" s="122" customFormat="1" ht="12.75" customHeight="1">
      <c r="B44" s="114" t="s">
        <v>130</v>
      </c>
      <c r="C44" s="163"/>
      <c r="D44" s="82">
        <v>245279</v>
      </c>
      <c r="E44" s="82">
        <v>349534</v>
      </c>
      <c r="G44" s="165"/>
      <c r="H44" s="165"/>
      <c r="I44" s="165"/>
      <c r="J44" s="32">
        <f t="shared" si="138"/>
        <v>245279</v>
      </c>
      <c r="K44" s="82">
        <v>215307</v>
      </c>
      <c r="L44" s="82">
        <v>240093</v>
      </c>
      <c r="M44" s="82">
        <v>283890</v>
      </c>
      <c r="N44" s="32">
        <f t="shared" si="139"/>
        <v>349534</v>
      </c>
      <c r="O44" s="82">
        <v>326131</v>
      </c>
      <c r="P44" s="82">
        <v>407228</v>
      </c>
      <c r="Q44" s="82">
        <v>487634</v>
      </c>
      <c r="S44" s="96">
        <f t="shared" ref="S44:Z44" si="142">J44</f>
        <v>245279</v>
      </c>
      <c r="T44" s="96">
        <f t="shared" si="142"/>
        <v>215307</v>
      </c>
      <c r="U44" s="96">
        <f t="shared" si="142"/>
        <v>240093</v>
      </c>
      <c r="V44" s="96">
        <f t="shared" si="142"/>
        <v>283890</v>
      </c>
      <c r="W44" s="96">
        <f t="shared" si="142"/>
        <v>349534</v>
      </c>
      <c r="X44" s="96">
        <f t="shared" si="142"/>
        <v>326131</v>
      </c>
      <c r="Y44" s="96">
        <f t="shared" si="142"/>
        <v>407228</v>
      </c>
      <c r="Z44" s="96">
        <f t="shared" si="142"/>
        <v>487634</v>
      </c>
      <c r="AA44" s="124"/>
      <c r="AB44" s="75">
        <f t="shared" ref="AB44" si="143">SUM(Z44/V44)-1</f>
        <v>0.71768642784176961</v>
      </c>
    </row>
    <row r="45" spans="1:28" s="122" customFormat="1" ht="12.75" customHeight="1">
      <c r="B45" s="114" t="s">
        <v>131</v>
      </c>
      <c r="C45" s="163"/>
      <c r="D45" s="82">
        <v>21286</v>
      </c>
      <c r="E45" s="82">
        <v>33058</v>
      </c>
      <c r="G45" s="165"/>
      <c r="H45" s="165"/>
      <c r="I45" s="165"/>
      <c r="J45" s="32">
        <f t="shared" si="138"/>
        <v>21286</v>
      </c>
      <c r="K45" s="82">
        <v>34368</v>
      </c>
      <c r="L45" s="82">
        <v>41599</v>
      </c>
      <c r="M45" s="82">
        <v>31974</v>
      </c>
      <c r="N45" s="32">
        <f t="shared" si="139"/>
        <v>33058</v>
      </c>
      <c r="O45" s="82">
        <v>51397</v>
      </c>
      <c r="P45" s="82">
        <v>62761</v>
      </c>
      <c r="Q45" s="82">
        <v>56122</v>
      </c>
      <c r="S45" s="96">
        <f t="shared" ref="S45:Z45" si="144">J45</f>
        <v>21286</v>
      </c>
      <c r="T45" s="96">
        <f t="shared" si="144"/>
        <v>34368</v>
      </c>
      <c r="U45" s="96">
        <f t="shared" si="144"/>
        <v>41599</v>
      </c>
      <c r="V45" s="96">
        <f t="shared" si="144"/>
        <v>31974</v>
      </c>
      <c r="W45" s="96">
        <f t="shared" si="144"/>
        <v>33058</v>
      </c>
      <c r="X45" s="96">
        <f t="shared" si="144"/>
        <v>51397</v>
      </c>
      <c r="Y45" s="96">
        <f t="shared" si="144"/>
        <v>62761</v>
      </c>
      <c r="Z45" s="96">
        <f t="shared" si="144"/>
        <v>56122</v>
      </c>
      <c r="AA45" s="124"/>
      <c r="AB45" s="75">
        <f t="shared" ref="AB45" si="145">SUM(Z45/V45)-1</f>
        <v>0.75523863138800285</v>
      </c>
    </row>
    <row r="46" spans="1:28" ht="12.75" customHeight="1">
      <c r="B46" s="25" t="s">
        <v>18</v>
      </c>
      <c r="C46" s="26">
        <f>SUM(C42:C45)</f>
        <v>435860</v>
      </c>
      <c r="D46" s="26">
        <f>SUM(D42:D45)</f>
        <v>1479687</v>
      </c>
      <c r="E46" s="26">
        <f>SUM(E42:E45)</f>
        <v>2223401</v>
      </c>
      <c r="F46" s="48"/>
      <c r="G46" s="26">
        <f t="shared" ref="G46:Q46" si="146">SUM(G42:G45)</f>
        <v>525327</v>
      </c>
      <c r="H46" s="26">
        <f t="shared" si="146"/>
        <v>439665</v>
      </c>
      <c r="I46" s="26">
        <f t="shared" si="146"/>
        <v>434314</v>
      </c>
      <c r="J46" s="26">
        <f t="shared" si="146"/>
        <v>1479687</v>
      </c>
      <c r="K46" s="26">
        <f t="shared" si="146"/>
        <v>1920025</v>
      </c>
      <c r="L46" s="26">
        <f t="shared" si="146"/>
        <v>1980743</v>
      </c>
      <c r="M46" s="26">
        <f t="shared" si="146"/>
        <v>2060831</v>
      </c>
      <c r="N46" s="26">
        <f t="shared" si="146"/>
        <v>2223401</v>
      </c>
      <c r="O46" s="26">
        <f t="shared" si="146"/>
        <v>2328670</v>
      </c>
      <c r="P46" s="26">
        <f t="shared" si="146"/>
        <v>2529930</v>
      </c>
      <c r="Q46" s="26">
        <f t="shared" si="146"/>
        <v>2769579</v>
      </c>
      <c r="R46" s="48"/>
      <c r="S46" s="26">
        <f t="shared" ref="S46:Z46" si="147">SUM(S42:S45)</f>
        <v>1479687</v>
      </c>
      <c r="T46" s="26">
        <f t="shared" si="147"/>
        <v>1920025</v>
      </c>
      <c r="U46" s="26">
        <f t="shared" si="147"/>
        <v>1980743</v>
      </c>
      <c r="V46" s="26">
        <f t="shared" si="147"/>
        <v>2060831</v>
      </c>
      <c r="W46" s="26">
        <f t="shared" si="147"/>
        <v>2223401</v>
      </c>
      <c r="X46" s="26">
        <f t="shared" si="147"/>
        <v>2328670</v>
      </c>
      <c r="Y46" s="26">
        <f t="shared" si="147"/>
        <v>2529930</v>
      </c>
      <c r="Z46" s="26">
        <f t="shared" si="147"/>
        <v>2769579</v>
      </c>
      <c r="AA46" s="42"/>
      <c r="AB46" s="76">
        <f>SUM(Z46/V46)-1</f>
        <v>0.34391369306847586</v>
      </c>
    </row>
    <row r="47" spans="1:28" ht="5.0999999999999996" customHeight="1">
      <c r="B47" s="25"/>
      <c r="C47" s="49"/>
      <c r="D47" s="41"/>
      <c r="E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S47" s="42"/>
      <c r="T47" s="42"/>
      <c r="U47" s="42"/>
      <c r="V47" s="42"/>
      <c r="W47" s="42"/>
      <c r="X47" s="42"/>
      <c r="Y47" s="42"/>
      <c r="Z47" s="42"/>
      <c r="AA47" s="42"/>
      <c r="AB47" s="39"/>
    </row>
    <row r="48" spans="1:28" ht="12.75" customHeight="1">
      <c r="B48" s="78" t="s">
        <v>77</v>
      </c>
      <c r="C48" s="82"/>
      <c r="D48" s="82"/>
      <c r="E48" s="82"/>
      <c r="G48" s="82"/>
      <c r="H48" s="82"/>
      <c r="I48" s="82"/>
      <c r="J48" s="82"/>
      <c r="K48" s="82"/>
      <c r="L48" s="82"/>
      <c r="M48" s="82"/>
      <c r="N48" s="82"/>
      <c r="O48" s="32"/>
      <c r="P48" s="82"/>
      <c r="Q48" s="82"/>
      <c r="S48" s="32"/>
      <c r="T48" s="32"/>
      <c r="U48" s="32"/>
      <c r="V48" s="32"/>
      <c r="W48" s="32"/>
      <c r="X48" s="32"/>
      <c r="Y48" s="32"/>
      <c r="Z48" s="32"/>
      <c r="AA48" s="11"/>
      <c r="AB48" s="75"/>
    </row>
    <row r="49" spans="2:28" ht="12.75" customHeight="1">
      <c r="B49" s="9" t="s">
        <v>132</v>
      </c>
      <c r="C49" s="163"/>
      <c r="D49" s="82">
        <v>14946</v>
      </c>
      <c r="E49" s="82">
        <v>12652</v>
      </c>
      <c r="G49" s="165"/>
      <c r="H49" s="165"/>
      <c r="I49" s="165"/>
      <c r="J49" s="32">
        <f t="shared" ref="J49:J53" si="148">D49</f>
        <v>14946</v>
      </c>
      <c r="K49" s="82">
        <v>14385</v>
      </c>
      <c r="L49" s="82">
        <v>14168</v>
      </c>
      <c r="M49" s="82">
        <v>13775</v>
      </c>
      <c r="N49" s="32">
        <f t="shared" ref="N49:N53" si="149">E49</f>
        <v>12652</v>
      </c>
      <c r="O49" s="82">
        <v>11607</v>
      </c>
      <c r="P49" s="82">
        <v>11394</v>
      </c>
      <c r="Q49" s="82">
        <v>12936</v>
      </c>
      <c r="S49" s="32">
        <f t="shared" ref="S49:Z50" si="150">J49</f>
        <v>14946</v>
      </c>
      <c r="T49" s="32">
        <f t="shared" si="150"/>
        <v>14385</v>
      </c>
      <c r="U49" s="32">
        <f t="shared" si="150"/>
        <v>14168</v>
      </c>
      <c r="V49" s="32">
        <f t="shared" si="150"/>
        <v>13775</v>
      </c>
      <c r="W49" s="32">
        <f t="shared" si="150"/>
        <v>12652</v>
      </c>
      <c r="X49" s="32">
        <f t="shared" si="150"/>
        <v>11607</v>
      </c>
      <c r="Y49" s="32">
        <f t="shared" si="150"/>
        <v>11394</v>
      </c>
      <c r="Z49" s="32">
        <f t="shared" si="150"/>
        <v>12936</v>
      </c>
      <c r="AA49" s="11"/>
      <c r="AB49" s="75">
        <f t="shared" ref="AB49:AB54" si="151">SUM(Z49/V49)-1</f>
        <v>-6.0907441016333941E-2</v>
      </c>
    </row>
    <row r="50" spans="2:28" ht="12.75" customHeight="1">
      <c r="B50" s="9" t="s">
        <v>133</v>
      </c>
      <c r="C50" s="163"/>
      <c r="D50" s="82">
        <v>24008</v>
      </c>
      <c r="E50" s="82">
        <v>23249</v>
      </c>
      <c r="G50" s="165"/>
      <c r="H50" s="165"/>
      <c r="I50" s="165"/>
      <c r="J50" s="32">
        <f t="shared" si="148"/>
        <v>24008</v>
      </c>
      <c r="K50" s="82">
        <v>22754</v>
      </c>
      <c r="L50" s="82">
        <v>25107</v>
      </c>
      <c r="M50" s="82">
        <v>23872</v>
      </c>
      <c r="N50" s="32">
        <f t="shared" si="149"/>
        <v>23249</v>
      </c>
      <c r="O50" s="82">
        <v>23408</v>
      </c>
      <c r="P50" s="82">
        <v>22118</v>
      </c>
      <c r="Q50" s="82">
        <v>22469</v>
      </c>
      <c r="S50" s="32">
        <f t="shared" si="150"/>
        <v>24008</v>
      </c>
      <c r="T50" s="32">
        <f t="shared" si="150"/>
        <v>22754</v>
      </c>
      <c r="U50" s="32">
        <f t="shared" si="150"/>
        <v>25107</v>
      </c>
      <c r="V50" s="32">
        <f t="shared" si="150"/>
        <v>23872</v>
      </c>
      <c r="W50" s="32">
        <f t="shared" si="150"/>
        <v>23249</v>
      </c>
      <c r="X50" s="32">
        <f t="shared" si="150"/>
        <v>23408</v>
      </c>
      <c r="Y50" s="32">
        <f t="shared" si="150"/>
        <v>22118</v>
      </c>
      <c r="Z50" s="32">
        <f t="shared" si="150"/>
        <v>22469</v>
      </c>
      <c r="AA50" s="11"/>
      <c r="AB50" s="75">
        <f t="shared" si="151"/>
        <v>-5.877178284182305E-2</v>
      </c>
    </row>
    <row r="51" spans="2:28" ht="12.75" customHeight="1">
      <c r="B51" s="9" t="s">
        <v>134</v>
      </c>
      <c r="C51" s="163"/>
      <c r="D51" s="82">
        <v>32147</v>
      </c>
      <c r="E51" s="82">
        <v>25424</v>
      </c>
      <c r="G51" s="165"/>
      <c r="H51" s="165"/>
      <c r="I51" s="165"/>
      <c r="J51" s="32">
        <f t="shared" si="148"/>
        <v>32147</v>
      </c>
      <c r="K51" s="82">
        <v>29928</v>
      </c>
      <c r="L51" s="82">
        <v>27772</v>
      </c>
      <c r="M51" s="82">
        <v>27904</v>
      </c>
      <c r="N51" s="32">
        <f t="shared" si="149"/>
        <v>25424</v>
      </c>
      <c r="O51" s="82">
        <v>22943</v>
      </c>
      <c r="P51" s="82">
        <v>20469</v>
      </c>
      <c r="Q51" s="82">
        <v>18000</v>
      </c>
      <c r="S51" s="32">
        <f t="shared" ref="S51" si="152">J51</f>
        <v>32147</v>
      </c>
      <c r="T51" s="32">
        <f t="shared" ref="T51" si="153">K51</f>
        <v>29928</v>
      </c>
      <c r="U51" s="32">
        <f t="shared" ref="U51" si="154">L51</f>
        <v>27772</v>
      </c>
      <c r="V51" s="32">
        <f t="shared" ref="V51" si="155">M51</f>
        <v>27904</v>
      </c>
      <c r="W51" s="32">
        <f t="shared" ref="W51" si="156">N51</f>
        <v>25424</v>
      </c>
      <c r="X51" s="32">
        <f t="shared" ref="X51" si="157">O51</f>
        <v>22943</v>
      </c>
      <c r="Y51" s="32">
        <f t="shared" ref="Y51" si="158">P51</f>
        <v>20469</v>
      </c>
      <c r="Z51" s="32">
        <f t="shared" ref="Z51" si="159">Q51</f>
        <v>18000</v>
      </c>
      <c r="AA51" s="11"/>
      <c r="AB51" s="75">
        <f t="shared" ref="AB51" si="160">SUM(Z51/V51)-1</f>
        <v>-0.35493119266055051</v>
      </c>
    </row>
    <row r="52" spans="2:28" ht="12.75" customHeight="1">
      <c r="B52" s="9" t="s">
        <v>102</v>
      </c>
      <c r="C52" s="163"/>
      <c r="D52" s="82">
        <v>26299</v>
      </c>
      <c r="E52" s="82">
        <v>42174</v>
      </c>
      <c r="G52" s="165"/>
      <c r="H52" s="165"/>
      <c r="I52" s="165"/>
      <c r="J52" s="32">
        <f t="shared" si="148"/>
        <v>26299</v>
      </c>
      <c r="K52" s="82">
        <v>26299</v>
      </c>
      <c r="L52" s="82">
        <v>26299</v>
      </c>
      <c r="M52" s="82">
        <v>42174</v>
      </c>
      <c r="N52" s="32">
        <f t="shared" si="149"/>
        <v>42174</v>
      </c>
      <c r="O52" s="82">
        <v>42174</v>
      </c>
      <c r="P52" s="82">
        <v>42174</v>
      </c>
      <c r="Q52" s="82">
        <v>42174</v>
      </c>
      <c r="S52" s="32">
        <f t="shared" ref="S52" si="161">J52</f>
        <v>26299</v>
      </c>
      <c r="T52" s="32">
        <f t="shared" ref="T52" si="162">K52</f>
        <v>26299</v>
      </c>
      <c r="U52" s="32">
        <f t="shared" ref="U52" si="163">L52</f>
        <v>26299</v>
      </c>
      <c r="V52" s="32">
        <f t="shared" ref="V52" si="164">M52</f>
        <v>42174</v>
      </c>
      <c r="W52" s="32">
        <f t="shared" ref="W52" si="165">N52</f>
        <v>42174</v>
      </c>
      <c r="X52" s="32">
        <f t="shared" ref="X52" si="166">O52</f>
        <v>42174</v>
      </c>
      <c r="Y52" s="32">
        <f t="shared" ref="Y52" si="167">P52</f>
        <v>42174</v>
      </c>
      <c r="Z52" s="32">
        <f t="shared" ref="Z52" si="168">Q52</f>
        <v>42174</v>
      </c>
      <c r="AA52" s="11"/>
      <c r="AB52" s="75">
        <f t="shared" si="151"/>
        <v>0</v>
      </c>
    </row>
    <row r="53" spans="2:28" ht="12.75" customHeight="1">
      <c r="B53" s="9" t="s">
        <v>135</v>
      </c>
      <c r="C53" s="163"/>
      <c r="D53" s="82">
        <v>19380</v>
      </c>
      <c r="E53" s="82">
        <v>9695</v>
      </c>
      <c r="G53" s="165"/>
      <c r="H53" s="165"/>
      <c r="I53" s="165"/>
      <c r="J53" s="32">
        <f t="shared" si="148"/>
        <v>19380</v>
      </c>
      <c r="K53" s="82">
        <v>2505</v>
      </c>
      <c r="L53" s="82">
        <v>2273</v>
      </c>
      <c r="M53" s="82">
        <v>3152</v>
      </c>
      <c r="N53" s="32">
        <f t="shared" si="149"/>
        <v>9695</v>
      </c>
      <c r="O53" s="82">
        <v>8222</v>
      </c>
      <c r="P53" s="82">
        <v>6117</v>
      </c>
      <c r="Q53" s="82">
        <v>11218</v>
      </c>
      <c r="S53" s="32">
        <f t="shared" ref="S53" si="169">J53</f>
        <v>19380</v>
      </c>
      <c r="T53" s="32">
        <f t="shared" ref="T53" si="170">K53</f>
        <v>2505</v>
      </c>
      <c r="U53" s="32">
        <f t="shared" ref="U53" si="171">L53</f>
        <v>2273</v>
      </c>
      <c r="V53" s="32">
        <f t="shared" ref="V53" si="172">M53</f>
        <v>3152</v>
      </c>
      <c r="W53" s="32">
        <f t="shared" ref="W53" si="173">N53</f>
        <v>9695</v>
      </c>
      <c r="X53" s="32">
        <f t="shared" ref="X53" si="174">O53</f>
        <v>8222</v>
      </c>
      <c r="Y53" s="32">
        <f t="shared" ref="Y53" si="175">P53</f>
        <v>6117</v>
      </c>
      <c r="Z53" s="32">
        <f t="shared" ref="Z53" si="176">Q53</f>
        <v>11218</v>
      </c>
      <c r="AA53" s="11"/>
      <c r="AB53" s="75">
        <f t="shared" ref="AB53" si="177">SUM(Z53/V53)-1</f>
        <v>2.5590101522842641</v>
      </c>
    </row>
    <row r="54" spans="2:28" ht="12.75" customHeight="1">
      <c r="B54" s="13" t="s">
        <v>19</v>
      </c>
      <c r="C54" s="14">
        <f>SUM(C49:C53)+C46</f>
        <v>435860</v>
      </c>
      <c r="D54" s="14">
        <f>SUM(D49:D53)+D46</f>
        <v>1596467</v>
      </c>
      <c r="E54" s="14">
        <f>SUM(E49:E53)+E46</f>
        <v>2336595</v>
      </c>
      <c r="G54" s="14">
        <f t="shared" ref="G54:Q54" si="178">SUM(G49:G53)+G46</f>
        <v>525327</v>
      </c>
      <c r="H54" s="14">
        <f t="shared" si="178"/>
        <v>439665</v>
      </c>
      <c r="I54" s="14">
        <f t="shared" si="178"/>
        <v>434314</v>
      </c>
      <c r="J54" s="14">
        <f t="shared" si="178"/>
        <v>1596467</v>
      </c>
      <c r="K54" s="14">
        <f t="shared" si="178"/>
        <v>2015896</v>
      </c>
      <c r="L54" s="14">
        <f t="shared" si="178"/>
        <v>2076362</v>
      </c>
      <c r="M54" s="14">
        <f t="shared" si="178"/>
        <v>2171708</v>
      </c>
      <c r="N54" s="14">
        <f t="shared" si="178"/>
        <v>2336595</v>
      </c>
      <c r="O54" s="14">
        <f t="shared" si="178"/>
        <v>2437024</v>
      </c>
      <c r="P54" s="14">
        <f t="shared" si="178"/>
        <v>2632202</v>
      </c>
      <c r="Q54" s="14">
        <f t="shared" si="178"/>
        <v>2876376</v>
      </c>
      <c r="S54" s="14">
        <f t="shared" ref="S54:Z54" si="179">SUM(S49:S53)+S46</f>
        <v>1596467</v>
      </c>
      <c r="T54" s="14">
        <f t="shared" si="179"/>
        <v>2015896</v>
      </c>
      <c r="U54" s="14">
        <f t="shared" si="179"/>
        <v>2076362</v>
      </c>
      <c r="V54" s="14">
        <f t="shared" si="179"/>
        <v>2171708</v>
      </c>
      <c r="W54" s="14">
        <f t="shared" si="179"/>
        <v>2336595</v>
      </c>
      <c r="X54" s="14">
        <f t="shared" si="179"/>
        <v>2437024</v>
      </c>
      <c r="Y54" s="14">
        <f t="shared" si="179"/>
        <v>2632202</v>
      </c>
      <c r="Z54" s="34">
        <f t="shared" si="179"/>
        <v>2876376</v>
      </c>
      <c r="AA54" s="42"/>
      <c r="AB54" s="76">
        <f t="shared" si="151"/>
        <v>0.32447640290499469</v>
      </c>
    </row>
    <row r="55" spans="2:28" ht="12.75" customHeight="1">
      <c r="B55" s="25"/>
      <c r="C55" s="50"/>
      <c r="D55" s="41"/>
      <c r="E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S55" s="42"/>
      <c r="T55" s="42"/>
      <c r="U55" s="42"/>
      <c r="V55" s="42"/>
      <c r="W55" s="42"/>
      <c r="X55" s="42"/>
      <c r="Y55" s="42"/>
      <c r="Z55" s="42"/>
      <c r="AA55" s="42"/>
      <c r="AB55" s="39"/>
    </row>
    <row r="56" spans="2:28" ht="12.75" customHeight="1">
      <c r="B56" s="78" t="s">
        <v>45</v>
      </c>
      <c r="C56" s="50"/>
      <c r="D56" s="41"/>
      <c r="E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S56" s="42"/>
      <c r="T56" s="42"/>
      <c r="U56" s="42"/>
      <c r="V56" s="42"/>
      <c r="W56" s="42"/>
      <c r="X56" s="42"/>
      <c r="Y56" s="42"/>
      <c r="Z56" s="42"/>
      <c r="AA56" s="42"/>
      <c r="AB56" s="39"/>
    </row>
    <row r="57" spans="2:28" ht="12.75" customHeight="1">
      <c r="B57" s="120" t="s">
        <v>136</v>
      </c>
      <c r="C57" s="163"/>
      <c r="D57" s="82">
        <v>46514</v>
      </c>
      <c r="E57" s="82">
        <v>45423</v>
      </c>
      <c r="G57" s="165"/>
      <c r="H57" s="165"/>
      <c r="I57" s="165"/>
      <c r="J57" s="32">
        <f t="shared" ref="J57:J59" si="180">D57</f>
        <v>46514</v>
      </c>
      <c r="K57" s="82">
        <v>45378</v>
      </c>
      <c r="L57" s="82">
        <v>64328.999999999993</v>
      </c>
      <c r="M57" s="82">
        <v>62042</v>
      </c>
      <c r="N57" s="32">
        <f t="shared" ref="N57:N59" si="181">E57</f>
        <v>45423</v>
      </c>
      <c r="O57" s="82">
        <v>43870</v>
      </c>
      <c r="P57" s="82">
        <v>63942</v>
      </c>
      <c r="Q57" s="82">
        <v>73053</v>
      </c>
      <c r="S57" s="97">
        <f t="shared" ref="S57:Z59" si="182">J57</f>
        <v>46514</v>
      </c>
      <c r="T57" s="97">
        <f t="shared" si="182"/>
        <v>45378</v>
      </c>
      <c r="U57" s="97">
        <f t="shared" si="182"/>
        <v>64328.999999999993</v>
      </c>
      <c r="V57" s="97">
        <f t="shared" si="182"/>
        <v>62042</v>
      </c>
      <c r="W57" s="97">
        <f t="shared" si="182"/>
        <v>45423</v>
      </c>
      <c r="X57" s="97">
        <f t="shared" si="182"/>
        <v>43870</v>
      </c>
      <c r="Y57" s="97">
        <f t="shared" si="182"/>
        <v>63942</v>
      </c>
      <c r="Z57" s="97">
        <f t="shared" si="182"/>
        <v>73053</v>
      </c>
      <c r="AA57" s="11"/>
      <c r="AB57" s="75">
        <f t="shared" ref="AB57:AB60" si="183">SUM(Z57/V57)-1</f>
        <v>0.17747654814480507</v>
      </c>
    </row>
    <row r="58" spans="2:28" ht="12.75" customHeight="1">
      <c r="B58" s="120" t="s">
        <v>137</v>
      </c>
      <c r="C58" s="163"/>
      <c r="D58" s="82">
        <v>3707</v>
      </c>
      <c r="E58" s="82">
        <v>6137</v>
      </c>
      <c r="G58" s="165"/>
      <c r="H58" s="165"/>
      <c r="I58" s="165"/>
      <c r="J58" s="32">
        <f t="shared" si="180"/>
        <v>3707</v>
      </c>
      <c r="K58" s="82">
        <v>4383</v>
      </c>
      <c r="L58" s="82">
        <v>5368</v>
      </c>
      <c r="M58" s="82">
        <v>5398</v>
      </c>
      <c r="N58" s="32">
        <f t="shared" si="181"/>
        <v>6137</v>
      </c>
      <c r="O58" s="82">
        <v>6376</v>
      </c>
      <c r="P58" s="82">
        <v>6572</v>
      </c>
      <c r="Q58" s="82">
        <v>6872</v>
      </c>
      <c r="S58" s="97">
        <f t="shared" si="182"/>
        <v>3707</v>
      </c>
      <c r="T58" s="97">
        <f t="shared" si="182"/>
        <v>4383</v>
      </c>
      <c r="U58" s="97">
        <f t="shared" si="182"/>
        <v>5368</v>
      </c>
      <c r="V58" s="97">
        <f t="shared" si="182"/>
        <v>5398</v>
      </c>
      <c r="W58" s="97">
        <f t="shared" si="182"/>
        <v>6137</v>
      </c>
      <c r="X58" s="97">
        <f t="shared" si="182"/>
        <v>6376</v>
      </c>
      <c r="Y58" s="97">
        <f t="shared" si="182"/>
        <v>6572</v>
      </c>
      <c r="Z58" s="97">
        <f t="shared" si="182"/>
        <v>6872</v>
      </c>
      <c r="AA58" s="11"/>
      <c r="AB58" s="75">
        <f t="shared" ref="AB58" si="184">SUM(Z58/V58)-1</f>
        <v>0.27306409781400509</v>
      </c>
    </row>
    <row r="59" spans="2:28" ht="12.75" customHeight="1">
      <c r="B59" s="120" t="s">
        <v>138</v>
      </c>
      <c r="C59" s="163"/>
      <c r="D59" s="82">
        <v>83349</v>
      </c>
      <c r="E59" s="82">
        <v>124464</v>
      </c>
      <c r="G59" s="165"/>
      <c r="H59" s="165"/>
      <c r="I59" s="165"/>
      <c r="J59" s="32">
        <f t="shared" si="180"/>
        <v>83349</v>
      </c>
      <c r="K59" s="82">
        <v>106724</v>
      </c>
      <c r="L59" s="82">
        <v>89818</v>
      </c>
      <c r="M59" s="82">
        <v>104844</v>
      </c>
      <c r="N59" s="32">
        <f t="shared" si="181"/>
        <v>124464</v>
      </c>
      <c r="O59" s="82">
        <v>136575</v>
      </c>
      <c r="P59" s="82">
        <v>140317</v>
      </c>
      <c r="Q59" s="82">
        <v>148400</v>
      </c>
      <c r="S59" s="97">
        <f t="shared" si="182"/>
        <v>83349</v>
      </c>
      <c r="T59" s="97">
        <f t="shared" si="182"/>
        <v>106724</v>
      </c>
      <c r="U59" s="97">
        <f t="shared" si="182"/>
        <v>89818</v>
      </c>
      <c r="V59" s="97">
        <f t="shared" si="182"/>
        <v>104844</v>
      </c>
      <c r="W59" s="97">
        <f t="shared" si="182"/>
        <v>124464</v>
      </c>
      <c r="X59" s="97">
        <f t="shared" si="182"/>
        <v>136575</v>
      </c>
      <c r="Y59" s="97">
        <f t="shared" si="182"/>
        <v>140317</v>
      </c>
      <c r="Z59" s="97">
        <f t="shared" si="182"/>
        <v>148400</v>
      </c>
      <c r="AA59" s="11"/>
      <c r="AB59" s="75">
        <f t="shared" ref="AB59" si="185">SUM(Z59/V59)-1</f>
        <v>0.41543626721605431</v>
      </c>
    </row>
    <row r="60" spans="2:28" ht="12.75" customHeight="1">
      <c r="B60" s="25" t="s">
        <v>17</v>
      </c>
      <c r="C60" s="26">
        <f>SUM(C57:C59)</f>
        <v>0</v>
      </c>
      <c r="D60" s="26">
        <f>SUM(D57:D59)</f>
        <v>133570</v>
      </c>
      <c r="E60" s="26">
        <f>SUM(E57:E59)</f>
        <v>176024</v>
      </c>
      <c r="G60" s="26">
        <f t="shared" ref="G60:Q60" si="186">SUM(G57:G59)</f>
        <v>0</v>
      </c>
      <c r="H60" s="26">
        <f t="shared" si="186"/>
        <v>0</v>
      </c>
      <c r="I60" s="26">
        <f t="shared" si="186"/>
        <v>0</v>
      </c>
      <c r="J60" s="26">
        <f t="shared" si="186"/>
        <v>133570</v>
      </c>
      <c r="K60" s="26">
        <f t="shared" si="186"/>
        <v>156485</v>
      </c>
      <c r="L60" s="26">
        <f t="shared" si="186"/>
        <v>159515</v>
      </c>
      <c r="M60" s="26">
        <f t="shared" si="186"/>
        <v>172284</v>
      </c>
      <c r="N60" s="26">
        <f t="shared" si="186"/>
        <v>176024</v>
      </c>
      <c r="O60" s="26">
        <f t="shared" si="186"/>
        <v>186821</v>
      </c>
      <c r="P60" s="26">
        <f t="shared" si="186"/>
        <v>210831</v>
      </c>
      <c r="Q60" s="26">
        <f t="shared" si="186"/>
        <v>228325</v>
      </c>
      <c r="R60" s="48"/>
      <c r="S60" s="26">
        <f t="shared" ref="S60:Z60" si="187">SUM(S57:S59)</f>
        <v>133570</v>
      </c>
      <c r="T60" s="26">
        <f t="shared" si="187"/>
        <v>156485</v>
      </c>
      <c r="U60" s="26">
        <f t="shared" si="187"/>
        <v>159515</v>
      </c>
      <c r="V60" s="26">
        <f t="shared" si="187"/>
        <v>172284</v>
      </c>
      <c r="W60" s="26">
        <f t="shared" si="187"/>
        <v>176024</v>
      </c>
      <c r="X60" s="26">
        <f t="shared" si="187"/>
        <v>186821</v>
      </c>
      <c r="Y60" s="26">
        <f t="shared" si="187"/>
        <v>210831</v>
      </c>
      <c r="Z60" s="26">
        <f t="shared" si="187"/>
        <v>228325</v>
      </c>
      <c r="AA60" s="42"/>
      <c r="AB60" s="76">
        <f t="shared" si="183"/>
        <v>0.32528267279608092</v>
      </c>
    </row>
    <row r="61" spans="2:28" ht="5.0999999999999996" customHeight="1">
      <c r="B61" s="25"/>
      <c r="C61" s="50"/>
      <c r="D61" s="41"/>
      <c r="E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S61" s="42"/>
      <c r="T61" s="42"/>
      <c r="U61" s="42"/>
      <c r="V61" s="42"/>
      <c r="W61" s="42"/>
      <c r="X61" s="42"/>
      <c r="Y61" s="42"/>
      <c r="Z61" s="42"/>
      <c r="AA61" s="42"/>
      <c r="AB61" s="39"/>
    </row>
    <row r="62" spans="2:28">
      <c r="B62" s="78" t="s">
        <v>78</v>
      </c>
      <c r="C62" s="50"/>
      <c r="D62" s="41"/>
      <c r="E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S62" s="42"/>
      <c r="T62" s="42"/>
      <c r="U62" s="42"/>
      <c r="V62" s="42"/>
      <c r="W62" s="42"/>
      <c r="X62" s="42"/>
      <c r="Y62" s="42"/>
      <c r="Z62" s="42"/>
      <c r="AA62" s="42"/>
      <c r="AB62" s="39"/>
    </row>
    <row r="63" spans="2:28" ht="12.75" customHeight="1">
      <c r="B63" s="120" t="s">
        <v>139</v>
      </c>
      <c r="C63" s="163"/>
      <c r="D63" s="82">
        <v>22040</v>
      </c>
      <c r="E63" s="82">
        <v>20565</v>
      </c>
      <c r="F63" s="51"/>
      <c r="G63" s="165"/>
      <c r="H63" s="165"/>
      <c r="I63" s="165"/>
      <c r="J63" s="32">
        <f t="shared" ref="J63:J64" si="188">D63</f>
        <v>22040</v>
      </c>
      <c r="K63" s="82">
        <v>20835</v>
      </c>
      <c r="L63" s="82">
        <v>22757</v>
      </c>
      <c r="M63" s="82">
        <v>21567</v>
      </c>
      <c r="N63" s="32">
        <f t="shared" ref="N63:N64" si="189">E63</f>
        <v>20565</v>
      </c>
      <c r="O63" s="82">
        <v>20174</v>
      </c>
      <c r="P63" s="82">
        <v>18611</v>
      </c>
      <c r="Q63" s="82">
        <v>18162</v>
      </c>
      <c r="R63" s="121"/>
      <c r="S63" s="97">
        <f t="shared" ref="S63:Z63" si="190">J63</f>
        <v>22040</v>
      </c>
      <c r="T63" s="97">
        <f t="shared" si="190"/>
        <v>20835</v>
      </c>
      <c r="U63" s="97">
        <f t="shared" si="190"/>
        <v>22757</v>
      </c>
      <c r="V63" s="97">
        <f t="shared" si="190"/>
        <v>21567</v>
      </c>
      <c r="W63" s="97">
        <f t="shared" si="190"/>
        <v>20565</v>
      </c>
      <c r="X63" s="97">
        <f t="shared" si="190"/>
        <v>20174</v>
      </c>
      <c r="Y63" s="97">
        <f t="shared" si="190"/>
        <v>18611</v>
      </c>
      <c r="Z63" s="97">
        <f t="shared" si="190"/>
        <v>18162</v>
      </c>
      <c r="AA63" s="42"/>
      <c r="AB63" s="75">
        <f t="shared" ref="AB63:AB76" si="191">SUM(Z63/V63)-1</f>
        <v>-0.15788009458895536</v>
      </c>
    </row>
    <row r="64" spans="2:28" ht="12.75" customHeight="1">
      <c r="B64" s="120" t="s">
        <v>140</v>
      </c>
      <c r="C64" s="163"/>
      <c r="D64" s="82">
        <v>287</v>
      </c>
      <c r="E64" s="82">
        <v>9257</v>
      </c>
      <c r="F64" s="51"/>
      <c r="G64" s="165"/>
      <c r="H64" s="165"/>
      <c r="I64" s="165"/>
      <c r="J64" s="32">
        <f t="shared" si="188"/>
        <v>287</v>
      </c>
      <c r="K64" s="82">
        <v>276</v>
      </c>
      <c r="L64" s="82">
        <v>255</v>
      </c>
      <c r="M64" s="82">
        <v>249</v>
      </c>
      <c r="N64" s="32">
        <f t="shared" si="189"/>
        <v>9257</v>
      </c>
      <c r="O64" s="82">
        <v>12908</v>
      </c>
      <c r="P64" s="82">
        <v>15780</v>
      </c>
      <c r="Q64" s="82">
        <v>19226</v>
      </c>
      <c r="R64" s="121"/>
      <c r="S64" s="97">
        <f t="shared" ref="S64" si="192">J64</f>
        <v>287</v>
      </c>
      <c r="T64" s="97">
        <f t="shared" ref="T64" si="193">K64</f>
        <v>276</v>
      </c>
      <c r="U64" s="97">
        <f t="shared" ref="U64" si="194">L64</f>
        <v>255</v>
      </c>
      <c r="V64" s="97">
        <f t="shared" ref="V64" si="195">M64</f>
        <v>249</v>
      </c>
      <c r="W64" s="97">
        <f t="shared" ref="W64" si="196">N64</f>
        <v>9257</v>
      </c>
      <c r="X64" s="97">
        <f t="shared" ref="X64" si="197">O64</f>
        <v>12908</v>
      </c>
      <c r="Y64" s="97">
        <f t="shared" ref="Y64" si="198">P64</f>
        <v>15780</v>
      </c>
      <c r="Z64" s="97">
        <f t="shared" ref="Z64" si="199">Q64</f>
        <v>19226</v>
      </c>
      <c r="AA64" s="42"/>
      <c r="AB64" s="75">
        <f t="shared" si="191"/>
        <v>76.212851405622487</v>
      </c>
    </row>
    <row r="65" spans="2:28" ht="12.75" customHeight="1">
      <c r="B65" s="13" t="s">
        <v>15</v>
      </c>
      <c r="C65" s="14">
        <f>SUM(C63:C64)+C60</f>
        <v>0</v>
      </c>
      <c r="D65" s="14">
        <f>SUM(D63:D64)+D60</f>
        <v>155897</v>
      </c>
      <c r="E65" s="14">
        <f>SUM(E63:E64)+E60</f>
        <v>205846</v>
      </c>
      <c r="G65" s="14">
        <f t="shared" ref="G65:Q65" si="200">SUM(G63:G64)+G60</f>
        <v>0</v>
      </c>
      <c r="H65" s="14">
        <f t="shared" si="200"/>
        <v>0</v>
      </c>
      <c r="I65" s="14">
        <f t="shared" si="200"/>
        <v>0</v>
      </c>
      <c r="J65" s="14">
        <f t="shared" si="200"/>
        <v>155897</v>
      </c>
      <c r="K65" s="14">
        <f t="shared" si="200"/>
        <v>177596</v>
      </c>
      <c r="L65" s="14">
        <f t="shared" si="200"/>
        <v>182527</v>
      </c>
      <c r="M65" s="14">
        <f t="shared" si="200"/>
        <v>194100</v>
      </c>
      <c r="N65" s="14">
        <f t="shared" si="200"/>
        <v>205846</v>
      </c>
      <c r="O65" s="14">
        <f t="shared" si="200"/>
        <v>219903</v>
      </c>
      <c r="P65" s="14">
        <f t="shared" si="200"/>
        <v>245222</v>
      </c>
      <c r="Q65" s="14">
        <f t="shared" si="200"/>
        <v>265713</v>
      </c>
      <c r="S65" s="14">
        <f t="shared" ref="S65:Z65" si="201">SUM(S63:S64)+S60</f>
        <v>155897</v>
      </c>
      <c r="T65" s="14">
        <f t="shared" si="201"/>
        <v>177596</v>
      </c>
      <c r="U65" s="14">
        <f t="shared" si="201"/>
        <v>182527</v>
      </c>
      <c r="V65" s="14">
        <f t="shared" si="201"/>
        <v>194100</v>
      </c>
      <c r="W65" s="14">
        <f t="shared" si="201"/>
        <v>205846</v>
      </c>
      <c r="X65" s="14">
        <f t="shared" si="201"/>
        <v>219903</v>
      </c>
      <c r="Y65" s="14">
        <f t="shared" si="201"/>
        <v>245222</v>
      </c>
      <c r="Z65" s="14">
        <f t="shared" si="201"/>
        <v>265713</v>
      </c>
      <c r="AA65" s="42"/>
      <c r="AB65" s="76">
        <f t="shared" si="191"/>
        <v>0.36894899536321479</v>
      </c>
    </row>
    <row r="66" spans="2:28" ht="5.0999999999999996" customHeight="1">
      <c r="B66" s="25"/>
      <c r="C66" s="49"/>
      <c r="D66" s="41"/>
      <c r="E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S66" s="42"/>
      <c r="T66" s="42"/>
      <c r="U66" s="42"/>
      <c r="V66" s="42"/>
      <c r="W66" s="42"/>
      <c r="X66" s="42"/>
      <c r="Y66" s="42"/>
      <c r="Z66" s="42"/>
      <c r="AA66" s="42"/>
      <c r="AB66" s="39"/>
    </row>
    <row r="67" spans="2:28" ht="12.75" customHeight="1">
      <c r="B67" s="9" t="s">
        <v>141</v>
      </c>
      <c r="C67" s="163"/>
      <c r="D67" s="82">
        <v>1853492</v>
      </c>
      <c r="E67" s="82">
        <v>0</v>
      </c>
      <c r="F67" s="32"/>
      <c r="G67" s="165"/>
      <c r="H67" s="165"/>
      <c r="I67" s="165"/>
      <c r="J67" s="32">
        <f t="shared" ref="J67:J74" si="202">D67</f>
        <v>1853492</v>
      </c>
      <c r="K67" s="82">
        <v>0</v>
      </c>
      <c r="L67" s="82">
        <v>0</v>
      </c>
      <c r="M67" s="82">
        <v>0</v>
      </c>
      <c r="N67" s="32">
        <f t="shared" ref="N67:N74" si="203">E67</f>
        <v>0</v>
      </c>
      <c r="O67" s="82">
        <v>0</v>
      </c>
      <c r="P67" s="82">
        <v>0</v>
      </c>
      <c r="Q67" s="82">
        <v>0</v>
      </c>
      <c r="S67" s="32">
        <f t="shared" ref="S67:Z74" si="204">J67</f>
        <v>1853492</v>
      </c>
      <c r="T67" s="32">
        <f t="shared" si="204"/>
        <v>0</v>
      </c>
      <c r="U67" s="32">
        <f t="shared" si="204"/>
        <v>0</v>
      </c>
      <c r="V67" s="32">
        <f t="shared" si="204"/>
        <v>0</v>
      </c>
      <c r="W67" s="32">
        <f t="shared" si="204"/>
        <v>0</v>
      </c>
      <c r="X67" s="32">
        <f t="shared" si="204"/>
        <v>0</v>
      </c>
      <c r="Y67" s="32">
        <f t="shared" si="204"/>
        <v>0</v>
      </c>
      <c r="Z67" s="32">
        <f t="shared" si="204"/>
        <v>0</v>
      </c>
      <c r="AA67" s="11"/>
      <c r="AB67" s="75" t="e">
        <f t="shared" ref="AB67:AB73" si="205">SUM(Z67/V67)-1</f>
        <v>#DIV/0!</v>
      </c>
    </row>
    <row r="68" spans="2:28" ht="12.75" customHeight="1">
      <c r="B68" s="9" t="s">
        <v>142</v>
      </c>
      <c r="C68" s="163"/>
      <c r="D68" s="82">
        <v>0</v>
      </c>
      <c r="E68" s="82">
        <v>0</v>
      </c>
      <c r="F68" s="32"/>
      <c r="G68" s="165"/>
      <c r="H68" s="165"/>
      <c r="I68" s="165"/>
      <c r="J68" s="32">
        <f t="shared" si="202"/>
        <v>0</v>
      </c>
      <c r="K68" s="82">
        <v>0</v>
      </c>
      <c r="L68" s="82">
        <v>0</v>
      </c>
      <c r="M68" s="82">
        <v>0</v>
      </c>
      <c r="N68" s="32">
        <f t="shared" si="203"/>
        <v>0</v>
      </c>
      <c r="O68" s="82">
        <v>0</v>
      </c>
      <c r="P68" s="82">
        <v>0</v>
      </c>
      <c r="Q68" s="82">
        <v>0</v>
      </c>
      <c r="S68" s="32">
        <f t="shared" si="204"/>
        <v>0</v>
      </c>
      <c r="T68" s="32">
        <f t="shared" si="204"/>
        <v>0</v>
      </c>
      <c r="U68" s="32">
        <f t="shared" si="204"/>
        <v>0</v>
      </c>
      <c r="V68" s="32">
        <f t="shared" si="204"/>
        <v>0</v>
      </c>
      <c r="W68" s="32">
        <f t="shared" si="204"/>
        <v>0</v>
      </c>
      <c r="X68" s="32">
        <f t="shared" si="204"/>
        <v>0</v>
      </c>
      <c r="Y68" s="32">
        <f t="shared" si="204"/>
        <v>0</v>
      </c>
      <c r="Z68" s="32">
        <f t="shared" si="204"/>
        <v>0</v>
      </c>
      <c r="AA68" s="11"/>
      <c r="AB68" s="75" t="e">
        <f t="shared" si="205"/>
        <v>#DIV/0!</v>
      </c>
    </row>
    <row r="69" spans="2:28" ht="12.75" customHeight="1">
      <c r="B69" s="9" t="s">
        <v>143</v>
      </c>
      <c r="C69" s="163"/>
      <c r="D69" s="82">
        <v>0</v>
      </c>
      <c r="E69" s="82">
        <v>12</v>
      </c>
      <c r="F69" s="32"/>
      <c r="G69" s="165"/>
      <c r="H69" s="165"/>
      <c r="I69" s="165"/>
      <c r="J69" s="32">
        <f t="shared" si="202"/>
        <v>0</v>
      </c>
      <c r="K69" s="82">
        <v>4</v>
      </c>
      <c r="L69" s="82">
        <v>6</v>
      </c>
      <c r="M69" s="82">
        <v>12</v>
      </c>
      <c r="N69" s="32">
        <f t="shared" si="203"/>
        <v>12</v>
      </c>
      <c r="O69" s="82">
        <v>13</v>
      </c>
      <c r="P69" s="82">
        <v>13</v>
      </c>
      <c r="Q69" s="82">
        <v>14</v>
      </c>
      <c r="S69" s="32">
        <f t="shared" ref="S69" si="206">J69</f>
        <v>0</v>
      </c>
      <c r="T69" s="32">
        <f t="shared" ref="T69" si="207">K69</f>
        <v>4</v>
      </c>
      <c r="U69" s="32">
        <f t="shared" ref="U69" si="208">L69</f>
        <v>6</v>
      </c>
      <c r="V69" s="32">
        <f t="shared" ref="V69" si="209">M69</f>
        <v>12</v>
      </c>
      <c r="W69" s="32">
        <f t="shared" ref="W69" si="210">N69</f>
        <v>12</v>
      </c>
      <c r="X69" s="32">
        <f t="shared" ref="X69" si="211">O69</f>
        <v>13</v>
      </c>
      <c r="Y69" s="32">
        <f t="shared" ref="Y69" si="212">P69</f>
        <v>13</v>
      </c>
      <c r="Z69" s="32">
        <f t="shared" ref="Z69" si="213">Q69</f>
        <v>14</v>
      </c>
      <c r="AA69" s="11"/>
      <c r="AB69" s="75">
        <f t="shared" si="205"/>
        <v>0.16666666666666674</v>
      </c>
    </row>
    <row r="70" spans="2:28" ht="12.75" customHeight="1">
      <c r="B70" s="9" t="s">
        <v>144</v>
      </c>
      <c r="C70" s="163"/>
      <c r="D70" s="82">
        <v>6</v>
      </c>
      <c r="E70" s="82">
        <v>5</v>
      </c>
      <c r="F70" s="32"/>
      <c r="G70" s="165"/>
      <c r="H70" s="165"/>
      <c r="I70" s="165"/>
      <c r="J70" s="32">
        <f t="shared" si="202"/>
        <v>6</v>
      </c>
      <c r="K70" s="82">
        <v>12</v>
      </c>
      <c r="L70" s="82">
        <v>11</v>
      </c>
      <c r="M70" s="82">
        <v>5</v>
      </c>
      <c r="N70" s="32">
        <f t="shared" si="203"/>
        <v>5</v>
      </c>
      <c r="O70" s="82">
        <v>5</v>
      </c>
      <c r="P70" s="82">
        <v>5</v>
      </c>
      <c r="Q70" s="82">
        <v>5</v>
      </c>
      <c r="S70" s="32">
        <f t="shared" ref="S70:S71" si="214">J70</f>
        <v>6</v>
      </c>
      <c r="T70" s="32">
        <f t="shared" ref="T70:T71" si="215">K70</f>
        <v>12</v>
      </c>
      <c r="U70" s="32">
        <f t="shared" ref="U70:U71" si="216">L70</f>
        <v>11</v>
      </c>
      <c r="V70" s="32">
        <f t="shared" ref="V70:V71" si="217">M70</f>
        <v>5</v>
      </c>
      <c r="W70" s="32">
        <f t="shared" ref="W70:W71" si="218">N70</f>
        <v>5</v>
      </c>
      <c r="X70" s="32">
        <f t="shared" ref="X70:X71" si="219">O70</f>
        <v>5</v>
      </c>
      <c r="Y70" s="32">
        <f t="shared" ref="Y70:Y71" si="220">P70</f>
        <v>5</v>
      </c>
      <c r="Z70" s="32">
        <f t="shared" ref="Z70:Z71" si="221">Q70</f>
        <v>5</v>
      </c>
      <c r="AA70" s="11"/>
      <c r="AB70" s="75">
        <f t="shared" si="205"/>
        <v>0</v>
      </c>
    </row>
    <row r="71" spans="2:28" ht="12.75" customHeight="1">
      <c r="B71" s="9" t="s">
        <v>145</v>
      </c>
      <c r="C71" s="163"/>
      <c r="D71" s="82">
        <v>0</v>
      </c>
      <c r="E71" s="82">
        <v>0</v>
      </c>
      <c r="F71" s="32"/>
      <c r="G71" s="165"/>
      <c r="H71" s="165"/>
      <c r="I71" s="165"/>
      <c r="J71" s="32">
        <f t="shared" si="202"/>
        <v>0</v>
      </c>
      <c r="K71" s="82">
        <v>0</v>
      </c>
      <c r="L71" s="82">
        <v>0</v>
      </c>
      <c r="M71" s="82">
        <v>0</v>
      </c>
      <c r="N71" s="32">
        <f t="shared" si="203"/>
        <v>0</v>
      </c>
      <c r="O71" s="82">
        <v>0</v>
      </c>
      <c r="P71" s="82">
        <v>0</v>
      </c>
      <c r="Q71" s="82">
        <v>0</v>
      </c>
      <c r="S71" s="32">
        <f t="shared" si="214"/>
        <v>0</v>
      </c>
      <c r="T71" s="32">
        <f t="shared" si="215"/>
        <v>0</v>
      </c>
      <c r="U71" s="32">
        <f t="shared" si="216"/>
        <v>0</v>
      </c>
      <c r="V71" s="32">
        <f t="shared" si="217"/>
        <v>0</v>
      </c>
      <c r="W71" s="32">
        <f t="shared" si="218"/>
        <v>0</v>
      </c>
      <c r="X71" s="32">
        <f t="shared" si="219"/>
        <v>0</v>
      </c>
      <c r="Y71" s="32">
        <f t="shared" si="220"/>
        <v>0</v>
      </c>
      <c r="Z71" s="32">
        <f t="shared" si="221"/>
        <v>0</v>
      </c>
      <c r="AA71" s="11"/>
      <c r="AB71" s="75" t="e">
        <f t="shared" si="205"/>
        <v>#DIV/0!</v>
      </c>
    </row>
    <row r="72" spans="2:28" ht="12.75" customHeight="1">
      <c r="B72" s="9" t="s">
        <v>146</v>
      </c>
      <c r="C72" s="163"/>
      <c r="D72" s="82">
        <v>302820</v>
      </c>
      <c r="E72" s="82">
        <v>3331546</v>
      </c>
      <c r="F72" s="32"/>
      <c r="G72" s="165"/>
      <c r="H72" s="165"/>
      <c r="I72" s="165"/>
      <c r="J72" s="32">
        <f t="shared" si="202"/>
        <v>302820</v>
      </c>
      <c r="K72" s="82">
        <v>3130384</v>
      </c>
      <c r="L72" s="82">
        <v>3196549</v>
      </c>
      <c r="M72" s="82">
        <v>3245315</v>
      </c>
      <c r="N72" s="32">
        <f t="shared" si="203"/>
        <v>3331546</v>
      </c>
      <c r="O72" s="82">
        <v>3390469</v>
      </c>
      <c r="P72" s="82">
        <v>3468618</v>
      </c>
      <c r="Q72" s="82">
        <v>3529552</v>
      </c>
      <c r="S72" s="32">
        <f t="shared" si="204"/>
        <v>302820</v>
      </c>
      <c r="T72" s="32">
        <f t="shared" si="204"/>
        <v>3130384</v>
      </c>
      <c r="U72" s="32">
        <f t="shared" si="204"/>
        <v>3196549</v>
      </c>
      <c r="V72" s="32">
        <f t="shared" si="204"/>
        <v>3245315</v>
      </c>
      <c r="W72" s="32">
        <f t="shared" si="204"/>
        <v>3331546</v>
      </c>
      <c r="X72" s="32">
        <f t="shared" si="204"/>
        <v>3390469</v>
      </c>
      <c r="Y72" s="32">
        <f t="shared" si="204"/>
        <v>3468618</v>
      </c>
      <c r="Z72" s="32">
        <f t="shared" si="204"/>
        <v>3529552</v>
      </c>
      <c r="AA72" s="11"/>
      <c r="AB72" s="75">
        <f t="shared" si="205"/>
        <v>8.7583793869008053E-2</v>
      </c>
    </row>
    <row r="73" spans="2:28" ht="12.75" customHeight="1">
      <c r="B73" s="9" t="s">
        <v>147</v>
      </c>
      <c r="C73" s="163"/>
      <c r="D73" s="82">
        <v>814</v>
      </c>
      <c r="E73" s="82">
        <v>24</v>
      </c>
      <c r="F73" s="32"/>
      <c r="G73" s="165"/>
      <c r="H73" s="165"/>
      <c r="I73" s="165"/>
      <c r="J73" s="32">
        <f t="shared" si="202"/>
        <v>814</v>
      </c>
      <c r="K73" s="82">
        <v>-472</v>
      </c>
      <c r="L73" s="82">
        <v>-1004</v>
      </c>
      <c r="M73" s="82">
        <v>4150</v>
      </c>
      <c r="N73" s="32">
        <f t="shared" si="203"/>
        <v>24</v>
      </c>
      <c r="O73" s="82">
        <v>1314</v>
      </c>
      <c r="P73" s="82">
        <v>3727</v>
      </c>
      <c r="Q73" s="82">
        <v>3812</v>
      </c>
      <c r="S73" s="32">
        <f t="shared" ref="S73" si="222">J73</f>
        <v>814</v>
      </c>
      <c r="T73" s="32">
        <f t="shared" ref="T73" si="223">K73</f>
        <v>-472</v>
      </c>
      <c r="U73" s="32">
        <f t="shared" ref="U73" si="224">L73</f>
        <v>-1004</v>
      </c>
      <c r="V73" s="32">
        <f t="shared" ref="V73" si="225">M73</f>
        <v>4150</v>
      </c>
      <c r="W73" s="32">
        <f t="shared" ref="W73" si="226">N73</f>
        <v>24</v>
      </c>
      <c r="X73" s="32">
        <f t="shared" ref="X73" si="227">O73</f>
        <v>1314</v>
      </c>
      <c r="Y73" s="32">
        <f t="shared" ref="Y73" si="228">P73</f>
        <v>3727</v>
      </c>
      <c r="Z73" s="32">
        <f t="shared" ref="Z73" si="229">Q73</f>
        <v>3812</v>
      </c>
      <c r="AA73" s="11"/>
      <c r="AB73" s="75">
        <f t="shared" si="205"/>
        <v>-8.1445783132530147E-2</v>
      </c>
    </row>
    <row r="74" spans="2:28" ht="12.75" customHeight="1">
      <c r="B74" s="9" t="s">
        <v>148</v>
      </c>
      <c r="C74" s="163"/>
      <c r="D74" s="82">
        <v>-716562</v>
      </c>
      <c r="E74" s="82">
        <v>-1200838</v>
      </c>
      <c r="F74" s="32"/>
      <c r="G74" s="165"/>
      <c r="H74" s="165"/>
      <c r="I74" s="165"/>
      <c r="J74" s="32">
        <f t="shared" si="202"/>
        <v>-716562</v>
      </c>
      <c r="K74" s="82">
        <v>-1291628</v>
      </c>
      <c r="L74" s="82">
        <v>-1301727</v>
      </c>
      <c r="M74" s="82">
        <v>-1271874</v>
      </c>
      <c r="N74" s="32">
        <f t="shared" si="203"/>
        <v>-1200838</v>
      </c>
      <c r="O74" s="82">
        <v>-1174680</v>
      </c>
      <c r="P74" s="82">
        <v>-1085383</v>
      </c>
      <c r="Q74" s="82">
        <v>-922720</v>
      </c>
      <c r="S74" s="32">
        <f t="shared" si="204"/>
        <v>-716562</v>
      </c>
      <c r="T74" s="32">
        <f t="shared" si="204"/>
        <v>-1291628</v>
      </c>
      <c r="U74" s="32">
        <f t="shared" si="204"/>
        <v>-1301727</v>
      </c>
      <c r="V74" s="32">
        <f t="shared" si="204"/>
        <v>-1271874</v>
      </c>
      <c r="W74" s="32">
        <f t="shared" si="204"/>
        <v>-1200838</v>
      </c>
      <c r="X74" s="32">
        <f t="shared" si="204"/>
        <v>-1174680</v>
      </c>
      <c r="Y74" s="32">
        <f t="shared" si="204"/>
        <v>-1085383</v>
      </c>
      <c r="Z74" s="32">
        <f t="shared" si="204"/>
        <v>-922720</v>
      </c>
      <c r="AA74" s="11"/>
      <c r="AB74" s="75">
        <f t="shared" si="191"/>
        <v>-0.27451933131741035</v>
      </c>
    </row>
    <row r="75" spans="2:28" ht="12.75" customHeight="1">
      <c r="B75" s="13" t="s">
        <v>14</v>
      </c>
      <c r="C75" s="14">
        <f t="shared" ref="C75:E75" si="230">SUM(C67:C74)</f>
        <v>0</v>
      </c>
      <c r="D75" s="14">
        <f t="shared" si="230"/>
        <v>1440570</v>
      </c>
      <c r="E75" s="14">
        <f t="shared" si="230"/>
        <v>2130749</v>
      </c>
      <c r="F75" s="52"/>
      <c r="G75" s="14">
        <f t="shared" ref="G75:Q75" si="231">SUM(G67:G74)</f>
        <v>0</v>
      </c>
      <c r="H75" s="14">
        <f t="shared" si="231"/>
        <v>0</v>
      </c>
      <c r="I75" s="14">
        <f t="shared" si="231"/>
        <v>0</v>
      </c>
      <c r="J75" s="14">
        <f t="shared" si="231"/>
        <v>1440570</v>
      </c>
      <c r="K75" s="14">
        <f t="shared" si="231"/>
        <v>1838300</v>
      </c>
      <c r="L75" s="14">
        <f t="shared" si="231"/>
        <v>1893835</v>
      </c>
      <c r="M75" s="14">
        <f t="shared" si="231"/>
        <v>1977608</v>
      </c>
      <c r="N75" s="14">
        <f t="shared" si="231"/>
        <v>2130749</v>
      </c>
      <c r="O75" s="14">
        <f t="shared" si="231"/>
        <v>2217121</v>
      </c>
      <c r="P75" s="14">
        <f t="shared" si="231"/>
        <v>2386980</v>
      </c>
      <c r="Q75" s="14">
        <f t="shared" si="231"/>
        <v>2610663</v>
      </c>
      <c r="S75" s="14">
        <f t="shared" ref="S75:Z75" si="232">SUM(S67:S74)</f>
        <v>1440570</v>
      </c>
      <c r="T75" s="14">
        <f t="shared" si="232"/>
        <v>1838300</v>
      </c>
      <c r="U75" s="14">
        <f t="shared" si="232"/>
        <v>1893835</v>
      </c>
      <c r="V75" s="14">
        <f t="shared" si="232"/>
        <v>1977608</v>
      </c>
      <c r="W75" s="14">
        <f t="shared" si="232"/>
        <v>2130749</v>
      </c>
      <c r="X75" s="14">
        <f t="shared" si="232"/>
        <v>2217121</v>
      </c>
      <c r="Y75" s="14">
        <f t="shared" si="232"/>
        <v>2386980</v>
      </c>
      <c r="Z75" s="14">
        <f t="shared" si="232"/>
        <v>2610663</v>
      </c>
      <c r="AA75" s="42"/>
      <c r="AB75" s="75">
        <f t="shared" si="191"/>
        <v>0.32011146799567958</v>
      </c>
    </row>
    <row r="76" spans="2:28" ht="12.75" customHeight="1">
      <c r="B76" s="25" t="s">
        <v>49</v>
      </c>
      <c r="C76" s="32">
        <f t="shared" ref="C76:E76" si="233">SUM(C75+C65)</f>
        <v>0</v>
      </c>
      <c r="D76" s="32">
        <f t="shared" si="233"/>
        <v>1596467</v>
      </c>
      <c r="E76" s="32">
        <f t="shared" si="233"/>
        <v>2336595</v>
      </c>
      <c r="F76" s="32"/>
      <c r="G76" s="165"/>
      <c r="H76" s="165"/>
      <c r="I76" s="165"/>
      <c r="J76" s="32">
        <f t="shared" ref="J76:Q76" si="234">SUM(J75+J65)</f>
        <v>1596467</v>
      </c>
      <c r="K76" s="32">
        <f t="shared" si="234"/>
        <v>2015896</v>
      </c>
      <c r="L76" s="32">
        <f t="shared" si="234"/>
        <v>2076362</v>
      </c>
      <c r="M76" s="32">
        <f t="shared" si="234"/>
        <v>2171708</v>
      </c>
      <c r="N76" s="32">
        <f t="shared" si="234"/>
        <v>2336595</v>
      </c>
      <c r="O76" s="32">
        <f t="shared" si="234"/>
        <v>2437024</v>
      </c>
      <c r="P76" s="32">
        <f t="shared" si="234"/>
        <v>2632202</v>
      </c>
      <c r="Q76" s="32">
        <f t="shared" si="234"/>
        <v>2876376</v>
      </c>
      <c r="R76" s="32"/>
      <c r="S76" s="32">
        <f t="shared" ref="S76:Z76" si="235">SUM(S75+S65)</f>
        <v>1596467</v>
      </c>
      <c r="T76" s="32">
        <f t="shared" si="235"/>
        <v>2015896</v>
      </c>
      <c r="U76" s="32">
        <f t="shared" si="235"/>
        <v>2076362</v>
      </c>
      <c r="V76" s="32">
        <f t="shared" si="235"/>
        <v>2171708</v>
      </c>
      <c r="W76" s="32">
        <f t="shared" si="235"/>
        <v>2336595</v>
      </c>
      <c r="X76" s="32">
        <f t="shared" si="235"/>
        <v>2437024</v>
      </c>
      <c r="Y76" s="32">
        <f t="shared" si="235"/>
        <v>2632202</v>
      </c>
      <c r="Z76" s="32">
        <f t="shared" si="235"/>
        <v>2876376</v>
      </c>
      <c r="AA76" s="11"/>
      <c r="AB76" s="76">
        <f t="shared" si="191"/>
        <v>0.32447640290499469</v>
      </c>
    </row>
    <row r="77" spans="2:28" ht="5.0999999999999996" customHeight="1">
      <c r="B77" s="25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11"/>
    </row>
    <row r="78" spans="2:28" ht="12.75" customHeight="1">
      <c r="B78" s="139" t="s">
        <v>57</v>
      </c>
      <c r="C78" s="163"/>
      <c r="D78" s="69">
        <f>D76-D54</f>
        <v>0</v>
      </c>
      <c r="E78" s="69">
        <f>E76-E54</f>
        <v>0</v>
      </c>
      <c r="F78" s="70"/>
      <c r="G78" s="165"/>
      <c r="H78" s="165"/>
      <c r="I78" s="165"/>
      <c r="J78" s="69">
        <f t="shared" ref="J78:Q78" si="236">J76-J54</f>
        <v>0</v>
      </c>
      <c r="K78" s="69">
        <f t="shared" si="236"/>
        <v>0</v>
      </c>
      <c r="L78" s="69">
        <f t="shared" si="236"/>
        <v>0</v>
      </c>
      <c r="M78" s="69">
        <f t="shared" si="236"/>
        <v>0</v>
      </c>
      <c r="N78" s="69">
        <f t="shared" si="236"/>
        <v>0</v>
      </c>
      <c r="O78" s="69">
        <f t="shared" si="236"/>
        <v>0</v>
      </c>
      <c r="P78" s="69">
        <f t="shared" si="236"/>
        <v>0</v>
      </c>
      <c r="Q78" s="69">
        <f t="shared" si="236"/>
        <v>0</v>
      </c>
      <c r="R78" s="28"/>
      <c r="S78" s="69">
        <f t="shared" ref="S78:Z78" si="237">S76-S54</f>
        <v>0</v>
      </c>
      <c r="T78" s="69">
        <f t="shared" si="237"/>
        <v>0</v>
      </c>
      <c r="U78" s="69">
        <f t="shared" si="237"/>
        <v>0</v>
      </c>
      <c r="V78" s="69">
        <f t="shared" si="237"/>
        <v>0</v>
      </c>
      <c r="W78" s="69">
        <f t="shared" si="237"/>
        <v>0</v>
      </c>
      <c r="X78" s="69">
        <f t="shared" si="237"/>
        <v>0</v>
      </c>
      <c r="Y78" s="69">
        <f t="shared" si="237"/>
        <v>0</v>
      </c>
      <c r="Z78" s="69">
        <f t="shared" si="237"/>
        <v>0</v>
      </c>
    </row>
    <row r="79" spans="2:28" ht="5.0999999999999996" customHeight="1" thickBot="1">
      <c r="B79" s="116"/>
      <c r="C79" s="117"/>
      <c r="D79" s="117"/>
      <c r="E79" s="117"/>
      <c r="F79" s="118"/>
      <c r="G79" s="117"/>
      <c r="H79" s="117"/>
      <c r="I79" s="117"/>
      <c r="J79" s="117"/>
      <c r="K79" s="117"/>
      <c r="L79" s="117"/>
      <c r="M79" s="117"/>
      <c r="N79" s="117"/>
      <c r="O79" s="117"/>
      <c r="P79" s="117"/>
      <c r="Q79" s="117"/>
      <c r="R79" s="119"/>
      <c r="S79" s="117"/>
      <c r="T79" s="117"/>
      <c r="U79" s="117"/>
      <c r="V79" s="117"/>
      <c r="W79" s="117"/>
      <c r="X79" s="117"/>
      <c r="Y79" s="117"/>
      <c r="Z79" s="117"/>
      <c r="AA79" s="73"/>
      <c r="AB79" s="73"/>
    </row>
    <row r="80" spans="2:28">
      <c r="B80" s="68"/>
      <c r="C80" s="24"/>
      <c r="D80" s="24"/>
      <c r="E80" s="24"/>
      <c r="F80" s="53"/>
    </row>
    <row r="81" spans="1:28" ht="12.75" customHeight="1">
      <c r="A81" s="5" t="s">
        <v>16</v>
      </c>
      <c r="B81" s="98" t="s">
        <v>13</v>
      </c>
      <c r="C81" s="102"/>
      <c r="D81" s="102"/>
      <c r="E81" s="102"/>
      <c r="F81" s="103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98"/>
      <c r="S81" s="102"/>
      <c r="T81" s="102"/>
      <c r="U81" s="102" t="s">
        <v>10</v>
      </c>
      <c r="V81" s="102"/>
      <c r="W81" s="102"/>
      <c r="X81" s="102"/>
      <c r="Y81" s="102"/>
      <c r="Z81" s="102"/>
      <c r="AA81" s="103"/>
      <c r="AB81" s="161" t="s">
        <v>22</v>
      </c>
    </row>
    <row r="82" spans="1:28" ht="12.75" customHeight="1">
      <c r="B82" s="99" t="str">
        <f t="shared" ref="B82:E83" si="238">B7</f>
        <v>Fiscal Period</v>
      </c>
      <c r="C82" s="104">
        <f t="shared" si="238"/>
        <v>2022</v>
      </c>
      <c r="D82" s="104">
        <f t="shared" si="238"/>
        <v>2023</v>
      </c>
      <c r="E82" s="104">
        <f t="shared" si="238"/>
        <v>2024</v>
      </c>
      <c r="F82" s="103"/>
      <c r="G82" s="104" t="str">
        <f t="shared" ref="G82:Q82" si="239">G7</f>
        <v>1Q23</v>
      </c>
      <c r="H82" s="104" t="str">
        <f t="shared" si="239"/>
        <v>2Q23</v>
      </c>
      <c r="I82" s="104" t="str">
        <f t="shared" si="239"/>
        <v>3Q23</v>
      </c>
      <c r="J82" s="104" t="str">
        <f t="shared" si="239"/>
        <v>4Q23</v>
      </c>
      <c r="K82" s="104" t="str">
        <f t="shared" si="239"/>
        <v>1Q24</v>
      </c>
      <c r="L82" s="104" t="str">
        <f t="shared" si="239"/>
        <v>2Q24</v>
      </c>
      <c r="M82" s="104" t="str">
        <f t="shared" si="239"/>
        <v>3Q24</v>
      </c>
      <c r="N82" s="104" t="str">
        <f t="shared" si="239"/>
        <v>4Q24</v>
      </c>
      <c r="O82" s="104" t="str">
        <f t="shared" si="239"/>
        <v>1Q25</v>
      </c>
      <c r="P82" s="104" t="str">
        <f t="shared" si="239"/>
        <v>2Q25</v>
      </c>
      <c r="Q82" s="104" t="str">
        <f t="shared" si="239"/>
        <v>3Q25</v>
      </c>
      <c r="R82" s="104"/>
      <c r="S82" s="104" t="str">
        <f t="shared" ref="S82:Z83" si="240">S7</f>
        <v>4Q23</v>
      </c>
      <c r="T82" s="104" t="str">
        <f t="shared" si="240"/>
        <v>1Q24</v>
      </c>
      <c r="U82" s="104" t="str">
        <f t="shared" si="240"/>
        <v>2Q24</v>
      </c>
      <c r="V82" s="104" t="str">
        <f t="shared" si="240"/>
        <v>3Q24</v>
      </c>
      <c r="W82" s="104" t="str">
        <f t="shared" si="240"/>
        <v>4Q24</v>
      </c>
      <c r="X82" s="104" t="str">
        <f t="shared" si="240"/>
        <v>1Q25</v>
      </c>
      <c r="Y82" s="104" t="str">
        <f t="shared" si="240"/>
        <v>2Q25</v>
      </c>
      <c r="Z82" s="104" t="str">
        <f t="shared" si="240"/>
        <v>3Q25</v>
      </c>
      <c r="AA82" s="103"/>
      <c r="AB82" s="161"/>
    </row>
    <row r="83" spans="1:28" ht="12.75" customHeight="1">
      <c r="B83" s="99" t="str">
        <f t="shared" si="238"/>
        <v>Fiscal Period End Date</v>
      </c>
      <c r="C83" s="105">
        <f t="shared" si="238"/>
        <v>44926</v>
      </c>
      <c r="D83" s="105">
        <f t="shared" si="238"/>
        <v>45291</v>
      </c>
      <c r="E83" s="105">
        <f t="shared" si="238"/>
        <v>45657</v>
      </c>
      <c r="F83" s="103"/>
      <c r="G83" s="105">
        <f t="shared" ref="G83:Q83" si="241">G8</f>
        <v>45016</v>
      </c>
      <c r="H83" s="105">
        <f t="shared" si="241"/>
        <v>45107</v>
      </c>
      <c r="I83" s="105">
        <f t="shared" si="241"/>
        <v>45199</v>
      </c>
      <c r="J83" s="105">
        <f t="shared" si="241"/>
        <v>45291</v>
      </c>
      <c r="K83" s="105">
        <f t="shared" si="241"/>
        <v>45382</v>
      </c>
      <c r="L83" s="105">
        <f t="shared" si="241"/>
        <v>45473</v>
      </c>
      <c r="M83" s="105">
        <f t="shared" si="241"/>
        <v>45565</v>
      </c>
      <c r="N83" s="105">
        <f t="shared" si="241"/>
        <v>45657</v>
      </c>
      <c r="O83" s="105">
        <f t="shared" si="241"/>
        <v>45747</v>
      </c>
      <c r="P83" s="105">
        <f t="shared" si="241"/>
        <v>45838</v>
      </c>
      <c r="Q83" s="105">
        <f t="shared" si="241"/>
        <v>45930</v>
      </c>
      <c r="R83" s="105"/>
      <c r="S83" s="105">
        <f t="shared" si="240"/>
        <v>45291</v>
      </c>
      <c r="T83" s="105">
        <f t="shared" si="240"/>
        <v>45382</v>
      </c>
      <c r="U83" s="105">
        <f t="shared" si="240"/>
        <v>45473</v>
      </c>
      <c r="V83" s="105">
        <f t="shared" si="240"/>
        <v>45565</v>
      </c>
      <c r="W83" s="105">
        <f t="shared" si="240"/>
        <v>45657</v>
      </c>
      <c r="X83" s="105">
        <f t="shared" si="240"/>
        <v>45747</v>
      </c>
      <c r="Y83" s="105">
        <f t="shared" si="240"/>
        <v>45838</v>
      </c>
      <c r="Z83" s="105">
        <f t="shared" si="240"/>
        <v>45930</v>
      </c>
      <c r="AA83" s="103"/>
      <c r="AB83" s="161"/>
    </row>
    <row r="84" spans="1:28" ht="5.0999999999999996" customHeight="1">
      <c r="B84" s="54"/>
      <c r="C84" s="47"/>
      <c r="D84" s="47"/>
      <c r="E84" s="47"/>
    </row>
    <row r="85" spans="1:28" ht="12.75" customHeight="1">
      <c r="B85" s="55" t="s">
        <v>50</v>
      </c>
      <c r="C85" s="56"/>
      <c r="D85" s="56"/>
      <c r="E85" s="56"/>
    </row>
    <row r="86" spans="1:28" ht="12.75" customHeight="1">
      <c r="B86" s="57" t="s">
        <v>101</v>
      </c>
      <c r="C86" s="32">
        <f>C28</f>
        <v>-158550</v>
      </c>
      <c r="D86" s="32">
        <f>D28</f>
        <v>-90824</v>
      </c>
      <c r="E86" s="32">
        <f>E28</f>
        <v>-484276</v>
      </c>
      <c r="F86" s="32"/>
      <c r="G86" s="32">
        <f t="shared" ref="G86:Q86" si="242">G28</f>
        <v>-60866</v>
      </c>
      <c r="H86" s="32">
        <f t="shared" si="242"/>
        <v>-41109</v>
      </c>
      <c r="I86" s="32">
        <f t="shared" si="242"/>
        <v>-7383</v>
      </c>
      <c r="J86" s="32">
        <f t="shared" si="242"/>
        <v>18534</v>
      </c>
      <c r="K86" s="32">
        <f t="shared" si="242"/>
        <v>-575066</v>
      </c>
      <c r="L86" s="32">
        <f t="shared" si="242"/>
        <v>-10099</v>
      </c>
      <c r="M86" s="32">
        <f t="shared" si="242"/>
        <v>29853</v>
      </c>
      <c r="N86" s="32">
        <f t="shared" si="242"/>
        <v>71036</v>
      </c>
      <c r="O86" s="32">
        <f t="shared" si="242"/>
        <v>26158</v>
      </c>
      <c r="P86" s="32">
        <f t="shared" si="242"/>
        <v>89297</v>
      </c>
      <c r="Q86" s="32">
        <f t="shared" si="242"/>
        <v>162663</v>
      </c>
      <c r="R86" s="32"/>
      <c r="S86" s="32">
        <f t="shared" ref="S86" si="243">SUM(G86:J86)</f>
        <v>-90824</v>
      </c>
      <c r="T86" s="32">
        <f t="shared" ref="T86" si="244">SUM(H86:K86)</f>
        <v>-605024</v>
      </c>
      <c r="U86" s="32">
        <f t="shared" ref="U86" si="245">SUM(I86:L86)</f>
        <v>-574014</v>
      </c>
      <c r="V86" s="32">
        <f t="shared" ref="V86" si="246">SUM(J86:M86)</f>
        <v>-536778</v>
      </c>
      <c r="W86" s="32">
        <f t="shared" ref="W86" si="247">SUM(K86:N86)</f>
        <v>-484276</v>
      </c>
      <c r="X86" s="32">
        <f t="shared" ref="X86" si="248">SUM(L86:O86)</f>
        <v>116948</v>
      </c>
      <c r="Y86" s="32">
        <f t="shared" ref="Y86" si="249">SUM(M86:P86)</f>
        <v>216344</v>
      </c>
      <c r="Z86" s="32">
        <f t="shared" ref="Z86" si="250">SUM(N86:Q86)</f>
        <v>349154</v>
      </c>
      <c r="AA86" s="11"/>
      <c r="AB86" s="75">
        <f>SUM(Z86/V86)-1</f>
        <v>-1.6504625748447217</v>
      </c>
    </row>
    <row r="87" spans="1:28" ht="5.0999999999999996" customHeight="1">
      <c r="B87" s="57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11"/>
      <c r="AB87" s="75"/>
    </row>
    <row r="88" spans="1:28">
      <c r="B88" s="36" t="s">
        <v>169</v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11"/>
      <c r="AB88" s="75"/>
    </row>
    <row r="89" spans="1:28" ht="12.75" customHeight="1">
      <c r="B89" s="60" t="s">
        <v>159</v>
      </c>
      <c r="C89" s="82">
        <v>8000</v>
      </c>
      <c r="D89" s="82">
        <v>13702</v>
      </c>
      <c r="E89" s="82">
        <v>15643</v>
      </c>
      <c r="F89" s="32"/>
      <c r="G89" s="82">
        <v>3338</v>
      </c>
      <c r="H89" s="82">
        <v>3321</v>
      </c>
      <c r="I89" s="82">
        <v>3288</v>
      </c>
      <c r="J89" s="32">
        <f t="shared" ref="J89:J92" si="251">SUM(D89-SUM(G89:I89))</f>
        <v>3755</v>
      </c>
      <c r="K89" s="82">
        <v>3743</v>
      </c>
      <c r="L89" s="82">
        <v>3770</v>
      </c>
      <c r="M89" s="82">
        <v>3969</v>
      </c>
      <c r="N89" s="32">
        <f t="shared" ref="N89:N92" si="252">SUM(E89-SUM(K89:M89))</f>
        <v>4161</v>
      </c>
      <c r="O89" s="82">
        <v>3963</v>
      </c>
      <c r="P89" s="82">
        <v>3934</v>
      </c>
      <c r="Q89" s="82">
        <v>3900</v>
      </c>
      <c r="S89" s="32">
        <f t="shared" ref="S89:S93" si="253">SUM(G89:J89)</f>
        <v>13702</v>
      </c>
      <c r="T89" s="32">
        <f t="shared" ref="T89:T93" si="254">SUM(H89:K89)</f>
        <v>14107</v>
      </c>
      <c r="U89" s="32">
        <f t="shared" ref="U89:U93" si="255">SUM(I89:L89)</f>
        <v>14556</v>
      </c>
      <c r="V89" s="32">
        <f t="shared" ref="V89:V93" si="256">SUM(J89:M89)</f>
        <v>15237</v>
      </c>
      <c r="W89" s="32">
        <f t="shared" ref="W89:W93" si="257">SUM(K89:N89)</f>
        <v>15643</v>
      </c>
      <c r="X89" s="32">
        <f t="shared" ref="X89:X93" si="258">SUM(L89:O89)</f>
        <v>15863</v>
      </c>
      <c r="Y89" s="32">
        <f t="shared" ref="Y89:Y93" si="259">SUM(M89:P89)</f>
        <v>16027</v>
      </c>
      <c r="Z89" s="32">
        <f t="shared" ref="Z89:Z93" si="260">SUM(N89:Q89)</f>
        <v>15958</v>
      </c>
      <c r="AA89" s="11"/>
      <c r="AB89" s="75">
        <f t="shared" ref="AB89:AB93" si="261">SUM(Z89/V89)-1</f>
        <v>4.7319026054997604E-2</v>
      </c>
    </row>
    <row r="90" spans="1:28" ht="12.75" customHeight="1">
      <c r="B90" s="60" t="s">
        <v>158</v>
      </c>
      <c r="C90" s="82">
        <v>10464</v>
      </c>
      <c r="D90" s="82">
        <v>11359</v>
      </c>
      <c r="E90" s="82">
        <v>4110</v>
      </c>
      <c r="F90" s="32"/>
      <c r="G90" s="82">
        <v>3269</v>
      </c>
      <c r="H90" s="82">
        <v>3415</v>
      </c>
      <c r="I90" s="82">
        <v>3428</v>
      </c>
      <c r="J90" s="32">
        <f t="shared" si="251"/>
        <v>1247</v>
      </c>
      <c r="K90" s="82">
        <v>1253</v>
      </c>
      <c r="L90" s="82">
        <v>1335</v>
      </c>
      <c r="M90" s="82">
        <v>1453</v>
      </c>
      <c r="N90" s="32">
        <f t="shared" si="252"/>
        <v>69</v>
      </c>
      <c r="O90" s="82">
        <v>1468</v>
      </c>
      <c r="P90" s="82">
        <v>1514</v>
      </c>
      <c r="Q90" s="82">
        <v>1537</v>
      </c>
      <c r="S90" s="32">
        <f>SUM(G90:J90)</f>
        <v>11359</v>
      </c>
      <c r="T90" s="32">
        <f t="shared" si="254"/>
        <v>9343</v>
      </c>
      <c r="U90" s="32">
        <f t="shared" si="255"/>
        <v>7263</v>
      </c>
      <c r="V90" s="32">
        <f t="shared" si="256"/>
        <v>5288</v>
      </c>
      <c r="W90" s="32">
        <f t="shared" si="257"/>
        <v>4110</v>
      </c>
      <c r="X90" s="32">
        <f t="shared" si="258"/>
        <v>4325</v>
      </c>
      <c r="Y90" s="32">
        <f t="shared" si="259"/>
        <v>4504</v>
      </c>
      <c r="Z90" s="32">
        <f t="shared" si="260"/>
        <v>4588</v>
      </c>
      <c r="AA90" s="11"/>
      <c r="AB90" s="75">
        <f t="shared" si="261"/>
        <v>-0.13237518910741297</v>
      </c>
    </row>
    <row r="91" spans="1:28" ht="12.75" customHeight="1">
      <c r="B91" s="60" t="s">
        <v>150</v>
      </c>
      <c r="C91" s="82">
        <v>-3264</v>
      </c>
      <c r="D91" s="82">
        <v>-27442</v>
      </c>
      <c r="E91" s="82">
        <v>-43400</v>
      </c>
      <c r="F91" s="32"/>
      <c r="G91" s="82">
        <v>-5132</v>
      </c>
      <c r="H91" s="82">
        <v>-6150</v>
      </c>
      <c r="I91" s="82">
        <v>-7613</v>
      </c>
      <c r="J91" s="32">
        <f t="shared" si="251"/>
        <v>-8547</v>
      </c>
      <c r="K91" s="82">
        <v>-8129</v>
      </c>
      <c r="L91" s="82">
        <v>-11362</v>
      </c>
      <c r="M91" s="82">
        <v>-12393</v>
      </c>
      <c r="N91" s="32">
        <f t="shared" si="252"/>
        <v>-11516</v>
      </c>
      <c r="O91" s="82">
        <v>-8884</v>
      </c>
      <c r="P91" s="82">
        <v>-6691</v>
      </c>
      <c r="Q91" s="82">
        <v>-6779</v>
      </c>
      <c r="S91" s="32">
        <f t="shared" si="253"/>
        <v>-27442</v>
      </c>
      <c r="T91" s="32">
        <f t="shared" si="254"/>
        <v>-30439</v>
      </c>
      <c r="U91" s="32">
        <f t="shared" si="255"/>
        <v>-35651</v>
      </c>
      <c r="V91" s="32">
        <f t="shared" si="256"/>
        <v>-40431</v>
      </c>
      <c r="W91" s="32">
        <f t="shared" si="257"/>
        <v>-43400</v>
      </c>
      <c r="X91" s="32">
        <f t="shared" si="258"/>
        <v>-44155</v>
      </c>
      <c r="Y91" s="32">
        <f t="shared" si="259"/>
        <v>-39484</v>
      </c>
      <c r="Z91" s="32">
        <f t="shared" si="260"/>
        <v>-33870</v>
      </c>
      <c r="AA91" s="11"/>
      <c r="AB91" s="75">
        <f t="shared" si="261"/>
        <v>-0.16227647102470877</v>
      </c>
    </row>
    <row r="92" spans="1:28" ht="12.75" customHeight="1">
      <c r="B92" s="60" t="s">
        <v>157</v>
      </c>
      <c r="C92" s="82">
        <v>55310</v>
      </c>
      <c r="D92" s="82">
        <v>47598</v>
      </c>
      <c r="E92" s="82">
        <v>801646</v>
      </c>
      <c r="F92" s="32"/>
      <c r="G92" s="82">
        <v>12480</v>
      </c>
      <c r="H92" s="82">
        <v>10103</v>
      </c>
      <c r="I92" s="82">
        <v>9392</v>
      </c>
      <c r="J92" s="32">
        <f t="shared" si="251"/>
        <v>15623</v>
      </c>
      <c r="K92" s="82">
        <v>577508</v>
      </c>
      <c r="L92" s="82">
        <v>64266</v>
      </c>
      <c r="M92" s="82">
        <v>74758</v>
      </c>
      <c r="N92" s="32">
        <f t="shared" si="252"/>
        <v>85114</v>
      </c>
      <c r="O92" s="82">
        <v>85414</v>
      </c>
      <c r="P92" s="82">
        <v>89070</v>
      </c>
      <c r="Q92" s="82">
        <v>83518</v>
      </c>
      <c r="S92" s="32">
        <f t="shared" si="253"/>
        <v>47598</v>
      </c>
      <c r="T92" s="32">
        <f t="shared" si="254"/>
        <v>612626</v>
      </c>
      <c r="U92" s="32">
        <f t="shared" si="255"/>
        <v>666789</v>
      </c>
      <c r="V92" s="32">
        <f t="shared" si="256"/>
        <v>732155</v>
      </c>
      <c r="W92" s="32">
        <f t="shared" si="257"/>
        <v>801646</v>
      </c>
      <c r="X92" s="32">
        <f t="shared" si="258"/>
        <v>309552</v>
      </c>
      <c r="Y92" s="32">
        <f t="shared" si="259"/>
        <v>334356</v>
      </c>
      <c r="Z92" s="32">
        <f t="shared" si="260"/>
        <v>343116</v>
      </c>
      <c r="AA92" s="11"/>
      <c r="AB92" s="75">
        <f t="shared" si="261"/>
        <v>-0.53136152863806163</v>
      </c>
    </row>
    <row r="93" spans="1:28" ht="12.75" customHeight="1">
      <c r="B93" s="60" t="s">
        <v>156</v>
      </c>
      <c r="C93" s="82">
        <v>4099</v>
      </c>
      <c r="D93" s="82">
        <v>484</v>
      </c>
      <c r="E93" s="82">
        <v>-4187</v>
      </c>
      <c r="F93" s="32"/>
      <c r="G93" s="82">
        <v>16</v>
      </c>
      <c r="H93" s="82">
        <v>150</v>
      </c>
      <c r="I93" s="82">
        <v>199</v>
      </c>
      <c r="J93" s="32">
        <f t="shared" ref="J93" si="262">SUM(D93-SUM(G93:I93))</f>
        <v>119</v>
      </c>
      <c r="K93" s="82">
        <v>485</v>
      </c>
      <c r="L93" s="82">
        <v>141</v>
      </c>
      <c r="M93" s="82">
        <v>-4665</v>
      </c>
      <c r="N93" s="32">
        <f t="shared" ref="N93" si="263">SUM(E93-SUM(K93:M93))</f>
        <v>-148</v>
      </c>
      <c r="O93" s="82">
        <v>-138</v>
      </c>
      <c r="P93" s="82">
        <v>97</v>
      </c>
      <c r="Q93" s="82">
        <v>709</v>
      </c>
      <c r="S93" s="32">
        <f t="shared" si="253"/>
        <v>484</v>
      </c>
      <c r="T93" s="32">
        <f t="shared" si="254"/>
        <v>953</v>
      </c>
      <c r="U93" s="32">
        <f t="shared" si="255"/>
        <v>944</v>
      </c>
      <c r="V93" s="32">
        <f t="shared" si="256"/>
        <v>-3920</v>
      </c>
      <c r="W93" s="32">
        <f t="shared" si="257"/>
        <v>-4187</v>
      </c>
      <c r="X93" s="32">
        <f t="shared" si="258"/>
        <v>-4810</v>
      </c>
      <c r="Y93" s="32">
        <f t="shared" si="259"/>
        <v>-4854</v>
      </c>
      <c r="Z93" s="32">
        <f t="shared" si="260"/>
        <v>520</v>
      </c>
      <c r="AA93" s="11"/>
      <c r="AB93" s="75">
        <f t="shared" si="261"/>
        <v>-1.1326530612244898</v>
      </c>
    </row>
    <row r="94" spans="1:28" ht="12.75" customHeight="1">
      <c r="B94" s="36" t="s">
        <v>170</v>
      </c>
      <c r="C94" s="32"/>
      <c r="D94" s="32"/>
      <c r="E94" s="32"/>
      <c r="F94" s="32"/>
      <c r="G94" s="82"/>
      <c r="H94" s="82"/>
      <c r="I94" s="82"/>
      <c r="J94" s="32"/>
      <c r="K94" s="82"/>
      <c r="L94" s="82"/>
      <c r="M94" s="82"/>
      <c r="N94" s="32"/>
      <c r="O94" s="82"/>
      <c r="P94" s="82"/>
      <c r="Q94" s="82"/>
      <c r="S94" s="32"/>
      <c r="T94" s="32"/>
      <c r="U94" s="32"/>
      <c r="V94" s="32"/>
      <c r="W94" s="32"/>
      <c r="X94" s="32"/>
      <c r="Y94" s="32"/>
      <c r="Z94" s="32"/>
      <c r="AA94" s="59"/>
      <c r="AB94" s="75"/>
    </row>
    <row r="95" spans="1:28" ht="12.75" customHeight="1">
      <c r="B95" s="60" t="s">
        <v>155</v>
      </c>
      <c r="C95" s="82">
        <v>-30230</v>
      </c>
      <c r="D95" s="82">
        <v>-53318</v>
      </c>
      <c r="E95" s="82">
        <v>-104280</v>
      </c>
      <c r="F95" s="32"/>
      <c r="G95" s="82">
        <v>33746</v>
      </c>
      <c r="H95" s="82">
        <v>-8833</v>
      </c>
      <c r="I95" s="82">
        <v>-25630</v>
      </c>
      <c r="J95" s="32">
        <f t="shared" ref="J95:J99" si="264">SUM(D95-SUM(G95:I95))</f>
        <v>-52601</v>
      </c>
      <c r="K95" s="82">
        <v>29987</v>
      </c>
      <c r="L95" s="82">
        <v>-24793</v>
      </c>
      <c r="M95" s="82">
        <v>-44108</v>
      </c>
      <c r="N95" s="32">
        <f t="shared" ref="N95:N99" si="265">SUM(E95-SUM(K95:M95))</f>
        <v>-65366</v>
      </c>
      <c r="O95" s="82">
        <v>23359</v>
      </c>
      <c r="P95" s="82">
        <v>-81116</v>
      </c>
      <c r="Q95" s="82">
        <v>-80997</v>
      </c>
      <c r="S95" s="32">
        <f t="shared" ref="S95:S99" si="266">SUM(G95:J95)</f>
        <v>-53318</v>
      </c>
      <c r="T95" s="32">
        <f t="shared" ref="T95:T99" si="267">SUM(H95:K95)</f>
        <v>-57077</v>
      </c>
      <c r="U95" s="32">
        <f t="shared" ref="U95:U99" si="268">SUM(I95:L95)</f>
        <v>-73037</v>
      </c>
      <c r="V95" s="32">
        <f t="shared" ref="V95:V99" si="269">SUM(J95:M95)</f>
        <v>-91515</v>
      </c>
      <c r="W95" s="32">
        <f t="shared" ref="W95:W99" si="270">SUM(K95:N95)</f>
        <v>-104280</v>
      </c>
      <c r="X95" s="32">
        <f t="shared" ref="X95:X99" si="271">SUM(L95:O95)</f>
        <v>-110908</v>
      </c>
      <c r="Y95" s="32">
        <f t="shared" ref="Y95:Y99" si="272">SUM(M95:P95)</f>
        <v>-167231</v>
      </c>
      <c r="Z95" s="32">
        <f t="shared" ref="Z95:Z99" si="273">SUM(N95:Q95)</f>
        <v>-204120</v>
      </c>
      <c r="AA95" s="11"/>
      <c r="AB95" s="75">
        <f t="shared" ref="AB95:AB100" si="274">SUM(Z95/V95)-1</f>
        <v>1.2304540239305033</v>
      </c>
    </row>
    <row r="96" spans="1:28" ht="12.75" customHeight="1">
      <c r="B96" s="60" t="s">
        <v>154</v>
      </c>
      <c r="C96" s="82">
        <v>-1911</v>
      </c>
      <c r="D96" s="82">
        <v>3878</v>
      </c>
      <c r="E96" s="82">
        <v>-19485</v>
      </c>
      <c r="F96" s="32"/>
      <c r="G96" s="82">
        <v>-1012</v>
      </c>
      <c r="H96" s="82">
        <v>1840</v>
      </c>
      <c r="I96" s="82">
        <v>1273</v>
      </c>
      <c r="J96" s="32">
        <f t="shared" si="264"/>
        <v>1777</v>
      </c>
      <c r="K96" s="82">
        <v>-13912</v>
      </c>
      <c r="L96" s="82">
        <v>-6270</v>
      </c>
      <c r="M96" s="82">
        <v>8416</v>
      </c>
      <c r="N96" s="32">
        <f t="shared" si="265"/>
        <v>-7719</v>
      </c>
      <c r="O96" s="82">
        <v>-17006</v>
      </c>
      <c r="P96" s="82">
        <v>-9352</v>
      </c>
      <c r="Q96" s="82">
        <v>2934</v>
      </c>
      <c r="S96" s="32">
        <f t="shared" si="266"/>
        <v>3878</v>
      </c>
      <c r="T96" s="32">
        <f t="shared" si="267"/>
        <v>-9022</v>
      </c>
      <c r="U96" s="32">
        <f t="shared" si="268"/>
        <v>-17132</v>
      </c>
      <c r="V96" s="32">
        <f t="shared" si="269"/>
        <v>-9989</v>
      </c>
      <c r="W96" s="32">
        <f t="shared" si="270"/>
        <v>-19485</v>
      </c>
      <c r="X96" s="32">
        <f t="shared" si="271"/>
        <v>-22579</v>
      </c>
      <c r="Y96" s="32">
        <f t="shared" si="272"/>
        <v>-25661</v>
      </c>
      <c r="Z96" s="32">
        <f t="shared" si="273"/>
        <v>-31143</v>
      </c>
      <c r="AA96" s="11"/>
      <c r="AB96" s="75">
        <f t="shared" ref="AB96" si="275">SUM(Z96/V96)-1</f>
        <v>2.1177295024526979</v>
      </c>
    </row>
    <row r="97" spans="2:28" ht="12.75" customHeight="1">
      <c r="B97" s="60" t="s">
        <v>153</v>
      </c>
      <c r="C97" s="82">
        <v>-10325</v>
      </c>
      <c r="D97" s="82">
        <v>-5758</v>
      </c>
      <c r="E97" s="82">
        <v>-2397</v>
      </c>
      <c r="F97" s="32"/>
      <c r="G97" s="82">
        <v>-871</v>
      </c>
      <c r="H97" s="82">
        <v>-2211</v>
      </c>
      <c r="I97" s="82">
        <v>-2168</v>
      </c>
      <c r="J97" s="32">
        <f t="shared" si="264"/>
        <v>-508</v>
      </c>
      <c r="K97" s="82">
        <v>-530</v>
      </c>
      <c r="L97" s="82">
        <v>-780</v>
      </c>
      <c r="M97" s="82">
        <v>-1378</v>
      </c>
      <c r="N97" s="32">
        <f t="shared" si="265"/>
        <v>291</v>
      </c>
      <c r="O97" s="82">
        <v>-1780</v>
      </c>
      <c r="P97" s="82">
        <v>-1589</v>
      </c>
      <c r="Q97" s="82">
        <v>-2038</v>
      </c>
      <c r="S97" s="32">
        <f t="shared" si="266"/>
        <v>-5758</v>
      </c>
      <c r="T97" s="32">
        <f t="shared" si="267"/>
        <v>-5417</v>
      </c>
      <c r="U97" s="32">
        <f t="shared" si="268"/>
        <v>-3986</v>
      </c>
      <c r="V97" s="32">
        <f t="shared" si="269"/>
        <v>-3196</v>
      </c>
      <c r="W97" s="32">
        <f t="shared" si="270"/>
        <v>-2397</v>
      </c>
      <c r="X97" s="32">
        <f t="shared" si="271"/>
        <v>-3647</v>
      </c>
      <c r="Y97" s="32">
        <f t="shared" si="272"/>
        <v>-4456</v>
      </c>
      <c r="Z97" s="32">
        <f t="shared" si="273"/>
        <v>-5116</v>
      </c>
      <c r="AA97" s="11"/>
      <c r="AB97" s="75">
        <f t="shared" si="274"/>
        <v>0.60075093867334162</v>
      </c>
    </row>
    <row r="98" spans="2:28" ht="12.75" customHeight="1">
      <c r="B98" s="60" t="s">
        <v>152</v>
      </c>
      <c r="C98" s="82">
        <v>10905</v>
      </c>
      <c r="D98" s="82">
        <v>12470</v>
      </c>
      <c r="E98" s="82">
        <v>-570</v>
      </c>
      <c r="F98" s="32"/>
      <c r="G98" s="82">
        <v>6706</v>
      </c>
      <c r="H98" s="82">
        <v>-6323</v>
      </c>
      <c r="I98" s="82">
        <v>2010</v>
      </c>
      <c r="J98" s="32">
        <f t="shared" si="264"/>
        <v>10077</v>
      </c>
      <c r="K98" s="82">
        <v>-2178</v>
      </c>
      <c r="L98" s="82">
        <v>18220</v>
      </c>
      <c r="M98" s="82">
        <v>442</v>
      </c>
      <c r="N98" s="32">
        <f t="shared" si="265"/>
        <v>-17054</v>
      </c>
      <c r="O98" s="82">
        <v>-1046</v>
      </c>
      <c r="P98" s="82">
        <v>19991</v>
      </c>
      <c r="Q98" s="82">
        <v>7995</v>
      </c>
      <c r="S98" s="32">
        <f t="shared" si="266"/>
        <v>12470</v>
      </c>
      <c r="T98" s="32">
        <f t="shared" si="267"/>
        <v>3586</v>
      </c>
      <c r="U98" s="32">
        <f t="shared" si="268"/>
        <v>28129</v>
      </c>
      <c r="V98" s="32">
        <f t="shared" si="269"/>
        <v>26561</v>
      </c>
      <c r="W98" s="32">
        <f t="shared" si="270"/>
        <v>-570</v>
      </c>
      <c r="X98" s="32">
        <f t="shared" si="271"/>
        <v>562</v>
      </c>
      <c r="Y98" s="32">
        <f t="shared" si="272"/>
        <v>2333</v>
      </c>
      <c r="Z98" s="32">
        <f t="shared" si="273"/>
        <v>9886</v>
      </c>
      <c r="AA98" s="11"/>
      <c r="AB98" s="75">
        <f t="shared" si="274"/>
        <v>-0.62780015812657664</v>
      </c>
    </row>
    <row r="99" spans="2:28" ht="12.75" customHeight="1">
      <c r="B99" s="60" t="s">
        <v>151</v>
      </c>
      <c r="C99" s="82">
        <v>21481</v>
      </c>
      <c r="D99" s="82">
        <v>12737</v>
      </c>
      <c r="E99" s="82">
        <v>59264</v>
      </c>
      <c r="F99" s="32"/>
      <c r="G99" s="82">
        <v>12401</v>
      </c>
      <c r="H99" s="82">
        <v>-8256</v>
      </c>
      <c r="I99" s="82">
        <v>15501</v>
      </c>
      <c r="J99" s="32">
        <f t="shared" si="264"/>
        <v>-6909</v>
      </c>
      <c r="K99" s="82">
        <v>18903</v>
      </c>
      <c r="L99" s="82">
        <v>-6043</v>
      </c>
      <c r="M99" s="82">
        <v>15275</v>
      </c>
      <c r="N99" s="32">
        <f t="shared" si="265"/>
        <v>31129</v>
      </c>
      <c r="O99" s="82">
        <v>16070</v>
      </c>
      <c r="P99" s="82">
        <v>6176</v>
      </c>
      <c r="Q99" s="82">
        <v>11717</v>
      </c>
      <c r="S99" s="32">
        <f t="shared" si="266"/>
        <v>12737</v>
      </c>
      <c r="T99" s="32">
        <f t="shared" si="267"/>
        <v>19239</v>
      </c>
      <c r="U99" s="32">
        <f t="shared" si="268"/>
        <v>21452</v>
      </c>
      <c r="V99" s="32">
        <f t="shared" si="269"/>
        <v>21226</v>
      </c>
      <c r="W99" s="32">
        <f t="shared" si="270"/>
        <v>59264</v>
      </c>
      <c r="X99" s="32">
        <f t="shared" si="271"/>
        <v>56431</v>
      </c>
      <c r="Y99" s="32">
        <f t="shared" si="272"/>
        <v>68650</v>
      </c>
      <c r="Z99" s="32">
        <f t="shared" si="273"/>
        <v>65092</v>
      </c>
      <c r="AA99" s="11"/>
      <c r="AB99" s="75">
        <f t="shared" si="274"/>
        <v>2.0666164138320928</v>
      </c>
    </row>
    <row r="100" spans="2:28" ht="12.75" customHeight="1">
      <c r="B100" s="13" t="s">
        <v>51</v>
      </c>
      <c r="C100" s="14">
        <f>SUM(C86:C99)</f>
        <v>-94021</v>
      </c>
      <c r="D100" s="14">
        <f>SUM(D86:D99)</f>
        <v>-75114</v>
      </c>
      <c r="E100" s="14">
        <f>SUM(E86:E99)</f>
        <v>222068</v>
      </c>
      <c r="G100" s="14">
        <f>SUM(G86:G99)</f>
        <v>4075</v>
      </c>
      <c r="H100" s="14">
        <f>SUM(H86:H99)</f>
        <v>-54053</v>
      </c>
      <c r="I100" s="14">
        <f>SUM(I86:I99)</f>
        <v>-7703</v>
      </c>
      <c r="J100" s="14">
        <f>SUM(J86:J99)</f>
        <v>-17433</v>
      </c>
      <c r="K100" s="14">
        <f>SUM(K86:K99)</f>
        <v>32064</v>
      </c>
      <c r="L100" s="14">
        <f>SUM(L86:L99)</f>
        <v>28385</v>
      </c>
      <c r="M100" s="14">
        <f>SUM(M86:M99)</f>
        <v>71622</v>
      </c>
      <c r="N100" s="14">
        <f>SUM(N86:N99)</f>
        <v>89997</v>
      </c>
      <c r="O100" s="14">
        <f>SUM(O86:O99)</f>
        <v>127578</v>
      </c>
      <c r="P100" s="14">
        <f>SUM(P86:P99)</f>
        <v>111331</v>
      </c>
      <c r="Q100" s="14">
        <f>SUM(Q86:Q99)</f>
        <v>185159</v>
      </c>
      <c r="S100" s="34">
        <f>SUM(S86:S99)</f>
        <v>-75114</v>
      </c>
      <c r="T100" s="14">
        <f>SUM(T86:T99)</f>
        <v>-47125</v>
      </c>
      <c r="U100" s="14">
        <f>SUM(U86:U99)</f>
        <v>35313</v>
      </c>
      <c r="V100" s="14">
        <f>SUM(V86:V99)</f>
        <v>114638</v>
      </c>
      <c r="W100" s="14">
        <f>SUM(W86:W99)</f>
        <v>222068</v>
      </c>
      <c r="X100" s="14">
        <f>SUM(X86:X99)</f>
        <v>317582</v>
      </c>
      <c r="Y100" s="14">
        <f>SUM(Y86:Y99)</f>
        <v>400528</v>
      </c>
      <c r="Z100" s="14">
        <f>SUM(Z86:Z99)</f>
        <v>514065</v>
      </c>
      <c r="AA100" s="42"/>
      <c r="AB100" s="76">
        <f t="shared" si="274"/>
        <v>3.4842460615153792</v>
      </c>
    </row>
    <row r="101" spans="2:28" ht="12.75" customHeight="1">
      <c r="B101" s="53"/>
      <c r="C101" s="61"/>
      <c r="D101" s="61"/>
      <c r="E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S101" s="42"/>
      <c r="T101" s="42"/>
      <c r="U101" s="42"/>
      <c r="V101" s="42"/>
      <c r="W101" s="42"/>
      <c r="X101" s="42"/>
      <c r="Y101" s="42"/>
      <c r="Z101" s="42"/>
      <c r="AA101" s="42"/>
      <c r="AB101" s="39"/>
    </row>
    <row r="102" spans="2:28" ht="12.75" customHeight="1">
      <c r="B102" s="53" t="s">
        <v>52</v>
      </c>
      <c r="C102" s="58"/>
      <c r="D102" s="58"/>
      <c r="E102" s="58"/>
      <c r="G102" s="82"/>
      <c r="H102" s="82"/>
      <c r="I102" s="82"/>
      <c r="J102" s="32"/>
      <c r="K102" s="82"/>
      <c r="L102" s="82"/>
      <c r="M102" s="82"/>
      <c r="N102" s="32"/>
      <c r="O102" s="58"/>
      <c r="P102" s="58"/>
      <c r="Q102" s="58"/>
      <c r="S102" s="58"/>
      <c r="T102" s="58"/>
      <c r="U102" s="58"/>
      <c r="V102" s="58"/>
      <c r="W102" s="58"/>
      <c r="X102" s="58"/>
      <c r="Y102" s="58"/>
      <c r="Z102" s="58"/>
      <c r="AA102" s="59"/>
      <c r="AB102" s="75"/>
    </row>
    <row r="103" spans="2:28" ht="12.75" customHeight="1">
      <c r="B103" s="60" t="s">
        <v>160</v>
      </c>
      <c r="C103" s="82">
        <v>-6233</v>
      </c>
      <c r="D103" s="82">
        <v>-9724</v>
      </c>
      <c r="E103" s="82">
        <v>-6248</v>
      </c>
      <c r="F103" s="32"/>
      <c r="G103" s="82">
        <v>-356</v>
      </c>
      <c r="H103" s="82">
        <v>-830</v>
      </c>
      <c r="I103" s="82">
        <v>-3936</v>
      </c>
      <c r="J103" s="32">
        <f>SUM(D103-SUM(G103:I103))</f>
        <v>-4602</v>
      </c>
      <c r="K103" s="82">
        <v>-2851</v>
      </c>
      <c r="L103" s="82">
        <v>-1202</v>
      </c>
      <c r="M103" s="82">
        <v>-1353</v>
      </c>
      <c r="N103" s="32">
        <f>SUM(E103-SUM(K103:M103))</f>
        <v>-842</v>
      </c>
      <c r="O103" s="82">
        <v>-979</v>
      </c>
      <c r="P103" s="82">
        <v>-505</v>
      </c>
      <c r="Q103" s="82">
        <v>-2058</v>
      </c>
      <c r="R103" s="32"/>
      <c r="S103" s="32">
        <f t="shared" ref="S103:S109" si="276">SUM(G103:J103)</f>
        <v>-9724</v>
      </c>
      <c r="T103" s="32">
        <f t="shared" ref="T103:T109" si="277">SUM(H103:K103)</f>
        <v>-12219</v>
      </c>
      <c r="U103" s="32">
        <f t="shared" ref="U103:U109" si="278">SUM(I103:L103)</f>
        <v>-12591</v>
      </c>
      <c r="V103" s="32">
        <f t="shared" ref="V103:V109" si="279">SUM(J103:M103)</f>
        <v>-10008</v>
      </c>
      <c r="W103" s="32">
        <f t="shared" ref="W103:W109" si="280">SUM(K103:N103)</f>
        <v>-6248</v>
      </c>
      <c r="X103" s="32">
        <f t="shared" ref="X103:X109" si="281">SUM(L103:O103)</f>
        <v>-4376</v>
      </c>
      <c r="Y103" s="32">
        <f t="shared" ref="Y103:Y109" si="282">SUM(M103:P103)</f>
        <v>-3679</v>
      </c>
      <c r="Z103" s="32">
        <f t="shared" ref="Z103:Z109" si="283">SUM(N103:Q103)</f>
        <v>-4384</v>
      </c>
      <c r="AA103" s="59"/>
      <c r="AB103" s="75">
        <f t="shared" ref="AB103:AB109" si="284">SUM(Z103/V103)-1</f>
        <v>-0.5619504396482814</v>
      </c>
    </row>
    <row r="104" spans="2:28" ht="12.75" customHeight="1">
      <c r="B104" s="60" t="s">
        <v>161</v>
      </c>
      <c r="C104" s="82">
        <v>0</v>
      </c>
      <c r="D104" s="82">
        <v>0</v>
      </c>
      <c r="E104" s="82">
        <v>6869</v>
      </c>
      <c r="F104" s="32"/>
      <c r="G104" s="82">
        <v>0</v>
      </c>
      <c r="H104" s="82">
        <v>0</v>
      </c>
      <c r="I104" s="82">
        <v>0</v>
      </c>
      <c r="J104" s="32">
        <f t="shared" ref="J104:J105" si="285">SUM(D104-SUM(G104:I104))</f>
        <v>0</v>
      </c>
      <c r="K104" s="82">
        <v>0</v>
      </c>
      <c r="L104" s="82">
        <v>0</v>
      </c>
      <c r="M104" s="82">
        <v>6869</v>
      </c>
      <c r="N104" s="32">
        <f t="shared" ref="N104:N105" si="286">SUM(E104-SUM(K104:M104))</f>
        <v>0</v>
      </c>
      <c r="O104" s="82">
        <v>0</v>
      </c>
      <c r="P104" s="82">
        <v>0</v>
      </c>
      <c r="Q104" s="82">
        <v>0</v>
      </c>
      <c r="R104" s="32"/>
      <c r="S104" s="32">
        <f t="shared" si="276"/>
        <v>0</v>
      </c>
      <c r="T104" s="32">
        <f t="shared" si="277"/>
        <v>0</v>
      </c>
      <c r="U104" s="32">
        <f t="shared" si="278"/>
        <v>0</v>
      </c>
      <c r="V104" s="32">
        <f t="shared" si="279"/>
        <v>6869</v>
      </c>
      <c r="W104" s="32">
        <f t="shared" si="280"/>
        <v>6869</v>
      </c>
      <c r="X104" s="32">
        <f t="shared" si="281"/>
        <v>6869</v>
      </c>
      <c r="Y104" s="32">
        <f t="shared" si="282"/>
        <v>6869</v>
      </c>
      <c r="Z104" s="32">
        <f t="shared" si="283"/>
        <v>0</v>
      </c>
      <c r="AA104" s="59"/>
      <c r="AB104" s="75">
        <f t="shared" ref="AB104:AB105" si="287">SUM(Z104/V104)-1</f>
        <v>-1</v>
      </c>
    </row>
    <row r="105" spans="2:28" ht="12.75" customHeight="1">
      <c r="B105" s="60" t="s">
        <v>162</v>
      </c>
      <c r="C105" s="82">
        <v>-1430589</v>
      </c>
      <c r="D105" s="82">
        <v>-1259854</v>
      </c>
      <c r="E105" s="82">
        <v>-1996725</v>
      </c>
      <c r="F105" s="32"/>
      <c r="G105" s="82">
        <v>-262846</v>
      </c>
      <c r="H105" s="82">
        <v>-351366</v>
      </c>
      <c r="I105" s="82">
        <v>-313823</v>
      </c>
      <c r="J105" s="32">
        <f t="shared" si="285"/>
        <v>-331819</v>
      </c>
      <c r="K105" s="82">
        <v>-135685</v>
      </c>
      <c r="L105" s="82">
        <v>-861827</v>
      </c>
      <c r="M105" s="82">
        <v>-428225</v>
      </c>
      <c r="N105" s="32">
        <f t="shared" si="286"/>
        <v>-570988</v>
      </c>
      <c r="O105" s="82">
        <v>-504846</v>
      </c>
      <c r="P105" s="82">
        <v>-556457</v>
      </c>
      <c r="Q105" s="82">
        <v>-544101</v>
      </c>
      <c r="R105" s="32"/>
      <c r="S105" s="32">
        <f t="shared" si="276"/>
        <v>-1259854</v>
      </c>
      <c r="T105" s="32">
        <f t="shared" si="277"/>
        <v>-1132693</v>
      </c>
      <c r="U105" s="32">
        <f t="shared" si="278"/>
        <v>-1643154</v>
      </c>
      <c r="V105" s="32">
        <f t="shared" si="279"/>
        <v>-1757556</v>
      </c>
      <c r="W105" s="32">
        <f t="shared" si="280"/>
        <v>-1996725</v>
      </c>
      <c r="X105" s="32">
        <f t="shared" si="281"/>
        <v>-2365886</v>
      </c>
      <c r="Y105" s="32">
        <f t="shared" si="282"/>
        <v>-2060516</v>
      </c>
      <c r="Z105" s="32">
        <f t="shared" si="283"/>
        <v>-2176392</v>
      </c>
      <c r="AA105" s="59"/>
      <c r="AB105" s="75">
        <f t="shared" si="287"/>
        <v>0.23830592026655206</v>
      </c>
    </row>
    <row r="106" spans="2:28" ht="12.75" customHeight="1">
      <c r="B106" s="60" t="s">
        <v>163</v>
      </c>
      <c r="C106" s="82">
        <v>674399</v>
      </c>
      <c r="D106" s="82">
        <v>1273159</v>
      </c>
      <c r="E106" s="82">
        <v>1573602</v>
      </c>
      <c r="F106" s="32"/>
      <c r="G106" s="82">
        <v>315365</v>
      </c>
      <c r="H106" s="82">
        <v>319512</v>
      </c>
      <c r="I106" s="82">
        <v>320337</v>
      </c>
      <c r="J106" s="32">
        <f>SUM(D106-SUM(G106:I106))</f>
        <v>317945</v>
      </c>
      <c r="K106" s="82">
        <v>252655</v>
      </c>
      <c r="L106" s="82">
        <v>343404</v>
      </c>
      <c r="M106" s="82">
        <v>447302</v>
      </c>
      <c r="N106" s="32">
        <f>SUM(E106-SUM(K106:M106))</f>
        <v>530241</v>
      </c>
      <c r="O106" s="82">
        <v>465062</v>
      </c>
      <c r="P106" s="82">
        <v>552532</v>
      </c>
      <c r="Q106" s="82">
        <v>563460</v>
      </c>
      <c r="R106" s="32"/>
      <c r="S106" s="32">
        <f t="shared" si="276"/>
        <v>1273159</v>
      </c>
      <c r="T106" s="32">
        <f t="shared" si="277"/>
        <v>1210449</v>
      </c>
      <c r="U106" s="32">
        <f t="shared" si="278"/>
        <v>1234341</v>
      </c>
      <c r="V106" s="32">
        <f t="shared" si="279"/>
        <v>1361306</v>
      </c>
      <c r="W106" s="32">
        <f t="shared" si="280"/>
        <v>1573602</v>
      </c>
      <c r="X106" s="32">
        <f t="shared" si="281"/>
        <v>1786009</v>
      </c>
      <c r="Y106" s="32">
        <f t="shared" si="282"/>
        <v>1995137</v>
      </c>
      <c r="Z106" s="32">
        <f t="shared" si="283"/>
        <v>2111295</v>
      </c>
      <c r="AA106" s="59"/>
      <c r="AB106" s="75">
        <f t="shared" si="284"/>
        <v>0.55093344185657012</v>
      </c>
    </row>
    <row r="107" spans="2:28" ht="12.75" customHeight="1">
      <c r="B107" s="60" t="s">
        <v>164</v>
      </c>
      <c r="C107" s="82">
        <v>500</v>
      </c>
      <c r="D107" s="82">
        <v>37538</v>
      </c>
      <c r="E107" s="82">
        <v>0</v>
      </c>
      <c r="F107" s="32"/>
      <c r="G107" s="82">
        <v>36789</v>
      </c>
      <c r="H107" s="82">
        <v>749</v>
      </c>
      <c r="I107" s="82">
        <v>0</v>
      </c>
      <c r="J107" s="32">
        <f t="shared" ref="J107:J108" si="288">SUM(D107-SUM(G107:I107))</f>
        <v>0</v>
      </c>
      <c r="K107" s="82">
        <v>0</v>
      </c>
      <c r="L107" s="82">
        <v>0</v>
      </c>
      <c r="M107" s="82">
        <v>0</v>
      </c>
      <c r="N107" s="32">
        <f t="shared" ref="N107:N108" si="289">SUM(E107-SUM(K107:M107))</f>
        <v>0</v>
      </c>
      <c r="O107" s="82">
        <v>12372</v>
      </c>
      <c r="P107" s="82">
        <v>0</v>
      </c>
      <c r="Q107" s="82">
        <v>0</v>
      </c>
      <c r="R107" s="32"/>
      <c r="S107" s="32">
        <f t="shared" si="276"/>
        <v>37538</v>
      </c>
      <c r="T107" s="32">
        <f t="shared" si="277"/>
        <v>749</v>
      </c>
      <c r="U107" s="32">
        <f t="shared" si="278"/>
        <v>0</v>
      </c>
      <c r="V107" s="32">
        <f t="shared" si="279"/>
        <v>0</v>
      </c>
      <c r="W107" s="32">
        <f t="shared" si="280"/>
        <v>0</v>
      </c>
      <c r="X107" s="32">
        <f t="shared" si="281"/>
        <v>12372</v>
      </c>
      <c r="Y107" s="32">
        <f t="shared" si="282"/>
        <v>12372</v>
      </c>
      <c r="Z107" s="32">
        <f t="shared" si="283"/>
        <v>12372</v>
      </c>
      <c r="AA107" s="59"/>
      <c r="AB107" s="75" t="e">
        <f t="shared" ref="AB107:AB108" si="290">SUM(Z107/V107)-1</f>
        <v>#DIV/0!</v>
      </c>
    </row>
    <row r="108" spans="2:28" ht="12.75" customHeight="1">
      <c r="B108" s="60" t="s">
        <v>165</v>
      </c>
      <c r="C108" s="82">
        <v>-42196</v>
      </c>
      <c r="D108" s="82">
        <v>0</v>
      </c>
      <c r="E108" s="82">
        <v>-17137</v>
      </c>
      <c r="F108" s="32"/>
      <c r="G108" s="82">
        <v>0</v>
      </c>
      <c r="H108" s="82">
        <v>0</v>
      </c>
      <c r="I108" s="82">
        <v>0</v>
      </c>
      <c r="J108" s="32">
        <f t="shared" si="288"/>
        <v>0</v>
      </c>
      <c r="K108" s="82">
        <v>0</v>
      </c>
      <c r="L108" s="82">
        <v>0</v>
      </c>
      <c r="M108" s="82">
        <v>-17137</v>
      </c>
      <c r="N108" s="32">
        <f t="shared" si="289"/>
        <v>0</v>
      </c>
      <c r="O108" s="82">
        <v>0</v>
      </c>
      <c r="P108" s="82">
        <v>0</v>
      </c>
      <c r="Q108" s="82">
        <v>0</v>
      </c>
      <c r="R108" s="32"/>
      <c r="S108" s="32">
        <f t="shared" si="276"/>
        <v>0</v>
      </c>
      <c r="T108" s="32">
        <f t="shared" si="277"/>
        <v>0</v>
      </c>
      <c r="U108" s="32">
        <f t="shared" si="278"/>
        <v>0</v>
      </c>
      <c r="V108" s="32">
        <f t="shared" si="279"/>
        <v>-17137</v>
      </c>
      <c r="W108" s="32">
        <f t="shared" si="280"/>
        <v>-17137</v>
      </c>
      <c r="X108" s="32">
        <f t="shared" si="281"/>
        <v>-17137</v>
      </c>
      <c r="Y108" s="32">
        <f t="shared" si="282"/>
        <v>-17137</v>
      </c>
      <c r="Z108" s="32">
        <f t="shared" si="283"/>
        <v>0</v>
      </c>
      <c r="AA108" s="59"/>
      <c r="AB108" s="75">
        <f t="shared" si="290"/>
        <v>-1</v>
      </c>
    </row>
    <row r="109" spans="2:28" ht="12.75" customHeight="1">
      <c r="B109" s="60" t="s">
        <v>166</v>
      </c>
      <c r="C109" s="82">
        <v>-64</v>
      </c>
      <c r="D109" s="82">
        <v>172</v>
      </c>
      <c r="E109" s="82">
        <v>-1048</v>
      </c>
      <c r="F109" s="32"/>
      <c r="G109" s="82">
        <v>70</v>
      </c>
      <c r="H109" s="82">
        <v>42</v>
      </c>
      <c r="I109" s="82">
        <v>-3</v>
      </c>
      <c r="J109" s="32">
        <f>SUM(D109-SUM(G109:I109))</f>
        <v>63</v>
      </c>
      <c r="K109" s="82">
        <v>-15</v>
      </c>
      <c r="L109" s="82">
        <v>-12</v>
      </c>
      <c r="M109" s="82">
        <v>487</v>
      </c>
      <c r="N109" s="32">
        <f>SUM(E109-SUM(K109:M109))</f>
        <v>-1508</v>
      </c>
      <c r="O109" s="82">
        <v>889</v>
      </c>
      <c r="P109" s="82">
        <v>2354</v>
      </c>
      <c r="Q109" s="82">
        <v>-788</v>
      </c>
      <c r="R109" s="32"/>
      <c r="S109" s="32">
        <f t="shared" si="276"/>
        <v>172</v>
      </c>
      <c r="T109" s="32">
        <f t="shared" si="277"/>
        <v>87</v>
      </c>
      <c r="U109" s="32">
        <f t="shared" si="278"/>
        <v>33</v>
      </c>
      <c r="V109" s="32">
        <f t="shared" si="279"/>
        <v>523</v>
      </c>
      <c r="W109" s="32">
        <f t="shared" si="280"/>
        <v>-1048</v>
      </c>
      <c r="X109" s="32">
        <f t="shared" si="281"/>
        <v>-144</v>
      </c>
      <c r="Y109" s="32">
        <f t="shared" si="282"/>
        <v>2222</v>
      </c>
      <c r="Z109" s="32">
        <f t="shared" si="283"/>
        <v>947</v>
      </c>
      <c r="AA109" s="59"/>
      <c r="AB109" s="75">
        <f t="shared" si="284"/>
        <v>0.8107074569789674</v>
      </c>
    </row>
    <row r="110" spans="2:28" ht="12.75" customHeight="1">
      <c r="B110" s="13" t="s">
        <v>53</v>
      </c>
      <c r="C110" s="14">
        <f>SUM(C103:C109)</f>
        <v>-804183</v>
      </c>
      <c r="D110" s="14">
        <f>SUM(D103:D109)</f>
        <v>41291</v>
      </c>
      <c r="E110" s="14">
        <f>SUM(E103:E109)</f>
        <v>-440687</v>
      </c>
      <c r="G110" s="14">
        <f>SUM(G103:G109)</f>
        <v>89022</v>
      </c>
      <c r="H110" s="14">
        <f>SUM(H103:H109)</f>
        <v>-31893</v>
      </c>
      <c r="I110" s="14">
        <f>SUM(I103:I109)</f>
        <v>2575</v>
      </c>
      <c r="J110" s="14">
        <f>SUM(J103:J109)</f>
        <v>-18413</v>
      </c>
      <c r="K110" s="14">
        <f>SUM(K103:K109)</f>
        <v>114104</v>
      </c>
      <c r="L110" s="14">
        <f>SUM(L103:L109)</f>
        <v>-519637</v>
      </c>
      <c r="M110" s="14">
        <f>SUM(M103:M109)</f>
        <v>7943</v>
      </c>
      <c r="N110" s="14">
        <f>SUM(N103:N109)</f>
        <v>-43097</v>
      </c>
      <c r="O110" s="14">
        <f>SUM(O103:O109)</f>
        <v>-27502</v>
      </c>
      <c r="P110" s="14">
        <f>SUM(P103:P109)</f>
        <v>-2076</v>
      </c>
      <c r="Q110" s="14">
        <f>SUM(Q103:Q109)</f>
        <v>16513</v>
      </c>
      <c r="S110" s="34">
        <f>SUM(S103:S109)</f>
        <v>41291</v>
      </c>
      <c r="T110" s="14">
        <f t="shared" ref="S110:Z110" si="291">SUM(T103:T109)</f>
        <v>66373</v>
      </c>
      <c r="U110" s="14">
        <f t="shared" si="291"/>
        <v>-421371</v>
      </c>
      <c r="V110" s="14">
        <f t="shared" si="291"/>
        <v>-416003</v>
      </c>
      <c r="W110" s="14">
        <f t="shared" si="291"/>
        <v>-440687</v>
      </c>
      <c r="X110" s="14">
        <f t="shared" si="291"/>
        <v>-582293</v>
      </c>
      <c r="Y110" s="14">
        <f t="shared" si="291"/>
        <v>-64732</v>
      </c>
      <c r="Z110" s="14">
        <f t="shared" si="291"/>
        <v>-56162</v>
      </c>
      <c r="AA110" s="42"/>
      <c r="AB110" s="76">
        <f t="shared" ref="AB110:AB117" si="292">SUM(Z110/V110)-1</f>
        <v>-0.86499616589303441</v>
      </c>
    </row>
    <row r="111" spans="2:28" ht="5.0999999999999996" customHeight="1">
      <c r="B111" s="52"/>
      <c r="C111" s="61"/>
      <c r="D111" s="61"/>
      <c r="E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S111" s="42"/>
      <c r="T111" s="42"/>
      <c r="U111" s="42"/>
      <c r="V111" s="42"/>
      <c r="W111" s="42"/>
      <c r="X111" s="42"/>
      <c r="Y111" s="42"/>
      <c r="Z111" s="42"/>
      <c r="AA111" s="42"/>
      <c r="AB111" s="39"/>
    </row>
    <row r="112" spans="2:28" ht="12.75" customHeight="1">
      <c r="B112" s="53" t="s">
        <v>54</v>
      </c>
      <c r="C112" s="63"/>
      <c r="D112" s="63"/>
      <c r="E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32"/>
      <c r="S112" s="32"/>
      <c r="T112" s="32"/>
      <c r="U112" s="32"/>
      <c r="V112" s="32"/>
      <c r="W112" s="32"/>
      <c r="X112" s="32"/>
      <c r="Y112" s="32"/>
      <c r="Z112" s="32"/>
      <c r="AA112" s="64"/>
      <c r="AB112" s="75"/>
    </row>
    <row r="113" spans="2:28" ht="12.75" customHeight="1">
      <c r="B113" s="84" t="s">
        <v>107</v>
      </c>
      <c r="C113" s="82">
        <v>0</v>
      </c>
      <c r="D113" s="82">
        <v>0</v>
      </c>
      <c r="E113" s="82">
        <v>0</v>
      </c>
      <c r="G113" s="82">
        <v>0</v>
      </c>
      <c r="H113" s="82">
        <v>0</v>
      </c>
      <c r="I113" s="82">
        <v>0</v>
      </c>
      <c r="J113" s="32">
        <f>SUM(D113-SUM(G113:I113))</f>
        <v>0</v>
      </c>
      <c r="K113" s="82">
        <v>0</v>
      </c>
      <c r="L113" s="82">
        <v>0</v>
      </c>
      <c r="M113" s="82">
        <v>0</v>
      </c>
      <c r="N113" s="32">
        <f>SUM(E113-SUM(K113:M113))</f>
        <v>0</v>
      </c>
      <c r="O113" s="82">
        <v>0</v>
      </c>
      <c r="P113" s="82">
        <v>0</v>
      </c>
      <c r="Q113" s="82">
        <v>0</v>
      </c>
      <c r="R113" s="32"/>
      <c r="S113" s="32">
        <f t="shared" ref="S113:S116" si="293">SUM(G113:J113)</f>
        <v>0</v>
      </c>
      <c r="T113" s="32">
        <f t="shared" ref="T113:T116" si="294">SUM(H113:K113)</f>
        <v>0</v>
      </c>
      <c r="U113" s="32">
        <f t="shared" ref="U113:U116" si="295">SUM(I113:L113)</f>
        <v>0</v>
      </c>
      <c r="V113" s="32">
        <f t="shared" ref="V113:V116" si="296">SUM(J113:M113)</f>
        <v>0</v>
      </c>
      <c r="W113" s="32">
        <f t="shared" ref="W113:W116" si="297">SUM(K113:N113)</f>
        <v>0</v>
      </c>
      <c r="X113" s="32">
        <f t="shared" ref="X113:X116" si="298">SUM(L113:O113)</f>
        <v>0</v>
      </c>
      <c r="Y113" s="32">
        <f t="shared" ref="Y113:Y116" si="299">SUM(M113:P113)</f>
        <v>0</v>
      </c>
      <c r="Z113" s="32">
        <f t="shared" ref="Z113:Z116" si="300">SUM(N113:Q113)</f>
        <v>0</v>
      </c>
      <c r="AA113" s="64"/>
      <c r="AB113" s="75" t="e">
        <f t="shared" si="292"/>
        <v>#DIV/0!</v>
      </c>
    </row>
    <row r="114" spans="2:28" ht="12.75" customHeight="1">
      <c r="B114" s="84" t="s">
        <v>108</v>
      </c>
      <c r="C114" s="82">
        <f>7034-9796</f>
        <v>-2762</v>
      </c>
      <c r="D114" s="82">
        <f>8428-4320-1441</f>
        <v>2667</v>
      </c>
      <c r="E114" s="82">
        <f>600022+88972-294573-8775</f>
        <v>385646</v>
      </c>
      <c r="G114" s="82">
        <f>961-4229-362</f>
        <v>-3630</v>
      </c>
      <c r="H114" s="82">
        <f>830-496</f>
        <v>334</v>
      </c>
      <c r="I114" s="82">
        <f>794-38</f>
        <v>756</v>
      </c>
      <c r="J114" s="32">
        <f>SUM(D114-SUM(G114:I114))</f>
        <v>5207</v>
      </c>
      <c r="K114" s="82">
        <f>600022+23089-194737-2753</f>
        <v>425621</v>
      </c>
      <c r="L114" s="82">
        <f>1843-7569-3585</f>
        <v>-9311</v>
      </c>
      <c r="M114" s="82">
        <f>38001-65800-2162</f>
        <v>-29961</v>
      </c>
      <c r="N114" s="32">
        <f>SUM(E114-SUM(K114:M114))</f>
        <v>-703</v>
      </c>
      <c r="O114" s="82">
        <f>10184-36675</f>
        <v>-26491</v>
      </c>
      <c r="P114" s="82">
        <f>4303-15225</f>
        <v>-10922</v>
      </c>
      <c r="Q114" s="82">
        <f>6013-28595</f>
        <v>-22582</v>
      </c>
      <c r="R114" s="32"/>
      <c r="S114" s="32">
        <f t="shared" si="293"/>
        <v>2667</v>
      </c>
      <c r="T114" s="32">
        <f t="shared" si="294"/>
        <v>431918</v>
      </c>
      <c r="U114" s="32">
        <f t="shared" si="295"/>
        <v>422273</v>
      </c>
      <c r="V114" s="32">
        <f t="shared" si="296"/>
        <v>391556</v>
      </c>
      <c r="W114" s="32">
        <f t="shared" si="297"/>
        <v>385646</v>
      </c>
      <c r="X114" s="32">
        <f t="shared" si="298"/>
        <v>-66466</v>
      </c>
      <c r="Y114" s="32">
        <f t="shared" si="299"/>
        <v>-68077</v>
      </c>
      <c r="Z114" s="32">
        <f t="shared" si="300"/>
        <v>-60698</v>
      </c>
      <c r="AA114" s="64"/>
      <c r="AB114" s="75">
        <f t="shared" ref="AB114:AB116" si="301">SUM(Z114/V114)-1</f>
        <v>-1.1550174176873806</v>
      </c>
    </row>
    <row r="115" spans="2:28" ht="12.75" customHeight="1">
      <c r="B115" s="84" t="s">
        <v>167</v>
      </c>
      <c r="C115" s="82">
        <v>0</v>
      </c>
      <c r="D115" s="82">
        <v>-3478</v>
      </c>
      <c r="E115" s="82">
        <v>-6111</v>
      </c>
      <c r="G115" s="82">
        <v>0</v>
      </c>
      <c r="H115" s="82">
        <v>0</v>
      </c>
      <c r="I115" s="82">
        <v>-979</v>
      </c>
      <c r="J115" s="32">
        <f t="shared" ref="J115:J116" si="302">SUM(D115-SUM(G115:I115))</f>
        <v>-2499</v>
      </c>
      <c r="K115" s="82">
        <v>0</v>
      </c>
      <c r="L115" s="82">
        <v>0</v>
      </c>
      <c r="M115" s="82">
        <v>0</v>
      </c>
      <c r="N115" s="32">
        <f t="shared" ref="N115:N116" si="303">SUM(E115-SUM(K115:M115))</f>
        <v>-6111</v>
      </c>
      <c r="O115" s="82">
        <v>0</v>
      </c>
      <c r="P115" s="82">
        <v>0</v>
      </c>
      <c r="Q115" s="82">
        <v>0</v>
      </c>
      <c r="R115" s="32"/>
      <c r="S115" s="32">
        <f t="shared" si="293"/>
        <v>-3478</v>
      </c>
      <c r="T115" s="32">
        <f t="shared" si="294"/>
        <v>-3478</v>
      </c>
      <c r="U115" s="32">
        <f t="shared" si="295"/>
        <v>-3478</v>
      </c>
      <c r="V115" s="32">
        <f t="shared" si="296"/>
        <v>-2499</v>
      </c>
      <c r="W115" s="32">
        <f t="shared" si="297"/>
        <v>-6111</v>
      </c>
      <c r="X115" s="32">
        <f t="shared" si="298"/>
        <v>-6111</v>
      </c>
      <c r="Y115" s="32">
        <f t="shared" si="299"/>
        <v>-6111</v>
      </c>
      <c r="Z115" s="32">
        <f t="shared" si="300"/>
        <v>-6111</v>
      </c>
      <c r="AA115" s="64"/>
      <c r="AB115" s="75">
        <f t="shared" si="301"/>
        <v>1.4453781512605044</v>
      </c>
    </row>
    <row r="116" spans="2:28" ht="12.75" customHeight="1">
      <c r="B116" s="84" t="s">
        <v>168</v>
      </c>
      <c r="C116" s="82">
        <v>-1022</v>
      </c>
      <c r="D116" s="82"/>
      <c r="E116" s="82"/>
      <c r="G116" s="82">
        <v>0</v>
      </c>
      <c r="H116" s="82">
        <v>0</v>
      </c>
      <c r="I116" s="82">
        <v>0</v>
      </c>
      <c r="J116" s="32">
        <f t="shared" si="302"/>
        <v>0</v>
      </c>
      <c r="K116" s="82">
        <v>-4450</v>
      </c>
      <c r="L116" s="82">
        <v>0</v>
      </c>
      <c r="M116" s="82">
        <v>-1661</v>
      </c>
      <c r="N116" s="32">
        <f t="shared" si="303"/>
        <v>6111</v>
      </c>
      <c r="O116" s="82">
        <v>0</v>
      </c>
      <c r="P116" s="82">
        <v>0</v>
      </c>
      <c r="Q116" s="82">
        <v>-1497</v>
      </c>
      <c r="R116" s="32"/>
      <c r="S116" s="32">
        <f t="shared" si="293"/>
        <v>0</v>
      </c>
      <c r="T116" s="32">
        <f t="shared" si="294"/>
        <v>-4450</v>
      </c>
      <c r="U116" s="32">
        <f t="shared" si="295"/>
        <v>-4450</v>
      </c>
      <c r="V116" s="32">
        <f t="shared" si="296"/>
        <v>-6111</v>
      </c>
      <c r="W116" s="32">
        <f t="shared" si="297"/>
        <v>0</v>
      </c>
      <c r="X116" s="32">
        <f t="shared" si="298"/>
        <v>4450</v>
      </c>
      <c r="Y116" s="32">
        <f t="shared" si="299"/>
        <v>4450</v>
      </c>
      <c r="Z116" s="32">
        <f t="shared" si="300"/>
        <v>4614</v>
      </c>
      <c r="AA116" s="64"/>
      <c r="AB116" s="75">
        <f t="shared" si="301"/>
        <v>-1.7550319096710849</v>
      </c>
    </row>
    <row r="117" spans="2:28" ht="12.75" customHeight="1">
      <c r="B117" s="13" t="s">
        <v>55</v>
      </c>
      <c r="C117" s="14">
        <f>SUM(C113:C116)</f>
        <v>-3784</v>
      </c>
      <c r="D117" s="14">
        <f>SUM(D113:D116)</f>
        <v>-811</v>
      </c>
      <c r="E117" s="14">
        <f>SUM(E113:E116)</f>
        <v>379535</v>
      </c>
      <c r="G117" s="14">
        <f>SUM(G113:G116)</f>
        <v>-3630</v>
      </c>
      <c r="H117" s="14">
        <f>SUM(H113:H116)</f>
        <v>334</v>
      </c>
      <c r="I117" s="14">
        <f>SUM(I113:I116)</f>
        <v>-223</v>
      </c>
      <c r="J117" s="14">
        <f>SUM(J113:J116)</f>
        <v>2708</v>
      </c>
      <c r="K117" s="14">
        <f>SUM(K113:K116)</f>
        <v>421171</v>
      </c>
      <c r="L117" s="14">
        <f>SUM(L113:L116)</f>
        <v>-9311</v>
      </c>
      <c r="M117" s="14">
        <f>SUM(M113:M116)</f>
        <v>-31622</v>
      </c>
      <c r="N117" s="14">
        <f>SUM(N113:N116)</f>
        <v>-703</v>
      </c>
      <c r="O117" s="14">
        <f>SUM(O113:O116)</f>
        <v>-26491</v>
      </c>
      <c r="P117" s="14">
        <f>SUM(P113:P116)</f>
        <v>-10922</v>
      </c>
      <c r="Q117" s="14">
        <f>SUM(Q113:Q116)</f>
        <v>-24079</v>
      </c>
      <c r="S117" s="34">
        <f>SUM(S113:S116)</f>
        <v>-811</v>
      </c>
      <c r="T117" s="14">
        <f>SUM(T113:T116)</f>
        <v>423990</v>
      </c>
      <c r="U117" s="14">
        <f>SUM(U113:U116)</f>
        <v>414345</v>
      </c>
      <c r="V117" s="14">
        <f>SUM(V113:V116)</f>
        <v>382946</v>
      </c>
      <c r="W117" s="14">
        <f>SUM(W113:W116)</f>
        <v>379535</v>
      </c>
      <c r="X117" s="14">
        <f>SUM(X113:X116)</f>
        <v>-68127</v>
      </c>
      <c r="Y117" s="14">
        <f>SUM(Y113:Y116)</f>
        <v>-69738</v>
      </c>
      <c r="Z117" s="14">
        <f>SUM(Z113:Z116)</f>
        <v>-62195</v>
      </c>
      <c r="AA117" s="42"/>
      <c r="AB117" s="76">
        <f t="shared" si="292"/>
        <v>-1.1624119327529208</v>
      </c>
    </row>
    <row r="118" spans="2:28" ht="5.0999999999999996" customHeight="1">
      <c r="B118" s="71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11"/>
      <c r="AB118" s="45"/>
    </row>
    <row r="119" spans="2:28">
      <c r="B119" s="92" t="s">
        <v>79</v>
      </c>
      <c r="C119" s="164">
        <v>1337848</v>
      </c>
      <c r="D119" s="93">
        <f t="shared" ref="D119:E119" si="304">C126</f>
        <v>435860</v>
      </c>
      <c r="E119" s="93">
        <f t="shared" si="304"/>
        <v>401176</v>
      </c>
      <c r="F119" s="93"/>
      <c r="G119" s="164">
        <f>435860</f>
        <v>435860</v>
      </c>
      <c r="H119" s="93">
        <f t="shared" ref="H119:Q119" si="305">G126</f>
        <v>525327</v>
      </c>
      <c r="I119" s="93">
        <f t="shared" si="305"/>
        <v>439665</v>
      </c>
      <c r="J119" s="93">
        <f t="shared" si="305"/>
        <v>434314</v>
      </c>
      <c r="K119" s="93">
        <f t="shared" si="305"/>
        <v>401176</v>
      </c>
      <c r="L119" s="93">
        <f t="shared" si="305"/>
        <v>968515</v>
      </c>
      <c r="M119" s="93">
        <f t="shared" si="305"/>
        <v>467952</v>
      </c>
      <c r="N119" s="93">
        <f t="shared" si="305"/>
        <v>515895</v>
      </c>
      <c r="O119" s="93">
        <f t="shared" si="305"/>
        <v>562092</v>
      </c>
      <c r="P119" s="93">
        <f t="shared" si="305"/>
        <v>635727</v>
      </c>
      <c r="Q119" s="93">
        <f t="shared" si="305"/>
        <v>734060</v>
      </c>
      <c r="R119" s="93"/>
      <c r="S119" s="93">
        <f>J119</f>
        <v>434314</v>
      </c>
      <c r="T119" s="93">
        <f t="shared" ref="T119:Z119" si="306">S126</f>
        <v>401176</v>
      </c>
      <c r="U119" s="93">
        <f t="shared" si="306"/>
        <v>968515</v>
      </c>
      <c r="V119" s="93">
        <f t="shared" si="306"/>
        <v>467952</v>
      </c>
      <c r="W119" s="93">
        <f t="shared" si="306"/>
        <v>515895</v>
      </c>
      <c r="X119" s="93">
        <f t="shared" si="306"/>
        <v>562092</v>
      </c>
      <c r="Y119" s="93">
        <f t="shared" si="306"/>
        <v>635727</v>
      </c>
      <c r="Z119" s="166">
        <f>Y126</f>
        <v>734060</v>
      </c>
      <c r="AA119" s="11"/>
      <c r="AB119" s="45"/>
    </row>
    <row r="120" spans="2:28">
      <c r="B120" s="130" t="s">
        <v>92</v>
      </c>
      <c r="C120" s="82">
        <v>50</v>
      </c>
      <c r="D120" s="82">
        <v>0</v>
      </c>
      <c r="E120" s="82">
        <f>-D124</f>
        <v>50</v>
      </c>
      <c r="F120" s="32"/>
      <c r="G120" s="32">
        <v>50</v>
      </c>
      <c r="H120" s="32">
        <v>0</v>
      </c>
      <c r="I120" s="32">
        <f t="shared" ref="H120:Q120" si="307">-H124</f>
        <v>50</v>
      </c>
      <c r="J120" s="32">
        <f t="shared" si="307"/>
        <v>50</v>
      </c>
      <c r="K120" s="32">
        <f>-J124</f>
        <v>50</v>
      </c>
      <c r="L120" s="32">
        <f t="shared" si="307"/>
        <v>50</v>
      </c>
      <c r="M120" s="32">
        <f t="shared" si="307"/>
        <v>50</v>
      </c>
      <c r="N120" s="32">
        <f t="shared" si="307"/>
        <v>50</v>
      </c>
      <c r="O120" s="32">
        <f t="shared" si="307"/>
        <v>50</v>
      </c>
      <c r="P120" s="32">
        <f t="shared" si="307"/>
        <v>0</v>
      </c>
      <c r="Q120" s="32">
        <f t="shared" si="307"/>
        <v>0</v>
      </c>
      <c r="R120" s="32"/>
      <c r="S120" s="32">
        <f>J120</f>
        <v>50</v>
      </c>
      <c r="T120" s="32">
        <f t="shared" ref="T120:Z120" si="308">-S124</f>
        <v>50</v>
      </c>
      <c r="U120" s="32">
        <f t="shared" si="308"/>
        <v>50</v>
      </c>
      <c r="V120" s="32">
        <f t="shared" si="308"/>
        <v>50</v>
      </c>
      <c r="W120" s="32">
        <f t="shared" si="308"/>
        <v>50</v>
      </c>
      <c r="X120" s="32">
        <f t="shared" si="308"/>
        <v>50</v>
      </c>
      <c r="Y120" s="32">
        <f t="shared" si="308"/>
        <v>0</v>
      </c>
      <c r="Z120" s="134">
        <f>-Y124</f>
        <v>0</v>
      </c>
      <c r="AA120" s="11"/>
      <c r="AB120" s="45"/>
    </row>
    <row r="121" spans="2:28">
      <c r="B121" s="144" t="s">
        <v>67</v>
      </c>
      <c r="C121" s="145">
        <f t="shared" ref="C121:E121" si="309">SUM(C119:C120)</f>
        <v>1337898</v>
      </c>
      <c r="D121" s="145">
        <f t="shared" si="309"/>
        <v>435860</v>
      </c>
      <c r="E121" s="145">
        <f t="shared" si="309"/>
        <v>401226</v>
      </c>
      <c r="F121" s="32"/>
      <c r="G121" s="145">
        <f t="shared" ref="G121:Q121" si="310">SUM(G119:G120)</f>
        <v>435910</v>
      </c>
      <c r="H121" s="145">
        <f t="shared" si="310"/>
        <v>525327</v>
      </c>
      <c r="I121" s="145">
        <f t="shared" si="310"/>
        <v>439715</v>
      </c>
      <c r="J121" s="145">
        <f t="shared" si="310"/>
        <v>434364</v>
      </c>
      <c r="K121" s="145">
        <f t="shared" si="310"/>
        <v>401226</v>
      </c>
      <c r="L121" s="145">
        <f t="shared" si="310"/>
        <v>968565</v>
      </c>
      <c r="M121" s="145">
        <f t="shared" si="310"/>
        <v>468002</v>
      </c>
      <c r="N121" s="145">
        <f t="shared" si="310"/>
        <v>515945</v>
      </c>
      <c r="O121" s="145">
        <f t="shared" si="310"/>
        <v>562142</v>
      </c>
      <c r="P121" s="145">
        <f t="shared" si="310"/>
        <v>635727</v>
      </c>
      <c r="Q121" s="145">
        <f t="shared" si="310"/>
        <v>734060</v>
      </c>
      <c r="R121" s="32"/>
      <c r="S121" s="133">
        <f t="shared" ref="S121:Z121" si="311">SUM(S119:S120)</f>
        <v>434364</v>
      </c>
      <c r="T121" s="133">
        <f t="shared" si="311"/>
        <v>401226</v>
      </c>
      <c r="U121" s="133">
        <f t="shared" si="311"/>
        <v>968565</v>
      </c>
      <c r="V121" s="145">
        <f t="shared" si="311"/>
        <v>468002</v>
      </c>
      <c r="W121" s="145">
        <f t="shared" si="311"/>
        <v>515945</v>
      </c>
      <c r="X121" s="145">
        <f t="shared" si="311"/>
        <v>562142</v>
      </c>
      <c r="Y121" s="145">
        <f t="shared" si="311"/>
        <v>635727</v>
      </c>
      <c r="Z121" s="146">
        <f t="shared" si="311"/>
        <v>734060</v>
      </c>
      <c r="AA121" s="11"/>
      <c r="AB121" s="45"/>
    </row>
    <row r="122" spans="2:28" ht="5.0999999999999996" customHeight="1">
      <c r="B122" s="137"/>
      <c r="C122" s="71"/>
      <c r="D122" s="71"/>
      <c r="E122" s="71"/>
      <c r="F122" s="32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32"/>
      <c r="S122" s="71"/>
      <c r="T122" s="71"/>
      <c r="U122" s="71"/>
      <c r="V122" s="71"/>
      <c r="W122" s="71"/>
      <c r="X122" s="71"/>
      <c r="Y122" s="71"/>
      <c r="Z122" s="135"/>
      <c r="AA122" s="11"/>
      <c r="AB122" s="45"/>
    </row>
    <row r="123" spans="2:28">
      <c r="B123" s="130" t="s">
        <v>80</v>
      </c>
      <c r="C123" s="82">
        <v>0</v>
      </c>
      <c r="D123" s="82">
        <v>0</v>
      </c>
      <c r="E123" s="82">
        <v>0</v>
      </c>
      <c r="F123" s="32"/>
      <c r="G123" s="82">
        <v>0</v>
      </c>
      <c r="H123" s="82">
        <v>0</v>
      </c>
      <c r="I123" s="82">
        <v>0</v>
      </c>
      <c r="J123" s="32">
        <f>SUM(D123-SUM(G123:I123))</f>
        <v>0</v>
      </c>
      <c r="K123" s="82">
        <v>0</v>
      </c>
      <c r="L123" s="82">
        <v>0</v>
      </c>
      <c r="M123" s="82">
        <v>0</v>
      </c>
      <c r="N123" s="32">
        <f>SUM(E123-SUM(K123:M123))</f>
        <v>0</v>
      </c>
      <c r="O123" s="82">
        <v>0</v>
      </c>
      <c r="P123" s="82">
        <v>0</v>
      </c>
      <c r="Q123" s="82">
        <v>0</v>
      </c>
      <c r="R123" s="32"/>
      <c r="S123" s="32">
        <f>J123</f>
        <v>0</v>
      </c>
      <c r="T123" s="32">
        <f t="shared" ref="S123:Y125" si="312">K123</f>
        <v>0</v>
      </c>
      <c r="U123" s="32">
        <f t="shared" si="312"/>
        <v>0</v>
      </c>
      <c r="V123" s="32">
        <f t="shared" si="312"/>
        <v>0</v>
      </c>
      <c r="W123" s="32">
        <f t="shared" si="312"/>
        <v>0</v>
      </c>
      <c r="X123" s="32">
        <f t="shared" si="312"/>
        <v>0</v>
      </c>
      <c r="Y123" s="32">
        <f t="shared" si="312"/>
        <v>0</v>
      </c>
      <c r="Z123" s="134">
        <f>Q123</f>
        <v>0</v>
      </c>
      <c r="AA123" s="11"/>
      <c r="AB123" s="45"/>
    </row>
    <row r="124" spans="2:28">
      <c r="B124" s="130" t="s">
        <v>90</v>
      </c>
      <c r="C124" s="82">
        <v>-50</v>
      </c>
      <c r="D124" s="82">
        <v>-50</v>
      </c>
      <c r="E124" s="82">
        <v>-50</v>
      </c>
      <c r="F124" s="32"/>
      <c r="G124" s="82">
        <v>-50</v>
      </c>
      <c r="H124" s="82">
        <v>-50</v>
      </c>
      <c r="I124" s="82">
        <v>-50</v>
      </c>
      <c r="J124" s="32">
        <f>D124</f>
        <v>-50</v>
      </c>
      <c r="K124" s="82">
        <v>-50</v>
      </c>
      <c r="L124" s="82">
        <v>-50</v>
      </c>
      <c r="M124" s="82">
        <v>-50</v>
      </c>
      <c r="N124" s="32">
        <f>E124</f>
        <v>-50</v>
      </c>
      <c r="O124" s="82">
        <v>0</v>
      </c>
      <c r="P124" s="82">
        <v>0</v>
      </c>
      <c r="Q124" s="82">
        <v>0</v>
      </c>
      <c r="R124" s="32"/>
      <c r="S124" s="32">
        <f>J124</f>
        <v>-50</v>
      </c>
      <c r="T124" s="32">
        <f t="shared" si="312"/>
        <v>-50</v>
      </c>
      <c r="U124" s="32">
        <f t="shared" si="312"/>
        <v>-50</v>
      </c>
      <c r="V124" s="32">
        <f t="shared" si="312"/>
        <v>-50</v>
      </c>
      <c r="W124" s="32">
        <f t="shared" si="312"/>
        <v>-50</v>
      </c>
      <c r="X124" s="32">
        <f t="shared" si="312"/>
        <v>0</v>
      </c>
      <c r="Y124" s="32">
        <f t="shared" si="312"/>
        <v>0</v>
      </c>
      <c r="Z124" s="134">
        <f t="shared" ref="Z124" si="313">Q124</f>
        <v>0</v>
      </c>
      <c r="AA124" s="11"/>
      <c r="AB124" s="45"/>
    </row>
    <row r="125" spans="2:28">
      <c r="B125" s="130" t="s">
        <v>58</v>
      </c>
      <c r="C125" s="32">
        <f>+C117+C110+C100</f>
        <v>-901988</v>
      </c>
      <c r="D125" s="32">
        <f>+D117+D110+D100</f>
        <v>-34634</v>
      </c>
      <c r="E125" s="32">
        <f>+E117+E110+E100</f>
        <v>160916</v>
      </c>
      <c r="F125" s="32"/>
      <c r="G125" s="32">
        <f>+G117+G110+G100</f>
        <v>89467</v>
      </c>
      <c r="H125" s="32">
        <f>+H117+H110+H100</f>
        <v>-85612</v>
      </c>
      <c r="I125" s="32">
        <f>+I117+I110+I100</f>
        <v>-5351</v>
      </c>
      <c r="J125" s="32">
        <f>+J117+J110+J100</f>
        <v>-33138</v>
      </c>
      <c r="K125" s="32">
        <f>+K117+K110+K100</f>
        <v>567339</v>
      </c>
      <c r="L125" s="32">
        <f>+L117+L110+L100</f>
        <v>-500563</v>
      </c>
      <c r="M125" s="32">
        <f>+M117+M110+M100</f>
        <v>47943</v>
      </c>
      <c r="N125" s="32">
        <f>+N117+N110+N100</f>
        <v>46197</v>
      </c>
      <c r="O125" s="32">
        <f>+O117+O110+O100</f>
        <v>73585</v>
      </c>
      <c r="P125" s="32">
        <f>+P117+P110+P100</f>
        <v>98333</v>
      </c>
      <c r="Q125" s="32">
        <f>+Q117+Q110+Q100</f>
        <v>177593</v>
      </c>
      <c r="R125" s="32"/>
      <c r="S125" s="32">
        <f>J125</f>
        <v>-33138</v>
      </c>
      <c r="T125" s="32">
        <f t="shared" si="312"/>
        <v>567339</v>
      </c>
      <c r="U125" s="32">
        <f t="shared" si="312"/>
        <v>-500563</v>
      </c>
      <c r="V125" s="32">
        <f t="shared" si="312"/>
        <v>47943</v>
      </c>
      <c r="W125" s="32">
        <f t="shared" si="312"/>
        <v>46197</v>
      </c>
      <c r="X125" s="32">
        <f t="shared" si="312"/>
        <v>73585</v>
      </c>
      <c r="Y125" s="32">
        <f t="shared" si="312"/>
        <v>98333</v>
      </c>
      <c r="Z125" s="134">
        <f t="shared" ref="Z125" si="314">Q125</f>
        <v>177593</v>
      </c>
      <c r="AA125" s="11"/>
      <c r="AB125" s="45"/>
    </row>
    <row r="126" spans="2:28">
      <c r="B126" s="89" t="s">
        <v>68</v>
      </c>
      <c r="C126" s="145">
        <f t="shared" ref="C126:E126" si="315">SUM(C121:C125)</f>
        <v>435860</v>
      </c>
      <c r="D126" s="145">
        <f t="shared" si="315"/>
        <v>401176</v>
      </c>
      <c r="E126" s="145">
        <f t="shared" si="315"/>
        <v>562092</v>
      </c>
      <c r="F126" s="32"/>
      <c r="G126" s="145">
        <f t="shared" ref="G126:Q126" si="316">SUM(G121:G125)</f>
        <v>525327</v>
      </c>
      <c r="H126" s="145">
        <f t="shared" si="316"/>
        <v>439665</v>
      </c>
      <c r="I126" s="145">
        <f t="shared" si="316"/>
        <v>434314</v>
      </c>
      <c r="J126" s="145">
        <f t="shared" si="316"/>
        <v>401176</v>
      </c>
      <c r="K126" s="145">
        <f t="shared" si="316"/>
        <v>968515</v>
      </c>
      <c r="L126" s="145">
        <f t="shared" si="316"/>
        <v>467952</v>
      </c>
      <c r="M126" s="145">
        <f t="shared" si="316"/>
        <v>515895</v>
      </c>
      <c r="N126" s="145">
        <f t="shared" si="316"/>
        <v>562092</v>
      </c>
      <c r="O126" s="145">
        <f t="shared" si="316"/>
        <v>635727</v>
      </c>
      <c r="P126" s="145">
        <f t="shared" si="316"/>
        <v>734060</v>
      </c>
      <c r="Q126" s="145">
        <f t="shared" si="316"/>
        <v>911653</v>
      </c>
      <c r="R126" s="32"/>
      <c r="S126" s="133">
        <f t="shared" ref="S126:Z126" si="317">SUM(S121:S125)</f>
        <v>401176</v>
      </c>
      <c r="T126" s="133">
        <f t="shared" si="317"/>
        <v>968515</v>
      </c>
      <c r="U126" s="133">
        <f t="shared" si="317"/>
        <v>467952</v>
      </c>
      <c r="V126" s="145">
        <f t="shared" si="317"/>
        <v>515895</v>
      </c>
      <c r="W126" s="145">
        <f t="shared" si="317"/>
        <v>562092</v>
      </c>
      <c r="X126" s="145">
        <f t="shared" si="317"/>
        <v>635727</v>
      </c>
      <c r="Y126" s="145">
        <f t="shared" si="317"/>
        <v>734060</v>
      </c>
      <c r="Z126" s="146">
        <f t="shared" si="317"/>
        <v>911653</v>
      </c>
      <c r="AA126" s="11"/>
      <c r="AB126" s="45"/>
    </row>
    <row r="127" spans="2:28" ht="5.0999999999999996" customHeight="1">
      <c r="B127" s="90"/>
      <c r="C127" s="65"/>
      <c r="D127" s="65"/>
      <c r="E127" s="65"/>
      <c r="F127" s="32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S127" s="11"/>
      <c r="T127" s="11"/>
      <c r="U127" s="11"/>
      <c r="V127" s="11"/>
      <c r="W127" s="11"/>
      <c r="X127" s="11"/>
      <c r="Y127" s="11"/>
      <c r="Z127" s="91"/>
      <c r="AA127" s="11"/>
      <c r="AB127" s="45"/>
    </row>
    <row r="128" spans="2:28">
      <c r="B128" s="138" t="s">
        <v>83</v>
      </c>
      <c r="C128" s="87">
        <f>ROUND(C126-C42,1)</f>
        <v>0</v>
      </c>
      <c r="D128" s="87">
        <f>ROUND(D126-D42,1)</f>
        <v>0</v>
      </c>
      <c r="E128" s="87">
        <f>ROUND(E126-E42,1)</f>
        <v>0</v>
      </c>
      <c r="F128" s="88"/>
      <c r="G128" s="87">
        <f>G126-G42</f>
        <v>0</v>
      </c>
      <c r="H128" s="87">
        <f>H126-H42</f>
        <v>0</v>
      </c>
      <c r="I128" s="87">
        <f>I126-I42</f>
        <v>0</v>
      </c>
      <c r="J128" s="87">
        <f>J126-J42</f>
        <v>0</v>
      </c>
      <c r="K128" s="87">
        <f>K126-K42</f>
        <v>0</v>
      </c>
      <c r="L128" s="87">
        <f>L126-L42</f>
        <v>0</v>
      </c>
      <c r="M128" s="87">
        <f>M126-M42</f>
        <v>0</v>
      </c>
      <c r="N128" s="87">
        <f>N126-N42</f>
        <v>0</v>
      </c>
      <c r="O128" s="87">
        <f>O126-O42</f>
        <v>0</v>
      </c>
      <c r="P128" s="87">
        <f>P126-P42</f>
        <v>0</v>
      </c>
      <c r="Q128" s="87">
        <f>Q126-Q42</f>
        <v>0</v>
      </c>
      <c r="R128" s="87"/>
      <c r="S128" s="87">
        <f>S126-S42</f>
        <v>0</v>
      </c>
      <c r="T128" s="87">
        <f>T126-T42</f>
        <v>0</v>
      </c>
      <c r="U128" s="87">
        <f>U126-U42</f>
        <v>0</v>
      </c>
      <c r="V128" s="87">
        <f>V126-V42</f>
        <v>0</v>
      </c>
      <c r="W128" s="87">
        <f>W126-W42</f>
        <v>0</v>
      </c>
      <c r="X128" s="87">
        <f>X126-X42</f>
        <v>0</v>
      </c>
      <c r="Y128" s="87">
        <f>Y126-Y42</f>
        <v>0</v>
      </c>
      <c r="Z128" s="136">
        <f>Z126-Z42</f>
        <v>0</v>
      </c>
      <c r="AA128" s="11"/>
      <c r="AB128" s="45"/>
    </row>
    <row r="129" spans="2:28" ht="5.0999999999999996" customHeight="1">
      <c r="B129" s="8"/>
      <c r="C129" s="65"/>
      <c r="D129" s="65"/>
      <c r="E129" s="65"/>
      <c r="F129" s="32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S129" s="11"/>
      <c r="T129" s="11"/>
      <c r="U129" s="11"/>
      <c r="V129" s="11"/>
      <c r="W129" s="11"/>
      <c r="X129" s="11"/>
      <c r="Y129" s="11"/>
      <c r="Z129" s="11"/>
      <c r="AA129" s="11"/>
      <c r="AB129" s="45"/>
    </row>
    <row r="130" spans="2:28" ht="12.75" customHeight="1">
      <c r="B130" s="72" t="s">
        <v>59</v>
      </c>
      <c r="C130" s="62"/>
      <c r="D130" s="62"/>
      <c r="E130" s="62"/>
      <c r="F130" s="11"/>
      <c r="G130" s="62"/>
      <c r="H130" s="62"/>
      <c r="I130" s="62"/>
      <c r="J130" s="62"/>
      <c r="K130" s="62"/>
      <c r="L130" s="62"/>
      <c r="M130" s="62"/>
      <c r="N130" s="62"/>
      <c r="O130" s="82"/>
      <c r="P130" s="62"/>
      <c r="Q130" s="62"/>
      <c r="S130" s="62"/>
      <c r="T130" s="62"/>
      <c r="U130" s="62"/>
      <c r="V130" s="62"/>
      <c r="W130" s="62"/>
      <c r="X130" s="62"/>
      <c r="Y130" s="62"/>
      <c r="Z130" s="62"/>
      <c r="AA130" s="66"/>
      <c r="AB130" s="45"/>
    </row>
    <row r="131" spans="2:28" ht="12.75" customHeight="1">
      <c r="B131" s="8" t="s">
        <v>91</v>
      </c>
      <c r="C131" s="82">
        <v>0</v>
      </c>
      <c r="D131" s="82">
        <v>0</v>
      </c>
      <c r="E131" s="82">
        <v>0</v>
      </c>
      <c r="F131" s="11"/>
      <c r="G131" s="82">
        <v>0</v>
      </c>
      <c r="H131" s="82">
        <v>0</v>
      </c>
      <c r="I131" s="82">
        <v>0</v>
      </c>
      <c r="J131" s="32">
        <f>SUM(D131-SUM(G131:I131))</f>
        <v>0</v>
      </c>
      <c r="K131" s="82">
        <v>0</v>
      </c>
      <c r="L131" s="82">
        <v>0</v>
      </c>
      <c r="M131" s="82">
        <v>0</v>
      </c>
      <c r="N131" s="32">
        <f>SUM(E131-SUM(K131:M131))</f>
        <v>0</v>
      </c>
      <c r="O131" s="82">
        <v>0</v>
      </c>
      <c r="P131" s="82">
        <v>0</v>
      </c>
      <c r="Q131" s="82">
        <v>0</v>
      </c>
      <c r="S131" s="32">
        <f t="shared" ref="S131:Z132" si="318">SUM(G131:J131)</f>
        <v>0</v>
      </c>
      <c r="T131" s="32">
        <f t="shared" si="318"/>
        <v>0</v>
      </c>
      <c r="U131" s="32">
        <f t="shared" si="318"/>
        <v>0</v>
      </c>
      <c r="V131" s="32">
        <f t="shared" si="318"/>
        <v>0</v>
      </c>
      <c r="W131" s="32">
        <f t="shared" si="318"/>
        <v>0</v>
      </c>
      <c r="X131" s="32">
        <f t="shared" si="318"/>
        <v>0</v>
      </c>
      <c r="Y131" s="32">
        <f t="shared" si="318"/>
        <v>0</v>
      </c>
      <c r="Z131" s="32">
        <f t="shared" si="318"/>
        <v>0</v>
      </c>
      <c r="AA131" s="66"/>
      <c r="AB131" s="45"/>
    </row>
    <row r="132" spans="2:28" ht="12.75" customHeight="1">
      <c r="B132" s="8" t="s">
        <v>103</v>
      </c>
      <c r="C132" s="82">
        <v>0</v>
      </c>
      <c r="D132" s="82">
        <v>0</v>
      </c>
      <c r="E132" s="82">
        <v>0</v>
      </c>
      <c r="F132" s="32"/>
      <c r="G132" s="82">
        <v>287</v>
      </c>
      <c r="H132" s="82">
        <v>565</v>
      </c>
      <c r="I132" s="82">
        <v>667</v>
      </c>
      <c r="J132" s="32">
        <f>SUM(D132-SUM(G132:I132))</f>
        <v>-1519</v>
      </c>
      <c r="K132" s="82">
        <v>164</v>
      </c>
      <c r="L132" s="82">
        <v>2561</v>
      </c>
      <c r="M132" s="82">
        <v>1427</v>
      </c>
      <c r="N132" s="32">
        <f>SUM(E132-SUM(K132:M132))</f>
        <v>-4152</v>
      </c>
      <c r="O132" s="82">
        <v>0</v>
      </c>
      <c r="P132" s="82">
        <v>0</v>
      </c>
      <c r="Q132" s="82">
        <v>0</v>
      </c>
      <c r="R132" s="32"/>
      <c r="S132" s="32">
        <f t="shared" si="318"/>
        <v>0</v>
      </c>
      <c r="T132" s="32">
        <f t="shared" si="318"/>
        <v>-123</v>
      </c>
      <c r="U132" s="32">
        <f t="shared" si="318"/>
        <v>1873</v>
      </c>
      <c r="V132" s="32">
        <f t="shared" si="318"/>
        <v>2633</v>
      </c>
      <c r="W132" s="32">
        <f t="shared" si="318"/>
        <v>0</v>
      </c>
      <c r="X132" s="32">
        <f t="shared" si="318"/>
        <v>-164</v>
      </c>
      <c r="Y132" s="32">
        <f t="shared" si="318"/>
        <v>-2725</v>
      </c>
      <c r="Z132" s="32">
        <f t="shared" si="318"/>
        <v>-4152</v>
      </c>
      <c r="AA132" s="11"/>
      <c r="AB132" s="45"/>
    </row>
    <row r="133" spans="2:28" ht="5.0999999999999996" customHeight="1" thickBot="1">
      <c r="B133" s="73"/>
      <c r="C133" s="74"/>
      <c r="D133" s="74"/>
      <c r="E133" s="74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B133" s="45"/>
    </row>
    <row r="134" spans="2:28" ht="12.75" customHeight="1">
      <c r="B134" s="53"/>
      <c r="C134" s="67"/>
      <c r="D134" s="67"/>
      <c r="E134" s="67"/>
    </row>
    <row r="135" spans="2:28" ht="12.75" customHeight="1">
      <c r="C135" s="56"/>
      <c r="D135" s="56"/>
      <c r="E135" s="56"/>
    </row>
    <row r="136" spans="2:28" ht="12.75" customHeight="1">
      <c r="C136" s="56"/>
      <c r="D136" s="56"/>
      <c r="E136" s="56"/>
      <c r="F136" s="56"/>
      <c r="G136" s="56"/>
      <c r="H136" s="56"/>
      <c r="I136" s="56"/>
      <c r="J136" s="56"/>
      <c r="K136" s="56"/>
    </row>
    <row r="137" spans="2:28" ht="12.75" customHeight="1">
      <c r="C137" s="56"/>
      <c r="D137" s="56"/>
      <c r="E137" s="56"/>
      <c r="F137" s="56"/>
      <c r="G137" s="56"/>
      <c r="H137" s="56"/>
      <c r="I137" s="56"/>
      <c r="J137" s="56"/>
      <c r="K137" s="56"/>
    </row>
    <row r="138" spans="2:28" ht="12.75" customHeight="1">
      <c r="C138" s="56"/>
      <c r="D138" s="56"/>
      <c r="E138" s="56"/>
      <c r="F138" s="56"/>
      <c r="G138" s="56"/>
      <c r="H138" s="56"/>
      <c r="I138" s="56"/>
      <c r="J138" s="56"/>
      <c r="K138" s="56"/>
    </row>
    <row r="139" spans="2:28" ht="12.75" customHeight="1">
      <c r="C139" s="56"/>
      <c r="D139" s="56"/>
      <c r="E139" s="56"/>
      <c r="F139" s="56"/>
      <c r="G139" s="56"/>
      <c r="H139" s="56"/>
      <c r="I139" s="56"/>
      <c r="J139" s="56"/>
      <c r="K139" s="56"/>
    </row>
    <row r="140" spans="2:28" ht="12.75" customHeight="1">
      <c r="C140" s="56"/>
      <c r="D140" s="56"/>
      <c r="E140" s="56"/>
      <c r="F140" s="56"/>
      <c r="G140" s="56"/>
      <c r="H140" s="56"/>
      <c r="I140" s="56"/>
      <c r="J140" s="56"/>
      <c r="K140" s="56"/>
      <c r="L140" s="86"/>
    </row>
    <row r="141" spans="2:28" ht="12.75" customHeight="1">
      <c r="C141" s="56"/>
      <c r="D141" s="56"/>
      <c r="E141" s="56"/>
      <c r="F141" s="56"/>
      <c r="G141" s="56"/>
      <c r="H141" s="56"/>
      <c r="I141" s="56"/>
      <c r="J141" s="56"/>
      <c r="K141" s="56"/>
    </row>
    <row r="142" spans="2:28" ht="12.75" customHeight="1">
      <c r="C142" s="56"/>
      <c r="D142" s="56"/>
      <c r="E142" s="56"/>
      <c r="F142" s="56"/>
      <c r="G142" s="56"/>
      <c r="H142" s="56"/>
      <c r="I142" s="56"/>
      <c r="J142" s="56"/>
      <c r="K142" s="56"/>
      <c r="L142" s="86"/>
    </row>
    <row r="143" spans="2:28">
      <c r="C143" s="56"/>
      <c r="D143" s="56"/>
      <c r="E143" s="56"/>
      <c r="F143" s="56"/>
      <c r="G143" s="56"/>
      <c r="H143" s="56"/>
      <c r="I143" s="56"/>
      <c r="J143" s="56"/>
      <c r="K143" s="56"/>
      <c r="L143" s="86"/>
    </row>
    <row r="144" spans="2:28">
      <c r="C144" s="56"/>
      <c r="D144" s="56"/>
      <c r="E144" s="56"/>
      <c r="F144" s="56"/>
      <c r="G144" s="56"/>
      <c r="H144" s="56"/>
      <c r="I144" s="56"/>
      <c r="J144" s="56"/>
      <c r="K144" s="56"/>
      <c r="L144" s="86"/>
    </row>
    <row r="145" spans="3:12">
      <c r="C145" s="56"/>
      <c r="D145" s="56"/>
      <c r="E145" s="56"/>
      <c r="F145" s="56"/>
      <c r="G145" s="56"/>
      <c r="H145" s="56"/>
      <c r="I145" s="56"/>
      <c r="J145" s="56"/>
      <c r="K145" s="56"/>
    </row>
    <row r="146" spans="3:12">
      <c r="C146" s="56"/>
      <c r="D146" s="56"/>
      <c r="E146" s="56"/>
      <c r="F146" s="56"/>
      <c r="G146" s="56"/>
      <c r="H146" s="56"/>
      <c r="I146" s="56"/>
      <c r="J146" s="56"/>
      <c r="K146" s="56"/>
      <c r="L146" s="86"/>
    </row>
    <row r="147" spans="3:12">
      <c r="C147" s="56"/>
      <c r="D147" s="56"/>
      <c r="E147" s="56"/>
      <c r="F147" s="56"/>
      <c r="G147" s="56"/>
      <c r="H147" s="56"/>
      <c r="I147" s="56"/>
      <c r="J147" s="56"/>
      <c r="K147" s="56"/>
      <c r="L147" s="86"/>
    </row>
    <row r="148" spans="3:12">
      <c r="C148" s="56"/>
      <c r="D148" s="56"/>
      <c r="E148" s="56"/>
      <c r="F148" s="56"/>
      <c r="G148" s="56"/>
      <c r="H148" s="56"/>
      <c r="I148" s="56"/>
      <c r="J148" s="56"/>
      <c r="K148" s="56"/>
    </row>
    <row r="149" spans="3:12">
      <c r="C149" s="56"/>
      <c r="D149" s="56"/>
      <c r="E149" s="56"/>
      <c r="F149" s="56"/>
      <c r="G149" s="56"/>
      <c r="H149" s="56"/>
      <c r="I149" s="56"/>
      <c r="J149" s="56"/>
      <c r="K149" s="56"/>
    </row>
  </sheetData>
  <mergeCells count="3">
    <mergeCell ref="AB6:AB8"/>
    <mergeCell ref="AB37:AB39"/>
    <mergeCell ref="AB81:AB83"/>
  </mergeCells>
  <pageMargins left="0.7" right="0.7" top="0.75" bottom="0.75" header="0.3" footer="0.3"/>
  <ignoredErrors>
    <ignoredError sqref="F46 S21:W22 S25:Z26 S11:Z12" formulaRange="1"/>
    <ignoredError sqref="C21:E22 G21:Q22 G25:Q25 C25:E25 Z111:AB112 Z100:AB101 Z102:AA102 AA113:AB113 G28:Z30 G32:Z33 G35:Z35 R34:Z34 C28:F30 F27 R27 C32:F33 F31 C35:F35 F34 N31 J31 R31:Z31 AA110:AB110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Z55"/>
  <sheetViews>
    <sheetView showGridLines="0" zoomScale="115" zoomScaleNormal="115" workbookViewId="0">
      <selection activeCell="B4" sqref="B4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5" width="8.625" style="8" bestFit="1" customWidth="1"/>
    <col min="6" max="6" width="1.5" style="8" customWidth="1"/>
    <col min="7" max="8" width="8" style="8" hidden="1" customWidth="1" outlineLevel="1"/>
    <col min="9" max="10" width="8.75" style="8" hidden="1" customWidth="1" outlineLevel="1"/>
    <col min="11" max="11" width="8.5" style="8" hidden="1" customWidth="1" outlineLevel="1"/>
    <col min="12" max="12" width="8.25" style="8" hidden="1" customWidth="1" outlineLevel="1"/>
    <col min="13" max="13" width="8.5" style="8" bestFit="1" customWidth="1" collapsed="1"/>
    <col min="14" max="17" width="9.125" style="8" bestFit="1" customWidth="1"/>
    <col min="18" max="18" width="1.5" style="8" customWidth="1"/>
    <col min="19" max="21" width="8.75" style="8" hidden="1" customWidth="1" outlineLevel="1"/>
    <col min="22" max="22" width="8.75" style="8" customWidth="1" collapsed="1"/>
    <col min="23" max="25" width="8.75" style="8" hidden="1" customWidth="1" outlineLevel="1"/>
    <col min="26" max="26" width="8.75" style="8" customWidth="1" collapsed="1"/>
    <col min="27" max="16384" width="9" style="8"/>
  </cols>
  <sheetData>
    <row r="2" spans="1:26" s="5" customFormat="1" ht="12.75" customHeight="1">
      <c r="B2" s="1" t="str">
        <f>'Historical Financials'!B2</f>
        <v>Reddit Inc (NYSE: RDDT)</v>
      </c>
      <c r="C2" s="2" t="s">
        <v>0</v>
      </c>
      <c r="D2" s="2"/>
      <c r="E2" s="2"/>
      <c r="F2" s="3"/>
      <c r="G2" s="2"/>
      <c r="H2" s="2"/>
      <c r="I2" s="2"/>
      <c r="J2" s="2"/>
      <c r="K2" s="2"/>
      <c r="L2" s="2"/>
      <c r="M2" s="2" t="s">
        <v>1</v>
      </c>
      <c r="N2" s="2"/>
      <c r="O2" s="2"/>
      <c r="P2" s="2"/>
      <c r="Q2" s="2"/>
      <c r="R2" s="3"/>
      <c r="S2" s="2"/>
      <c r="T2" s="2"/>
      <c r="U2" s="2"/>
      <c r="V2" s="2"/>
      <c r="W2" s="2"/>
      <c r="X2" s="2"/>
      <c r="Y2" s="2"/>
      <c r="Z2" s="2"/>
    </row>
    <row r="3" spans="1:26" s="5" customFormat="1" ht="12.75" customHeight="1">
      <c r="B3" s="6" t="s">
        <v>63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4"/>
      <c r="S3" s="4" t="str">
        <f t="shared" ref="S3:Z4" si="0">J3</f>
        <v>4Q23</v>
      </c>
      <c r="T3" s="4" t="str">
        <f t="shared" si="0"/>
        <v>1Q24</v>
      </c>
      <c r="U3" s="4" t="str">
        <f t="shared" si="0"/>
        <v>2Q24</v>
      </c>
      <c r="V3" s="4" t="str">
        <f t="shared" si="0"/>
        <v>3Q24</v>
      </c>
      <c r="W3" s="4" t="str">
        <f t="shared" si="0"/>
        <v>4Q24</v>
      </c>
      <c r="X3" s="4" t="str">
        <f t="shared" si="0"/>
        <v>1Q25</v>
      </c>
      <c r="Y3" s="4" t="str">
        <f t="shared" si="0"/>
        <v>2Q25</v>
      </c>
      <c r="Z3" s="4" t="str">
        <f t="shared" si="0"/>
        <v>3Q25</v>
      </c>
    </row>
    <row r="4" spans="1:26" s="5" customFormat="1" ht="12.75" customHeight="1">
      <c r="B4" s="6" t="s">
        <v>111</v>
      </c>
      <c r="C4" s="3">
        <f>'Historical Financials'!C8</f>
        <v>44926</v>
      </c>
      <c r="D4" s="3">
        <f>'Historical Financials'!D8</f>
        <v>45291</v>
      </c>
      <c r="E4" s="3">
        <f>'Historical Financials'!E8</f>
        <v>45657</v>
      </c>
      <c r="F4" s="3"/>
      <c r="G4" s="3">
        <f>'Historical Financials'!G8</f>
        <v>45016</v>
      </c>
      <c r="H4" s="3">
        <f>'Historical Financials'!H8</f>
        <v>45107</v>
      </c>
      <c r="I4" s="3">
        <f>'Historical Financials'!I8</f>
        <v>45199</v>
      </c>
      <c r="J4" s="3">
        <f>'Historical Financials'!J8</f>
        <v>45291</v>
      </c>
      <c r="K4" s="3">
        <f>'Historical Financials'!K8</f>
        <v>45382</v>
      </c>
      <c r="L4" s="3">
        <f>'Historical Financials'!L8</f>
        <v>45473</v>
      </c>
      <c r="M4" s="3">
        <f>'Historical Financials'!M8</f>
        <v>45565</v>
      </c>
      <c r="N4" s="3">
        <f>'Historical Financials'!N8</f>
        <v>45657</v>
      </c>
      <c r="O4" s="3">
        <f>'Historical Financials'!O8</f>
        <v>45747</v>
      </c>
      <c r="P4" s="3">
        <f>'Historical Financials'!P8</f>
        <v>45838</v>
      </c>
      <c r="Q4" s="3">
        <f>'Historical Financials'!Q8</f>
        <v>45930</v>
      </c>
      <c r="R4" s="3"/>
      <c r="S4" s="3">
        <f t="shared" si="0"/>
        <v>45291</v>
      </c>
      <c r="T4" s="3">
        <f t="shared" si="0"/>
        <v>45382</v>
      </c>
      <c r="U4" s="3">
        <f t="shared" si="0"/>
        <v>45473</v>
      </c>
      <c r="V4" s="3">
        <f t="shared" si="0"/>
        <v>45565</v>
      </c>
      <c r="W4" s="3">
        <f t="shared" si="0"/>
        <v>45657</v>
      </c>
      <c r="X4" s="3">
        <f t="shared" si="0"/>
        <v>45747</v>
      </c>
      <c r="Y4" s="3">
        <f t="shared" si="0"/>
        <v>45838</v>
      </c>
      <c r="Z4" s="3">
        <f t="shared" si="0"/>
        <v>45930</v>
      </c>
    </row>
    <row r="5" spans="1:26" ht="5.0999999999999996" customHeight="1"/>
    <row r="6" spans="1:26">
      <c r="A6" s="36" t="s">
        <v>16</v>
      </c>
      <c r="B6" s="1" t="s">
        <v>112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5.0999999999999996" customHeight="1"/>
    <row r="8" spans="1:26" ht="12.75" customHeight="1">
      <c r="A8" s="80" t="s">
        <v>16</v>
      </c>
      <c r="B8" s="78" t="s">
        <v>113</v>
      </c>
      <c r="C8" s="10"/>
      <c r="D8" s="10"/>
      <c r="E8" s="10"/>
      <c r="F8" s="10"/>
      <c r="G8" s="95"/>
      <c r="H8" s="95"/>
      <c r="I8" s="95"/>
      <c r="J8" s="32"/>
      <c r="K8" s="95"/>
      <c r="L8" s="95"/>
      <c r="M8" s="95"/>
      <c r="N8" s="32"/>
      <c r="O8" s="95"/>
      <c r="P8" s="95"/>
      <c r="Q8" s="95"/>
      <c r="R8" s="5"/>
      <c r="S8" s="11"/>
      <c r="T8" s="11"/>
      <c r="U8" s="11"/>
      <c r="V8" s="11"/>
      <c r="W8" s="11"/>
      <c r="X8" s="11"/>
      <c r="Y8" s="11"/>
      <c r="Z8" s="11"/>
    </row>
    <row r="9" spans="1:26" ht="12.75" customHeight="1">
      <c r="A9" s="80"/>
      <c r="B9" s="9" t="s">
        <v>175</v>
      </c>
      <c r="C9" s="81">
        <v>652562</v>
      </c>
      <c r="D9" s="82">
        <v>788782</v>
      </c>
      <c r="E9" s="82">
        <v>1185456</v>
      </c>
      <c r="F9" s="10"/>
      <c r="G9" s="82">
        <v>160080</v>
      </c>
      <c r="H9" s="82">
        <v>179482</v>
      </c>
      <c r="I9" s="82">
        <v>202372</v>
      </c>
      <c r="J9" s="32">
        <f t="shared" ref="J9:J10" si="1">SUM(D9-SUM(G9:I9))</f>
        <v>246848</v>
      </c>
      <c r="K9" s="82">
        <v>222682</v>
      </c>
      <c r="L9" s="82">
        <v>253125</v>
      </c>
      <c r="M9" s="82">
        <v>315104</v>
      </c>
      <c r="N9" s="32">
        <f t="shared" ref="N9:N10" si="2">SUM(E9-SUM(K9:M9))</f>
        <v>394545</v>
      </c>
      <c r="O9" s="82">
        <v>358630</v>
      </c>
      <c r="P9" s="82">
        <v>464785</v>
      </c>
      <c r="Q9" s="82">
        <v>549342</v>
      </c>
      <c r="R9" s="5"/>
      <c r="S9" s="32">
        <f t="shared" ref="S9:Z10" si="3">SUM(G9:J9)</f>
        <v>788782</v>
      </c>
      <c r="T9" s="32">
        <f t="shared" si="3"/>
        <v>851384</v>
      </c>
      <c r="U9" s="32">
        <f t="shared" si="3"/>
        <v>925027</v>
      </c>
      <c r="V9" s="32">
        <f t="shared" si="3"/>
        <v>1037759</v>
      </c>
      <c r="W9" s="32">
        <f t="shared" si="3"/>
        <v>1185456</v>
      </c>
      <c r="X9" s="32">
        <f t="shared" si="3"/>
        <v>1321404</v>
      </c>
      <c r="Y9" s="32">
        <f t="shared" si="3"/>
        <v>1533064</v>
      </c>
      <c r="Z9" s="32">
        <f t="shared" si="3"/>
        <v>1767302</v>
      </c>
    </row>
    <row r="10" spans="1:26">
      <c r="B10" s="9" t="s">
        <v>176</v>
      </c>
      <c r="C10" s="81">
        <v>14139</v>
      </c>
      <c r="D10" s="82">
        <v>15247</v>
      </c>
      <c r="E10" s="82">
        <v>114749</v>
      </c>
      <c r="F10" s="81"/>
      <c r="G10" s="82">
        <v>3660</v>
      </c>
      <c r="H10" s="82">
        <v>3549</v>
      </c>
      <c r="I10" s="82">
        <v>5136</v>
      </c>
      <c r="J10" s="32">
        <f t="shared" si="1"/>
        <v>2902</v>
      </c>
      <c r="K10" s="82">
        <v>20281</v>
      </c>
      <c r="L10" s="82">
        <v>28059</v>
      </c>
      <c r="M10" s="82">
        <v>33247</v>
      </c>
      <c r="N10" s="32">
        <f t="shared" si="2"/>
        <v>33162</v>
      </c>
      <c r="O10" s="82">
        <v>33731</v>
      </c>
      <c r="P10" s="82">
        <v>34842</v>
      </c>
      <c r="Q10" s="82">
        <v>35569</v>
      </c>
      <c r="R10" s="5"/>
      <c r="S10" s="32">
        <f t="shared" si="3"/>
        <v>15247</v>
      </c>
      <c r="T10" s="32">
        <f t="shared" si="3"/>
        <v>31868</v>
      </c>
      <c r="U10" s="32">
        <f t="shared" si="3"/>
        <v>56378</v>
      </c>
      <c r="V10" s="32">
        <f t="shared" si="3"/>
        <v>84489</v>
      </c>
      <c r="W10" s="32">
        <f t="shared" si="3"/>
        <v>114749</v>
      </c>
      <c r="X10" s="32">
        <f t="shared" si="3"/>
        <v>128199</v>
      </c>
      <c r="Y10" s="32">
        <f t="shared" si="3"/>
        <v>134982</v>
      </c>
      <c r="Z10" s="32">
        <f t="shared" si="3"/>
        <v>137304</v>
      </c>
    </row>
    <row r="11" spans="1:26">
      <c r="B11" s="13" t="s">
        <v>64</v>
      </c>
      <c r="C11" s="14">
        <f>SUM(C9:C10)</f>
        <v>666701</v>
      </c>
      <c r="D11" s="14">
        <f>SUM(D9:D10)</f>
        <v>804029</v>
      </c>
      <c r="E11" s="14">
        <f>SUM(E9:E10)</f>
        <v>1300205</v>
      </c>
      <c r="F11" s="11"/>
      <c r="G11" s="14">
        <f t="shared" ref="G11:Q11" si="4">SUM(G9:G10)</f>
        <v>163740</v>
      </c>
      <c r="H11" s="14">
        <f t="shared" si="4"/>
        <v>183031</v>
      </c>
      <c r="I11" s="14">
        <f t="shared" si="4"/>
        <v>207508</v>
      </c>
      <c r="J11" s="14">
        <f t="shared" si="4"/>
        <v>249750</v>
      </c>
      <c r="K11" s="14">
        <f t="shared" si="4"/>
        <v>242963</v>
      </c>
      <c r="L11" s="14">
        <f t="shared" si="4"/>
        <v>281184</v>
      </c>
      <c r="M11" s="14">
        <f t="shared" si="4"/>
        <v>348351</v>
      </c>
      <c r="N11" s="14">
        <f t="shared" si="4"/>
        <v>427707</v>
      </c>
      <c r="O11" s="14">
        <f t="shared" si="4"/>
        <v>392361</v>
      </c>
      <c r="P11" s="14">
        <f t="shared" si="4"/>
        <v>499627</v>
      </c>
      <c r="Q11" s="14">
        <f t="shared" si="4"/>
        <v>584911</v>
      </c>
      <c r="R11" s="5"/>
      <c r="S11" s="14">
        <f t="shared" ref="S11:Y11" si="5">SUM(S9:S10)</f>
        <v>804029</v>
      </c>
      <c r="T11" s="14">
        <f t="shared" si="5"/>
        <v>883252</v>
      </c>
      <c r="U11" s="14">
        <f t="shared" si="5"/>
        <v>981405</v>
      </c>
      <c r="V11" s="14">
        <f t="shared" si="5"/>
        <v>1122248</v>
      </c>
      <c r="W11" s="14">
        <f t="shared" si="5"/>
        <v>1300205</v>
      </c>
      <c r="X11" s="14">
        <f t="shared" si="5"/>
        <v>1449603</v>
      </c>
      <c r="Y11" s="14">
        <f t="shared" si="5"/>
        <v>1668046</v>
      </c>
      <c r="Z11" s="14">
        <f>SUM(Z9:Z10)</f>
        <v>1904606</v>
      </c>
    </row>
    <row r="12" spans="1:26" outlineLevel="1">
      <c r="B12" s="131" t="s">
        <v>114</v>
      </c>
      <c r="C12" s="79">
        <f>C11-'Historical Financials'!C11</f>
        <v>0</v>
      </c>
      <c r="D12" s="79">
        <f>D11-'Historical Financials'!D11</f>
        <v>0</v>
      </c>
      <c r="E12" s="79">
        <f>E11-'Historical Financials'!E11</f>
        <v>0</v>
      </c>
      <c r="F12" s="11"/>
      <c r="G12" s="79">
        <f>G11-'Historical Financials'!G11</f>
        <v>0</v>
      </c>
      <c r="H12" s="79">
        <f>H11-'Historical Financials'!H11</f>
        <v>0</v>
      </c>
      <c r="I12" s="79">
        <f>I11-'Historical Financials'!I11</f>
        <v>0</v>
      </c>
      <c r="J12" s="79">
        <f>J11-'Historical Financials'!J11</f>
        <v>0</v>
      </c>
      <c r="K12" s="79">
        <f>K11-'Historical Financials'!K11</f>
        <v>0</v>
      </c>
      <c r="L12" s="79">
        <f>L11-'Historical Financials'!L11</f>
        <v>0</v>
      </c>
      <c r="M12" s="79">
        <f>M11-'Historical Financials'!M11</f>
        <v>0</v>
      </c>
      <c r="N12" s="79">
        <f>N11-'Historical Financials'!N11</f>
        <v>0</v>
      </c>
      <c r="O12" s="79">
        <f>O11-'Historical Financials'!O11</f>
        <v>0</v>
      </c>
      <c r="P12" s="79">
        <f>P11-'Historical Financials'!P11</f>
        <v>0</v>
      </c>
      <c r="Q12" s="79">
        <f>Q11-'Historical Financials'!Q11</f>
        <v>0</v>
      </c>
      <c r="R12" s="79"/>
      <c r="S12" s="79">
        <f>S11-'Historical Financials'!S11</f>
        <v>0</v>
      </c>
      <c r="T12" s="79">
        <f>T11-'Historical Financials'!T11</f>
        <v>0</v>
      </c>
      <c r="U12" s="79">
        <f>U11-'Historical Financials'!U11</f>
        <v>0</v>
      </c>
      <c r="V12" s="79">
        <f>V11-'Historical Financials'!V11</f>
        <v>0</v>
      </c>
      <c r="W12" s="79">
        <f>W11-'Historical Financials'!W11</f>
        <v>0</v>
      </c>
      <c r="X12" s="79">
        <f>X11-'Historical Financials'!X11</f>
        <v>0</v>
      </c>
      <c r="Y12" s="79">
        <f>Y11-'Historical Financials'!Y11</f>
        <v>0</v>
      </c>
      <c r="Z12" s="79">
        <f>Z11-'Historical Financials'!Z11</f>
        <v>0</v>
      </c>
    </row>
    <row r="13" spans="1:26" ht="5.0999999999999996" customHeight="1">
      <c r="B13" s="18"/>
      <c r="C13" s="19"/>
      <c r="D13" s="19"/>
      <c r="E13" s="19"/>
      <c r="F13" s="20"/>
      <c r="G13" s="21"/>
      <c r="H13" s="21"/>
      <c r="I13" s="21"/>
      <c r="J13" s="22"/>
      <c r="K13" s="21"/>
      <c r="L13" s="21"/>
      <c r="M13" s="21"/>
      <c r="N13" s="21"/>
      <c r="O13" s="21"/>
      <c r="P13" s="21"/>
      <c r="Q13" s="21"/>
      <c r="R13" s="20"/>
      <c r="S13" s="20"/>
      <c r="T13" s="20"/>
      <c r="U13" s="20"/>
      <c r="V13" s="20"/>
      <c r="W13" s="20"/>
      <c r="X13" s="20"/>
      <c r="Y13" s="20"/>
      <c r="Z13" s="20"/>
    </row>
    <row r="14" spans="1:26">
      <c r="B14" s="149" t="str">
        <f>B9&amp;"(%)"</f>
        <v>Advertising revenue	(%)</v>
      </c>
      <c r="C14" s="150">
        <f t="shared" ref="C14:E15" si="6">SUM(C9/C$11)</f>
        <v>0.97879259218150261</v>
      </c>
      <c r="D14" s="150">
        <f t="shared" si="6"/>
        <v>0.98103675364943299</v>
      </c>
      <c r="E14" s="150">
        <f t="shared" si="6"/>
        <v>0.91174545552432118</v>
      </c>
      <c r="F14" s="151"/>
      <c r="G14" s="150">
        <f t="shared" ref="G14:Q14" si="7">SUM(G9/G$11)</f>
        <v>0.97764748992304873</v>
      </c>
      <c r="H14" s="150">
        <f t="shared" si="7"/>
        <v>0.98060984204861468</v>
      </c>
      <c r="I14" s="150">
        <f t="shared" si="7"/>
        <v>0.97524914702083776</v>
      </c>
      <c r="J14" s="150">
        <f t="shared" si="7"/>
        <v>0.98838038038038034</v>
      </c>
      <c r="K14" s="150">
        <f t="shared" si="7"/>
        <v>0.91652638467585601</v>
      </c>
      <c r="L14" s="150">
        <f t="shared" si="7"/>
        <v>0.90021124957323317</v>
      </c>
      <c r="M14" s="150">
        <f t="shared" si="7"/>
        <v>0.90455890753866075</v>
      </c>
      <c r="N14" s="150">
        <f t="shared" si="7"/>
        <v>0.92246561314170683</v>
      </c>
      <c r="O14" s="150">
        <f t="shared" si="7"/>
        <v>0.91403070131842867</v>
      </c>
      <c r="P14" s="150">
        <f t="shared" si="7"/>
        <v>0.93026397692678742</v>
      </c>
      <c r="Q14" s="150">
        <f t="shared" si="7"/>
        <v>0.93918903901619222</v>
      </c>
      <c r="R14" s="151"/>
      <c r="S14" s="152">
        <f t="shared" ref="S14:Z14" si="8">SUM(S9/S$11)</f>
        <v>0.98103675364943299</v>
      </c>
      <c r="T14" s="152">
        <f t="shared" si="8"/>
        <v>0.96391969675698441</v>
      </c>
      <c r="U14" s="152">
        <f t="shared" si="8"/>
        <v>0.94255378768194575</v>
      </c>
      <c r="V14" s="152">
        <f t="shared" si="8"/>
        <v>0.9247145016074878</v>
      </c>
      <c r="W14" s="152">
        <f t="shared" si="8"/>
        <v>0.91174545552432118</v>
      </c>
      <c r="X14" s="152">
        <f t="shared" si="8"/>
        <v>0.9115626830242487</v>
      </c>
      <c r="Y14" s="152">
        <f t="shared" si="8"/>
        <v>0.91907777123652468</v>
      </c>
      <c r="Z14" s="153">
        <f t="shared" si="8"/>
        <v>0.92790949939252532</v>
      </c>
    </row>
    <row r="15" spans="1:26" ht="12.75" customHeight="1">
      <c r="B15" s="154" t="str">
        <f>B10&amp;"(%)"</f>
        <v>Other revenue	(%)</v>
      </c>
      <c r="C15" s="155">
        <f t="shared" si="6"/>
        <v>2.1207407818497347E-2</v>
      </c>
      <c r="D15" s="155">
        <f t="shared" si="6"/>
        <v>1.8963246350566957E-2</v>
      </c>
      <c r="E15" s="155">
        <f t="shared" si="6"/>
        <v>8.8254544475678834E-2</v>
      </c>
      <c r="F15" s="156"/>
      <c r="G15" s="155">
        <f t="shared" ref="G15:Q15" si="9">SUM(G10/G$11)</f>
        <v>2.2352510076951264E-2</v>
      </c>
      <c r="H15" s="155">
        <f t="shared" si="9"/>
        <v>1.9390157951385285E-2</v>
      </c>
      <c r="I15" s="155">
        <f t="shared" si="9"/>
        <v>2.4750852979162248E-2</v>
      </c>
      <c r="J15" s="155">
        <f t="shared" si="9"/>
        <v>1.1619619619619619E-2</v>
      </c>
      <c r="K15" s="155">
        <f t="shared" si="9"/>
        <v>8.3473615324144004E-2</v>
      </c>
      <c r="L15" s="155">
        <f t="shared" si="9"/>
        <v>9.9788750426766812E-2</v>
      </c>
      <c r="M15" s="155">
        <f t="shared" si="9"/>
        <v>9.5441092461339277E-2</v>
      </c>
      <c r="N15" s="155">
        <f t="shared" si="9"/>
        <v>7.7534386858293183E-2</v>
      </c>
      <c r="O15" s="155">
        <f t="shared" si="9"/>
        <v>8.5969298681571313E-2</v>
      </c>
      <c r="P15" s="155">
        <f t="shared" si="9"/>
        <v>6.9736023073212611E-2</v>
      </c>
      <c r="Q15" s="155">
        <f t="shared" si="9"/>
        <v>6.0810960983807796E-2</v>
      </c>
      <c r="R15" s="156"/>
      <c r="S15" s="157">
        <f t="shared" ref="S15:Z15" si="10">SUM(S10/S$11)</f>
        <v>1.8963246350566957E-2</v>
      </c>
      <c r="T15" s="157">
        <f t="shared" si="10"/>
        <v>3.6080303243015581E-2</v>
      </c>
      <c r="U15" s="157">
        <f t="shared" si="10"/>
        <v>5.7446212318054218E-2</v>
      </c>
      <c r="V15" s="157">
        <f t="shared" si="10"/>
        <v>7.5285498392512168E-2</v>
      </c>
      <c r="W15" s="157">
        <f t="shared" si="10"/>
        <v>8.8254544475678834E-2</v>
      </c>
      <c r="X15" s="157">
        <f t="shared" si="10"/>
        <v>8.8437316975751287E-2</v>
      </c>
      <c r="Y15" s="157">
        <f t="shared" si="10"/>
        <v>8.0922228763475351E-2</v>
      </c>
      <c r="Z15" s="158">
        <f t="shared" si="10"/>
        <v>7.2090500607474725E-2</v>
      </c>
    </row>
    <row r="16" spans="1:26">
      <c r="B16" s="18"/>
      <c r="C16" s="19"/>
      <c r="D16" s="19"/>
      <c r="E16" s="19"/>
      <c r="F16" s="20"/>
      <c r="G16" s="21"/>
      <c r="H16" s="21"/>
      <c r="I16" s="21"/>
      <c r="J16" s="22"/>
      <c r="K16" s="21"/>
      <c r="L16" s="21"/>
      <c r="M16" s="21"/>
      <c r="N16" s="21"/>
      <c r="O16" s="21"/>
      <c r="P16" s="21"/>
      <c r="Q16" s="21"/>
      <c r="R16" s="20"/>
      <c r="S16" s="20"/>
      <c r="T16" s="20"/>
      <c r="U16" s="20"/>
      <c r="V16" s="20"/>
      <c r="W16" s="20"/>
      <c r="X16" s="20"/>
      <c r="Y16" s="20"/>
      <c r="Z16" s="20"/>
    </row>
    <row r="17" spans="1:26">
      <c r="A17" s="36" t="s">
        <v>16</v>
      </c>
      <c r="B17" s="1" t="s">
        <v>112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5.0999999999999996" customHeight="1"/>
    <row r="19" spans="1:26" ht="12.75" customHeight="1">
      <c r="A19" s="80" t="s">
        <v>16</v>
      </c>
      <c r="B19" s="78" t="s">
        <v>113</v>
      </c>
      <c r="C19" s="10"/>
      <c r="D19" s="10"/>
      <c r="E19" s="10"/>
      <c r="F19" s="10"/>
      <c r="G19" s="95"/>
      <c r="H19" s="95"/>
      <c r="I19" s="95"/>
      <c r="J19" s="32"/>
      <c r="K19" s="95"/>
      <c r="L19" s="95"/>
      <c r="M19" s="95"/>
      <c r="N19" s="32"/>
      <c r="O19" s="95"/>
      <c r="P19" s="95"/>
      <c r="Q19" s="95"/>
      <c r="R19" s="5"/>
      <c r="S19" s="11"/>
      <c r="T19" s="11"/>
      <c r="U19" s="11"/>
      <c r="V19" s="11"/>
      <c r="W19" s="11"/>
      <c r="X19" s="11"/>
      <c r="Y19" s="11"/>
      <c r="Z19" s="11"/>
    </row>
    <row r="20" spans="1:26" ht="12.75" customHeight="1">
      <c r="A20" s="80"/>
      <c r="B20" s="9" t="s">
        <v>118</v>
      </c>
      <c r="C20" s="81">
        <v>548964</v>
      </c>
      <c r="D20" s="82">
        <v>651378</v>
      </c>
      <c r="E20" s="82">
        <v>1063556</v>
      </c>
      <c r="F20" s="10"/>
      <c r="G20" s="82">
        <v>130640.99999999999</v>
      </c>
      <c r="H20" s="82">
        <v>147372</v>
      </c>
      <c r="I20" s="82">
        <v>168970</v>
      </c>
      <c r="J20" s="32">
        <f t="shared" ref="J20:J21" si="11">SUM(D20-SUM(G20:I20))</f>
        <v>204395</v>
      </c>
      <c r="K20" s="95">
        <v>199803</v>
      </c>
      <c r="L20" s="82">
        <v>228069</v>
      </c>
      <c r="M20" s="82">
        <v>287937</v>
      </c>
      <c r="N20" s="32">
        <f t="shared" ref="N20:N21" si="12">SUM(E20-SUM(K20:M20))</f>
        <v>347747</v>
      </c>
      <c r="O20" s="82">
        <v>313852</v>
      </c>
      <c r="P20" s="82">
        <v>408842</v>
      </c>
      <c r="Q20" s="82">
        <v>479576</v>
      </c>
      <c r="R20" s="5"/>
      <c r="S20" s="32">
        <f t="shared" ref="S20:Y21" si="13">SUM(G20:J20)</f>
        <v>651378</v>
      </c>
      <c r="T20" s="32">
        <f t="shared" si="13"/>
        <v>720540</v>
      </c>
      <c r="U20" s="32">
        <f t="shared" si="13"/>
        <v>801237</v>
      </c>
      <c r="V20" s="32">
        <f t="shared" si="13"/>
        <v>920204</v>
      </c>
      <c r="W20" s="32">
        <f t="shared" si="13"/>
        <v>1063556</v>
      </c>
      <c r="X20" s="32">
        <f t="shared" si="13"/>
        <v>1177605</v>
      </c>
      <c r="Y20" s="32">
        <f t="shared" si="13"/>
        <v>1358378</v>
      </c>
      <c r="Z20" s="32">
        <f>SUM(N20:Q20)</f>
        <v>1550017</v>
      </c>
    </row>
    <row r="21" spans="1:26">
      <c r="B21" s="9" t="s">
        <v>120</v>
      </c>
      <c r="C21" s="81">
        <v>117737</v>
      </c>
      <c r="D21" s="82">
        <v>152651</v>
      </c>
      <c r="E21" s="82">
        <v>236649</v>
      </c>
      <c r="F21" s="81"/>
      <c r="G21" s="82">
        <v>33099</v>
      </c>
      <c r="H21" s="82">
        <v>35659</v>
      </c>
      <c r="I21" s="82">
        <v>38538</v>
      </c>
      <c r="J21" s="32">
        <f t="shared" si="11"/>
        <v>45355</v>
      </c>
      <c r="K21" s="95">
        <v>43160</v>
      </c>
      <c r="L21" s="82">
        <v>53115</v>
      </c>
      <c r="M21" s="82">
        <v>60414</v>
      </c>
      <c r="N21" s="32">
        <f t="shared" si="12"/>
        <v>79960</v>
      </c>
      <c r="O21" s="82">
        <v>78509</v>
      </c>
      <c r="P21" s="82">
        <v>90785</v>
      </c>
      <c r="Q21" s="82">
        <v>105335</v>
      </c>
      <c r="R21" s="5"/>
      <c r="S21" s="32">
        <f t="shared" si="13"/>
        <v>152651</v>
      </c>
      <c r="T21" s="32">
        <f t="shared" si="13"/>
        <v>162712</v>
      </c>
      <c r="U21" s="32">
        <f t="shared" si="13"/>
        <v>180168</v>
      </c>
      <c r="V21" s="32">
        <f t="shared" si="13"/>
        <v>202044</v>
      </c>
      <c r="W21" s="32">
        <f t="shared" si="13"/>
        <v>236649</v>
      </c>
      <c r="X21" s="32">
        <f t="shared" si="13"/>
        <v>271998</v>
      </c>
      <c r="Y21" s="32">
        <f t="shared" si="13"/>
        <v>309668</v>
      </c>
      <c r="Z21" s="32">
        <f>SUM(N21:Q21)</f>
        <v>354589</v>
      </c>
    </row>
    <row r="22" spans="1:26">
      <c r="B22" s="13" t="s">
        <v>64</v>
      </c>
      <c r="C22" s="14">
        <f>SUM(C20:C21)</f>
        <v>666701</v>
      </c>
      <c r="D22" s="14">
        <f>SUM(D20:D21)</f>
        <v>804029</v>
      </c>
      <c r="E22" s="14">
        <f>SUM(E20:E21)</f>
        <v>1300205</v>
      </c>
      <c r="F22" s="11"/>
      <c r="G22" s="14">
        <f t="shared" ref="G22:Q22" si="14">SUM(G20:G21)</f>
        <v>163740</v>
      </c>
      <c r="H22" s="14">
        <f t="shared" si="14"/>
        <v>183031</v>
      </c>
      <c r="I22" s="14">
        <f t="shared" si="14"/>
        <v>207508</v>
      </c>
      <c r="J22" s="14">
        <f t="shared" si="14"/>
        <v>249750</v>
      </c>
      <c r="K22" s="14">
        <f t="shared" si="14"/>
        <v>242963</v>
      </c>
      <c r="L22" s="14">
        <f t="shared" si="14"/>
        <v>281184</v>
      </c>
      <c r="M22" s="14">
        <f t="shared" si="14"/>
        <v>348351</v>
      </c>
      <c r="N22" s="14">
        <f t="shared" si="14"/>
        <v>427707</v>
      </c>
      <c r="O22" s="14">
        <f t="shared" si="14"/>
        <v>392361</v>
      </c>
      <c r="P22" s="14">
        <f t="shared" si="14"/>
        <v>499627</v>
      </c>
      <c r="Q22" s="14">
        <f t="shared" si="14"/>
        <v>584911</v>
      </c>
      <c r="R22" s="5"/>
      <c r="S22" s="14">
        <f t="shared" ref="S22:Z22" si="15">SUM(S20:S21)</f>
        <v>804029</v>
      </c>
      <c r="T22" s="14">
        <f t="shared" si="15"/>
        <v>883252</v>
      </c>
      <c r="U22" s="14">
        <f t="shared" si="15"/>
        <v>981405</v>
      </c>
      <c r="V22" s="14">
        <f t="shared" si="15"/>
        <v>1122248</v>
      </c>
      <c r="W22" s="14">
        <f t="shared" si="15"/>
        <v>1300205</v>
      </c>
      <c r="X22" s="14">
        <f t="shared" si="15"/>
        <v>1449603</v>
      </c>
      <c r="Y22" s="14">
        <f t="shared" si="15"/>
        <v>1668046</v>
      </c>
      <c r="Z22" s="14">
        <f t="shared" si="15"/>
        <v>1904606</v>
      </c>
    </row>
    <row r="23" spans="1:26" outlineLevel="1">
      <c r="B23" s="169" t="s">
        <v>114</v>
      </c>
      <c r="C23" s="79">
        <f>C22-C11</f>
        <v>0</v>
      </c>
      <c r="D23" s="79">
        <f>D22-D11</f>
        <v>0</v>
      </c>
      <c r="E23" s="79">
        <f>E22-E11</f>
        <v>0</v>
      </c>
      <c r="F23" s="11"/>
      <c r="G23" s="79">
        <f t="shared" ref="G23:Q23" si="16">G22-G11</f>
        <v>0</v>
      </c>
      <c r="H23" s="79">
        <f t="shared" si="16"/>
        <v>0</v>
      </c>
      <c r="I23" s="79">
        <f t="shared" si="16"/>
        <v>0</v>
      </c>
      <c r="J23" s="79">
        <f t="shared" si="16"/>
        <v>0</v>
      </c>
      <c r="K23" s="79">
        <f t="shared" si="16"/>
        <v>0</v>
      </c>
      <c r="L23" s="79">
        <f t="shared" si="16"/>
        <v>0</v>
      </c>
      <c r="M23" s="79">
        <f t="shared" si="16"/>
        <v>0</v>
      </c>
      <c r="N23" s="79">
        <f t="shared" si="16"/>
        <v>0</v>
      </c>
      <c r="O23" s="79">
        <f t="shared" si="16"/>
        <v>0</v>
      </c>
      <c r="P23" s="79">
        <f t="shared" si="16"/>
        <v>0</v>
      </c>
      <c r="Q23" s="79">
        <f t="shared" si="16"/>
        <v>0</v>
      </c>
      <c r="R23" s="79"/>
      <c r="S23" s="79">
        <f t="shared" ref="S23:Z23" si="17">S22-S11</f>
        <v>0</v>
      </c>
      <c r="T23" s="79">
        <f t="shared" si="17"/>
        <v>0</v>
      </c>
      <c r="U23" s="79">
        <f t="shared" si="17"/>
        <v>0</v>
      </c>
      <c r="V23" s="79">
        <f t="shared" si="17"/>
        <v>0</v>
      </c>
      <c r="W23" s="79">
        <f t="shared" si="17"/>
        <v>0</v>
      </c>
      <c r="X23" s="79">
        <f t="shared" si="17"/>
        <v>0</v>
      </c>
      <c r="Y23" s="79">
        <f t="shared" si="17"/>
        <v>0</v>
      </c>
      <c r="Z23" s="79">
        <f t="shared" si="17"/>
        <v>0</v>
      </c>
    </row>
    <row r="24" spans="1:26" ht="5.0999999999999996" customHeight="1">
      <c r="B24" s="18"/>
      <c r="C24" s="19"/>
      <c r="D24" s="19"/>
      <c r="E24" s="19"/>
      <c r="F24" s="20"/>
      <c r="G24" s="21"/>
      <c r="H24" s="21"/>
      <c r="I24" s="21"/>
      <c r="J24" s="22"/>
      <c r="K24" s="21"/>
      <c r="L24" s="21"/>
      <c r="M24" s="21"/>
      <c r="N24" s="21"/>
      <c r="O24" s="21"/>
      <c r="P24" s="21"/>
      <c r="Q24" s="21"/>
      <c r="R24" s="20"/>
      <c r="S24" s="20"/>
      <c r="T24" s="20"/>
      <c r="U24" s="20"/>
      <c r="V24" s="20"/>
      <c r="W24" s="20"/>
      <c r="X24" s="20"/>
      <c r="Y24" s="20"/>
      <c r="Z24" s="20"/>
    </row>
    <row r="25" spans="1:26">
      <c r="B25" s="149" t="str">
        <f>B20&amp;"(%)"</f>
        <v>U.S. Revenues(%)</v>
      </c>
      <c r="C25" s="150">
        <f>SUM(C20/C$22)</f>
        <v>0.82340359471487223</v>
      </c>
      <c r="D25" s="150">
        <f t="shared" ref="D25:E25" si="18">SUM(D20/D$22)</f>
        <v>0.81014242023608596</v>
      </c>
      <c r="E25" s="150">
        <f t="shared" si="18"/>
        <v>0.81799100911010192</v>
      </c>
      <c r="F25" s="151"/>
      <c r="G25" s="150">
        <f t="shared" ref="G25:Q25" si="19">SUM(G20/G$22)</f>
        <v>0.79785635764016116</v>
      </c>
      <c r="H25" s="150">
        <f t="shared" si="19"/>
        <v>0.80517507963131929</v>
      </c>
      <c r="I25" s="150">
        <f t="shared" si="19"/>
        <v>0.81428185901266459</v>
      </c>
      <c r="J25" s="150">
        <f t="shared" si="19"/>
        <v>0.81839839839839845</v>
      </c>
      <c r="K25" s="150">
        <f t="shared" si="19"/>
        <v>0.82235978317686231</v>
      </c>
      <c r="L25" s="150">
        <f t="shared" si="19"/>
        <v>0.8111023386821441</v>
      </c>
      <c r="M25" s="150">
        <f t="shared" si="19"/>
        <v>0.82657147532230424</v>
      </c>
      <c r="N25" s="150">
        <f t="shared" si="19"/>
        <v>0.81304958768502733</v>
      </c>
      <c r="O25" s="150">
        <f t="shared" si="19"/>
        <v>0.79990620882299723</v>
      </c>
      <c r="P25" s="150">
        <f t="shared" si="19"/>
        <v>0.81829444765795278</v>
      </c>
      <c r="Q25" s="150">
        <f t="shared" si="19"/>
        <v>0.81991277305436217</v>
      </c>
      <c r="R25" s="151"/>
      <c r="S25" s="152">
        <f t="shared" ref="S25:Z25" si="20">SUM(S20/S$22)</f>
        <v>0.81014242023608596</v>
      </c>
      <c r="T25" s="152">
        <f t="shared" si="20"/>
        <v>0.81578077377690628</v>
      </c>
      <c r="U25" s="152">
        <f t="shared" si="20"/>
        <v>0.81641829825607171</v>
      </c>
      <c r="V25" s="152">
        <f t="shared" si="20"/>
        <v>0.81996492753829808</v>
      </c>
      <c r="W25" s="152">
        <f t="shared" si="20"/>
        <v>0.81799100911010192</v>
      </c>
      <c r="X25" s="152">
        <f t="shared" si="20"/>
        <v>0.8123637989159791</v>
      </c>
      <c r="Y25" s="152">
        <f t="shared" si="20"/>
        <v>0.81435284158830157</v>
      </c>
      <c r="Z25" s="153">
        <f t="shared" si="20"/>
        <v>0.81382553662017232</v>
      </c>
    </row>
    <row r="26" spans="1:26" ht="12.75" customHeight="1">
      <c r="B26" s="154" t="str">
        <f>B21&amp;"(%)"</f>
        <v>Rest of World (%)</v>
      </c>
      <c r="C26" s="155">
        <f>SUM(C21/C$22)</f>
        <v>0.17659640528512782</v>
      </c>
      <c r="D26" s="155">
        <f t="shared" ref="D26:E26" si="21">SUM(D21/D$22)</f>
        <v>0.18985757976391399</v>
      </c>
      <c r="E26" s="155">
        <f t="shared" si="21"/>
        <v>0.18200899088989814</v>
      </c>
      <c r="F26" s="156"/>
      <c r="G26" s="155">
        <f t="shared" ref="G26:Q26" si="22">SUM(G21/G$22)</f>
        <v>0.20214364235983878</v>
      </c>
      <c r="H26" s="155">
        <f t="shared" si="22"/>
        <v>0.19482492036868071</v>
      </c>
      <c r="I26" s="155">
        <f t="shared" si="22"/>
        <v>0.18571814098733544</v>
      </c>
      <c r="J26" s="155">
        <f t="shared" si="22"/>
        <v>0.1816016016016016</v>
      </c>
      <c r="K26" s="155">
        <f t="shared" si="22"/>
        <v>0.17764021682313769</v>
      </c>
      <c r="L26" s="155">
        <f t="shared" si="22"/>
        <v>0.18889766131785593</v>
      </c>
      <c r="M26" s="155">
        <f t="shared" si="22"/>
        <v>0.17342852467769576</v>
      </c>
      <c r="N26" s="155">
        <f t="shared" si="22"/>
        <v>0.18695041231497264</v>
      </c>
      <c r="O26" s="155">
        <f t="shared" si="22"/>
        <v>0.20009379117700282</v>
      </c>
      <c r="P26" s="155">
        <f t="shared" si="22"/>
        <v>0.18170555234204716</v>
      </c>
      <c r="Q26" s="155">
        <f t="shared" si="22"/>
        <v>0.18008722694563789</v>
      </c>
      <c r="R26" s="156"/>
      <c r="S26" s="157">
        <f t="shared" ref="S26:Z26" si="23">SUM(S21/S$22)</f>
        <v>0.18985757976391399</v>
      </c>
      <c r="T26" s="157">
        <f t="shared" si="23"/>
        <v>0.18421922622309375</v>
      </c>
      <c r="U26" s="157">
        <f t="shared" si="23"/>
        <v>0.18358170174392835</v>
      </c>
      <c r="V26" s="157">
        <f t="shared" si="23"/>
        <v>0.18003507246170186</v>
      </c>
      <c r="W26" s="157">
        <f t="shared" si="23"/>
        <v>0.18200899088989814</v>
      </c>
      <c r="X26" s="157">
        <f t="shared" si="23"/>
        <v>0.18763620108402093</v>
      </c>
      <c r="Y26" s="157">
        <f t="shared" si="23"/>
        <v>0.18564715841169849</v>
      </c>
      <c r="Z26" s="158">
        <f t="shared" si="23"/>
        <v>0.18617446337982763</v>
      </c>
    </row>
    <row r="28" spans="1:26">
      <c r="A28" s="36" t="s">
        <v>16</v>
      </c>
      <c r="B28" s="1" t="s">
        <v>121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5.0999999999999996" customHeight="1"/>
    <row r="30" spans="1:26" ht="12.75" customHeight="1">
      <c r="A30" s="80" t="s">
        <v>16</v>
      </c>
      <c r="B30" s="78" t="s">
        <v>172</v>
      </c>
      <c r="C30" s="10"/>
      <c r="D30" s="10"/>
      <c r="E30" s="10"/>
      <c r="F30" s="10"/>
      <c r="G30" s="95"/>
      <c r="H30" s="95"/>
      <c r="I30" s="95"/>
      <c r="J30" s="32"/>
      <c r="K30" s="95"/>
      <c r="L30" s="95"/>
      <c r="M30" s="95"/>
      <c r="N30" s="32"/>
      <c r="O30" s="95"/>
      <c r="P30" s="95"/>
      <c r="Q30" s="95"/>
      <c r="R30" s="5"/>
      <c r="S30" s="11"/>
      <c r="T30" s="11"/>
      <c r="U30" s="11"/>
      <c r="V30" s="11"/>
      <c r="W30" s="11"/>
      <c r="X30" s="11"/>
      <c r="Y30" s="11"/>
      <c r="Z30" s="11"/>
    </row>
    <row r="31" spans="1:26" ht="12.75" customHeight="1">
      <c r="A31" s="80"/>
      <c r="B31" s="9" t="s">
        <v>122</v>
      </c>
      <c r="C31" s="168">
        <f>C47</f>
        <v>57500</v>
      </c>
      <c r="D31" s="168">
        <f t="shared" ref="D31:Z31" si="24">D47</f>
        <v>73100</v>
      </c>
      <c r="E31" s="168">
        <f t="shared" si="24"/>
        <v>101700</v>
      </c>
      <c r="F31" s="168"/>
      <c r="G31" s="168">
        <f t="shared" si="24"/>
        <v>60300</v>
      </c>
      <c r="H31" s="168">
        <f t="shared" si="24"/>
        <v>60400</v>
      </c>
      <c r="I31" s="168">
        <f t="shared" si="24"/>
        <v>65800</v>
      </c>
      <c r="J31" s="168">
        <f t="shared" si="24"/>
        <v>73100</v>
      </c>
      <c r="K31" s="168">
        <f t="shared" si="24"/>
        <v>82700</v>
      </c>
      <c r="L31" s="168">
        <f t="shared" si="24"/>
        <v>91200</v>
      </c>
      <c r="M31" s="168">
        <f t="shared" si="24"/>
        <v>97200</v>
      </c>
      <c r="N31" s="168">
        <f t="shared" si="24"/>
        <v>101700</v>
      </c>
      <c r="O31" s="168">
        <f t="shared" si="24"/>
        <v>108100</v>
      </c>
      <c r="P31" s="168">
        <f t="shared" si="24"/>
        <v>110400</v>
      </c>
      <c r="Q31" s="168">
        <f t="shared" si="24"/>
        <v>116000</v>
      </c>
      <c r="R31" s="120"/>
      <c r="S31" s="168">
        <f t="shared" si="24"/>
        <v>73100</v>
      </c>
      <c r="T31" s="168">
        <f t="shared" si="24"/>
        <v>82700</v>
      </c>
      <c r="U31" s="168">
        <f t="shared" si="24"/>
        <v>91200</v>
      </c>
      <c r="V31" s="168">
        <f t="shared" si="24"/>
        <v>97200</v>
      </c>
      <c r="W31" s="168">
        <f t="shared" si="24"/>
        <v>101700</v>
      </c>
      <c r="X31" s="168">
        <f t="shared" si="24"/>
        <v>108100</v>
      </c>
      <c r="Y31" s="168">
        <f t="shared" si="24"/>
        <v>110400</v>
      </c>
      <c r="Z31" s="168">
        <f t="shared" si="24"/>
        <v>116000</v>
      </c>
    </row>
    <row r="32" spans="1:26">
      <c r="B32" s="13" t="s">
        <v>172</v>
      </c>
      <c r="C32" s="143">
        <f>C11/C31</f>
        <v>11.594799999999999</v>
      </c>
      <c r="D32" s="143">
        <f t="shared" ref="D32:E32" si="25">D11/D31</f>
        <v>10.999028727770177</v>
      </c>
      <c r="E32" s="143">
        <f t="shared" si="25"/>
        <v>12.784709931170108</v>
      </c>
      <c r="F32" s="11"/>
      <c r="G32" s="143">
        <f t="shared" ref="G32" si="26">G11/G31</f>
        <v>2.7154228855721394</v>
      </c>
      <c r="H32" s="143">
        <f t="shared" ref="H32" si="27">H11/H31</f>
        <v>3.030314569536424</v>
      </c>
      <c r="I32" s="143">
        <f t="shared" ref="I32" si="28">I11/I31</f>
        <v>3.1536170212765957</v>
      </c>
      <c r="J32" s="143">
        <f t="shared" ref="J32" si="29">J11/J31</f>
        <v>3.4165526675786593</v>
      </c>
      <c r="K32" s="143">
        <f t="shared" ref="K32" si="30">K11/K31</f>
        <v>2.9378839177750908</v>
      </c>
      <c r="L32" s="143">
        <f t="shared" ref="L32" si="31">L11/L31</f>
        <v>3.0831578947368423</v>
      </c>
      <c r="M32" s="143">
        <f t="shared" ref="M32" si="32">M11/M31</f>
        <v>3.5838580246913581</v>
      </c>
      <c r="N32" s="143">
        <f t="shared" ref="N32" si="33">N11/N31</f>
        <v>4.2055752212389379</v>
      </c>
      <c r="O32" s="143">
        <f t="shared" ref="O32" si="34">O11/O31</f>
        <v>3.6296114708603144</v>
      </c>
      <c r="P32" s="143">
        <f t="shared" ref="P32" si="35">P11/P31</f>
        <v>4.5256068840579706</v>
      </c>
      <c r="Q32" s="143">
        <f t="shared" ref="Q32" si="36">Q11/Q31</f>
        <v>5.042336206896552</v>
      </c>
      <c r="R32" s="5"/>
      <c r="S32" s="143">
        <f t="shared" ref="S32" si="37">S11/S31</f>
        <v>10.999028727770177</v>
      </c>
      <c r="T32" s="143">
        <f t="shared" ref="T32" si="38">T11/T31</f>
        <v>10.680193470374849</v>
      </c>
      <c r="U32" s="143">
        <f t="shared" ref="U32" si="39">U11/U31</f>
        <v>10.761019736842105</v>
      </c>
      <c r="V32" s="143">
        <f t="shared" ref="V32" si="40">V11/V31</f>
        <v>11.545761316872428</v>
      </c>
      <c r="W32" s="143">
        <f t="shared" ref="W32" si="41">W11/W31</f>
        <v>12.784709931170108</v>
      </c>
      <c r="X32" s="143">
        <f t="shared" ref="X32" si="42">X11/X31</f>
        <v>13.409833487511563</v>
      </c>
      <c r="Y32" s="143">
        <f t="shared" ref="Y32" si="43">Y11/Y31</f>
        <v>15.10911231884058</v>
      </c>
      <c r="Z32" s="143">
        <f t="shared" ref="Z32" si="44">Z11/Z31</f>
        <v>16.419017241379311</v>
      </c>
    </row>
    <row r="33" spans="1:26" ht="12.75" customHeight="1">
      <c r="B33" s="16" t="s">
        <v>26</v>
      </c>
      <c r="C33" s="115"/>
      <c r="D33" s="17">
        <f>SUM(D32/C32)-1</f>
        <v>-5.1382626024581879E-2</v>
      </c>
      <c r="E33" s="17">
        <f>SUM(E32/D32)-1</f>
        <v>0.16234898986048374</v>
      </c>
      <c r="F33" s="11"/>
      <c r="G33" s="115"/>
      <c r="H33" s="115"/>
      <c r="I33" s="115"/>
      <c r="J33" s="115"/>
      <c r="K33" s="17">
        <f t="shared" ref="K33:Q33" si="45">SUM(K32/G32)-1</f>
        <v>8.1925004530584822E-2</v>
      </c>
      <c r="L33" s="17">
        <f t="shared" si="45"/>
        <v>1.7438230912278696E-2</v>
      </c>
      <c r="M33" s="17">
        <f t="shared" si="45"/>
        <v>0.13642779085476886</v>
      </c>
      <c r="N33" s="17">
        <f t="shared" si="45"/>
        <v>0.23094113582609155</v>
      </c>
      <c r="O33" s="17">
        <f t="shared" si="45"/>
        <v>0.23545094784040366</v>
      </c>
      <c r="P33" s="17">
        <f t="shared" si="45"/>
        <v>0.46784791391432967</v>
      </c>
      <c r="Q33" s="17">
        <f t="shared" si="45"/>
        <v>0.40695757816209754</v>
      </c>
      <c r="R33" s="5"/>
      <c r="S33" s="115"/>
      <c r="T33" s="115"/>
      <c r="U33" s="115"/>
      <c r="V33" s="115"/>
      <c r="W33" s="17">
        <f t="shared" ref="W33:Z33" si="46">SUM(W32/S32)-1</f>
        <v>0.16234898986048374</v>
      </c>
      <c r="X33" s="17">
        <f t="shared" si="46"/>
        <v>0.25557964139023315</v>
      </c>
      <c r="Y33" s="17">
        <f t="shared" si="46"/>
        <v>0.40405953044692144</v>
      </c>
      <c r="Z33" s="17">
        <f t="shared" si="46"/>
        <v>0.42208181779969234</v>
      </c>
    </row>
    <row r="34" spans="1:26" ht="12.75" customHeight="1">
      <c r="B34" s="16" t="s">
        <v>27</v>
      </c>
      <c r="C34" s="17" t="s">
        <v>28</v>
      </c>
      <c r="D34" s="17" t="s">
        <v>28</v>
      </c>
      <c r="E34" s="17" t="s">
        <v>28</v>
      </c>
      <c r="F34" s="11"/>
      <c r="G34" s="115"/>
      <c r="H34" s="17">
        <f t="shared" ref="H34:Q34" si="47">SUM(H32/G32)-1</f>
        <v>0.11596414158450208</v>
      </c>
      <c r="I34" s="17">
        <f t="shared" si="47"/>
        <v>4.0689654130209529E-2</v>
      </c>
      <c r="J34" s="17">
        <f t="shared" si="47"/>
        <v>8.3375896479537026E-2</v>
      </c>
      <c r="K34" s="17">
        <f t="shared" si="47"/>
        <v>-0.14010284528785122</v>
      </c>
      <c r="L34" s="17">
        <f t="shared" si="47"/>
        <v>4.9448508187406537E-2</v>
      </c>
      <c r="M34" s="17">
        <f t="shared" si="47"/>
        <v>0.16239847164793098</v>
      </c>
      <c r="N34" s="17">
        <f t="shared" si="47"/>
        <v>0.17347707198895579</v>
      </c>
      <c r="O34" s="17">
        <f t="shared" si="47"/>
        <v>-0.13695243101821108</v>
      </c>
      <c r="P34" s="17">
        <f t="shared" si="47"/>
        <v>0.24685711415422684</v>
      </c>
      <c r="Q34" s="17">
        <f t="shared" si="47"/>
        <v>0.11417901202573</v>
      </c>
      <c r="R34" s="5"/>
      <c r="S34" s="17" t="s">
        <v>28</v>
      </c>
      <c r="T34" s="17" t="s">
        <v>28</v>
      </c>
      <c r="U34" s="17" t="s">
        <v>28</v>
      </c>
      <c r="V34" s="17" t="s">
        <v>28</v>
      </c>
      <c r="W34" s="17" t="s">
        <v>28</v>
      </c>
      <c r="X34" s="17" t="s">
        <v>28</v>
      </c>
      <c r="Y34" s="17" t="s">
        <v>28</v>
      </c>
      <c r="Z34" s="17" t="s">
        <v>28</v>
      </c>
    </row>
    <row r="35" spans="1:26" ht="5.0999999999999996" customHeight="1"/>
    <row r="36" spans="1:26" ht="12.75" customHeight="1">
      <c r="A36" s="80" t="s">
        <v>16</v>
      </c>
      <c r="B36" s="78" t="s">
        <v>173</v>
      </c>
      <c r="C36" s="10"/>
      <c r="D36" s="10"/>
      <c r="E36" s="10"/>
      <c r="F36" s="10"/>
      <c r="G36" s="95"/>
      <c r="H36" s="95"/>
      <c r="I36" s="95"/>
      <c r="J36" s="32"/>
      <c r="K36" s="95"/>
      <c r="L36" s="95"/>
      <c r="M36" s="95"/>
      <c r="N36" s="32"/>
      <c r="O36" s="95"/>
      <c r="P36" s="95"/>
      <c r="Q36" s="95"/>
      <c r="R36" s="5"/>
      <c r="S36" s="11"/>
      <c r="T36" s="11"/>
      <c r="U36" s="11"/>
      <c r="V36" s="11"/>
      <c r="W36" s="11"/>
      <c r="X36" s="11"/>
      <c r="Y36" s="11"/>
      <c r="Z36" s="11"/>
    </row>
    <row r="37" spans="1:26" ht="12.75" customHeight="1">
      <c r="A37" s="80"/>
      <c r="B37" s="9" t="s">
        <v>174</v>
      </c>
      <c r="C37" s="168">
        <f>C53</f>
        <v>207300</v>
      </c>
      <c r="D37" s="168">
        <f t="shared" ref="D37:Z37" si="48">D53</f>
        <v>267500</v>
      </c>
      <c r="E37" s="168">
        <f t="shared" si="48"/>
        <v>379400</v>
      </c>
      <c r="F37" s="168"/>
      <c r="G37" s="168">
        <f t="shared" si="48"/>
        <v>218000</v>
      </c>
      <c r="H37" s="168">
        <f t="shared" si="48"/>
        <v>218100</v>
      </c>
      <c r="I37" s="168">
        <f t="shared" si="48"/>
        <v>239100</v>
      </c>
      <c r="J37" s="168">
        <f t="shared" si="48"/>
        <v>267500</v>
      </c>
      <c r="K37" s="168">
        <f t="shared" si="48"/>
        <v>306200</v>
      </c>
      <c r="L37" s="168">
        <f t="shared" si="48"/>
        <v>342300</v>
      </c>
      <c r="M37" s="168">
        <f t="shared" si="48"/>
        <v>365400</v>
      </c>
      <c r="N37" s="168">
        <f t="shared" si="48"/>
        <v>379400</v>
      </c>
      <c r="O37" s="168">
        <f t="shared" si="48"/>
        <v>401300</v>
      </c>
      <c r="P37" s="168">
        <f t="shared" si="48"/>
        <v>416400</v>
      </c>
      <c r="Q37" s="168">
        <f t="shared" si="48"/>
        <v>443800</v>
      </c>
      <c r="R37" s="120"/>
      <c r="S37" s="168">
        <f t="shared" si="48"/>
        <v>267500</v>
      </c>
      <c r="T37" s="168">
        <f t="shared" si="48"/>
        <v>306200</v>
      </c>
      <c r="U37" s="168">
        <f t="shared" si="48"/>
        <v>342300</v>
      </c>
      <c r="V37" s="168">
        <f t="shared" si="48"/>
        <v>365400</v>
      </c>
      <c r="W37" s="168">
        <f t="shared" si="48"/>
        <v>379400</v>
      </c>
      <c r="X37" s="168">
        <f t="shared" si="48"/>
        <v>401300</v>
      </c>
      <c r="Y37" s="168">
        <f t="shared" si="48"/>
        <v>416400</v>
      </c>
      <c r="Z37" s="168">
        <f t="shared" si="48"/>
        <v>443800</v>
      </c>
    </row>
    <row r="38" spans="1:26">
      <c r="B38" s="13" t="s">
        <v>173</v>
      </c>
      <c r="C38" s="143">
        <f>C11/C37</f>
        <v>3.2161167390255669</v>
      </c>
      <c r="D38" s="143">
        <f t="shared" ref="D38:E38" si="49">D11/D37</f>
        <v>3.0057158878504673</v>
      </c>
      <c r="E38" s="143">
        <f t="shared" si="49"/>
        <v>3.4270031628887718</v>
      </c>
      <c r="F38" s="11"/>
      <c r="G38" s="143">
        <f t="shared" ref="G38" si="50">G11/G37</f>
        <v>0.75110091743119267</v>
      </c>
      <c r="H38" s="143">
        <f t="shared" ref="H38" si="51">H11/H37</f>
        <v>0.83920678587803754</v>
      </c>
      <c r="I38" s="143">
        <f t="shared" ref="I38" si="52">I11/I37</f>
        <v>0.86787118360518611</v>
      </c>
      <c r="J38" s="143">
        <f t="shared" ref="J38" si="53">J11/J37</f>
        <v>0.93364485981308409</v>
      </c>
      <c r="K38" s="143">
        <f t="shared" ref="K38" si="54">K11/K37</f>
        <v>0.79347811887655129</v>
      </c>
      <c r="L38" s="143">
        <f t="shared" ref="L38" si="55">L11/L37</f>
        <v>0.82145486415425062</v>
      </c>
      <c r="M38" s="143">
        <f t="shared" ref="M38" si="56">M11/M37</f>
        <v>0.95334154351395728</v>
      </c>
      <c r="N38" s="143">
        <f t="shared" ref="N38" si="57">N11/N37</f>
        <v>1.1273247232472325</v>
      </c>
      <c r="O38" s="143">
        <f t="shared" ref="O38" si="58">O11/O37</f>
        <v>0.97772489409419383</v>
      </c>
      <c r="P38" s="143">
        <f t="shared" ref="P38" si="59">P11/P37</f>
        <v>1.1998727185398654</v>
      </c>
      <c r="Q38" s="143">
        <f t="shared" ref="Q38" si="60">Q11/Q37</f>
        <v>1.3179607931500676</v>
      </c>
      <c r="R38" s="5"/>
      <c r="S38" s="143">
        <f t="shared" ref="S38" si="61">S11/S37</f>
        <v>3.0057158878504673</v>
      </c>
      <c r="T38" s="143">
        <f t="shared" ref="T38" si="62">T11/T37</f>
        <v>2.8845591116917046</v>
      </c>
      <c r="U38" s="143">
        <f t="shared" ref="U38" si="63">U11/U37</f>
        <v>2.8670902716914988</v>
      </c>
      <c r="V38" s="143">
        <f t="shared" ref="V38" si="64">V11/V37</f>
        <v>3.0712862616310894</v>
      </c>
      <c r="W38" s="143">
        <f t="shared" ref="W38" si="65">W11/W37</f>
        <v>3.4270031628887718</v>
      </c>
      <c r="X38" s="143">
        <f t="shared" ref="X38" si="66">X11/X37</f>
        <v>3.6122676302018442</v>
      </c>
      <c r="Y38" s="143">
        <f t="shared" ref="Y38" si="67">Y11/Y37</f>
        <v>4.0058741594620555</v>
      </c>
      <c r="Z38" s="143">
        <f t="shared" ref="Z38" si="68">Z11/Z37</f>
        <v>4.2915863001351964</v>
      </c>
    </row>
    <row r="39" spans="1:26" ht="12.75" customHeight="1">
      <c r="B39" s="16" t="s">
        <v>26</v>
      </c>
      <c r="C39" s="115"/>
      <c r="D39" s="17">
        <f>SUM(D38/C38)-1</f>
        <v>-6.5420775502958883E-2</v>
      </c>
      <c r="E39" s="17">
        <f>SUM(E38/D38)-1</f>
        <v>0.14016204150938139</v>
      </c>
      <c r="F39" s="11"/>
      <c r="G39" s="115"/>
      <c r="H39" s="115"/>
      <c r="I39" s="115"/>
      <c r="J39" s="115"/>
      <c r="K39" s="17">
        <f t="shared" ref="K39" si="69">SUM(K38/G38)-1</f>
        <v>5.6420116740492077E-2</v>
      </c>
      <c r="L39" s="17">
        <f t="shared" ref="L39" si="70">SUM(L38/H38)-1</f>
        <v>-2.1153215181897722E-2</v>
      </c>
      <c r="M39" s="17">
        <f t="shared" ref="M39" si="71">SUM(M38/I38)-1</f>
        <v>9.8482772009692132E-2</v>
      </c>
      <c r="N39" s="17">
        <f t="shared" ref="N39" si="72">SUM(N38/J38)-1</f>
        <v>0.20744489877331218</v>
      </c>
      <c r="O39" s="17">
        <f t="shared" ref="O39" si="73">SUM(O38/K38)-1</f>
        <v>0.23220145689525618</v>
      </c>
      <c r="P39" s="17">
        <f t="shared" ref="P39" si="74">SUM(P38/L38)-1</f>
        <v>0.46066786003540727</v>
      </c>
      <c r="Q39" s="17">
        <f t="shared" ref="Q39" si="75">SUM(Q38/M38)-1</f>
        <v>0.38246445056002343</v>
      </c>
      <c r="R39" s="5"/>
      <c r="S39" s="115"/>
      <c r="T39" s="115"/>
      <c r="U39" s="115"/>
      <c r="V39" s="115"/>
      <c r="W39" s="17">
        <f t="shared" ref="W39" si="76">SUM(W38/S38)-1</f>
        <v>0.14016204150938139</v>
      </c>
      <c r="X39" s="17">
        <f t="shared" ref="X39" si="77">SUM(X38/T38)-1</f>
        <v>0.25227720782721663</v>
      </c>
      <c r="Y39" s="17">
        <f t="shared" ref="Y39" si="78">SUM(Y38/U38)-1</f>
        <v>0.3971915007401241</v>
      </c>
      <c r="Z39" s="17">
        <f t="shared" ref="Z39" si="79">SUM(Z38/V38)-1</f>
        <v>0.39732539872595063</v>
      </c>
    </row>
    <row r="40" spans="1:26" ht="12.75" customHeight="1">
      <c r="B40" s="16" t="s">
        <v>27</v>
      </c>
      <c r="C40" s="17" t="s">
        <v>28</v>
      </c>
      <c r="D40" s="17" t="s">
        <v>28</v>
      </c>
      <c r="E40" s="17" t="s">
        <v>28</v>
      </c>
      <c r="F40" s="11"/>
      <c r="G40" s="115"/>
      <c r="H40" s="17">
        <f t="shared" ref="H40" si="80">SUM(H38/G38)-1</f>
        <v>0.11730230439362521</v>
      </c>
      <c r="I40" s="17">
        <f t="shared" ref="I40" si="81">SUM(I38/H38)-1</f>
        <v>3.4156537112790097E-2</v>
      </c>
      <c r="J40" s="17">
        <f t="shared" ref="J40" si="82">SUM(J38/I38)-1</f>
        <v>7.5787371963049077E-2</v>
      </c>
      <c r="K40" s="17">
        <f t="shared" ref="K40" si="83">SUM(K38/J38)-1</f>
        <v>-0.15012854134343356</v>
      </c>
      <c r="L40" s="17">
        <f t="shared" ref="L40" si="84">SUM(L38/K38)-1</f>
        <v>3.5258370221110003E-2</v>
      </c>
      <c r="M40" s="17">
        <f t="shared" ref="M40" si="85">SUM(M38/L38)-1</f>
        <v>0.16055255755956099</v>
      </c>
      <c r="N40" s="17">
        <f t="shared" ref="N40" si="86">SUM(N38/M38)-1</f>
        <v>0.18249826719182316</v>
      </c>
      <c r="O40" s="17">
        <f t="shared" ref="O40" si="87">SUM(O38/N38)-1</f>
        <v>-0.13270340485580756</v>
      </c>
      <c r="P40" s="17">
        <f t="shared" ref="P40" si="88">SUM(P38/O38)-1</f>
        <v>0.22720892736548226</v>
      </c>
      <c r="Q40" s="17">
        <f t="shared" ref="Q40" si="89">SUM(Q38/P38)-1</f>
        <v>9.8417167742512301E-2</v>
      </c>
      <c r="R40" s="5"/>
      <c r="S40" s="17" t="s">
        <v>28</v>
      </c>
      <c r="T40" s="17" t="s">
        <v>28</v>
      </c>
      <c r="U40" s="17" t="s">
        <v>28</v>
      </c>
      <c r="V40" s="17" t="s">
        <v>28</v>
      </c>
      <c r="W40" s="17" t="s">
        <v>28</v>
      </c>
      <c r="X40" s="17" t="s">
        <v>28</v>
      </c>
      <c r="Y40" s="17" t="s">
        <v>28</v>
      </c>
      <c r="Z40" s="17" t="s">
        <v>28</v>
      </c>
    </row>
    <row r="42" spans="1:26">
      <c r="A42" s="36" t="s">
        <v>16</v>
      </c>
      <c r="B42" s="1" t="s">
        <v>171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5.0999999999999996" customHeight="1"/>
    <row r="44" spans="1:26" ht="12.75" customHeight="1">
      <c r="A44" s="80" t="s">
        <v>16</v>
      </c>
      <c r="B44" s="78" t="s">
        <v>125</v>
      </c>
      <c r="C44" s="10"/>
      <c r="D44" s="10"/>
      <c r="E44" s="10"/>
      <c r="F44" s="10"/>
      <c r="G44" s="95"/>
      <c r="H44" s="95"/>
      <c r="I44" s="95"/>
      <c r="J44" s="32"/>
      <c r="K44" s="95"/>
      <c r="L44" s="95"/>
      <c r="M44" s="95"/>
      <c r="N44" s="32"/>
      <c r="O44" s="95"/>
      <c r="P44" s="95"/>
      <c r="Q44" s="95"/>
      <c r="R44" s="5"/>
      <c r="S44" s="11"/>
      <c r="T44" s="11"/>
      <c r="U44" s="11"/>
      <c r="V44" s="11"/>
      <c r="W44" s="11"/>
      <c r="X44" s="11"/>
      <c r="Y44" s="11"/>
      <c r="Z44" s="11"/>
    </row>
    <row r="45" spans="1:26" ht="12.75" customHeight="1">
      <c r="A45" s="80"/>
      <c r="B45" s="9" t="s">
        <v>123</v>
      </c>
      <c r="C45" s="81">
        <v>30000</v>
      </c>
      <c r="D45" s="82">
        <v>36400</v>
      </c>
      <c r="E45" s="82">
        <v>46100</v>
      </c>
      <c r="F45" s="10"/>
      <c r="G45" s="82">
        <v>31100</v>
      </c>
      <c r="H45" s="82">
        <v>32100</v>
      </c>
      <c r="I45" s="82">
        <v>34700</v>
      </c>
      <c r="J45" s="32">
        <f>D45</f>
        <v>36400</v>
      </c>
      <c r="K45" s="82">
        <v>39600</v>
      </c>
      <c r="L45" s="82">
        <v>42000</v>
      </c>
      <c r="M45" s="82">
        <v>44100</v>
      </c>
      <c r="N45" s="32">
        <f>E45</f>
        <v>46100</v>
      </c>
      <c r="O45" s="82">
        <v>48700</v>
      </c>
      <c r="P45" s="82">
        <v>49300</v>
      </c>
      <c r="Q45" s="82">
        <v>50200</v>
      </c>
      <c r="R45" s="5"/>
      <c r="S45" s="32">
        <f t="shared" ref="S45:Y46" si="90">J45</f>
        <v>36400</v>
      </c>
      <c r="T45" s="32">
        <f t="shared" si="90"/>
        <v>39600</v>
      </c>
      <c r="U45" s="32">
        <f t="shared" si="90"/>
        <v>42000</v>
      </c>
      <c r="V45" s="32">
        <f t="shared" si="90"/>
        <v>44100</v>
      </c>
      <c r="W45" s="32">
        <f t="shared" si="90"/>
        <v>46100</v>
      </c>
      <c r="X45" s="32">
        <f t="shared" si="90"/>
        <v>48700</v>
      </c>
      <c r="Y45" s="32">
        <f t="shared" si="90"/>
        <v>49300</v>
      </c>
      <c r="Z45" s="32">
        <f>Q45</f>
        <v>50200</v>
      </c>
    </row>
    <row r="46" spans="1:26">
      <c r="B46" s="9" t="s">
        <v>124</v>
      </c>
      <c r="C46" s="81">
        <v>27500</v>
      </c>
      <c r="D46" s="82">
        <v>36700</v>
      </c>
      <c r="E46" s="82">
        <v>55600</v>
      </c>
      <c r="F46" s="81"/>
      <c r="G46" s="82">
        <v>29200</v>
      </c>
      <c r="H46" s="82">
        <v>28300</v>
      </c>
      <c r="I46" s="82">
        <v>31100</v>
      </c>
      <c r="J46" s="32">
        <f>D46</f>
        <v>36700</v>
      </c>
      <c r="K46" s="82">
        <v>43100</v>
      </c>
      <c r="L46" s="82">
        <v>49200</v>
      </c>
      <c r="M46" s="82">
        <v>53100</v>
      </c>
      <c r="N46" s="32">
        <f>E46</f>
        <v>55600</v>
      </c>
      <c r="O46" s="82">
        <v>59400</v>
      </c>
      <c r="P46" s="82">
        <v>61100</v>
      </c>
      <c r="Q46" s="82">
        <v>65800</v>
      </c>
      <c r="R46" s="5"/>
      <c r="S46" s="32">
        <f t="shared" si="90"/>
        <v>36700</v>
      </c>
      <c r="T46" s="32">
        <f t="shared" si="90"/>
        <v>43100</v>
      </c>
      <c r="U46" s="32">
        <f t="shared" si="90"/>
        <v>49200</v>
      </c>
      <c r="V46" s="32">
        <f t="shared" si="90"/>
        <v>53100</v>
      </c>
      <c r="W46" s="32">
        <f t="shared" si="90"/>
        <v>55600</v>
      </c>
      <c r="X46" s="32">
        <f t="shared" si="90"/>
        <v>59400</v>
      </c>
      <c r="Y46" s="32">
        <f t="shared" si="90"/>
        <v>61100</v>
      </c>
      <c r="Z46" s="32">
        <f>Q46</f>
        <v>65800</v>
      </c>
    </row>
    <row r="47" spans="1:26">
      <c r="B47" s="13" t="s">
        <v>122</v>
      </c>
      <c r="C47" s="167">
        <f t="shared" ref="C47" si="91">SUM(C45:C46)</f>
        <v>57500</v>
      </c>
      <c r="D47" s="167">
        <f>SUM(D45:D46)</f>
        <v>73100</v>
      </c>
      <c r="E47" s="167">
        <f>SUM(E45:E46)</f>
        <v>101700</v>
      </c>
      <c r="F47" s="11"/>
      <c r="G47" s="167">
        <f t="shared" ref="G47:Q47" si="92">SUM(G45:G46)</f>
        <v>60300</v>
      </c>
      <c r="H47" s="167">
        <f t="shared" si="92"/>
        <v>60400</v>
      </c>
      <c r="I47" s="167">
        <f t="shared" si="92"/>
        <v>65800</v>
      </c>
      <c r="J47" s="167">
        <f t="shared" si="92"/>
        <v>73100</v>
      </c>
      <c r="K47" s="167">
        <f t="shared" si="92"/>
        <v>82700</v>
      </c>
      <c r="L47" s="167">
        <f t="shared" si="92"/>
        <v>91200</v>
      </c>
      <c r="M47" s="167">
        <f t="shared" si="92"/>
        <v>97200</v>
      </c>
      <c r="N47" s="167">
        <f t="shared" si="92"/>
        <v>101700</v>
      </c>
      <c r="O47" s="167">
        <f t="shared" si="92"/>
        <v>108100</v>
      </c>
      <c r="P47" s="167">
        <f t="shared" si="92"/>
        <v>110400</v>
      </c>
      <c r="Q47" s="167">
        <f t="shared" si="92"/>
        <v>116000</v>
      </c>
      <c r="R47" s="5"/>
      <c r="S47" s="167">
        <f t="shared" ref="S47" si="93">SUM(S45:S46)</f>
        <v>73100</v>
      </c>
      <c r="T47" s="167">
        <f t="shared" ref="T47" si="94">SUM(T45:T46)</f>
        <v>82700</v>
      </c>
      <c r="U47" s="167">
        <f t="shared" ref="U47" si="95">SUM(U45:U46)</f>
        <v>91200</v>
      </c>
      <c r="V47" s="167">
        <f t="shared" ref="V47" si="96">SUM(V45:V46)</f>
        <v>97200</v>
      </c>
      <c r="W47" s="167">
        <f t="shared" ref="W47" si="97">SUM(W45:W46)</f>
        <v>101700</v>
      </c>
      <c r="X47" s="167">
        <f t="shared" ref="X47" si="98">SUM(X45:X46)</f>
        <v>108100</v>
      </c>
      <c r="Y47" s="167">
        <f t="shared" ref="Y47" si="99">SUM(Y45:Y46)</f>
        <v>110400</v>
      </c>
      <c r="Z47" s="167">
        <f t="shared" ref="Z47" si="100">SUM(Z45:Z46)</f>
        <v>116000</v>
      </c>
    </row>
    <row r="48" spans="1:26" ht="5.0999999999999996" customHeight="1">
      <c r="B48" s="18"/>
      <c r="C48" s="19"/>
      <c r="D48" s="19"/>
      <c r="E48" s="19"/>
      <c r="F48" s="20"/>
      <c r="G48" s="21"/>
      <c r="H48" s="21"/>
      <c r="I48" s="21"/>
      <c r="J48" s="22"/>
      <c r="K48" s="21"/>
      <c r="L48" s="21"/>
      <c r="M48" s="21"/>
      <c r="N48" s="21"/>
      <c r="O48" s="21"/>
      <c r="P48" s="21"/>
      <c r="Q48" s="21"/>
      <c r="R48" s="20"/>
      <c r="S48" s="20"/>
      <c r="T48" s="20"/>
      <c r="U48" s="20"/>
      <c r="V48" s="20"/>
      <c r="W48" s="20"/>
      <c r="X48" s="20"/>
      <c r="Y48" s="20"/>
      <c r="Z48" s="20"/>
    </row>
    <row r="49" spans="1:26">
      <c r="B49" s="149" t="str">
        <f>B45&amp;"(%)"</f>
        <v>Logged-in DAUs (%)</v>
      </c>
      <c r="C49" s="150">
        <f t="shared" ref="C49:E49" si="101">SUM(C45/C$47)</f>
        <v>0.52173913043478259</v>
      </c>
      <c r="D49" s="150">
        <f t="shared" si="101"/>
        <v>0.49794801641586867</v>
      </c>
      <c r="E49" s="150">
        <f>SUM(E45/E$47)</f>
        <v>0.45329400196656833</v>
      </c>
      <c r="F49" s="151"/>
      <c r="G49" s="150">
        <f t="shared" ref="G49:Q49" si="102">SUM(G45/G$47)</f>
        <v>0.51575456053067992</v>
      </c>
      <c r="H49" s="150">
        <f t="shared" si="102"/>
        <v>0.5314569536423841</v>
      </c>
      <c r="I49" s="150">
        <f t="shared" si="102"/>
        <v>0.52735562310030393</v>
      </c>
      <c r="J49" s="150">
        <f t="shared" si="102"/>
        <v>0.49794801641586867</v>
      </c>
      <c r="K49" s="150">
        <f t="shared" si="102"/>
        <v>0.4788391777509069</v>
      </c>
      <c r="L49" s="150">
        <f t="shared" si="102"/>
        <v>0.46052631578947367</v>
      </c>
      <c r="M49" s="150">
        <f t="shared" si="102"/>
        <v>0.45370370370370372</v>
      </c>
      <c r="N49" s="150">
        <f t="shared" si="102"/>
        <v>0.45329400196656833</v>
      </c>
      <c r="O49" s="150">
        <f t="shared" si="102"/>
        <v>0.45050878815911194</v>
      </c>
      <c r="P49" s="150">
        <f t="shared" si="102"/>
        <v>0.44655797101449274</v>
      </c>
      <c r="Q49" s="150">
        <f t="shared" si="102"/>
        <v>0.43275862068965515</v>
      </c>
      <c r="R49" s="151"/>
      <c r="S49" s="152">
        <f t="shared" ref="S49:Z49" si="103">SUM(S45/S$47)</f>
        <v>0.49794801641586867</v>
      </c>
      <c r="T49" s="152">
        <f t="shared" si="103"/>
        <v>0.4788391777509069</v>
      </c>
      <c r="U49" s="152">
        <f t="shared" si="103"/>
        <v>0.46052631578947367</v>
      </c>
      <c r="V49" s="152">
        <f t="shared" si="103"/>
        <v>0.45370370370370372</v>
      </c>
      <c r="W49" s="152">
        <f t="shared" si="103"/>
        <v>0.45329400196656833</v>
      </c>
      <c r="X49" s="152">
        <f t="shared" si="103"/>
        <v>0.45050878815911194</v>
      </c>
      <c r="Y49" s="152">
        <f t="shared" si="103"/>
        <v>0.44655797101449274</v>
      </c>
      <c r="Z49" s="153">
        <f t="shared" si="103"/>
        <v>0.43275862068965515</v>
      </c>
    </row>
    <row r="50" spans="1:26" ht="12.75" customHeight="1">
      <c r="B50" s="154" t="str">
        <f>B46&amp;"(%)"</f>
        <v>Logged-out DAUs (%)</v>
      </c>
      <c r="C50" s="155">
        <f t="shared" ref="C50:E50" si="104">SUM(C46/C$47)</f>
        <v>0.47826086956521741</v>
      </c>
      <c r="D50" s="155">
        <f t="shared" si="104"/>
        <v>0.50205198358413128</v>
      </c>
      <c r="E50" s="155">
        <f>SUM(E46/E$47)</f>
        <v>0.54670599803343167</v>
      </c>
      <c r="F50" s="156"/>
      <c r="G50" s="155">
        <f t="shared" ref="G50:Q50" si="105">SUM(G46/G$47)</f>
        <v>0.48424543946932008</v>
      </c>
      <c r="H50" s="155">
        <f t="shared" si="105"/>
        <v>0.4685430463576159</v>
      </c>
      <c r="I50" s="155">
        <f t="shared" si="105"/>
        <v>0.47264437689969607</v>
      </c>
      <c r="J50" s="155">
        <f t="shared" si="105"/>
        <v>0.50205198358413128</v>
      </c>
      <c r="K50" s="155">
        <f t="shared" si="105"/>
        <v>0.5211608222490931</v>
      </c>
      <c r="L50" s="155">
        <f t="shared" si="105"/>
        <v>0.53947368421052633</v>
      </c>
      <c r="M50" s="155">
        <f t="shared" si="105"/>
        <v>0.54629629629629628</v>
      </c>
      <c r="N50" s="155">
        <f t="shared" si="105"/>
        <v>0.54670599803343167</v>
      </c>
      <c r="O50" s="155">
        <f t="shared" si="105"/>
        <v>0.54949121184088812</v>
      </c>
      <c r="P50" s="155">
        <f t="shared" si="105"/>
        <v>0.55344202898550721</v>
      </c>
      <c r="Q50" s="155">
        <f t="shared" si="105"/>
        <v>0.5672413793103448</v>
      </c>
      <c r="R50" s="156"/>
      <c r="S50" s="157">
        <f t="shared" ref="S50:Z50" si="106">SUM(S46/S$47)</f>
        <v>0.50205198358413128</v>
      </c>
      <c r="T50" s="157">
        <f t="shared" si="106"/>
        <v>0.5211608222490931</v>
      </c>
      <c r="U50" s="157">
        <f t="shared" si="106"/>
        <v>0.53947368421052633</v>
      </c>
      <c r="V50" s="157">
        <f t="shared" si="106"/>
        <v>0.54629629629629628</v>
      </c>
      <c r="W50" s="157">
        <f t="shared" si="106"/>
        <v>0.54670599803343167</v>
      </c>
      <c r="X50" s="157">
        <f t="shared" si="106"/>
        <v>0.54949121184088812</v>
      </c>
      <c r="Y50" s="157">
        <f t="shared" si="106"/>
        <v>0.55344202898550721</v>
      </c>
      <c r="Z50" s="158">
        <f t="shared" si="106"/>
        <v>0.5672413793103448</v>
      </c>
    </row>
    <row r="52" spans="1:26" ht="12.75" customHeight="1">
      <c r="A52" s="80" t="s">
        <v>16</v>
      </c>
      <c r="B52" s="78" t="s">
        <v>126</v>
      </c>
      <c r="C52" s="10"/>
      <c r="D52" s="10"/>
      <c r="E52" s="10"/>
      <c r="F52" s="10"/>
      <c r="G52" s="95"/>
      <c r="H52" s="95"/>
      <c r="I52" s="95"/>
      <c r="J52" s="32"/>
      <c r="K52" s="95"/>
      <c r="L52" s="95"/>
      <c r="M52" s="95"/>
      <c r="N52" s="32"/>
      <c r="O52" s="95"/>
      <c r="P52" s="95"/>
      <c r="Q52" s="95"/>
      <c r="R52" s="5"/>
      <c r="S52" s="11"/>
      <c r="T52" s="11"/>
      <c r="U52" s="11"/>
      <c r="V52" s="11"/>
      <c r="W52" s="11"/>
      <c r="X52" s="11"/>
      <c r="Y52" s="11"/>
      <c r="Z52" s="11"/>
    </row>
    <row r="53" spans="1:26">
      <c r="B53" s="9" t="s">
        <v>126</v>
      </c>
      <c r="C53" s="81">
        <v>207300</v>
      </c>
      <c r="D53" s="82">
        <v>267500</v>
      </c>
      <c r="E53" s="82">
        <v>379400</v>
      </c>
      <c r="F53" s="81"/>
      <c r="G53" s="82">
        <v>218000</v>
      </c>
      <c r="H53" s="82">
        <v>218100</v>
      </c>
      <c r="I53" s="82">
        <v>239100</v>
      </c>
      <c r="J53" s="32">
        <f>D53</f>
        <v>267500</v>
      </c>
      <c r="K53" s="82">
        <v>306200</v>
      </c>
      <c r="L53" s="82">
        <v>342300</v>
      </c>
      <c r="M53" s="82">
        <v>365400</v>
      </c>
      <c r="N53" s="32">
        <f>E53</f>
        <v>379400</v>
      </c>
      <c r="O53" s="82">
        <v>401300</v>
      </c>
      <c r="P53" s="82">
        <v>416400</v>
      </c>
      <c r="Q53" s="82">
        <v>443800</v>
      </c>
      <c r="R53" s="5"/>
      <c r="S53" s="32">
        <f t="shared" ref="S53" si="107">J53</f>
        <v>267500</v>
      </c>
      <c r="T53" s="32">
        <f t="shared" ref="T53" si="108">K53</f>
        <v>306200</v>
      </c>
      <c r="U53" s="32">
        <f t="shared" ref="U53" si="109">L53</f>
        <v>342300</v>
      </c>
      <c r="V53" s="32">
        <f t="shared" ref="V53" si="110">M53</f>
        <v>365400</v>
      </c>
      <c r="W53" s="32">
        <f t="shared" ref="W53" si="111">N53</f>
        <v>379400</v>
      </c>
      <c r="X53" s="32">
        <f t="shared" ref="X53" si="112">O53</f>
        <v>401300</v>
      </c>
      <c r="Y53" s="32">
        <f t="shared" ref="Y53" si="113">P53</f>
        <v>416400</v>
      </c>
      <c r="Z53" s="32">
        <f>Q53</f>
        <v>443800</v>
      </c>
    </row>
    <row r="54" spans="1:26">
      <c r="B54" s="13" t="s">
        <v>122</v>
      </c>
      <c r="C54" s="167">
        <f>SUM(C53:C53)</f>
        <v>207300</v>
      </c>
      <c r="D54" s="167">
        <f>SUM(D53:D53)</f>
        <v>267500</v>
      </c>
      <c r="E54" s="167">
        <f>SUM(E53:E53)</f>
        <v>379400</v>
      </c>
      <c r="F54" s="11"/>
      <c r="G54" s="167">
        <f t="shared" ref="G54:Q54" si="114">SUM(G53:G53)</f>
        <v>218000</v>
      </c>
      <c r="H54" s="167">
        <f t="shared" si="114"/>
        <v>218100</v>
      </c>
      <c r="I54" s="167">
        <f t="shared" si="114"/>
        <v>239100</v>
      </c>
      <c r="J54" s="167">
        <f t="shared" si="114"/>
        <v>267500</v>
      </c>
      <c r="K54" s="167">
        <f t="shared" si="114"/>
        <v>306200</v>
      </c>
      <c r="L54" s="167">
        <f t="shared" si="114"/>
        <v>342300</v>
      </c>
      <c r="M54" s="167">
        <f t="shared" si="114"/>
        <v>365400</v>
      </c>
      <c r="N54" s="167">
        <f t="shared" si="114"/>
        <v>379400</v>
      </c>
      <c r="O54" s="167">
        <f t="shared" si="114"/>
        <v>401300</v>
      </c>
      <c r="P54" s="167">
        <f t="shared" si="114"/>
        <v>416400</v>
      </c>
      <c r="Q54" s="167">
        <f t="shared" si="114"/>
        <v>443800</v>
      </c>
      <c r="R54" s="5"/>
      <c r="S54" s="167">
        <f t="shared" ref="S54:Z54" si="115">SUM(S53:S53)</f>
        <v>267500</v>
      </c>
      <c r="T54" s="167">
        <f t="shared" si="115"/>
        <v>306200</v>
      </c>
      <c r="U54" s="167">
        <f t="shared" si="115"/>
        <v>342300</v>
      </c>
      <c r="V54" s="167">
        <f t="shared" si="115"/>
        <v>365400</v>
      </c>
      <c r="W54" s="167">
        <f t="shared" si="115"/>
        <v>379400</v>
      </c>
      <c r="X54" s="167">
        <f t="shared" si="115"/>
        <v>401300</v>
      </c>
      <c r="Y54" s="167">
        <f t="shared" si="115"/>
        <v>416400</v>
      </c>
      <c r="Z54" s="167">
        <f t="shared" si="115"/>
        <v>443800</v>
      </c>
    </row>
    <row r="55" spans="1:26">
      <c r="B55" s="18"/>
      <c r="C55" s="19"/>
      <c r="D55" s="19"/>
      <c r="E55" s="19"/>
      <c r="F55" s="20"/>
      <c r="G55" s="21"/>
      <c r="H55" s="21"/>
      <c r="I55" s="21"/>
      <c r="J55" s="22"/>
      <c r="K55" s="21"/>
      <c r="L55" s="21"/>
      <c r="M55" s="21"/>
      <c r="N55" s="21"/>
      <c r="O55" s="21"/>
      <c r="P55" s="21"/>
      <c r="Q55" s="21"/>
      <c r="R55" s="20"/>
      <c r="S55" s="20"/>
      <c r="T55" s="20"/>
      <c r="U55" s="20"/>
      <c r="V55" s="20"/>
      <c r="W55" s="20"/>
      <c r="X55" s="20"/>
      <c r="Y55" s="20"/>
      <c r="Z55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B79"/>
  <sheetViews>
    <sheetView showGridLines="0" zoomScale="115" zoomScaleNormal="115" workbookViewId="0">
      <selection activeCell="B4" sqref="B4"/>
    </sheetView>
  </sheetViews>
  <sheetFormatPr defaultRowHeight="12" outlineLevelCol="1"/>
  <cols>
    <col min="1" max="1" width="1.5" style="8" customWidth="1"/>
    <col min="2" max="2" width="41.625" style="8" customWidth="1"/>
    <col min="3" max="3" width="9" style="8" bestFit="1" customWidth="1"/>
    <col min="4" max="4" width="9.25" style="8" bestFit="1" customWidth="1"/>
    <col min="5" max="5" width="9" style="8"/>
    <col min="6" max="6" width="1.5" style="8" customWidth="1"/>
    <col min="7" max="8" width="8" style="8" hidden="1" customWidth="1" outlineLevel="1"/>
    <col min="9" max="12" width="8.875" style="8" hidden="1" customWidth="1" outlineLevel="1"/>
    <col min="13" max="13" width="8.875" style="8" bestFit="1" customWidth="1" collapsed="1"/>
    <col min="14" max="17" width="8.875" style="8" bestFit="1" customWidth="1"/>
    <col min="18" max="18" width="1.625" style="8" customWidth="1"/>
    <col min="19" max="19" width="9.25" style="8" hidden="1" customWidth="1" outlineLevel="1"/>
    <col min="20" max="20" width="9.75" style="8" hidden="1" customWidth="1" outlineLevel="1"/>
    <col min="21" max="21" width="9" style="8" hidden="1" customWidth="1" outlineLevel="1"/>
    <col min="22" max="22" width="9" style="8" customWidth="1" collapsed="1"/>
    <col min="23" max="24" width="9" style="8" hidden="1" customWidth="1" outlineLevel="1"/>
    <col min="25" max="25" width="8.5" style="8" hidden="1" customWidth="1" outlineLevel="1"/>
    <col min="26" max="26" width="8.5" style="8" bestFit="1" customWidth="1" collapsed="1"/>
    <col min="27" max="27" width="1.5" style="8" customWidth="1"/>
    <col min="28" max="28" width="9.375" style="129" bestFit="1" customWidth="1"/>
    <col min="29" max="16384" width="9" style="8"/>
  </cols>
  <sheetData>
    <row r="2" spans="2:28" s="5" customFormat="1" ht="12.75" customHeight="1">
      <c r="B2" s="1" t="str">
        <f>'Historical Financials'!B2</f>
        <v>Reddit Inc (NYSE: RDDT)</v>
      </c>
      <c r="C2" s="2" t="s">
        <v>0</v>
      </c>
      <c r="D2" s="2"/>
      <c r="E2" s="2"/>
      <c r="F2" s="3"/>
      <c r="G2" s="2" t="s">
        <v>1</v>
      </c>
      <c r="H2" s="2"/>
      <c r="I2" s="2"/>
      <c r="J2" s="2"/>
      <c r="K2" s="2"/>
      <c r="L2" s="2"/>
      <c r="M2" s="2" t="s">
        <v>1</v>
      </c>
      <c r="N2" s="2"/>
      <c r="O2" s="2"/>
      <c r="P2" s="2"/>
      <c r="Q2" s="2"/>
      <c r="R2" s="3"/>
      <c r="S2" s="2"/>
      <c r="T2" s="2"/>
      <c r="U2" s="2" t="s">
        <v>10</v>
      </c>
      <c r="V2" s="2" t="s">
        <v>10</v>
      </c>
      <c r="W2" s="2"/>
      <c r="X2" s="2"/>
      <c r="Y2" s="2"/>
      <c r="Z2" s="2"/>
      <c r="AA2" s="3"/>
      <c r="AB2" s="162" t="s">
        <v>22</v>
      </c>
    </row>
    <row r="3" spans="2:28" s="5" customFormat="1" ht="12.75" customHeight="1">
      <c r="B3" s="6" t="s">
        <v>23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3"/>
      <c r="S3" s="4" t="str">
        <f t="shared" ref="S3:Z4" si="0">J3</f>
        <v>4Q23</v>
      </c>
      <c r="T3" s="4" t="str">
        <f t="shared" si="0"/>
        <v>1Q24</v>
      </c>
      <c r="U3" s="4" t="str">
        <f t="shared" si="0"/>
        <v>2Q24</v>
      </c>
      <c r="V3" s="4" t="str">
        <f t="shared" si="0"/>
        <v>3Q24</v>
      </c>
      <c r="W3" s="4" t="str">
        <f t="shared" si="0"/>
        <v>4Q24</v>
      </c>
      <c r="X3" s="4" t="str">
        <f t="shared" si="0"/>
        <v>1Q25</v>
      </c>
      <c r="Y3" s="4" t="str">
        <f t="shared" si="0"/>
        <v>2Q25</v>
      </c>
      <c r="Z3" s="4" t="str">
        <f t="shared" si="0"/>
        <v>3Q25</v>
      </c>
      <c r="AA3" s="3"/>
      <c r="AB3" s="162"/>
    </row>
    <row r="4" spans="2:28" s="5" customFormat="1" ht="12.75" customHeight="1">
      <c r="B4" s="6" t="s">
        <v>111</v>
      </c>
      <c r="C4" s="3">
        <f>'Historical Financials'!C8</f>
        <v>44926</v>
      </c>
      <c r="D4" s="3">
        <f>'Historical Financials'!D8</f>
        <v>45291</v>
      </c>
      <c r="E4" s="3">
        <f>'Historical Financials'!E8</f>
        <v>45657</v>
      </c>
      <c r="F4" s="3"/>
      <c r="G4" s="3">
        <f>'Historical Financials'!G8</f>
        <v>45016</v>
      </c>
      <c r="H4" s="3">
        <f>'Historical Financials'!H8</f>
        <v>45107</v>
      </c>
      <c r="I4" s="3">
        <f>'Historical Financials'!I8</f>
        <v>45199</v>
      </c>
      <c r="J4" s="3">
        <f>'Historical Financials'!J8</f>
        <v>45291</v>
      </c>
      <c r="K4" s="3">
        <f>'Historical Financials'!K8</f>
        <v>45382</v>
      </c>
      <c r="L4" s="3">
        <f>'Historical Financials'!L8</f>
        <v>45473</v>
      </c>
      <c r="M4" s="3">
        <f>'Historical Financials'!M8</f>
        <v>45565</v>
      </c>
      <c r="N4" s="3">
        <f>'Historical Financials'!N8</f>
        <v>45657</v>
      </c>
      <c r="O4" s="3">
        <f>'Historical Financials'!O8</f>
        <v>45747</v>
      </c>
      <c r="P4" s="3">
        <f>'Historical Financials'!P8</f>
        <v>45838</v>
      </c>
      <c r="Q4" s="3">
        <f>'Historical Financials'!Q8</f>
        <v>45930</v>
      </c>
      <c r="R4" s="3"/>
      <c r="S4" s="3">
        <f t="shared" si="0"/>
        <v>45291</v>
      </c>
      <c r="T4" s="3">
        <f t="shared" si="0"/>
        <v>45382</v>
      </c>
      <c r="U4" s="3">
        <f t="shared" si="0"/>
        <v>45473</v>
      </c>
      <c r="V4" s="3">
        <f t="shared" si="0"/>
        <v>45565</v>
      </c>
      <c r="W4" s="3">
        <f t="shared" si="0"/>
        <v>45657</v>
      </c>
      <c r="X4" s="3">
        <f t="shared" si="0"/>
        <v>45747</v>
      </c>
      <c r="Y4" s="3">
        <f t="shared" si="0"/>
        <v>45838</v>
      </c>
      <c r="Z4" s="3">
        <f t="shared" si="0"/>
        <v>45930</v>
      </c>
      <c r="AA4" s="3"/>
      <c r="AB4" s="162"/>
    </row>
    <row r="5" spans="2:28" ht="5.0999999999999996" customHeight="1">
      <c r="AB5" s="125"/>
    </row>
    <row r="6" spans="2:28" ht="12.75" customHeight="1">
      <c r="B6" s="9" t="str">
        <f>'Revenue Drivers'!B9</f>
        <v xml:space="preserve">Advertising revenue	</v>
      </c>
      <c r="C6" s="94">
        <f>'Revenue Drivers'!C9</f>
        <v>652562</v>
      </c>
      <c r="D6" s="94">
        <f>'Revenue Drivers'!D9</f>
        <v>788782</v>
      </c>
      <c r="E6" s="94">
        <f>'Revenue Drivers'!E9</f>
        <v>1185456</v>
      </c>
      <c r="F6" s="10"/>
      <c r="G6" s="94">
        <f>'Revenue Drivers'!G9</f>
        <v>160080</v>
      </c>
      <c r="H6" s="94">
        <f>'Revenue Drivers'!H9</f>
        <v>179482</v>
      </c>
      <c r="I6" s="94">
        <f>'Revenue Drivers'!I9</f>
        <v>202372</v>
      </c>
      <c r="J6" s="94">
        <f>'Revenue Drivers'!J9</f>
        <v>246848</v>
      </c>
      <c r="K6" s="94">
        <f>'Revenue Drivers'!K9</f>
        <v>222682</v>
      </c>
      <c r="L6" s="94">
        <f>'Revenue Drivers'!L9</f>
        <v>253125</v>
      </c>
      <c r="M6" s="94">
        <f>'Revenue Drivers'!M9</f>
        <v>315104</v>
      </c>
      <c r="N6" s="94">
        <f>'Revenue Drivers'!N9</f>
        <v>394545</v>
      </c>
      <c r="O6" s="94">
        <f>'Revenue Drivers'!O9</f>
        <v>358630</v>
      </c>
      <c r="P6" s="94">
        <f>'Revenue Drivers'!P9</f>
        <v>464785</v>
      </c>
      <c r="Q6" s="94">
        <f>'Revenue Drivers'!Q9</f>
        <v>549342</v>
      </c>
      <c r="R6" s="5"/>
      <c r="S6" s="141">
        <f t="shared" ref="S6:Y7" si="1">SUM(G6:J6)</f>
        <v>788782</v>
      </c>
      <c r="T6" s="141">
        <f t="shared" si="1"/>
        <v>851384</v>
      </c>
      <c r="U6" s="141">
        <f t="shared" si="1"/>
        <v>925027</v>
      </c>
      <c r="V6" s="141">
        <f t="shared" si="1"/>
        <v>1037759</v>
      </c>
      <c r="W6" s="141">
        <f t="shared" si="1"/>
        <v>1185456</v>
      </c>
      <c r="X6" s="141">
        <f t="shared" si="1"/>
        <v>1321404</v>
      </c>
      <c r="Y6" s="141">
        <f t="shared" si="1"/>
        <v>1533064</v>
      </c>
      <c r="Z6" s="141">
        <f>SUM(N6:Q6)</f>
        <v>1767302</v>
      </c>
      <c r="AB6" s="126">
        <f t="shared" ref="AB6:AB8" si="2">SUM(Z6/V6)-1</f>
        <v>0.70299848037935586</v>
      </c>
    </row>
    <row r="7" spans="2:28" ht="12.75" customHeight="1">
      <c r="B7" s="9" t="str">
        <f>'Revenue Drivers'!B10</f>
        <v xml:space="preserve">Other revenue	</v>
      </c>
      <c r="C7" s="94">
        <f>'Revenue Drivers'!C10</f>
        <v>14139</v>
      </c>
      <c r="D7" s="94">
        <f>'Revenue Drivers'!D10</f>
        <v>15247</v>
      </c>
      <c r="E7" s="94">
        <f>'Revenue Drivers'!E10</f>
        <v>114749</v>
      </c>
      <c r="F7" s="10"/>
      <c r="G7" s="94">
        <f>'Revenue Drivers'!G10</f>
        <v>3660</v>
      </c>
      <c r="H7" s="94">
        <f>'Revenue Drivers'!H10</f>
        <v>3549</v>
      </c>
      <c r="I7" s="94">
        <f>'Revenue Drivers'!I10</f>
        <v>5136</v>
      </c>
      <c r="J7" s="94">
        <f>'Revenue Drivers'!J10</f>
        <v>2902</v>
      </c>
      <c r="K7" s="94">
        <f>'Revenue Drivers'!K10</f>
        <v>20281</v>
      </c>
      <c r="L7" s="94">
        <f>'Revenue Drivers'!L10</f>
        <v>28059</v>
      </c>
      <c r="M7" s="94">
        <f>'Revenue Drivers'!M10</f>
        <v>33247</v>
      </c>
      <c r="N7" s="94">
        <f>'Revenue Drivers'!N10</f>
        <v>33162</v>
      </c>
      <c r="O7" s="94">
        <f>'Revenue Drivers'!O10</f>
        <v>33731</v>
      </c>
      <c r="P7" s="94">
        <f>'Revenue Drivers'!P10</f>
        <v>34842</v>
      </c>
      <c r="Q7" s="94">
        <f>'Revenue Drivers'!Q10</f>
        <v>35569</v>
      </c>
      <c r="R7" s="5"/>
      <c r="S7" s="141">
        <f t="shared" si="1"/>
        <v>15247</v>
      </c>
      <c r="T7" s="141">
        <f t="shared" si="1"/>
        <v>31868</v>
      </c>
      <c r="U7" s="141">
        <f t="shared" si="1"/>
        <v>56378</v>
      </c>
      <c r="V7" s="141">
        <f t="shared" si="1"/>
        <v>84489</v>
      </c>
      <c r="W7" s="141">
        <f t="shared" si="1"/>
        <v>114749</v>
      </c>
      <c r="X7" s="141">
        <f t="shared" si="1"/>
        <v>128199</v>
      </c>
      <c r="Y7" s="141">
        <f t="shared" si="1"/>
        <v>134982</v>
      </c>
      <c r="Z7" s="141">
        <f>SUM(N7:Q7)</f>
        <v>137304</v>
      </c>
      <c r="AB7" s="126">
        <f t="shared" si="2"/>
        <v>0.62511096119021414</v>
      </c>
    </row>
    <row r="8" spans="2:28" ht="12.75" customHeight="1">
      <c r="B8" s="13" t="s">
        <v>12</v>
      </c>
      <c r="C8" s="14">
        <f>SUM(C6:C7)</f>
        <v>666701</v>
      </c>
      <c r="D8" s="14">
        <f>SUM(D6:D7)</f>
        <v>804029</v>
      </c>
      <c r="E8" s="14">
        <f>SUM(E6:E7)</f>
        <v>1300205</v>
      </c>
      <c r="F8" s="10"/>
      <c r="G8" s="14">
        <f>SUM(G6:G7)</f>
        <v>163740</v>
      </c>
      <c r="H8" s="14">
        <f>SUM(H6:H7)</f>
        <v>183031</v>
      </c>
      <c r="I8" s="14">
        <f>SUM(I6:I7)</f>
        <v>207508</v>
      </c>
      <c r="J8" s="14">
        <f>SUM(J6:J7)</f>
        <v>249750</v>
      </c>
      <c r="K8" s="14">
        <f>SUM(K6:K7)</f>
        <v>242963</v>
      </c>
      <c r="L8" s="14">
        <f>SUM(L6:L7)</f>
        <v>281184</v>
      </c>
      <c r="M8" s="14">
        <f>SUM(M6:M7)</f>
        <v>348351</v>
      </c>
      <c r="N8" s="14">
        <f>SUM(N6:N7)</f>
        <v>427707</v>
      </c>
      <c r="O8" s="14">
        <f>SUM(O6:O7)</f>
        <v>392361</v>
      </c>
      <c r="P8" s="14">
        <f>SUM(P6:P7)</f>
        <v>499627</v>
      </c>
      <c r="Q8" s="14">
        <f>SUM(Q6:Q7)</f>
        <v>584911</v>
      </c>
      <c r="R8" s="5"/>
      <c r="S8" s="14">
        <f>SUM(S6:S7)</f>
        <v>804029</v>
      </c>
      <c r="T8" s="14">
        <f>SUM(T6:T7)</f>
        <v>883252</v>
      </c>
      <c r="U8" s="14">
        <f>SUM(U6:U7)</f>
        <v>981405</v>
      </c>
      <c r="V8" s="14">
        <f>SUM(V6:V7)</f>
        <v>1122248</v>
      </c>
      <c r="W8" s="14">
        <f>SUM(W6:W7)</f>
        <v>1300205</v>
      </c>
      <c r="X8" s="14">
        <f>SUM(X6:X7)</f>
        <v>1449603</v>
      </c>
      <c r="Y8" s="14">
        <f>SUM(Y6:Y7)</f>
        <v>1668046</v>
      </c>
      <c r="Z8" s="14">
        <f>SUM(Z6:Z7)</f>
        <v>1904606</v>
      </c>
      <c r="AB8" s="127">
        <f t="shared" si="2"/>
        <v>0.69713467967864506</v>
      </c>
    </row>
    <row r="9" spans="2:28" ht="12.75" customHeight="1">
      <c r="B9" s="16" t="s">
        <v>26</v>
      </c>
      <c r="C9" s="115"/>
      <c r="D9" s="17">
        <f>SUM(D8/C8)-1</f>
        <v>0.20598139195831422</v>
      </c>
      <c r="E9" s="17">
        <f>SUM(E8/D8)-1</f>
        <v>0.61711206934078255</v>
      </c>
      <c r="F9" s="11"/>
      <c r="G9" s="115"/>
      <c r="H9" s="115"/>
      <c r="I9" s="115"/>
      <c r="J9" s="115"/>
      <c r="K9" s="17">
        <f t="shared" ref="K9:Q9" si="3">SUM(K8/G8)-1</f>
        <v>0.48383412727494801</v>
      </c>
      <c r="L9" s="17">
        <f t="shared" si="3"/>
        <v>0.53626434866224848</v>
      </c>
      <c r="M9" s="17">
        <f t="shared" si="3"/>
        <v>0.67873527767604136</v>
      </c>
      <c r="N9" s="17">
        <f t="shared" si="3"/>
        <v>0.7125405405405405</v>
      </c>
      <c r="O9" s="17">
        <f t="shared" si="3"/>
        <v>0.61490021114326043</v>
      </c>
      <c r="P9" s="17">
        <f t="shared" si="3"/>
        <v>0.77686852736997847</v>
      </c>
      <c r="Q9" s="17">
        <f t="shared" si="3"/>
        <v>0.67908517558439629</v>
      </c>
      <c r="R9" s="5"/>
      <c r="S9" s="115"/>
      <c r="T9" s="115"/>
      <c r="U9" s="115"/>
      <c r="V9" s="115"/>
      <c r="W9" s="17">
        <f t="shared" ref="W9:Z9" si="4">SUM(W8/S8)-1</f>
        <v>0.61711206934078255</v>
      </c>
      <c r="X9" s="17">
        <f t="shared" si="4"/>
        <v>0.64121111528759633</v>
      </c>
      <c r="Y9" s="17">
        <f t="shared" si="4"/>
        <v>0.69965101054101009</v>
      </c>
      <c r="Z9" s="17">
        <f t="shared" si="4"/>
        <v>0.69713467967864506</v>
      </c>
      <c r="AB9" s="128">
        <f>SUM(Z9-V9)*10000</f>
        <v>6971.3467967864508</v>
      </c>
    </row>
    <row r="10" spans="2:28" ht="12.75" customHeight="1">
      <c r="B10" s="16" t="s">
        <v>27</v>
      </c>
      <c r="C10" s="17" t="s">
        <v>28</v>
      </c>
      <c r="D10" s="17" t="s">
        <v>28</v>
      </c>
      <c r="E10" s="17" t="s">
        <v>28</v>
      </c>
      <c r="F10" s="11"/>
      <c r="G10" s="115"/>
      <c r="H10" s="17">
        <f t="shared" ref="H10:Q10" si="5">SUM(H8/G8)-1</f>
        <v>0.1178148283864664</v>
      </c>
      <c r="I10" s="17">
        <f t="shared" si="5"/>
        <v>0.13373144440012896</v>
      </c>
      <c r="J10" s="17">
        <f t="shared" si="5"/>
        <v>0.20356805520751009</v>
      </c>
      <c r="K10" s="17">
        <f t="shared" si="5"/>
        <v>-2.7175175175175204E-2</v>
      </c>
      <c r="L10" s="17">
        <f t="shared" si="5"/>
        <v>0.15731201870243616</v>
      </c>
      <c r="M10" s="17">
        <f t="shared" si="5"/>
        <v>0.23887205530897915</v>
      </c>
      <c r="N10" s="17">
        <f t="shared" si="5"/>
        <v>0.22780471421066673</v>
      </c>
      <c r="O10" s="17">
        <f t="shared" si="5"/>
        <v>-8.2640686264194851E-2</v>
      </c>
      <c r="P10" s="17">
        <f t="shared" si="5"/>
        <v>0.27338598892346599</v>
      </c>
      <c r="Q10" s="17">
        <f t="shared" si="5"/>
        <v>0.17069533872268705</v>
      </c>
      <c r="R10" s="5"/>
      <c r="S10" s="17" t="s">
        <v>28</v>
      </c>
      <c r="T10" s="17" t="s">
        <v>28</v>
      </c>
      <c r="U10" s="17" t="s">
        <v>28</v>
      </c>
      <c r="V10" s="17" t="s">
        <v>28</v>
      </c>
      <c r="W10" s="17" t="s">
        <v>28</v>
      </c>
      <c r="X10" s="17" t="s">
        <v>28</v>
      </c>
      <c r="Y10" s="17" t="s">
        <v>28</v>
      </c>
      <c r="Z10" s="17" t="s">
        <v>28</v>
      </c>
      <c r="AB10" s="125"/>
    </row>
    <row r="11" spans="2:28" ht="5.0999999999999996" customHeight="1">
      <c r="B11" s="18"/>
      <c r="C11" s="19"/>
      <c r="D11" s="19"/>
      <c r="E11" s="19"/>
      <c r="F11" s="20"/>
      <c r="G11" s="21"/>
      <c r="H11" s="21"/>
      <c r="I11" s="21"/>
      <c r="J11" s="22"/>
      <c r="K11" s="21"/>
      <c r="L11" s="21"/>
      <c r="M11" s="21"/>
      <c r="N11" s="21"/>
      <c r="O11" s="21"/>
      <c r="P11" s="21"/>
      <c r="Q11" s="21"/>
      <c r="R11" s="20"/>
      <c r="S11" s="20"/>
      <c r="T11" s="20"/>
      <c r="U11" s="20"/>
      <c r="V11" s="20"/>
      <c r="W11" s="20"/>
      <c r="X11" s="20"/>
      <c r="Y11" s="20"/>
      <c r="Z11" s="20"/>
      <c r="AB11" s="125"/>
    </row>
    <row r="12" spans="2:28" ht="12.75" customHeight="1">
      <c r="B12" s="23" t="s">
        <v>104</v>
      </c>
      <c r="C12" s="94">
        <f>'Historical Financials'!C13</f>
        <v>-104799</v>
      </c>
      <c r="D12" s="94">
        <f>'Historical Financials'!D13</f>
        <v>-111011</v>
      </c>
      <c r="E12" s="94">
        <f>'Historical Financials'!E13</f>
        <v>-123595</v>
      </c>
      <c r="F12" s="10"/>
      <c r="G12" s="94">
        <f>'Historical Financials'!G13</f>
        <v>-26863</v>
      </c>
      <c r="H12" s="94">
        <f>'Historical Financials'!H13</f>
        <v>-28836</v>
      </c>
      <c r="I12" s="94">
        <f>'Historical Financials'!I13</f>
        <v>-26395</v>
      </c>
      <c r="J12" s="94">
        <f>'Historical Financials'!J13</f>
        <v>-28917</v>
      </c>
      <c r="K12" s="94">
        <f>'Historical Financials'!K13</f>
        <v>-27616</v>
      </c>
      <c r="L12" s="94">
        <f>'Historical Financials'!L13</f>
        <v>-29501</v>
      </c>
      <c r="M12" s="94">
        <f>'Historical Financials'!M13</f>
        <v>-34633</v>
      </c>
      <c r="N12" s="94">
        <f>'Historical Financials'!N13</f>
        <v>-31845</v>
      </c>
      <c r="O12" s="94">
        <f>'Historical Financials'!O13</f>
        <v>-37089</v>
      </c>
      <c r="P12" s="94">
        <f>'Historical Financials'!P13</f>
        <v>-45900</v>
      </c>
      <c r="Q12" s="94">
        <f>'Historical Financials'!Q13</f>
        <v>-52509</v>
      </c>
      <c r="R12" s="5"/>
      <c r="S12" s="141">
        <f t="shared" ref="S12:Y12" si="6">SUM(G12:J12)</f>
        <v>-111011</v>
      </c>
      <c r="T12" s="141">
        <f t="shared" si="6"/>
        <v>-111764</v>
      </c>
      <c r="U12" s="141">
        <f t="shared" si="6"/>
        <v>-112429</v>
      </c>
      <c r="V12" s="141">
        <f t="shared" si="6"/>
        <v>-120667</v>
      </c>
      <c r="W12" s="141">
        <f t="shared" si="6"/>
        <v>-123595</v>
      </c>
      <c r="X12" s="141">
        <f t="shared" si="6"/>
        <v>-133068</v>
      </c>
      <c r="Y12" s="141">
        <f t="shared" si="6"/>
        <v>-149467</v>
      </c>
      <c r="Z12" s="141">
        <f>SUM(N12:Q12)</f>
        <v>-167343</v>
      </c>
      <c r="AB12" s="126">
        <f t="shared" ref="AB12" si="7">SUM(Z12/V12)-1</f>
        <v>0.38681661100383691</v>
      </c>
    </row>
    <row r="13" spans="2:28" ht="12.75" customHeight="1">
      <c r="B13" s="25" t="s">
        <v>20</v>
      </c>
      <c r="C13" s="26">
        <f>SUM(C8+SUM(C12:C12))</f>
        <v>561902</v>
      </c>
      <c r="D13" s="26">
        <f>SUM(D8+SUM(D12:D12))</f>
        <v>693018</v>
      </c>
      <c r="E13" s="26">
        <f>SUM(E8+SUM(E12:E12))</f>
        <v>1176610</v>
      </c>
      <c r="F13" s="5"/>
      <c r="G13" s="26">
        <f>SUM(G8+SUM(G12:G12))</f>
        <v>136877</v>
      </c>
      <c r="H13" s="26">
        <f>SUM(H8+SUM(H12:H12))</f>
        <v>154195</v>
      </c>
      <c r="I13" s="26">
        <f>SUM(I8+SUM(I12:I12))</f>
        <v>181113</v>
      </c>
      <c r="J13" s="26">
        <f>SUM(J8+SUM(J12:J12))</f>
        <v>220833</v>
      </c>
      <c r="K13" s="26">
        <f>SUM(K8+SUM(K12:K12))</f>
        <v>215347</v>
      </c>
      <c r="L13" s="26">
        <f>SUM(L8+SUM(L12:L12))</f>
        <v>251683</v>
      </c>
      <c r="M13" s="26">
        <f>SUM(M8+SUM(M12:M12))</f>
        <v>313718</v>
      </c>
      <c r="N13" s="26">
        <f>SUM(N8+SUM(N12:N12))</f>
        <v>395862</v>
      </c>
      <c r="O13" s="26">
        <f>SUM(O8+SUM(O12:O12))</f>
        <v>355272</v>
      </c>
      <c r="P13" s="26">
        <f>SUM(P8+SUM(P12:P12))</f>
        <v>453727</v>
      </c>
      <c r="Q13" s="26">
        <f>SUM(Q8+SUM(Q12:Q12))</f>
        <v>532402</v>
      </c>
      <c r="R13" s="5"/>
      <c r="S13" s="26">
        <f>SUM(S8+SUM(S12:S12))</f>
        <v>693018</v>
      </c>
      <c r="T13" s="26">
        <f>SUM(T8+SUM(T12:T12))</f>
        <v>771488</v>
      </c>
      <c r="U13" s="26">
        <f>SUM(U8+SUM(U12:U12))</f>
        <v>868976</v>
      </c>
      <c r="V13" s="26">
        <f>SUM(V8+SUM(V12:V12))</f>
        <v>1001581</v>
      </c>
      <c r="W13" s="26">
        <f>SUM(W8+SUM(W12:W12))</f>
        <v>1176610</v>
      </c>
      <c r="X13" s="26">
        <f>SUM(X8+SUM(X12:X12))</f>
        <v>1316535</v>
      </c>
      <c r="Y13" s="26">
        <f>SUM(Y8+SUM(Y12:Y12))</f>
        <v>1518579</v>
      </c>
      <c r="Z13" s="26">
        <f>SUM(Z8+SUM(Z12:Z12))</f>
        <v>1737263</v>
      </c>
      <c r="AB13" s="127">
        <f>SUM(Z13/V13)-1</f>
        <v>0.73452072273735225</v>
      </c>
    </row>
    <row r="14" spans="2:28" ht="12.75" customHeight="1">
      <c r="B14" s="16" t="s">
        <v>29</v>
      </c>
      <c r="C14" s="17">
        <f>C13/C8</f>
        <v>0.84280959530584176</v>
      </c>
      <c r="D14" s="17">
        <f>D13/D8</f>
        <v>0.86193159699463573</v>
      </c>
      <c r="E14" s="17">
        <f>E13/E8</f>
        <v>0.904941913006026</v>
      </c>
      <c r="F14" s="27"/>
      <c r="G14" s="17">
        <f>G13/G8</f>
        <v>0.83594112617564431</v>
      </c>
      <c r="H14" s="17">
        <f>H13/H8</f>
        <v>0.84245291781173681</v>
      </c>
      <c r="I14" s="17">
        <f>I13/I8</f>
        <v>0.87280008481600713</v>
      </c>
      <c r="J14" s="17">
        <f>J13/J8</f>
        <v>0.88421621621621627</v>
      </c>
      <c r="K14" s="17">
        <f>K13/K8</f>
        <v>0.88633660269259107</v>
      </c>
      <c r="L14" s="17">
        <f>L13/L8</f>
        <v>0.89508293501763969</v>
      </c>
      <c r="M14" s="17">
        <f>M13/M8</f>
        <v>0.90058016196307744</v>
      </c>
      <c r="N14" s="17">
        <f>N13/N8</f>
        <v>0.92554482390982606</v>
      </c>
      <c r="O14" s="17">
        <f>O13/O8</f>
        <v>0.90547225641692219</v>
      </c>
      <c r="P14" s="17">
        <f>P13/P8</f>
        <v>0.908131466073691</v>
      </c>
      <c r="Q14" s="17">
        <f>Q13/Q8</f>
        <v>0.91022736792435088</v>
      </c>
      <c r="R14" s="28"/>
      <c r="S14" s="17">
        <f>S13/S8</f>
        <v>0.86193159699463573</v>
      </c>
      <c r="T14" s="17">
        <f>T13/T8</f>
        <v>0.87346306603324986</v>
      </c>
      <c r="U14" s="17">
        <f>U13/U8</f>
        <v>0.88544077113933595</v>
      </c>
      <c r="V14" s="17">
        <f>V13/V8</f>
        <v>0.89247742032064215</v>
      </c>
      <c r="W14" s="17">
        <f>W13/W8</f>
        <v>0.904941913006026</v>
      </c>
      <c r="X14" s="17">
        <f>X13/X8</f>
        <v>0.90820383235961843</v>
      </c>
      <c r="Y14" s="17">
        <f>Y13/Y8</f>
        <v>0.91039395796039202</v>
      </c>
      <c r="Z14" s="17">
        <f>Z13/Z8</f>
        <v>0.91213773347348481</v>
      </c>
      <c r="AB14" s="128">
        <f>SUM(Z14-V14)*10000</f>
        <v>196.60313152842667</v>
      </c>
    </row>
    <row r="15" spans="2:28" ht="5.0999999999999996" customHeight="1">
      <c r="B15" s="29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5"/>
      <c r="S15" s="30"/>
      <c r="T15" s="30"/>
      <c r="U15" s="30"/>
      <c r="V15" s="30"/>
      <c r="W15" s="30"/>
      <c r="X15" s="30"/>
      <c r="Y15" s="30"/>
      <c r="Z15" s="30"/>
      <c r="AB15" s="125"/>
    </row>
    <row r="16" spans="2:28" ht="12.75" customHeight="1">
      <c r="B16" s="23" t="s">
        <v>179</v>
      </c>
      <c r="C16" s="140">
        <f>'Historical Financials'!C17</f>
        <v>-365164</v>
      </c>
      <c r="D16" s="140">
        <f>'Historical Financials'!D17</f>
        <v>-438346</v>
      </c>
      <c r="E16" s="140">
        <f>'Historical Financials'!E17</f>
        <v>-935152</v>
      </c>
      <c r="F16" s="94"/>
      <c r="G16" s="140">
        <f>'Historical Financials'!G17</f>
        <v>-108767</v>
      </c>
      <c r="H16" s="140">
        <f>'Historical Financials'!H17</f>
        <v>-109726</v>
      </c>
      <c r="I16" s="140">
        <f>'Historical Financials'!I17</f>
        <v>-108285</v>
      </c>
      <c r="J16" s="140">
        <f>'Historical Financials'!J17</f>
        <v>-111568</v>
      </c>
      <c r="K16" s="140">
        <f>'Historical Financials'!K17</f>
        <v>-437030</v>
      </c>
      <c r="L16" s="140">
        <f>'Historical Financials'!L17</f>
        <v>-142777</v>
      </c>
      <c r="M16" s="140">
        <f>'Historical Financials'!M17</f>
        <v>-166701</v>
      </c>
      <c r="N16" s="140">
        <f>'Historical Financials'!N17</f>
        <v>-188644</v>
      </c>
      <c r="O16" s="140">
        <f>'Historical Financials'!O17</f>
        <v>-191271</v>
      </c>
      <c r="P16" s="140">
        <f>'Historical Financials'!P17</f>
        <v>-196610</v>
      </c>
      <c r="Q16" s="140">
        <f>'Historical Financials'!Q17</f>
        <v>-196379</v>
      </c>
      <c r="R16" s="5"/>
      <c r="S16" s="141">
        <f t="shared" ref="S16:Y18" si="8">SUM(G16:J16)</f>
        <v>-438346</v>
      </c>
      <c r="T16" s="141">
        <f t="shared" si="8"/>
        <v>-766609</v>
      </c>
      <c r="U16" s="141">
        <f t="shared" si="8"/>
        <v>-799660</v>
      </c>
      <c r="V16" s="141">
        <f t="shared" si="8"/>
        <v>-858076</v>
      </c>
      <c r="W16" s="141">
        <f t="shared" si="8"/>
        <v>-935152</v>
      </c>
      <c r="X16" s="141">
        <f t="shared" si="8"/>
        <v>-689393</v>
      </c>
      <c r="Y16" s="141">
        <f t="shared" si="8"/>
        <v>-743226</v>
      </c>
      <c r="Z16" s="141">
        <f>SUM(N16:Q16)</f>
        <v>-772904</v>
      </c>
      <c r="AB16" s="126">
        <f t="shared" ref="AB16:AB18" si="9">SUM(Z16/V16)-1</f>
        <v>-9.9259273071382936E-2</v>
      </c>
    </row>
    <row r="17" spans="2:28" ht="12.75" customHeight="1">
      <c r="B17" s="23" t="s">
        <v>178</v>
      </c>
      <c r="C17" s="140">
        <f>'Historical Financials'!C18</f>
        <v>-225078</v>
      </c>
      <c r="D17" s="140">
        <f>'Historical Financials'!D18</f>
        <v>-230175</v>
      </c>
      <c r="E17" s="140">
        <f>'Historical Financials'!E18</f>
        <v>-350579</v>
      </c>
      <c r="F17" s="94"/>
      <c r="G17" s="140">
        <f>'Historical Financials'!G18</f>
        <v>-57911</v>
      </c>
      <c r="H17" s="140">
        <f>'Historical Financials'!H18</f>
        <v>-59225</v>
      </c>
      <c r="I17" s="140">
        <f>'Historical Financials'!I18</f>
        <v>-55114</v>
      </c>
      <c r="J17" s="140">
        <f>'Historical Financials'!J18</f>
        <v>-57925</v>
      </c>
      <c r="K17" s="140">
        <f>'Historical Financials'!K18</f>
        <v>-124095</v>
      </c>
      <c r="L17" s="140">
        <f>'Historical Financials'!L18</f>
        <v>-71458</v>
      </c>
      <c r="M17" s="140">
        <f>'Historical Financials'!M18</f>
        <v>-74510</v>
      </c>
      <c r="N17" s="140">
        <f>'Historical Financials'!N18</f>
        <v>-80516</v>
      </c>
      <c r="O17" s="140">
        <f>'Historical Financials'!O18</f>
        <v>-90685</v>
      </c>
      <c r="P17" s="140">
        <f>'Historical Financials'!P18</f>
        <v>-120619</v>
      </c>
      <c r="Q17" s="140">
        <f>'Historical Financials'!Q18</f>
        <v>-128707</v>
      </c>
      <c r="R17" s="5"/>
      <c r="S17" s="141">
        <f t="shared" si="8"/>
        <v>-230175</v>
      </c>
      <c r="T17" s="141">
        <f t="shared" si="8"/>
        <v>-296359</v>
      </c>
      <c r="U17" s="141">
        <f t="shared" si="8"/>
        <v>-308592</v>
      </c>
      <c r="V17" s="141">
        <f t="shared" si="8"/>
        <v>-327988</v>
      </c>
      <c r="W17" s="141">
        <f t="shared" si="8"/>
        <v>-350579</v>
      </c>
      <c r="X17" s="141">
        <f t="shared" si="8"/>
        <v>-317169</v>
      </c>
      <c r="Y17" s="141">
        <f t="shared" si="8"/>
        <v>-366330</v>
      </c>
      <c r="Z17" s="141">
        <f>SUM(N17:Q17)</f>
        <v>-420527</v>
      </c>
      <c r="AB17" s="126">
        <f t="shared" si="9"/>
        <v>0.28214141980804186</v>
      </c>
    </row>
    <row r="18" spans="2:28" ht="12.75" customHeight="1">
      <c r="B18" s="23" t="s">
        <v>177</v>
      </c>
      <c r="C18" s="140">
        <f>'Historical Financials'!C19</f>
        <v>-143822</v>
      </c>
      <c r="D18" s="140">
        <f>'Historical Financials'!D19</f>
        <v>-164658</v>
      </c>
      <c r="E18" s="140">
        <f>'Historical Financials'!E19</f>
        <v>-451447</v>
      </c>
      <c r="F18" s="94"/>
      <c r="G18" s="140">
        <f>'Historical Financials'!G19</f>
        <v>-40801</v>
      </c>
      <c r="H18" s="140">
        <f>'Historical Financials'!H19</f>
        <v>-38233</v>
      </c>
      <c r="I18" s="140">
        <f>'Historical Financials'!I19</f>
        <v>-37299</v>
      </c>
      <c r="J18" s="140">
        <f>'Historical Financials'!J19</f>
        <v>-48325</v>
      </c>
      <c r="K18" s="140">
        <f>'Historical Financials'!K19</f>
        <v>-243477</v>
      </c>
      <c r="L18" s="140">
        <f>'Historical Financials'!L19</f>
        <v>-68487</v>
      </c>
      <c r="M18" s="140">
        <f>'Historical Financials'!M19</f>
        <v>-65653</v>
      </c>
      <c r="N18" s="140">
        <f>'Historical Financials'!N19</f>
        <v>-73830</v>
      </c>
      <c r="O18" s="140">
        <f>'Historical Financials'!O19</f>
        <v>-69413</v>
      </c>
      <c r="P18" s="140">
        <f>'Historical Financials'!P19</f>
        <v>-68787</v>
      </c>
      <c r="Q18" s="140">
        <f>'Historical Financials'!Q19</f>
        <v>-68774</v>
      </c>
      <c r="R18" s="5"/>
      <c r="S18" s="141">
        <f t="shared" si="8"/>
        <v>-164658</v>
      </c>
      <c r="T18" s="141">
        <f t="shared" si="8"/>
        <v>-367334</v>
      </c>
      <c r="U18" s="141">
        <f t="shared" si="8"/>
        <v>-397588</v>
      </c>
      <c r="V18" s="141">
        <f t="shared" si="8"/>
        <v>-425942</v>
      </c>
      <c r="W18" s="141">
        <f t="shared" si="8"/>
        <v>-451447</v>
      </c>
      <c r="X18" s="141">
        <f t="shared" si="8"/>
        <v>-277383</v>
      </c>
      <c r="Y18" s="141">
        <f t="shared" si="8"/>
        <v>-277683</v>
      </c>
      <c r="Z18" s="141">
        <f>SUM(N18:Q18)</f>
        <v>-280804</v>
      </c>
      <c r="AB18" s="126">
        <f t="shared" si="9"/>
        <v>-0.34074592315385666</v>
      </c>
    </row>
    <row r="19" spans="2:28" ht="12.75" customHeight="1">
      <c r="B19" s="13" t="s">
        <v>30</v>
      </c>
      <c r="C19" s="14">
        <f>SUM(C13+SUM(C16:C18))</f>
        <v>-172162</v>
      </c>
      <c r="D19" s="14">
        <f>SUM(D13+SUM(D16:D18))</f>
        <v>-140161</v>
      </c>
      <c r="E19" s="14">
        <f>SUM(E13+SUM(E16:E18))</f>
        <v>-560568</v>
      </c>
      <c r="F19" s="11"/>
      <c r="G19" s="14">
        <f>SUM(G13+SUM(G16:G18))</f>
        <v>-70602</v>
      </c>
      <c r="H19" s="14">
        <f>SUM(H13+SUM(H16:H18))</f>
        <v>-52989</v>
      </c>
      <c r="I19" s="14">
        <f>SUM(I13+SUM(I16:I18))</f>
        <v>-19585</v>
      </c>
      <c r="J19" s="14">
        <f>SUM(J13+SUM(J16:J18))</f>
        <v>3015</v>
      </c>
      <c r="K19" s="14">
        <f>SUM(K13+SUM(K16:K18))</f>
        <v>-589255</v>
      </c>
      <c r="L19" s="14">
        <f>SUM(L13+SUM(L16:L18))</f>
        <v>-31039</v>
      </c>
      <c r="M19" s="14">
        <f>SUM(M13+SUM(M16:M18))</f>
        <v>6854</v>
      </c>
      <c r="N19" s="14">
        <f>SUM(N13+SUM(N16:N18))</f>
        <v>52872</v>
      </c>
      <c r="O19" s="14">
        <f>SUM(O13+SUM(O16:O18))</f>
        <v>3903</v>
      </c>
      <c r="P19" s="14">
        <f>SUM(P13+SUM(P16:P18))</f>
        <v>67711</v>
      </c>
      <c r="Q19" s="14">
        <f>SUM(Q13+SUM(Q16:Q18))</f>
        <v>138542</v>
      </c>
      <c r="R19" s="5"/>
      <c r="S19" s="14">
        <f>SUM(S13+SUM(S16:S18))</f>
        <v>-140161</v>
      </c>
      <c r="T19" s="14">
        <f>SUM(T13+SUM(T16:T18))</f>
        <v>-658814</v>
      </c>
      <c r="U19" s="14">
        <f>SUM(U13+SUM(U16:U18))</f>
        <v>-636864</v>
      </c>
      <c r="V19" s="14">
        <f>SUM(V13+SUM(V16:V18))</f>
        <v>-610425</v>
      </c>
      <c r="W19" s="14">
        <f>SUM(W13+SUM(W16:W18))</f>
        <v>-560568</v>
      </c>
      <c r="X19" s="14">
        <f>SUM(X13+SUM(X16:X18))</f>
        <v>32590</v>
      </c>
      <c r="Y19" s="14">
        <f>SUM(Y13+SUM(Y16:Y18))</f>
        <v>131340</v>
      </c>
      <c r="Z19" s="14">
        <f>SUM(Z13+SUM(Z16:Z18))</f>
        <v>263028</v>
      </c>
      <c r="AB19" s="127">
        <f>SUM(Z19/V19)-1</f>
        <v>-1.4308932301265511</v>
      </c>
    </row>
    <row r="20" spans="2:28" ht="12.75" customHeight="1">
      <c r="B20" s="16" t="s">
        <v>31</v>
      </c>
      <c r="C20" s="17">
        <f>C19/C8</f>
        <v>-0.25822970117038974</v>
      </c>
      <c r="D20" s="17">
        <f>D19/D8</f>
        <v>-0.17432331420881586</v>
      </c>
      <c r="E20" s="17">
        <f>E19/E8</f>
        <v>-0.43113816667371685</v>
      </c>
      <c r="F20" s="27"/>
      <c r="G20" s="17">
        <f>G19/G8</f>
        <v>-0.43118358373030413</v>
      </c>
      <c r="H20" s="17">
        <f>H19/H8</f>
        <v>-0.28950833465369252</v>
      </c>
      <c r="I20" s="17">
        <f>I19/I8</f>
        <v>-9.4381903348304638E-2</v>
      </c>
      <c r="J20" s="17">
        <f>J19/J8</f>
        <v>1.2072072072072072E-2</v>
      </c>
      <c r="K20" s="17">
        <f>K19/K8</f>
        <v>-2.4252869778525947</v>
      </c>
      <c r="L20" s="17">
        <f>L19/L8</f>
        <v>-0.11038679298964379</v>
      </c>
      <c r="M20" s="17">
        <f>M19/M8</f>
        <v>1.9675557124853953E-2</v>
      </c>
      <c r="N20" s="17">
        <f>N19/N8</f>
        <v>0.12361733616704894</v>
      </c>
      <c r="O20" s="17">
        <f>O19/O8</f>
        <v>9.9474718435318497E-3</v>
      </c>
      <c r="P20" s="17">
        <f>P19/P8</f>
        <v>0.13552310023277364</v>
      </c>
      <c r="Q20" s="17">
        <f>Q19/Q8</f>
        <v>0.23685996672998114</v>
      </c>
      <c r="R20" s="28"/>
      <c r="S20" s="17">
        <f>S19/S8</f>
        <v>-0.17432331420881586</v>
      </c>
      <c r="T20" s="17">
        <f>T19/T8</f>
        <v>-0.74589584852341118</v>
      </c>
      <c r="U20" s="17">
        <f>U19/U8</f>
        <v>-0.64893086951870027</v>
      </c>
      <c r="V20" s="17">
        <f>V19/V8</f>
        <v>-0.54393057506005804</v>
      </c>
      <c r="W20" s="17">
        <f>W19/W8</f>
        <v>-0.43113816667371685</v>
      </c>
      <c r="X20" s="17">
        <f>X19/X8</f>
        <v>2.2482017490305966E-2</v>
      </c>
      <c r="Y20" s="17">
        <f>Y19/Y8</f>
        <v>7.8738835739541949E-2</v>
      </c>
      <c r="Z20" s="17">
        <f>Z19/Z8</f>
        <v>0.13810100356714197</v>
      </c>
      <c r="AB20" s="128">
        <f>SUM(Z20-V20)*10000</f>
        <v>6820.315786272</v>
      </c>
    </row>
    <row r="21" spans="2:28" ht="5.0999999999999996" customHeight="1">
      <c r="AB21" s="125"/>
    </row>
    <row r="22" spans="2:28" ht="12.75" customHeight="1">
      <c r="B22" s="31" t="s">
        <v>98</v>
      </c>
      <c r="C22" s="140">
        <f>'Historical Financials'!C89</f>
        <v>8000</v>
      </c>
      <c r="D22" s="140">
        <f>'Historical Financials'!D89</f>
        <v>13702</v>
      </c>
      <c r="E22" s="140">
        <f>'Historical Financials'!E89</f>
        <v>15643</v>
      </c>
      <c r="G22" s="140">
        <f>'Historical Financials'!G89</f>
        <v>3338</v>
      </c>
      <c r="H22" s="140">
        <f>'Historical Financials'!H89</f>
        <v>3321</v>
      </c>
      <c r="I22" s="140">
        <f>'Historical Financials'!I89</f>
        <v>3288</v>
      </c>
      <c r="J22" s="140">
        <f>'Historical Financials'!J89</f>
        <v>3755</v>
      </c>
      <c r="K22" s="140">
        <f>'Historical Financials'!K89</f>
        <v>3743</v>
      </c>
      <c r="L22" s="140">
        <f>'Historical Financials'!L89</f>
        <v>3770</v>
      </c>
      <c r="M22" s="140">
        <f>'Historical Financials'!M89</f>
        <v>3969</v>
      </c>
      <c r="N22" s="140">
        <f>'Historical Financials'!N89</f>
        <v>4161</v>
      </c>
      <c r="O22" s="140">
        <f>'Historical Financials'!O89</f>
        <v>3963</v>
      </c>
      <c r="P22" s="140">
        <f>'Historical Financials'!P89</f>
        <v>3934</v>
      </c>
      <c r="Q22" s="140">
        <f>'Historical Financials'!Q89</f>
        <v>3900</v>
      </c>
      <c r="S22" s="10">
        <f t="shared" ref="S22:Y22" si="10">SUM(G22:J22)</f>
        <v>13702</v>
      </c>
      <c r="T22" s="10">
        <f t="shared" si="10"/>
        <v>14107</v>
      </c>
      <c r="U22" s="10">
        <f t="shared" si="10"/>
        <v>14556</v>
      </c>
      <c r="V22" s="10">
        <f t="shared" si="10"/>
        <v>15237</v>
      </c>
      <c r="W22" s="10">
        <f t="shared" si="10"/>
        <v>15643</v>
      </c>
      <c r="X22" s="10">
        <f t="shared" si="10"/>
        <v>15863</v>
      </c>
      <c r="Y22" s="10">
        <f t="shared" si="10"/>
        <v>16027</v>
      </c>
      <c r="Z22" s="10">
        <f>SUM(N22:Q22)</f>
        <v>15958</v>
      </c>
      <c r="AB22" s="126">
        <f>SUM(Z22/V22)-1</f>
        <v>4.7319026054997604E-2</v>
      </c>
    </row>
    <row r="23" spans="2:28" ht="12.75" customHeight="1">
      <c r="B23" s="25" t="s">
        <v>11</v>
      </c>
      <c r="C23" s="26">
        <f>SUM(C19+SUM(C22:C22))</f>
        <v>-164162</v>
      </c>
      <c r="D23" s="26">
        <f>SUM(D19+SUM(D22:D22))</f>
        <v>-126459</v>
      </c>
      <c r="E23" s="26">
        <f>SUM(E19+SUM(E22:E22))</f>
        <v>-544925</v>
      </c>
      <c r="G23" s="26">
        <f>SUM(G19+SUM(G22:G22))</f>
        <v>-67264</v>
      </c>
      <c r="H23" s="26">
        <f>SUM(H19+SUM(H22:H22))</f>
        <v>-49668</v>
      </c>
      <c r="I23" s="26">
        <f>SUM(I19+SUM(I22:I22))</f>
        <v>-16297</v>
      </c>
      <c r="J23" s="26">
        <f>SUM(J19+SUM(J22:J22))</f>
        <v>6770</v>
      </c>
      <c r="K23" s="26">
        <f>SUM(K19+SUM(K22:K22))</f>
        <v>-585512</v>
      </c>
      <c r="L23" s="26">
        <f>SUM(L19+SUM(L22:L22))</f>
        <v>-27269</v>
      </c>
      <c r="M23" s="26">
        <f>SUM(M19+SUM(M22:M22))</f>
        <v>10823</v>
      </c>
      <c r="N23" s="26">
        <f>SUM(N19+SUM(N22:N22))</f>
        <v>57033</v>
      </c>
      <c r="O23" s="26">
        <f>SUM(O19+SUM(O22:O22))</f>
        <v>7866</v>
      </c>
      <c r="P23" s="26">
        <f>SUM(P19+SUM(P22:P22))</f>
        <v>71645</v>
      </c>
      <c r="Q23" s="26">
        <f>SUM(Q19+SUM(Q22:Q22))</f>
        <v>142442</v>
      </c>
      <c r="S23" s="26">
        <f>SUM(S19+SUM(S22:S22))</f>
        <v>-126459</v>
      </c>
      <c r="T23" s="26">
        <f>SUM(T19+SUM(T22:T22))</f>
        <v>-644707</v>
      </c>
      <c r="U23" s="26">
        <f>SUM(U19+SUM(U22:U22))</f>
        <v>-622308</v>
      </c>
      <c r="V23" s="26">
        <f>SUM(V19+SUM(V22:V22))</f>
        <v>-595188</v>
      </c>
      <c r="W23" s="26">
        <f>SUM(W19+SUM(W22:W22))</f>
        <v>-544925</v>
      </c>
      <c r="X23" s="26">
        <f>SUM(X19+SUM(X22:X22))</f>
        <v>48453</v>
      </c>
      <c r="Y23" s="26">
        <f>SUM(Y19+SUM(Y22:Y22))</f>
        <v>147367</v>
      </c>
      <c r="Z23" s="26">
        <f>SUM(Z19+SUM(Z22:Z22))</f>
        <v>278986</v>
      </c>
      <c r="AB23" s="127">
        <f>SUM(Z23/V23)-1</f>
        <v>-1.4687359288157691</v>
      </c>
    </row>
    <row r="24" spans="2:28" ht="12.75" customHeight="1">
      <c r="B24" s="16" t="s">
        <v>32</v>
      </c>
      <c r="C24" s="17">
        <f>C23/C8</f>
        <v>-0.24623031913856436</v>
      </c>
      <c r="D24" s="17">
        <f>D23/D8</f>
        <v>-0.15728164033884351</v>
      </c>
      <c r="E24" s="17">
        <f>E23/E8</f>
        <v>-0.41910698697513082</v>
      </c>
      <c r="G24" s="17">
        <f>G23/G8</f>
        <v>-0.41079760596066933</v>
      </c>
      <c r="H24" s="17">
        <f>H23/H8</f>
        <v>-0.27136386732302176</v>
      </c>
      <c r="I24" s="17">
        <f>I23/I8</f>
        <v>-7.8536731113981142E-2</v>
      </c>
      <c r="J24" s="17">
        <f>J23/J8</f>
        <v>2.7107107107107106E-2</v>
      </c>
      <c r="K24" s="17">
        <f>K23/K8</f>
        <v>-2.4098813399571126</v>
      </c>
      <c r="L24" s="17">
        <f>L23/L8</f>
        <v>-9.6979202230567885E-2</v>
      </c>
      <c r="M24" s="17">
        <f>M23/M8</f>
        <v>3.1069237636751436E-2</v>
      </c>
      <c r="N24" s="17">
        <f>N23/N8</f>
        <v>0.13334595879889738</v>
      </c>
      <c r="O24" s="17">
        <f>O23/O8</f>
        <v>2.0047864084350889E-2</v>
      </c>
      <c r="P24" s="17">
        <f>P23/P8</f>
        <v>0.14339697414271046</v>
      </c>
      <c r="Q24" s="17">
        <f>Q23/Q8</f>
        <v>0.24352764779598948</v>
      </c>
      <c r="S24" s="17">
        <f>S23/S8</f>
        <v>-0.15728164033884351</v>
      </c>
      <c r="T24" s="17">
        <f>T23/T8</f>
        <v>-0.72992418924610414</v>
      </c>
      <c r="U24" s="17">
        <f>U23/U8</f>
        <v>-0.63409907224846007</v>
      </c>
      <c r="V24" s="17">
        <f>V23/V8</f>
        <v>-0.53035336218019546</v>
      </c>
      <c r="W24" s="17">
        <f>W23/W8</f>
        <v>-0.41910698697513082</v>
      </c>
      <c r="X24" s="17">
        <f>X23/X8</f>
        <v>3.3425013607173829E-2</v>
      </c>
      <c r="Y24" s="17">
        <f>Y23/Y8</f>
        <v>8.8347083953320235E-2</v>
      </c>
      <c r="Z24" s="17">
        <f>Z23/Z8</f>
        <v>0.14647963935848149</v>
      </c>
      <c r="AB24" s="128">
        <f>SUM(Z24-V24)*10000</f>
        <v>6768.3300153867694</v>
      </c>
    </row>
    <row r="25" spans="2:28" ht="5.0999999999999996" customHeight="1">
      <c r="AB25" s="125"/>
    </row>
    <row r="26" spans="2:28" ht="12.75" customHeight="1">
      <c r="B26" s="31" t="s">
        <v>105</v>
      </c>
      <c r="C26" s="140">
        <f>'Historical Financials'!C92</f>
        <v>55310</v>
      </c>
      <c r="D26" s="140">
        <f>'Historical Financials'!D92</f>
        <v>47598</v>
      </c>
      <c r="E26" s="140">
        <f>'Historical Financials'!E92</f>
        <v>801646</v>
      </c>
      <c r="G26" s="140">
        <f>'Historical Financials'!G92</f>
        <v>12480</v>
      </c>
      <c r="H26" s="140">
        <f>'Historical Financials'!H92</f>
        <v>10103</v>
      </c>
      <c r="I26" s="140">
        <f>'Historical Financials'!I92</f>
        <v>9392</v>
      </c>
      <c r="J26" s="140">
        <f>'Historical Financials'!J92</f>
        <v>15623</v>
      </c>
      <c r="K26" s="140">
        <f>'Historical Financials'!K92</f>
        <v>577508</v>
      </c>
      <c r="L26" s="140">
        <f>'Historical Financials'!L92</f>
        <v>64266</v>
      </c>
      <c r="M26" s="140">
        <f>'Historical Financials'!M92</f>
        <v>74758</v>
      </c>
      <c r="N26" s="140">
        <f>'Historical Financials'!N92</f>
        <v>85114</v>
      </c>
      <c r="O26" s="140">
        <f>'Historical Financials'!O92</f>
        <v>85414</v>
      </c>
      <c r="P26" s="140">
        <f>'Historical Financials'!P92</f>
        <v>89070</v>
      </c>
      <c r="Q26" s="140">
        <f>'Historical Financials'!Q92</f>
        <v>83518</v>
      </c>
      <c r="S26" s="141">
        <f t="shared" ref="S26:Y26" si="11">SUM(G26:J26)</f>
        <v>47598</v>
      </c>
      <c r="T26" s="141">
        <f t="shared" si="11"/>
        <v>612626</v>
      </c>
      <c r="U26" s="141">
        <f t="shared" si="11"/>
        <v>666789</v>
      </c>
      <c r="V26" s="141">
        <f t="shared" si="11"/>
        <v>732155</v>
      </c>
      <c r="W26" s="141">
        <f t="shared" si="11"/>
        <v>801646</v>
      </c>
      <c r="X26" s="141">
        <f t="shared" si="11"/>
        <v>309552</v>
      </c>
      <c r="Y26" s="141">
        <f t="shared" si="11"/>
        <v>334356</v>
      </c>
      <c r="Z26" s="141">
        <f>SUM(N26:Q26)</f>
        <v>343116</v>
      </c>
      <c r="AB26" s="126">
        <f t="shared" ref="AB26" si="12">SUM(Z26/V26)-1</f>
        <v>-0.53136152863806163</v>
      </c>
    </row>
    <row r="27" spans="2:28" ht="12.75" customHeight="1">
      <c r="B27" s="13" t="s">
        <v>33</v>
      </c>
      <c r="C27" s="14">
        <f>+SUM(C23+SUM(C26:C26))</f>
        <v>-108852</v>
      </c>
      <c r="D27" s="14">
        <f>+SUM(D23+SUM(D26:D26))</f>
        <v>-78861</v>
      </c>
      <c r="E27" s="14">
        <f>+SUM(E23+SUM(E26:E26))</f>
        <v>256721</v>
      </c>
      <c r="F27" s="11"/>
      <c r="G27" s="14">
        <f>+SUM(G23+SUM(G26:G26))</f>
        <v>-54784</v>
      </c>
      <c r="H27" s="14">
        <f>+SUM(H23+SUM(H26:H26))</f>
        <v>-39565</v>
      </c>
      <c r="I27" s="14">
        <f>+SUM(I23+SUM(I26:I26))</f>
        <v>-6905</v>
      </c>
      <c r="J27" s="14">
        <f>+SUM(J23+SUM(J26:J26))</f>
        <v>22393</v>
      </c>
      <c r="K27" s="14">
        <f>+SUM(K23+SUM(K26:K26))</f>
        <v>-8004</v>
      </c>
      <c r="L27" s="14">
        <f>+SUM(L23+SUM(L26:L26))</f>
        <v>36997</v>
      </c>
      <c r="M27" s="14">
        <f>+SUM(M23+SUM(M26:M26))</f>
        <v>85581</v>
      </c>
      <c r="N27" s="14">
        <f>+SUM(N23+SUM(N26:N26))</f>
        <v>142147</v>
      </c>
      <c r="O27" s="14">
        <f>+SUM(O23+SUM(O26:O26))</f>
        <v>93280</v>
      </c>
      <c r="P27" s="14">
        <f>+SUM(P23+SUM(P26:P26))</f>
        <v>160715</v>
      </c>
      <c r="Q27" s="14">
        <f>+SUM(Q23+SUM(Q26:Q26))</f>
        <v>225960</v>
      </c>
      <c r="S27" s="14">
        <f>+SUM(S23+SUM(S26:S26))</f>
        <v>-78861</v>
      </c>
      <c r="T27" s="14">
        <f>+SUM(T23+SUM(T26:T26))</f>
        <v>-32081</v>
      </c>
      <c r="U27" s="14">
        <f>+SUM(U23+SUM(U26:U26))</f>
        <v>44481</v>
      </c>
      <c r="V27" s="14">
        <f>+SUM(V23+SUM(V26:V26))</f>
        <v>136967</v>
      </c>
      <c r="W27" s="14">
        <f>+SUM(W23+SUM(W26:W26))</f>
        <v>256721</v>
      </c>
      <c r="X27" s="14">
        <f>+SUM(X23+SUM(X26:X26))</f>
        <v>358005</v>
      </c>
      <c r="Y27" s="14">
        <f>+SUM(Y23+SUM(Y26:Y26))</f>
        <v>481723</v>
      </c>
      <c r="Z27" s="14">
        <f>+SUM(Z23+SUM(Z26:Z26))</f>
        <v>622102</v>
      </c>
      <c r="AB27" s="127">
        <f>SUM(Z27/V27)-1</f>
        <v>3.5419845656252962</v>
      </c>
    </row>
    <row r="28" spans="2:28" ht="12.75" customHeight="1">
      <c r="B28" s="16" t="s">
        <v>34</v>
      </c>
      <c r="C28" s="17">
        <f>C27/C8</f>
        <v>-0.16326959161603177</v>
      </c>
      <c r="D28" s="17">
        <f>D27/D8</f>
        <v>-9.8082283101728923E-2</v>
      </c>
      <c r="E28" s="17">
        <f>E27/E8</f>
        <v>0.1974465565045512</v>
      </c>
      <c r="G28" s="17">
        <f>G27/G8</f>
        <v>-0.33457921094417981</v>
      </c>
      <c r="H28" s="17">
        <f>H27/H8</f>
        <v>-0.21616556758144795</v>
      </c>
      <c r="I28" s="17">
        <f>I27/I8</f>
        <v>-3.3275825510341771E-2</v>
      </c>
      <c r="J28" s="17">
        <f>J27/J8</f>
        <v>8.966166166166166E-2</v>
      </c>
      <c r="K28" s="17">
        <f>K27/K8</f>
        <v>-3.2943287661084196E-2</v>
      </c>
      <c r="L28" s="17">
        <f>L27/L8</f>
        <v>0.13157576533515419</v>
      </c>
      <c r="M28" s="17">
        <f>M27/M8</f>
        <v>0.24567462128715004</v>
      </c>
      <c r="N28" s="17">
        <f>N27/N8</f>
        <v>0.33234667657999517</v>
      </c>
      <c r="O28" s="17">
        <f>O27/O8</f>
        <v>0.23774024431582139</v>
      </c>
      <c r="P28" s="17">
        <f>P27/P8</f>
        <v>0.3216699657944827</v>
      </c>
      <c r="Q28" s="17">
        <f>Q27/Q8</f>
        <v>0.38631518299365203</v>
      </c>
      <c r="S28" s="17">
        <f>S27/S8</f>
        <v>-9.8082283101728923E-2</v>
      </c>
      <c r="T28" s="17">
        <f>T27/T8</f>
        <v>-3.6321457522881351E-2</v>
      </c>
      <c r="U28" s="17">
        <f>U27/U8</f>
        <v>4.5323795986366482E-2</v>
      </c>
      <c r="V28" s="17">
        <f>V27/V8</f>
        <v>0.12204699852439033</v>
      </c>
      <c r="W28" s="17">
        <f>W27/W8</f>
        <v>0.1974465565045512</v>
      </c>
      <c r="X28" s="17">
        <f>X27/X8</f>
        <v>0.24696761803059183</v>
      </c>
      <c r="Y28" s="17">
        <f>Y27/Y8</f>
        <v>0.2887947934289582</v>
      </c>
      <c r="Z28" s="17">
        <f>Z27/Z8</f>
        <v>0.32663028468880179</v>
      </c>
      <c r="AB28" s="128">
        <f>SUM(Z28-V28)*10000</f>
        <v>2045.8328616441147</v>
      </c>
    </row>
    <row r="29" spans="2:28" ht="5.0999999999999996" customHeight="1">
      <c r="AB29" s="125"/>
    </row>
    <row r="30" spans="2:28" ht="12.75" customHeight="1">
      <c r="B30" s="23" t="s">
        <v>35</v>
      </c>
      <c r="C30" s="140">
        <f>'Historical Financials'!C103</f>
        <v>-6233</v>
      </c>
      <c r="D30" s="140">
        <f>'Historical Financials'!D103</f>
        <v>-9724</v>
      </c>
      <c r="E30" s="140">
        <f>'Historical Financials'!E103</f>
        <v>-6248</v>
      </c>
      <c r="G30" s="140">
        <f>'Historical Financials'!G103</f>
        <v>-356</v>
      </c>
      <c r="H30" s="140">
        <f>'Historical Financials'!H103</f>
        <v>-830</v>
      </c>
      <c r="I30" s="140">
        <f>'Historical Financials'!I103</f>
        <v>-3936</v>
      </c>
      <c r="J30" s="140">
        <f>'Historical Financials'!J103</f>
        <v>-4602</v>
      </c>
      <c r="K30" s="140">
        <f>'Historical Financials'!K103</f>
        <v>-2851</v>
      </c>
      <c r="L30" s="140">
        <f>'Historical Financials'!L103</f>
        <v>-1202</v>
      </c>
      <c r="M30" s="140">
        <f>'Historical Financials'!M103</f>
        <v>-1353</v>
      </c>
      <c r="N30" s="140">
        <f>'Historical Financials'!N103</f>
        <v>-842</v>
      </c>
      <c r="O30" s="140">
        <f>'Historical Financials'!O103</f>
        <v>-979</v>
      </c>
      <c r="P30" s="140">
        <f>'Historical Financials'!P103</f>
        <v>-505</v>
      </c>
      <c r="Q30" s="140">
        <f>'Historical Financials'!Q103</f>
        <v>-2058</v>
      </c>
      <c r="S30" s="10">
        <f t="shared" ref="S30:Z33" si="13">SUM(G30:J30)</f>
        <v>-9724</v>
      </c>
      <c r="T30" s="10">
        <f t="shared" si="13"/>
        <v>-12219</v>
      </c>
      <c r="U30" s="10">
        <f t="shared" si="13"/>
        <v>-12591</v>
      </c>
      <c r="V30" s="141">
        <f t="shared" si="13"/>
        <v>-10008</v>
      </c>
      <c r="W30" s="141">
        <f t="shared" si="13"/>
        <v>-6248</v>
      </c>
      <c r="X30" s="141">
        <f t="shared" si="13"/>
        <v>-4376</v>
      </c>
      <c r="Y30" s="141">
        <f t="shared" si="13"/>
        <v>-3679</v>
      </c>
      <c r="Z30" s="141">
        <f t="shared" si="13"/>
        <v>-4384</v>
      </c>
      <c r="AB30" s="126">
        <f>SUM(Z30/V30)-1</f>
        <v>-0.5619504396482814</v>
      </c>
    </row>
    <row r="31" spans="2:28" ht="12.75" customHeight="1">
      <c r="B31" s="23" t="s">
        <v>36</v>
      </c>
      <c r="C31" s="140">
        <f>'Historical Financials'!C27</f>
        <v>-622</v>
      </c>
      <c r="D31" s="140">
        <f>'Historical Financials'!D27</f>
        <v>-3801</v>
      </c>
      <c r="E31" s="140">
        <f>'Historical Financials'!E27</f>
        <v>931</v>
      </c>
      <c r="G31" s="140">
        <f>'Historical Financials'!G27</f>
        <v>-988</v>
      </c>
      <c r="H31" s="140">
        <f>'Historical Financials'!H27</f>
        <v>-1426</v>
      </c>
      <c r="I31" s="140">
        <f>'Historical Financials'!I27</f>
        <v>-445</v>
      </c>
      <c r="J31" s="140">
        <f>'Historical Financials'!J27</f>
        <v>-942</v>
      </c>
      <c r="K31" s="140">
        <f>'Historical Financials'!K27</f>
        <v>-365</v>
      </c>
      <c r="L31" s="140">
        <f>'Historical Financials'!L27</f>
        <v>216</v>
      </c>
      <c r="M31" s="140">
        <f>'Historical Financials'!M27</f>
        <v>31</v>
      </c>
      <c r="N31" s="140">
        <f>'Historical Financials'!N27</f>
        <v>1049</v>
      </c>
      <c r="O31" s="140">
        <f>'Historical Financials'!O27</f>
        <v>1721</v>
      </c>
      <c r="P31" s="140">
        <f>'Historical Financials'!P27</f>
        <v>439</v>
      </c>
      <c r="Q31" s="140">
        <f>'Historical Financials'!Q27</f>
        <v>2086</v>
      </c>
      <c r="S31" s="10">
        <f t="shared" si="13"/>
        <v>-3801</v>
      </c>
      <c r="T31" s="10">
        <f t="shared" si="13"/>
        <v>-3178</v>
      </c>
      <c r="U31" s="10">
        <f t="shared" si="13"/>
        <v>-1536</v>
      </c>
      <c r="V31" s="141">
        <f t="shared" si="13"/>
        <v>-1060</v>
      </c>
      <c r="W31" s="141">
        <f t="shared" si="13"/>
        <v>931</v>
      </c>
      <c r="X31" s="141">
        <f t="shared" si="13"/>
        <v>3017</v>
      </c>
      <c r="Y31" s="141">
        <f t="shared" si="13"/>
        <v>3240</v>
      </c>
      <c r="Z31" s="141">
        <f t="shared" si="13"/>
        <v>5295</v>
      </c>
      <c r="AB31" s="126">
        <f>SUM(Z31/V31)-1</f>
        <v>-5.9952830188679247</v>
      </c>
    </row>
    <row r="32" spans="2:28" ht="12.75" customHeight="1">
      <c r="B32" s="23" t="s">
        <v>69</v>
      </c>
      <c r="C32" s="170">
        <v>0</v>
      </c>
      <c r="D32" s="170">
        <v>0</v>
      </c>
      <c r="E32" s="170">
        <v>0</v>
      </c>
      <c r="G32" s="170">
        <v>0</v>
      </c>
      <c r="H32" s="170">
        <v>0</v>
      </c>
      <c r="I32" s="170">
        <v>0</v>
      </c>
      <c r="J32" s="170">
        <v>0</v>
      </c>
      <c r="K32" s="170">
        <v>0</v>
      </c>
      <c r="L32" s="170">
        <v>0</v>
      </c>
      <c r="M32" s="170">
        <v>0</v>
      </c>
      <c r="N32" s="170">
        <v>0</v>
      </c>
      <c r="O32" s="170">
        <v>0</v>
      </c>
      <c r="P32" s="170">
        <v>0</v>
      </c>
      <c r="Q32" s="170">
        <v>0</v>
      </c>
      <c r="S32" s="10">
        <f t="shared" si="13"/>
        <v>0</v>
      </c>
      <c r="T32" s="10">
        <f t="shared" si="13"/>
        <v>0</v>
      </c>
      <c r="U32" s="10">
        <f t="shared" si="13"/>
        <v>0</v>
      </c>
      <c r="V32" s="141">
        <f t="shared" si="13"/>
        <v>0</v>
      </c>
      <c r="W32" s="141">
        <f t="shared" si="13"/>
        <v>0</v>
      </c>
      <c r="X32" s="141">
        <f t="shared" si="13"/>
        <v>0</v>
      </c>
      <c r="Y32" s="141">
        <f t="shared" si="13"/>
        <v>0</v>
      </c>
      <c r="Z32" s="141">
        <f t="shared" si="13"/>
        <v>0</v>
      </c>
      <c r="AB32" s="126" t="e">
        <f>SUM(Z32/V32)-1</f>
        <v>#DIV/0!</v>
      </c>
    </row>
    <row r="33" spans="1:28" ht="12.75" customHeight="1">
      <c r="B33" s="23" t="s">
        <v>37</v>
      </c>
      <c r="C33" s="140">
        <f>SUM('Historical Financials'!C95:C99)</f>
        <v>-10080</v>
      </c>
      <c r="D33" s="140">
        <f>SUM('Historical Financials'!D95:D99)</f>
        <v>-29991</v>
      </c>
      <c r="E33" s="140">
        <f>SUM('Historical Financials'!E95:E99)</f>
        <v>-67468</v>
      </c>
      <c r="G33" s="140">
        <f>SUM('Historical Financials'!G95:G99)</f>
        <v>50970</v>
      </c>
      <c r="H33" s="140">
        <f>SUM('Historical Financials'!H95:H99)</f>
        <v>-23783</v>
      </c>
      <c r="I33" s="140">
        <f>SUM('Historical Financials'!I95:I99)</f>
        <v>-9014</v>
      </c>
      <c r="J33" s="140">
        <f>SUM('Historical Financials'!J95:J99)</f>
        <v>-48164</v>
      </c>
      <c r="K33" s="140">
        <f>SUM('Historical Financials'!K95:K99)</f>
        <v>32270</v>
      </c>
      <c r="L33" s="140">
        <f>SUM('Historical Financials'!L95:L99)</f>
        <v>-19666</v>
      </c>
      <c r="M33" s="140">
        <f>SUM('Historical Financials'!M95:M99)</f>
        <v>-21353</v>
      </c>
      <c r="N33" s="140">
        <f>SUM('Historical Financials'!N95:N99)</f>
        <v>-58719</v>
      </c>
      <c r="O33" s="140">
        <f>SUM('Historical Financials'!O95:O99)</f>
        <v>19597</v>
      </c>
      <c r="P33" s="140">
        <f>SUM('Historical Financials'!P95:P99)</f>
        <v>-65890</v>
      </c>
      <c r="Q33" s="140">
        <f>SUM('Historical Financials'!Q95:Q99)</f>
        <v>-60389</v>
      </c>
      <c r="S33" s="10">
        <f t="shared" si="13"/>
        <v>-29991</v>
      </c>
      <c r="T33" s="10">
        <f t="shared" si="13"/>
        <v>-48691</v>
      </c>
      <c r="U33" s="10">
        <f t="shared" si="13"/>
        <v>-44574</v>
      </c>
      <c r="V33" s="141">
        <f t="shared" si="13"/>
        <v>-56913</v>
      </c>
      <c r="W33" s="141">
        <f t="shared" si="13"/>
        <v>-67468</v>
      </c>
      <c r="X33" s="141">
        <f t="shared" si="13"/>
        <v>-80141</v>
      </c>
      <c r="Y33" s="141">
        <f t="shared" si="13"/>
        <v>-126365</v>
      </c>
      <c r="Z33" s="141">
        <f t="shared" si="13"/>
        <v>-165401</v>
      </c>
      <c r="AB33" s="126">
        <f>SUM(Z33/V33)-1</f>
        <v>1.9062077205559365</v>
      </c>
    </row>
    <row r="34" spans="1:28" ht="12.75" customHeight="1">
      <c r="B34" s="13" t="s">
        <v>38</v>
      </c>
      <c r="C34" s="14">
        <f>SUM(C27+SUM(C30:C33))</f>
        <v>-125787</v>
      </c>
      <c r="D34" s="14">
        <f>SUM(D27+SUM(D30:D33))</f>
        <v>-122377</v>
      </c>
      <c r="E34" s="14">
        <f>SUM(E27+SUM(E30:E33))</f>
        <v>183936</v>
      </c>
      <c r="G34" s="14">
        <f t="shared" ref="G34:P34" si="14">SUM(G27+SUM(G30:G33))</f>
        <v>-5158</v>
      </c>
      <c r="H34" s="14">
        <f t="shared" si="14"/>
        <v>-65604</v>
      </c>
      <c r="I34" s="14">
        <f t="shared" si="14"/>
        <v>-20300</v>
      </c>
      <c r="J34" s="14">
        <f t="shared" si="14"/>
        <v>-31315</v>
      </c>
      <c r="K34" s="14">
        <f t="shared" si="14"/>
        <v>21050</v>
      </c>
      <c r="L34" s="14">
        <f t="shared" si="14"/>
        <v>16345</v>
      </c>
      <c r="M34" s="14">
        <f t="shared" si="14"/>
        <v>62906</v>
      </c>
      <c r="N34" s="14">
        <f t="shared" si="14"/>
        <v>83635</v>
      </c>
      <c r="O34" s="14">
        <f t="shared" si="14"/>
        <v>113619</v>
      </c>
      <c r="P34" s="14">
        <f t="shared" si="14"/>
        <v>94759</v>
      </c>
      <c r="Q34" s="14">
        <f>SUM(Q27+SUM(Q30:Q33))</f>
        <v>165599</v>
      </c>
      <c r="S34" s="14">
        <f t="shared" ref="S34:Z34" si="15">SUM(S27+SUM(S30:S33))</f>
        <v>-122377</v>
      </c>
      <c r="T34" s="14">
        <f t="shared" si="15"/>
        <v>-96169</v>
      </c>
      <c r="U34" s="14">
        <f t="shared" si="15"/>
        <v>-14220</v>
      </c>
      <c r="V34" s="14">
        <f t="shared" si="15"/>
        <v>68986</v>
      </c>
      <c r="W34" s="14">
        <f t="shared" si="15"/>
        <v>183936</v>
      </c>
      <c r="X34" s="14">
        <f t="shared" si="15"/>
        <v>276505</v>
      </c>
      <c r="Y34" s="14">
        <f t="shared" si="15"/>
        <v>354919</v>
      </c>
      <c r="Z34" s="14">
        <f t="shared" si="15"/>
        <v>457612</v>
      </c>
      <c r="AB34" s="127">
        <f>SUM(Z34/V34)-1</f>
        <v>5.6334038790479228</v>
      </c>
    </row>
    <row r="35" spans="1:28" ht="5.0999999999999996" customHeight="1"/>
    <row r="36" spans="1:28" ht="12.75" customHeight="1">
      <c r="B36" s="31" t="s">
        <v>180</v>
      </c>
      <c r="C36" s="140">
        <f>SUM('Historical Financials'!C105:C107)</f>
        <v>-755690</v>
      </c>
      <c r="D36" s="140">
        <f>SUM('Historical Financials'!D105:D107)</f>
        <v>50843</v>
      </c>
      <c r="E36" s="140">
        <f>SUM('Historical Financials'!E105:E107)</f>
        <v>-423123</v>
      </c>
      <c r="F36" s="32"/>
      <c r="G36" s="140">
        <f>SUM('Historical Financials'!G105:G107)</f>
        <v>89308</v>
      </c>
      <c r="H36" s="140">
        <f>SUM('Historical Financials'!H105:H107)</f>
        <v>-31105</v>
      </c>
      <c r="I36" s="140">
        <f>SUM('Historical Financials'!I105:I107)</f>
        <v>6514</v>
      </c>
      <c r="J36" s="140">
        <f>SUM('Historical Financials'!J105:J107)</f>
        <v>-13874</v>
      </c>
      <c r="K36" s="140">
        <f>SUM('Historical Financials'!K105:K107)</f>
        <v>116970</v>
      </c>
      <c r="L36" s="140">
        <f>SUM('Historical Financials'!L105:L107)</f>
        <v>-518423</v>
      </c>
      <c r="M36" s="140">
        <f>SUM('Historical Financials'!M105:M107)</f>
        <v>19077</v>
      </c>
      <c r="N36" s="140">
        <f>SUM('Historical Financials'!N105:N107)</f>
        <v>-40747</v>
      </c>
      <c r="O36" s="140">
        <f>SUM('Historical Financials'!O105:O107)</f>
        <v>-27412</v>
      </c>
      <c r="P36" s="140">
        <f>SUM('Historical Financials'!P105:P107)</f>
        <v>-3925</v>
      </c>
      <c r="Q36" s="140">
        <f>SUM('Historical Financials'!Q105:Q107)</f>
        <v>19359</v>
      </c>
      <c r="S36" s="141">
        <f t="shared" ref="S36:Y43" si="16">SUM(G36:J36)</f>
        <v>50843</v>
      </c>
      <c r="T36" s="141">
        <f t="shared" si="16"/>
        <v>78505</v>
      </c>
      <c r="U36" s="141">
        <f t="shared" si="16"/>
        <v>-408813</v>
      </c>
      <c r="V36" s="141">
        <f t="shared" si="16"/>
        <v>-396250</v>
      </c>
      <c r="W36" s="141">
        <f t="shared" si="16"/>
        <v>-423123</v>
      </c>
      <c r="X36" s="141">
        <f t="shared" si="16"/>
        <v>-567505</v>
      </c>
      <c r="Y36" s="141">
        <f t="shared" si="16"/>
        <v>-53007</v>
      </c>
      <c r="Z36" s="141">
        <f t="shared" ref="Z36:Z43" si="17">SUM(N36:Q36)</f>
        <v>-52725</v>
      </c>
    </row>
    <row r="37" spans="1:28" ht="12.75" customHeight="1">
      <c r="B37" s="31" t="s">
        <v>84</v>
      </c>
      <c r="C37" s="140">
        <f>'Historical Financials'!C108</f>
        <v>-42196</v>
      </c>
      <c r="D37" s="140">
        <f>'Historical Financials'!D108</f>
        <v>0</v>
      </c>
      <c r="E37" s="140">
        <f>'Historical Financials'!E108</f>
        <v>-17137</v>
      </c>
      <c r="F37" s="32"/>
      <c r="G37" s="140">
        <f>'Historical Financials'!G108</f>
        <v>0</v>
      </c>
      <c r="H37" s="140">
        <f>'Historical Financials'!H108</f>
        <v>0</v>
      </c>
      <c r="I37" s="140">
        <f>'Historical Financials'!I108</f>
        <v>0</v>
      </c>
      <c r="J37" s="140">
        <f>'Historical Financials'!J108</f>
        <v>0</v>
      </c>
      <c r="K37" s="140">
        <f>'Historical Financials'!K108</f>
        <v>0</v>
      </c>
      <c r="L37" s="140">
        <f>'Historical Financials'!L108</f>
        <v>0</v>
      </c>
      <c r="M37" s="140">
        <f>'Historical Financials'!M108</f>
        <v>-17137</v>
      </c>
      <c r="N37" s="140">
        <f>'Historical Financials'!N108</f>
        <v>0</v>
      </c>
      <c r="O37" s="140">
        <f>'Historical Financials'!O108</f>
        <v>0</v>
      </c>
      <c r="P37" s="140">
        <f>'Historical Financials'!P108</f>
        <v>0</v>
      </c>
      <c r="Q37" s="140">
        <f>'Historical Financials'!Q108</f>
        <v>0</v>
      </c>
      <c r="S37" s="141">
        <f t="shared" si="16"/>
        <v>0</v>
      </c>
      <c r="T37" s="141">
        <f t="shared" si="16"/>
        <v>0</v>
      </c>
      <c r="U37" s="141">
        <f t="shared" si="16"/>
        <v>0</v>
      </c>
      <c r="V37" s="141">
        <f t="shared" si="16"/>
        <v>-17137</v>
      </c>
      <c r="W37" s="141">
        <f t="shared" si="16"/>
        <v>-17137</v>
      </c>
      <c r="X37" s="141">
        <f t="shared" si="16"/>
        <v>-17137</v>
      </c>
      <c r="Y37" s="141">
        <f t="shared" si="16"/>
        <v>-17137</v>
      </c>
      <c r="Z37" s="141">
        <f t="shared" si="17"/>
        <v>0</v>
      </c>
    </row>
    <row r="38" spans="1:28" ht="12.75" customHeight="1">
      <c r="B38" s="31" t="s">
        <v>181</v>
      </c>
      <c r="C38" s="140">
        <f>'Historical Financials'!C113</f>
        <v>0</v>
      </c>
      <c r="D38" s="140">
        <f>'Historical Financials'!D113</f>
        <v>0</v>
      </c>
      <c r="E38" s="140">
        <f>'Historical Financials'!E113</f>
        <v>0</v>
      </c>
      <c r="F38" s="32"/>
      <c r="G38" s="140">
        <f>'Historical Financials'!G113</f>
        <v>0</v>
      </c>
      <c r="H38" s="140">
        <f>'Historical Financials'!H113</f>
        <v>0</v>
      </c>
      <c r="I38" s="140">
        <f>'Historical Financials'!I113</f>
        <v>0</v>
      </c>
      <c r="J38" s="140">
        <f>'Historical Financials'!J113</f>
        <v>0</v>
      </c>
      <c r="K38" s="140">
        <f>'Historical Financials'!K113</f>
        <v>0</v>
      </c>
      <c r="L38" s="140">
        <f>'Historical Financials'!L113</f>
        <v>0</v>
      </c>
      <c r="M38" s="140">
        <f>'Historical Financials'!M113</f>
        <v>0</v>
      </c>
      <c r="N38" s="140">
        <f>'Historical Financials'!N113</f>
        <v>0</v>
      </c>
      <c r="O38" s="140">
        <f>'Historical Financials'!O113</f>
        <v>0</v>
      </c>
      <c r="P38" s="140">
        <f>'Historical Financials'!P113</f>
        <v>0</v>
      </c>
      <c r="Q38" s="140">
        <f>'Historical Financials'!Q113</f>
        <v>0</v>
      </c>
      <c r="S38" s="141">
        <f t="shared" si="16"/>
        <v>0</v>
      </c>
      <c r="T38" s="141">
        <f t="shared" si="16"/>
        <v>0</v>
      </c>
      <c r="U38" s="141">
        <f t="shared" si="16"/>
        <v>0</v>
      </c>
      <c r="V38" s="141">
        <f t="shared" si="16"/>
        <v>0</v>
      </c>
      <c r="W38" s="141">
        <f t="shared" si="16"/>
        <v>0</v>
      </c>
      <c r="X38" s="141">
        <f t="shared" si="16"/>
        <v>0</v>
      </c>
      <c r="Y38" s="141">
        <f t="shared" si="16"/>
        <v>0</v>
      </c>
      <c r="Z38" s="141">
        <f t="shared" si="17"/>
        <v>0</v>
      </c>
    </row>
    <row r="39" spans="1:28" ht="12.75" customHeight="1">
      <c r="B39" s="31" t="s">
        <v>182</v>
      </c>
      <c r="C39" s="140">
        <f>'Historical Financials'!C114</f>
        <v>-2762</v>
      </c>
      <c r="D39" s="140">
        <f>'Historical Financials'!D114</f>
        <v>2667</v>
      </c>
      <c r="E39" s="140">
        <f>'Historical Financials'!E114</f>
        <v>385646</v>
      </c>
      <c r="F39" s="32"/>
      <c r="G39" s="140">
        <f>'Historical Financials'!G114</f>
        <v>-3630</v>
      </c>
      <c r="H39" s="140">
        <f>'Historical Financials'!H114</f>
        <v>334</v>
      </c>
      <c r="I39" s="140">
        <f>'Historical Financials'!I114</f>
        <v>756</v>
      </c>
      <c r="J39" s="140">
        <f>'Historical Financials'!J114</f>
        <v>5207</v>
      </c>
      <c r="K39" s="140">
        <f>'Historical Financials'!K114</f>
        <v>425621</v>
      </c>
      <c r="L39" s="140">
        <f>'Historical Financials'!L114</f>
        <v>-9311</v>
      </c>
      <c r="M39" s="140">
        <f>'Historical Financials'!M114</f>
        <v>-29961</v>
      </c>
      <c r="N39" s="140">
        <f>'Historical Financials'!N114</f>
        <v>-703</v>
      </c>
      <c r="O39" s="140">
        <f>'Historical Financials'!O114</f>
        <v>-26491</v>
      </c>
      <c r="P39" s="140">
        <f>'Historical Financials'!P114</f>
        <v>-10922</v>
      </c>
      <c r="Q39" s="140">
        <f>'Historical Financials'!Q114</f>
        <v>-22582</v>
      </c>
      <c r="S39" s="141">
        <f t="shared" si="16"/>
        <v>2667</v>
      </c>
      <c r="T39" s="141">
        <f t="shared" si="16"/>
        <v>431918</v>
      </c>
      <c r="U39" s="141">
        <f t="shared" si="16"/>
        <v>422273</v>
      </c>
      <c r="V39" s="141">
        <f t="shared" si="16"/>
        <v>391556</v>
      </c>
      <c r="W39" s="141">
        <f t="shared" si="16"/>
        <v>385646</v>
      </c>
      <c r="X39" s="141">
        <f t="shared" si="16"/>
        <v>-66466</v>
      </c>
      <c r="Y39" s="141">
        <f t="shared" si="16"/>
        <v>-68077</v>
      </c>
      <c r="Z39" s="141">
        <f t="shared" si="17"/>
        <v>-60698</v>
      </c>
    </row>
    <row r="40" spans="1:28" ht="12.75" customHeight="1">
      <c r="B40" s="31" t="s">
        <v>183</v>
      </c>
      <c r="C40" s="140">
        <f>'Historical Financials'!C115</f>
        <v>0</v>
      </c>
      <c r="D40" s="140">
        <f>'Historical Financials'!D115</f>
        <v>-3478</v>
      </c>
      <c r="E40" s="140">
        <f>'Historical Financials'!E115</f>
        <v>-6111</v>
      </c>
      <c r="F40" s="32"/>
      <c r="G40" s="140">
        <f>'Historical Financials'!G115</f>
        <v>0</v>
      </c>
      <c r="H40" s="140">
        <f>'Historical Financials'!H115</f>
        <v>0</v>
      </c>
      <c r="I40" s="140">
        <f>'Historical Financials'!I115</f>
        <v>-979</v>
      </c>
      <c r="J40" s="140">
        <f>'Historical Financials'!J115</f>
        <v>-2499</v>
      </c>
      <c r="K40" s="140">
        <f>'Historical Financials'!K115</f>
        <v>0</v>
      </c>
      <c r="L40" s="140">
        <f>'Historical Financials'!L115</f>
        <v>0</v>
      </c>
      <c r="M40" s="140">
        <f>'Historical Financials'!M115</f>
        <v>0</v>
      </c>
      <c r="N40" s="140">
        <f>'Historical Financials'!N115</f>
        <v>-6111</v>
      </c>
      <c r="O40" s="140">
        <f>'Historical Financials'!O115</f>
        <v>0</v>
      </c>
      <c r="P40" s="140">
        <f>'Historical Financials'!P115</f>
        <v>0</v>
      </c>
      <c r="Q40" s="140">
        <f>'Historical Financials'!Q115</f>
        <v>0</v>
      </c>
      <c r="S40" s="141">
        <f t="shared" si="16"/>
        <v>-3478</v>
      </c>
      <c r="T40" s="141">
        <f t="shared" si="16"/>
        <v>-3478</v>
      </c>
      <c r="U40" s="141">
        <f t="shared" si="16"/>
        <v>-3478</v>
      </c>
      <c r="V40" s="141">
        <f t="shared" si="16"/>
        <v>-2499</v>
      </c>
      <c r="W40" s="141">
        <f t="shared" si="16"/>
        <v>-6111</v>
      </c>
      <c r="X40" s="141">
        <f t="shared" si="16"/>
        <v>-6111</v>
      </c>
      <c r="Y40" s="141">
        <f t="shared" si="16"/>
        <v>-6111</v>
      </c>
      <c r="Z40" s="141">
        <f t="shared" si="17"/>
        <v>-6111</v>
      </c>
    </row>
    <row r="41" spans="1:28" ht="12.75" customHeight="1">
      <c r="B41" s="31" t="s">
        <v>184</v>
      </c>
      <c r="C41" s="140">
        <f>'Historical Financials'!C109</f>
        <v>-64</v>
      </c>
      <c r="D41" s="140">
        <f>'Historical Financials'!D109</f>
        <v>172</v>
      </c>
      <c r="E41" s="140">
        <f>'Historical Financials'!E109</f>
        <v>-1048</v>
      </c>
      <c r="F41" s="32"/>
      <c r="G41" s="140">
        <f>'Historical Financials'!G109</f>
        <v>70</v>
      </c>
      <c r="H41" s="140">
        <f>'Historical Financials'!H109</f>
        <v>42</v>
      </c>
      <c r="I41" s="140">
        <f>'Historical Financials'!I109</f>
        <v>-3</v>
      </c>
      <c r="J41" s="140">
        <f>'Historical Financials'!J109</f>
        <v>63</v>
      </c>
      <c r="K41" s="140">
        <f>'Historical Financials'!K109</f>
        <v>-15</v>
      </c>
      <c r="L41" s="140">
        <f>'Historical Financials'!L109</f>
        <v>-12</v>
      </c>
      <c r="M41" s="140">
        <f>'Historical Financials'!M109</f>
        <v>487</v>
      </c>
      <c r="N41" s="140">
        <f>'Historical Financials'!N109</f>
        <v>-1508</v>
      </c>
      <c r="O41" s="140">
        <f>'Historical Financials'!O109</f>
        <v>889</v>
      </c>
      <c r="P41" s="140">
        <f>'Historical Financials'!P109</f>
        <v>2354</v>
      </c>
      <c r="Q41" s="140">
        <f>'Historical Financials'!Q109</f>
        <v>-788</v>
      </c>
      <c r="S41" s="141">
        <f t="shared" ref="S41" si="18">SUM(G41:J41)</f>
        <v>172</v>
      </c>
      <c r="T41" s="141">
        <f t="shared" ref="T41" si="19">SUM(H41:K41)</f>
        <v>87</v>
      </c>
      <c r="U41" s="141">
        <f t="shared" ref="U41" si="20">SUM(I41:L41)</f>
        <v>33</v>
      </c>
      <c r="V41" s="141">
        <f t="shared" ref="V41" si="21">SUM(J41:M41)</f>
        <v>523</v>
      </c>
      <c r="W41" s="141">
        <f t="shared" ref="W41" si="22">SUM(K41:N41)</f>
        <v>-1048</v>
      </c>
      <c r="X41" s="141">
        <f t="shared" ref="X41" si="23">SUM(L41:O41)</f>
        <v>-144</v>
      </c>
      <c r="Y41" s="141">
        <f t="shared" ref="Y41" si="24">SUM(M41:P41)</f>
        <v>2222</v>
      </c>
      <c r="Z41" s="141">
        <f t="shared" ref="Z41" si="25">SUM(N41:Q41)</f>
        <v>947</v>
      </c>
    </row>
    <row r="42" spans="1:28" ht="12.75" customHeight="1">
      <c r="B42" s="31" t="s">
        <v>93</v>
      </c>
      <c r="C42" s="140">
        <f>'Historical Financials'!C116</f>
        <v>-1022</v>
      </c>
      <c r="D42" s="140">
        <f>'Historical Financials'!D116</f>
        <v>0</v>
      </c>
      <c r="E42" s="140">
        <f>'Historical Financials'!E116</f>
        <v>0</v>
      </c>
      <c r="F42" s="32"/>
      <c r="G42" s="140">
        <f>'Historical Financials'!G116</f>
        <v>0</v>
      </c>
      <c r="H42" s="140">
        <f>'Historical Financials'!H116</f>
        <v>0</v>
      </c>
      <c r="I42" s="140">
        <f>'Historical Financials'!I116</f>
        <v>0</v>
      </c>
      <c r="J42" s="140">
        <f>'Historical Financials'!J116</f>
        <v>0</v>
      </c>
      <c r="K42" s="140">
        <f>'Historical Financials'!K116</f>
        <v>-4450</v>
      </c>
      <c r="L42" s="140">
        <f>'Historical Financials'!L116</f>
        <v>0</v>
      </c>
      <c r="M42" s="140">
        <f>'Historical Financials'!M116</f>
        <v>-1661</v>
      </c>
      <c r="N42" s="140">
        <f>'Historical Financials'!N116</f>
        <v>6111</v>
      </c>
      <c r="O42" s="140">
        <f>'Historical Financials'!O116</f>
        <v>0</v>
      </c>
      <c r="P42" s="140">
        <f>'Historical Financials'!P116</f>
        <v>0</v>
      </c>
      <c r="Q42" s="140">
        <f>'Historical Financials'!Q116</f>
        <v>-1497</v>
      </c>
      <c r="S42" s="141">
        <f t="shared" si="16"/>
        <v>0</v>
      </c>
      <c r="T42" s="141">
        <f t="shared" si="16"/>
        <v>-4450</v>
      </c>
      <c r="U42" s="141">
        <f t="shared" si="16"/>
        <v>-4450</v>
      </c>
      <c r="V42" s="141">
        <f t="shared" si="16"/>
        <v>-6111</v>
      </c>
      <c r="W42" s="141">
        <f t="shared" si="16"/>
        <v>0</v>
      </c>
      <c r="X42" s="141">
        <f t="shared" si="16"/>
        <v>4450</v>
      </c>
      <c r="Y42" s="141">
        <f t="shared" si="16"/>
        <v>4450</v>
      </c>
      <c r="Z42" s="141">
        <f t="shared" si="17"/>
        <v>4614</v>
      </c>
    </row>
    <row r="43" spans="1:28" ht="12.75" customHeight="1">
      <c r="B43" s="31" t="s">
        <v>65</v>
      </c>
      <c r="C43" s="81">
        <v>0</v>
      </c>
      <c r="D43" s="96">
        <f>SUM(D48-C48)-SUM(D34:D42)</f>
        <v>37489</v>
      </c>
      <c r="E43" s="96">
        <f>SUM(E48-D48)-SUM(E34:E42)</f>
        <v>38753</v>
      </c>
      <c r="F43" s="32"/>
      <c r="G43" s="96"/>
      <c r="H43" s="96">
        <f t="shared" ref="H43:Q43" si="26">SUM(H48-G48)-SUM(H34:H42)</f>
        <v>10671</v>
      </c>
      <c r="I43" s="96">
        <f t="shared" si="26"/>
        <v>8661</v>
      </c>
      <c r="J43" s="96">
        <f t="shared" si="26"/>
        <v>9280</v>
      </c>
      <c r="K43" s="96">
        <f t="shared" si="26"/>
        <v>8163</v>
      </c>
      <c r="L43" s="96">
        <f t="shared" si="26"/>
        <v>10838</v>
      </c>
      <c r="M43" s="96">
        <f t="shared" si="26"/>
        <v>14232</v>
      </c>
      <c r="N43" s="96">
        <f t="shared" si="26"/>
        <v>5520</v>
      </c>
      <c r="O43" s="96">
        <f t="shared" si="26"/>
        <v>13030</v>
      </c>
      <c r="P43" s="96">
        <f t="shared" si="26"/>
        <v>16067</v>
      </c>
      <c r="Q43" s="96">
        <f t="shared" si="26"/>
        <v>17502</v>
      </c>
      <c r="S43" s="141">
        <f t="shared" si="16"/>
        <v>28612</v>
      </c>
      <c r="T43" s="141">
        <f t="shared" si="16"/>
        <v>36775</v>
      </c>
      <c r="U43" s="141">
        <f t="shared" si="16"/>
        <v>36942</v>
      </c>
      <c r="V43" s="141">
        <f t="shared" si="16"/>
        <v>42513</v>
      </c>
      <c r="W43" s="141">
        <f t="shared" si="16"/>
        <v>38753</v>
      </c>
      <c r="X43" s="141">
        <f t="shared" si="16"/>
        <v>43620</v>
      </c>
      <c r="Y43" s="141">
        <f t="shared" si="16"/>
        <v>48849</v>
      </c>
      <c r="Z43" s="141">
        <f t="shared" si="17"/>
        <v>52119</v>
      </c>
    </row>
    <row r="44" spans="1:28" ht="12.75" customHeight="1">
      <c r="B44" s="13" t="s">
        <v>39</v>
      </c>
      <c r="C44" s="14">
        <f>SUM(C34+SUM(C36:C43))</f>
        <v>-927521</v>
      </c>
      <c r="D44" s="14">
        <f>SUM(D34+SUM(D36:D43))</f>
        <v>-34684</v>
      </c>
      <c r="E44" s="14">
        <f>SUM(E34+SUM(E36:E43))</f>
        <v>160916</v>
      </c>
      <c r="G44" s="14">
        <f t="shared" ref="G44:Q44" si="27">SUM(G34+SUM(G36:G43))</f>
        <v>80590</v>
      </c>
      <c r="H44" s="14">
        <f t="shared" si="27"/>
        <v>-85662</v>
      </c>
      <c r="I44" s="14">
        <f t="shared" si="27"/>
        <v>-5351</v>
      </c>
      <c r="J44" s="14">
        <f t="shared" si="27"/>
        <v>-33138</v>
      </c>
      <c r="K44" s="14">
        <f t="shared" si="27"/>
        <v>567339</v>
      </c>
      <c r="L44" s="14">
        <f t="shared" si="27"/>
        <v>-500563</v>
      </c>
      <c r="M44" s="14">
        <f t="shared" si="27"/>
        <v>47943</v>
      </c>
      <c r="N44" s="14">
        <f t="shared" si="27"/>
        <v>46197</v>
      </c>
      <c r="O44" s="14">
        <f t="shared" si="27"/>
        <v>73635</v>
      </c>
      <c r="P44" s="14">
        <f t="shared" si="27"/>
        <v>98333</v>
      </c>
      <c r="Q44" s="14">
        <f t="shared" si="27"/>
        <v>177593</v>
      </c>
      <c r="S44" s="14">
        <f t="shared" ref="S44:Z44" si="28">SUM(S34+SUM(S36:S43))</f>
        <v>-43561</v>
      </c>
      <c r="T44" s="14">
        <f t="shared" si="28"/>
        <v>443188</v>
      </c>
      <c r="U44" s="14">
        <f t="shared" si="28"/>
        <v>28287</v>
      </c>
      <c r="V44" s="14">
        <f t="shared" si="28"/>
        <v>81581</v>
      </c>
      <c r="W44" s="14">
        <f t="shared" si="28"/>
        <v>160916</v>
      </c>
      <c r="X44" s="14">
        <f t="shared" si="28"/>
        <v>-332788</v>
      </c>
      <c r="Y44" s="14">
        <f t="shared" si="28"/>
        <v>266108</v>
      </c>
      <c r="Z44" s="14">
        <f t="shared" si="28"/>
        <v>395758</v>
      </c>
    </row>
    <row r="45" spans="1:28" ht="5.0999999999999996" customHeight="1"/>
    <row r="46" spans="1:28" ht="12.75" customHeight="1">
      <c r="A46" s="5"/>
      <c r="B46" s="33" t="s">
        <v>40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</row>
    <row r="47" spans="1:28" ht="5.0999999999999996" customHeight="1"/>
    <row r="48" spans="1:28" ht="12.75" customHeight="1">
      <c r="B48" s="8" t="s">
        <v>41</v>
      </c>
      <c r="C48" s="94">
        <f>'Historical Financials'!C42</f>
        <v>435860</v>
      </c>
      <c r="D48" s="94">
        <f>'Historical Financials'!D42</f>
        <v>401176</v>
      </c>
      <c r="E48" s="94">
        <f>'Historical Financials'!E42</f>
        <v>562092</v>
      </c>
      <c r="F48" s="32"/>
      <c r="G48" s="94">
        <f>'Historical Financials'!G42</f>
        <v>525327</v>
      </c>
      <c r="H48" s="94">
        <f>'Historical Financials'!H42</f>
        <v>439665</v>
      </c>
      <c r="I48" s="94">
        <f>'Historical Financials'!I42</f>
        <v>434314</v>
      </c>
      <c r="J48" s="94">
        <f>'Historical Financials'!J42</f>
        <v>401176</v>
      </c>
      <c r="K48" s="94">
        <f>'Historical Financials'!K42</f>
        <v>968515</v>
      </c>
      <c r="L48" s="94">
        <f>'Historical Financials'!L42</f>
        <v>467952</v>
      </c>
      <c r="M48" s="94">
        <f>'Historical Financials'!M42</f>
        <v>515895</v>
      </c>
      <c r="N48" s="94">
        <f>'Historical Financials'!N42</f>
        <v>562092</v>
      </c>
      <c r="O48" s="94">
        <f>'Historical Financials'!O42</f>
        <v>635727</v>
      </c>
      <c r="P48" s="94">
        <f>'Historical Financials'!P42</f>
        <v>734060</v>
      </c>
      <c r="Q48" s="94">
        <f>'Historical Financials'!Q42</f>
        <v>911653</v>
      </c>
      <c r="S48" s="10">
        <f t="shared" ref="S48:Y50" si="29">J48</f>
        <v>401176</v>
      </c>
      <c r="T48" s="10">
        <f t="shared" si="29"/>
        <v>968515</v>
      </c>
      <c r="U48" s="10">
        <f t="shared" si="29"/>
        <v>467952</v>
      </c>
      <c r="V48" s="10">
        <f t="shared" si="29"/>
        <v>515895</v>
      </c>
      <c r="W48" s="10">
        <f t="shared" si="29"/>
        <v>562092</v>
      </c>
      <c r="X48" s="10">
        <f t="shared" si="29"/>
        <v>635727</v>
      </c>
      <c r="Y48" s="10">
        <f t="shared" si="29"/>
        <v>734060</v>
      </c>
      <c r="Z48" s="10">
        <f>Q48</f>
        <v>911653</v>
      </c>
    </row>
    <row r="49" spans="2:26" ht="12.75" customHeight="1">
      <c r="B49" s="8" t="s">
        <v>119</v>
      </c>
      <c r="C49" s="94">
        <f>'Historical Financials'!C43</f>
        <v>0</v>
      </c>
      <c r="D49" s="94">
        <f>'Historical Financials'!D43</f>
        <v>811946</v>
      </c>
      <c r="E49" s="94">
        <f>'Historical Financials'!E43</f>
        <v>1278717</v>
      </c>
      <c r="F49" s="32"/>
      <c r="G49" s="94">
        <f>'Historical Financials'!G43</f>
        <v>0</v>
      </c>
      <c r="H49" s="94">
        <f>'Historical Financials'!H43</f>
        <v>0</v>
      </c>
      <c r="I49" s="94">
        <f>'Historical Financials'!I43</f>
        <v>0</v>
      </c>
      <c r="J49" s="94">
        <f>'Historical Financials'!J43</f>
        <v>811946</v>
      </c>
      <c r="K49" s="94">
        <f>'Historical Financials'!K43</f>
        <v>701835</v>
      </c>
      <c r="L49" s="94">
        <f>'Historical Financials'!L43</f>
        <v>1231099</v>
      </c>
      <c r="M49" s="94">
        <f>'Historical Financials'!M43</f>
        <v>1229072</v>
      </c>
      <c r="N49" s="94">
        <f>'Historical Financials'!N43</f>
        <v>1278717</v>
      </c>
      <c r="O49" s="94">
        <f>'Historical Financials'!O43</f>
        <v>1315415</v>
      </c>
      <c r="P49" s="94">
        <f>'Historical Financials'!P43</f>
        <v>1325881</v>
      </c>
      <c r="Q49" s="94">
        <f>'Historical Financials'!Q43</f>
        <v>1314170</v>
      </c>
      <c r="S49" s="10">
        <f t="shared" si="29"/>
        <v>811946</v>
      </c>
      <c r="T49" s="10">
        <f t="shared" si="29"/>
        <v>701835</v>
      </c>
      <c r="U49" s="10">
        <f t="shared" si="29"/>
        <v>1231099</v>
      </c>
      <c r="V49" s="10">
        <f t="shared" si="29"/>
        <v>1229072</v>
      </c>
      <c r="W49" s="10">
        <f t="shared" si="29"/>
        <v>1278717</v>
      </c>
      <c r="X49" s="10">
        <f t="shared" si="29"/>
        <v>1315415</v>
      </c>
      <c r="Y49" s="10">
        <f t="shared" si="29"/>
        <v>1325881</v>
      </c>
      <c r="Z49" s="10">
        <f>Q49</f>
        <v>1314170</v>
      </c>
    </row>
    <row r="50" spans="2:26" ht="12.75" customHeight="1">
      <c r="B50" s="31" t="s">
        <v>187</v>
      </c>
      <c r="C50" s="81">
        <f t="shared" ref="C50:E50" si="30">750000-C65</f>
        <v>745100</v>
      </c>
      <c r="D50" s="81">
        <f t="shared" si="30"/>
        <v>745100</v>
      </c>
      <c r="E50" s="81">
        <f t="shared" si="30"/>
        <v>745100</v>
      </c>
      <c r="F50" s="94"/>
      <c r="G50" s="81">
        <f t="shared" ref="G50:I50" si="31">750000-G65</f>
        <v>745100</v>
      </c>
      <c r="H50" s="81">
        <f t="shared" si="31"/>
        <v>745100</v>
      </c>
      <c r="I50" s="81">
        <f t="shared" si="31"/>
        <v>745100</v>
      </c>
      <c r="J50" s="10">
        <f>D50</f>
        <v>745100</v>
      </c>
      <c r="K50" s="81">
        <f t="shared" ref="K50:M50" si="32">750000-K65</f>
        <v>745100</v>
      </c>
      <c r="L50" s="81">
        <f t="shared" si="32"/>
        <v>745100</v>
      </c>
      <c r="M50" s="81">
        <f t="shared" si="32"/>
        <v>745000</v>
      </c>
      <c r="N50" s="10">
        <f>E50</f>
        <v>745100</v>
      </c>
      <c r="O50" s="81">
        <f>750000-O65</f>
        <v>745100</v>
      </c>
      <c r="P50" s="81">
        <f>750000-P65</f>
        <v>744800</v>
      </c>
      <c r="Q50" s="81">
        <f>500000-Q65</f>
        <v>494600</v>
      </c>
      <c r="S50" s="10">
        <f t="shared" si="29"/>
        <v>745100</v>
      </c>
      <c r="T50" s="10">
        <f t="shared" si="29"/>
        <v>745100</v>
      </c>
      <c r="U50" s="10">
        <f t="shared" si="29"/>
        <v>745100</v>
      </c>
      <c r="V50" s="10">
        <f t="shared" si="29"/>
        <v>745000</v>
      </c>
      <c r="W50" s="10">
        <f t="shared" si="29"/>
        <v>745100</v>
      </c>
      <c r="X50" s="10">
        <f t="shared" si="29"/>
        <v>745100</v>
      </c>
      <c r="Y50" s="10">
        <f t="shared" si="29"/>
        <v>744800</v>
      </c>
      <c r="Z50" s="10">
        <f>Q50</f>
        <v>494600</v>
      </c>
    </row>
    <row r="51" spans="2:26" ht="12.75" customHeight="1">
      <c r="B51" s="13" t="s">
        <v>42</v>
      </c>
      <c r="C51" s="14">
        <f>SUM(C48:C50)</f>
        <v>1180960</v>
      </c>
      <c r="D51" s="14">
        <f>SUM(D48:D50)</f>
        <v>1958222</v>
      </c>
      <c r="E51" s="14">
        <f>SUM(E48:E50)</f>
        <v>2585909</v>
      </c>
      <c r="F51" s="32"/>
      <c r="G51" s="14">
        <f t="shared" ref="G51:Q51" si="33">SUM(G48:G50)</f>
        <v>1270427</v>
      </c>
      <c r="H51" s="14">
        <f t="shared" si="33"/>
        <v>1184765</v>
      </c>
      <c r="I51" s="14">
        <f t="shared" si="33"/>
        <v>1179414</v>
      </c>
      <c r="J51" s="14">
        <f t="shared" si="33"/>
        <v>1958222</v>
      </c>
      <c r="K51" s="14">
        <f t="shared" si="33"/>
        <v>2415450</v>
      </c>
      <c r="L51" s="14">
        <f t="shared" si="33"/>
        <v>2444151</v>
      </c>
      <c r="M51" s="14">
        <f t="shared" si="33"/>
        <v>2489967</v>
      </c>
      <c r="N51" s="14">
        <f t="shared" si="33"/>
        <v>2585909</v>
      </c>
      <c r="O51" s="14">
        <f t="shared" si="33"/>
        <v>2696242</v>
      </c>
      <c r="P51" s="14">
        <f t="shared" si="33"/>
        <v>2804741</v>
      </c>
      <c r="Q51" s="14">
        <f t="shared" si="33"/>
        <v>2720423</v>
      </c>
      <c r="S51" s="14">
        <f t="shared" ref="S51:U51" si="34">SUM(S48:S48)</f>
        <v>401176</v>
      </c>
      <c r="T51" s="14">
        <f t="shared" si="34"/>
        <v>968515</v>
      </c>
      <c r="U51" s="14">
        <f t="shared" si="34"/>
        <v>467952</v>
      </c>
      <c r="V51" s="14">
        <f>SUM(V48:V50)</f>
        <v>2489967</v>
      </c>
      <c r="W51" s="14">
        <f>SUM(W48:W50)</f>
        <v>2585909</v>
      </c>
      <c r="X51" s="14">
        <f>SUM(X48:X50)</f>
        <v>2696242</v>
      </c>
      <c r="Y51" s="14">
        <f>SUM(Y48:Y50)</f>
        <v>2804741</v>
      </c>
      <c r="Z51" s="14">
        <f>SUM(Z48:Z50)</f>
        <v>2720423</v>
      </c>
    </row>
    <row r="52" spans="2:26" ht="12.75" customHeight="1">
      <c r="B52" s="148" t="s">
        <v>186</v>
      </c>
      <c r="C52" s="147">
        <f t="shared" ref="C52:E52" si="35">100000-C65</f>
        <v>95100</v>
      </c>
      <c r="D52" s="147">
        <f t="shared" si="35"/>
        <v>95100</v>
      </c>
      <c r="E52" s="147">
        <f t="shared" si="35"/>
        <v>95100</v>
      </c>
      <c r="F52" s="32"/>
      <c r="G52" s="147">
        <f>100000-G65</f>
        <v>95100</v>
      </c>
      <c r="H52" s="147">
        <f>100000-H65</f>
        <v>95100</v>
      </c>
      <c r="I52" s="147">
        <f>100000-I65</f>
        <v>95100</v>
      </c>
      <c r="J52" s="171">
        <f>D52</f>
        <v>95100</v>
      </c>
      <c r="K52" s="147">
        <f>100000-K65</f>
        <v>95100</v>
      </c>
      <c r="L52" s="147">
        <f>100000-L65</f>
        <v>95100</v>
      </c>
      <c r="M52" s="147">
        <f>100000-M65</f>
        <v>95000</v>
      </c>
      <c r="N52" s="171">
        <f>E52</f>
        <v>95100</v>
      </c>
      <c r="O52" s="147">
        <f>100000-O65</f>
        <v>95100</v>
      </c>
      <c r="P52" s="147">
        <f>100000-P65</f>
        <v>94800</v>
      </c>
      <c r="Q52" s="147">
        <f>100000-Q65</f>
        <v>94600</v>
      </c>
      <c r="R52" s="171"/>
      <c r="S52" s="171">
        <f t="shared" ref="S52:Y52" si="36">J52</f>
        <v>95100</v>
      </c>
      <c r="T52" s="171">
        <f t="shared" si="36"/>
        <v>95100</v>
      </c>
      <c r="U52" s="171">
        <f t="shared" si="36"/>
        <v>95100</v>
      </c>
      <c r="V52" s="171">
        <f t="shared" si="36"/>
        <v>95000</v>
      </c>
      <c r="W52" s="171">
        <f t="shared" si="36"/>
        <v>95100</v>
      </c>
      <c r="X52" s="171">
        <f t="shared" si="36"/>
        <v>95100</v>
      </c>
      <c r="Y52" s="171">
        <f t="shared" si="36"/>
        <v>94800</v>
      </c>
      <c r="Z52" s="171">
        <f>Q52</f>
        <v>94600</v>
      </c>
    </row>
    <row r="53" spans="2:26" ht="5.0999999999999996" customHeight="1"/>
    <row r="54" spans="2:26" ht="12.75" customHeight="1">
      <c r="B54" s="35" t="s">
        <v>43</v>
      </c>
    </row>
    <row r="55" spans="2:26" ht="12.75" customHeight="1">
      <c r="B55" s="8" t="s">
        <v>106</v>
      </c>
      <c r="C55" s="94">
        <f>'Historical Financials'!C44</f>
        <v>0</v>
      </c>
      <c r="D55" s="94">
        <f>'Historical Financials'!D44</f>
        <v>245279</v>
      </c>
      <c r="E55" s="94">
        <f>'Historical Financials'!E44</f>
        <v>349534</v>
      </c>
      <c r="G55" s="94">
        <f>'Historical Financials'!G44</f>
        <v>0</v>
      </c>
      <c r="H55" s="94">
        <f>'Historical Financials'!H44</f>
        <v>0</v>
      </c>
      <c r="I55" s="94">
        <f>'Historical Financials'!I44</f>
        <v>0</v>
      </c>
      <c r="J55" s="94">
        <f>'Historical Financials'!J44</f>
        <v>245279</v>
      </c>
      <c r="K55" s="94">
        <f>'Historical Financials'!K44</f>
        <v>215307</v>
      </c>
      <c r="L55" s="94">
        <f>'Historical Financials'!L44</f>
        <v>240093</v>
      </c>
      <c r="M55" s="94">
        <f>'Historical Financials'!M44</f>
        <v>283890</v>
      </c>
      <c r="N55" s="94">
        <f>'Historical Financials'!N44</f>
        <v>349534</v>
      </c>
      <c r="O55" s="94">
        <f>'Historical Financials'!O44</f>
        <v>326131</v>
      </c>
      <c r="P55" s="94">
        <f>'Historical Financials'!P44</f>
        <v>407228</v>
      </c>
      <c r="Q55" s="94">
        <f>'Historical Financials'!Q44</f>
        <v>487634</v>
      </c>
      <c r="R55" s="10"/>
      <c r="S55" s="10">
        <f t="shared" ref="S55:Y59" si="37">J55</f>
        <v>245279</v>
      </c>
      <c r="T55" s="10">
        <f t="shared" si="37"/>
        <v>215307</v>
      </c>
      <c r="U55" s="10">
        <f t="shared" si="37"/>
        <v>240093</v>
      </c>
      <c r="V55" s="10">
        <f t="shared" si="37"/>
        <v>283890</v>
      </c>
      <c r="W55" s="10">
        <f t="shared" si="37"/>
        <v>349534</v>
      </c>
      <c r="X55" s="10">
        <f t="shared" si="37"/>
        <v>326131</v>
      </c>
      <c r="Y55" s="10">
        <f t="shared" si="37"/>
        <v>407228</v>
      </c>
      <c r="Z55" s="10">
        <f t="shared" ref="Z55:Z59" si="38">Q55</f>
        <v>487634</v>
      </c>
    </row>
    <row r="56" spans="2:26" ht="12.75" customHeight="1">
      <c r="B56" s="8" t="s">
        <v>97</v>
      </c>
      <c r="C56" s="94">
        <f>'Historical Financials'!C49</f>
        <v>0</v>
      </c>
      <c r="D56" s="94">
        <f>'Historical Financials'!D49</f>
        <v>14946</v>
      </c>
      <c r="E56" s="94">
        <f>'Historical Financials'!E49</f>
        <v>12652</v>
      </c>
      <c r="G56" s="94">
        <f>'Historical Financials'!G49</f>
        <v>0</v>
      </c>
      <c r="H56" s="94">
        <f>'Historical Financials'!H49</f>
        <v>0</v>
      </c>
      <c r="I56" s="94">
        <f>'Historical Financials'!I49</f>
        <v>0</v>
      </c>
      <c r="J56" s="94">
        <f>'Historical Financials'!J49</f>
        <v>14946</v>
      </c>
      <c r="K56" s="94">
        <f>'Historical Financials'!K49</f>
        <v>14385</v>
      </c>
      <c r="L56" s="94">
        <f>'Historical Financials'!L49</f>
        <v>14168</v>
      </c>
      <c r="M56" s="94">
        <f>'Historical Financials'!M49</f>
        <v>13775</v>
      </c>
      <c r="N56" s="94">
        <f>'Historical Financials'!N49</f>
        <v>12652</v>
      </c>
      <c r="O56" s="94">
        <f>'Historical Financials'!O49</f>
        <v>11607</v>
      </c>
      <c r="P56" s="94">
        <f>'Historical Financials'!P49</f>
        <v>11394</v>
      </c>
      <c r="Q56" s="94">
        <f>'Historical Financials'!Q49</f>
        <v>12936</v>
      </c>
      <c r="R56" s="10"/>
      <c r="S56" s="10">
        <f t="shared" si="37"/>
        <v>14946</v>
      </c>
      <c r="T56" s="10">
        <f t="shared" si="37"/>
        <v>14385</v>
      </c>
      <c r="U56" s="10">
        <f t="shared" si="37"/>
        <v>14168</v>
      </c>
      <c r="V56" s="10">
        <f t="shared" si="37"/>
        <v>13775</v>
      </c>
      <c r="W56" s="10">
        <f t="shared" si="37"/>
        <v>12652</v>
      </c>
      <c r="X56" s="10">
        <f t="shared" si="37"/>
        <v>11607</v>
      </c>
      <c r="Y56" s="10">
        <f t="shared" si="37"/>
        <v>11394</v>
      </c>
      <c r="Z56" s="10">
        <f t="shared" si="38"/>
        <v>12936</v>
      </c>
    </row>
    <row r="57" spans="2:26" ht="12.75" customHeight="1">
      <c r="B57" s="8" t="s">
        <v>44</v>
      </c>
      <c r="C57" s="94">
        <f>'Historical Financials'!C57</f>
        <v>0</v>
      </c>
      <c r="D57" s="94">
        <f>'Historical Financials'!D57</f>
        <v>46514</v>
      </c>
      <c r="E57" s="94">
        <f>'Historical Financials'!E57</f>
        <v>45423</v>
      </c>
      <c r="F57" s="94"/>
      <c r="G57" s="94">
        <f>'Historical Financials'!G57</f>
        <v>0</v>
      </c>
      <c r="H57" s="94">
        <f>'Historical Financials'!H57</f>
        <v>0</v>
      </c>
      <c r="I57" s="94">
        <f>'Historical Financials'!I57</f>
        <v>0</v>
      </c>
      <c r="J57" s="94">
        <f>'Historical Financials'!J57</f>
        <v>46514</v>
      </c>
      <c r="K57" s="94">
        <f>'Historical Financials'!K57</f>
        <v>45378</v>
      </c>
      <c r="L57" s="94">
        <f>'Historical Financials'!L57</f>
        <v>64328.999999999993</v>
      </c>
      <c r="M57" s="94">
        <f>'Historical Financials'!M57</f>
        <v>62042</v>
      </c>
      <c r="N57" s="94">
        <f>'Historical Financials'!N57</f>
        <v>45423</v>
      </c>
      <c r="O57" s="94">
        <f>'Historical Financials'!O57</f>
        <v>43870</v>
      </c>
      <c r="P57" s="94">
        <f>'Historical Financials'!P57</f>
        <v>63942</v>
      </c>
      <c r="Q57" s="94">
        <f>'Historical Financials'!Q57</f>
        <v>73053</v>
      </c>
      <c r="S57" s="10">
        <f t="shared" si="37"/>
        <v>46514</v>
      </c>
      <c r="T57" s="10">
        <f t="shared" si="37"/>
        <v>45378</v>
      </c>
      <c r="U57" s="10">
        <f t="shared" si="37"/>
        <v>64328.999999999993</v>
      </c>
      <c r="V57" s="10">
        <f t="shared" si="37"/>
        <v>62042</v>
      </c>
      <c r="W57" s="10">
        <f t="shared" si="37"/>
        <v>45423</v>
      </c>
      <c r="X57" s="10">
        <f t="shared" si="37"/>
        <v>43870</v>
      </c>
      <c r="Y57" s="10">
        <f t="shared" si="37"/>
        <v>63942</v>
      </c>
      <c r="Z57" s="10">
        <f t="shared" si="38"/>
        <v>73053</v>
      </c>
    </row>
    <row r="58" spans="2:26" ht="12.75" customHeight="1">
      <c r="B58" s="8" t="s">
        <v>45</v>
      </c>
      <c r="C58" s="94">
        <f>'Historical Financials'!C60</f>
        <v>0</v>
      </c>
      <c r="D58" s="94">
        <f>'Historical Financials'!D60</f>
        <v>133570</v>
      </c>
      <c r="E58" s="94">
        <f>'Historical Financials'!E60</f>
        <v>176024</v>
      </c>
      <c r="F58" s="94"/>
      <c r="G58" s="94">
        <f>'Historical Financials'!G60</f>
        <v>0</v>
      </c>
      <c r="H58" s="94">
        <f>'Historical Financials'!H60</f>
        <v>0</v>
      </c>
      <c r="I58" s="94">
        <f>'Historical Financials'!I60</f>
        <v>0</v>
      </c>
      <c r="J58" s="94">
        <f>'Historical Financials'!J60</f>
        <v>133570</v>
      </c>
      <c r="K58" s="94">
        <f>'Historical Financials'!K60</f>
        <v>156485</v>
      </c>
      <c r="L58" s="94">
        <f>'Historical Financials'!L60</f>
        <v>159515</v>
      </c>
      <c r="M58" s="94">
        <f>'Historical Financials'!M60</f>
        <v>172284</v>
      </c>
      <c r="N58" s="94">
        <f>'Historical Financials'!N60</f>
        <v>176024</v>
      </c>
      <c r="O58" s="94">
        <f>'Historical Financials'!O60</f>
        <v>186821</v>
      </c>
      <c r="P58" s="94">
        <f>'Historical Financials'!P60</f>
        <v>210831</v>
      </c>
      <c r="Q58" s="94">
        <f>'Historical Financials'!Q60</f>
        <v>228325</v>
      </c>
      <c r="S58" s="10">
        <f t="shared" si="37"/>
        <v>133570</v>
      </c>
      <c r="T58" s="10">
        <f t="shared" si="37"/>
        <v>156485</v>
      </c>
      <c r="U58" s="10">
        <f t="shared" si="37"/>
        <v>159515</v>
      </c>
      <c r="V58" s="10">
        <f t="shared" si="37"/>
        <v>172284</v>
      </c>
      <c r="W58" s="10">
        <f t="shared" si="37"/>
        <v>176024</v>
      </c>
      <c r="X58" s="10">
        <f t="shared" si="37"/>
        <v>186821</v>
      </c>
      <c r="Y58" s="10">
        <f t="shared" si="37"/>
        <v>210831</v>
      </c>
      <c r="Z58" s="10">
        <f t="shared" si="38"/>
        <v>228325</v>
      </c>
    </row>
    <row r="59" spans="2:26" ht="12.75" customHeight="1">
      <c r="B59" s="8" t="s">
        <v>15</v>
      </c>
      <c r="C59" s="94">
        <f>'Historical Financials'!C65</f>
        <v>0</v>
      </c>
      <c r="D59" s="94">
        <f>'Historical Financials'!D65</f>
        <v>155897</v>
      </c>
      <c r="E59" s="94">
        <f>'Historical Financials'!E65</f>
        <v>205846</v>
      </c>
      <c r="F59" s="94"/>
      <c r="G59" s="94">
        <f>'Historical Financials'!G65</f>
        <v>0</v>
      </c>
      <c r="H59" s="94">
        <f>'Historical Financials'!H65</f>
        <v>0</v>
      </c>
      <c r="I59" s="94">
        <f>'Historical Financials'!I65</f>
        <v>0</v>
      </c>
      <c r="J59" s="94">
        <f>'Historical Financials'!J65</f>
        <v>155897</v>
      </c>
      <c r="K59" s="94">
        <f>'Historical Financials'!K65</f>
        <v>177596</v>
      </c>
      <c r="L59" s="94">
        <f>'Historical Financials'!L65</f>
        <v>182527</v>
      </c>
      <c r="M59" s="94">
        <f>'Historical Financials'!M65</f>
        <v>194100</v>
      </c>
      <c r="N59" s="94">
        <f>'Historical Financials'!N65</f>
        <v>205846</v>
      </c>
      <c r="O59" s="94">
        <f>'Historical Financials'!O65</f>
        <v>219903</v>
      </c>
      <c r="P59" s="94">
        <f>'Historical Financials'!P65</f>
        <v>245222</v>
      </c>
      <c r="Q59" s="94">
        <f>'Historical Financials'!Q65</f>
        <v>265713</v>
      </c>
      <c r="S59" s="10">
        <f t="shared" si="37"/>
        <v>155897</v>
      </c>
      <c r="T59" s="10">
        <f t="shared" si="37"/>
        <v>177596</v>
      </c>
      <c r="U59" s="10">
        <f t="shared" si="37"/>
        <v>182527</v>
      </c>
      <c r="V59" s="10">
        <f t="shared" si="37"/>
        <v>194100</v>
      </c>
      <c r="W59" s="10">
        <f t="shared" si="37"/>
        <v>205846</v>
      </c>
      <c r="X59" s="10">
        <f t="shared" si="37"/>
        <v>219903</v>
      </c>
      <c r="Y59" s="10">
        <f t="shared" si="37"/>
        <v>245222</v>
      </c>
      <c r="Z59" s="10">
        <f t="shared" si="38"/>
        <v>265713</v>
      </c>
    </row>
    <row r="60" spans="2:26" ht="5.0999999999999996" customHeight="1">
      <c r="E60" s="10"/>
    </row>
    <row r="61" spans="2:26">
      <c r="B61" s="35" t="s">
        <v>94</v>
      </c>
      <c r="E61" s="10"/>
    </row>
    <row r="62" spans="2:26">
      <c r="B62" s="8" t="s">
        <v>95</v>
      </c>
      <c r="C62" s="81">
        <v>0</v>
      </c>
      <c r="D62" s="81">
        <v>0</v>
      </c>
      <c r="E62" s="81">
        <v>0</v>
      </c>
      <c r="G62" s="81">
        <v>0</v>
      </c>
      <c r="H62" s="81">
        <v>0</v>
      </c>
      <c r="I62" s="81">
        <v>0</v>
      </c>
      <c r="J62" s="81">
        <v>0</v>
      </c>
      <c r="K62" s="81">
        <v>0</v>
      </c>
      <c r="L62" s="81">
        <v>0</v>
      </c>
      <c r="M62" s="81">
        <v>0</v>
      </c>
      <c r="N62" s="81">
        <v>0</v>
      </c>
      <c r="O62" s="81">
        <v>0</v>
      </c>
      <c r="P62" s="81">
        <v>0</v>
      </c>
      <c r="Q62" s="81">
        <v>0</v>
      </c>
      <c r="S62" s="10">
        <f t="shared" ref="S62:Y63" si="39">J62</f>
        <v>0</v>
      </c>
      <c r="T62" s="10">
        <f t="shared" si="39"/>
        <v>0</v>
      </c>
      <c r="U62" s="10">
        <f t="shared" si="39"/>
        <v>0</v>
      </c>
      <c r="V62" s="10">
        <f t="shared" si="39"/>
        <v>0</v>
      </c>
      <c r="W62" s="10">
        <f t="shared" si="39"/>
        <v>0</v>
      </c>
      <c r="X62" s="10">
        <f t="shared" si="39"/>
        <v>0</v>
      </c>
      <c r="Y62" s="10">
        <f t="shared" si="39"/>
        <v>0</v>
      </c>
      <c r="Z62" s="10">
        <f>Q62</f>
        <v>0</v>
      </c>
    </row>
    <row r="63" spans="2:26">
      <c r="B63" s="8" t="s">
        <v>96</v>
      </c>
      <c r="C63" s="81">
        <v>0</v>
      </c>
      <c r="D63" s="81">
        <v>0</v>
      </c>
      <c r="E63" s="81">
        <v>0</v>
      </c>
      <c r="G63" s="81">
        <v>0</v>
      </c>
      <c r="H63" s="81">
        <v>0</v>
      </c>
      <c r="I63" s="81">
        <v>0</v>
      </c>
      <c r="J63" s="81">
        <v>0</v>
      </c>
      <c r="K63" s="81">
        <v>0</v>
      </c>
      <c r="L63" s="81">
        <v>0</v>
      </c>
      <c r="M63" s="81">
        <v>0</v>
      </c>
      <c r="N63" s="81">
        <v>0</v>
      </c>
      <c r="O63" s="81">
        <v>0</v>
      </c>
      <c r="P63" s="81">
        <v>0</v>
      </c>
      <c r="Q63" s="81">
        <v>0</v>
      </c>
      <c r="S63" s="10">
        <f t="shared" si="39"/>
        <v>0</v>
      </c>
      <c r="T63" s="10">
        <f t="shared" si="39"/>
        <v>0</v>
      </c>
      <c r="U63" s="10">
        <f t="shared" si="39"/>
        <v>0</v>
      </c>
      <c r="V63" s="10">
        <f t="shared" si="39"/>
        <v>0</v>
      </c>
      <c r="W63" s="10">
        <f t="shared" si="39"/>
        <v>0</v>
      </c>
      <c r="X63" s="10">
        <f t="shared" si="39"/>
        <v>0</v>
      </c>
      <c r="Y63" s="10">
        <f t="shared" si="39"/>
        <v>0</v>
      </c>
      <c r="Z63" s="10">
        <f>Q63</f>
        <v>0</v>
      </c>
    </row>
    <row r="64" spans="2:26">
      <c r="E64" s="10"/>
    </row>
    <row r="65" spans="1:26">
      <c r="B65" s="8" t="s">
        <v>185</v>
      </c>
      <c r="C65" s="81">
        <v>4900</v>
      </c>
      <c r="D65" s="81">
        <v>4900</v>
      </c>
      <c r="E65" s="81">
        <v>4900</v>
      </c>
      <c r="G65" s="81">
        <v>4900</v>
      </c>
      <c r="H65" s="81">
        <v>4900</v>
      </c>
      <c r="I65" s="81">
        <v>4900</v>
      </c>
      <c r="J65" s="10">
        <f>D65</f>
        <v>4900</v>
      </c>
      <c r="K65" s="81">
        <v>4900</v>
      </c>
      <c r="L65" s="81">
        <v>4900</v>
      </c>
      <c r="M65" s="81">
        <v>5000</v>
      </c>
      <c r="N65" s="10">
        <f>E65</f>
        <v>4900</v>
      </c>
      <c r="O65" s="81">
        <v>4900</v>
      </c>
      <c r="P65" s="81">
        <v>5200</v>
      </c>
      <c r="Q65" s="81">
        <v>5400</v>
      </c>
      <c r="S65" s="10">
        <f t="shared" ref="S65:Y65" si="40">J65</f>
        <v>4900</v>
      </c>
      <c r="T65" s="10">
        <f t="shared" si="40"/>
        <v>4900</v>
      </c>
      <c r="U65" s="10">
        <f t="shared" si="40"/>
        <v>4900</v>
      </c>
      <c r="V65" s="10">
        <f t="shared" si="40"/>
        <v>5000</v>
      </c>
      <c r="W65" s="10">
        <f t="shared" si="40"/>
        <v>4900</v>
      </c>
      <c r="X65" s="10">
        <f t="shared" si="40"/>
        <v>4900</v>
      </c>
      <c r="Y65" s="10">
        <f t="shared" si="40"/>
        <v>5200</v>
      </c>
      <c r="Z65" s="10">
        <f t="shared" ref="Z65" si="41">Q65</f>
        <v>5400</v>
      </c>
    </row>
    <row r="66" spans="1:26" ht="12.75" customHeight="1">
      <c r="B66" s="13" t="s">
        <v>21</v>
      </c>
      <c r="C66" s="14">
        <f>SUM(C65:C65)</f>
        <v>4900</v>
      </c>
      <c r="D66" s="14">
        <f>SUM(D65:D65)</f>
        <v>4900</v>
      </c>
      <c r="E66" s="14">
        <f>SUM(E65:E65)</f>
        <v>4900</v>
      </c>
      <c r="G66" s="14">
        <f>SUM(G65:G65)</f>
        <v>4900</v>
      </c>
      <c r="H66" s="14">
        <f>SUM(H65:H65)</f>
        <v>4900</v>
      </c>
      <c r="I66" s="14">
        <f>SUM(I65:I65)</f>
        <v>4900</v>
      </c>
      <c r="J66" s="14">
        <f>SUM(J65:J65)</f>
        <v>4900</v>
      </c>
      <c r="K66" s="14">
        <f>SUM(K65:K65)</f>
        <v>4900</v>
      </c>
      <c r="L66" s="14">
        <f>SUM(L65:L65)</f>
        <v>4900</v>
      </c>
      <c r="M66" s="14">
        <f>SUM(M65:M65)</f>
        <v>5000</v>
      </c>
      <c r="N66" s="14">
        <f>SUM(N65:N65)</f>
        <v>4900</v>
      </c>
      <c r="O66" s="14">
        <f>SUM(O65:O65)</f>
        <v>4900</v>
      </c>
      <c r="P66" s="14">
        <f>SUM(P65:P65)</f>
        <v>5200</v>
      </c>
      <c r="Q66" s="14">
        <f>SUM(Q65:Q65)</f>
        <v>5400</v>
      </c>
      <c r="S66" s="14" t="e">
        <f>SUM(#REF!)</f>
        <v>#REF!</v>
      </c>
      <c r="T66" s="14" t="e">
        <f>SUM(#REF!)</f>
        <v>#REF!</v>
      </c>
      <c r="U66" s="14" t="e">
        <f>SUM(#REF!)</f>
        <v>#REF!</v>
      </c>
      <c r="V66" s="14">
        <f>SUM(V65:V65)</f>
        <v>5000</v>
      </c>
      <c r="W66" s="14">
        <f>SUM(W65:W65)</f>
        <v>4900</v>
      </c>
      <c r="X66" s="14">
        <f>SUM(X65:X65)</f>
        <v>4900</v>
      </c>
      <c r="Y66" s="14">
        <f>SUM(Y65:Y65)</f>
        <v>5200</v>
      </c>
      <c r="Z66" s="14">
        <f>SUM(Z65:Z65)</f>
        <v>5400</v>
      </c>
    </row>
    <row r="67" spans="1:26" ht="5.0999999999999996" customHeight="1"/>
    <row r="68" spans="1:26" ht="12.75" customHeight="1">
      <c r="B68" s="8" t="s">
        <v>46</v>
      </c>
      <c r="C68" s="94">
        <f>'Historical Financials'!C75</f>
        <v>0</v>
      </c>
      <c r="D68" s="94">
        <f>'Historical Financials'!D75</f>
        <v>1440570</v>
      </c>
      <c r="E68" s="94">
        <f>'Historical Financials'!E75</f>
        <v>2130749</v>
      </c>
      <c r="G68" s="94">
        <f>'Historical Financials'!G75</f>
        <v>0</v>
      </c>
      <c r="H68" s="94">
        <f>'Historical Financials'!H75</f>
        <v>0</v>
      </c>
      <c r="I68" s="94">
        <f>'Historical Financials'!I75</f>
        <v>0</v>
      </c>
      <c r="J68" s="94">
        <f>'Historical Financials'!J75</f>
        <v>1440570</v>
      </c>
      <c r="K68" s="94">
        <f>'Historical Financials'!K75</f>
        <v>1838300</v>
      </c>
      <c r="L68" s="94">
        <f>'Historical Financials'!L75</f>
        <v>1893835</v>
      </c>
      <c r="M68" s="94">
        <f>'Historical Financials'!M75</f>
        <v>1977608</v>
      </c>
      <c r="N68" s="94">
        <f>'Historical Financials'!N75</f>
        <v>2130749</v>
      </c>
      <c r="O68" s="94">
        <f>'Historical Financials'!O75</f>
        <v>2217121</v>
      </c>
      <c r="P68" s="94">
        <f>'Historical Financials'!P75</f>
        <v>2386980</v>
      </c>
      <c r="Q68" s="94">
        <f>'Historical Financials'!Q75</f>
        <v>2610663</v>
      </c>
      <c r="S68" s="10">
        <f t="shared" ref="S68:Z68" si="42">J68</f>
        <v>1440570</v>
      </c>
      <c r="T68" s="10">
        <f t="shared" si="42"/>
        <v>1838300</v>
      </c>
      <c r="U68" s="10">
        <f t="shared" si="42"/>
        <v>1893835</v>
      </c>
      <c r="V68" s="141">
        <f t="shared" si="42"/>
        <v>1977608</v>
      </c>
      <c r="W68" s="141">
        <f t="shared" si="42"/>
        <v>2130749</v>
      </c>
      <c r="X68" s="141">
        <f t="shared" si="42"/>
        <v>2217121</v>
      </c>
      <c r="Y68" s="141">
        <f t="shared" si="42"/>
        <v>2386980</v>
      </c>
      <c r="Z68" s="141">
        <f t="shared" si="42"/>
        <v>2610663</v>
      </c>
    </row>
    <row r="69" spans="1:26" ht="12.75" customHeight="1">
      <c r="B69" s="13" t="s">
        <v>47</v>
      </c>
      <c r="C69" s="14">
        <f>SUM(C66:C68)</f>
        <v>4900</v>
      </c>
      <c r="D69" s="14">
        <f>SUM(D66:D68)</f>
        <v>1445470</v>
      </c>
      <c r="E69" s="14">
        <f>SUM(E66:E68)</f>
        <v>2135649</v>
      </c>
      <c r="G69" s="14">
        <f t="shared" ref="G69:L69" si="43">SUM(G66:G68)</f>
        <v>4900</v>
      </c>
      <c r="H69" s="14">
        <f t="shared" si="43"/>
        <v>4900</v>
      </c>
      <c r="I69" s="14">
        <f t="shared" si="43"/>
        <v>4900</v>
      </c>
      <c r="J69" s="14">
        <f t="shared" si="43"/>
        <v>1445470</v>
      </c>
      <c r="K69" s="14">
        <f t="shared" si="43"/>
        <v>1843200</v>
      </c>
      <c r="L69" s="14">
        <f t="shared" si="43"/>
        <v>1898735</v>
      </c>
      <c r="M69" s="14">
        <f>SUM(M66:M68)</f>
        <v>1982608</v>
      </c>
      <c r="N69" s="14">
        <f>SUM(N66:N68)</f>
        <v>2135649</v>
      </c>
      <c r="O69" s="14">
        <f>SUM(O66:O68)</f>
        <v>2222021</v>
      </c>
      <c r="P69" s="14">
        <f>SUM(P66:P68)</f>
        <v>2392180</v>
      </c>
      <c r="Q69" s="14">
        <f>SUM(Q66:Q68)</f>
        <v>2616063</v>
      </c>
      <c r="S69" s="14" t="e">
        <f t="shared" ref="S69:X69" si="44">SUM(S66:S68)</f>
        <v>#REF!</v>
      </c>
      <c r="T69" s="14" t="e">
        <f t="shared" si="44"/>
        <v>#REF!</v>
      </c>
      <c r="U69" s="14" t="e">
        <f t="shared" si="44"/>
        <v>#REF!</v>
      </c>
      <c r="V69" s="14">
        <f t="shared" si="44"/>
        <v>1982608</v>
      </c>
      <c r="W69" s="14">
        <f t="shared" si="44"/>
        <v>2135649</v>
      </c>
      <c r="X69" s="14">
        <f t="shared" si="44"/>
        <v>2222021</v>
      </c>
      <c r="Y69" s="14">
        <f>SUM(Y66:Y68)</f>
        <v>2392180</v>
      </c>
      <c r="Z69" s="14">
        <f>SUM(Z66:Z68)</f>
        <v>2616063</v>
      </c>
    </row>
    <row r="70" spans="1:26" ht="5.0999999999999996" customHeight="1"/>
    <row r="71" spans="1:26" ht="12.75" customHeight="1">
      <c r="A71" s="5"/>
      <c r="B71" s="33" t="s">
        <v>66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</row>
    <row r="72" spans="1:26" ht="5.0999999999999996" customHeight="1"/>
    <row r="73" spans="1:26" ht="12.75" customHeight="1">
      <c r="B73" s="31" t="s">
        <v>85</v>
      </c>
      <c r="C73" s="83">
        <f>C66/C27</f>
        <v>-4.5015250064307503E-2</v>
      </c>
      <c r="D73" s="83">
        <f>D66/D27</f>
        <v>-6.2134641964976353E-2</v>
      </c>
      <c r="E73" s="83">
        <f>E66/E27</f>
        <v>1.9086868623914677E-2</v>
      </c>
      <c r="G73" s="172"/>
      <c r="H73" s="172"/>
      <c r="I73" s="172"/>
      <c r="J73" s="83">
        <f t="shared" ref="G73:P73" si="45">SUM(J66/SUM(G27:J27))</f>
        <v>-6.2134641964976353E-2</v>
      </c>
      <c r="K73" s="83">
        <f t="shared" si="45"/>
        <v>-0.1527383809731617</v>
      </c>
      <c r="L73" s="83">
        <f t="shared" si="45"/>
        <v>0.11015939389851846</v>
      </c>
      <c r="M73" s="83">
        <f t="shared" si="45"/>
        <v>3.6505143574729677E-2</v>
      </c>
      <c r="N73" s="83">
        <f t="shared" si="45"/>
        <v>1.9086868623914677E-2</v>
      </c>
      <c r="O73" s="83">
        <f t="shared" si="45"/>
        <v>1.3686959679334088E-2</v>
      </c>
      <c r="P73" s="83">
        <f t="shared" si="45"/>
        <v>1.0794585269958046E-2</v>
      </c>
      <c r="Q73" s="83">
        <f>SUM(Q66/SUM(N27:Q27))</f>
        <v>8.6802485765999794E-3</v>
      </c>
      <c r="R73" s="83"/>
      <c r="S73" s="83" t="e">
        <f>S66/S27</f>
        <v>#REF!</v>
      </c>
      <c r="T73" s="83" t="e">
        <f>T66/T27</f>
        <v>#REF!</v>
      </c>
      <c r="U73" s="83" t="e">
        <f>U66/U27</f>
        <v>#REF!</v>
      </c>
      <c r="V73" s="83">
        <f>V66/V27</f>
        <v>3.6505143574729677E-2</v>
      </c>
      <c r="W73" s="83">
        <f>W66/W27</f>
        <v>1.9086868623914677E-2</v>
      </c>
      <c r="X73" s="83">
        <f>X66/X27</f>
        <v>1.3686959679334088E-2</v>
      </c>
      <c r="Y73" s="83">
        <f>Y66/Y27</f>
        <v>1.0794585269958046E-2</v>
      </c>
      <c r="Z73" s="83">
        <f>Z66/Z27</f>
        <v>8.6802485765999794E-3</v>
      </c>
    </row>
    <row r="74" spans="1:26" ht="12.75" customHeight="1">
      <c r="B74" s="31" t="s">
        <v>86</v>
      </c>
      <c r="C74" s="83">
        <f>SUM(C66-C48)/C27</f>
        <v>3.9591371770844819</v>
      </c>
      <c r="D74" s="83">
        <f>SUM(D66-D48)/D27</f>
        <v>5.0249933427169324</v>
      </c>
      <c r="E74" s="83">
        <f>SUM(E66-E48)/E27</f>
        <v>-2.1704184698563811</v>
      </c>
      <c r="G74" s="172"/>
      <c r="H74" s="172"/>
      <c r="I74" s="172"/>
      <c r="J74" s="83">
        <f t="shared" ref="G74:P74" si="46">SUM(J66-J48)/SUM(G27:J27)</f>
        <v>5.0249933427169324</v>
      </c>
      <c r="K74" s="83">
        <f t="shared" si="46"/>
        <v>30.03693775131698</v>
      </c>
      <c r="L74" s="83">
        <f t="shared" si="46"/>
        <v>-10.410107686427914</v>
      </c>
      <c r="M74" s="83">
        <f t="shared" si="46"/>
        <v>-3.7300590653223038</v>
      </c>
      <c r="N74" s="83">
        <f t="shared" si="46"/>
        <v>-2.1704184698563811</v>
      </c>
      <c r="O74" s="83">
        <f t="shared" si="46"/>
        <v>-1.7620619823745478</v>
      </c>
      <c r="P74" s="83">
        <f t="shared" si="46"/>
        <v>-1.513027196127235</v>
      </c>
      <c r="Q74" s="83">
        <f>SUM(Q66-Q48)/SUM(N27:Q27)</f>
        <v>-1.4567595024610112</v>
      </c>
      <c r="R74" s="83"/>
      <c r="S74" s="83" t="e">
        <f>SUM(S66-S48)/S27</f>
        <v>#REF!</v>
      </c>
      <c r="T74" s="83" t="e">
        <f>SUM(T66-T48)/T27</f>
        <v>#REF!</v>
      </c>
      <c r="U74" s="83" t="e">
        <f>SUM(U66-U48)/U27</f>
        <v>#REF!</v>
      </c>
      <c r="V74" s="83">
        <f>SUM(V66-V48)/V27</f>
        <v>-3.7300590653223038</v>
      </c>
      <c r="W74" s="83">
        <f>SUM(W66-W48)/W27</f>
        <v>-2.1704184698563811</v>
      </c>
      <c r="X74" s="83">
        <f>SUM(X66-X48)/X27</f>
        <v>-1.7620619823745478</v>
      </c>
      <c r="Y74" s="83">
        <f>SUM(Y66-Y48)/Y27</f>
        <v>-1.513027196127235</v>
      </c>
      <c r="Z74" s="83">
        <f>SUM(Z66-Z48)/Z27</f>
        <v>-1.4567595024610112</v>
      </c>
    </row>
    <row r="75" spans="1:26" ht="12.75" customHeight="1">
      <c r="B75" s="31" t="s">
        <v>87</v>
      </c>
      <c r="C75" s="83" t="e">
        <f>C27/-C32</f>
        <v>#DIV/0!</v>
      </c>
      <c r="D75" s="83" t="e">
        <f>D27/-D32</f>
        <v>#DIV/0!</v>
      </c>
      <c r="E75" s="83" t="e">
        <f>E27/-E32</f>
        <v>#DIV/0!</v>
      </c>
      <c r="G75" s="172"/>
      <c r="H75" s="172"/>
      <c r="I75" s="172"/>
      <c r="J75" s="83" t="e" cm="1">
        <f t="array" ref="J75">SUM(G27:J27)/SUM(-G32:J32)</f>
        <v>#DIV/0!</v>
      </c>
      <c r="K75" s="83" t="e" cm="1">
        <f t="array" ref="K75">SUM(H27:K27)/SUM(-H32:K32)</f>
        <v>#DIV/0!</v>
      </c>
      <c r="L75" s="83" t="e" cm="1">
        <f t="array" ref="L75">SUM(I27:L27)/SUM(-I32:L32)</f>
        <v>#DIV/0!</v>
      </c>
      <c r="M75" s="83" t="e" cm="1">
        <f t="array" ref="M75">SUM(J27:M27)/SUM(-J32:M32)</f>
        <v>#DIV/0!</v>
      </c>
      <c r="N75" s="83" t="e" cm="1">
        <f t="array" ref="N75">SUM(K27:N27)/SUM(-K32:N32)</f>
        <v>#DIV/0!</v>
      </c>
      <c r="O75" s="83" t="e" cm="1">
        <f t="array" ref="O75">SUM(L27:O27)/SUM(-L32:O32)</f>
        <v>#DIV/0!</v>
      </c>
      <c r="P75" s="83" t="e" cm="1">
        <f t="array" ref="P75">SUM(M27:P27)/SUM(-M32:P32)</f>
        <v>#DIV/0!</v>
      </c>
      <c r="Q75" s="83" t="e" cm="1">
        <f t="array" ref="Q75">SUM(N27:Q27)/SUM(-N32:Q32)</f>
        <v>#DIV/0!</v>
      </c>
      <c r="R75" s="83"/>
      <c r="S75" s="83" t="e">
        <f>S27/-S32</f>
        <v>#DIV/0!</v>
      </c>
      <c r="T75" s="83" t="e">
        <f>T27/-T32</f>
        <v>#DIV/0!</v>
      </c>
      <c r="U75" s="83" t="e">
        <f>U27/-U32</f>
        <v>#DIV/0!</v>
      </c>
      <c r="V75" s="83" t="e">
        <f>V27/-V32</f>
        <v>#DIV/0!</v>
      </c>
      <c r="W75" s="83" t="e">
        <f>W27/-W32</f>
        <v>#DIV/0!</v>
      </c>
      <c r="X75" s="83" t="e">
        <f>X27/-X32</f>
        <v>#DIV/0!</v>
      </c>
      <c r="Y75" s="83" t="e">
        <f>Y27/-Y32</f>
        <v>#DIV/0!</v>
      </c>
      <c r="Z75" s="83" t="e">
        <f>Z27/-Z32</f>
        <v>#DIV/0!</v>
      </c>
    </row>
    <row r="76" spans="1:26" ht="12.75" customHeight="1">
      <c r="B76" s="31" t="s">
        <v>88</v>
      </c>
      <c r="C76" s="83" cm="1">
        <f t="array" ref="C76">SUM(C27+C30)/SUM(-C31:C32)</f>
        <v>-185.02411575562701</v>
      </c>
      <c r="D76" s="83" cm="1">
        <f t="array" ref="D76">SUM(D27+D30)/SUM(-D31:D32)</f>
        <v>-23.30570902394107</v>
      </c>
      <c r="E76" s="83" cm="1">
        <f t="array" ref="E76">SUM(E27+E30)/SUM(-E31:E32)</f>
        <v>-269.03651987110635</v>
      </c>
      <c r="G76" s="172"/>
      <c r="H76" s="172"/>
      <c r="I76" s="172"/>
      <c r="J76" s="83" cm="1">
        <f t="array" ref="J76">SUM(G27:J27+G30:J30)/SUM(-G31:J32)</f>
        <v>-23.30570902394107</v>
      </c>
      <c r="K76" s="83" cm="1">
        <f t="array" ref="K76">SUM(H27:K27+H30:K30)/SUM(-H31:K32)</f>
        <v>-13.939584644430459</v>
      </c>
      <c r="L76" s="83" cm="1">
        <f t="array" ref="L76">SUM(I27:L27+I30:L30)/SUM(-I31:L32)</f>
        <v>20.76171875</v>
      </c>
      <c r="M76" s="83" cm="1">
        <f t="array" ref="M76">SUM(J27:M27+J30:M30)/SUM(-J31:M32)</f>
        <v>119.77264150943397</v>
      </c>
      <c r="N76" s="83" cm="1">
        <f t="array" ref="N76">SUM(K27:N27+K30:N30)/SUM(-K31:N32)</f>
        <v>-269.03651987110635</v>
      </c>
      <c r="O76" s="83" cm="1">
        <f t="array" ref="O76">SUM(L27:O27+L30:O30)/SUM(-L31:O32)</f>
        <v>-117.21213125621479</v>
      </c>
      <c r="P76" s="83" cm="1">
        <f t="array" ref="P76">SUM(M27:P27+M30:P30)/SUM(-M31:P32)</f>
        <v>-147.54444444444445</v>
      </c>
      <c r="Q76" s="83" cm="1">
        <f t="array" ref="Q76">SUM(N27:Q27+N30:Q30)/SUM(-N31:Q32)</f>
        <v>-116.66062322946176</v>
      </c>
      <c r="R76" s="83"/>
      <c r="S76" s="83" cm="1">
        <f t="array" ref="S76">SUM(S27+S30)/SUM(-S31:S32)</f>
        <v>-23.30570902394107</v>
      </c>
      <c r="T76" s="83" cm="1">
        <f t="array" ref="T76">SUM(T27+T30)/SUM(-T31:T32)</f>
        <v>-13.939584644430459</v>
      </c>
      <c r="U76" s="83" cm="1">
        <f t="array" ref="U76">SUM(U27+U30)/SUM(-U31:U32)</f>
        <v>20.76171875</v>
      </c>
      <c r="V76" s="83" cm="1">
        <f t="array" ref="V76">SUM(V27+V30)/SUM(-V31:V32)</f>
        <v>119.77264150943397</v>
      </c>
      <c r="W76" s="83" cm="1">
        <f t="array" ref="W76">SUM(W27+W30)/SUM(-W31:W32)</f>
        <v>-269.03651987110635</v>
      </c>
      <c r="X76" s="83" cm="1">
        <f t="array" ref="X76">SUM(X27+X30)/SUM(-X31:X32)</f>
        <v>-117.21213125621479</v>
      </c>
      <c r="Y76" s="83" cm="1">
        <f t="array" ref="Y76">SUM(Y27+Y30)/SUM(-Y31:Y32)</f>
        <v>-147.54444444444445</v>
      </c>
      <c r="Z76" s="83" cm="1">
        <f t="array" ref="Z76">SUM(Z27+Z30)/SUM(-Z31:Z32)</f>
        <v>-116.66062322946176</v>
      </c>
    </row>
    <row r="77" spans="1:26" ht="12.75" customHeight="1">
      <c r="B77" s="31" t="s">
        <v>89</v>
      </c>
      <c r="C77" s="83" cm="1">
        <f t="array" ref="C77">SUM(C27)/SUM(-C30:C32)</f>
        <v>-15.879212253829321</v>
      </c>
      <c r="D77" s="83" cm="1">
        <f t="array" ref="D77">SUM(D27)/SUM(-D30:D32)</f>
        <v>-5.8307578558225508</v>
      </c>
      <c r="E77" s="83" cm="1">
        <f t="array" ref="E77">SUM(E27)/SUM(-E30:E32)</f>
        <v>48.283054353959002</v>
      </c>
      <c r="G77" s="172"/>
      <c r="H77" s="172"/>
      <c r="I77" s="172"/>
      <c r="J77" s="83" cm="1">
        <f t="array" ref="J77">SUM(G27:J27)/SUM(-G30:J32)</f>
        <v>-5.8307578558225508</v>
      </c>
      <c r="K77" s="83" cm="1">
        <f t="array" ref="K77">SUM(H27:K27)/SUM(-H30:K32)</f>
        <v>-2.0835877118919268</v>
      </c>
      <c r="L77" s="83" cm="1">
        <f t="array" ref="L77">SUM(I27:L27)/SUM(-I30:L32)</f>
        <v>3.1486515183690806</v>
      </c>
      <c r="M77" s="83" cm="1">
        <f t="array" ref="M77">SUM(J27:M27)/SUM(-J30:M32)</f>
        <v>12.375045175280087</v>
      </c>
      <c r="N77" s="83" cm="1">
        <f t="array" ref="N77">SUM(K27:N27)/SUM(-K30:N32)</f>
        <v>48.283054353959002</v>
      </c>
      <c r="O77" s="83" cm="1">
        <f t="array" ref="O77">SUM(L27:O27)/SUM(-L30:O32)</f>
        <v>263.43267108167771</v>
      </c>
      <c r="P77" s="83" cm="1">
        <f t="array" ref="P77">SUM(M27:P27)/SUM(-M30:P32)</f>
        <v>1097.3189066059226</v>
      </c>
      <c r="Q77" s="83" cm="1">
        <f t="array" ref="Q77">SUM(N27:Q27)/SUM(-N30:Q32)</f>
        <v>-682.87815587266743</v>
      </c>
      <c r="R77" s="83"/>
      <c r="S77" s="83" cm="1">
        <f t="array" ref="S77">SUM(S27)/SUM(-S30:S32)</f>
        <v>-5.8307578558225508</v>
      </c>
      <c r="T77" s="83" cm="1">
        <f t="array" ref="T77">SUM(T27)/SUM(-T30:T32)</f>
        <v>-2.0835877118919268</v>
      </c>
      <c r="U77" s="83" cm="1">
        <f t="array" ref="U77">SUM(U27)/SUM(-U30:U32)</f>
        <v>3.1486515183690806</v>
      </c>
      <c r="V77" s="83" cm="1">
        <f t="array" ref="V77">SUM(V27)/SUM(-V30:V32)</f>
        <v>12.375045175280087</v>
      </c>
      <c r="W77" s="83" cm="1">
        <f t="array" ref="W77">SUM(W27)/SUM(-W30:W32)</f>
        <v>48.283054353959002</v>
      </c>
      <c r="X77" s="83" cm="1">
        <f t="array" ref="X77">SUM(X27)/SUM(-X30:X32)</f>
        <v>263.43267108167771</v>
      </c>
      <c r="Y77" s="83" cm="1">
        <f t="array" ref="Y77">SUM(Y27)/SUM(-Y30:Y32)</f>
        <v>1097.3189066059226</v>
      </c>
      <c r="Z77" s="83" cm="1">
        <f t="array" ref="Z77">SUM(Z27)/SUM(-Z30:Z32)</f>
        <v>-682.87815587266743</v>
      </c>
    </row>
    <row r="78" spans="1:26" ht="12.75" customHeight="1">
      <c r="B78" s="8" t="s">
        <v>48</v>
      </c>
      <c r="C78" s="83">
        <f>C69/C66</f>
        <v>1</v>
      </c>
      <c r="D78" s="83">
        <f>D69/D66</f>
        <v>294.99387755102043</v>
      </c>
      <c r="E78" s="83">
        <f>E69/E66</f>
        <v>435.84673469387758</v>
      </c>
      <c r="G78" s="172"/>
      <c r="H78" s="172"/>
      <c r="I78" s="172"/>
      <c r="J78" s="83">
        <f t="shared" ref="G78:Q78" si="47">J69/J66</f>
        <v>294.99387755102043</v>
      </c>
      <c r="K78" s="83">
        <f t="shared" si="47"/>
        <v>376.16326530612247</v>
      </c>
      <c r="L78" s="83">
        <f t="shared" si="47"/>
        <v>387.49693877551022</v>
      </c>
      <c r="M78" s="83">
        <f t="shared" si="47"/>
        <v>396.52159999999998</v>
      </c>
      <c r="N78" s="83">
        <f t="shared" si="47"/>
        <v>435.84673469387758</v>
      </c>
      <c r="O78" s="83">
        <f t="shared" si="47"/>
        <v>453.47367346938773</v>
      </c>
      <c r="P78" s="83">
        <f t="shared" si="47"/>
        <v>460.03461538461539</v>
      </c>
      <c r="Q78" s="83">
        <f>Q69/Q66</f>
        <v>484.45611111111111</v>
      </c>
      <c r="R78" s="83"/>
      <c r="S78" s="83" t="e">
        <f t="shared" ref="S78:X78" si="48">S69/S66</f>
        <v>#REF!</v>
      </c>
      <c r="T78" s="83" t="e">
        <f t="shared" si="48"/>
        <v>#REF!</v>
      </c>
      <c r="U78" s="83" t="e">
        <f t="shared" si="48"/>
        <v>#REF!</v>
      </c>
      <c r="V78" s="83">
        <f t="shared" si="48"/>
        <v>396.52159999999998</v>
      </c>
      <c r="W78" s="83">
        <f t="shared" si="48"/>
        <v>435.84673469387758</v>
      </c>
      <c r="X78" s="83">
        <f t="shared" si="48"/>
        <v>453.47367346938773</v>
      </c>
      <c r="Y78" s="83">
        <f>Y69/Y66</f>
        <v>460.03461538461539</v>
      </c>
      <c r="Z78" s="83">
        <f>Z69/Z66</f>
        <v>484.45611111111111</v>
      </c>
    </row>
    <row r="79" spans="1:26" ht="5.0999999999999996" customHeight="1" thickBot="1"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</sheetData>
  <mergeCells count="1">
    <mergeCell ref="AB2:AB4"/>
  </mergeCells>
  <pageMargins left="0.7" right="0.7" top="0.75" bottom="0.75" header="0.3" footer="0.3"/>
  <ignoredErrors>
    <ignoredError sqref="AA35:AB35 F37 AA37:AB37 AA33 AA34 AA36:AB36 G34:P35 F36 F33 F30:F32 C34:F35 C29:Z29 C36:E36 Q34:Z35 C33:E33 C30:E32 G30:Z32 G33:Z33 G36:Z36" formulaRange="1"/>
    <ignoredError sqref="C10:F11 F19 F22 R22 F26 AB27:AB34 R26 AB8:AB11 F13 AB19:AB22 F23 AB13:AB15 R16 F16 C74:F78 G11:R11 C20:R21 C14:R15 C24:R25 C28:R28 D9:F9 H10:R10 K9:R9 R18 F18 AB23:AB25 F27 S73:Z78 S11:Z11 S20:Z21 S14:Z15 S24:Z25 S28:Z28 S10:Z10 W9:Z9 C73:F73 R73 R74:R78 J75:Q75" evalError="1"/>
    <ignoredError sqref="J48:Q52 V51:Z51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2026-01-01T05:13:32Z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