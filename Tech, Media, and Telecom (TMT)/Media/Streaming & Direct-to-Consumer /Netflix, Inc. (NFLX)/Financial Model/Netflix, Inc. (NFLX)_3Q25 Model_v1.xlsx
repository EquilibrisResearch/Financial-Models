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elix\Downloads\"/>
    </mc:Choice>
  </mc:AlternateContent>
  <xr:revisionPtr revIDLastSave="0" documentId="8_{A17DF74A-CEA1-473C-B9C4-68D6D1D939D6}" xr6:coauthVersionLast="47" xr6:coauthVersionMax="47" xr10:uidLastSave="{00000000-0000-0000-0000-000000000000}"/>
  <bookViews>
    <workbookView xWindow="-120" yWindow="-120" windowWidth="29040" windowHeight="15720" activeTab="1" xr2:uid="{BC9106CE-9107-4097-8948-317996376CB5}"/>
  </bookViews>
  <sheets>
    <sheet name="Cover" sheetId="22" r:id="rId1"/>
    <sheet name="Summary Assumptions" sheetId="23" r:id="rId2"/>
    <sheet name="Summary Valuation" sheetId="24" r:id="rId3"/>
    <sheet name="Historical Financials" sheetId="8" r:id="rId4"/>
    <sheet name="Revenue Drivers" sheetId="10" r:id="rId5"/>
    <sheet name="FCF" sheetId="9" r:id="rId6"/>
    <sheet name="Debt Schedule" sheetId="21" r:id="rId7"/>
    <sheet name="Revenue Projections &amp; Cases" sheetId="25" r:id="rId8"/>
    <sheet name="3 Statement Model" sheetId="26" r:id="rId9"/>
    <sheet name="DCF" sheetId="27" r:id="rId10"/>
    <sheet name="WACC" sheetId="28" r:id="rId11"/>
    <sheet name="Street Price Targets" sheetId="29" r:id="rId12"/>
    <sheet name="Street Consensus" sheetId="30" r:id="rId13"/>
    <sheet name="Peer Comparables" sheetId="31"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7" l="1"/>
  <c r="B2" i="26"/>
  <c r="K21" i="31"/>
  <c r="J21" i="31"/>
  <c r="G21" i="31"/>
  <c r="K20" i="31"/>
  <c r="J20" i="31"/>
  <c r="G20" i="31"/>
  <c r="K19" i="31"/>
  <c r="J19" i="31"/>
  <c r="G19" i="31"/>
  <c r="K18" i="31"/>
  <c r="J18" i="31"/>
  <c r="G18" i="31"/>
  <c r="K17" i="31"/>
  <c r="J17" i="31"/>
  <c r="G17" i="31"/>
  <c r="K16" i="31"/>
  <c r="J16" i="31"/>
  <c r="G16" i="31"/>
  <c r="I14" i="31" a="1"/>
  <c r="I14" i="31" s="1"/>
  <c r="F14" i="31" a="1"/>
  <c r="F14" i="31" s="1"/>
  <c r="H14" i="31" s="1"/>
  <c r="E14" i="31" a="1"/>
  <c r="E14" i="31" s="1"/>
  <c r="D14" i="31" a="1"/>
  <c r="D14" i="31" s="1"/>
  <c r="C14" i="31" a="1"/>
  <c r="C14" i="31" s="1"/>
  <c r="I13" i="31" a="1"/>
  <c r="I13" i="31" s="1"/>
  <c r="F13" i="31" a="1"/>
  <c r="F13" i="31" s="1"/>
  <c r="H13" i="31" s="1"/>
  <c r="E13" i="31" a="1"/>
  <c r="E13" i="31" s="1"/>
  <c r="D13" i="31" a="1"/>
  <c r="D13" i="31" s="1"/>
  <c r="C13" i="31" a="1"/>
  <c r="C13" i="31" s="1"/>
  <c r="I12" i="31" a="1"/>
  <c r="I12" i="31" s="1"/>
  <c r="F12" i="31" a="1"/>
  <c r="F12" i="31" s="1"/>
  <c r="H12" i="31" s="1"/>
  <c r="E12" i="31" a="1"/>
  <c r="E12" i="31" s="1"/>
  <c r="D12" i="31" a="1"/>
  <c r="D12" i="31" s="1"/>
  <c r="C12" i="31" a="1"/>
  <c r="C12" i="31" s="1"/>
  <c r="I11" i="31" a="1"/>
  <c r="I11" i="31" s="1"/>
  <c r="F11" i="31" a="1"/>
  <c r="F11" i="31" s="1"/>
  <c r="H11" i="31" s="1"/>
  <c r="E11" i="31" a="1"/>
  <c r="E11" i="31" s="1"/>
  <c r="D11" i="31" a="1"/>
  <c r="D11" i="31" s="1"/>
  <c r="C11" i="31" a="1"/>
  <c r="C11" i="31" s="1"/>
  <c r="I10" i="31" a="1"/>
  <c r="I10" i="31" s="1"/>
  <c r="F10" i="31" a="1"/>
  <c r="F10" i="31" s="1"/>
  <c r="E10" i="31" a="1"/>
  <c r="E10" i="31" s="1"/>
  <c r="D10" i="31" a="1"/>
  <c r="D10" i="31" s="1"/>
  <c r="C10" i="31" a="1"/>
  <c r="C10" i="31" s="1"/>
  <c r="K8" i="31"/>
  <c r="J8" i="31"/>
  <c r="I8" i="31" a="1"/>
  <c r="I8" i="31" s="1"/>
  <c r="G8" i="31"/>
  <c r="F8" i="31" a="1"/>
  <c r="F8" i="31" s="1"/>
  <c r="H8" i="31" s="1"/>
  <c r="E8" i="31" a="1"/>
  <c r="E8" i="31" s="1"/>
  <c r="D8" i="31" a="1"/>
  <c r="D8" i="31" s="1"/>
  <c r="C8" i="31" a="1"/>
  <c r="C8" i="31" s="1"/>
  <c r="D543" i="30"/>
  <c r="D544" i="30" s="1"/>
  <c r="C543" i="30"/>
  <c r="C544" i="30" s="1"/>
  <c r="D541" i="30"/>
  <c r="D542" i="30" s="1"/>
  <c r="C541" i="30"/>
  <c r="C542" i="30" s="1"/>
  <c r="C540" i="30"/>
  <c r="D539" i="30"/>
  <c r="D540" i="30" s="1"/>
  <c r="C539" i="30"/>
  <c r="D537" i="30"/>
  <c r="C537" i="30"/>
  <c r="D538" i="30" s="1"/>
  <c r="H535" i="30"/>
  <c r="G535" i="30"/>
  <c r="F535" i="30"/>
  <c r="E535" i="30"/>
  <c r="D535" i="30"/>
  <c r="C535" i="30"/>
  <c r="J534" i="30"/>
  <c r="E533" i="30"/>
  <c r="F533" i="30" s="1"/>
  <c r="D533" i="30"/>
  <c r="C533" i="30"/>
  <c r="F531" i="30"/>
  <c r="G531" i="30" s="1"/>
  <c r="H531" i="30" s="1"/>
  <c r="E531" i="30"/>
  <c r="D531" i="30"/>
  <c r="C531" i="30"/>
  <c r="E530" i="30"/>
  <c r="E529" i="30"/>
  <c r="F529" i="30" s="1"/>
  <c r="D529" i="30"/>
  <c r="C529" i="30"/>
  <c r="H526" i="30"/>
  <c r="G526" i="30"/>
  <c r="F526" i="30"/>
  <c r="E526" i="30"/>
  <c r="D526" i="30"/>
  <c r="C526" i="30"/>
  <c r="J525" i="30"/>
  <c r="H525" i="30"/>
  <c r="G525" i="30"/>
  <c r="F525" i="30"/>
  <c r="E525" i="30"/>
  <c r="D525" i="30"/>
  <c r="C525" i="30"/>
  <c r="H511" i="30"/>
  <c r="G511" i="30"/>
  <c r="F511" i="30"/>
  <c r="E511" i="30"/>
  <c r="D511" i="30"/>
  <c r="C511" i="30"/>
  <c r="J510" i="30"/>
  <c r="D508" i="30"/>
  <c r="D513" i="30" s="1"/>
  <c r="C508" i="30"/>
  <c r="E506" i="30"/>
  <c r="D506" i="30"/>
  <c r="D517" i="30" s="1"/>
  <c r="C506" i="30"/>
  <c r="C507" i="30" s="1"/>
  <c r="F505" i="30"/>
  <c r="E505" i="30"/>
  <c r="D505" i="30"/>
  <c r="C505" i="30"/>
  <c r="H502" i="30"/>
  <c r="G502" i="30"/>
  <c r="F502" i="30"/>
  <c r="E502" i="30"/>
  <c r="D502" i="30"/>
  <c r="C502" i="30"/>
  <c r="J501" i="30"/>
  <c r="H501" i="30"/>
  <c r="G501" i="30"/>
  <c r="F501" i="30"/>
  <c r="E501" i="30"/>
  <c r="D501" i="30"/>
  <c r="C501" i="30"/>
  <c r="D495" i="30"/>
  <c r="D496" i="30" s="1"/>
  <c r="C495" i="30"/>
  <c r="C496" i="30" s="1"/>
  <c r="C494" i="30"/>
  <c r="D493" i="30"/>
  <c r="D494" i="30" s="1"/>
  <c r="C493" i="30"/>
  <c r="D491" i="30"/>
  <c r="C491" i="30"/>
  <c r="D492" i="30" s="1"/>
  <c r="D489" i="30"/>
  <c r="D490" i="30" s="1"/>
  <c r="C489" i="30"/>
  <c r="C490" i="30" s="1"/>
  <c r="H487" i="30"/>
  <c r="G487" i="30"/>
  <c r="F487" i="30"/>
  <c r="E487" i="30"/>
  <c r="D487" i="30"/>
  <c r="C487" i="30"/>
  <c r="J486" i="30"/>
  <c r="E485" i="30"/>
  <c r="F485" i="30" s="1"/>
  <c r="D485" i="30"/>
  <c r="C485" i="30"/>
  <c r="D483" i="30"/>
  <c r="E483" i="30" s="1"/>
  <c r="C483" i="30"/>
  <c r="F481" i="30"/>
  <c r="E481" i="30"/>
  <c r="D481" i="30"/>
  <c r="C481" i="30"/>
  <c r="H478" i="30"/>
  <c r="G478" i="30"/>
  <c r="F478" i="30"/>
  <c r="E478" i="30"/>
  <c r="D478" i="30"/>
  <c r="C478" i="30"/>
  <c r="J477" i="30"/>
  <c r="H477" i="30"/>
  <c r="G477" i="30"/>
  <c r="F477" i="30"/>
  <c r="E477" i="30"/>
  <c r="D477" i="30"/>
  <c r="C477" i="30"/>
  <c r="C467" i="30"/>
  <c r="C468" i="30" s="1"/>
  <c r="D465" i="30"/>
  <c r="D466" i="30" s="1"/>
  <c r="C465" i="30"/>
  <c r="C466" i="30" s="1"/>
  <c r="H463" i="30"/>
  <c r="G463" i="30"/>
  <c r="F463" i="30"/>
  <c r="E463" i="30"/>
  <c r="D463" i="30"/>
  <c r="C463" i="30"/>
  <c r="J462" i="30"/>
  <c r="E460" i="30"/>
  <c r="D460" i="30"/>
  <c r="D471" i="30" s="1"/>
  <c r="C460" i="30"/>
  <c r="C471" i="30" s="1"/>
  <c r="C472" i="30" s="1"/>
  <c r="D458" i="30"/>
  <c r="D459" i="30" s="1"/>
  <c r="E459" i="30" s="1"/>
  <c r="F459" i="30" s="1"/>
  <c r="G459" i="30" s="1"/>
  <c r="H459" i="30" s="1"/>
  <c r="C458" i="30"/>
  <c r="C459" i="30" s="1"/>
  <c r="E457" i="30"/>
  <c r="F457" i="30" s="1"/>
  <c r="D457" i="30"/>
  <c r="C457" i="30"/>
  <c r="H454" i="30"/>
  <c r="G454" i="30"/>
  <c r="F454" i="30"/>
  <c r="E454" i="30"/>
  <c r="D454" i="30"/>
  <c r="C454" i="30"/>
  <c r="J453" i="30"/>
  <c r="H453" i="30"/>
  <c r="G453" i="30"/>
  <c r="F453" i="30"/>
  <c r="E453" i="30"/>
  <c r="D453" i="30"/>
  <c r="C453" i="30"/>
  <c r="C448" i="30"/>
  <c r="D447" i="30"/>
  <c r="D448" i="30" s="1"/>
  <c r="C447" i="30"/>
  <c r="D445" i="30"/>
  <c r="C445" i="30"/>
  <c r="D446" i="30" s="1"/>
  <c r="D443" i="30"/>
  <c r="D444" i="30" s="1"/>
  <c r="C443" i="30"/>
  <c r="C444" i="30" s="1"/>
  <c r="D441" i="30"/>
  <c r="D442" i="30" s="1"/>
  <c r="C441" i="30"/>
  <c r="C442" i="30" s="1"/>
  <c r="H439" i="30"/>
  <c r="G439" i="30"/>
  <c r="F439" i="30"/>
  <c r="E439" i="30"/>
  <c r="D439" i="30"/>
  <c r="C439" i="30"/>
  <c r="J438" i="30"/>
  <c r="F437" i="30"/>
  <c r="G437" i="30" s="1"/>
  <c r="H437" i="30" s="1"/>
  <c r="E437" i="30"/>
  <c r="D437" i="30"/>
  <c r="C437" i="30"/>
  <c r="E436" i="30"/>
  <c r="E435" i="30"/>
  <c r="F435" i="30" s="1"/>
  <c r="D435" i="30"/>
  <c r="C435" i="30"/>
  <c r="G433" i="30"/>
  <c r="H433" i="30" s="1"/>
  <c r="F433" i="30"/>
  <c r="E433" i="30"/>
  <c r="D433" i="30"/>
  <c r="C433" i="30"/>
  <c r="F432" i="30"/>
  <c r="G432" i="30" s="1"/>
  <c r="E431" i="30"/>
  <c r="F431" i="30" s="1"/>
  <c r="D431" i="30"/>
  <c r="C431" i="30"/>
  <c r="H428" i="30"/>
  <c r="G428" i="30"/>
  <c r="F428" i="30"/>
  <c r="E428" i="30"/>
  <c r="D428" i="30"/>
  <c r="C428" i="30"/>
  <c r="J427" i="30"/>
  <c r="H427" i="30"/>
  <c r="G427" i="30"/>
  <c r="F427" i="30"/>
  <c r="E427" i="30"/>
  <c r="D427" i="30"/>
  <c r="C427" i="30"/>
  <c r="C417" i="30"/>
  <c r="C418" i="30" s="1"/>
  <c r="H415" i="30"/>
  <c r="G415" i="30"/>
  <c r="F415" i="30"/>
  <c r="E415" i="30"/>
  <c r="D415" i="30"/>
  <c r="C415" i="30"/>
  <c r="J414" i="30"/>
  <c r="D412" i="30"/>
  <c r="C412" i="30"/>
  <c r="D413" i="30" s="1"/>
  <c r="E413" i="30" s="1"/>
  <c r="E411" i="30"/>
  <c r="F411" i="30" s="1"/>
  <c r="G411" i="30" s="1"/>
  <c r="H411" i="30" s="1"/>
  <c r="E410" i="30"/>
  <c r="F410" i="30" s="1"/>
  <c r="G410" i="30" s="1"/>
  <c r="H410" i="30" s="1"/>
  <c r="J410" i="30" s="1"/>
  <c r="D410" i="30"/>
  <c r="D411" i="30" s="1"/>
  <c r="C410" i="30"/>
  <c r="C423" i="30" s="1"/>
  <c r="C424" i="30" s="1"/>
  <c r="E408" i="30"/>
  <c r="D408" i="30"/>
  <c r="D419" i="30" s="1"/>
  <c r="D420" i="30" s="1"/>
  <c r="C408" i="30"/>
  <c r="C419" i="30" s="1"/>
  <c r="C420" i="30" s="1"/>
  <c r="G407" i="30"/>
  <c r="H407" i="30" s="1"/>
  <c r="F407" i="30"/>
  <c r="E407" i="30"/>
  <c r="D407" i="30"/>
  <c r="C407" i="30"/>
  <c r="F406" i="30"/>
  <c r="E405" i="30"/>
  <c r="F405" i="30" s="1"/>
  <c r="D405" i="30"/>
  <c r="C405" i="30"/>
  <c r="H402" i="30"/>
  <c r="G402" i="30"/>
  <c r="F402" i="30"/>
  <c r="E402" i="30"/>
  <c r="D402" i="30"/>
  <c r="C402" i="30"/>
  <c r="J401" i="30"/>
  <c r="H401" i="30"/>
  <c r="G401" i="30"/>
  <c r="F401" i="30"/>
  <c r="E401" i="30"/>
  <c r="D401" i="30"/>
  <c r="C401" i="30"/>
  <c r="E395" i="30"/>
  <c r="D395" i="30"/>
  <c r="E396" i="30" s="1"/>
  <c r="C395" i="30"/>
  <c r="C396" i="30" s="1"/>
  <c r="E393" i="30"/>
  <c r="E394" i="30" s="1"/>
  <c r="D393" i="30"/>
  <c r="D394" i="30" s="1"/>
  <c r="C393" i="30"/>
  <c r="C394" i="30" s="1"/>
  <c r="C392" i="30"/>
  <c r="E391" i="30"/>
  <c r="E392" i="30" s="1"/>
  <c r="D391" i="30"/>
  <c r="D392" i="30" s="1"/>
  <c r="C391" i="30"/>
  <c r="C390" i="30"/>
  <c r="E389" i="30"/>
  <c r="E390" i="30" s="1"/>
  <c r="D389" i="30"/>
  <c r="C389" i="30"/>
  <c r="D390" i="30" s="1"/>
  <c r="H387" i="30"/>
  <c r="G387" i="30"/>
  <c r="F387" i="30"/>
  <c r="E387" i="30"/>
  <c r="D387" i="30"/>
  <c r="C387" i="30"/>
  <c r="J386" i="30"/>
  <c r="E385" i="30"/>
  <c r="F385" i="30" s="1"/>
  <c r="D385" i="30"/>
  <c r="C385" i="30"/>
  <c r="F383" i="30"/>
  <c r="E383" i="30"/>
  <c r="D383" i="30"/>
  <c r="C383" i="30"/>
  <c r="D381" i="30"/>
  <c r="E381" i="30" s="1"/>
  <c r="F381" i="30" s="1"/>
  <c r="C381" i="30"/>
  <c r="E379" i="30"/>
  <c r="F379" i="30" s="1"/>
  <c r="D379" i="30"/>
  <c r="C379" i="30"/>
  <c r="G377" i="30"/>
  <c r="H377" i="30" s="1"/>
  <c r="H376" i="30" s="1"/>
  <c r="J376" i="30" s="1"/>
  <c r="F377" i="30"/>
  <c r="E377" i="30"/>
  <c r="D377" i="30"/>
  <c r="C377" i="30"/>
  <c r="G375" i="30"/>
  <c r="H375" i="30" s="1"/>
  <c r="E375" i="30"/>
  <c r="F375" i="30" s="1"/>
  <c r="F374" i="30" s="1"/>
  <c r="G374" i="30" s="1"/>
  <c r="H374" i="30" s="1"/>
  <c r="J374" i="30" s="1"/>
  <c r="D375" i="30"/>
  <c r="C375" i="30"/>
  <c r="F373" i="30"/>
  <c r="E373" i="30"/>
  <c r="D373" i="30"/>
  <c r="C373" i="30"/>
  <c r="H370" i="30"/>
  <c r="G370" i="30"/>
  <c r="F370" i="30"/>
  <c r="E370" i="30"/>
  <c r="D370" i="30"/>
  <c r="C370" i="30"/>
  <c r="J369" i="30"/>
  <c r="H369" i="30"/>
  <c r="G369" i="30"/>
  <c r="F369" i="30"/>
  <c r="E369" i="30"/>
  <c r="D369" i="30"/>
  <c r="C369" i="30"/>
  <c r="E365" i="30"/>
  <c r="D365" i="30"/>
  <c r="C365" i="30"/>
  <c r="E363" i="30"/>
  <c r="D363" i="30"/>
  <c r="C363" i="30"/>
  <c r="E361" i="30"/>
  <c r="D361" i="30"/>
  <c r="C361" i="30"/>
  <c r="E359" i="30"/>
  <c r="D359" i="30"/>
  <c r="C359" i="30"/>
  <c r="J356" i="30"/>
  <c r="H356" i="30"/>
  <c r="G356" i="30"/>
  <c r="F356" i="30"/>
  <c r="F354" i="30"/>
  <c r="F352" i="30"/>
  <c r="G352" i="30" s="1"/>
  <c r="E351" i="30"/>
  <c r="D351" i="30"/>
  <c r="C351" i="30"/>
  <c r="G350" i="30"/>
  <c r="F350" i="30"/>
  <c r="G349" i="30"/>
  <c r="F349" i="30"/>
  <c r="E349" i="30"/>
  <c r="D349" i="30"/>
  <c r="C349" i="30"/>
  <c r="J348" i="30"/>
  <c r="H348" i="30"/>
  <c r="H347" i="30"/>
  <c r="G347" i="30"/>
  <c r="F347" i="30"/>
  <c r="E347" i="30"/>
  <c r="D347" i="30"/>
  <c r="C347" i="30"/>
  <c r="J346" i="30"/>
  <c r="H344" i="30"/>
  <c r="G344" i="30"/>
  <c r="F344" i="30"/>
  <c r="H342" i="30"/>
  <c r="G342" i="30"/>
  <c r="F342" i="30"/>
  <c r="E342" i="30"/>
  <c r="D342" i="30"/>
  <c r="C342" i="30"/>
  <c r="J341" i="30"/>
  <c r="H341" i="30"/>
  <c r="G341" i="30"/>
  <c r="F341" i="30"/>
  <c r="E341" i="30"/>
  <c r="D341" i="30"/>
  <c r="C341" i="30"/>
  <c r="D335" i="30"/>
  <c r="C335" i="30"/>
  <c r="D333" i="30"/>
  <c r="C333" i="30"/>
  <c r="C332" i="30"/>
  <c r="D331" i="30"/>
  <c r="D332" i="30" s="1"/>
  <c r="C331" i="30"/>
  <c r="D329" i="30"/>
  <c r="C329" i="30"/>
  <c r="E327" i="30"/>
  <c r="D327" i="30"/>
  <c r="C327" i="30"/>
  <c r="H326" i="30"/>
  <c r="F326" i="30"/>
  <c r="G326" i="30" s="1"/>
  <c r="E325" i="30"/>
  <c r="D325" i="30"/>
  <c r="C325" i="30"/>
  <c r="G324" i="30"/>
  <c r="F324" i="30"/>
  <c r="E323" i="30"/>
  <c r="D323" i="30"/>
  <c r="C323" i="30"/>
  <c r="E322" i="30"/>
  <c r="E333" i="30" s="1"/>
  <c r="G321" i="30"/>
  <c r="F321" i="30"/>
  <c r="E321" i="30"/>
  <c r="D321" i="30"/>
  <c r="C321" i="30"/>
  <c r="H320" i="30"/>
  <c r="J320" i="30" s="1"/>
  <c r="E319" i="30"/>
  <c r="D319" i="30"/>
  <c r="C319" i="30"/>
  <c r="H318" i="30"/>
  <c r="G318" i="30"/>
  <c r="F318" i="30"/>
  <c r="H317" i="30"/>
  <c r="G317" i="30"/>
  <c r="F317" i="30"/>
  <c r="E317" i="30"/>
  <c r="D317" i="30"/>
  <c r="C317" i="30"/>
  <c r="J316" i="30"/>
  <c r="H314" i="30"/>
  <c r="G314" i="30"/>
  <c r="F314" i="30"/>
  <c r="E314" i="30"/>
  <c r="D314" i="30"/>
  <c r="C314" i="30"/>
  <c r="J313" i="30"/>
  <c r="H313" i="30"/>
  <c r="G313" i="30"/>
  <c r="F313" i="30"/>
  <c r="E313" i="30"/>
  <c r="D313" i="30"/>
  <c r="C313" i="30"/>
  <c r="E300" i="30"/>
  <c r="D300" i="30"/>
  <c r="C300" i="30"/>
  <c r="C301" i="30" s="1"/>
  <c r="E298" i="30"/>
  <c r="D298" i="30"/>
  <c r="C298" i="30"/>
  <c r="E297" i="30"/>
  <c r="E296" i="30"/>
  <c r="D296" i="30"/>
  <c r="D297" i="30" s="1"/>
  <c r="C296" i="30"/>
  <c r="C297" i="30" s="1"/>
  <c r="G295" i="30"/>
  <c r="F295" i="30"/>
  <c r="G294" i="30"/>
  <c r="F294" i="30"/>
  <c r="E294" i="30"/>
  <c r="D294" i="30"/>
  <c r="D295" i="30" s="1"/>
  <c r="C294" i="30"/>
  <c r="C295" i="30" s="1"/>
  <c r="F292" i="30"/>
  <c r="E292" i="30"/>
  <c r="D292" i="30"/>
  <c r="C292" i="30"/>
  <c r="G291" i="30"/>
  <c r="F291" i="30"/>
  <c r="E291" i="30"/>
  <c r="D291" i="30"/>
  <c r="H290" i="30"/>
  <c r="H291" i="30" s="1"/>
  <c r="G290" i="30"/>
  <c r="F290" i="30"/>
  <c r="E290" i="30"/>
  <c r="D290" i="30"/>
  <c r="C290" i="30"/>
  <c r="C291" i="30" s="1"/>
  <c r="E288" i="30"/>
  <c r="D288" i="30"/>
  <c r="C288" i="30"/>
  <c r="H286" i="30"/>
  <c r="G286" i="30"/>
  <c r="F286" i="30"/>
  <c r="E286" i="30"/>
  <c r="D286" i="30"/>
  <c r="C286" i="30"/>
  <c r="J285" i="30"/>
  <c r="H285" i="30"/>
  <c r="G285" i="30"/>
  <c r="F285" i="30"/>
  <c r="E285" i="30"/>
  <c r="D285" i="30"/>
  <c r="C285" i="30"/>
  <c r="E281" i="30"/>
  <c r="D281" i="30"/>
  <c r="C281" i="30"/>
  <c r="E279" i="30"/>
  <c r="D279" i="30"/>
  <c r="C279" i="30"/>
  <c r="E277" i="30"/>
  <c r="D277" i="30"/>
  <c r="C277" i="30"/>
  <c r="E275" i="30"/>
  <c r="D275" i="30"/>
  <c r="C275" i="30"/>
  <c r="G272" i="30"/>
  <c r="F272" i="30"/>
  <c r="E272" i="30"/>
  <c r="G270" i="30"/>
  <c r="F270" i="30"/>
  <c r="G268" i="30"/>
  <c r="F268" i="30"/>
  <c r="E267" i="30"/>
  <c r="D267" i="30"/>
  <c r="C267" i="30"/>
  <c r="G266" i="30"/>
  <c r="F266" i="30"/>
  <c r="G265" i="30"/>
  <c r="F265" i="30"/>
  <c r="E265" i="30"/>
  <c r="D265" i="30"/>
  <c r="C265" i="30"/>
  <c r="H264" i="30"/>
  <c r="H262" i="30"/>
  <c r="G262" i="30"/>
  <c r="F262" i="30"/>
  <c r="H261" i="30"/>
  <c r="G261" i="30"/>
  <c r="F261" i="30"/>
  <c r="E261" i="30"/>
  <c r="D261" i="30"/>
  <c r="C261" i="30"/>
  <c r="J260" i="30"/>
  <c r="F258" i="30"/>
  <c r="F277" i="30" s="1"/>
  <c r="H256" i="30"/>
  <c r="G256" i="30"/>
  <c r="F256" i="30"/>
  <c r="E256" i="30"/>
  <c r="D256" i="30"/>
  <c r="C256" i="30"/>
  <c r="J255" i="30"/>
  <c r="H255" i="30"/>
  <c r="G255" i="30"/>
  <c r="F255" i="30"/>
  <c r="E255" i="30"/>
  <c r="D255" i="30"/>
  <c r="C255" i="30"/>
  <c r="E251" i="30"/>
  <c r="D251" i="30"/>
  <c r="C251" i="30"/>
  <c r="F249" i="30"/>
  <c r="D249" i="30"/>
  <c r="C249" i="30"/>
  <c r="F247" i="30"/>
  <c r="E247" i="30"/>
  <c r="D247" i="30"/>
  <c r="C247" i="30"/>
  <c r="E245" i="30"/>
  <c r="D245" i="30"/>
  <c r="C245" i="30"/>
  <c r="J242" i="30"/>
  <c r="F242" i="30"/>
  <c r="G242" i="30" s="1"/>
  <c r="H242" i="30" s="1"/>
  <c r="E242" i="30"/>
  <c r="H240" i="30"/>
  <c r="G240" i="30"/>
  <c r="F240" i="30"/>
  <c r="H239" i="30"/>
  <c r="G239" i="30"/>
  <c r="F239" i="30"/>
  <c r="E239" i="30"/>
  <c r="D239" i="30"/>
  <c r="C239" i="30"/>
  <c r="J238" i="30"/>
  <c r="F236" i="30"/>
  <c r="H234" i="30"/>
  <c r="G234" i="30"/>
  <c r="F234" i="30"/>
  <c r="E234" i="30"/>
  <c r="D234" i="30"/>
  <c r="C234" i="30"/>
  <c r="J233" i="30"/>
  <c r="H233" i="30"/>
  <c r="G233" i="30"/>
  <c r="F233" i="30"/>
  <c r="E233" i="30"/>
  <c r="D233" i="30"/>
  <c r="C233" i="30"/>
  <c r="E229" i="30"/>
  <c r="D229" i="30"/>
  <c r="C229" i="30"/>
  <c r="D227" i="30"/>
  <c r="C227" i="30"/>
  <c r="E225" i="30"/>
  <c r="D225" i="30"/>
  <c r="C225" i="30"/>
  <c r="E223" i="30"/>
  <c r="D223" i="30"/>
  <c r="C223" i="30"/>
  <c r="G220" i="30"/>
  <c r="F220" i="30"/>
  <c r="E220" i="30"/>
  <c r="C219" i="30"/>
  <c r="F218" i="30"/>
  <c r="G218" i="30" s="1"/>
  <c r="H217" i="30"/>
  <c r="G217" i="30"/>
  <c r="F217" i="30"/>
  <c r="E217" i="30"/>
  <c r="D217" i="30"/>
  <c r="C217" i="30"/>
  <c r="J216" i="30"/>
  <c r="F214" i="30"/>
  <c r="H212" i="30"/>
  <c r="G212" i="30"/>
  <c r="F212" i="30"/>
  <c r="E212" i="30"/>
  <c r="D212" i="30"/>
  <c r="C212" i="30"/>
  <c r="J211" i="30"/>
  <c r="H211" i="30"/>
  <c r="G211" i="30"/>
  <c r="F211" i="30"/>
  <c r="E211" i="30"/>
  <c r="D211" i="30"/>
  <c r="C211" i="30"/>
  <c r="J198" i="30"/>
  <c r="F198" i="30"/>
  <c r="G198" i="30" s="1"/>
  <c r="H198" i="30" s="1"/>
  <c r="E198" i="30"/>
  <c r="F197" i="30"/>
  <c r="H195" i="30"/>
  <c r="G195" i="30"/>
  <c r="F195" i="30"/>
  <c r="E195" i="30"/>
  <c r="D195" i="30"/>
  <c r="C195" i="30"/>
  <c r="J194" i="30"/>
  <c r="E193" i="30"/>
  <c r="D193" i="30"/>
  <c r="C193" i="30"/>
  <c r="F192" i="30"/>
  <c r="G191" i="30"/>
  <c r="F191" i="30"/>
  <c r="E191" i="30"/>
  <c r="D191" i="30"/>
  <c r="C191" i="30"/>
  <c r="H190" i="30"/>
  <c r="F189" i="30"/>
  <c r="H187" i="30"/>
  <c r="F187" i="30"/>
  <c r="G187" i="30" s="1"/>
  <c r="G184" i="30"/>
  <c r="F184" i="30"/>
  <c r="H182" i="30"/>
  <c r="G182" i="30"/>
  <c r="F182" i="30"/>
  <c r="E182" i="30"/>
  <c r="D182" i="30"/>
  <c r="C182" i="30"/>
  <c r="J181" i="30"/>
  <c r="H181" i="30"/>
  <c r="G181" i="30"/>
  <c r="F181" i="30"/>
  <c r="E181" i="30"/>
  <c r="D181" i="30"/>
  <c r="C181" i="30"/>
  <c r="D176" i="30"/>
  <c r="C176" i="30"/>
  <c r="D175" i="30"/>
  <c r="C175" i="30"/>
  <c r="D173" i="30"/>
  <c r="D174" i="30" s="1"/>
  <c r="C173" i="30"/>
  <c r="C174" i="30" s="1"/>
  <c r="D171" i="30"/>
  <c r="C171" i="30"/>
  <c r="D172" i="30" s="1"/>
  <c r="C170" i="30"/>
  <c r="D169" i="30"/>
  <c r="C169" i="30"/>
  <c r="D170" i="30" s="1"/>
  <c r="D167" i="30"/>
  <c r="E167" i="30" s="1"/>
  <c r="C167" i="30"/>
  <c r="F165" i="30"/>
  <c r="G165" i="30" s="1"/>
  <c r="H165" i="30" s="1"/>
  <c r="E165" i="30"/>
  <c r="D165" i="30"/>
  <c r="C165" i="30"/>
  <c r="F164" i="30"/>
  <c r="G164" i="30" s="1"/>
  <c r="H164" i="30" s="1"/>
  <c r="J164" i="30" s="1"/>
  <c r="E163" i="30"/>
  <c r="F163" i="30" s="1"/>
  <c r="D163" i="30"/>
  <c r="C163" i="30"/>
  <c r="G161" i="30"/>
  <c r="H161" i="30" s="1"/>
  <c r="E161" i="30"/>
  <c r="F161" i="30" s="1"/>
  <c r="D161" i="30"/>
  <c r="C161" i="30"/>
  <c r="F160" i="30"/>
  <c r="G159" i="30"/>
  <c r="H159" i="30" s="1"/>
  <c r="E159" i="30"/>
  <c r="F159" i="30" s="1"/>
  <c r="D159" i="30"/>
  <c r="C159" i="30"/>
  <c r="F158" i="30"/>
  <c r="G158" i="30" s="1"/>
  <c r="H158" i="30" s="1"/>
  <c r="J158" i="30" s="1"/>
  <c r="H157" i="30"/>
  <c r="G157" i="30"/>
  <c r="F157" i="30"/>
  <c r="E157" i="30"/>
  <c r="D157" i="30"/>
  <c r="C157" i="30"/>
  <c r="G156" i="30"/>
  <c r="F156" i="30"/>
  <c r="H154" i="30"/>
  <c r="G154" i="30"/>
  <c r="F154" i="30"/>
  <c r="E154" i="30"/>
  <c r="D154" i="30"/>
  <c r="C154" i="30"/>
  <c r="J153" i="30"/>
  <c r="H153" i="30"/>
  <c r="G153" i="30"/>
  <c r="F153" i="30"/>
  <c r="E153" i="30"/>
  <c r="D153" i="30"/>
  <c r="C153" i="30"/>
  <c r="C150" i="30"/>
  <c r="D149" i="30"/>
  <c r="C149" i="30"/>
  <c r="D150" i="30" s="1"/>
  <c r="D147" i="30"/>
  <c r="C147" i="30"/>
  <c r="C148" i="30" s="1"/>
  <c r="C146" i="30"/>
  <c r="D145" i="30"/>
  <c r="D146" i="30" s="1"/>
  <c r="C145" i="30"/>
  <c r="C144" i="30"/>
  <c r="D143" i="30"/>
  <c r="D144" i="30" s="1"/>
  <c r="C143" i="30"/>
  <c r="E141" i="30"/>
  <c r="D141" i="30"/>
  <c r="C141" i="30"/>
  <c r="E139" i="30"/>
  <c r="F139" i="30" s="1"/>
  <c r="G139" i="30" s="1"/>
  <c r="H139" i="30" s="1"/>
  <c r="D139" i="30"/>
  <c r="C139" i="30"/>
  <c r="E137" i="30"/>
  <c r="F137" i="30" s="1"/>
  <c r="D137" i="30"/>
  <c r="C137" i="30"/>
  <c r="F135" i="30"/>
  <c r="G135" i="30" s="1"/>
  <c r="H135" i="30" s="1"/>
  <c r="E135" i="30"/>
  <c r="D135" i="30"/>
  <c r="C135" i="30"/>
  <c r="F134" i="30"/>
  <c r="G134" i="30" s="1"/>
  <c r="H134" i="30" s="1"/>
  <c r="J134" i="30" s="1"/>
  <c r="E133" i="30"/>
  <c r="F133" i="30" s="1"/>
  <c r="D133" i="30"/>
  <c r="C133" i="30"/>
  <c r="E131" i="30"/>
  <c r="F131" i="30" s="1"/>
  <c r="G131" i="30" s="1"/>
  <c r="H131" i="30" s="1"/>
  <c r="D131" i="30"/>
  <c r="C131" i="30"/>
  <c r="H128" i="30"/>
  <c r="G128" i="30"/>
  <c r="F128" i="30"/>
  <c r="E128" i="30"/>
  <c r="D128" i="30"/>
  <c r="C128" i="30"/>
  <c r="J127" i="30"/>
  <c r="H127" i="30"/>
  <c r="G127" i="30"/>
  <c r="F127" i="30"/>
  <c r="E127" i="30"/>
  <c r="D127" i="30"/>
  <c r="C127" i="30"/>
  <c r="D114" i="30"/>
  <c r="C114" i="30"/>
  <c r="F113" i="30"/>
  <c r="E113" i="30"/>
  <c r="D113" i="30"/>
  <c r="C113" i="30"/>
  <c r="E111" i="30"/>
  <c r="F111" i="30" s="1"/>
  <c r="D111" i="30"/>
  <c r="C111" i="30"/>
  <c r="E108" i="30"/>
  <c r="D108" i="30"/>
  <c r="E109" i="30" s="1"/>
  <c r="C108" i="30"/>
  <c r="C117" i="30" s="1"/>
  <c r="C118" i="30" s="1"/>
  <c r="H106" i="30"/>
  <c r="G106" i="30"/>
  <c r="H107" i="30" s="1"/>
  <c r="F106" i="30"/>
  <c r="F107" i="30" s="1"/>
  <c r="E106" i="30"/>
  <c r="D106" i="30"/>
  <c r="D107" i="30" s="1"/>
  <c r="C106" i="30"/>
  <c r="E105" i="30"/>
  <c r="F105" i="30" s="1"/>
  <c r="F104" i="30" s="1"/>
  <c r="D105" i="30"/>
  <c r="C105" i="30"/>
  <c r="H103" i="30"/>
  <c r="G103" i="30"/>
  <c r="F103" i="30"/>
  <c r="E103" i="30"/>
  <c r="D103" i="30"/>
  <c r="C103" i="30"/>
  <c r="F102" i="30"/>
  <c r="H100" i="30"/>
  <c r="G100" i="30"/>
  <c r="F100" i="30"/>
  <c r="E100" i="30"/>
  <c r="D100" i="30"/>
  <c r="C100" i="30"/>
  <c r="J99" i="30"/>
  <c r="H99" i="30"/>
  <c r="G99" i="30"/>
  <c r="F99" i="30"/>
  <c r="E99" i="30"/>
  <c r="D99" i="30"/>
  <c r="C99" i="30"/>
  <c r="C87" i="30"/>
  <c r="D86" i="30"/>
  <c r="D87" i="30" s="1"/>
  <c r="E87" i="30" s="1"/>
  <c r="F87" i="30" s="1"/>
  <c r="G87" i="30" s="1"/>
  <c r="H87" i="30" s="1"/>
  <c r="C86" i="30"/>
  <c r="C93" i="30" s="1"/>
  <c r="C94" i="30" s="1"/>
  <c r="F85" i="30"/>
  <c r="E85" i="30"/>
  <c r="D85" i="30"/>
  <c r="C85" i="30"/>
  <c r="E83" i="30"/>
  <c r="F83" i="30" s="1"/>
  <c r="D83" i="30"/>
  <c r="C83" i="30"/>
  <c r="D81" i="30"/>
  <c r="E80" i="30"/>
  <c r="E81" i="30" s="1"/>
  <c r="D80" i="30"/>
  <c r="C80" i="30"/>
  <c r="C81" i="30" s="1"/>
  <c r="C79" i="30"/>
  <c r="H78" i="30"/>
  <c r="H79" i="30" s="1"/>
  <c r="G78" i="30"/>
  <c r="F78" i="30"/>
  <c r="F79" i="30" s="1"/>
  <c r="E78" i="30"/>
  <c r="D78" i="30"/>
  <c r="C78" i="30"/>
  <c r="F77" i="30"/>
  <c r="G77" i="30" s="1"/>
  <c r="H77" i="30" s="1"/>
  <c r="E77" i="30"/>
  <c r="D77" i="30"/>
  <c r="C77" i="30"/>
  <c r="F76" i="30"/>
  <c r="G76" i="30" s="1"/>
  <c r="H76" i="30" s="1"/>
  <c r="J76" i="30" s="1"/>
  <c r="F75" i="30"/>
  <c r="E75" i="30"/>
  <c r="D75" i="30"/>
  <c r="C75" i="30"/>
  <c r="H72" i="30"/>
  <c r="G72" i="30"/>
  <c r="F72" i="30"/>
  <c r="E72" i="30"/>
  <c r="D72" i="30"/>
  <c r="C72" i="30"/>
  <c r="J71" i="30"/>
  <c r="H71" i="30"/>
  <c r="G71" i="30"/>
  <c r="F71" i="30"/>
  <c r="E71" i="30"/>
  <c r="D71" i="30"/>
  <c r="C71" i="30"/>
  <c r="D58" i="30"/>
  <c r="D30" i="30" s="1"/>
  <c r="C58" i="30"/>
  <c r="G57" i="30"/>
  <c r="H57" i="30" s="1"/>
  <c r="E57" i="30"/>
  <c r="F57" i="30" s="1"/>
  <c r="D57" i="30"/>
  <c r="C57" i="30"/>
  <c r="F56" i="30"/>
  <c r="G54" i="30"/>
  <c r="F54" i="30"/>
  <c r="E54" i="30"/>
  <c r="D54" i="30"/>
  <c r="D55" i="30" s="1"/>
  <c r="E55" i="30" s="1"/>
  <c r="F55" i="30" s="1"/>
  <c r="G55" i="30" s="1"/>
  <c r="H55" i="30" s="1"/>
  <c r="C54" i="30"/>
  <c r="C55" i="30" s="1"/>
  <c r="C53" i="30"/>
  <c r="E52" i="30"/>
  <c r="E53" i="30" s="1"/>
  <c r="D52" i="30"/>
  <c r="D53" i="30" s="1"/>
  <c r="C52" i="30"/>
  <c r="H51" i="30"/>
  <c r="G51" i="30"/>
  <c r="C51" i="30"/>
  <c r="H50" i="30"/>
  <c r="G50" i="30"/>
  <c r="F50" i="30"/>
  <c r="F51" i="30" s="1"/>
  <c r="E50" i="30"/>
  <c r="D50" i="30"/>
  <c r="C50" i="30"/>
  <c r="D51" i="30" s="1"/>
  <c r="E49" i="30"/>
  <c r="F49" i="30" s="1"/>
  <c r="D49" i="30"/>
  <c r="C49" i="30"/>
  <c r="E47" i="30"/>
  <c r="F47" i="30" s="1"/>
  <c r="D47" i="30"/>
  <c r="C47" i="30"/>
  <c r="H44" i="30"/>
  <c r="J72" i="30" s="1"/>
  <c r="G44" i="30"/>
  <c r="F44" i="30"/>
  <c r="E44" i="30"/>
  <c r="D44" i="30"/>
  <c r="C44" i="30"/>
  <c r="J43" i="30"/>
  <c r="H43" i="30"/>
  <c r="G43" i="30"/>
  <c r="F43" i="30"/>
  <c r="E43" i="30"/>
  <c r="D43" i="30"/>
  <c r="C43" i="30"/>
  <c r="D33" i="30"/>
  <c r="D246" i="30" s="1"/>
  <c r="C29" i="30"/>
  <c r="E28" i="30"/>
  <c r="E29" i="30" s="1"/>
  <c r="D28" i="30"/>
  <c r="D29" i="30" s="1"/>
  <c r="C28" i="30"/>
  <c r="C271" i="30" s="1"/>
  <c r="H27" i="30"/>
  <c r="G27" i="30"/>
  <c r="F27" i="30"/>
  <c r="E27" i="30"/>
  <c r="D27" i="30"/>
  <c r="C27" i="30"/>
  <c r="J26" i="30"/>
  <c r="G25" i="30"/>
  <c r="H25" i="30" s="1"/>
  <c r="E25" i="30"/>
  <c r="F25" i="30" s="1"/>
  <c r="F24" i="30" s="1"/>
  <c r="G24" i="30" s="1"/>
  <c r="D25" i="30"/>
  <c r="C25" i="30"/>
  <c r="D22" i="30"/>
  <c r="E21" i="30"/>
  <c r="F21" i="30" s="1"/>
  <c r="D21" i="30"/>
  <c r="C21" i="30"/>
  <c r="G19" i="30"/>
  <c r="H19" i="30" s="1"/>
  <c r="H18" i="30" s="1"/>
  <c r="J18" i="30" s="1"/>
  <c r="F19" i="30"/>
  <c r="E19" i="30"/>
  <c r="D19" i="30"/>
  <c r="C19" i="30"/>
  <c r="E16" i="30"/>
  <c r="D16" i="30"/>
  <c r="C15" i="30"/>
  <c r="E14" i="30"/>
  <c r="D14" i="30"/>
  <c r="C14" i="30"/>
  <c r="D15" i="30" s="1"/>
  <c r="E12" i="30"/>
  <c r="D12" i="30"/>
  <c r="C12" i="30"/>
  <c r="J10" i="30"/>
  <c r="W32" i="29"/>
  <c r="V32" i="29"/>
  <c r="U32" i="29"/>
  <c r="T32" i="29"/>
  <c r="S32" i="29"/>
  <c r="R32" i="29"/>
  <c r="Q32" i="29"/>
  <c r="P32" i="29"/>
  <c r="O32" i="29"/>
  <c r="N32" i="29"/>
  <c r="M32" i="29"/>
  <c r="L32" i="29"/>
  <c r="K32" i="29"/>
  <c r="G32" i="29"/>
  <c r="W31" i="29"/>
  <c r="V31" i="29"/>
  <c r="U31" i="29"/>
  <c r="S31" i="29"/>
  <c r="R31" i="29"/>
  <c r="Q31" i="29"/>
  <c r="N31" i="29"/>
  <c r="M31" i="29"/>
  <c r="L31" i="29"/>
  <c r="G31" i="29"/>
  <c r="W30" i="29"/>
  <c r="V30" i="29"/>
  <c r="U30" i="29"/>
  <c r="S30" i="29"/>
  <c r="R30" i="29"/>
  <c r="Q30" i="29"/>
  <c r="N30" i="29"/>
  <c r="M30" i="29"/>
  <c r="L30" i="29"/>
  <c r="G30" i="29"/>
  <c r="W29" i="29"/>
  <c r="V29" i="29"/>
  <c r="U29" i="29"/>
  <c r="S29" i="29"/>
  <c r="R29" i="29"/>
  <c r="Q29" i="29"/>
  <c r="N29" i="29"/>
  <c r="M29" i="29"/>
  <c r="L29" i="29"/>
  <c r="G29" i="29"/>
  <c r="W28" i="29"/>
  <c r="V28" i="29"/>
  <c r="U28" i="29"/>
  <c r="S28" i="29"/>
  <c r="R28" i="29"/>
  <c r="Q28" i="29"/>
  <c r="N28" i="29"/>
  <c r="M28" i="29"/>
  <c r="L28" i="29"/>
  <c r="G28" i="29"/>
  <c r="W27" i="29"/>
  <c r="V27" i="29"/>
  <c r="U27" i="29"/>
  <c r="S27" i="29"/>
  <c r="R27" i="29"/>
  <c r="Q27" i="29"/>
  <c r="N27" i="29"/>
  <c r="M27" i="29"/>
  <c r="L27" i="29"/>
  <c r="G27" i="29"/>
  <c r="J25" i="29"/>
  <c r="H25" i="29"/>
  <c r="F25" i="29"/>
  <c r="J24" i="29"/>
  <c r="H24" i="29"/>
  <c r="F24" i="29"/>
  <c r="J23" i="29"/>
  <c r="H23" i="29"/>
  <c r="F23" i="29"/>
  <c r="H22" i="29"/>
  <c r="J21" i="29"/>
  <c r="H21" i="29"/>
  <c r="F21" i="29"/>
  <c r="H20" i="29"/>
  <c r="H19" i="29"/>
  <c r="H18" i="29"/>
  <c r="H40" i="28"/>
  <c r="H36" i="28"/>
  <c r="F36" i="28"/>
  <c r="F35" i="28"/>
  <c r="I35" i="28" s="1"/>
  <c r="F34" i="28"/>
  <c r="I34" i="28" s="1"/>
  <c r="F33" i="28"/>
  <c r="I33" i="28" s="1"/>
  <c r="L30" i="28"/>
  <c r="L31" i="28" s="1"/>
  <c r="L28" i="28"/>
  <c r="L27" i="28" s="1"/>
  <c r="Q26" i="28"/>
  <c r="P26" i="28"/>
  <c r="N26" i="28"/>
  <c r="M26" i="28"/>
  <c r="C26" i="28"/>
  <c r="C24" i="28"/>
  <c r="L22" i="28"/>
  <c r="L21" i="28"/>
  <c r="C20" i="28"/>
  <c r="L19" i="28"/>
  <c r="L18" i="28" s="1"/>
  <c r="C19" i="28"/>
  <c r="C18" i="28"/>
  <c r="P17" i="28"/>
  <c r="Q17" i="28" s="1"/>
  <c r="N17" i="28"/>
  <c r="M17" i="28"/>
  <c r="H21" i="28"/>
  <c r="F8" i="28" s="1"/>
  <c r="L12" i="28"/>
  <c r="L13" i="28" s="1"/>
  <c r="L10" i="28"/>
  <c r="L9" i="28" s="1"/>
  <c r="H10" i="28"/>
  <c r="H9" i="28"/>
  <c r="C9" i="28"/>
  <c r="C23" i="28" s="1"/>
  <c r="Q8" i="28"/>
  <c r="P8" i="28"/>
  <c r="N8" i="28"/>
  <c r="M8" i="28"/>
  <c r="B2" i="28"/>
  <c r="E80" i="27"/>
  <c r="B77" i="27"/>
  <c r="D67" i="27"/>
  <c r="E62" i="27"/>
  <c r="C62" i="27"/>
  <c r="B56" i="27"/>
  <c r="B55" i="27"/>
  <c r="B54" i="27"/>
  <c r="B53" i="27"/>
  <c r="E57" i="27"/>
  <c r="C57" i="27"/>
  <c r="B52" i="27"/>
  <c r="C50" i="27"/>
  <c r="L49" i="27"/>
  <c r="K49" i="27"/>
  <c r="J49" i="27"/>
  <c r="I49" i="27"/>
  <c r="H49" i="27"/>
  <c r="G49" i="27"/>
  <c r="J30" i="27"/>
  <c r="J28" i="27"/>
  <c r="C35" i="27"/>
  <c r="C41" i="27" s="1"/>
  <c r="E41" i="27" s="1"/>
  <c r="K31" i="27"/>
  <c r="C43" i="27" s="1"/>
  <c r="E43" i="27" s="1"/>
  <c r="J26" i="27"/>
  <c r="C26" i="27"/>
  <c r="C7" i="27"/>
  <c r="C10" i="27" s="1"/>
  <c r="C81" i="27" s="1"/>
  <c r="E50" i="27"/>
  <c r="G50" i="27" s="1"/>
  <c r="H223" i="26"/>
  <c r="G223" i="26"/>
  <c r="F223" i="26"/>
  <c r="E223" i="26"/>
  <c r="D223" i="26"/>
  <c r="C223" i="26"/>
  <c r="H220" i="26"/>
  <c r="G220" i="26"/>
  <c r="F220" i="26"/>
  <c r="E220" i="26"/>
  <c r="D220" i="26"/>
  <c r="H217" i="26"/>
  <c r="Q207" i="26"/>
  <c r="Q33" i="26" s="1"/>
  <c r="P207" i="26"/>
  <c r="O207" i="26"/>
  <c r="O33" i="26" s="1"/>
  <c r="N207" i="26"/>
  <c r="N33" i="26" s="1"/>
  <c r="M207" i="26"/>
  <c r="M33" i="26" s="1"/>
  <c r="L207" i="26"/>
  <c r="L33" i="26" s="1"/>
  <c r="H207" i="26"/>
  <c r="G207" i="26"/>
  <c r="F207" i="26"/>
  <c r="E207" i="26"/>
  <c r="D207" i="26"/>
  <c r="C207" i="26"/>
  <c r="L206" i="26"/>
  <c r="M206" i="26" s="1"/>
  <c r="N206" i="26" s="1"/>
  <c r="O206" i="26" s="1"/>
  <c r="P206" i="26" s="1"/>
  <c r="Q206" i="26" s="1"/>
  <c r="G201" i="26"/>
  <c r="Q198" i="26"/>
  <c r="P198" i="26"/>
  <c r="O198" i="26"/>
  <c r="N198" i="26"/>
  <c r="M198" i="26"/>
  <c r="L198" i="26"/>
  <c r="H197" i="26"/>
  <c r="L196" i="26"/>
  <c r="M196" i="26" s="1"/>
  <c r="N196" i="26" s="1"/>
  <c r="O196" i="26" s="1"/>
  <c r="P196" i="26" s="1"/>
  <c r="Q196" i="26" s="1"/>
  <c r="H193" i="26"/>
  <c r="G193" i="26"/>
  <c r="F193" i="26"/>
  <c r="E193" i="26"/>
  <c r="D193" i="26"/>
  <c r="C193" i="26"/>
  <c r="E189" i="26"/>
  <c r="F186" i="26" s="1"/>
  <c r="E186" i="26"/>
  <c r="G176" i="26"/>
  <c r="H172" i="26" s="1"/>
  <c r="L175" i="26"/>
  <c r="L217" i="26" s="1"/>
  <c r="G217" i="26"/>
  <c r="F217" i="26"/>
  <c r="E217" i="26"/>
  <c r="D217" i="26"/>
  <c r="L174" i="26"/>
  <c r="L124" i="26" s="1"/>
  <c r="F169" i="26"/>
  <c r="G166" i="26" s="1"/>
  <c r="D166" i="26"/>
  <c r="H158" i="26"/>
  <c r="G158" i="26"/>
  <c r="F158" i="26"/>
  <c r="E158" i="26"/>
  <c r="D158" i="26"/>
  <c r="C158" i="26"/>
  <c r="H151" i="26"/>
  <c r="G151" i="26"/>
  <c r="F151" i="26"/>
  <c r="E151" i="26"/>
  <c r="D151" i="26"/>
  <c r="C151" i="26"/>
  <c r="C148" i="26"/>
  <c r="P156" i="26" s="1"/>
  <c r="H146" i="26"/>
  <c r="G146" i="26"/>
  <c r="F146" i="26"/>
  <c r="E146" i="26"/>
  <c r="D146" i="26"/>
  <c r="C146" i="26"/>
  <c r="E139" i="26"/>
  <c r="C139" i="26"/>
  <c r="H139" i="26"/>
  <c r="G139" i="26"/>
  <c r="D139" i="26"/>
  <c r="C118" i="26"/>
  <c r="C119" i="26" s="1"/>
  <c r="H124" i="26"/>
  <c r="G124" i="26"/>
  <c r="E124" i="26"/>
  <c r="D124" i="26"/>
  <c r="C124" i="26"/>
  <c r="L123" i="26"/>
  <c r="H123" i="26"/>
  <c r="G123" i="26"/>
  <c r="F123" i="26"/>
  <c r="E123" i="26"/>
  <c r="D123" i="26"/>
  <c r="H122" i="26"/>
  <c r="F122" i="26"/>
  <c r="H119" i="26"/>
  <c r="P118" i="26"/>
  <c r="P119" i="26" s="1"/>
  <c r="O118" i="26"/>
  <c r="O119" i="26" s="1"/>
  <c r="M118" i="26"/>
  <c r="M119" i="26" s="1"/>
  <c r="L118" i="26"/>
  <c r="L119" i="26" s="1"/>
  <c r="H118" i="26"/>
  <c r="G118" i="26"/>
  <c r="G119" i="26" s="1"/>
  <c r="E118" i="26"/>
  <c r="E119" i="26" s="1"/>
  <c r="D118" i="26"/>
  <c r="D119" i="26" s="1"/>
  <c r="G115" i="26"/>
  <c r="D111" i="26"/>
  <c r="F110" i="26"/>
  <c r="F107" i="26"/>
  <c r="F131" i="26" s="1"/>
  <c r="B107" i="26"/>
  <c r="J106" i="26"/>
  <c r="B106" i="26"/>
  <c r="H101" i="26"/>
  <c r="D101" i="26"/>
  <c r="L100" i="26"/>
  <c r="M100" i="26" s="1"/>
  <c r="N100" i="26" s="1"/>
  <c r="O100" i="26" s="1"/>
  <c r="P100" i="26" s="1"/>
  <c r="Q100" i="26" s="1"/>
  <c r="S100" i="26" s="1"/>
  <c r="J100" i="26"/>
  <c r="F176" i="26"/>
  <c r="G172" i="26" s="1"/>
  <c r="D176" i="26"/>
  <c r="E172" i="26" s="1"/>
  <c r="C176" i="26"/>
  <c r="D172" i="26" s="1"/>
  <c r="G101" i="26"/>
  <c r="F101" i="26"/>
  <c r="C101" i="26"/>
  <c r="D95" i="26"/>
  <c r="H115" i="26"/>
  <c r="F115" i="26"/>
  <c r="D115" i="26"/>
  <c r="G121" i="26"/>
  <c r="C201" i="26"/>
  <c r="H189" i="26"/>
  <c r="L186" i="26" s="1"/>
  <c r="E122" i="26"/>
  <c r="D189" i="26"/>
  <c r="J90" i="26"/>
  <c r="F95" i="26"/>
  <c r="J85" i="26"/>
  <c r="G169" i="26"/>
  <c r="H166" i="26" s="1"/>
  <c r="E169" i="26"/>
  <c r="D169" i="26"/>
  <c r="C169" i="26"/>
  <c r="H137" i="26"/>
  <c r="L134" i="26" s="1"/>
  <c r="G137" i="26"/>
  <c r="H134" i="26" s="1"/>
  <c r="F137" i="26"/>
  <c r="G134" i="26" s="1"/>
  <c r="E137" i="26"/>
  <c r="F134" i="26" s="1"/>
  <c r="D137" i="26"/>
  <c r="E134" i="26" s="1"/>
  <c r="J82" i="26"/>
  <c r="H112" i="26"/>
  <c r="G112" i="26"/>
  <c r="F112" i="26"/>
  <c r="L180" i="26"/>
  <c r="H180" i="26"/>
  <c r="G180" i="26"/>
  <c r="E180" i="26"/>
  <c r="B77" i="26"/>
  <c r="S76" i="26"/>
  <c r="S106" i="26" s="1"/>
  <c r="J76" i="26"/>
  <c r="B76" i="26"/>
  <c r="K75" i="26"/>
  <c r="E67" i="26"/>
  <c r="B55" i="26"/>
  <c r="G51" i="26"/>
  <c r="F163" i="26"/>
  <c r="F161" i="26" s="1"/>
  <c r="C163" i="26"/>
  <c r="C161" i="26" s="1"/>
  <c r="J38" i="26"/>
  <c r="L35" i="26"/>
  <c r="M35" i="26" s="1"/>
  <c r="N35" i="26" s="1"/>
  <c r="O35" i="26" s="1"/>
  <c r="P35" i="26" s="1"/>
  <c r="Q35" i="26" s="1"/>
  <c r="S35" i="26" s="1"/>
  <c r="J35" i="26"/>
  <c r="J34" i="26"/>
  <c r="P33" i="26"/>
  <c r="J33" i="26"/>
  <c r="F67" i="26"/>
  <c r="H66" i="26"/>
  <c r="E66" i="26"/>
  <c r="J26" i="26"/>
  <c r="H65" i="26"/>
  <c r="G65" i="26"/>
  <c r="G24" i="26"/>
  <c r="G55" i="26"/>
  <c r="E55" i="26"/>
  <c r="B23" i="26"/>
  <c r="F54" i="26"/>
  <c r="D54" i="26"/>
  <c r="B22" i="26"/>
  <c r="B54" i="26" s="1"/>
  <c r="G53" i="26"/>
  <c r="E53" i="26"/>
  <c r="B21" i="26"/>
  <c r="B53" i="26" s="1"/>
  <c r="H52" i="26"/>
  <c r="G52" i="26"/>
  <c r="F52" i="26"/>
  <c r="D52" i="26"/>
  <c r="B20" i="26"/>
  <c r="B52" i="26" s="1"/>
  <c r="H24" i="26"/>
  <c r="H73" i="26" s="1"/>
  <c r="F51" i="26"/>
  <c r="E51" i="26"/>
  <c r="C24" i="26"/>
  <c r="B19" i="26"/>
  <c r="B51" i="26" s="1"/>
  <c r="H17" i="26"/>
  <c r="G17" i="26"/>
  <c r="G77" i="26" s="1"/>
  <c r="G107" i="26" s="1"/>
  <c r="G131" i="26" s="1"/>
  <c r="F17" i="26"/>
  <c r="F77" i="26" s="1"/>
  <c r="E17" i="26"/>
  <c r="E77" i="26" s="1"/>
  <c r="E107" i="26" s="1"/>
  <c r="E131" i="26" s="1"/>
  <c r="D17" i="26"/>
  <c r="D77" i="26" s="1"/>
  <c r="D107" i="26" s="1"/>
  <c r="D131" i="26" s="1"/>
  <c r="C17" i="26"/>
  <c r="C77" i="26" s="1"/>
  <c r="C107" i="26" s="1"/>
  <c r="C131" i="26" s="1"/>
  <c r="H16" i="26"/>
  <c r="L16" i="26" s="1"/>
  <c r="G16" i="26"/>
  <c r="G76" i="26" s="1"/>
  <c r="G106" i="26" s="1"/>
  <c r="G130" i="26" s="1"/>
  <c r="F16" i="26"/>
  <c r="F76" i="26" s="1"/>
  <c r="F106" i="26" s="1"/>
  <c r="F130" i="26" s="1"/>
  <c r="E16" i="26"/>
  <c r="E76" i="26" s="1"/>
  <c r="E106" i="26" s="1"/>
  <c r="E130" i="26" s="1"/>
  <c r="D16" i="26"/>
  <c r="D76" i="26" s="1"/>
  <c r="D106" i="26" s="1"/>
  <c r="D130" i="26" s="1"/>
  <c r="C16" i="26"/>
  <c r="C76" i="26" s="1"/>
  <c r="C106" i="26" s="1"/>
  <c r="C130" i="26" s="1"/>
  <c r="C12" i="26"/>
  <c r="B2" i="25"/>
  <c r="E21" i="31" l="1"/>
  <c r="H28" i="29"/>
  <c r="C10" i="29"/>
  <c r="J18" i="29" s="1"/>
  <c r="H29" i="29"/>
  <c r="H27" i="29"/>
  <c r="C8" i="29"/>
  <c r="F18" i="29" s="1"/>
  <c r="P152" i="26"/>
  <c r="L152" i="26"/>
  <c r="M153" i="26"/>
  <c r="M152" i="26"/>
  <c r="O152" i="26"/>
  <c r="Q153" i="26"/>
  <c r="Q156" i="26"/>
  <c r="O155" i="26"/>
  <c r="S33" i="26"/>
  <c r="M8" i="31"/>
  <c r="L8" i="31"/>
  <c r="F20" i="31"/>
  <c r="F19" i="31"/>
  <c r="F18" i="31"/>
  <c r="F17" i="31"/>
  <c r="F16" i="31"/>
  <c r="H10" i="31"/>
  <c r="F21" i="31"/>
  <c r="M11" i="31"/>
  <c r="L11" i="31"/>
  <c r="I17" i="31"/>
  <c r="M12" i="31"/>
  <c r="L12" i="31"/>
  <c r="M14" i="31"/>
  <c r="L14" i="31"/>
  <c r="M13" i="31"/>
  <c r="L13" i="31"/>
  <c r="I18" i="31"/>
  <c r="I19" i="31"/>
  <c r="E16" i="31"/>
  <c r="I20" i="31"/>
  <c r="E17" i="31"/>
  <c r="I21" i="31"/>
  <c r="E18" i="31"/>
  <c r="E19" i="31"/>
  <c r="I16" i="31"/>
  <c r="E20" i="31"/>
  <c r="F46" i="30"/>
  <c r="G47" i="30"/>
  <c r="H47" i="30" s="1"/>
  <c r="H24" i="30"/>
  <c r="J24" i="30" s="1"/>
  <c r="G111" i="30"/>
  <c r="H111" i="30" s="1"/>
  <c r="F110" i="30"/>
  <c r="E166" i="30"/>
  <c r="F167" i="30"/>
  <c r="G167" i="30" s="1"/>
  <c r="H167" i="30" s="1"/>
  <c r="G21" i="30"/>
  <c r="H21" i="30" s="1"/>
  <c r="F20" i="30"/>
  <c r="G20" i="30" s="1"/>
  <c r="H20" i="30" s="1"/>
  <c r="J20" i="30" s="1"/>
  <c r="D355" i="30"/>
  <c r="D293" i="30"/>
  <c r="D263" i="30"/>
  <c r="D186" i="30"/>
  <c r="C13" i="30"/>
  <c r="E355" i="30"/>
  <c r="E263" i="30"/>
  <c r="E186" i="30"/>
  <c r="J50" i="30"/>
  <c r="J78" i="30"/>
  <c r="D115" i="30"/>
  <c r="E115" i="30" s="1"/>
  <c r="F115" i="30" s="1"/>
  <c r="G115" i="30" s="1"/>
  <c r="H115" i="30" s="1"/>
  <c r="C115" i="30"/>
  <c r="D117" i="30"/>
  <c r="D118" i="30" s="1"/>
  <c r="G85" i="30"/>
  <c r="H85" i="30" s="1"/>
  <c r="F84" i="30"/>
  <c r="D345" i="30"/>
  <c r="D185" i="30"/>
  <c r="D215" i="30"/>
  <c r="D237" i="30"/>
  <c r="D37" i="30"/>
  <c r="E13" i="30"/>
  <c r="C22" i="30"/>
  <c r="C33" i="30" s="1"/>
  <c r="D35" i="30"/>
  <c r="D226" i="30" s="1"/>
  <c r="C59" i="30"/>
  <c r="C30" i="30"/>
  <c r="C95" i="30"/>
  <c r="C96" i="30" s="1"/>
  <c r="D79" i="30"/>
  <c r="C109" i="30"/>
  <c r="D123" i="30"/>
  <c r="F138" i="30"/>
  <c r="G138" i="30" s="1"/>
  <c r="H138" i="30" s="1"/>
  <c r="J138" i="30" s="1"/>
  <c r="D148" i="30"/>
  <c r="G83" i="30"/>
  <c r="H83" i="30" s="1"/>
  <c r="F82" i="30"/>
  <c r="C16" i="30"/>
  <c r="J526" i="30"/>
  <c r="J402" i="30"/>
  <c r="J342" i="30"/>
  <c r="J454" i="30"/>
  <c r="J428" i="30"/>
  <c r="J478" i="30"/>
  <c r="J502" i="30"/>
  <c r="J314" i="30"/>
  <c r="J182" i="30"/>
  <c r="J286" i="30"/>
  <c r="J370" i="30"/>
  <c r="J234" i="30"/>
  <c r="J256" i="30"/>
  <c r="J212" i="30"/>
  <c r="J128" i="30"/>
  <c r="J100" i="30"/>
  <c r="C65" i="30"/>
  <c r="C66" i="30" s="1"/>
  <c r="C61" i="30"/>
  <c r="C62" i="30" s="1"/>
  <c r="C67" i="30"/>
  <c r="C68" i="30" s="1"/>
  <c r="E51" i="30"/>
  <c r="G56" i="30"/>
  <c r="D61" i="30"/>
  <c r="C63" i="30"/>
  <c r="C64" i="30" s="1"/>
  <c r="D65" i="30"/>
  <c r="D66" i="30" s="1"/>
  <c r="D91" i="30"/>
  <c r="G79" i="30"/>
  <c r="C89" i="30"/>
  <c r="C90" i="30" s="1"/>
  <c r="G104" i="30"/>
  <c r="H104" i="30" s="1"/>
  <c r="J104" i="30" s="1"/>
  <c r="D109" i="30"/>
  <c r="F141" i="30"/>
  <c r="G141" i="30" s="1"/>
  <c r="H141" i="30" s="1"/>
  <c r="E140" i="30"/>
  <c r="H184" i="30"/>
  <c r="J326" i="30"/>
  <c r="G49" i="30"/>
  <c r="H49" i="30" s="1"/>
  <c r="F48" i="30"/>
  <c r="F136" i="30"/>
  <c r="G137" i="30"/>
  <c r="H137" i="30" s="1"/>
  <c r="E345" i="30"/>
  <c r="E289" i="30"/>
  <c r="E185" i="30"/>
  <c r="E215" i="30"/>
  <c r="E237" i="30"/>
  <c r="D243" i="30"/>
  <c r="D221" i="30"/>
  <c r="D199" i="30"/>
  <c r="D273" i="30"/>
  <c r="D31" i="30"/>
  <c r="D353" i="30"/>
  <c r="D269" i="30"/>
  <c r="D188" i="30"/>
  <c r="E22" i="30"/>
  <c r="E23" i="30" s="1"/>
  <c r="F23" i="30" s="1"/>
  <c r="G23" i="30" s="1"/>
  <c r="H23" i="30" s="1"/>
  <c r="C357" i="30"/>
  <c r="C196" i="30"/>
  <c r="C241" i="30"/>
  <c r="J44" i="30"/>
  <c r="D67" i="30"/>
  <c r="D63" i="30"/>
  <c r="D64" i="30" s="1"/>
  <c r="D89" i="30"/>
  <c r="D90" i="30" s="1"/>
  <c r="C91" i="30"/>
  <c r="C92" i="30" s="1"/>
  <c r="D93" i="30"/>
  <c r="D94" i="30" s="1"/>
  <c r="D95" i="30"/>
  <c r="D96" i="30" s="1"/>
  <c r="G105" i="30"/>
  <c r="H105" i="30" s="1"/>
  <c r="G107" i="30"/>
  <c r="J154" i="30"/>
  <c r="G160" i="30"/>
  <c r="H160" i="30" s="1"/>
  <c r="J160" i="30" s="1"/>
  <c r="D13" i="30"/>
  <c r="E353" i="30"/>
  <c r="E299" i="30"/>
  <c r="E269" i="30"/>
  <c r="E188" i="30"/>
  <c r="D357" i="30"/>
  <c r="D196" i="30"/>
  <c r="D271" i="30"/>
  <c r="D219" i="30"/>
  <c r="D241" i="30"/>
  <c r="J106" i="30"/>
  <c r="F130" i="30"/>
  <c r="D276" i="30"/>
  <c r="C355" i="30"/>
  <c r="C293" i="30"/>
  <c r="C263" i="30"/>
  <c r="C186" i="30"/>
  <c r="E357" i="30"/>
  <c r="E196" i="30"/>
  <c r="E271" i="30"/>
  <c r="E219" i="30"/>
  <c r="E241" i="30"/>
  <c r="D39" i="30"/>
  <c r="D230" i="30" s="1"/>
  <c r="E107" i="30"/>
  <c r="D121" i="30"/>
  <c r="D122" i="30" s="1"/>
  <c r="C119" i="30"/>
  <c r="C120" i="30" s="1"/>
  <c r="G133" i="30"/>
  <c r="H133" i="30" s="1"/>
  <c r="F132" i="30"/>
  <c r="G132" i="30" s="1"/>
  <c r="H132" i="30" s="1"/>
  <c r="J132" i="30" s="1"/>
  <c r="C345" i="30"/>
  <c r="C185" i="30"/>
  <c r="C215" i="30"/>
  <c r="C237" i="30"/>
  <c r="E15" i="30"/>
  <c r="D59" i="30"/>
  <c r="E59" i="30" s="1"/>
  <c r="F59" i="30" s="1"/>
  <c r="G59" i="30" s="1"/>
  <c r="H59" i="30" s="1"/>
  <c r="G75" i="30"/>
  <c r="H75" i="30" s="1"/>
  <c r="F74" i="30"/>
  <c r="G102" i="30"/>
  <c r="F112" i="30"/>
  <c r="G113" i="30"/>
  <c r="H113" i="30" s="1"/>
  <c r="D119" i="30"/>
  <c r="D120" i="30" s="1"/>
  <c r="H156" i="30"/>
  <c r="E79" i="30"/>
  <c r="C121" i="30"/>
  <c r="C122" i="30" s="1"/>
  <c r="G163" i="30"/>
  <c r="H163" i="30" s="1"/>
  <c r="F162" i="30"/>
  <c r="G162" i="30" s="1"/>
  <c r="H162" i="30" s="1"/>
  <c r="J162" i="30" s="1"/>
  <c r="J262" i="30"/>
  <c r="E295" i="30"/>
  <c r="E307" i="30"/>
  <c r="D301" i="30"/>
  <c r="E445" i="30"/>
  <c r="E446" i="30" s="1"/>
  <c r="E441" i="30"/>
  <c r="E442" i="30" s="1"/>
  <c r="E447" i="30"/>
  <c r="E448" i="30" s="1"/>
  <c r="E443" i="30"/>
  <c r="E444" i="30" s="1"/>
  <c r="F436" i="30"/>
  <c r="G436" i="30" s="1"/>
  <c r="H436" i="30" s="1"/>
  <c r="J436" i="30" s="1"/>
  <c r="C172" i="30"/>
  <c r="G197" i="30"/>
  <c r="F267" i="30"/>
  <c r="F296" i="30"/>
  <c r="F298" i="30"/>
  <c r="F319" i="30"/>
  <c r="D336" i="30"/>
  <c r="E301" i="30"/>
  <c r="F325" i="30"/>
  <c r="G192" i="30"/>
  <c r="F223" i="30"/>
  <c r="G214" i="30"/>
  <c r="F227" i="30"/>
  <c r="F225" i="30"/>
  <c r="F229" i="30"/>
  <c r="H294" i="30"/>
  <c r="H265" i="30"/>
  <c r="H321" i="30"/>
  <c r="G296" i="30"/>
  <c r="G297" i="30" s="1"/>
  <c r="G267" i="30"/>
  <c r="C303" i="30"/>
  <c r="C309" i="30"/>
  <c r="C289" i="30"/>
  <c r="C307" i="30"/>
  <c r="C305" i="30"/>
  <c r="H324" i="30"/>
  <c r="G325" i="30"/>
  <c r="G385" i="30"/>
  <c r="H385" i="30" s="1"/>
  <c r="F384" i="30"/>
  <c r="G384" i="30" s="1"/>
  <c r="H384" i="30" s="1"/>
  <c r="J384" i="30" s="1"/>
  <c r="C123" i="30"/>
  <c r="C124" i="30" s="1"/>
  <c r="C107" i="30"/>
  <c r="H220" i="30"/>
  <c r="J264" i="30"/>
  <c r="H266" i="30"/>
  <c r="H268" i="30"/>
  <c r="H319" i="30" s="1"/>
  <c r="H272" i="30"/>
  <c r="D303" i="30"/>
  <c r="D304" i="30" s="1"/>
  <c r="D309" i="30"/>
  <c r="D289" i="30"/>
  <c r="D307" i="30"/>
  <c r="D308" i="30" s="1"/>
  <c r="D305" i="30"/>
  <c r="D306" i="30" s="1"/>
  <c r="D299" i="30"/>
  <c r="C334" i="30"/>
  <c r="J190" i="30"/>
  <c r="H191" i="30"/>
  <c r="F288" i="30"/>
  <c r="F279" i="30"/>
  <c r="G258" i="30"/>
  <c r="F275" i="30"/>
  <c r="F281" i="30"/>
  <c r="D280" i="30"/>
  <c r="E334" i="30"/>
  <c r="G373" i="30"/>
  <c r="H373" i="30" s="1"/>
  <c r="F372" i="30"/>
  <c r="H218" i="30"/>
  <c r="F327" i="30"/>
  <c r="F300" i="30"/>
  <c r="G298" i="30"/>
  <c r="D224" i="30"/>
  <c r="H270" i="30"/>
  <c r="G300" i="30"/>
  <c r="E249" i="30"/>
  <c r="E309" i="30"/>
  <c r="E303" i="30"/>
  <c r="D334" i="30"/>
  <c r="G354" i="30"/>
  <c r="F245" i="30"/>
  <c r="G236" i="30"/>
  <c r="F251" i="30"/>
  <c r="E335" i="30"/>
  <c r="E336" i="30" s="1"/>
  <c r="E329" i="30"/>
  <c r="E330" i="30" s="1"/>
  <c r="E331" i="30"/>
  <c r="E332" i="30" s="1"/>
  <c r="C336" i="30"/>
  <c r="G189" i="30"/>
  <c r="E227" i="30"/>
  <c r="J240" i="30"/>
  <c r="E305" i="30"/>
  <c r="G319" i="30"/>
  <c r="F322" i="30"/>
  <c r="J290" i="30"/>
  <c r="E293" i="30"/>
  <c r="C330" i="30"/>
  <c r="H349" i="30"/>
  <c r="H350" i="30"/>
  <c r="G361" i="30"/>
  <c r="G405" i="30"/>
  <c r="H405" i="30" s="1"/>
  <c r="F404" i="30"/>
  <c r="J318" i="30"/>
  <c r="G327" i="30"/>
  <c r="D330" i="30"/>
  <c r="F361" i="30"/>
  <c r="D364" i="30"/>
  <c r="G481" i="30"/>
  <c r="H481" i="30" s="1"/>
  <c r="F480" i="30"/>
  <c r="F335" i="30"/>
  <c r="F336" i="30" s="1"/>
  <c r="F333" i="30"/>
  <c r="F334" i="30" s="1"/>
  <c r="H352" i="30"/>
  <c r="G379" i="30"/>
  <c r="H379" i="30" s="1"/>
  <c r="F378" i="30"/>
  <c r="G378" i="30" s="1"/>
  <c r="H378" i="30" s="1"/>
  <c r="J378" i="30" s="1"/>
  <c r="E458" i="30"/>
  <c r="F331" i="30"/>
  <c r="F332" i="30" s="1"/>
  <c r="J344" i="30"/>
  <c r="F351" i="30"/>
  <c r="G383" i="30"/>
  <c r="H383" i="30" s="1"/>
  <c r="F382" i="30"/>
  <c r="G382" i="30" s="1"/>
  <c r="H382" i="30" s="1"/>
  <c r="J382" i="30" s="1"/>
  <c r="F413" i="30"/>
  <c r="G413" i="30" s="1"/>
  <c r="H413" i="30" s="1"/>
  <c r="E412" i="30"/>
  <c r="D423" i="30"/>
  <c r="D424" i="30" s="1"/>
  <c r="F483" i="30"/>
  <c r="G483" i="30" s="1"/>
  <c r="H483" i="30" s="1"/>
  <c r="E482" i="30"/>
  <c r="C509" i="30"/>
  <c r="C517" i="30"/>
  <c r="C518" i="30" s="1"/>
  <c r="C513" i="30"/>
  <c r="C514" i="30" s="1"/>
  <c r="C519" i="30"/>
  <c r="C520" i="30" s="1"/>
  <c r="C515" i="30"/>
  <c r="C516" i="30" s="1"/>
  <c r="G529" i="30"/>
  <c r="H529" i="30" s="1"/>
  <c r="F528" i="30"/>
  <c r="G533" i="30"/>
  <c r="H533" i="30" s="1"/>
  <c r="F532" i="30"/>
  <c r="G431" i="30"/>
  <c r="H431" i="30" s="1"/>
  <c r="F430" i="30"/>
  <c r="E537" i="30"/>
  <c r="E538" i="30" s="1"/>
  <c r="E543" i="30"/>
  <c r="E544" i="30" s="1"/>
  <c r="E539" i="30"/>
  <c r="E540" i="30" s="1"/>
  <c r="F530" i="30"/>
  <c r="G530" i="30" s="1"/>
  <c r="H530" i="30" s="1"/>
  <c r="J530" i="30" s="1"/>
  <c r="E541" i="30"/>
  <c r="E542" i="30" s="1"/>
  <c r="D360" i="30"/>
  <c r="G381" i="30"/>
  <c r="H381" i="30" s="1"/>
  <c r="F380" i="30"/>
  <c r="G406" i="30"/>
  <c r="H406" i="30" s="1"/>
  <c r="J406" i="30" s="1"/>
  <c r="E419" i="30"/>
  <c r="E420" i="30" s="1"/>
  <c r="H432" i="30"/>
  <c r="D472" i="30"/>
  <c r="D509" i="30"/>
  <c r="E509" i="30" s="1"/>
  <c r="F509" i="30" s="1"/>
  <c r="G509" i="30" s="1"/>
  <c r="H509" i="30" s="1"/>
  <c r="D366" i="30"/>
  <c r="G435" i="30"/>
  <c r="H435" i="30" s="1"/>
  <c r="F434" i="30"/>
  <c r="G505" i="30"/>
  <c r="H505" i="30" s="1"/>
  <c r="F504" i="30"/>
  <c r="G457" i="30"/>
  <c r="H457" i="30" s="1"/>
  <c r="F456" i="30"/>
  <c r="G485" i="30"/>
  <c r="H485" i="30" s="1"/>
  <c r="F484" i="30"/>
  <c r="F365" i="30"/>
  <c r="C409" i="30"/>
  <c r="D417" i="30"/>
  <c r="D418" i="30" s="1"/>
  <c r="E423" i="30"/>
  <c r="E424" i="30" s="1"/>
  <c r="E465" i="30"/>
  <c r="E466" i="30" s="1"/>
  <c r="C469" i="30"/>
  <c r="C470" i="30" s="1"/>
  <c r="F359" i="30"/>
  <c r="G365" i="30"/>
  <c r="D409" i="30"/>
  <c r="E417" i="30"/>
  <c r="C421" i="30"/>
  <c r="C422" i="30" s="1"/>
  <c r="C461" i="30"/>
  <c r="D469" i="30"/>
  <c r="D470" i="30" s="1"/>
  <c r="D515" i="30"/>
  <c r="D516" i="30" s="1"/>
  <c r="D396" i="30"/>
  <c r="E409" i="30"/>
  <c r="F409" i="30" s="1"/>
  <c r="G409" i="30" s="1"/>
  <c r="H409" i="30" s="1"/>
  <c r="C413" i="30"/>
  <c r="D421" i="30"/>
  <c r="D422" i="30" s="1"/>
  <c r="C446" i="30"/>
  <c r="D461" i="30"/>
  <c r="C492" i="30"/>
  <c r="D507" i="30"/>
  <c r="C538" i="30"/>
  <c r="F363" i="30"/>
  <c r="E421" i="30"/>
  <c r="E422" i="30" s="1"/>
  <c r="E461" i="30"/>
  <c r="F461" i="30" s="1"/>
  <c r="E507" i="30"/>
  <c r="F507" i="30" s="1"/>
  <c r="G507" i="30" s="1"/>
  <c r="H507" i="30" s="1"/>
  <c r="D519" i="30"/>
  <c r="G363" i="30"/>
  <c r="F408" i="30"/>
  <c r="D467" i="30"/>
  <c r="D468" i="30" s="1"/>
  <c r="C411" i="30"/>
  <c r="H32" i="29"/>
  <c r="H31" i="29"/>
  <c r="H30" i="29"/>
  <c r="I36" i="28"/>
  <c r="C13" i="28" s="1"/>
  <c r="C15" i="28" s="1"/>
  <c r="C25" i="28" s="1"/>
  <c r="C27" i="28" s="1"/>
  <c r="F9" i="28"/>
  <c r="C66" i="27"/>
  <c r="C63" i="27"/>
  <c r="E66" i="27"/>
  <c r="E63" i="27"/>
  <c r="C75" i="27"/>
  <c r="E75" i="27"/>
  <c r="G80" i="27"/>
  <c r="H50" i="27"/>
  <c r="J29" i="27"/>
  <c r="J27" i="27"/>
  <c r="H113" i="26"/>
  <c r="J89" i="26"/>
  <c r="H95" i="26"/>
  <c r="D66" i="26"/>
  <c r="D70" i="26"/>
  <c r="H50" i="26"/>
  <c r="F53" i="26"/>
  <c r="H77" i="26"/>
  <c r="H107" i="26" s="1"/>
  <c r="H131" i="26" s="1"/>
  <c r="J17" i="26"/>
  <c r="J77" i="26" s="1"/>
  <c r="J107" i="26" s="1"/>
  <c r="G27" i="26"/>
  <c r="L17" i="26"/>
  <c r="G54" i="26"/>
  <c r="F55" i="26"/>
  <c r="C27" i="26"/>
  <c r="J30" i="26"/>
  <c r="H67" i="26"/>
  <c r="H71" i="26"/>
  <c r="H27" i="26"/>
  <c r="D163" i="26"/>
  <c r="D161" i="26" s="1"/>
  <c r="D110" i="26"/>
  <c r="L76" i="26"/>
  <c r="M16" i="26"/>
  <c r="D24" i="26"/>
  <c r="D50" i="26" s="1"/>
  <c r="E218" i="26"/>
  <c r="E111" i="26"/>
  <c r="G103" i="26"/>
  <c r="F73" i="26"/>
  <c r="D53" i="26"/>
  <c r="E54" i="26"/>
  <c r="C70" i="26"/>
  <c r="G71" i="26"/>
  <c r="G67" i="26"/>
  <c r="C162" i="26"/>
  <c r="C167" i="26"/>
  <c r="C168" i="26" s="1"/>
  <c r="C114" i="26" s="1"/>
  <c r="D218" i="26"/>
  <c r="D73" i="26"/>
  <c r="E112" i="26"/>
  <c r="C137" i="26"/>
  <c r="D134" i="26" s="1"/>
  <c r="J84" i="26"/>
  <c r="H169" i="26"/>
  <c r="G86" i="26"/>
  <c r="J91" i="26"/>
  <c r="F139" i="26"/>
  <c r="F118" i="26"/>
  <c r="F119" i="26" s="1"/>
  <c r="Q118" i="26"/>
  <c r="Q157" i="26"/>
  <c r="H55" i="26"/>
  <c r="C197" i="26"/>
  <c r="C189" i="26"/>
  <c r="D186" i="26" s="1"/>
  <c r="J92" i="26"/>
  <c r="E110" i="26"/>
  <c r="E163" i="26"/>
  <c r="E161" i="26" s="1"/>
  <c r="H54" i="26"/>
  <c r="E65" i="26"/>
  <c r="F66" i="26"/>
  <c r="F167" i="26"/>
  <c r="G73" i="26"/>
  <c r="D65" i="26"/>
  <c r="H76" i="26"/>
  <c r="H106" i="26" s="1"/>
  <c r="H130" i="26" s="1"/>
  <c r="J83" i="26"/>
  <c r="D121" i="26"/>
  <c r="D125" i="26" s="1"/>
  <c r="D201" i="26"/>
  <c r="H53" i="26"/>
  <c r="G66" i="26"/>
  <c r="C71" i="26"/>
  <c r="H218" i="26"/>
  <c r="H111" i="26"/>
  <c r="F65" i="26"/>
  <c r="D180" i="26"/>
  <c r="J80" i="26"/>
  <c r="E166" i="26"/>
  <c r="E201" i="26"/>
  <c r="E121" i="26"/>
  <c r="E52" i="26"/>
  <c r="E24" i="26"/>
  <c r="E27" i="26" s="1"/>
  <c r="H70" i="26"/>
  <c r="D67" i="26"/>
  <c r="H110" i="26"/>
  <c r="H163" i="26"/>
  <c r="H161" i="26" s="1"/>
  <c r="H72" i="26"/>
  <c r="J44" i="26"/>
  <c r="J81" i="26"/>
  <c r="F166" i="26"/>
  <c r="F197" i="26"/>
  <c r="F189" i="26"/>
  <c r="G186" i="26" s="1"/>
  <c r="P154" i="26"/>
  <c r="N154" i="26"/>
  <c r="N118" i="26"/>
  <c r="N119" i="26" s="1"/>
  <c r="Q154" i="26"/>
  <c r="O154" i="26"/>
  <c r="D51" i="26"/>
  <c r="F218" i="26"/>
  <c r="F111" i="26"/>
  <c r="H51" i="26"/>
  <c r="D55" i="26"/>
  <c r="F24" i="26"/>
  <c r="J29" i="26"/>
  <c r="J41" i="26"/>
  <c r="F180" i="26"/>
  <c r="E86" i="26"/>
  <c r="C86" i="26"/>
  <c r="E95" i="26"/>
  <c r="E113" i="26"/>
  <c r="F113" i="26"/>
  <c r="F86" i="26"/>
  <c r="F103" i="26" s="1"/>
  <c r="E176" i="26"/>
  <c r="F172" i="26" s="1"/>
  <c r="E101" i="26"/>
  <c r="J101" i="26" s="1"/>
  <c r="G163" i="26"/>
  <c r="G161" i="26" s="1"/>
  <c r="G110" i="26"/>
  <c r="C218" i="26"/>
  <c r="C111" i="26"/>
  <c r="C72" i="26"/>
  <c r="H86" i="26"/>
  <c r="G95" i="26"/>
  <c r="F168" i="26"/>
  <c r="F114" i="26" s="1"/>
  <c r="F124" i="26"/>
  <c r="G218" i="26"/>
  <c r="G111" i="26"/>
  <c r="G70" i="26"/>
  <c r="G72" i="26"/>
  <c r="C73" i="26"/>
  <c r="D86" i="26"/>
  <c r="D103" i="26" s="1"/>
  <c r="C95" i="26"/>
  <c r="C103" i="26" s="1"/>
  <c r="J98" i="26"/>
  <c r="C123" i="26"/>
  <c r="C125" i="26" s="1"/>
  <c r="C217" i="26"/>
  <c r="D112" i="26"/>
  <c r="D113" i="26"/>
  <c r="H121" i="26"/>
  <c r="L93" i="26"/>
  <c r="J93" i="26"/>
  <c r="H176" i="26"/>
  <c r="L172" i="26" s="1"/>
  <c r="J99" i="26"/>
  <c r="C110" i="26"/>
  <c r="H201" i="26"/>
  <c r="L223" i="26"/>
  <c r="F201" i="26"/>
  <c r="F121" i="26"/>
  <c r="P155" i="26"/>
  <c r="J94" i="26"/>
  <c r="Q155" i="26"/>
  <c r="G189" i="26"/>
  <c r="H186" i="26" s="1"/>
  <c r="G122" i="26"/>
  <c r="G125" i="26" s="1"/>
  <c r="G113" i="26"/>
  <c r="O153" i="26"/>
  <c r="D197" i="26"/>
  <c r="J119" i="26"/>
  <c r="D122" i="26"/>
  <c r="P153" i="26"/>
  <c r="M175" i="26"/>
  <c r="E197" i="26"/>
  <c r="E115" i="26"/>
  <c r="J115" i="26" s="1"/>
  <c r="N152" i="26"/>
  <c r="Q152" i="26"/>
  <c r="G197" i="26"/>
  <c r="H198" i="26" s="1"/>
  <c r="H203" i="26" s="1"/>
  <c r="H202" i="26" s="1"/>
  <c r="L202" i="26" s="1"/>
  <c r="N153" i="26"/>
  <c r="J20" i="29" l="1"/>
  <c r="I20" i="29" s="1"/>
  <c r="J22" i="29"/>
  <c r="I22" i="29" s="1"/>
  <c r="J19" i="29"/>
  <c r="I19" i="29" s="1"/>
  <c r="F22" i="29"/>
  <c r="E22" i="29" s="1"/>
  <c r="F19" i="29"/>
  <c r="E19" i="29" s="1"/>
  <c r="F20" i="29"/>
  <c r="E20" i="29" s="1"/>
  <c r="F125" i="26"/>
  <c r="J118" i="26"/>
  <c r="F198" i="26"/>
  <c r="F203" i="26" s="1"/>
  <c r="F202" i="26" s="1"/>
  <c r="J122" i="26"/>
  <c r="J86" i="26"/>
  <c r="J112" i="26"/>
  <c r="E73" i="26"/>
  <c r="H18" i="31"/>
  <c r="H17" i="31"/>
  <c r="H16" i="31"/>
  <c r="M10" i="31"/>
  <c r="L10" i="31"/>
  <c r="H21" i="31"/>
  <c r="H20" i="31"/>
  <c r="H19" i="31"/>
  <c r="C246" i="30"/>
  <c r="C34" i="30"/>
  <c r="C276" i="30"/>
  <c r="C224" i="30"/>
  <c r="D34" i="30"/>
  <c r="C360" i="30"/>
  <c r="G461" i="30"/>
  <c r="H461" i="30" s="1"/>
  <c r="F460" i="30"/>
  <c r="F458" i="30"/>
  <c r="E471" i="30"/>
  <c r="E472" i="30" s="1"/>
  <c r="E114" i="30"/>
  <c r="F506" i="30"/>
  <c r="G506" i="30" s="1"/>
  <c r="H506" i="30" s="1"/>
  <c r="J506" i="30" s="1"/>
  <c r="F301" i="30"/>
  <c r="F389" i="30"/>
  <c r="F390" i="30" s="1"/>
  <c r="F395" i="30"/>
  <c r="F396" i="30" s="1"/>
  <c r="F391" i="30"/>
  <c r="F392" i="30" s="1"/>
  <c r="G372" i="30"/>
  <c r="F393" i="30"/>
  <c r="F394" i="30" s="1"/>
  <c r="F305" i="30"/>
  <c r="F307" i="30"/>
  <c r="F303" i="30"/>
  <c r="F309" i="30"/>
  <c r="H296" i="30"/>
  <c r="J266" i="30"/>
  <c r="H267" i="30"/>
  <c r="D282" i="30"/>
  <c r="F145" i="30"/>
  <c r="F147" i="30"/>
  <c r="G130" i="30"/>
  <c r="F149" i="30"/>
  <c r="F143" i="30"/>
  <c r="F144" i="30" s="1"/>
  <c r="G136" i="30"/>
  <c r="H136" i="30" s="1"/>
  <c r="J136" i="30" s="1"/>
  <c r="D124" i="30"/>
  <c r="G84" i="30"/>
  <c r="H84" i="30" s="1"/>
  <c r="J84" i="30" s="1"/>
  <c r="F28" i="30"/>
  <c r="G110" i="30"/>
  <c r="H110" i="30" s="1"/>
  <c r="J110" i="30" s="1"/>
  <c r="G173" i="30"/>
  <c r="F14" i="30"/>
  <c r="G48" i="30"/>
  <c r="D23" i="30"/>
  <c r="C23" i="30"/>
  <c r="E205" i="30"/>
  <c r="E201" i="30"/>
  <c r="E207" i="30"/>
  <c r="E203" i="30"/>
  <c r="G408" i="30"/>
  <c r="F52" i="30"/>
  <c r="G504" i="30"/>
  <c r="J432" i="30"/>
  <c r="H54" i="30"/>
  <c r="E491" i="30"/>
  <c r="E492" i="30" s="1"/>
  <c r="F482" i="30"/>
  <c r="G482" i="30" s="1"/>
  <c r="H482" i="30" s="1"/>
  <c r="J482" i="30" s="1"/>
  <c r="E493" i="30"/>
  <c r="E494" i="30" s="1"/>
  <c r="E489" i="30"/>
  <c r="E490" i="30" s="1"/>
  <c r="E495" i="30"/>
  <c r="E496" i="30" s="1"/>
  <c r="J350" i="30"/>
  <c r="H351" i="30"/>
  <c r="D310" i="30"/>
  <c r="C304" i="30"/>
  <c r="H295" i="30"/>
  <c r="J294" i="30"/>
  <c r="G223" i="30"/>
  <c r="H214" i="30"/>
  <c r="G229" i="30"/>
  <c r="G227" i="30"/>
  <c r="G225" i="30"/>
  <c r="G112" i="30"/>
  <c r="H112" i="30" s="1"/>
  <c r="J112" i="30" s="1"/>
  <c r="G175" i="30"/>
  <c r="D68" i="30"/>
  <c r="D92" i="30"/>
  <c r="G169" i="30"/>
  <c r="F445" i="30"/>
  <c r="F446" i="30" s="1"/>
  <c r="F441" i="30"/>
  <c r="F442" i="30" s="1"/>
  <c r="F447" i="30"/>
  <c r="F448" i="30" s="1"/>
  <c r="G430" i="30"/>
  <c r="F443" i="30"/>
  <c r="F444" i="30" s="1"/>
  <c r="E418" i="30"/>
  <c r="F491" i="30"/>
  <c r="F492" i="30" s="1"/>
  <c r="F493" i="30"/>
  <c r="F494" i="30" s="1"/>
  <c r="F489" i="30"/>
  <c r="F490" i="30" s="1"/>
  <c r="G480" i="30"/>
  <c r="J270" i="30"/>
  <c r="H300" i="30"/>
  <c r="D518" i="30"/>
  <c r="F537" i="30"/>
  <c r="F538" i="30" s="1"/>
  <c r="G528" i="30"/>
  <c r="F543" i="30"/>
  <c r="F544" i="30" s="1"/>
  <c r="F539" i="30"/>
  <c r="F540" i="30" s="1"/>
  <c r="F541" i="30"/>
  <c r="F542" i="30" s="1"/>
  <c r="G351" i="30"/>
  <c r="D278" i="30"/>
  <c r="H354" i="30"/>
  <c r="G292" i="30"/>
  <c r="D248" i="30"/>
  <c r="H197" i="30"/>
  <c r="G171" i="30"/>
  <c r="G172" i="30" s="1"/>
  <c r="E145" i="30"/>
  <c r="E146" i="30" s="1"/>
  <c r="E143" i="30"/>
  <c r="E144" i="30" s="1"/>
  <c r="F140" i="30"/>
  <c r="G140" i="30" s="1"/>
  <c r="H140" i="30" s="1"/>
  <c r="J140" i="30" s="1"/>
  <c r="E147" i="30"/>
  <c r="E148" i="30" s="1"/>
  <c r="E149" i="30"/>
  <c r="E150" i="30" s="1"/>
  <c r="C353" i="30"/>
  <c r="C269" i="30"/>
  <c r="C299" i="30"/>
  <c r="C188" i="30"/>
  <c r="C201" i="30" s="1"/>
  <c r="C202" i="30" s="1"/>
  <c r="D17" i="30"/>
  <c r="E17" i="30" s="1"/>
  <c r="C17" i="30"/>
  <c r="D228" i="30"/>
  <c r="D250" i="30"/>
  <c r="C39" i="30"/>
  <c r="F467" i="30"/>
  <c r="G456" i="30"/>
  <c r="F465" i="30"/>
  <c r="F466" i="30" s="1"/>
  <c r="F471" i="30"/>
  <c r="F472" i="30" s="1"/>
  <c r="D259" i="30"/>
  <c r="D252" i="30"/>
  <c r="D40" i="30"/>
  <c r="E467" i="30"/>
  <c r="E468" i="30" s="1"/>
  <c r="J352" i="30"/>
  <c r="J324" i="30"/>
  <c r="H325" i="30"/>
  <c r="F193" i="30"/>
  <c r="C37" i="30"/>
  <c r="D38" i="30" s="1"/>
  <c r="H327" i="30"/>
  <c r="F16" i="30"/>
  <c r="F299" i="30" s="1"/>
  <c r="G82" i="30"/>
  <c r="F169" i="30"/>
  <c r="F170" i="30" s="1"/>
  <c r="G532" i="30"/>
  <c r="F80" i="30"/>
  <c r="F81" i="30" s="1"/>
  <c r="D520" i="30"/>
  <c r="E469" i="30"/>
  <c r="E470" i="30" s="1"/>
  <c r="E508" i="30"/>
  <c r="G434" i="30"/>
  <c r="H434" i="30" s="1"/>
  <c r="J434" i="30" s="1"/>
  <c r="G380" i="30"/>
  <c r="H380" i="30" s="1"/>
  <c r="J380" i="30" s="1"/>
  <c r="F412" i="30"/>
  <c r="E58" i="30"/>
  <c r="G404" i="30"/>
  <c r="F421" i="30"/>
  <c r="F422" i="30" s="1"/>
  <c r="F417" i="30"/>
  <c r="F418" i="30" s="1"/>
  <c r="F423" i="30"/>
  <c r="F424" i="30" s="1"/>
  <c r="F329" i="30"/>
  <c r="F330" i="30" s="1"/>
  <c r="G322" i="30"/>
  <c r="F323" i="30"/>
  <c r="G359" i="30"/>
  <c r="J272" i="30"/>
  <c r="J220" i="30"/>
  <c r="H192" i="30"/>
  <c r="G193" i="30"/>
  <c r="F297" i="30"/>
  <c r="H102" i="30"/>
  <c r="C35" i="30"/>
  <c r="J184" i="30"/>
  <c r="D62" i="30"/>
  <c r="C273" i="30"/>
  <c r="C221" i="30"/>
  <c r="C199" i="30"/>
  <c r="C243" i="30"/>
  <c r="C31" i="30"/>
  <c r="D205" i="30"/>
  <c r="D206" i="30" s="1"/>
  <c r="D203" i="30"/>
  <c r="D204" i="30" s="1"/>
  <c r="D201" i="30"/>
  <c r="D202" i="30" s="1"/>
  <c r="D207" i="30"/>
  <c r="D208" i="30" s="1"/>
  <c r="G484" i="30"/>
  <c r="H484" i="30" s="1"/>
  <c r="J484" i="30" s="1"/>
  <c r="D514" i="30"/>
  <c r="H189" i="30"/>
  <c r="J218" i="30"/>
  <c r="G288" i="30"/>
  <c r="G279" i="30"/>
  <c r="H258" i="30"/>
  <c r="G277" i="30"/>
  <c r="G275" i="30"/>
  <c r="G281" i="30"/>
  <c r="F173" i="30"/>
  <c r="F174" i="30" s="1"/>
  <c r="G74" i="30"/>
  <c r="F171" i="30"/>
  <c r="H56" i="30"/>
  <c r="G28" i="30"/>
  <c r="G196" i="30" s="1"/>
  <c r="E175" i="30"/>
  <c r="E176" i="30" s="1"/>
  <c r="F166" i="30"/>
  <c r="G166" i="30" s="1"/>
  <c r="H166" i="30" s="1"/>
  <c r="J166" i="30" s="1"/>
  <c r="E173" i="30"/>
  <c r="E174" i="30" s="1"/>
  <c r="E169" i="30"/>
  <c r="E170" i="30" s="1"/>
  <c r="E171" i="30"/>
  <c r="E172" i="30" s="1"/>
  <c r="G245" i="30"/>
  <c r="H236" i="30"/>
  <c r="G251" i="30"/>
  <c r="G249" i="30"/>
  <c r="G247" i="30"/>
  <c r="J268" i="30"/>
  <c r="H298" i="30"/>
  <c r="H175" i="30"/>
  <c r="H173" i="30"/>
  <c r="J156" i="30"/>
  <c r="H169" i="30"/>
  <c r="H171" i="30"/>
  <c r="F175" i="30"/>
  <c r="F176" i="30" s="1"/>
  <c r="D362" i="30"/>
  <c r="G46" i="30"/>
  <c r="F12" i="30"/>
  <c r="I18" i="29"/>
  <c r="F27" i="29"/>
  <c r="F28" i="29"/>
  <c r="E18" i="29"/>
  <c r="L17" i="28"/>
  <c r="L8" i="28"/>
  <c r="L26" i="28"/>
  <c r="I39" i="28"/>
  <c r="I40" i="28" s="1"/>
  <c r="F10" i="28"/>
  <c r="G8" i="28" s="1"/>
  <c r="E72" i="27"/>
  <c r="E81" i="27" s="1"/>
  <c r="E67" i="27"/>
  <c r="H80" i="27"/>
  <c r="I50" i="27"/>
  <c r="C72" i="27"/>
  <c r="C67" i="27"/>
  <c r="E58" i="26"/>
  <c r="E31" i="26"/>
  <c r="M202" i="26"/>
  <c r="L203" i="26"/>
  <c r="L193" i="26" s="1"/>
  <c r="L34" i="26" s="1"/>
  <c r="G167" i="26"/>
  <c r="G168" i="26" s="1"/>
  <c r="G114" i="26" s="1"/>
  <c r="G162" i="26"/>
  <c r="F50" i="26"/>
  <c r="F70" i="26"/>
  <c r="F72" i="26"/>
  <c r="F27" i="26"/>
  <c r="G198" i="26"/>
  <c r="G203" i="26" s="1"/>
  <c r="G202" i="26" s="1"/>
  <c r="Q119" i="26"/>
  <c r="S119" i="26" s="1"/>
  <c r="S118" i="26"/>
  <c r="H168" i="26"/>
  <c r="H114" i="26" s="1"/>
  <c r="L166" i="26"/>
  <c r="M123" i="26"/>
  <c r="N175" i="26"/>
  <c r="M217" i="26"/>
  <c r="E103" i="26"/>
  <c r="D71" i="26"/>
  <c r="F71" i="26"/>
  <c r="D72" i="26"/>
  <c r="C31" i="26"/>
  <c r="C58" i="26"/>
  <c r="D198" i="26"/>
  <c r="D203" i="26" s="1"/>
  <c r="D202" i="26" s="1"/>
  <c r="C198" i="26"/>
  <c r="C203" i="26" s="1"/>
  <c r="C202" i="26" s="1"/>
  <c r="E50" i="26"/>
  <c r="E71" i="26"/>
  <c r="E70" i="26"/>
  <c r="D167" i="26"/>
  <c r="D168" i="26" s="1"/>
  <c r="D114" i="26" s="1"/>
  <c r="D162" i="26"/>
  <c r="J95" i="26"/>
  <c r="H125" i="26"/>
  <c r="J121" i="26"/>
  <c r="F162" i="26"/>
  <c r="E162" i="26"/>
  <c r="E167" i="26"/>
  <c r="E168" i="26" s="1"/>
  <c r="E114" i="26" s="1"/>
  <c r="H58" i="26"/>
  <c r="H31" i="26"/>
  <c r="L77" i="26"/>
  <c r="M17" i="26"/>
  <c r="J24" i="26"/>
  <c r="L201" i="26"/>
  <c r="M93" i="26"/>
  <c r="L121" i="26"/>
  <c r="E125" i="26"/>
  <c r="D27" i="26"/>
  <c r="J27" i="26" s="1"/>
  <c r="E198" i="26"/>
  <c r="E203" i="26" s="1"/>
  <c r="E202" i="26" s="1"/>
  <c r="J124" i="26"/>
  <c r="H103" i="26"/>
  <c r="H162" i="26"/>
  <c r="H167" i="26"/>
  <c r="J111" i="26"/>
  <c r="M76" i="26"/>
  <c r="N16" i="26"/>
  <c r="G50" i="26"/>
  <c r="J113" i="26"/>
  <c r="J110" i="26"/>
  <c r="L130" i="26"/>
  <c r="L151" i="26" s="1"/>
  <c r="L158" i="26" s="1"/>
  <c r="L136" i="26" s="1"/>
  <c r="L106" i="26"/>
  <c r="G31" i="26"/>
  <c r="G58" i="26"/>
  <c r="E72" i="26"/>
  <c r="J123" i="26"/>
  <c r="F31" i="29" l="1"/>
  <c r="F30" i="29"/>
  <c r="J27" i="29"/>
  <c r="J32" i="29"/>
  <c r="J31" i="29"/>
  <c r="J28" i="29"/>
  <c r="J30" i="29"/>
  <c r="J29" i="29"/>
  <c r="F29" i="29"/>
  <c r="F32" i="29"/>
  <c r="L21" i="31"/>
  <c r="L20" i="31"/>
  <c r="L19" i="31"/>
  <c r="L18" i="31"/>
  <c r="L17" i="31"/>
  <c r="L16" i="31"/>
  <c r="M21" i="31"/>
  <c r="M20" i="31"/>
  <c r="M19" i="31"/>
  <c r="M18" i="31"/>
  <c r="M17" i="31"/>
  <c r="M16" i="31"/>
  <c r="J298" i="30"/>
  <c r="G174" i="30"/>
  <c r="C362" i="30"/>
  <c r="C278" i="30"/>
  <c r="C36" i="30"/>
  <c r="C226" i="30"/>
  <c r="C248" i="30"/>
  <c r="H322" i="30"/>
  <c r="G323" i="30"/>
  <c r="G329" i="30"/>
  <c r="G330" i="30" s="1"/>
  <c r="G333" i="30"/>
  <c r="G334" i="30" s="1"/>
  <c r="G331" i="30"/>
  <c r="G332" i="30" s="1"/>
  <c r="G335" i="30"/>
  <c r="G336" i="30" s="1"/>
  <c r="G412" i="30"/>
  <c r="G419" i="30" s="1"/>
  <c r="G420" i="30" s="1"/>
  <c r="F58" i="30"/>
  <c r="D36" i="30"/>
  <c r="G543" i="30"/>
  <c r="G544" i="30" s="1"/>
  <c r="G539" i="30"/>
  <c r="G540" i="30" s="1"/>
  <c r="G541" i="30"/>
  <c r="G542" i="30" s="1"/>
  <c r="H528" i="30"/>
  <c r="G537" i="30"/>
  <c r="G538" i="30" s="1"/>
  <c r="F495" i="30"/>
  <c r="F496" i="30" s="1"/>
  <c r="C205" i="30"/>
  <c r="C206" i="30" s="1"/>
  <c r="H297" i="30"/>
  <c r="J296" i="30"/>
  <c r="G458" i="30"/>
  <c r="F114" i="30"/>
  <c r="C308" i="30"/>
  <c r="H275" i="30"/>
  <c r="H281" i="30"/>
  <c r="H288" i="30"/>
  <c r="J258" i="30"/>
  <c r="H279" i="30"/>
  <c r="H277" i="30"/>
  <c r="F419" i="30"/>
  <c r="F420" i="30" s="1"/>
  <c r="H532" i="30"/>
  <c r="G80" i="30"/>
  <c r="G81" i="30" s="1"/>
  <c r="F469" i="30"/>
  <c r="F470" i="30" s="1"/>
  <c r="G493" i="30"/>
  <c r="G494" i="30" s="1"/>
  <c r="G489" i="30"/>
  <c r="G490" i="30" s="1"/>
  <c r="H480" i="30"/>
  <c r="G495" i="30"/>
  <c r="G496" i="30" s="1"/>
  <c r="G491" i="30"/>
  <c r="G492" i="30" s="1"/>
  <c r="J54" i="30"/>
  <c r="F53" i="30"/>
  <c r="F22" i="30"/>
  <c r="H48" i="30"/>
  <c r="G14" i="30"/>
  <c r="G293" i="30" s="1"/>
  <c r="C207" i="30"/>
  <c r="C208" i="30" s="1"/>
  <c r="G460" i="30"/>
  <c r="G469" i="30" s="1"/>
  <c r="G470" i="30" s="1"/>
  <c r="F108" i="30"/>
  <c r="F109" i="30" s="1"/>
  <c r="F237" i="30"/>
  <c r="F13" i="30"/>
  <c r="F185" i="30"/>
  <c r="F345" i="30"/>
  <c r="F215" i="30"/>
  <c r="F263" i="30"/>
  <c r="F15" i="30"/>
  <c r="F186" i="30"/>
  <c r="F293" i="30"/>
  <c r="F355" i="30"/>
  <c r="H172" i="30"/>
  <c r="J171" i="30"/>
  <c r="G305" i="30"/>
  <c r="G303" i="30"/>
  <c r="G309" i="30"/>
  <c r="G307" i="30"/>
  <c r="G170" i="30"/>
  <c r="J169" i="30"/>
  <c r="H170" i="30"/>
  <c r="H28" i="30"/>
  <c r="J56" i="30"/>
  <c r="F353" i="30"/>
  <c r="F17" i="30"/>
  <c r="F269" i="30"/>
  <c r="F188" i="30"/>
  <c r="C259" i="30"/>
  <c r="C230" i="30"/>
  <c r="C40" i="30"/>
  <c r="C282" i="30"/>
  <c r="C252" i="30"/>
  <c r="C366" i="30"/>
  <c r="H229" i="30"/>
  <c r="H225" i="30"/>
  <c r="H227" i="30"/>
  <c r="J214" i="30"/>
  <c r="H223" i="30"/>
  <c r="H504" i="30"/>
  <c r="C310" i="30"/>
  <c r="F150" i="30"/>
  <c r="E513" i="30"/>
  <c r="E514" i="30" s="1"/>
  <c r="E519" i="30"/>
  <c r="E520" i="30" s="1"/>
  <c r="E515" i="30"/>
  <c r="E516" i="30" s="1"/>
  <c r="F508" i="30"/>
  <c r="E517" i="30"/>
  <c r="E518" i="30" s="1"/>
  <c r="E86" i="30"/>
  <c r="H456" i="30"/>
  <c r="J354" i="30"/>
  <c r="H292" i="30"/>
  <c r="H363" i="30"/>
  <c r="H359" i="30"/>
  <c r="H365" i="30"/>
  <c r="H361" i="30"/>
  <c r="F468" i="30"/>
  <c r="C203" i="30"/>
  <c r="C204" i="30" s="1"/>
  <c r="H251" i="30"/>
  <c r="J236" i="30"/>
  <c r="H249" i="30"/>
  <c r="H245" i="30"/>
  <c r="H247" i="30"/>
  <c r="C306" i="30"/>
  <c r="H46" i="30"/>
  <c r="G12" i="30"/>
  <c r="F172" i="30"/>
  <c r="G421" i="30"/>
  <c r="G422" i="30" s="1"/>
  <c r="H404" i="30"/>
  <c r="H196" i="30"/>
  <c r="H130" i="30"/>
  <c r="G149" i="30"/>
  <c r="G150" i="30" s="1"/>
  <c r="G143" i="30"/>
  <c r="G144" i="30" s="1"/>
  <c r="G145" i="30"/>
  <c r="G146" i="30" s="1"/>
  <c r="G147" i="30"/>
  <c r="G148" i="30" s="1"/>
  <c r="G29" i="30"/>
  <c r="G241" i="30"/>
  <c r="G357" i="30"/>
  <c r="G219" i="30"/>
  <c r="G271" i="30"/>
  <c r="J173" i="30"/>
  <c r="H174" i="30"/>
  <c r="G301" i="30"/>
  <c r="H193" i="30"/>
  <c r="J192" i="30"/>
  <c r="E30" i="30"/>
  <c r="E67" i="30"/>
  <c r="E68" i="30" s="1"/>
  <c r="E61" i="30"/>
  <c r="E62" i="30" s="1"/>
  <c r="E63" i="30"/>
  <c r="E64" i="30" s="1"/>
  <c r="E65" i="30"/>
  <c r="E66" i="30" s="1"/>
  <c r="C364" i="30"/>
  <c r="C228" i="30"/>
  <c r="C38" i="30"/>
  <c r="C250" i="30"/>
  <c r="C280" i="30"/>
  <c r="J300" i="30"/>
  <c r="H301" i="30"/>
  <c r="G176" i="30"/>
  <c r="F148" i="30"/>
  <c r="E123" i="30"/>
  <c r="E124" i="30" s="1"/>
  <c r="E117" i="30"/>
  <c r="E118" i="30" s="1"/>
  <c r="E121" i="30"/>
  <c r="E122" i="30" s="1"/>
  <c r="E119" i="30"/>
  <c r="E120" i="30" s="1"/>
  <c r="H82" i="30"/>
  <c r="J82" i="30" s="1"/>
  <c r="G16" i="30"/>
  <c r="H74" i="30"/>
  <c r="J175" i="30"/>
  <c r="H176" i="30"/>
  <c r="G441" i="30"/>
  <c r="G442" i="30" s="1"/>
  <c r="G447" i="30"/>
  <c r="G448" i="30" s="1"/>
  <c r="H430" i="30"/>
  <c r="G443" i="30"/>
  <c r="G444" i="30" s="1"/>
  <c r="G445" i="30"/>
  <c r="G446" i="30" s="1"/>
  <c r="F357" i="30"/>
  <c r="F219" i="30"/>
  <c r="F241" i="30"/>
  <c r="F29" i="30"/>
  <c r="F196" i="30"/>
  <c r="F271" i="30"/>
  <c r="F146" i="30"/>
  <c r="G395" i="30"/>
  <c r="G396" i="30" s="1"/>
  <c r="G391" i="30"/>
  <c r="G392" i="30" s="1"/>
  <c r="G393" i="30"/>
  <c r="G394" i="30" s="1"/>
  <c r="H372" i="30"/>
  <c r="G389" i="30"/>
  <c r="G390" i="30" s="1"/>
  <c r="H408" i="30"/>
  <c r="G52" i="30"/>
  <c r="F289" i="30"/>
  <c r="J102" i="30"/>
  <c r="I27" i="29"/>
  <c r="I28" i="29"/>
  <c r="I29" i="29"/>
  <c r="I30" i="29"/>
  <c r="I31" i="29"/>
  <c r="I32" i="29"/>
  <c r="E31" i="29"/>
  <c r="E32" i="29"/>
  <c r="E27" i="29"/>
  <c r="E28" i="29"/>
  <c r="E29" i="29"/>
  <c r="E30" i="29"/>
  <c r="G9" i="28"/>
  <c r="G10" i="28" s="1"/>
  <c r="I80" i="27"/>
  <c r="J50" i="27"/>
  <c r="N17" i="26"/>
  <c r="M77" i="26"/>
  <c r="L131" i="26"/>
  <c r="L107" i="26"/>
  <c r="J114" i="26"/>
  <c r="H59" i="26"/>
  <c r="H36" i="26"/>
  <c r="H42" i="26"/>
  <c r="J125" i="26"/>
  <c r="G59" i="26"/>
  <c r="G42" i="26"/>
  <c r="G36" i="26"/>
  <c r="M130" i="26"/>
  <c r="M151" i="26" s="1"/>
  <c r="M158" i="26" s="1"/>
  <c r="M136" i="26" s="1"/>
  <c r="M106" i="26"/>
  <c r="F58" i="26"/>
  <c r="F31" i="26"/>
  <c r="M201" i="26"/>
  <c r="M203" i="26" s="1"/>
  <c r="M193" i="26" s="1"/>
  <c r="M34" i="26" s="1"/>
  <c r="M121" i="26"/>
  <c r="N93" i="26"/>
  <c r="N76" i="26"/>
  <c r="O16" i="26"/>
  <c r="N202" i="26"/>
  <c r="L162" i="26"/>
  <c r="C36" i="26"/>
  <c r="C42" i="26"/>
  <c r="C59" i="26"/>
  <c r="O175" i="26"/>
  <c r="N123" i="26"/>
  <c r="N217" i="26"/>
  <c r="E42" i="26"/>
  <c r="E36" i="26"/>
  <c r="E59" i="26"/>
  <c r="L139" i="26"/>
  <c r="L137" i="26"/>
  <c r="D58" i="26"/>
  <c r="D31" i="26"/>
  <c r="J31" i="26" s="1"/>
  <c r="H12" i="30" l="1"/>
  <c r="J46" i="30"/>
  <c r="H391" i="30"/>
  <c r="J372" i="30"/>
  <c r="H389" i="30"/>
  <c r="H393" i="30"/>
  <c r="H395" i="30"/>
  <c r="J247" i="30"/>
  <c r="J361" i="30"/>
  <c r="G471" i="30"/>
  <c r="G472" i="30" s="1"/>
  <c r="J504" i="30"/>
  <c r="J229" i="30"/>
  <c r="H16" i="30"/>
  <c r="H289" i="30"/>
  <c r="H305" i="30"/>
  <c r="H303" i="30"/>
  <c r="J288" i="30"/>
  <c r="H309" i="30"/>
  <c r="H307" i="30"/>
  <c r="J279" i="30"/>
  <c r="G508" i="30"/>
  <c r="F86" i="30"/>
  <c r="F519" i="30"/>
  <c r="F520" i="30" s="1"/>
  <c r="F515" i="30"/>
  <c r="F516" i="30" s="1"/>
  <c r="F517" i="30"/>
  <c r="F518" i="30" s="1"/>
  <c r="F513" i="30"/>
  <c r="F514" i="30" s="1"/>
  <c r="H458" i="30"/>
  <c r="G114" i="30"/>
  <c r="J245" i="30"/>
  <c r="J74" i="30"/>
  <c r="J404" i="30"/>
  <c r="J249" i="30"/>
  <c r="J359" i="30"/>
  <c r="J532" i="30"/>
  <c r="H80" i="30"/>
  <c r="H147" i="30"/>
  <c r="H143" i="30"/>
  <c r="H145" i="30"/>
  <c r="J130" i="30"/>
  <c r="H149" i="30"/>
  <c r="J225" i="30"/>
  <c r="J196" i="30"/>
  <c r="J365" i="30"/>
  <c r="H460" i="30"/>
  <c r="H469" i="30" s="1"/>
  <c r="G108" i="30"/>
  <c r="G109" i="30" s="1"/>
  <c r="J281" i="30"/>
  <c r="J363" i="30"/>
  <c r="J456" i="30"/>
  <c r="H465" i="30"/>
  <c r="J223" i="30"/>
  <c r="F207" i="30"/>
  <c r="F203" i="30"/>
  <c r="F205" i="30"/>
  <c r="F201" i="30"/>
  <c r="J275" i="30"/>
  <c r="H412" i="30"/>
  <c r="H419" i="30" s="1"/>
  <c r="G58" i="30"/>
  <c r="G17" i="30"/>
  <c r="G269" i="30"/>
  <c r="G353" i="30"/>
  <c r="G299" i="30"/>
  <c r="G188" i="30"/>
  <c r="G467" i="30"/>
  <c r="G468" i="30" s="1"/>
  <c r="G13" i="30"/>
  <c r="G345" i="30"/>
  <c r="G185" i="30"/>
  <c r="G237" i="30"/>
  <c r="G215" i="30"/>
  <c r="G465" i="30"/>
  <c r="G466" i="30" s="1"/>
  <c r="G53" i="30"/>
  <c r="G22" i="30"/>
  <c r="E273" i="30"/>
  <c r="E31" i="30"/>
  <c r="E35" i="30"/>
  <c r="E221" i="30"/>
  <c r="E39" i="30"/>
  <c r="E199" i="30"/>
  <c r="E37" i="30"/>
  <c r="E33" i="30"/>
  <c r="E243" i="30"/>
  <c r="G423" i="30"/>
  <c r="G424" i="30" s="1"/>
  <c r="J292" i="30"/>
  <c r="E95" i="30"/>
  <c r="E96" i="30" s="1"/>
  <c r="E93" i="30"/>
  <c r="E94" i="30" s="1"/>
  <c r="E89" i="30"/>
  <c r="E90" i="30" s="1"/>
  <c r="E91" i="30"/>
  <c r="E92" i="30" s="1"/>
  <c r="G15" i="30"/>
  <c r="G186" i="30"/>
  <c r="G263" i="30"/>
  <c r="G355" i="30"/>
  <c r="H539" i="30"/>
  <c r="H541" i="30"/>
  <c r="H537" i="30"/>
  <c r="J528" i="30"/>
  <c r="H543" i="30"/>
  <c r="H323" i="30"/>
  <c r="J322" i="30"/>
  <c r="H335" i="30"/>
  <c r="H333" i="30"/>
  <c r="H329" i="30"/>
  <c r="H331" i="30"/>
  <c r="J408" i="30"/>
  <c r="H52" i="30"/>
  <c r="H441" i="30"/>
  <c r="H447" i="30"/>
  <c r="J430" i="30"/>
  <c r="H443" i="30"/>
  <c r="H445" i="30"/>
  <c r="G417" i="30"/>
  <c r="G418" i="30" s="1"/>
  <c r="J251" i="30"/>
  <c r="J227" i="30"/>
  <c r="J28" i="30"/>
  <c r="H29" i="30"/>
  <c r="H241" i="30"/>
  <c r="H357" i="30"/>
  <c r="H271" i="30"/>
  <c r="H219" i="30"/>
  <c r="G289" i="30"/>
  <c r="J48" i="30"/>
  <c r="H14" i="30"/>
  <c r="H493" i="30"/>
  <c r="H489" i="30"/>
  <c r="J480" i="30"/>
  <c r="H495" i="30"/>
  <c r="H491" i="30"/>
  <c r="J277" i="30"/>
  <c r="F121" i="30"/>
  <c r="F122" i="30" s="1"/>
  <c r="F117" i="30"/>
  <c r="F118" i="30" s="1"/>
  <c r="F119" i="30"/>
  <c r="F120" i="30" s="1"/>
  <c r="F123" i="30"/>
  <c r="F124" i="30" s="1"/>
  <c r="F30" i="30"/>
  <c r="F67" i="30"/>
  <c r="F68" i="30" s="1"/>
  <c r="F63" i="30"/>
  <c r="F64" i="30" s="1"/>
  <c r="F61" i="30"/>
  <c r="F62" i="30" s="1"/>
  <c r="F65" i="30"/>
  <c r="F66" i="30" s="1"/>
  <c r="J80" i="27"/>
  <c r="K50" i="27"/>
  <c r="M134" i="26"/>
  <c r="M137" i="26" s="1"/>
  <c r="L84" i="26"/>
  <c r="O217" i="26"/>
  <c r="O123" i="26"/>
  <c r="P175" i="26"/>
  <c r="N130" i="26"/>
  <c r="N151" i="26" s="1"/>
  <c r="N158" i="26" s="1"/>
  <c r="N136" i="26" s="1"/>
  <c r="N106" i="26"/>
  <c r="O17" i="26"/>
  <c r="N77" i="26"/>
  <c r="N201" i="26"/>
  <c r="N121" i="26"/>
  <c r="O93" i="26"/>
  <c r="M139" i="26"/>
  <c r="H39" i="26"/>
  <c r="H60" i="26"/>
  <c r="O76" i="26"/>
  <c r="P16" i="26"/>
  <c r="M131" i="26"/>
  <c r="M107" i="26"/>
  <c r="C61" i="26"/>
  <c r="C45" i="26"/>
  <c r="C62" i="26" s="1"/>
  <c r="G60" i="26"/>
  <c r="G39" i="26"/>
  <c r="M162" i="26"/>
  <c r="E45" i="26"/>
  <c r="E62" i="26" s="1"/>
  <c r="E61" i="26"/>
  <c r="H61" i="26"/>
  <c r="H45" i="26"/>
  <c r="C39" i="26"/>
  <c r="C60" i="26"/>
  <c r="G45" i="26"/>
  <c r="G62" i="26" s="1"/>
  <c r="G61" i="26"/>
  <c r="E39" i="26"/>
  <c r="E60" i="26"/>
  <c r="D59" i="26"/>
  <c r="D42" i="26"/>
  <c r="D36" i="26"/>
  <c r="N203" i="26"/>
  <c r="N193" i="26" s="1"/>
  <c r="N34" i="26" s="1"/>
  <c r="O202" i="26"/>
  <c r="F42" i="26"/>
  <c r="F59" i="26"/>
  <c r="F36" i="26"/>
  <c r="J419" i="30" l="1"/>
  <c r="H420" i="30"/>
  <c r="J469" i="30"/>
  <c r="H470" i="30"/>
  <c r="H146" i="30"/>
  <c r="J145" i="30"/>
  <c r="J14" i="30"/>
  <c r="H15" i="30"/>
  <c r="H263" i="30"/>
  <c r="H186" i="30"/>
  <c r="H355" i="30"/>
  <c r="H293" i="30"/>
  <c r="J491" i="30"/>
  <c r="H492" i="30"/>
  <c r="J52" i="30"/>
  <c r="H53" i="30"/>
  <c r="H544" i="30"/>
  <c r="J543" i="30"/>
  <c r="H471" i="30"/>
  <c r="J458" i="30"/>
  <c r="H114" i="30"/>
  <c r="J391" i="30"/>
  <c r="H392" i="30"/>
  <c r="F199" i="30"/>
  <c r="F243" i="30"/>
  <c r="F31" i="30"/>
  <c r="F273" i="30"/>
  <c r="F221" i="30"/>
  <c r="F37" i="30"/>
  <c r="F35" i="30"/>
  <c r="F39" i="30"/>
  <c r="F33" i="30"/>
  <c r="F202" i="30" s="1"/>
  <c r="E360" i="30"/>
  <c r="E276" i="30"/>
  <c r="E34" i="30"/>
  <c r="E224" i="30"/>
  <c r="E246" i="30"/>
  <c r="E304" i="30"/>
  <c r="E202" i="30"/>
  <c r="H144" i="30"/>
  <c r="J143" i="30"/>
  <c r="J309" i="30"/>
  <c r="J465" i="30"/>
  <c r="H466" i="30"/>
  <c r="J489" i="30"/>
  <c r="H490" i="30"/>
  <c r="J445" i="30"/>
  <c r="H446" i="30"/>
  <c r="J329" i="30"/>
  <c r="H330" i="30"/>
  <c r="J541" i="30"/>
  <c r="H542" i="30"/>
  <c r="E38" i="30"/>
  <c r="E280" i="30"/>
  <c r="E364" i="30"/>
  <c r="E250" i="30"/>
  <c r="E228" i="30"/>
  <c r="E308" i="30"/>
  <c r="E206" i="30"/>
  <c r="F208" i="30"/>
  <c r="J147" i="30"/>
  <c r="H148" i="30"/>
  <c r="J307" i="30"/>
  <c r="J331" i="30"/>
  <c r="H332" i="30"/>
  <c r="J493" i="30"/>
  <c r="H494" i="30"/>
  <c r="J443" i="30"/>
  <c r="H444" i="30"/>
  <c r="H334" i="30"/>
  <c r="J333" i="30"/>
  <c r="J539" i="30"/>
  <c r="H540" i="30"/>
  <c r="G65" i="30"/>
  <c r="G66" i="30" s="1"/>
  <c r="G67" i="30"/>
  <c r="G68" i="30" s="1"/>
  <c r="G63" i="30"/>
  <c r="G64" i="30" s="1"/>
  <c r="G61" i="30"/>
  <c r="G62" i="30" s="1"/>
  <c r="H81" i="30"/>
  <c r="J80" i="30"/>
  <c r="J303" i="30"/>
  <c r="H396" i="30"/>
  <c r="J395" i="30"/>
  <c r="H336" i="30"/>
  <c r="J335" i="30"/>
  <c r="E259" i="30"/>
  <c r="E252" i="30"/>
  <c r="E40" i="30"/>
  <c r="E366" i="30"/>
  <c r="E282" i="30"/>
  <c r="E230" i="30"/>
  <c r="E310" i="30"/>
  <c r="E208" i="30"/>
  <c r="J412" i="30"/>
  <c r="H58" i="30"/>
  <c r="H423" i="30"/>
  <c r="F89" i="30"/>
  <c r="F90" i="30" s="1"/>
  <c r="F93" i="30"/>
  <c r="F94" i="30" s="1"/>
  <c r="F95" i="30"/>
  <c r="F96" i="30" s="1"/>
  <c r="F91" i="30"/>
  <c r="F92" i="30" s="1"/>
  <c r="J305" i="30"/>
  <c r="J393" i="30"/>
  <c r="H394" i="30"/>
  <c r="J12" i="30"/>
  <c r="H13" i="30"/>
  <c r="H345" i="30"/>
  <c r="H185" i="30"/>
  <c r="H237" i="30"/>
  <c r="H215" i="30"/>
  <c r="J495" i="30"/>
  <c r="H496" i="30"/>
  <c r="J447" i="30"/>
  <c r="H448" i="30"/>
  <c r="H417" i="30"/>
  <c r="H508" i="30"/>
  <c r="G86" i="30"/>
  <c r="G30" i="30" s="1"/>
  <c r="G513" i="30"/>
  <c r="G514" i="30" s="1"/>
  <c r="G515" i="30"/>
  <c r="G516" i="30" s="1"/>
  <c r="G519" i="30"/>
  <c r="G520" i="30" s="1"/>
  <c r="G517" i="30"/>
  <c r="G518" i="30" s="1"/>
  <c r="J389" i="30"/>
  <c r="H390" i="30"/>
  <c r="J460" i="30"/>
  <c r="H108" i="30"/>
  <c r="J537" i="30"/>
  <c r="H538" i="30"/>
  <c r="H442" i="30"/>
  <c r="J441" i="30"/>
  <c r="G203" i="30"/>
  <c r="G205" i="30"/>
  <c r="G201" i="30"/>
  <c r="G207" i="30"/>
  <c r="E36" i="30"/>
  <c r="E248" i="30"/>
  <c r="E226" i="30"/>
  <c r="E278" i="30"/>
  <c r="E362" i="30"/>
  <c r="E306" i="30"/>
  <c r="E204" i="30"/>
  <c r="H467" i="30"/>
  <c r="J149" i="30"/>
  <c r="H150" i="30"/>
  <c r="H421" i="30"/>
  <c r="G121" i="30"/>
  <c r="G122" i="30" s="1"/>
  <c r="G117" i="30"/>
  <c r="G118" i="30" s="1"/>
  <c r="G119" i="30"/>
  <c r="G120" i="30" s="1"/>
  <c r="G123" i="30"/>
  <c r="G124" i="30" s="1"/>
  <c r="H17" i="30"/>
  <c r="J16" i="30"/>
  <c r="H353" i="30"/>
  <c r="H269" i="30"/>
  <c r="H299" i="30"/>
  <c r="H188" i="30"/>
  <c r="J188" i="30" s="1"/>
  <c r="B14" i="27"/>
  <c r="L50" i="27"/>
  <c r="L80" i="27" s="1"/>
  <c r="G15" i="27"/>
  <c r="B15" i="27"/>
  <c r="K80" i="27"/>
  <c r="D61" i="26"/>
  <c r="D45" i="26"/>
  <c r="D62" i="26" s="1"/>
  <c r="F39" i="26"/>
  <c r="F60" i="26"/>
  <c r="P17" i="26"/>
  <c r="O77" i="26"/>
  <c r="J36" i="26"/>
  <c r="E210" i="26"/>
  <c r="E173" i="26"/>
  <c r="E177" i="26" s="1"/>
  <c r="E109" i="26"/>
  <c r="E116" i="26" s="1"/>
  <c r="F61" i="26"/>
  <c r="F45" i="26"/>
  <c r="F62" i="26" s="1"/>
  <c r="P217" i="26"/>
  <c r="Q175" i="26"/>
  <c r="P123" i="26"/>
  <c r="P202" i="26"/>
  <c r="O201" i="26"/>
  <c r="O203" i="26" s="1"/>
  <c r="O193" i="26" s="1"/>
  <c r="O34" i="26" s="1"/>
  <c r="O121" i="26"/>
  <c r="P93" i="26"/>
  <c r="G173" i="26"/>
  <c r="G177" i="26" s="1"/>
  <c r="G109" i="26"/>
  <c r="G116" i="26" s="1"/>
  <c r="G210" i="26"/>
  <c r="N131" i="26"/>
  <c r="N107" i="26"/>
  <c r="H62" i="26"/>
  <c r="J42" i="26"/>
  <c r="N134" i="26"/>
  <c r="N137" i="26" s="1"/>
  <c r="M84" i="26"/>
  <c r="H210" i="26"/>
  <c r="H173" i="26"/>
  <c r="H177" i="26" s="1"/>
  <c r="L177" i="26" s="1"/>
  <c r="M177" i="26" s="1"/>
  <c r="N177" i="26" s="1"/>
  <c r="O177" i="26" s="1"/>
  <c r="P177" i="26" s="1"/>
  <c r="Q177" i="26" s="1"/>
  <c r="H109" i="26"/>
  <c r="N139" i="26"/>
  <c r="N162" i="26"/>
  <c r="P76" i="26"/>
  <c r="Q16" i="26"/>
  <c r="Q76" i="26" s="1"/>
  <c r="D39" i="26"/>
  <c r="D60" i="26"/>
  <c r="C210" i="26"/>
  <c r="C173" i="26"/>
  <c r="C177" i="26" s="1"/>
  <c r="C109" i="26"/>
  <c r="C116" i="26" s="1"/>
  <c r="C182" i="26" s="1"/>
  <c r="O130" i="26"/>
  <c r="O151" i="26" s="1"/>
  <c r="O158" i="26" s="1"/>
  <c r="O136" i="26" s="1"/>
  <c r="O106" i="26"/>
  <c r="J45" i="26" l="1"/>
  <c r="J39" i="26"/>
  <c r="G199" i="30"/>
  <c r="G31" i="30"/>
  <c r="G221" i="30"/>
  <c r="G273" i="30"/>
  <c r="G243" i="30"/>
  <c r="G33" i="30"/>
  <c r="G39" i="30"/>
  <c r="G37" i="30"/>
  <c r="G35" i="30"/>
  <c r="J108" i="30"/>
  <c r="H109" i="30"/>
  <c r="F38" i="30"/>
  <c r="F250" i="30"/>
  <c r="F364" i="30"/>
  <c r="F228" i="30"/>
  <c r="F280" i="30"/>
  <c r="F308" i="30"/>
  <c r="J417" i="30"/>
  <c r="H418" i="30"/>
  <c r="J423" i="30"/>
  <c r="H424" i="30"/>
  <c r="G208" i="30"/>
  <c r="J114" i="30"/>
  <c r="H117" i="30"/>
  <c r="H119" i="30"/>
  <c r="H123" i="30"/>
  <c r="H121" i="30"/>
  <c r="H22" i="30"/>
  <c r="J22" i="30" s="1"/>
  <c r="J58" i="30"/>
  <c r="H63" i="30"/>
  <c r="H65" i="30"/>
  <c r="H67" i="30"/>
  <c r="H61" i="30"/>
  <c r="J471" i="30"/>
  <c r="H472" i="30"/>
  <c r="J467" i="30"/>
  <c r="H468" i="30"/>
  <c r="F36" i="30"/>
  <c r="F278" i="30"/>
  <c r="F248" i="30"/>
  <c r="F362" i="30"/>
  <c r="F226" i="30"/>
  <c r="F306" i="30"/>
  <c r="G93" i="30"/>
  <c r="G94" i="30" s="1"/>
  <c r="G95" i="30"/>
  <c r="G96" i="30" s="1"/>
  <c r="G91" i="30"/>
  <c r="G92" i="30" s="1"/>
  <c r="G89" i="30"/>
  <c r="G90" i="30" s="1"/>
  <c r="G202" i="30"/>
  <c r="J508" i="30"/>
  <c r="H86" i="30"/>
  <c r="H30" i="30" s="1"/>
  <c r="H515" i="30"/>
  <c r="H517" i="30"/>
  <c r="H513" i="30"/>
  <c r="H519" i="30"/>
  <c r="H422" i="30"/>
  <c r="J421" i="30"/>
  <c r="F204" i="30"/>
  <c r="F206" i="30"/>
  <c r="F34" i="30"/>
  <c r="F224" i="30"/>
  <c r="F276" i="30"/>
  <c r="F360" i="30"/>
  <c r="F246" i="30"/>
  <c r="F304" i="30"/>
  <c r="J186" i="30"/>
  <c r="H207" i="30"/>
  <c r="H205" i="30"/>
  <c r="H201" i="30"/>
  <c r="H203" i="30"/>
  <c r="F259" i="30"/>
  <c r="F40" i="30"/>
  <c r="F252" i="30"/>
  <c r="F230" i="30"/>
  <c r="F282" i="30"/>
  <c r="F366" i="30"/>
  <c r="F310" i="30"/>
  <c r="Q130" i="26"/>
  <c r="Q151" i="26" s="1"/>
  <c r="Q158" i="26" s="1"/>
  <c r="Q136" i="26" s="1"/>
  <c r="Q106" i="26"/>
  <c r="P130" i="26"/>
  <c r="P151" i="26" s="1"/>
  <c r="P158" i="26" s="1"/>
  <c r="P136" i="26" s="1"/>
  <c r="P106" i="26"/>
  <c r="H215" i="26"/>
  <c r="H227" i="26" s="1"/>
  <c r="H228" i="26" s="1"/>
  <c r="H212" i="26"/>
  <c r="H224" i="26" s="1"/>
  <c r="H225" i="26" s="1"/>
  <c r="P203" i="26"/>
  <c r="P193" i="26" s="1"/>
  <c r="P34" i="26" s="1"/>
  <c r="Q202" i="26"/>
  <c r="E215" i="26"/>
  <c r="E227" i="26" s="1"/>
  <c r="E228" i="26" s="1"/>
  <c r="E212" i="26"/>
  <c r="E224" i="26" s="1"/>
  <c r="E225" i="26" s="1"/>
  <c r="O134" i="26"/>
  <c r="O137" i="26" s="1"/>
  <c r="N84" i="26"/>
  <c r="Q217" i="26"/>
  <c r="Q123" i="26"/>
  <c r="S123" i="26" s="1"/>
  <c r="P77" i="26"/>
  <c r="Q17" i="26"/>
  <c r="O139" i="26"/>
  <c r="C183" i="26"/>
  <c r="C187" i="26" s="1"/>
  <c r="C127" i="26"/>
  <c r="O162" i="26"/>
  <c r="O131" i="26"/>
  <c r="O107" i="26"/>
  <c r="C215" i="26"/>
  <c r="C227" i="26" s="1"/>
  <c r="C228" i="26" s="1"/>
  <c r="C212" i="26"/>
  <c r="C224" i="26" s="1"/>
  <c r="C225" i="26" s="1"/>
  <c r="P121" i="26"/>
  <c r="Q93" i="26"/>
  <c r="P201" i="26"/>
  <c r="D173" i="26"/>
  <c r="D177" i="26" s="1"/>
  <c r="D109" i="26"/>
  <c r="D116" i="26" s="1"/>
  <c r="D210" i="26"/>
  <c r="E182" i="26"/>
  <c r="E183" i="26" s="1"/>
  <c r="E187" i="26" s="1"/>
  <c r="E127" i="26"/>
  <c r="G212" i="26"/>
  <c r="G224" i="26" s="1"/>
  <c r="G225" i="26" s="1"/>
  <c r="G215" i="26"/>
  <c r="G227" i="26" s="1"/>
  <c r="G228" i="26" s="1"/>
  <c r="G182" i="26"/>
  <c r="G183" i="26" s="1"/>
  <c r="G187" i="26" s="1"/>
  <c r="G127" i="26"/>
  <c r="H116" i="26"/>
  <c r="F109" i="26"/>
  <c r="F116" i="26" s="1"/>
  <c r="F210" i="26"/>
  <c r="F173" i="26"/>
  <c r="F177" i="26" s="1"/>
  <c r="H31" i="30" l="1"/>
  <c r="J30" i="30"/>
  <c r="H199" i="30"/>
  <c r="H243" i="30"/>
  <c r="H273" i="30"/>
  <c r="H221" i="30"/>
  <c r="H35" i="30"/>
  <c r="H33" i="30"/>
  <c r="H37" i="30"/>
  <c r="H39" i="30"/>
  <c r="H520" i="30"/>
  <c r="J519" i="30"/>
  <c r="J63" i="30"/>
  <c r="H64" i="30"/>
  <c r="H118" i="30"/>
  <c r="J117" i="30"/>
  <c r="G36" i="30"/>
  <c r="G362" i="30"/>
  <c r="G278" i="30"/>
  <c r="G248" i="30"/>
  <c r="G226" i="30"/>
  <c r="G306" i="30"/>
  <c r="J203" i="30"/>
  <c r="H204" i="30"/>
  <c r="J513" i="30"/>
  <c r="H514" i="30"/>
  <c r="G38" i="30"/>
  <c r="G364" i="30"/>
  <c r="G228" i="30"/>
  <c r="G250" i="30"/>
  <c r="G280" i="30"/>
  <c r="G308" i="30"/>
  <c r="J517" i="30"/>
  <c r="H518" i="30"/>
  <c r="G40" i="30"/>
  <c r="G259" i="30"/>
  <c r="G366" i="30"/>
  <c r="G252" i="30"/>
  <c r="G282" i="30"/>
  <c r="G230" i="30"/>
  <c r="G310" i="30"/>
  <c r="J205" i="30"/>
  <c r="H206" i="30"/>
  <c r="J515" i="30"/>
  <c r="H516" i="30"/>
  <c r="G204" i="30"/>
  <c r="G34" i="30"/>
  <c r="G360" i="30"/>
  <c r="G276" i="30"/>
  <c r="G246" i="30"/>
  <c r="G224" i="30"/>
  <c r="G304" i="30"/>
  <c r="H208" i="30"/>
  <c r="J207" i="30"/>
  <c r="J86" i="30"/>
  <c r="H91" i="30"/>
  <c r="H93" i="30"/>
  <c r="H95" i="30"/>
  <c r="H89" i="30"/>
  <c r="J201" i="30"/>
  <c r="J61" i="30"/>
  <c r="H62" i="30"/>
  <c r="H122" i="30"/>
  <c r="J121" i="30"/>
  <c r="J67" i="30"/>
  <c r="H68" i="30"/>
  <c r="H124" i="30"/>
  <c r="J123" i="30"/>
  <c r="J65" i="30"/>
  <c r="H66" i="30"/>
  <c r="J119" i="30"/>
  <c r="H120" i="30"/>
  <c r="G206" i="30"/>
  <c r="J116" i="26"/>
  <c r="H182" i="26"/>
  <c r="H183" i="26" s="1"/>
  <c r="H187" i="26" s="1"/>
  <c r="H127" i="26"/>
  <c r="J109" i="26"/>
  <c r="D215" i="26"/>
  <c r="D227" i="26" s="1"/>
  <c r="D228" i="26" s="1"/>
  <c r="D212" i="26"/>
  <c r="D224" i="26" s="1"/>
  <c r="D225" i="26" s="1"/>
  <c r="Q77" i="26"/>
  <c r="S17" i="26"/>
  <c r="S77" i="26" s="1"/>
  <c r="S107" i="26" s="1"/>
  <c r="D182" i="26"/>
  <c r="D183" i="26" s="1"/>
  <c r="D187" i="26" s="1"/>
  <c r="D127" i="26"/>
  <c r="P162" i="26"/>
  <c r="Q201" i="26"/>
  <c r="Q203" i="26" s="1"/>
  <c r="Q193" i="26" s="1"/>
  <c r="Q34" i="26" s="1"/>
  <c r="S34" i="26" s="1"/>
  <c r="Q121" i="26"/>
  <c r="S93" i="26"/>
  <c r="P131" i="26"/>
  <c r="P107" i="26"/>
  <c r="F215" i="26"/>
  <c r="F227" i="26" s="1"/>
  <c r="F228" i="26" s="1"/>
  <c r="F212" i="26"/>
  <c r="F224" i="26" s="1"/>
  <c r="F225" i="26" s="1"/>
  <c r="P134" i="26"/>
  <c r="P137" i="26" s="1"/>
  <c r="O84" i="26"/>
  <c r="P139" i="26"/>
  <c r="F127" i="26"/>
  <c r="F182" i="26"/>
  <c r="F183" i="26" s="1"/>
  <c r="F187" i="26" s="1"/>
  <c r="Q139" i="26"/>
  <c r="H92" i="30" l="1"/>
  <c r="J91" i="30"/>
  <c r="J35" i="30"/>
  <c r="H36" i="30"/>
  <c r="H226" i="30"/>
  <c r="H248" i="30"/>
  <c r="H362" i="30"/>
  <c r="H278" i="30"/>
  <c r="H306" i="30"/>
  <c r="H34" i="30"/>
  <c r="J33" i="30"/>
  <c r="H360" i="30"/>
  <c r="H246" i="30"/>
  <c r="H224" i="30"/>
  <c r="H276" i="30"/>
  <c r="H304" i="30"/>
  <c r="H202" i="30"/>
  <c r="J89" i="30"/>
  <c r="H90" i="30"/>
  <c r="J95" i="30"/>
  <c r="H96" i="30"/>
  <c r="H40" i="30"/>
  <c r="J39" i="30"/>
  <c r="H259" i="30"/>
  <c r="H230" i="30"/>
  <c r="H282" i="30"/>
  <c r="H252" i="30"/>
  <c r="H366" i="30"/>
  <c r="H310" i="30"/>
  <c r="H94" i="30"/>
  <c r="J93" i="30"/>
  <c r="H38" i="30"/>
  <c r="J37" i="30"/>
  <c r="H364" i="30"/>
  <c r="H250" i="30"/>
  <c r="H280" i="30"/>
  <c r="H228" i="30"/>
  <c r="H308" i="30"/>
  <c r="Q131" i="26"/>
  <c r="Q107" i="26"/>
  <c r="Q134" i="26"/>
  <c r="Q137" i="26" s="1"/>
  <c r="Q84" i="26" s="1"/>
  <c r="P84" i="26"/>
  <c r="Q162" i="26"/>
  <c r="J127" i="26"/>
  <c r="S121" i="26"/>
  <c r="S84" i="26" l="1"/>
  <c r="M24" i="26" l="1"/>
  <c r="M161" i="26" s="1"/>
  <c r="H57" i="27" l="1"/>
  <c r="L24" i="26"/>
  <c r="L161" i="26" s="1"/>
  <c r="M167" i="26"/>
  <c r="M163" i="26"/>
  <c r="M41" i="26" s="1"/>
  <c r="M110" i="26" l="1"/>
  <c r="M72" i="26"/>
  <c r="L167" i="26"/>
  <c r="L163" i="26"/>
  <c r="L41" i="26" s="1"/>
  <c r="G57" i="27" l="1"/>
  <c r="L72" i="26"/>
  <c r="L110" i="26"/>
  <c r="G58" i="27" l="1"/>
  <c r="H58" i="27"/>
  <c r="L44" i="26"/>
  <c r="M44" i="26" s="1"/>
  <c r="L90" i="26"/>
  <c r="M90" i="26" s="1"/>
  <c r="L94" i="26"/>
  <c r="L85" i="26"/>
  <c r="L91" i="26"/>
  <c r="M91" i="26" s="1"/>
  <c r="L83" i="26"/>
  <c r="M83" i="26" s="1"/>
  <c r="L81" i="26"/>
  <c r="M81" i="26" l="1"/>
  <c r="L115" i="26"/>
  <c r="M94" i="26"/>
  <c r="M111" i="26"/>
  <c r="M218" i="26"/>
  <c r="M73" i="26"/>
  <c r="L169" i="26"/>
  <c r="M85" i="26"/>
  <c r="L111" i="26"/>
  <c r="L98" i="26"/>
  <c r="L218" i="26"/>
  <c r="L211" i="26" s="1"/>
  <c r="L73" i="26"/>
  <c r="L214" i="26" l="1"/>
  <c r="M169" i="26"/>
  <c r="M98" i="26"/>
  <c r="M115" i="26"/>
  <c r="L168" i="26"/>
  <c r="L114" i="26" s="1"/>
  <c r="M166" i="26"/>
  <c r="N166" i="26" l="1"/>
  <c r="M168" i="26"/>
  <c r="M114" i="26" s="1"/>
  <c r="N24" i="26" l="1"/>
  <c r="N161" i="26" s="1"/>
  <c r="M29" i="26"/>
  <c r="L29" i="26"/>
  <c r="L66" i="26" s="1"/>
  <c r="M27" i="26"/>
  <c r="M30" i="26"/>
  <c r="L30" i="26"/>
  <c r="L67" i="26" s="1"/>
  <c r="I57" i="27" l="1"/>
  <c r="I58" i="27" s="1"/>
  <c r="M67" i="26"/>
  <c r="N167" i="26"/>
  <c r="N163" i="26"/>
  <c r="N41" i="26" s="1"/>
  <c r="L27" i="26"/>
  <c r="M66" i="26"/>
  <c r="M31" i="26"/>
  <c r="M26" i="26"/>
  <c r="M42" i="26" l="1"/>
  <c r="M36" i="26"/>
  <c r="L31" i="26"/>
  <c r="L26" i="26"/>
  <c r="M65" i="26" s="1"/>
  <c r="N110" i="26"/>
  <c r="N72" i="26"/>
  <c r="G75" i="27" l="1"/>
  <c r="H75" i="27"/>
  <c r="L65" i="26"/>
  <c r="L82" i="26"/>
  <c r="L89" i="26"/>
  <c r="M38" i="26"/>
  <c r="M39" i="26" s="1"/>
  <c r="N44" i="26"/>
  <c r="N83" i="26"/>
  <c r="N90" i="26"/>
  <c r="N91" i="26"/>
  <c r="N85" i="26"/>
  <c r="N94" i="26"/>
  <c r="N81" i="26"/>
  <c r="L36" i="26"/>
  <c r="L42" i="26"/>
  <c r="M61" i="26"/>
  <c r="M45" i="26"/>
  <c r="M62" i="26" s="1"/>
  <c r="M109" i="26" l="1"/>
  <c r="M173" i="26"/>
  <c r="M174" i="26" s="1"/>
  <c r="M124" i="26" s="1"/>
  <c r="M210" i="26"/>
  <c r="L61" i="26"/>
  <c r="L45" i="26"/>
  <c r="L62" i="26" s="1"/>
  <c r="N218" i="26"/>
  <c r="N111" i="26"/>
  <c r="N73" i="26"/>
  <c r="N98" i="26"/>
  <c r="N115" i="26"/>
  <c r="M89" i="26"/>
  <c r="L113" i="26"/>
  <c r="M82" i="26"/>
  <c r="L112" i="26"/>
  <c r="L38" i="26"/>
  <c r="L39" i="26" s="1"/>
  <c r="N169" i="26"/>
  <c r="L173" i="26" l="1"/>
  <c r="L176" i="26" s="1"/>
  <c r="L210" i="26"/>
  <c r="L109" i="26"/>
  <c r="L116" i="26" s="1"/>
  <c r="L182" i="26" s="1"/>
  <c r="L183" i="26" s="1"/>
  <c r="L187" i="26" s="1"/>
  <c r="L189" i="26" s="1"/>
  <c r="N168" i="26"/>
  <c r="N114" i="26" s="1"/>
  <c r="O166" i="26"/>
  <c r="M113" i="26"/>
  <c r="M220" i="26"/>
  <c r="M219" i="26" s="1"/>
  <c r="M112" i="26"/>
  <c r="M116" i="26" l="1"/>
  <c r="M182" i="26" s="1"/>
  <c r="L92" i="26"/>
  <c r="M186" i="26"/>
  <c r="M223" i="26"/>
  <c r="M211" i="26"/>
  <c r="L215" i="26"/>
  <c r="L227" i="26" s="1"/>
  <c r="L228" i="26" s="1"/>
  <c r="L212" i="26"/>
  <c r="L224" i="26" s="1"/>
  <c r="L225" i="26" s="1"/>
  <c r="L99" i="26"/>
  <c r="L101" i="26" s="1"/>
  <c r="M172" i="26"/>
  <c r="M176" i="26" s="1"/>
  <c r="M214" i="26" l="1"/>
  <c r="M212" i="26"/>
  <c r="M224" i="26" s="1"/>
  <c r="M225" i="26" s="1"/>
  <c r="N172" i="26"/>
  <c r="M99" i="26"/>
  <c r="M101" i="26" s="1"/>
  <c r="L197" i="26"/>
  <c r="L122" i="26"/>
  <c r="L125" i="26" s="1"/>
  <c r="L127" i="26" s="1"/>
  <c r="L80" i="26" s="1"/>
  <c r="L95" i="26"/>
  <c r="M180" i="26" l="1"/>
  <c r="M183" i="26" s="1"/>
  <c r="M187" i="26" s="1"/>
  <c r="M189" i="26" s="1"/>
  <c r="L86" i="26"/>
  <c r="L103" i="26" s="1"/>
  <c r="M215" i="26"/>
  <c r="M227" i="26" s="1"/>
  <c r="M228" i="26" s="1"/>
  <c r="N186" i="26" l="1"/>
  <c r="M92" i="26"/>
  <c r="M122" i="26" l="1"/>
  <c r="M125" i="26" s="1"/>
  <c r="M127" i="26" s="1"/>
  <c r="M80" i="26" s="1"/>
  <c r="M197" i="26"/>
  <c r="M95" i="26"/>
  <c r="N180" i="26" l="1"/>
  <c r="M86" i="26"/>
  <c r="M103" i="26" s="1"/>
  <c r="G62" i="27" l="1"/>
  <c r="H62" i="27"/>
  <c r="G63" i="27" l="1"/>
  <c r="H63" i="27"/>
  <c r="N27" i="26" l="1"/>
  <c r="N30" i="26"/>
  <c r="N67" i="26" s="1"/>
  <c r="N29" i="26"/>
  <c r="N66" i="26" s="1"/>
  <c r="N31" i="26" l="1"/>
  <c r="N26" i="26"/>
  <c r="I75" i="27" l="1"/>
  <c r="N65" i="26"/>
  <c r="N89" i="26"/>
  <c r="N82" i="26"/>
  <c r="N36" i="26"/>
  <c r="N42" i="26"/>
  <c r="N45" i="26" l="1"/>
  <c r="N62" i="26" s="1"/>
  <c r="N61" i="26"/>
  <c r="N113" i="26"/>
  <c r="N38" i="26"/>
  <c r="N39" i="26" s="1"/>
  <c r="N112" i="26"/>
  <c r="N210" i="26" l="1"/>
  <c r="N173" i="26"/>
  <c r="N109" i="26"/>
  <c r="N116" i="26" s="1"/>
  <c r="N174" i="26" l="1"/>
  <c r="N124" i="26" s="1"/>
  <c r="N182" i="26" s="1"/>
  <c r="N183" i="26" s="1"/>
  <c r="N187" i="26" s="1"/>
  <c r="N189" i="26" s="1"/>
  <c r="N220" i="26"/>
  <c r="N219" i="26" s="1"/>
  <c r="N176" i="26" l="1"/>
  <c r="O172" i="26" s="1"/>
  <c r="N223" i="26"/>
  <c r="N211" i="26"/>
  <c r="O186" i="26"/>
  <c r="N92" i="26"/>
  <c r="N99" i="26" l="1"/>
  <c r="N101" i="26" s="1"/>
  <c r="N197" i="26"/>
  <c r="N122" i="26"/>
  <c r="N125" i="26" s="1"/>
  <c r="N127" i="26" s="1"/>
  <c r="N80" i="26" s="1"/>
  <c r="N95" i="26"/>
  <c r="N214" i="26"/>
  <c r="N212" i="26"/>
  <c r="N224" i="26" s="1"/>
  <c r="N225" i="26" s="1"/>
  <c r="N215" i="26" l="1"/>
  <c r="N227" i="26" s="1"/>
  <c r="N228" i="26" s="1"/>
  <c r="O180" i="26"/>
  <c r="N86" i="26"/>
  <c r="N103" i="26" s="1"/>
  <c r="I62" i="27" l="1"/>
  <c r="I63" i="27" l="1"/>
  <c r="S23" i="26" l="1"/>
  <c r="S22" i="26" l="1"/>
  <c r="S19" i="26" l="1"/>
  <c r="S20" i="26" l="1"/>
  <c r="O24" i="26" l="1"/>
  <c r="O30" i="26" l="1"/>
  <c r="O67" i="26" s="1"/>
  <c r="O29" i="26"/>
  <c r="O66" i="26" s="1"/>
  <c r="O161" i="26"/>
  <c r="O27" i="26"/>
  <c r="J57" i="27" l="1"/>
  <c r="J58" i="27" s="1"/>
  <c r="O26" i="26"/>
  <c r="O31" i="26"/>
  <c r="O167" i="26"/>
  <c r="O163" i="26"/>
  <c r="O41" i="26" s="1"/>
  <c r="O110" i="26" l="1"/>
  <c r="O72" i="26"/>
  <c r="O42" i="26"/>
  <c r="O36" i="26"/>
  <c r="O65" i="26"/>
  <c r="O89" i="26"/>
  <c r="O82" i="26"/>
  <c r="O38" i="26" l="1"/>
  <c r="O39" i="26" s="1"/>
  <c r="O61" i="26"/>
  <c r="O44" i="26"/>
  <c r="O45" i="26" s="1"/>
  <c r="O62" i="26" s="1"/>
  <c r="O85" i="26"/>
  <c r="O91" i="26"/>
  <c r="O83" i="26"/>
  <c r="O94" i="26"/>
  <c r="O90" i="26"/>
  <c r="O81" i="26"/>
  <c r="J75" i="27" l="1"/>
  <c r="O173" i="26"/>
  <c r="O109" i="26"/>
  <c r="O210" i="26"/>
  <c r="O169" i="26"/>
  <c r="O218" i="26"/>
  <c r="O73" i="26"/>
  <c r="O111" i="26"/>
  <c r="O98" i="26"/>
  <c r="O112" i="26"/>
  <c r="O115" i="26"/>
  <c r="O113" i="26"/>
  <c r="J62" i="27"/>
  <c r="J63" i="27" l="1"/>
  <c r="P166" i="26"/>
  <c r="O168" i="26"/>
  <c r="O114" i="26" s="1"/>
  <c r="O116" i="26" s="1"/>
  <c r="O220" i="26"/>
  <c r="O219" i="26" s="1"/>
  <c r="O211" i="26" s="1"/>
  <c r="O212" i="26" s="1"/>
  <c r="O224" i="26" s="1"/>
  <c r="O174" i="26"/>
  <c r="O124" i="26" s="1"/>
  <c r="O182" i="26" l="1"/>
  <c r="O183" i="26" s="1"/>
  <c r="O187" i="26" s="1"/>
  <c r="O189" i="26" s="1"/>
  <c r="P186" i="26" s="1"/>
  <c r="O176" i="26"/>
  <c r="O214" i="26"/>
  <c r="O223" i="26"/>
  <c r="O92" i="26" l="1"/>
  <c r="O122" i="26" s="1"/>
  <c r="O125" i="26" s="1"/>
  <c r="O127" i="26" s="1"/>
  <c r="O80" i="26" s="1"/>
  <c r="O225" i="26"/>
  <c r="O95" i="26"/>
  <c r="O215" i="26"/>
  <c r="O227" i="26" s="1"/>
  <c r="O228" i="26" s="1"/>
  <c r="P172" i="26"/>
  <c r="O99" i="26"/>
  <c r="O101" i="26" s="1"/>
  <c r="O197" i="26" l="1"/>
  <c r="P180" i="26"/>
  <c r="O86" i="26"/>
  <c r="O103" i="26" s="1"/>
  <c r="P24" i="26" l="1"/>
  <c r="P30" i="26" l="1"/>
  <c r="P67" i="26" s="1"/>
  <c r="P29" i="26"/>
  <c r="P66" i="26" s="1"/>
  <c r="P161" i="26"/>
  <c r="P27" i="26"/>
  <c r="K57" i="27" l="1"/>
  <c r="K58" i="27" s="1"/>
  <c r="P26" i="26"/>
  <c r="P31" i="26"/>
  <c r="P167" i="26"/>
  <c r="P163" i="26"/>
  <c r="P41" i="26" s="1"/>
  <c r="S21" i="26"/>
  <c r="Q24" i="26"/>
  <c r="L57" i="27" l="1"/>
  <c r="L58" i="27" s="1"/>
  <c r="P72" i="26"/>
  <c r="P110" i="26"/>
  <c r="P36" i="26"/>
  <c r="P42" i="26"/>
  <c r="P65" i="26"/>
  <c r="P89" i="26"/>
  <c r="P82" i="26"/>
  <c r="Q29" i="26"/>
  <c r="Q30" i="26"/>
  <c r="S24" i="26"/>
  <c r="Q161" i="26"/>
  <c r="Q27" i="26"/>
  <c r="Q31" i="26" l="1"/>
  <c r="Q26" i="26"/>
  <c r="Q89" i="26" s="1"/>
  <c r="S27" i="26"/>
  <c r="P61" i="26"/>
  <c r="Q167" i="26"/>
  <c r="Q163" i="26"/>
  <c r="Q41" i="26" s="1"/>
  <c r="P38" i="26"/>
  <c r="P39" i="26" s="1"/>
  <c r="Q66" i="26"/>
  <c r="S29" i="26"/>
  <c r="P44" i="26"/>
  <c r="P85" i="26"/>
  <c r="P94" i="26"/>
  <c r="P83" i="26"/>
  <c r="P81" i="26"/>
  <c r="P90" i="26"/>
  <c r="P91" i="26"/>
  <c r="S30" i="26"/>
  <c r="Q67" i="26"/>
  <c r="Q82" i="26" l="1"/>
  <c r="S82" i="26" s="1"/>
  <c r="K75" i="27"/>
  <c r="P113" i="26"/>
  <c r="Q83" i="26"/>
  <c r="S83" i="26" s="1"/>
  <c r="Q44" i="26"/>
  <c r="S44" i="26" s="1"/>
  <c r="Q81" i="26"/>
  <c r="S81" i="26" s="1"/>
  <c r="P112" i="26"/>
  <c r="P210" i="26"/>
  <c r="P109" i="26"/>
  <c r="P173" i="26"/>
  <c r="S89" i="26"/>
  <c r="P169" i="26"/>
  <c r="Q85" i="26"/>
  <c r="Q110" i="26"/>
  <c r="S110" i="26" s="1"/>
  <c r="Q72" i="26"/>
  <c r="S41" i="26"/>
  <c r="P218" i="26"/>
  <c r="P111" i="26"/>
  <c r="P73" i="26"/>
  <c r="P98" i="26"/>
  <c r="P45" i="26"/>
  <c r="P62" i="26" s="1"/>
  <c r="Q91" i="26"/>
  <c r="S91" i="26" s="1"/>
  <c r="S26" i="26"/>
  <c r="Q65" i="26"/>
  <c r="P115" i="26"/>
  <c r="Q94" i="26"/>
  <c r="Q90" i="26"/>
  <c r="S90" i="26" s="1"/>
  <c r="Q42" i="26"/>
  <c r="Q36" i="26"/>
  <c r="S31" i="26"/>
  <c r="K62" i="27"/>
  <c r="Q218" i="26" l="1"/>
  <c r="Q113" i="26"/>
  <c r="S113" i="26" s="1"/>
  <c r="K63" i="27"/>
  <c r="Q73" i="26"/>
  <c r="Q111" i="26"/>
  <c r="S111" i="26" s="1"/>
  <c r="Q38" i="26"/>
  <c r="S38" i="26" s="1"/>
  <c r="S36" i="26"/>
  <c r="P174" i="26"/>
  <c r="P124" i="26" s="1"/>
  <c r="P220" i="26"/>
  <c r="P219" i="26" s="1"/>
  <c r="Q169" i="26"/>
  <c r="S85" i="26"/>
  <c r="Q98" i="26"/>
  <c r="P168" i="26"/>
  <c r="P114" i="26" s="1"/>
  <c r="P116" i="26" s="1"/>
  <c r="Q166" i="26"/>
  <c r="S42" i="26"/>
  <c r="Q45" i="26"/>
  <c r="Q61" i="26"/>
  <c r="Q115" i="26"/>
  <c r="S115" i="26" s="1"/>
  <c r="S94" i="26"/>
  <c r="Q112" i="26"/>
  <c r="S112" i="26" s="1"/>
  <c r="L75" i="27" l="1"/>
  <c r="Q39" i="26"/>
  <c r="Q109" i="26" s="1"/>
  <c r="P176" i="26"/>
  <c r="Q172" i="26" s="1"/>
  <c r="Q168" i="26"/>
  <c r="Q114" i="26" s="1"/>
  <c r="S114" i="26" s="1"/>
  <c r="S98" i="26"/>
  <c r="P182" i="26"/>
  <c r="P183" i="26" s="1"/>
  <c r="P187" i="26" s="1"/>
  <c r="P189" i="26" s="1"/>
  <c r="Q62" i="26"/>
  <c r="S45" i="26"/>
  <c r="P223" i="26"/>
  <c r="P211" i="26"/>
  <c r="S39" i="26" l="1"/>
  <c r="Q210" i="26"/>
  <c r="Q173" i="26"/>
  <c r="Q174" i="26" s="1"/>
  <c r="Q124" i="26" s="1"/>
  <c r="S124" i="26" s="1"/>
  <c r="P99" i="26"/>
  <c r="P101" i="26" s="1"/>
  <c r="K13" i="27"/>
  <c r="K15" i="27" s="1"/>
  <c r="K16" i="27" s="1"/>
  <c r="L62" i="27"/>
  <c r="Q116" i="26"/>
  <c r="S116" i="26" s="1"/>
  <c r="S109" i="26"/>
  <c r="P214" i="26"/>
  <c r="P212" i="26"/>
  <c r="P224" i="26" s="1"/>
  <c r="P225" i="26" s="1"/>
  <c r="Q186" i="26"/>
  <c r="P92" i="26"/>
  <c r="Q220" i="26"/>
  <c r="Q219" i="26" s="1"/>
  <c r="Q223" i="26" s="1"/>
  <c r="Q176" i="26" l="1"/>
  <c r="Q99" i="26" s="1"/>
  <c r="Q182" i="26"/>
  <c r="L63" i="27"/>
  <c r="Q211" i="26"/>
  <c r="Q212" i="26" s="1"/>
  <c r="Q224" i="26" s="1"/>
  <c r="Q225" i="26" s="1"/>
  <c r="P215" i="26"/>
  <c r="P227" i="26" s="1"/>
  <c r="P228" i="26" s="1"/>
  <c r="P122" i="26"/>
  <c r="P125" i="26" s="1"/>
  <c r="P127" i="26" s="1"/>
  <c r="P80" i="26" s="1"/>
  <c r="P197" i="26"/>
  <c r="P95" i="26"/>
  <c r="Q214" i="26" l="1"/>
  <c r="Q215" i="26" s="1"/>
  <c r="Q227" i="26" s="1"/>
  <c r="Q228" i="26" s="1"/>
  <c r="S99" i="26"/>
  <c r="Q101" i="26"/>
  <c r="S101" i="26" s="1"/>
  <c r="Q180" i="26"/>
  <c r="Q183" i="26" s="1"/>
  <c r="Q187" i="26" s="1"/>
  <c r="Q189" i="26" s="1"/>
  <c r="Q92" i="26" s="1"/>
  <c r="P86" i="26"/>
  <c r="P103" i="26" s="1"/>
  <c r="Q197" i="26" l="1"/>
  <c r="Q122" i="26"/>
  <c r="S92" i="26"/>
  <c r="Q95" i="26"/>
  <c r="S95" i="26" l="1"/>
  <c r="S122" i="26"/>
  <c r="Q125" i="26"/>
  <c r="Q127" i="26" l="1"/>
  <c r="S125" i="26"/>
  <c r="S127" i="26" l="1"/>
  <c r="Q80" i="26"/>
  <c r="K101" i="25"/>
  <c r="O101" i="25"/>
  <c r="N101" i="25"/>
  <c r="M101" i="25"/>
  <c r="L101" i="25"/>
  <c r="J101" i="25"/>
  <c r="M99" i="25"/>
  <c r="L99" i="25"/>
  <c r="K99" i="25"/>
  <c r="J99" i="25"/>
  <c r="M97" i="25"/>
  <c r="K97" i="25"/>
  <c r="J97" i="25"/>
  <c r="O97" i="25"/>
  <c r="N97" i="25"/>
  <c r="L97" i="25"/>
  <c r="K95" i="25"/>
  <c r="O95" i="25"/>
  <c r="N95" i="25"/>
  <c r="M95" i="25"/>
  <c r="L95" i="25"/>
  <c r="J95" i="25"/>
  <c r="O93" i="25"/>
  <c r="M93" i="25"/>
  <c r="L93" i="25"/>
  <c r="N93" i="25"/>
  <c r="M91" i="25"/>
  <c r="K93" i="25"/>
  <c r="J93" i="25"/>
  <c r="O91" i="25"/>
  <c r="N91" i="25"/>
  <c r="L91" i="25"/>
  <c r="O89" i="25"/>
  <c r="N89" i="25"/>
  <c r="O87" i="25"/>
  <c r="N87" i="25"/>
  <c r="M89" i="25"/>
  <c r="L89" i="25"/>
  <c r="K89" i="25"/>
  <c r="J89" i="25"/>
  <c r="K87" i="25"/>
  <c r="J87" i="25"/>
  <c r="K85" i="25"/>
  <c r="O85" i="25"/>
  <c r="N85" i="25"/>
  <c r="M85" i="25"/>
  <c r="L85" i="25"/>
  <c r="J85" i="25"/>
  <c r="M83" i="25"/>
  <c r="L83" i="25"/>
  <c r="K83" i="25"/>
  <c r="J83" i="25"/>
  <c r="M81" i="25"/>
  <c r="K81" i="25"/>
  <c r="J81" i="25"/>
  <c r="O81" i="25"/>
  <c r="N81" i="25"/>
  <c r="L81" i="25"/>
  <c r="K79" i="25"/>
  <c r="O79" i="25"/>
  <c r="N79" i="25"/>
  <c r="M79" i="25"/>
  <c r="L79" i="25"/>
  <c r="J79" i="25"/>
  <c r="O77" i="25"/>
  <c r="M77" i="25"/>
  <c r="L77" i="25"/>
  <c r="N77" i="25"/>
  <c r="M75" i="25"/>
  <c r="K77" i="25"/>
  <c r="J77" i="25"/>
  <c r="O75" i="25"/>
  <c r="N75" i="25"/>
  <c r="L75" i="25"/>
  <c r="O73" i="25"/>
  <c r="N73" i="25"/>
  <c r="O71" i="25"/>
  <c r="N71" i="25"/>
  <c r="M73" i="25"/>
  <c r="L73" i="25"/>
  <c r="K73" i="25"/>
  <c r="J73" i="25"/>
  <c r="K71" i="25"/>
  <c r="J71" i="25"/>
  <c r="K69" i="25"/>
  <c r="O69" i="25"/>
  <c r="N69" i="25"/>
  <c r="M69" i="25"/>
  <c r="L69" i="25"/>
  <c r="J69" i="25"/>
  <c r="M67" i="25"/>
  <c r="L67" i="25"/>
  <c r="K67" i="25"/>
  <c r="J67" i="25"/>
  <c r="M65" i="25"/>
  <c r="K65" i="25"/>
  <c r="J65" i="25"/>
  <c r="O65" i="25"/>
  <c r="N65" i="25"/>
  <c r="L65" i="25"/>
  <c r="K63" i="25"/>
  <c r="O63" i="25"/>
  <c r="N63" i="25"/>
  <c r="M63" i="25"/>
  <c r="L63" i="25"/>
  <c r="J63" i="25"/>
  <c r="O61" i="25"/>
  <c r="M61" i="25"/>
  <c r="L61" i="25"/>
  <c r="O59" i="25"/>
  <c r="N61" i="25"/>
  <c r="M59" i="25"/>
  <c r="K61" i="25"/>
  <c r="J61" i="25"/>
  <c r="N59" i="25"/>
  <c r="L59" i="25"/>
  <c r="O46" i="25"/>
  <c r="N46" i="25"/>
  <c r="M46" i="25"/>
  <c r="L46" i="25"/>
  <c r="K46" i="25"/>
  <c r="J46" i="25"/>
  <c r="O45" i="25"/>
  <c r="N45" i="25"/>
  <c r="M45" i="25"/>
  <c r="L45" i="25"/>
  <c r="K45" i="25"/>
  <c r="J45" i="25"/>
  <c r="C45" i="25"/>
  <c r="M57" i="25" s="1"/>
  <c r="H41" i="25"/>
  <c r="G41" i="25"/>
  <c r="F41" i="25"/>
  <c r="E41" i="25"/>
  <c r="D41" i="25"/>
  <c r="H40" i="25"/>
  <c r="G40" i="25"/>
  <c r="F40" i="25"/>
  <c r="E40" i="25"/>
  <c r="D40" i="25"/>
  <c r="H39" i="25"/>
  <c r="G39" i="25"/>
  <c r="F39" i="25"/>
  <c r="E39" i="25"/>
  <c r="D39" i="25"/>
  <c r="H33" i="25"/>
  <c r="G33" i="25"/>
  <c r="F33" i="25"/>
  <c r="E33" i="25"/>
  <c r="D33" i="25"/>
  <c r="H32" i="25"/>
  <c r="G32" i="25"/>
  <c r="F32" i="25"/>
  <c r="E32" i="25"/>
  <c r="D32" i="25"/>
  <c r="H31" i="25"/>
  <c r="G31" i="25"/>
  <c r="F31" i="25"/>
  <c r="E31" i="25"/>
  <c r="D31" i="25"/>
  <c r="B25" i="25"/>
  <c r="G24" i="25"/>
  <c r="B24" i="25"/>
  <c r="F23" i="25"/>
  <c r="E23" i="25"/>
  <c r="B23" i="25"/>
  <c r="D22" i="25"/>
  <c r="B22" i="25"/>
  <c r="B21" i="25"/>
  <c r="I16" i="25"/>
  <c r="H25" i="25"/>
  <c r="F25" i="25"/>
  <c r="D25" i="25"/>
  <c r="H24" i="25"/>
  <c r="F24" i="25"/>
  <c r="E24" i="25"/>
  <c r="D24" i="25"/>
  <c r="H23" i="25"/>
  <c r="G23" i="25"/>
  <c r="D23" i="25"/>
  <c r="H22" i="25"/>
  <c r="G22" i="25"/>
  <c r="F22" i="25"/>
  <c r="E22" i="25"/>
  <c r="I12" i="25"/>
  <c r="H21" i="25"/>
  <c r="E17" i="25"/>
  <c r="D21" i="25"/>
  <c r="C17" i="25"/>
  <c r="P10" i="25"/>
  <c r="O10" i="25"/>
  <c r="N10" i="25"/>
  <c r="M10" i="25"/>
  <c r="L10" i="25"/>
  <c r="K10" i="25"/>
  <c r="J10" i="25"/>
  <c r="H10" i="25"/>
  <c r="I10" i="25" s="1"/>
  <c r="G10" i="25"/>
  <c r="F10" i="25"/>
  <c r="E10" i="25"/>
  <c r="D10" i="25"/>
  <c r="C10" i="25"/>
  <c r="O9" i="25"/>
  <c r="N9" i="25"/>
  <c r="M9" i="25"/>
  <c r="L9" i="25"/>
  <c r="K9" i="25"/>
  <c r="J9" i="25"/>
  <c r="H9" i="25"/>
  <c r="G9" i="25"/>
  <c r="F9" i="25"/>
  <c r="E9" i="25"/>
  <c r="D9" i="25"/>
  <c r="C9" i="25"/>
  <c r="AE131" i="8"/>
  <c r="AF131" i="8"/>
  <c r="AG131" i="8"/>
  <c r="AH131" i="8"/>
  <c r="AI131" i="8"/>
  <c r="AJ131" i="8"/>
  <c r="AK131" i="8"/>
  <c r="AL131" i="8"/>
  <c r="AM131" i="8"/>
  <c r="AN131" i="8"/>
  <c r="AO131" i="8"/>
  <c r="AP131" i="8"/>
  <c r="AQ131" i="8"/>
  <c r="AR131" i="8"/>
  <c r="AS131" i="8"/>
  <c r="W73" i="9"/>
  <c r="V73" i="9"/>
  <c r="U73" i="9"/>
  <c r="T73" i="9"/>
  <c r="S73" i="9"/>
  <c r="R73" i="9"/>
  <c r="Q73" i="9"/>
  <c r="P73" i="9"/>
  <c r="O73" i="9"/>
  <c r="N73" i="9"/>
  <c r="M73" i="9"/>
  <c r="L73" i="9"/>
  <c r="K73" i="9"/>
  <c r="J73" i="9"/>
  <c r="I73" i="9"/>
  <c r="G73" i="9"/>
  <c r="F73" i="9"/>
  <c r="E73" i="9"/>
  <c r="D73" i="9"/>
  <c r="C73" i="9"/>
  <c r="W67" i="9"/>
  <c r="V67" i="9"/>
  <c r="U67" i="9"/>
  <c r="T67" i="9"/>
  <c r="S67" i="9"/>
  <c r="R67" i="9"/>
  <c r="Q67" i="9"/>
  <c r="P67" i="9"/>
  <c r="O67" i="9"/>
  <c r="N67" i="9"/>
  <c r="M67" i="9"/>
  <c r="L67" i="9"/>
  <c r="K67" i="9"/>
  <c r="J67" i="9"/>
  <c r="W66" i="9"/>
  <c r="V66" i="9"/>
  <c r="U66" i="9"/>
  <c r="T66" i="9"/>
  <c r="S66" i="9"/>
  <c r="R66" i="9"/>
  <c r="Q66" i="9"/>
  <c r="P66" i="9"/>
  <c r="O66" i="9"/>
  <c r="N66" i="9"/>
  <c r="M66" i="9"/>
  <c r="L66" i="9"/>
  <c r="K66" i="9"/>
  <c r="J66" i="9"/>
  <c r="I67" i="9"/>
  <c r="I66" i="9"/>
  <c r="G67" i="9"/>
  <c r="G66" i="9"/>
  <c r="F66" i="9"/>
  <c r="F67" i="9"/>
  <c r="E67" i="9"/>
  <c r="E66" i="9"/>
  <c r="D66" i="9"/>
  <c r="D67" i="9"/>
  <c r="C67" i="9"/>
  <c r="C66" i="9"/>
  <c r="W63" i="9"/>
  <c r="V63" i="9"/>
  <c r="U63" i="9"/>
  <c r="T63" i="9"/>
  <c r="S63" i="9"/>
  <c r="R63" i="9"/>
  <c r="Q63" i="9"/>
  <c r="P63" i="9"/>
  <c r="O63" i="9"/>
  <c r="N63" i="9"/>
  <c r="M63" i="9"/>
  <c r="L63" i="9"/>
  <c r="K63" i="9"/>
  <c r="J63" i="9"/>
  <c r="W62" i="9"/>
  <c r="V62" i="9"/>
  <c r="U62" i="9"/>
  <c r="T62" i="9"/>
  <c r="S62" i="9"/>
  <c r="R62" i="9"/>
  <c r="Q62" i="9"/>
  <c r="P62" i="9"/>
  <c r="O62" i="9"/>
  <c r="N62" i="9"/>
  <c r="M62" i="9"/>
  <c r="L62" i="9"/>
  <c r="K62" i="9"/>
  <c r="J62" i="9"/>
  <c r="W61" i="9"/>
  <c r="V61" i="9"/>
  <c r="U61" i="9"/>
  <c r="T61" i="9"/>
  <c r="S61" i="9"/>
  <c r="R61" i="9"/>
  <c r="Q61" i="9"/>
  <c r="P61" i="9"/>
  <c r="O61" i="9"/>
  <c r="N61" i="9"/>
  <c r="M61" i="9"/>
  <c r="L61" i="9"/>
  <c r="K61" i="9"/>
  <c r="J61" i="9"/>
  <c r="W60" i="9"/>
  <c r="V60" i="9"/>
  <c r="U60" i="9"/>
  <c r="T60" i="9"/>
  <c r="S60" i="9"/>
  <c r="R60" i="9"/>
  <c r="Q60" i="9"/>
  <c r="P60" i="9"/>
  <c r="O60" i="9"/>
  <c r="N60" i="9"/>
  <c r="M60" i="9"/>
  <c r="L60" i="9"/>
  <c r="K60" i="9"/>
  <c r="J60" i="9"/>
  <c r="W59" i="9"/>
  <c r="V59" i="9"/>
  <c r="U59" i="9"/>
  <c r="T59" i="9"/>
  <c r="S59" i="9"/>
  <c r="R59" i="9"/>
  <c r="Q59" i="9"/>
  <c r="P59" i="9"/>
  <c r="O59" i="9"/>
  <c r="N59" i="9"/>
  <c r="M59" i="9"/>
  <c r="L59" i="9"/>
  <c r="K59" i="9"/>
  <c r="J59" i="9"/>
  <c r="W58" i="9"/>
  <c r="V58" i="9"/>
  <c r="U58" i="9"/>
  <c r="T58" i="9"/>
  <c r="S58" i="9"/>
  <c r="R58" i="9"/>
  <c r="Q58" i="9"/>
  <c r="P58" i="9"/>
  <c r="O58" i="9"/>
  <c r="N58" i="9"/>
  <c r="M58" i="9"/>
  <c r="L58" i="9"/>
  <c r="K58" i="9"/>
  <c r="J58" i="9"/>
  <c r="I63" i="9"/>
  <c r="I62" i="9"/>
  <c r="I61" i="9"/>
  <c r="I60" i="9"/>
  <c r="I59" i="9"/>
  <c r="I58" i="9"/>
  <c r="G63" i="9"/>
  <c r="F63" i="9"/>
  <c r="E63" i="9"/>
  <c r="D63" i="9"/>
  <c r="G62" i="9"/>
  <c r="F62" i="9"/>
  <c r="E62" i="9"/>
  <c r="D62" i="9"/>
  <c r="G61" i="9"/>
  <c r="F61" i="9"/>
  <c r="E61" i="9"/>
  <c r="D61" i="9"/>
  <c r="G60" i="9"/>
  <c r="F60" i="9"/>
  <c r="E60" i="9"/>
  <c r="D60" i="9"/>
  <c r="G59" i="9"/>
  <c r="F59" i="9"/>
  <c r="E59" i="9"/>
  <c r="D59" i="9"/>
  <c r="G58" i="9"/>
  <c r="F58" i="9"/>
  <c r="E58" i="9"/>
  <c r="D58" i="9"/>
  <c r="C63" i="9"/>
  <c r="C62" i="9"/>
  <c r="C61" i="9"/>
  <c r="C60" i="9"/>
  <c r="C59" i="9"/>
  <c r="C58" i="9"/>
  <c r="W53" i="9"/>
  <c r="V53" i="9"/>
  <c r="U53" i="9"/>
  <c r="T53" i="9"/>
  <c r="S53" i="9"/>
  <c r="R53" i="9"/>
  <c r="Q53" i="9"/>
  <c r="P53" i="9"/>
  <c r="O53" i="9"/>
  <c r="N53" i="9"/>
  <c r="M53" i="9"/>
  <c r="L53" i="9"/>
  <c r="K53" i="9"/>
  <c r="J53" i="9"/>
  <c r="W52" i="9"/>
  <c r="V52" i="9"/>
  <c r="U52" i="9"/>
  <c r="T52" i="9"/>
  <c r="S52" i="9"/>
  <c r="R52" i="9"/>
  <c r="Q52" i="9"/>
  <c r="P52" i="9"/>
  <c r="O52" i="9"/>
  <c r="N52" i="9"/>
  <c r="M52" i="9"/>
  <c r="L52" i="9"/>
  <c r="K52" i="9"/>
  <c r="J52" i="9"/>
  <c r="I53" i="9"/>
  <c r="I52" i="9"/>
  <c r="G53" i="9"/>
  <c r="F53" i="9"/>
  <c r="E53" i="9"/>
  <c r="D53" i="9"/>
  <c r="G52" i="9"/>
  <c r="F52" i="9"/>
  <c r="E52" i="9"/>
  <c r="D52" i="9"/>
  <c r="C53" i="9"/>
  <c r="C52" i="9"/>
  <c r="W46" i="9"/>
  <c r="V46" i="9"/>
  <c r="U46" i="9"/>
  <c r="T46" i="9"/>
  <c r="S46" i="9"/>
  <c r="R46" i="9"/>
  <c r="Q46" i="9"/>
  <c r="P46" i="9"/>
  <c r="O46" i="9"/>
  <c r="N46" i="9"/>
  <c r="M46" i="9"/>
  <c r="L46" i="9"/>
  <c r="K46" i="9"/>
  <c r="J46" i="9"/>
  <c r="W45" i="9"/>
  <c r="V45" i="9"/>
  <c r="U45" i="9"/>
  <c r="T45" i="9"/>
  <c r="S45" i="9"/>
  <c r="R45" i="9"/>
  <c r="Q45" i="9"/>
  <c r="P45" i="9"/>
  <c r="O45" i="9"/>
  <c r="N45" i="9"/>
  <c r="M45" i="9"/>
  <c r="L45" i="9"/>
  <c r="K45" i="9"/>
  <c r="J45" i="9"/>
  <c r="W44" i="9"/>
  <c r="V44" i="9"/>
  <c r="U44" i="9"/>
  <c r="T44" i="9"/>
  <c r="S44" i="9"/>
  <c r="R44" i="9"/>
  <c r="Q44" i="9"/>
  <c r="P44" i="9"/>
  <c r="O44" i="9"/>
  <c r="N44" i="9"/>
  <c r="M44" i="9"/>
  <c r="L44" i="9"/>
  <c r="K44" i="9"/>
  <c r="J44" i="9"/>
  <c r="W43" i="9"/>
  <c r="V43" i="9"/>
  <c r="U43" i="9"/>
  <c r="T43" i="9"/>
  <c r="S43" i="9"/>
  <c r="R43" i="9"/>
  <c r="Q43" i="9"/>
  <c r="P43" i="9"/>
  <c r="O43" i="9"/>
  <c r="N43" i="9"/>
  <c r="M43" i="9"/>
  <c r="L43" i="9"/>
  <c r="K43" i="9"/>
  <c r="J43" i="9"/>
  <c r="W42" i="9"/>
  <c r="V42" i="9"/>
  <c r="U42" i="9"/>
  <c r="T42" i="9"/>
  <c r="S42" i="9"/>
  <c r="R42" i="9"/>
  <c r="Q42" i="9"/>
  <c r="P42" i="9"/>
  <c r="O42" i="9"/>
  <c r="N42" i="9"/>
  <c r="M42" i="9"/>
  <c r="L42" i="9"/>
  <c r="K42" i="9"/>
  <c r="J42" i="9"/>
  <c r="W41" i="9"/>
  <c r="V41" i="9"/>
  <c r="U41" i="9"/>
  <c r="T41" i="9"/>
  <c r="S41" i="9"/>
  <c r="R41" i="9"/>
  <c r="Q41" i="9"/>
  <c r="P41" i="9"/>
  <c r="O41" i="9"/>
  <c r="N41" i="9"/>
  <c r="M41" i="9"/>
  <c r="L41" i="9"/>
  <c r="K41" i="9"/>
  <c r="J41" i="9"/>
  <c r="I46" i="9"/>
  <c r="I45" i="9"/>
  <c r="I44" i="9"/>
  <c r="I43" i="9"/>
  <c r="I42" i="9"/>
  <c r="I41" i="9"/>
  <c r="G46" i="9"/>
  <c r="F46" i="9"/>
  <c r="E46" i="9"/>
  <c r="D46" i="9"/>
  <c r="C46" i="9"/>
  <c r="G45" i="9"/>
  <c r="F45" i="9"/>
  <c r="E45" i="9"/>
  <c r="D45" i="9"/>
  <c r="G44" i="9"/>
  <c r="F44" i="9"/>
  <c r="E44" i="9"/>
  <c r="D44" i="9"/>
  <c r="G43" i="9"/>
  <c r="F43" i="9"/>
  <c r="E43" i="9"/>
  <c r="D43" i="9"/>
  <c r="G42" i="9"/>
  <c r="F42" i="9"/>
  <c r="E42" i="9"/>
  <c r="D42" i="9"/>
  <c r="G41" i="9"/>
  <c r="F41" i="9"/>
  <c r="E41" i="9"/>
  <c r="D41" i="9"/>
  <c r="C45" i="9"/>
  <c r="C44" i="9"/>
  <c r="C43" i="9"/>
  <c r="C42" i="9"/>
  <c r="C41" i="9"/>
  <c r="W38" i="9"/>
  <c r="V38" i="9"/>
  <c r="U38" i="9"/>
  <c r="T38" i="9"/>
  <c r="S38" i="9"/>
  <c r="R38" i="9"/>
  <c r="Q38" i="9"/>
  <c r="P38" i="9"/>
  <c r="O38" i="9"/>
  <c r="N38" i="9"/>
  <c r="M38" i="9"/>
  <c r="L38" i="9"/>
  <c r="K38" i="9"/>
  <c r="J38" i="9"/>
  <c r="W37" i="9"/>
  <c r="V37" i="9"/>
  <c r="U37" i="9"/>
  <c r="T37" i="9"/>
  <c r="S37" i="9"/>
  <c r="R37" i="9"/>
  <c r="Q37" i="9"/>
  <c r="P37" i="9"/>
  <c r="O37" i="9"/>
  <c r="N37" i="9"/>
  <c r="M37" i="9"/>
  <c r="L37" i="9"/>
  <c r="K37" i="9"/>
  <c r="J37" i="9"/>
  <c r="W36" i="9"/>
  <c r="V36" i="9"/>
  <c r="U36" i="9"/>
  <c r="T36" i="9"/>
  <c r="S36" i="9"/>
  <c r="R36" i="9"/>
  <c r="Q36" i="9"/>
  <c r="P36" i="9"/>
  <c r="O36" i="9"/>
  <c r="N36" i="9"/>
  <c r="M36" i="9"/>
  <c r="L36" i="9"/>
  <c r="K36" i="9"/>
  <c r="J36" i="9"/>
  <c r="W35" i="9"/>
  <c r="V35" i="9"/>
  <c r="U35" i="9"/>
  <c r="T35" i="9"/>
  <c r="S35" i="9"/>
  <c r="R35" i="9"/>
  <c r="Q35" i="9"/>
  <c r="P35" i="9"/>
  <c r="O35" i="9"/>
  <c r="N35" i="9"/>
  <c r="M35" i="9"/>
  <c r="L35" i="9"/>
  <c r="K35" i="9"/>
  <c r="J35" i="9"/>
  <c r="I38" i="9"/>
  <c r="I37" i="9"/>
  <c r="I36" i="9"/>
  <c r="I35" i="9"/>
  <c r="G38" i="9"/>
  <c r="F38" i="9"/>
  <c r="E38" i="9"/>
  <c r="D38" i="9"/>
  <c r="G37" i="9"/>
  <c r="F37" i="9"/>
  <c r="E37" i="9"/>
  <c r="D37" i="9"/>
  <c r="G36" i="9"/>
  <c r="F36" i="9"/>
  <c r="E36" i="9"/>
  <c r="D36" i="9"/>
  <c r="G35" i="9"/>
  <c r="F35" i="9"/>
  <c r="E35" i="9"/>
  <c r="D35" i="9"/>
  <c r="C38" i="9"/>
  <c r="C37" i="9"/>
  <c r="C36" i="9"/>
  <c r="C35" i="9"/>
  <c r="W31" i="9"/>
  <c r="V31" i="9"/>
  <c r="U31" i="9"/>
  <c r="T31" i="9"/>
  <c r="S31" i="9"/>
  <c r="R31" i="9"/>
  <c r="Q31" i="9"/>
  <c r="P31" i="9"/>
  <c r="O31" i="9"/>
  <c r="N31" i="9"/>
  <c r="M31" i="9"/>
  <c r="L31" i="9"/>
  <c r="K31" i="9"/>
  <c r="J31" i="9"/>
  <c r="I31" i="9"/>
  <c r="G31" i="9"/>
  <c r="F31" i="9"/>
  <c r="E31" i="9"/>
  <c r="D31" i="9"/>
  <c r="C31" i="9"/>
  <c r="W26" i="9"/>
  <c r="V26" i="9"/>
  <c r="U26" i="9"/>
  <c r="T26" i="9"/>
  <c r="S26" i="9"/>
  <c r="R26" i="9"/>
  <c r="Q26" i="9"/>
  <c r="P26" i="9"/>
  <c r="O26" i="9"/>
  <c r="N26" i="9"/>
  <c r="M26" i="9"/>
  <c r="L26" i="9"/>
  <c r="K26" i="9"/>
  <c r="J26" i="9"/>
  <c r="I26" i="9"/>
  <c r="G26" i="9"/>
  <c r="F26" i="9"/>
  <c r="E26" i="9"/>
  <c r="D26" i="9"/>
  <c r="C26" i="9"/>
  <c r="W22" i="9"/>
  <c r="V22" i="9"/>
  <c r="U22" i="9"/>
  <c r="T22" i="9"/>
  <c r="S22" i="9"/>
  <c r="R22" i="9"/>
  <c r="Q22" i="9"/>
  <c r="P22" i="9"/>
  <c r="O22" i="9"/>
  <c r="N22" i="9"/>
  <c r="M22" i="9"/>
  <c r="L22" i="9"/>
  <c r="K22" i="9"/>
  <c r="J22" i="9"/>
  <c r="W21" i="9"/>
  <c r="V21" i="9"/>
  <c r="U21" i="9"/>
  <c r="T21" i="9"/>
  <c r="S21" i="9"/>
  <c r="R21" i="9"/>
  <c r="Q21" i="9"/>
  <c r="P21" i="9"/>
  <c r="O21" i="9"/>
  <c r="N21" i="9"/>
  <c r="M21" i="9"/>
  <c r="L21" i="9"/>
  <c r="K21" i="9"/>
  <c r="J21" i="9"/>
  <c r="W20" i="9"/>
  <c r="V20" i="9"/>
  <c r="U20" i="9"/>
  <c r="T20" i="9"/>
  <c r="S20" i="9"/>
  <c r="R20" i="9"/>
  <c r="Q20" i="9"/>
  <c r="P20" i="9"/>
  <c r="O20" i="9"/>
  <c r="N20" i="9"/>
  <c r="M20" i="9"/>
  <c r="L20" i="9"/>
  <c r="K20" i="9"/>
  <c r="J20" i="9"/>
  <c r="I22" i="9"/>
  <c r="I21" i="9"/>
  <c r="I20" i="9"/>
  <c r="G22" i="9"/>
  <c r="F22" i="9"/>
  <c r="E22" i="9"/>
  <c r="D22" i="9"/>
  <c r="G21" i="9"/>
  <c r="F21" i="9"/>
  <c r="E21" i="9"/>
  <c r="D21" i="9"/>
  <c r="G20" i="9"/>
  <c r="F20" i="9"/>
  <c r="E20" i="9"/>
  <c r="D20" i="9"/>
  <c r="C22" i="9"/>
  <c r="C21" i="9"/>
  <c r="C20" i="9"/>
  <c r="W16" i="9"/>
  <c r="V16" i="9"/>
  <c r="U16" i="9"/>
  <c r="T16" i="9"/>
  <c r="S16" i="9"/>
  <c r="R16" i="9"/>
  <c r="Q16" i="9"/>
  <c r="P16" i="9"/>
  <c r="O16" i="9"/>
  <c r="N16" i="9"/>
  <c r="M16" i="9"/>
  <c r="L16" i="9"/>
  <c r="K16" i="9"/>
  <c r="J16" i="9"/>
  <c r="W15" i="9"/>
  <c r="V15" i="9"/>
  <c r="U15" i="9"/>
  <c r="T15" i="9"/>
  <c r="S15" i="9"/>
  <c r="R15" i="9"/>
  <c r="Q15" i="9"/>
  <c r="P15" i="9"/>
  <c r="O15" i="9"/>
  <c r="N15" i="9"/>
  <c r="M15" i="9"/>
  <c r="L15" i="9"/>
  <c r="K15" i="9"/>
  <c r="J15" i="9"/>
  <c r="I16" i="9"/>
  <c r="I15" i="9"/>
  <c r="G16" i="9"/>
  <c r="F16" i="9"/>
  <c r="E16" i="9"/>
  <c r="D16" i="9"/>
  <c r="G15" i="9"/>
  <c r="F15" i="9"/>
  <c r="E15" i="9"/>
  <c r="D15" i="9"/>
  <c r="C16" i="9"/>
  <c r="C15" i="9"/>
  <c r="W10" i="9"/>
  <c r="V10" i="9"/>
  <c r="U10" i="9"/>
  <c r="T10" i="9"/>
  <c r="S10" i="9"/>
  <c r="R10" i="9"/>
  <c r="Q10" i="9"/>
  <c r="P10" i="9"/>
  <c r="O10" i="9"/>
  <c r="N10" i="9"/>
  <c r="M10" i="9"/>
  <c r="L10" i="9"/>
  <c r="K10" i="9"/>
  <c r="J10" i="9"/>
  <c r="W9" i="9"/>
  <c r="V9" i="9"/>
  <c r="U9" i="9"/>
  <c r="T9" i="9"/>
  <c r="S9" i="9"/>
  <c r="R9" i="9"/>
  <c r="Q9" i="9"/>
  <c r="P9" i="9"/>
  <c r="O9" i="9"/>
  <c r="N9" i="9"/>
  <c r="M9" i="9"/>
  <c r="L9" i="9"/>
  <c r="K9" i="9"/>
  <c r="J9" i="9"/>
  <c r="W8" i="9"/>
  <c r="V8" i="9"/>
  <c r="U8" i="9"/>
  <c r="T8" i="9"/>
  <c r="S8" i="9"/>
  <c r="R8" i="9"/>
  <c r="Q8" i="9"/>
  <c r="P8" i="9"/>
  <c r="O8" i="9"/>
  <c r="N8" i="9"/>
  <c r="M8" i="9"/>
  <c r="L8" i="9"/>
  <c r="K8" i="9"/>
  <c r="J8" i="9"/>
  <c r="W7" i="9"/>
  <c r="V7" i="9"/>
  <c r="U7" i="9"/>
  <c r="T7" i="9"/>
  <c r="S7" i="9"/>
  <c r="R7" i="9"/>
  <c r="Q7" i="9"/>
  <c r="P7" i="9"/>
  <c r="O7" i="9"/>
  <c r="N7" i="9"/>
  <c r="M7" i="9"/>
  <c r="L7" i="9"/>
  <c r="K7" i="9"/>
  <c r="J7" i="9"/>
  <c r="W6" i="9"/>
  <c r="V6" i="9"/>
  <c r="U6" i="9"/>
  <c r="T6" i="9"/>
  <c r="S6" i="9"/>
  <c r="R6" i="9"/>
  <c r="Q6" i="9"/>
  <c r="P6" i="9"/>
  <c r="O6" i="9"/>
  <c r="N6" i="9"/>
  <c r="M6" i="9"/>
  <c r="L6" i="9"/>
  <c r="K6" i="9"/>
  <c r="J6" i="9"/>
  <c r="I10" i="9"/>
  <c r="I9" i="9"/>
  <c r="I8" i="9"/>
  <c r="I7" i="9"/>
  <c r="I6" i="9"/>
  <c r="G10" i="9"/>
  <c r="F10" i="9"/>
  <c r="E10" i="9"/>
  <c r="D10" i="9"/>
  <c r="C10" i="9"/>
  <c r="G9" i="9"/>
  <c r="F9" i="9"/>
  <c r="E9" i="9"/>
  <c r="D9" i="9"/>
  <c r="C9" i="9"/>
  <c r="G8" i="9"/>
  <c r="F8" i="9"/>
  <c r="E8" i="9"/>
  <c r="D8" i="9"/>
  <c r="C8" i="9"/>
  <c r="G7" i="9"/>
  <c r="F7" i="9"/>
  <c r="E7" i="9"/>
  <c r="D7" i="9"/>
  <c r="C7" i="9"/>
  <c r="G6" i="9"/>
  <c r="F6" i="9"/>
  <c r="E6" i="9"/>
  <c r="D6" i="9"/>
  <c r="C6" i="9"/>
  <c r="AC27" i="8"/>
  <c r="AB27" i="8"/>
  <c r="AA27" i="8"/>
  <c r="Y27" i="8"/>
  <c r="X27" i="8"/>
  <c r="W27" i="8"/>
  <c r="M129" i="8"/>
  <c r="L129" i="8"/>
  <c r="K129" i="8"/>
  <c r="AC129" i="8"/>
  <c r="AB129" i="8"/>
  <c r="AA129" i="8"/>
  <c r="Y129" i="8"/>
  <c r="X129" i="8"/>
  <c r="W129" i="8"/>
  <c r="U129" i="8"/>
  <c r="T129" i="8"/>
  <c r="S129" i="8"/>
  <c r="Q129" i="8"/>
  <c r="P129" i="8"/>
  <c r="O129" i="8"/>
  <c r="I27" i="8"/>
  <c r="H27" i="8"/>
  <c r="G27" i="8"/>
  <c r="I35" i="8"/>
  <c r="I129" i="8"/>
  <c r="H129" i="8"/>
  <c r="G129" i="8"/>
  <c r="F129" i="8"/>
  <c r="E129" i="8"/>
  <c r="D129" i="8"/>
  <c r="L33" i="24"/>
  <c r="J28" i="24"/>
  <c r="F28" i="24"/>
  <c r="J27" i="24"/>
  <c r="F27" i="24"/>
  <c r="L27" i="24" s="1"/>
  <c r="H21" i="24"/>
  <c r="F21" i="24"/>
  <c r="H20" i="24"/>
  <c r="F20" i="24"/>
  <c r="H19" i="24"/>
  <c r="H28" i="24" s="1"/>
  <c r="L28" i="24" s="1"/>
  <c r="F19" i="24"/>
  <c r="H18" i="24"/>
  <c r="H27" i="24" s="1"/>
  <c r="F18" i="24"/>
  <c r="H17" i="24"/>
  <c r="F17" i="24"/>
  <c r="E24" i="23"/>
  <c r="Q86" i="26" l="1"/>
  <c r="S80" i="26"/>
  <c r="N49" i="25"/>
  <c r="N36" i="25" s="1"/>
  <c r="M56" i="25"/>
  <c r="F21" i="25"/>
  <c r="M47" i="25"/>
  <c r="M35" i="25" s="1"/>
  <c r="N48" i="25"/>
  <c r="N27" i="25" s="1"/>
  <c r="O49" i="25"/>
  <c r="O36" i="25" s="1"/>
  <c r="I51" i="25"/>
  <c r="J52" i="25"/>
  <c r="J29" i="25" s="1"/>
  <c r="K53" i="25"/>
  <c r="K15" i="25" s="1"/>
  <c r="L54" i="25"/>
  <c r="L16" i="25" s="1"/>
  <c r="M55" i="25"/>
  <c r="N56" i="25"/>
  <c r="O57" i="25"/>
  <c r="H17" i="25"/>
  <c r="G21" i="25"/>
  <c r="G25" i="25"/>
  <c r="N47" i="25"/>
  <c r="N35" i="25" s="1"/>
  <c r="O48" i="25"/>
  <c r="O27" i="25" s="1"/>
  <c r="I50" i="25"/>
  <c r="J51" i="25"/>
  <c r="J37" i="25" s="1"/>
  <c r="J41" i="25" s="1"/>
  <c r="K52" i="25"/>
  <c r="K29" i="25" s="1"/>
  <c r="L53" i="25"/>
  <c r="L15" i="25" s="1"/>
  <c r="M54" i="25"/>
  <c r="M16" i="25" s="1"/>
  <c r="N55" i="25"/>
  <c r="O56" i="25"/>
  <c r="J59" i="25"/>
  <c r="N67" i="25"/>
  <c r="L71" i="25"/>
  <c r="J75" i="25"/>
  <c r="N83" i="25"/>
  <c r="L87" i="25"/>
  <c r="J91" i="25"/>
  <c r="N99" i="25"/>
  <c r="M48" i="25"/>
  <c r="M27" i="25" s="1"/>
  <c r="K54" i="25"/>
  <c r="K16" i="25" s="1"/>
  <c r="J50" i="25"/>
  <c r="J28" i="25" s="1"/>
  <c r="L52" i="25"/>
  <c r="L29" i="25" s="1"/>
  <c r="I57" i="25"/>
  <c r="O67" i="25"/>
  <c r="M71" i="25"/>
  <c r="K75" i="25"/>
  <c r="O83" i="25"/>
  <c r="M87" i="25"/>
  <c r="K91" i="25"/>
  <c r="O99" i="25"/>
  <c r="I52" i="25"/>
  <c r="N57" i="25"/>
  <c r="I14" i="25"/>
  <c r="O47" i="25"/>
  <c r="O35" i="25" s="1"/>
  <c r="O39" i="25" s="1"/>
  <c r="N54" i="25"/>
  <c r="N16" i="25" s="1"/>
  <c r="I48" i="25"/>
  <c r="J49" i="25"/>
  <c r="J36" i="25" s="1"/>
  <c r="J40" i="25" s="1"/>
  <c r="K50" i="25"/>
  <c r="K28" i="25" s="1"/>
  <c r="L51" i="25"/>
  <c r="L37" i="25" s="1"/>
  <c r="M52" i="25"/>
  <c r="M29" i="25" s="1"/>
  <c r="N53" i="25"/>
  <c r="N15" i="25" s="1"/>
  <c r="O54" i="25"/>
  <c r="O16" i="25" s="1"/>
  <c r="I56" i="25"/>
  <c r="J57" i="25"/>
  <c r="F17" i="25"/>
  <c r="F20" i="25" s="1"/>
  <c r="E25" i="25"/>
  <c r="O50" i="25"/>
  <c r="O28" i="25" s="1"/>
  <c r="I13" i="25"/>
  <c r="I49" i="25"/>
  <c r="K51" i="25"/>
  <c r="K37" i="25" s="1"/>
  <c r="M53" i="25"/>
  <c r="M15" i="25" s="1"/>
  <c r="O55" i="25"/>
  <c r="K59" i="25"/>
  <c r="I47" i="25"/>
  <c r="J48" i="25"/>
  <c r="J27" i="25" s="1"/>
  <c r="K49" i="25"/>
  <c r="K36" i="25" s="1"/>
  <c r="L50" i="25"/>
  <c r="L28" i="25" s="1"/>
  <c r="M51" i="25"/>
  <c r="M37" i="25" s="1"/>
  <c r="N52" i="25"/>
  <c r="N29" i="25" s="1"/>
  <c r="O53" i="25"/>
  <c r="O15" i="25" s="1"/>
  <c r="I55" i="25"/>
  <c r="J56" i="25"/>
  <c r="K57" i="25"/>
  <c r="E21" i="25"/>
  <c r="L47" i="25"/>
  <c r="L35" i="25" s="1"/>
  <c r="J53" i="25"/>
  <c r="J15" i="25" s="1"/>
  <c r="J24" i="25" s="1"/>
  <c r="G17" i="25"/>
  <c r="G20" i="25" s="1"/>
  <c r="D17" i="25"/>
  <c r="D20" i="25" s="1"/>
  <c r="J47" i="25"/>
  <c r="J35" i="25" s="1"/>
  <c r="J39" i="25" s="1"/>
  <c r="K48" i="25"/>
  <c r="K27" i="25" s="1"/>
  <c r="L49" i="25"/>
  <c r="L36" i="25" s="1"/>
  <c r="M50" i="25"/>
  <c r="M28" i="25" s="1"/>
  <c r="N51" i="25"/>
  <c r="N37" i="25" s="1"/>
  <c r="O52" i="25"/>
  <c r="O29" i="25" s="1"/>
  <c r="I54" i="25"/>
  <c r="J55" i="25"/>
  <c r="K56" i="25"/>
  <c r="L57" i="25"/>
  <c r="L55" i="25"/>
  <c r="I15" i="25"/>
  <c r="K47" i="25"/>
  <c r="K35" i="25" s="1"/>
  <c r="L48" i="25"/>
  <c r="L27" i="25" s="1"/>
  <c r="M49" i="25"/>
  <c r="M36" i="25" s="1"/>
  <c r="N50" i="25"/>
  <c r="N28" i="25" s="1"/>
  <c r="O51" i="25"/>
  <c r="O37" i="25" s="1"/>
  <c r="I53" i="25"/>
  <c r="J54" i="25"/>
  <c r="J16" i="25" s="1"/>
  <c r="J25" i="25" s="1"/>
  <c r="K55" i="25"/>
  <c r="L56" i="25"/>
  <c r="D36" i="24"/>
  <c r="D38" i="24" s="1"/>
  <c r="S86" i="26" l="1"/>
  <c r="Q103" i="26"/>
  <c r="M24" i="25"/>
  <c r="L41" i="25"/>
  <c r="L24" i="25"/>
  <c r="O40" i="25"/>
  <c r="O41" i="25"/>
  <c r="K41" i="25"/>
  <c r="K40" i="25"/>
  <c r="M25" i="25"/>
  <c r="O14" i="25"/>
  <c r="O32" i="25"/>
  <c r="H20" i="25"/>
  <c r="I17" i="25"/>
  <c r="L40" i="25"/>
  <c r="K12" i="25"/>
  <c r="K31" i="25"/>
  <c r="K32" i="25"/>
  <c r="K14" i="25"/>
  <c r="L13" i="25"/>
  <c r="L33" i="25"/>
  <c r="K13" i="25"/>
  <c r="K33" i="25"/>
  <c r="N31" i="25"/>
  <c r="N12" i="25"/>
  <c r="J32" i="25"/>
  <c r="J14" i="25"/>
  <c r="J23" i="25" s="1"/>
  <c r="M39" i="25"/>
  <c r="K25" i="25"/>
  <c r="M32" i="25"/>
  <c r="M14" i="25"/>
  <c r="N25" i="25"/>
  <c r="M31" i="25"/>
  <c r="M12" i="25"/>
  <c r="O31" i="25"/>
  <c r="O12" i="25"/>
  <c r="L25" i="25"/>
  <c r="J12" i="25"/>
  <c r="J31" i="25"/>
  <c r="N14" i="25"/>
  <c r="N32" i="25"/>
  <c r="P15" i="25"/>
  <c r="O24" i="25"/>
  <c r="N33" i="25"/>
  <c r="N13" i="25"/>
  <c r="O33" i="25"/>
  <c r="O13" i="25"/>
  <c r="M41" i="25"/>
  <c r="P16" i="25"/>
  <c r="O25" i="25"/>
  <c r="N39" i="25"/>
  <c r="K24" i="25"/>
  <c r="N40" i="25"/>
  <c r="M13" i="25"/>
  <c r="M33" i="25"/>
  <c r="M40" i="25"/>
  <c r="L31" i="25"/>
  <c r="L12" i="25"/>
  <c r="K39" i="25"/>
  <c r="N41" i="25"/>
  <c r="L39" i="25"/>
  <c r="L32" i="25"/>
  <c r="L14" i="25"/>
  <c r="N24" i="25"/>
  <c r="J33" i="25"/>
  <c r="J13" i="25"/>
  <c r="J22" i="25" s="1"/>
  <c r="E20" i="25"/>
  <c r="N23" i="25" l="1"/>
  <c r="M22" i="25"/>
  <c r="K23" i="25"/>
  <c r="P14" i="25"/>
  <c r="O23" i="25"/>
  <c r="L21" i="25"/>
  <c r="L17" i="25"/>
  <c r="M21" i="25"/>
  <c r="M17" i="25"/>
  <c r="K21" i="25"/>
  <c r="K17" i="25"/>
  <c r="L23" i="25"/>
  <c r="O22" i="25"/>
  <c r="P13" i="25"/>
  <c r="M23" i="25"/>
  <c r="J21" i="25"/>
  <c r="J17" i="25"/>
  <c r="J20" i="25" s="1"/>
  <c r="K22" i="25"/>
  <c r="N21" i="25"/>
  <c r="N17" i="25"/>
  <c r="N22" i="25"/>
  <c r="P12" i="25"/>
  <c r="O21" i="25"/>
  <c r="O17" i="25"/>
  <c r="L22" i="25"/>
  <c r="K20" i="25" l="1"/>
  <c r="M20" i="25"/>
  <c r="L20" i="25"/>
  <c r="O20" i="25"/>
  <c r="P17" i="25"/>
  <c r="N20" i="25"/>
  <c r="N33" i="23" l="1"/>
  <c r="G31" i="23" l="1"/>
  <c r="N31" i="23"/>
  <c r="N35" i="23"/>
  <c r="O33" i="23"/>
  <c r="E31" i="23"/>
  <c r="O31" i="23" l="1"/>
  <c r="O35" i="23"/>
  <c r="P35" i="23"/>
  <c r="F31" i="23"/>
  <c r="N18" i="23"/>
  <c r="P33" i="23"/>
  <c r="O18" i="23" l="1"/>
  <c r="P31" i="23"/>
  <c r="G33" i="23"/>
  <c r="E33" i="23" l="1"/>
  <c r="F33" i="23"/>
  <c r="E35" i="23"/>
  <c r="F35" i="23"/>
  <c r="P22" i="23"/>
  <c r="P18" i="23"/>
  <c r="G35" i="23"/>
  <c r="N22" i="23" l="1"/>
  <c r="O22" i="23"/>
  <c r="N20" i="23"/>
  <c r="O20" i="23"/>
  <c r="P20" i="23"/>
  <c r="N24" i="23" l="1"/>
  <c r="N26" i="23"/>
  <c r="O26" i="23" l="1"/>
  <c r="O24" i="23"/>
  <c r="E18" i="23" l="1"/>
  <c r="P26" i="23" l="1"/>
  <c r="P24" i="23"/>
  <c r="F18" i="23"/>
  <c r="G18" i="23" l="1"/>
  <c r="E20" i="23" l="1"/>
  <c r="F20" i="23" l="1"/>
  <c r="E22" i="23"/>
  <c r="F22" i="23"/>
  <c r="G20" i="23" l="1"/>
  <c r="G22" i="23" l="1"/>
  <c r="Q26" i="23" l="1"/>
  <c r="R26" i="23" l="1"/>
  <c r="S26" i="23" l="1"/>
  <c r="Q24" i="23" l="1"/>
  <c r="R24" i="23" l="1"/>
  <c r="S24" i="23" l="1"/>
  <c r="Q31" i="23" l="1"/>
  <c r="R31" i="23" l="1"/>
  <c r="S31" i="23" l="1"/>
  <c r="H35" i="23" l="1"/>
  <c r="I35" i="23" l="1"/>
  <c r="J35" i="23"/>
  <c r="J31" i="23" l="1"/>
  <c r="H31" i="23"/>
  <c r="I31" i="23" l="1"/>
  <c r="S18" i="23"/>
  <c r="Q18" i="23"/>
  <c r="R18" i="23" l="1"/>
  <c r="Q35" i="23"/>
  <c r="Q20" i="23" l="1"/>
  <c r="R35" i="23" l="1"/>
  <c r="R20" i="23" l="1"/>
  <c r="S35" i="23"/>
  <c r="S20" i="23" l="1"/>
  <c r="H33" i="23" l="1"/>
  <c r="I33" i="23" l="1"/>
  <c r="J33" i="23" l="1"/>
  <c r="Q33" i="23" l="1"/>
  <c r="Q22" i="23" l="1"/>
  <c r="H18" i="23" l="1"/>
  <c r="H20" i="23" l="1"/>
  <c r="H22" i="23" l="1"/>
  <c r="R33" i="23" l="1"/>
  <c r="R22" i="23" l="1"/>
  <c r="S33" i="23"/>
  <c r="S22" i="23" l="1"/>
  <c r="I18" i="23" l="1"/>
  <c r="J18" i="23" l="1"/>
  <c r="I20" i="23" l="1"/>
  <c r="I22" i="23" l="1"/>
  <c r="J20" i="23"/>
  <c r="J22" i="23" l="1"/>
  <c r="R31" i="8" l="1"/>
  <c r="AR35" i="8"/>
  <c r="AQ35" i="8"/>
  <c r="AO35" i="8"/>
  <c r="AN35" i="8"/>
  <c r="AM35" i="8"/>
  <c r="AL35" i="8"/>
  <c r="AK35" i="8"/>
  <c r="AJ35" i="8"/>
  <c r="AI35" i="8"/>
  <c r="AG35" i="8"/>
  <c r="AF35" i="8"/>
  <c r="AE35" i="8"/>
  <c r="AS35" i="8"/>
  <c r="AR38" i="8"/>
  <c r="AQ38" i="8"/>
  <c r="AP38" i="8"/>
  <c r="AO38" i="8"/>
  <c r="AN38" i="8"/>
  <c r="AM38" i="8"/>
  <c r="AL38" i="8"/>
  <c r="AK38" i="8"/>
  <c r="AJ38" i="8"/>
  <c r="AI38" i="8"/>
  <c r="AH38" i="8"/>
  <c r="AG38" i="8"/>
  <c r="AF38" i="8"/>
  <c r="AE38" i="8"/>
  <c r="AS38" i="8"/>
  <c r="Z38" i="8"/>
  <c r="Z35" i="8"/>
  <c r="AP35" i="8" s="1"/>
  <c r="V38" i="8"/>
  <c r="N38" i="8"/>
  <c r="N35" i="8"/>
  <c r="V35" i="8"/>
  <c r="R38" i="8"/>
  <c r="R35" i="8"/>
  <c r="AH35" i="8" s="1"/>
  <c r="T54" i="9"/>
  <c r="P54" i="9"/>
  <c r="L54" i="9"/>
  <c r="AK69" i="9"/>
  <c r="AJ69" i="9"/>
  <c r="AI69" i="9"/>
  <c r="AG69" i="9"/>
  <c r="AF69" i="9"/>
  <c r="AE69" i="9"/>
  <c r="AC69" i="9"/>
  <c r="AB69" i="9"/>
  <c r="AA69" i="9"/>
  <c r="Y69" i="9"/>
  <c r="T69" i="9"/>
  <c r="AH69" i="9" s="1"/>
  <c r="P69" i="9"/>
  <c r="AD69" i="9" s="1"/>
  <c r="L69" i="9"/>
  <c r="Z69" i="9" s="1"/>
  <c r="L24" i="21"/>
  <c r="L23" i="21"/>
  <c r="L22" i="21"/>
  <c r="L21" i="21"/>
  <c r="L20" i="21"/>
  <c r="L19" i="21"/>
  <c r="L18" i="21"/>
  <c r="L17" i="21"/>
  <c r="Z17" i="21" s="1"/>
  <c r="L16" i="21"/>
  <c r="L15" i="21"/>
  <c r="L14" i="21"/>
  <c r="L13" i="21"/>
  <c r="L12" i="21"/>
  <c r="L11" i="21"/>
  <c r="L10" i="21"/>
  <c r="L9" i="21"/>
  <c r="Z9" i="21" s="1"/>
  <c r="L8" i="21"/>
  <c r="L7" i="21"/>
  <c r="W25" i="21"/>
  <c r="W70" i="9" s="1"/>
  <c r="V25" i="21"/>
  <c r="V70" i="9" s="1"/>
  <c r="U25" i="21"/>
  <c r="U70" i="9" s="1"/>
  <c r="T25" i="21"/>
  <c r="S25" i="21"/>
  <c r="S70" i="9" s="1"/>
  <c r="R25" i="21"/>
  <c r="R70" i="9" s="1"/>
  <c r="Q25" i="21"/>
  <c r="Q70" i="9" s="1"/>
  <c r="P25" i="21"/>
  <c r="O25" i="21"/>
  <c r="O70" i="9" s="1"/>
  <c r="N25" i="21"/>
  <c r="N70" i="9" s="1"/>
  <c r="M25" i="21"/>
  <c r="M70" i="9" s="1"/>
  <c r="K25" i="21"/>
  <c r="K70" i="9" s="1"/>
  <c r="J25" i="21"/>
  <c r="J70" i="9" s="1"/>
  <c r="I25" i="21"/>
  <c r="I70" i="9" s="1"/>
  <c r="G25" i="21"/>
  <c r="F25" i="21"/>
  <c r="F70" i="9" s="1"/>
  <c r="E25" i="21"/>
  <c r="D25" i="21"/>
  <c r="C25" i="21"/>
  <c r="C70" i="9" s="1"/>
  <c r="D70" i="9"/>
  <c r="AK7" i="21"/>
  <c r="AJ7" i="21"/>
  <c r="AI7" i="21"/>
  <c r="AG7" i="21"/>
  <c r="AF7" i="21"/>
  <c r="AE7" i="21"/>
  <c r="AD7" i="21"/>
  <c r="AD25" i="21" s="1"/>
  <c r="AC7" i="21"/>
  <c r="AB7" i="21"/>
  <c r="AA7" i="21"/>
  <c r="Z7" i="21"/>
  <c r="Y7" i="21"/>
  <c r="T7" i="21"/>
  <c r="AH7" i="21" s="1"/>
  <c r="AH25" i="21" s="1"/>
  <c r="P7" i="21"/>
  <c r="G70" i="9"/>
  <c r="E70" i="9"/>
  <c r="AK8" i="21"/>
  <c r="AJ8" i="21"/>
  <c r="AI8" i="21"/>
  <c r="AG8" i="21"/>
  <c r="AF8" i="21"/>
  <c r="AE8" i="21"/>
  <c r="AC8" i="21"/>
  <c r="AB8" i="21"/>
  <c r="AA8" i="21"/>
  <c r="Z8" i="21"/>
  <c r="Y8" i="21"/>
  <c r="T8" i="21"/>
  <c r="AH8" i="21" s="1"/>
  <c r="P8" i="21"/>
  <c r="AD8" i="21" s="1"/>
  <c r="P24" i="21"/>
  <c r="AD24" i="21" s="1"/>
  <c r="P23" i="21"/>
  <c r="AD23" i="21" s="1"/>
  <c r="P22" i="21"/>
  <c r="AD22" i="21" s="1"/>
  <c r="P21" i="21"/>
  <c r="AD21" i="21" s="1"/>
  <c r="P20" i="21"/>
  <c r="AD20" i="21" s="1"/>
  <c r="P19" i="21"/>
  <c r="P18" i="21"/>
  <c r="AD18" i="21" s="1"/>
  <c r="P17" i="21"/>
  <c r="AD17" i="21" s="1"/>
  <c r="P16" i="21"/>
  <c r="AD16" i="21" s="1"/>
  <c r="P15" i="21"/>
  <c r="AD15" i="21" s="1"/>
  <c r="P14" i="21"/>
  <c r="AD14" i="21" s="1"/>
  <c r="P13" i="21"/>
  <c r="P12" i="21"/>
  <c r="AD12" i="21" s="1"/>
  <c r="P11" i="21"/>
  <c r="P10" i="21"/>
  <c r="AD10" i="21" s="1"/>
  <c r="P9" i="21"/>
  <c r="AD9" i="21" s="1"/>
  <c r="T24" i="21"/>
  <c r="AH24" i="21" s="1"/>
  <c r="T23" i="21"/>
  <c r="AH23" i="21" s="1"/>
  <c r="T22" i="21"/>
  <c r="AH22" i="21" s="1"/>
  <c r="T21" i="21"/>
  <c r="T20" i="21"/>
  <c r="T19" i="21"/>
  <c r="T18" i="21"/>
  <c r="T17" i="21"/>
  <c r="AH17" i="21" s="1"/>
  <c r="T16" i="21"/>
  <c r="AH16" i="21" s="1"/>
  <c r="T15" i="21"/>
  <c r="T14" i="21"/>
  <c r="AH14" i="21" s="1"/>
  <c r="T13" i="21"/>
  <c r="T12" i="21"/>
  <c r="AH12" i="21" s="1"/>
  <c r="T11" i="21"/>
  <c r="T10" i="21"/>
  <c r="AH10" i="21" s="1"/>
  <c r="T9" i="21"/>
  <c r="AH9" i="21" s="1"/>
  <c r="AJ24" i="21"/>
  <c r="AI24" i="21"/>
  <c r="AG24" i="21"/>
  <c r="AF24" i="21"/>
  <c r="AE24" i="21"/>
  <c r="AC24" i="21"/>
  <c r="AB24" i="21"/>
  <c r="AA24" i="21"/>
  <c r="Z24" i="21"/>
  <c r="Y24" i="21"/>
  <c r="AJ23" i="21"/>
  <c r="AI23" i="21"/>
  <c r="AG23" i="21"/>
  <c r="AF23" i="21"/>
  <c r="AE23" i="21"/>
  <c r="AC23" i="21"/>
  <c r="AB23" i="21"/>
  <c r="AA23" i="21"/>
  <c r="Z23" i="21"/>
  <c r="Y23" i="21"/>
  <c r="AJ22" i="21"/>
  <c r="AI22" i="21"/>
  <c r="AG22" i="21"/>
  <c r="AF22" i="21"/>
  <c r="AE22" i="21"/>
  <c r="AC22" i="21"/>
  <c r="AB22" i="21"/>
  <c r="AA22" i="21"/>
  <c r="Z22" i="21"/>
  <c r="Y22" i="21"/>
  <c r="AJ21" i="21"/>
  <c r="AI21" i="21"/>
  <c r="AH21" i="21"/>
  <c r="AG21" i="21"/>
  <c r="AF21" i="21"/>
  <c r="AE21" i="21"/>
  <c r="AC21" i="21"/>
  <c r="AB21" i="21"/>
  <c r="AA21" i="21"/>
  <c r="Z21" i="21"/>
  <c r="Y21" i="21"/>
  <c r="AJ20" i="21"/>
  <c r="AI20" i="21"/>
  <c r="AH20" i="21"/>
  <c r="AG20" i="21"/>
  <c r="AF20" i="21"/>
  <c r="AE20" i="21"/>
  <c r="AC20" i="21"/>
  <c r="AB20" i="21"/>
  <c r="AA20" i="21"/>
  <c r="Z20" i="21"/>
  <c r="Y20" i="21"/>
  <c r="AJ19" i="21"/>
  <c r="AI19" i="21"/>
  <c r="AH19" i="21"/>
  <c r="AG19" i="21"/>
  <c r="AF19" i="21"/>
  <c r="AE19" i="21"/>
  <c r="AD19" i="21"/>
  <c r="AC19" i="21"/>
  <c r="AB19" i="21"/>
  <c r="AA19" i="21"/>
  <c r="Z19" i="21"/>
  <c r="Y19" i="21"/>
  <c r="AJ18" i="21"/>
  <c r="AI18" i="21"/>
  <c r="AH18" i="21"/>
  <c r="AG18" i="21"/>
  <c r="AF18" i="21"/>
  <c r="AE18" i="21"/>
  <c r="AC18" i="21"/>
  <c r="AB18" i="21"/>
  <c r="AA18" i="21"/>
  <c r="Z18" i="21"/>
  <c r="Y18" i="21"/>
  <c r="AJ17" i="21"/>
  <c r="AI17" i="21"/>
  <c r="AG17" i="21"/>
  <c r="AF17" i="21"/>
  <c r="AE17" i="21"/>
  <c r="AC17" i="21"/>
  <c r="AB17" i="21"/>
  <c r="AA17" i="21"/>
  <c r="Y17" i="21"/>
  <c r="AJ16" i="21"/>
  <c r="AI16" i="21"/>
  <c r="AG16" i="21"/>
  <c r="AF16" i="21"/>
  <c r="AE16" i="21"/>
  <c r="AC16" i="21"/>
  <c r="AB16" i="21"/>
  <c r="AA16" i="21"/>
  <c r="Z16" i="21"/>
  <c r="Y16" i="21"/>
  <c r="AJ15" i="21"/>
  <c r="AI15" i="21"/>
  <c r="AH15" i="21"/>
  <c r="AG15" i="21"/>
  <c r="AF15" i="21"/>
  <c r="AE15" i="21"/>
  <c r="AC15" i="21"/>
  <c r="AB15" i="21"/>
  <c r="AA15" i="21"/>
  <c r="Z15" i="21"/>
  <c r="Y15" i="21"/>
  <c r="AJ14" i="21"/>
  <c r="AI14" i="21"/>
  <c r="AG14" i="21"/>
  <c r="AF14" i="21"/>
  <c r="AE14" i="21"/>
  <c r="AC14" i="21"/>
  <c r="AB14" i="21"/>
  <c r="AA14" i="21"/>
  <c r="Z14" i="21"/>
  <c r="Y14" i="21"/>
  <c r="AJ13" i="21"/>
  <c r="AI13" i="21"/>
  <c r="AH13" i="21"/>
  <c r="AG13" i="21"/>
  <c r="AF13" i="21"/>
  <c r="AE13" i="21"/>
  <c r="AD13" i="21"/>
  <c r="AC13" i="21"/>
  <c r="AB13" i="21"/>
  <c r="AA13" i="21"/>
  <c r="Z13" i="21"/>
  <c r="Y13" i="21"/>
  <c r="AJ12" i="21"/>
  <c r="AI12" i="21"/>
  <c r="AG12" i="21"/>
  <c r="AF12" i="21"/>
  <c r="AE12" i="21"/>
  <c r="AC12" i="21"/>
  <c r="AB12" i="21"/>
  <c r="AA12" i="21"/>
  <c r="Z12" i="21"/>
  <c r="Y12" i="21"/>
  <c r="AJ11" i="21"/>
  <c r="AI11" i="21"/>
  <c r="AH11" i="21"/>
  <c r="AG11" i="21"/>
  <c r="AF11" i="21"/>
  <c r="AE11" i="21"/>
  <c r="AD11" i="21"/>
  <c r="AC11" i="21"/>
  <c r="AB11" i="21"/>
  <c r="AA11" i="21"/>
  <c r="Z11" i="21"/>
  <c r="Y11" i="21"/>
  <c r="AJ10" i="21"/>
  <c r="AI10" i="21"/>
  <c r="AG10" i="21"/>
  <c r="AF10" i="21"/>
  <c r="AE10" i="21"/>
  <c r="AC10" i="21"/>
  <c r="AB10" i="21"/>
  <c r="AA10" i="21"/>
  <c r="Z10" i="21"/>
  <c r="Y10" i="21"/>
  <c r="AJ9" i="21"/>
  <c r="AI9" i="21"/>
  <c r="AG9" i="21"/>
  <c r="AF9" i="21"/>
  <c r="AE9" i="21"/>
  <c r="AC9" i="21"/>
  <c r="AB9" i="21"/>
  <c r="AA9" i="21"/>
  <c r="Y9" i="21"/>
  <c r="AK23" i="21"/>
  <c r="AK22" i="21"/>
  <c r="AK21" i="21"/>
  <c r="AK20" i="21"/>
  <c r="AK19" i="21"/>
  <c r="AK18" i="21"/>
  <c r="AK17" i="21"/>
  <c r="AK16" i="21"/>
  <c r="AK15" i="21"/>
  <c r="AK14" i="21"/>
  <c r="AK13" i="21"/>
  <c r="AK12" i="21"/>
  <c r="AK11" i="21"/>
  <c r="AK10" i="21"/>
  <c r="AK9" i="21"/>
  <c r="AK24" i="21"/>
  <c r="W4" i="21"/>
  <c r="AK4" i="21" s="1"/>
  <c r="V4" i="21"/>
  <c r="AJ4" i="21" s="1"/>
  <c r="U4" i="21"/>
  <c r="AI4" i="21" s="1"/>
  <c r="S4" i="21"/>
  <c r="AG4" i="21" s="1"/>
  <c r="R4" i="21"/>
  <c r="AF4" i="21" s="1"/>
  <c r="Q4" i="21"/>
  <c r="AE4" i="21" s="1"/>
  <c r="O4" i="21"/>
  <c r="AC4" i="21" s="1"/>
  <c r="N4" i="21"/>
  <c r="AB4" i="21" s="1"/>
  <c r="M4" i="21"/>
  <c r="AA4" i="21" s="1"/>
  <c r="K4" i="21"/>
  <c r="Y4" i="21" s="1"/>
  <c r="J4" i="21"/>
  <c r="I4" i="21"/>
  <c r="G4" i="21"/>
  <c r="F4" i="21"/>
  <c r="E4" i="21"/>
  <c r="D4" i="21"/>
  <c r="C4" i="21"/>
  <c r="W3" i="21"/>
  <c r="AK3" i="21" s="1"/>
  <c r="V3" i="21"/>
  <c r="AJ3" i="21" s="1"/>
  <c r="U3" i="21"/>
  <c r="AI3" i="21" s="1"/>
  <c r="T3" i="21"/>
  <c r="AH3" i="21" s="1"/>
  <c r="S3" i="21"/>
  <c r="AG3" i="21" s="1"/>
  <c r="R3" i="21"/>
  <c r="AF3" i="21" s="1"/>
  <c r="Q3" i="21"/>
  <c r="AE3" i="21" s="1"/>
  <c r="P3" i="21"/>
  <c r="AD3" i="21" s="1"/>
  <c r="O3" i="21"/>
  <c r="AC3" i="21" s="1"/>
  <c r="N3" i="21"/>
  <c r="AB3" i="21" s="1"/>
  <c r="M3" i="21"/>
  <c r="AA3" i="21" s="1"/>
  <c r="L3" i="21"/>
  <c r="Z3" i="21" s="1"/>
  <c r="K3" i="21"/>
  <c r="Y3" i="21" s="1"/>
  <c r="J3" i="21"/>
  <c r="I3" i="21"/>
  <c r="G3" i="21"/>
  <c r="F3" i="21"/>
  <c r="E3" i="21"/>
  <c r="D3" i="21"/>
  <c r="C3" i="21"/>
  <c r="B2" i="21"/>
  <c r="AU38" i="8" l="1"/>
  <c r="AG25" i="21"/>
  <c r="AF25" i="21"/>
  <c r="AE25" i="21"/>
  <c r="AA25" i="21"/>
  <c r="AI25" i="21"/>
  <c r="AJ25" i="21"/>
  <c r="AK25" i="21"/>
  <c r="AB25" i="21"/>
  <c r="AC25" i="21"/>
  <c r="Y25" i="21"/>
  <c r="Z25" i="21"/>
  <c r="L25" i="21"/>
  <c r="L70" i="9" s="1"/>
  <c r="P70" i="9"/>
  <c r="T70" i="9"/>
  <c r="AK61" i="9" l="1"/>
  <c r="AJ61" i="9"/>
  <c r="AI61" i="9"/>
  <c r="AG61" i="9"/>
  <c r="AK67" i="9"/>
  <c r="AJ67" i="9"/>
  <c r="AI67" i="9"/>
  <c r="AG67" i="9"/>
  <c r="AK66" i="9"/>
  <c r="AJ66" i="9"/>
  <c r="AI66" i="9"/>
  <c r="AG66" i="9"/>
  <c r="AK60" i="9"/>
  <c r="AJ60" i="9"/>
  <c r="AI60" i="9"/>
  <c r="AG60" i="9"/>
  <c r="W27" i="9"/>
  <c r="V27" i="9"/>
  <c r="U27" i="9"/>
  <c r="S27" i="9"/>
  <c r="R27" i="9"/>
  <c r="Q27" i="9"/>
  <c r="O27" i="9"/>
  <c r="N27" i="9"/>
  <c r="M27" i="9"/>
  <c r="K27" i="9"/>
  <c r="J27" i="9"/>
  <c r="I27" i="9"/>
  <c r="G27" i="9"/>
  <c r="F27" i="9"/>
  <c r="E27" i="9"/>
  <c r="D27" i="9"/>
  <c r="C27" i="9"/>
  <c r="B10" i="9"/>
  <c r="B9" i="9"/>
  <c r="B8" i="9"/>
  <c r="B7" i="9"/>
  <c r="B6" i="9"/>
  <c r="V13" i="10"/>
  <c r="AJ13" i="10" s="1"/>
  <c r="V12" i="10"/>
  <c r="AK12" i="10" s="1"/>
  <c r="V11" i="10"/>
  <c r="AK11" i="10" s="1"/>
  <c r="V10" i="10"/>
  <c r="V9" i="10"/>
  <c r="R13" i="10"/>
  <c r="AG13" i="10" s="1"/>
  <c r="R12" i="10"/>
  <c r="AG12" i="10" s="1"/>
  <c r="R11" i="10"/>
  <c r="AG11" i="10" s="1"/>
  <c r="R10" i="10"/>
  <c r="R9" i="10"/>
  <c r="N13" i="10"/>
  <c r="N12" i="10"/>
  <c r="N11" i="10"/>
  <c r="N10" i="10"/>
  <c r="N9" i="10"/>
  <c r="Y137" i="8"/>
  <c r="X137" i="8"/>
  <c r="W137" i="8"/>
  <c r="Y136" i="8"/>
  <c r="X136" i="8"/>
  <c r="W136" i="8"/>
  <c r="U137" i="8"/>
  <c r="T137" i="8"/>
  <c r="U136" i="8"/>
  <c r="T136" i="8"/>
  <c r="S137" i="8"/>
  <c r="S136" i="8"/>
  <c r="Q137" i="8"/>
  <c r="P137" i="8"/>
  <c r="Q136" i="8"/>
  <c r="P136" i="8"/>
  <c r="O137" i="8"/>
  <c r="O136" i="8"/>
  <c r="M137" i="8"/>
  <c r="L137" i="8"/>
  <c r="K137" i="8"/>
  <c r="M136" i="8"/>
  <c r="L136" i="8"/>
  <c r="K136" i="8"/>
  <c r="AS129" i="8"/>
  <c r="AC125" i="8"/>
  <c r="AQ129" i="8"/>
  <c r="AB125" i="8"/>
  <c r="AS125" i="8"/>
  <c r="Y125" i="8"/>
  <c r="X125" i="8"/>
  <c r="V125" i="8"/>
  <c r="U125" i="8"/>
  <c r="AI129" i="8"/>
  <c r="AK125" i="8"/>
  <c r="AJ125" i="8"/>
  <c r="P125" i="8"/>
  <c r="N125" i="8"/>
  <c r="M125" i="8"/>
  <c r="R110" i="8"/>
  <c r="AK110" i="8" s="1"/>
  <c r="R109" i="8"/>
  <c r="AJ109" i="8" s="1"/>
  <c r="R108" i="8"/>
  <c r="AK108" i="8" s="1"/>
  <c r="R107" i="8"/>
  <c r="AI107" i="8" s="1"/>
  <c r="R106" i="8"/>
  <c r="AJ106" i="8" s="1"/>
  <c r="S121" i="8"/>
  <c r="T121" i="8"/>
  <c r="U121" i="8"/>
  <c r="R114" i="8"/>
  <c r="AK114" i="8" s="1"/>
  <c r="R115" i="8"/>
  <c r="AK115" i="8" s="1"/>
  <c r="R116" i="8"/>
  <c r="AJ116" i="8" s="1"/>
  <c r="R117" i="8"/>
  <c r="AI117" i="8" s="1"/>
  <c r="R118" i="8"/>
  <c r="AH118" i="8" s="1"/>
  <c r="R119" i="8"/>
  <c r="AK119" i="8" s="1"/>
  <c r="R120" i="8"/>
  <c r="AK120" i="8" s="1"/>
  <c r="T125" i="8"/>
  <c r="L125" i="8"/>
  <c r="Z129" i="8"/>
  <c r="AA125" i="8" s="1"/>
  <c r="V129" i="8"/>
  <c r="W125" i="8" s="1"/>
  <c r="R129" i="8"/>
  <c r="S125" i="8" s="1"/>
  <c r="N129" i="8"/>
  <c r="O125" i="8" s="1"/>
  <c r="F125" i="8"/>
  <c r="D125" i="8"/>
  <c r="E125" i="8"/>
  <c r="Z13" i="8"/>
  <c r="AQ13" i="8" s="1"/>
  <c r="V13" i="8"/>
  <c r="AN13" i="8" s="1"/>
  <c r="R13" i="8"/>
  <c r="AJ13" i="8" s="1"/>
  <c r="N13" i="8"/>
  <c r="AG13" i="8" s="1"/>
  <c r="AC14" i="8"/>
  <c r="AB14" i="8"/>
  <c r="AA14" i="8"/>
  <c r="Y14" i="8"/>
  <c r="X14" i="8"/>
  <c r="W14" i="8"/>
  <c r="U14" i="8"/>
  <c r="T14" i="8"/>
  <c r="S14" i="8"/>
  <c r="Q14" i="8"/>
  <c r="P14" i="8"/>
  <c r="O14" i="8"/>
  <c r="M14" i="8"/>
  <c r="L14" i="8"/>
  <c r="K14" i="8"/>
  <c r="Z15" i="8"/>
  <c r="AQ15" i="8" s="1"/>
  <c r="V15" i="8"/>
  <c r="AO15" i="8" s="1"/>
  <c r="R15" i="8"/>
  <c r="AK15" i="8" s="1"/>
  <c r="N15" i="8"/>
  <c r="AF15" i="8" s="1"/>
  <c r="I14" i="8"/>
  <c r="H14" i="8"/>
  <c r="G14" i="8"/>
  <c r="F14" i="8"/>
  <c r="E14" i="8"/>
  <c r="D14" i="8"/>
  <c r="C14" i="8"/>
  <c r="Z118" i="8"/>
  <c r="AS118" i="8" s="1"/>
  <c r="V118" i="8"/>
  <c r="AO118" i="8" s="1"/>
  <c r="N118" i="8"/>
  <c r="AG118" i="8" s="1"/>
  <c r="Z117" i="8"/>
  <c r="AS117" i="8" s="1"/>
  <c r="V117" i="8"/>
  <c r="AN117" i="8" s="1"/>
  <c r="N117" i="8"/>
  <c r="AF117" i="8" s="1"/>
  <c r="Z116" i="8"/>
  <c r="AQ116" i="8" s="1"/>
  <c r="V116" i="8"/>
  <c r="AO116" i="8" s="1"/>
  <c r="N116" i="8"/>
  <c r="AG116" i="8" s="1"/>
  <c r="Z115" i="8"/>
  <c r="AR115" i="8" s="1"/>
  <c r="V115" i="8"/>
  <c r="AN115" i="8" s="1"/>
  <c r="N115" i="8"/>
  <c r="AG115" i="8" s="1"/>
  <c r="Z114" i="8"/>
  <c r="AS114" i="8" s="1"/>
  <c r="V114" i="8"/>
  <c r="AL114" i="8" s="1"/>
  <c r="N114" i="8"/>
  <c r="AE114" i="8" s="1"/>
  <c r="Z96" i="8"/>
  <c r="AR96" i="8" s="1"/>
  <c r="V96" i="8"/>
  <c r="AN96" i="8" s="1"/>
  <c r="R96" i="8"/>
  <c r="AK96" i="8" s="1"/>
  <c r="N96" i="8"/>
  <c r="AG96" i="8" s="1"/>
  <c r="Z95" i="8"/>
  <c r="AS95" i="8" s="1"/>
  <c r="V95" i="8"/>
  <c r="AO95" i="8" s="1"/>
  <c r="R95" i="8"/>
  <c r="AK95" i="8" s="1"/>
  <c r="N95" i="8"/>
  <c r="AE95" i="8" s="1"/>
  <c r="Z94" i="8"/>
  <c r="AS94" i="8" s="1"/>
  <c r="V94" i="8"/>
  <c r="AM94" i="8" s="1"/>
  <c r="R94" i="8"/>
  <c r="AK94" i="8" s="1"/>
  <c r="N94" i="8"/>
  <c r="AF94" i="8" s="1"/>
  <c r="Z93" i="8"/>
  <c r="AR93" i="8" s="1"/>
  <c r="V93" i="8"/>
  <c r="AN93" i="8" s="1"/>
  <c r="R93" i="8"/>
  <c r="AH93" i="8" s="1"/>
  <c r="N93" i="8"/>
  <c r="AG93" i="8" s="1"/>
  <c r="Z92" i="8"/>
  <c r="AR92" i="8" s="1"/>
  <c r="V92" i="8"/>
  <c r="AO92" i="8" s="1"/>
  <c r="R92" i="8"/>
  <c r="AH92" i="8" s="1"/>
  <c r="N92" i="8"/>
  <c r="AG92" i="8" s="1"/>
  <c r="Z91" i="8"/>
  <c r="AR91" i="8" s="1"/>
  <c r="V91" i="8"/>
  <c r="AO91" i="8" s="1"/>
  <c r="R91" i="8"/>
  <c r="AI91" i="8" s="1"/>
  <c r="N91" i="8"/>
  <c r="AF91" i="8" s="1"/>
  <c r="Z90" i="8"/>
  <c r="AQ90" i="8" s="1"/>
  <c r="V90" i="8"/>
  <c r="AO90" i="8" s="1"/>
  <c r="R90" i="8"/>
  <c r="AJ90" i="8" s="1"/>
  <c r="N90" i="8"/>
  <c r="AG90" i="8" s="1"/>
  <c r="C121" i="8"/>
  <c r="N46" i="8"/>
  <c r="N47" i="8"/>
  <c r="Z128" i="8"/>
  <c r="V128" i="8"/>
  <c r="R128" i="8"/>
  <c r="N128" i="8"/>
  <c r="Z48" i="8"/>
  <c r="V48" i="8"/>
  <c r="R48" i="8"/>
  <c r="N48" i="8"/>
  <c r="Z47" i="8"/>
  <c r="V47" i="8"/>
  <c r="R47" i="8"/>
  <c r="Z46" i="8"/>
  <c r="V46" i="8"/>
  <c r="R46" i="8"/>
  <c r="Z54" i="8"/>
  <c r="V54" i="8"/>
  <c r="R54" i="8"/>
  <c r="N54" i="8"/>
  <c r="Z53" i="8"/>
  <c r="V53" i="8"/>
  <c r="R53" i="8"/>
  <c r="N53" i="8"/>
  <c r="Z52" i="8"/>
  <c r="V52" i="8"/>
  <c r="R52" i="8"/>
  <c r="N52" i="8"/>
  <c r="Z62" i="8"/>
  <c r="AH66" i="9" s="1"/>
  <c r="V62" i="8"/>
  <c r="R62" i="8"/>
  <c r="N62" i="8"/>
  <c r="Z61" i="8"/>
  <c r="AH61" i="9" s="1"/>
  <c r="V61" i="8"/>
  <c r="R61" i="8"/>
  <c r="N61" i="8"/>
  <c r="Z60" i="8"/>
  <c r="V60" i="8"/>
  <c r="R60" i="8"/>
  <c r="N60" i="8"/>
  <c r="Z59" i="8"/>
  <c r="AH60" i="9" s="1"/>
  <c r="V59" i="8"/>
  <c r="R59" i="8"/>
  <c r="N59" i="8"/>
  <c r="Z58" i="8"/>
  <c r="V58" i="8"/>
  <c r="R58" i="8"/>
  <c r="N58" i="8"/>
  <c r="Z68" i="8"/>
  <c r="V68" i="8"/>
  <c r="R68" i="8"/>
  <c r="N68" i="8"/>
  <c r="Z67" i="8"/>
  <c r="AH67" i="9" s="1"/>
  <c r="V67" i="8"/>
  <c r="R67" i="8"/>
  <c r="N67" i="8"/>
  <c r="Z66" i="8"/>
  <c r="V66" i="8"/>
  <c r="R66" i="8"/>
  <c r="N66" i="8"/>
  <c r="Z73" i="8"/>
  <c r="V73" i="8"/>
  <c r="R73" i="8"/>
  <c r="N73" i="8"/>
  <c r="Z72" i="8"/>
  <c r="V72" i="8"/>
  <c r="R72" i="8"/>
  <c r="N72" i="8"/>
  <c r="Z71" i="8"/>
  <c r="V71" i="8"/>
  <c r="R71" i="8"/>
  <c r="N71" i="8"/>
  <c r="Z89" i="8"/>
  <c r="V89" i="8"/>
  <c r="R89" i="8"/>
  <c r="N89" i="8"/>
  <c r="Z102" i="8"/>
  <c r="V102" i="8"/>
  <c r="R102" i="8"/>
  <c r="N102" i="8"/>
  <c r="Z101" i="8"/>
  <c r="V101" i="8"/>
  <c r="R101" i="8"/>
  <c r="N101" i="8"/>
  <c r="Z100" i="8"/>
  <c r="V100" i="8"/>
  <c r="R100" i="8"/>
  <c r="N100" i="8"/>
  <c r="Z99" i="8"/>
  <c r="V99" i="8"/>
  <c r="R99" i="8"/>
  <c r="N99" i="8"/>
  <c r="Z98" i="8"/>
  <c r="V98" i="8"/>
  <c r="R98" i="8"/>
  <c r="N98" i="8"/>
  <c r="Z110" i="8"/>
  <c r="AS110" i="8" s="1"/>
  <c r="V110" i="8"/>
  <c r="AM110" i="8" s="1"/>
  <c r="N110" i="8"/>
  <c r="AF110" i="8" s="1"/>
  <c r="Z109" i="8"/>
  <c r="AS109" i="8" s="1"/>
  <c r="V109" i="8"/>
  <c r="AN109" i="8" s="1"/>
  <c r="N109" i="8"/>
  <c r="AG109" i="8" s="1"/>
  <c r="Z108" i="8"/>
  <c r="AS108" i="8" s="1"/>
  <c r="V108" i="8"/>
  <c r="AO108" i="8" s="1"/>
  <c r="N108" i="8"/>
  <c r="AG108" i="8" s="1"/>
  <c r="Z107" i="8"/>
  <c r="AP107" i="8" s="1"/>
  <c r="V107" i="8"/>
  <c r="AM107" i="8" s="1"/>
  <c r="N107" i="8"/>
  <c r="AG107" i="8" s="1"/>
  <c r="Z106" i="8"/>
  <c r="AQ106" i="8" s="1"/>
  <c r="V106" i="8"/>
  <c r="AO106" i="8" s="1"/>
  <c r="N106" i="8"/>
  <c r="AG106" i="8" s="1"/>
  <c r="Z120" i="8"/>
  <c r="AQ120" i="8" s="1"/>
  <c r="V120" i="8"/>
  <c r="AO120" i="8" s="1"/>
  <c r="N120" i="8"/>
  <c r="AF120" i="8" s="1"/>
  <c r="Z119" i="8"/>
  <c r="AS119" i="8" s="1"/>
  <c r="V119" i="8"/>
  <c r="AN119" i="8" s="1"/>
  <c r="N119" i="8"/>
  <c r="AG119" i="8" s="1"/>
  <c r="AM12" i="10" l="1"/>
  <c r="AG10" i="9"/>
  <c r="P11" i="9"/>
  <c r="AU118" i="8"/>
  <c r="N14" i="8"/>
  <c r="AH110" i="8"/>
  <c r="V137" i="8"/>
  <c r="AF129" i="8"/>
  <c r="Z137" i="8"/>
  <c r="AA137" i="8" s="1"/>
  <c r="AB137" i="8" s="1"/>
  <c r="AC137" i="8" s="1"/>
  <c r="R125" i="8"/>
  <c r="N137" i="8"/>
  <c r="AF45" i="9"/>
  <c r="V136" i="8"/>
  <c r="AO136" i="8" s="1"/>
  <c r="AS92" i="8"/>
  <c r="AU92" i="8" s="1"/>
  <c r="AU95" i="8"/>
  <c r="AN94" i="8"/>
  <c r="AM114" i="8"/>
  <c r="AG129" i="8"/>
  <c r="Z136" i="8"/>
  <c r="AA136" i="8" s="1"/>
  <c r="AB136" i="8" s="1"/>
  <c r="AC136" i="8" s="1"/>
  <c r="AO94" i="8"/>
  <c r="AN114" i="8"/>
  <c r="AF96" i="8"/>
  <c r="AL115" i="8"/>
  <c r="AN125" i="8"/>
  <c r="R136" i="8"/>
  <c r="AJ136" i="8" s="1"/>
  <c r="AK13" i="8"/>
  <c r="AL96" i="8"/>
  <c r="AK116" i="8"/>
  <c r="AP125" i="8"/>
  <c r="R137" i="8"/>
  <c r="AS13" i="8"/>
  <c r="AS106" i="8"/>
  <c r="AO117" i="8"/>
  <c r="AU117" i="8" s="1"/>
  <c r="AJ91" i="8"/>
  <c r="AI108" i="8"/>
  <c r="AE118" i="8"/>
  <c r="Q125" i="8"/>
  <c r="AN92" i="8"/>
  <c r="AK109" i="8"/>
  <c r="AQ118" i="8"/>
  <c r="AE90" i="8"/>
  <c r="AK91" i="8"/>
  <c r="AO93" i="8"/>
  <c r="AQ94" i="8"/>
  <c r="AM96" i="8"/>
  <c r="AE107" i="8"/>
  <c r="AQ108" i="8"/>
  <c r="AJ110" i="8"/>
  <c r="AR114" i="8"/>
  <c r="AP116" i="8"/>
  <c r="AI118" i="8"/>
  <c r="AO119" i="8"/>
  <c r="AU119" i="8" s="1"/>
  <c r="AH129" i="8"/>
  <c r="AP108" i="8"/>
  <c r="AE13" i="8"/>
  <c r="AK90" i="8"/>
  <c r="AQ91" i="8"/>
  <c r="AP93" i="8"/>
  <c r="AM95" i="8"/>
  <c r="AO96" i="8"/>
  <c r="AJ107" i="8"/>
  <c r="AR108" i="8"/>
  <c r="AN110" i="8"/>
  <c r="AE115" i="8"/>
  <c r="AR116" i="8"/>
  <c r="AJ118" i="8"/>
  <c r="AP119" i="8"/>
  <c r="AM129" i="8"/>
  <c r="P27" i="9"/>
  <c r="AF13" i="8"/>
  <c r="AL90" i="8"/>
  <c r="AE92" i="8"/>
  <c r="AN95" i="8"/>
  <c r="AI106" i="8"/>
  <c r="AK107" i="8"/>
  <c r="AH109" i="8"/>
  <c r="AO110" i="8"/>
  <c r="AF115" i="8"/>
  <c r="AS116" i="8"/>
  <c r="AU116" i="8" s="1"/>
  <c r="AK118" i="8"/>
  <c r="AR119" i="8"/>
  <c r="AN129" i="8"/>
  <c r="AI13" i="8"/>
  <c r="AM90" i="8"/>
  <c r="AI92" i="8"/>
  <c r="AG94" i="8"/>
  <c r="AE96" i="8"/>
  <c r="AK106" i="8"/>
  <c r="AQ107" i="8"/>
  <c r="AI109" i="8"/>
  <c r="AF114" i="8"/>
  <c r="AH115" i="8"/>
  <c r="AL117" i="8"/>
  <c r="AP118" i="8"/>
  <c r="AH120" i="8"/>
  <c r="AP129" i="8"/>
  <c r="AP90" i="8"/>
  <c r="AH94" i="8"/>
  <c r="AL106" i="8"/>
  <c r="AG114" i="8"/>
  <c r="AI120" i="8"/>
  <c r="AJ119" i="8"/>
  <c r="AL13" i="8"/>
  <c r="AR90" i="8"/>
  <c r="AP92" i="8"/>
  <c r="AI94" i="8"/>
  <c r="AN106" i="8"/>
  <c r="AJ108" i="8"/>
  <c r="AO109" i="8"/>
  <c r="AI114" i="8"/>
  <c r="AQ115" i="8"/>
  <c r="AQ117" i="8"/>
  <c r="AH119" i="8"/>
  <c r="AN120" i="8"/>
  <c r="AM125" i="8"/>
  <c r="L27" i="9"/>
  <c r="T27" i="9"/>
  <c r="AR13" i="8"/>
  <c r="AS90" i="8"/>
  <c r="AU90" i="8" s="1"/>
  <c r="AQ92" i="8"/>
  <c r="AJ96" i="8"/>
  <c r="AR106" i="8"/>
  <c r="AL108" i="8"/>
  <c r="AG110" i="8"/>
  <c r="AS115" i="8"/>
  <c r="AR117" i="8"/>
  <c r="AI119" i="8"/>
  <c r="AP15" i="8"/>
  <c r="AG15" i="8"/>
  <c r="AH15" i="8"/>
  <c r="AI15" i="8"/>
  <c r="AJ15" i="8"/>
  <c r="AH45" i="9"/>
  <c r="AI45" i="9"/>
  <c r="G11" i="9"/>
  <c r="AJ45" i="9"/>
  <c r="AK45" i="9"/>
  <c r="C11" i="9"/>
  <c r="D11" i="9"/>
  <c r="E11" i="9"/>
  <c r="F11" i="9"/>
  <c r="N11" i="9"/>
  <c r="O11" i="9"/>
  <c r="I11" i="9"/>
  <c r="M11" i="9"/>
  <c r="V11" i="9"/>
  <c r="U11" i="9"/>
  <c r="W11" i="9"/>
  <c r="S11" i="9"/>
  <c r="R11" i="9"/>
  <c r="T11" i="9"/>
  <c r="L11" i="9"/>
  <c r="Q11" i="9"/>
  <c r="K11" i="9"/>
  <c r="J11" i="9"/>
  <c r="AH10" i="9"/>
  <c r="AI10" i="9"/>
  <c r="AJ10" i="9"/>
  <c r="AK10" i="9"/>
  <c r="AI12" i="10"/>
  <c r="AH13" i="10"/>
  <c r="AI13" i="10"/>
  <c r="AH12" i="10"/>
  <c r="AM11" i="10"/>
  <c r="AJ12" i="10"/>
  <c r="AK13" i="10"/>
  <c r="AM13" i="10" s="1"/>
  <c r="AH11" i="10"/>
  <c r="AI11" i="10"/>
  <c r="AJ11" i="10"/>
  <c r="N136" i="8"/>
  <c r="AE136" i="8" s="1"/>
  <c r="AS96" i="8"/>
  <c r="AU96" i="8" s="1"/>
  <c r="AJ117" i="8"/>
  <c r="AI93" i="8"/>
  <c r="AG95" i="8"/>
  <c r="AE106" i="8"/>
  <c r="AR107" i="8"/>
  <c r="AP109" i="8"/>
  <c r="AL116" i="8"/>
  <c r="AG125" i="8"/>
  <c r="AR15" i="8"/>
  <c r="AL91" i="8"/>
  <c r="AJ93" i="8"/>
  <c r="AH95" i="8"/>
  <c r="AF106" i="8"/>
  <c r="AS107" i="8"/>
  <c r="AQ109" i="8"/>
  <c r="AO114" i="8"/>
  <c r="AM116" i="8"/>
  <c r="AE15" i="8"/>
  <c r="AS15" i="8"/>
  <c r="AU15" i="8" s="1"/>
  <c r="AN90" i="8"/>
  <c r="AM91" i="8"/>
  <c r="AL92" i="8"/>
  <c r="AK93" i="8"/>
  <c r="AJ94" i="8"/>
  <c r="AI95" i="8"/>
  <c r="AH96" i="8"/>
  <c r="AF107" i="8"/>
  <c r="AE108" i="8"/>
  <c r="AR109" i="8"/>
  <c r="AQ110" i="8"/>
  <c r="AP114" i="8"/>
  <c r="AO115" i="8"/>
  <c r="AN116" i="8"/>
  <c r="AM117" i="8"/>
  <c r="AL118" i="8"/>
  <c r="AJ120" i="8"/>
  <c r="AI125" i="8"/>
  <c r="AF95" i="8"/>
  <c r="AF125" i="8"/>
  <c r="AJ92" i="8"/>
  <c r="AM115" i="8"/>
  <c r="AK117" i="8"/>
  <c r="AK92" i="8"/>
  <c r="AP110" i="8"/>
  <c r="AH125" i="8"/>
  <c r="AH13" i="8"/>
  <c r="AN91" i="8"/>
  <c r="AM92" i="8"/>
  <c r="AL93" i="8"/>
  <c r="AJ95" i="8"/>
  <c r="AI96" i="8"/>
  <c r="AH106" i="8"/>
  <c r="AF108" i="8"/>
  <c r="AE109" i="8"/>
  <c r="AR110" i="8"/>
  <c r="AQ114" i="8"/>
  <c r="AP115" i="8"/>
  <c r="AM118" i="8"/>
  <c r="AL119" i="8"/>
  <c r="AJ129" i="8"/>
  <c r="AG120" i="8"/>
  <c r="AM93" i="8"/>
  <c r="AL94" i="8"/>
  <c r="AH107" i="8"/>
  <c r="AF109" i="8"/>
  <c r="AE110" i="8"/>
  <c r="AN118" i="8"/>
  <c r="AM119" i="8"/>
  <c r="AL120" i="8"/>
  <c r="AK129" i="8"/>
  <c r="AP91" i="8"/>
  <c r="AL95" i="8"/>
  <c r="AH108" i="8"/>
  <c r="AP117" i="8"/>
  <c r="AM120" i="8"/>
  <c r="AL129" i="8"/>
  <c r="AL125" i="8"/>
  <c r="AE116" i="8"/>
  <c r="AM13" i="8"/>
  <c r="AF90" i="8"/>
  <c r="AE91" i="8"/>
  <c r="AS91" i="8"/>
  <c r="AU91" i="8" s="1"/>
  <c r="AQ93" i="8"/>
  <c r="AP94" i="8"/>
  <c r="AM106" i="8"/>
  <c r="AL107" i="8"/>
  <c r="AI110" i="8"/>
  <c r="AH114" i="8"/>
  <c r="AF116" i="8"/>
  <c r="AE117" i="8"/>
  <c r="AR118" i="8"/>
  <c r="AQ119" i="8"/>
  <c r="AP120" i="8"/>
  <c r="AO129" i="8"/>
  <c r="AO125" i="8"/>
  <c r="AO13" i="8"/>
  <c r="AM15" i="8"/>
  <c r="AH90" i="8"/>
  <c r="AG91" i="8"/>
  <c r="AF92" i="8"/>
  <c r="AE93" i="8"/>
  <c r="AS93" i="8"/>
  <c r="AR94" i="8"/>
  <c r="AQ95" i="8"/>
  <c r="AP96" i="8"/>
  <c r="AN107" i="8"/>
  <c r="AM108" i="8"/>
  <c r="AL109" i="8"/>
  <c r="AJ114" i="8"/>
  <c r="AI115" i="8"/>
  <c r="AH116" i="8"/>
  <c r="AG117" i="8"/>
  <c r="AF118" i="8"/>
  <c r="AE119" i="8"/>
  <c r="AR120" i="8"/>
  <c r="AQ125" i="8"/>
  <c r="AQ136" i="8"/>
  <c r="AP13" i="8"/>
  <c r="AN15" i="8"/>
  <c r="AI90" i="8"/>
  <c r="AH91" i="8"/>
  <c r="AF93" i="8"/>
  <c r="AE94" i="8"/>
  <c r="AR95" i="8"/>
  <c r="AQ96" i="8"/>
  <c r="AP106" i="8"/>
  <c r="AO107" i="8"/>
  <c r="AN108" i="8"/>
  <c r="AM109" i="8"/>
  <c r="AL110" i="8"/>
  <c r="AJ115" i="8"/>
  <c r="AI116" i="8"/>
  <c r="AH117" i="8"/>
  <c r="AF119" i="8"/>
  <c r="AE120" i="8"/>
  <c r="AS120" i="8"/>
  <c r="AR129" i="8"/>
  <c r="AR125" i="8"/>
  <c r="AL15" i="8"/>
  <c r="AP95" i="8"/>
  <c r="AE129" i="8"/>
  <c r="AE125" i="8"/>
  <c r="G125" i="8"/>
  <c r="K125" i="8"/>
  <c r="H125" i="8"/>
  <c r="I125" i="8"/>
  <c r="Z125" i="8"/>
  <c r="Z14" i="8"/>
  <c r="AK16" i="9" s="1"/>
  <c r="V14" i="8"/>
  <c r="AN14" i="8" s="1"/>
  <c r="R14" i="8"/>
  <c r="AJ14" i="8" s="1"/>
  <c r="AU94" i="8"/>
  <c r="AU13" i="8" l="1"/>
  <c r="AG45" i="9"/>
  <c r="AU115" i="8"/>
  <c r="AH136" i="8"/>
  <c r="AR136" i="8"/>
  <c r="AM136" i="8"/>
  <c r="AI136" i="8"/>
  <c r="AK136" i="8"/>
  <c r="AN136" i="8"/>
  <c r="AL136" i="8"/>
  <c r="AS136" i="8"/>
  <c r="AP136" i="8"/>
  <c r="AU93" i="8"/>
  <c r="AP14" i="8"/>
  <c r="AL14" i="8"/>
  <c r="AH16" i="9"/>
  <c r="AJ16" i="9"/>
  <c r="AM14" i="8"/>
  <c r="AK14" i="8"/>
  <c r="AO14" i="8"/>
  <c r="AG16" i="9"/>
  <c r="AI16" i="9"/>
  <c r="AM10" i="9"/>
  <c r="AF136" i="8"/>
  <c r="AG136" i="8"/>
  <c r="AI14" i="8"/>
  <c r="AG14" i="8"/>
  <c r="AE14" i="8"/>
  <c r="AH14" i="8"/>
  <c r="AQ14" i="8"/>
  <c r="AS14" i="8"/>
  <c r="AU14" i="8" s="1"/>
  <c r="AR14" i="8"/>
  <c r="AF14" i="8"/>
  <c r="N10" i="8" l="1"/>
  <c r="Z31" i="8"/>
  <c r="V31" i="8"/>
  <c r="N31" i="8"/>
  <c r="Z27" i="8"/>
  <c r="V27" i="8"/>
  <c r="R27" i="8"/>
  <c r="N27" i="8"/>
  <c r="Z26" i="8"/>
  <c r="V26" i="8"/>
  <c r="R26" i="8"/>
  <c r="N26" i="8"/>
  <c r="Z25" i="8"/>
  <c r="V25" i="8"/>
  <c r="R25" i="8"/>
  <c r="N25" i="8"/>
  <c r="Z21" i="8"/>
  <c r="V21" i="8"/>
  <c r="R21" i="8"/>
  <c r="N21" i="8"/>
  <c r="Z20" i="8"/>
  <c r="V20" i="8"/>
  <c r="R20" i="8"/>
  <c r="N20" i="8"/>
  <c r="Z19" i="8"/>
  <c r="V19" i="8"/>
  <c r="R19" i="8"/>
  <c r="N19" i="8"/>
  <c r="AF31" i="8" l="1"/>
  <c r="AG31" i="8"/>
  <c r="AE31" i="8"/>
  <c r="AG26" i="8"/>
  <c r="AF26" i="8"/>
  <c r="AE26" i="8"/>
  <c r="AJ26" i="8"/>
  <c r="AH26" i="8"/>
  <c r="AK26" i="8"/>
  <c r="AI26" i="8"/>
  <c r="AM26" i="8"/>
  <c r="AL26" i="8"/>
  <c r="AN26" i="8"/>
  <c r="AO26" i="8"/>
  <c r="AS26" i="8"/>
  <c r="AR26" i="8"/>
  <c r="AQ26" i="8"/>
  <c r="AP26" i="8"/>
  <c r="AI27" i="8"/>
  <c r="AK27" i="8"/>
  <c r="AJ27" i="8"/>
  <c r="AH27" i="8"/>
  <c r="AL27" i="8"/>
  <c r="AO27" i="8"/>
  <c r="AN27" i="8"/>
  <c r="AM27" i="8"/>
  <c r="AK31" i="8"/>
  <c r="AH31" i="8"/>
  <c r="AJ31" i="8"/>
  <c r="AI31" i="8"/>
  <c r="AG27" i="8"/>
  <c r="AE27" i="8"/>
  <c r="AF27" i="8"/>
  <c r="AG25" i="8"/>
  <c r="AF25" i="8"/>
  <c r="AE25" i="8"/>
  <c r="AL31" i="8"/>
  <c r="AO31" i="8"/>
  <c r="AN31" i="8"/>
  <c r="AM31" i="8"/>
  <c r="AS27" i="8"/>
  <c r="AQ27" i="8"/>
  <c r="AP27" i="8"/>
  <c r="AR27" i="8"/>
  <c r="AK25" i="8"/>
  <c r="AI25" i="8"/>
  <c r="AJ25" i="8"/>
  <c r="AH25" i="8"/>
  <c r="AS31" i="8"/>
  <c r="AR31" i="8"/>
  <c r="AQ31" i="8"/>
  <c r="AP31" i="8"/>
  <c r="AN25" i="8"/>
  <c r="AM25" i="8"/>
  <c r="AL25" i="8"/>
  <c r="AO25" i="8"/>
  <c r="AG10" i="8"/>
  <c r="AE10" i="8"/>
  <c r="AF10" i="8"/>
  <c r="AS25" i="8"/>
  <c r="AQ25" i="8"/>
  <c r="AR25" i="8"/>
  <c r="AP25" i="8"/>
  <c r="AH54" i="9" l="1"/>
  <c r="AK54" i="9"/>
  <c r="AJ54" i="9"/>
  <c r="AI54" i="9"/>
  <c r="AG54" i="9"/>
  <c r="AK53" i="9"/>
  <c r="AJ53" i="9"/>
  <c r="AI53" i="9"/>
  <c r="AG53" i="9"/>
  <c r="Z8" i="8"/>
  <c r="T4" i="21" s="1"/>
  <c r="AH4" i="21" s="1"/>
  <c r="V8" i="8"/>
  <c r="P4" i="21" s="1"/>
  <c r="AD4" i="21" s="1"/>
  <c r="R8" i="8"/>
  <c r="L4" i="21" s="1"/>
  <c r="Z4" i="21" s="1"/>
  <c r="N8" i="8"/>
  <c r="O111" i="8"/>
  <c r="J55" i="9" l="1"/>
  <c r="S111" i="8"/>
  <c r="C55" i="9"/>
  <c r="F55" i="9"/>
  <c r="K55" i="9"/>
  <c r="V55" i="9"/>
  <c r="E55" i="9"/>
  <c r="O55" i="9"/>
  <c r="G55" i="9"/>
  <c r="I55" i="9"/>
  <c r="S55" i="9"/>
  <c r="D55" i="9"/>
  <c r="N55" i="9"/>
  <c r="M55" i="9"/>
  <c r="Q55" i="9"/>
  <c r="R55" i="9"/>
  <c r="U55" i="9"/>
  <c r="W55" i="9"/>
  <c r="W111" i="8"/>
  <c r="AA111" i="8"/>
  <c r="K111" i="8"/>
  <c r="X111" i="8"/>
  <c r="T111" i="8"/>
  <c r="U111" i="8"/>
  <c r="P111" i="8"/>
  <c r="M111" i="8"/>
  <c r="L111" i="8"/>
  <c r="AK44" i="9" l="1"/>
  <c r="AB111" i="8"/>
  <c r="Y111" i="8"/>
  <c r="Q111" i="8"/>
  <c r="AU120" i="8" l="1"/>
  <c r="AU107" i="8"/>
  <c r="AU108" i="8"/>
  <c r="AC111" i="8"/>
  <c r="AI44" i="9"/>
  <c r="AH44" i="9"/>
  <c r="AG44" i="9"/>
  <c r="AJ44" i="9"/>
  <c r="AO67" i="8" l="1"/>
  <c r="AN67" i="8"/>
  <c r="AM67" i="8"/>
  <c r="AJ67" i="8"/>
  <c r="AK67" i="8"/>
  <c r="AG67" i="8"/>
  <c r="AF67" i="8"/>
  <c r="AE67" i="8"/>
  <c r="Q63" i="8"/>
  <c r="P63" i="8"/>
  <c r="O63" i="8"/>
  <c r="M63" i="8"/>
  <c r="U49" i="8"/>
  <c r="P49" i="8"/>
  <c r="O49" i="8"/>
  <c r="K63" i="8"/>
  <c r="B2" i="9"/>
  <c r="AG9" i="9"/>
  <c r="AG7" i="9"/>
  <c r="C63" i="8"/>
  <c r="C111" i="8"/>
  <c r="F111" i="8"/>
  <c r="E111" i="8"/>
  <c r="D111" i="8"/>
  <c r="AC63" i="8"/>
  <c r="AB63" i="8"/>
  <c r="AA63" i="8"/>
  <c r="Y63" i="8"/>
  <c r="X63" i="8"/>
  <c r="W63" i="8"/>
  <c r="U63" i="8"/>
  <c r="T63" i="8"/>
  <c r="S63" i="8"/>
  <c r="I63" i="8"/>
  <c r="H63" i="8"/>
  <c r="G63" i="8"/>
  <c r="F63" i="8"/>
  <c r="AH10" i="10"/>
  <c r="I111" i="8"/>
  <c r="H111" i="8"/>
  <c r="G111" i="8"/>
  <c r="AM100" i="8"/>
  <c r="AP99" i="8"/>
  <c r="AI99" i="8"/>
  <c r="R74" i="8"/>
  <c r="AH74" i="8" s="1"/>
  <c r="AH73" i="8"/>
  <c r="AH72" i="8"/>
  <c r="AH71" i="8"/>
  <c r="AK70" i="9"/>
  <c r="W71" i="9"/>
  <c r="AK59" i="9"/>
  <c r="AK58" i="9"/>
  <c r="AK52" i="9"/>
  <c r="AK55" i="9" s="1"/>
  <c r="W4" i="9"/>
  <c r="AK4" i="9" s="1"/>
  <c r="W3" i="9"/>
  <c r="AK3" i="9" s="1"/>
  <c r="AG74" i="8"/>
  <c r="AF74" i="8"/>
  <c r="AE74" i="8"/>
  <c r="AG73" i="8"/>
  <c r="AF73" i="8"/>
  <c r="AE73" i="8"/>
  <c r="AG72" i="8"/>
  <c r="AF72" i="8"/>
  <c r="AE72" i="8"/>
  <c r="AG71" i="8"/>
  <c r="AF71" i="8"/>
  <c r="AE71" i="8"/>
  <c r="AG68" i="8"/>
  <c r="AF68" i="8"/>
  <c r="AE68" i="8"/>
  <c r="AG66" i="8"/>
  <c r="AF66" i="8"/>
  <c r="AE66" i="8"/>
  <c r="AG62" i="8"/>
  <c r="AF62" i="8"/>
  <c r="AE62" i="8"/>
  <c r="AG61" i="8"/>
  <c r="AF61" i="8"/>
  <c r="AE61" i="8"/>
  <c r="AG60" i="8"/>
  <c r="AG58" i="8"/>
  <c r="AF58" i="8"/>
  <c r="AE58" i="8"/>
  <c r="AG54" i="8"/>
  <c r="AF54" i="8"/>
  <c r="AE54" i="8"/>
  <c r="AG53" i="8"/>
  <c r="AF53" i="8"/>
  <c r="AE53" i="8"/>
  <c r="AG52" i="8"/>
  <c r="AF52" i="8"/>
  <c r="AE52" i="8"/>
  <c r="AG48" i="8"/>
  <c r="AF48" i="8"/>
  <c r="AE48" i="8"/>
  <c r="AG47" i="8"/>
  <c r="AF47" i="8"/>
  <c r="AE47" i="8"/>
  <c r="AG46" i="8"/>
  <c r="AF46" i="8"/>
  <c r="AE46" i="8"/>
  <c r="AG8" i="8"/>
  <c r="AG83" i="8" s="1"/>
  <c r="AF8" i="8"/>
  <c r="AF83" i="8" s="1"/>
  <c r="AE8" i="8"/>
  <c r="AE83" i="8" s="1"/>
  <c r="AG7" i="8"/>
  <c r="AG82" i="8" s="1"/>
  <c r="AF7" i="8"/>
  <c r="AF82" i="8" s="1"/>
  <c r="AE7" i="8"/>
  <c r="AE82" i="8" s="1"/>
  <c r="AS67" i="8"/>
  <c r="AU67" i="8" s="1"/>
  <c r="AR67" i="8"/>
  <c r="AQ67" i="8"/>
  <c r="AI67" i="8"/>
  <c r="AS66" i="8"/>
  <c r="AQ66" i="8"/>
  <c r="AO66" i="8"/>
  <c r="AN66" i="8"/>
  <c r="AM66" i="8"/>
  <c r="AK66" i="8"/>
  <c r="AJ66" i="8"/>
  <c r="AI66" i="8"/>
  <c r="AR66" i="8"/>
  <c r="AP67" i="8"/>
  <c r="AL67" i="8"/>
  <c r="AF21" i="8"/>
  <c r="AS74" i="8"/>
  <c r="AS73" i="8"/>
  <c r="AS72" i="8"/>
  <c r="AS71" i="8"/>
  <c r="AS68" i="8"/>
  <c r="AS62" i="8"/>
  <c r="AS61" i="8"/>
  <c r="AS60" i="8"/>
  <c r="AS59" i="8"/>
  <c r="AS58" i="8"/>
  <c r="AS54" i="8"/>
  <c r="AS53" i="8"/>
  <c r="AS52" i="8"/>
  <c r="AS48" i="8"/>
  <c r="AS47" i="8"/>
  <c r="AS46" i="8"/>
  <c r="AS8" i="8"/>
  <c r="AS83" i="8" s="1"/>
  <c r="AS7" i="8"/>
  <c r="AS82" i="8" s="1"/>
  <c r="X4" i="10"/>
  <c r="AJ4" i="10" s="1"/>
  <c r="W4" i="10"/>
  <c r="AI4" i="10" s="1"/>
  <c r="V4" i="10"/>
  <c r="AH4" i="10" s="1"/>
  <c r="U4" i="10"/>
  <c r="AG4" i="10" s="1"/>
  <c r="T4" i="10"/>
  <c r="AF4" i="10" s="1"/>
  <c r="S4" i="10"/>
  <c r="AE4" i="10" s="1"/>
  <c r="R4" i="10"/>
  <c r="AD4" i="10" s="1"/>
  <c r="Q4" i="10"/>
  <c r="AC4" i="10" s="1"/>
  <c r="P4" i="10"/>
  <c r="AB4" i="10" s="1"/>
  <c r="O4" i="10"/>
  <c r="AA4" i="10" s="1"/>
  <c r="N4" i="10"/>
  <c r="M4" i="10"/>
  <c r="L4" i="10"/>
  <c r="K4" i="10"/>
  <c r="X3" i="10"/>
  <c r="AJ3" i="10" s="1"/>
  <c r="W3" i="10"/>
  <c r="AI3" i="10" s="1"/>
  <c r="V3" i="10"/>
  <c r="AH3" i="10" s="1"/>
  <c r="U3" i="10"/>
  <c r="AG3" i="10" s="1"/>
  <c r="T3" i="10"/>
  <c r="AF3" i="10" s="1"/>
  <c r="S3" i="10"/>
  <c r="AE3" i="10" s="1"/>
  <c r="R3" i="10"/>
  <c r="AD3" i="10" s="1"/>
  <c r="Q3" i="10"/>
  <c r="AC3" i="10" s="1"/>
  <c r="P3" i="10"/>
  <c r="AB3" i="10" s="1"/>
  <c r="O3" i="10"/>
  <c r="AA3" i="10" s="1"/>
  <c r="N3" i="10"/>
  <c r="M3" i="10"/>
  <c r="L3" i="10"/>
  <c r="K3" i="10"/>
  <c r="Y4" i="10"/>
  <c r="AK4" i="10" s="1"/>
  <c r="Y3" i="10"/>
  <c r="AK3" i="10" s="1"/>
  <c r="AC83" i="8"/>
  <c r="AC82" i="8"/>
  <c r="AC75" i="8"/>
  <c r="AC43" i="8"/>
  <c r="AC42" i="8"/>
  <c r="AC11" i="8"/>
  <c r="AR68" i="8"/>
  <c r="S71" i="9"/>
  <c r="K71" i="9"/>
  <c r="J71" i="9"/>
  <c r="I71" i="9"/>
  <c r="G71" i="9"/>
  <c r="F71" i="9"/>
  <c r="E71" i="9"/>
  <c r="D71" i="9"/>
  <c r="C71" i="9"/>
  <c r="AR59" i="8"/>
  <c r="AQ59" i="8"/>
  <c r="AO59" i="8"/>
  <c r="AN59" i="8"/>
  <c r="AM59" i="8"/>
  <c r="AR61" i="8"/>
  <c r="AQ61" i="8"/>
  <c r="AO61" i="8"/>
  <c r="AN61" i="8"/>
  <c r="AM61" i="8"/>
  <c r="AK61" i="8"/>
  <c r="AJ61" i="8"/>
  <c r="AI61" i="8"/>
  <c r="AK59" i="8"/>
  <c r="AJ59" i="8"/>
  <c r="AI59" i="8"/>
  <c r="AP59" i="8"/>
  <c r="AL59" i="8"/>
  <c r="AH59" i="8"/>
  <c r="AD70" i="9"/>
  <c r="Z70" i="9"/>
  <c r="AA121" i="8"/>
  <c r="I121" i="8"/>
  <c r="H121" i="8"/>
  <c r="G121" i="8"/>
  <c r="D121" i="8"/>
  <c r="AR52" i="8"/>
  <c r="AQ52" i="8"/>
  <c r="AO52" i="8"/>
  <c r="AN52" i="8"/>
  <c r="AM52" i="8"/>
  <c r="AK52" i="8"/>
  <c r="AJ52" i="8"/>
  <c r="AI52" i="8"/>
  <c r="AP52" i="8"/>
  <c r="AL52" i="8"/>
  <c r="AH52" i="8"/>
  <c r="AR62" i="8"/>
  <c r="AQ62" i="8"/>
  <c r="AO62" i="8"/>
  <c r="AN62" i="8"/>
  <c r="AM62" i="8"/>
  <c r="AK62" i="8"/>
  <c r="AJ62" i="8"/>
  <c r="AI62" i="8"/>
  <c r="AR60" i="8"/>
  <c r="AQ60" i="8"/>
  <c r="AO60" i="8"/>
  <c r="AN60" i="8"/>
  <c r="AM60" i="8"/>
  <c r="AK60" i="8"/>
  <c r="AJ60" i="8"/>
  <c r="AI60" i="8"/>
  <c r="AP60" i="8"/>
  <c r="AL60" i="8"/>
  <c r="AH60" i="8"/>
  <c r="AF59" i="8"/>
  <c r="AP62" i="8"/>
  <c r="AL62" i="8"/>
  <c r="AH62" i="8"/>
  <c r="AJ59" i="9"/>
  <c r="AI59" i="9"/>
  <c r="AG59" i="9"/>
  <c r="AF59" i="9"/>
  <c r="AE59" i="9"/>
  <c r="AC59" i="9"/>
  <c r="AB59" i="9"/>
  <c r="AA59" i="9"/>
  <c r="Y59" i="9"/>
  <c r="AJ58" i="9"/>
  <c r="AI58" i="9"/>
  <c r="AG58" i="9"/>
  <c r="AF58" i="9"/>
  <c r="AE58" i="9"/>
  <c r="AC58" i="9"/>
  <c r="AB58" i="9"/>
  <c r="AA58" i="9"/>
  <c r="Y58" i="9"/>
  <c r="AJ52" i="9"/>
  <c r="AJ55" i="9" s="1"/>
  <c r="AI52" i="9"/>
  <c r="AI55" i="9" s="1"/>
  <c r="AG52" i="9"/>
  <c r="AG55" i="9" s="1"/>
  <c r="AF52" i="9"/>
  <c r="AE52" i="9"/>
  <c r="AC52" i="9"/>
  <c r="AB52" i="9"/>
  <c r="AA52" i="9"/>
  <c r="Y52" i="9"/>
  <c r="AI70" i="9"/>
  <c r="AG70" i="9"/>
  <c r="AF70" i="9"/>
  <c r="AE70" i="9"/>
  <c r="AC70" i="9"/>
  <c r="AB70" i="9"/>
  <c r="AA70" i="9"/>
  <c r="Y70" i="9"/>
  <c r="AJ70" i="9"/>
  <c r="V4" i="9"/>
  <c r="AJ4" i="9" s="1"/>
  <c r="U4" i="9"/>
  <c r="AI4" i="9" s="1"/>
  <c r="T4" i="9"/>
  <c r="AH4" i="9" s="1"/>
  <c r="S4" i="9"/>
  <c r="AG4" i="9" s="1"/>
  <c r="R4" i="9"/>
  <c r="AF4" i="9" s="1"/>
  <c r="Q4" i="9"/>
  <c r="AE4" i="9" s="1"/>
  <c r="P4" i="9"/>
  <c r="AD4" i="9" s="1"/>
  <c r="O4" i="9"/>
  <c r="AC4" i="9" s="1"/>
  <c r="N4" i="9"/>
  <c r="AB4" i="9" s="1"/>
  <c r="M4" i="9"/>
  <c r="AA4" i="9" s="1"/>
  <c r="L4" i="9"/>
  <c r="Z4" i="9" s="1"/>
  <c r="K4" i="9"/>
  <c r="Y4" i="9" s="1"/>
  <c r="J4" i="9"/>
  <c r="V3" i="9"/>
  <c r="AJ3" i="9" s="1"/>
  <c r="U3" i="9"/>
  <c r="AI3" i="9" s="1"/>
  <c r="T3" i="9"/>
  <c r="AH3" i="9" s="1"/>
  <c r="S3" i="9"/>
  <c r="AG3" i="9" s="1"/>
  <c r="R3" i="9"/>
  <c r="AF3" i="9" s="1"/>
  <c r="Q3" i="9"/>
  <c r="AE3" i="9" s="1"/>
  <c r="P3" i="9"/>
  <c r="AD3" i="9" s="1"/>
  <c r="O3" i="9"/>
  <c r="AC3" i="9" s="1"/>
  <c r="N3" i="9"/>
  <c r="AB3" i="9" s="1"/>
  <c r="M3" i="9"/>
  <c r="AA3" i="9" s="1"/>
  <c r="L3" i="9"/>
  <c r="Z3" i="9" s="1"/>
  <c r="K3" i="9"/>
  <c r="Y3" i="9" s="1"/>
  <c r="J3" i="9"/>
  <c r="I4" i="9"/>
  <c r="I3" i="9"/>
  <c r="G4" i="9"/>
  <c r="F4" i="9"/>
  <c r="E4" i="9"/>
  <c r="D4" i="9"/>
  <c r="G3" i="9"/>
  <c r="F3" i="9"/>
  <c r="E3" i="9"/>
  <c r="D3" i="9"/>
  <c r="C4" i="9"/>
  <c r="C3" i="9"/>
  <c r="Z10" i="8"/>
  <c r="V10" i="8"/>
  <c r="R10" i="8"/>
  <c r="AG20" i="8"/>
  <c r="AG19" i="8"/>
  <c r="N11" i="8"/>
  <c r="N16" i="8" s="1"/>
  <c r="AP53" i="8"/>
  <c r="AP68" i="8"/>
  <c r="AP73" i="8"/>
  <c r="AP72" i="8"/>
  <c r="AP71" i="8"/>
  <c r="Z74" i="8"/>
  <c r="AP74" i="8" s="1"/>
  <c r="V74" i="8"/>
  <c r="AL74" i="8" s="1"/>
  <c r="AL73" i="8"/>
  <c r="AL72" i="8"/>
  <c r="AL71" i="8"/>
  <c r="AL68" i="8"/>
  <c r="AL53" i="8"/>
  <c r="AH68" i="8"/>
  <c r="AH53" i="8"/>
  <c r="AR74" i="8"/>
  <c r="AQ74" i="8"/>
  <c r="AO74" i="8"/>
  <c r="AN74" i="8"/>
  <c r="AM74" i="8"/>
  <c r="AK74" i="8"/>
  <c r="AJ74" i="8"/>
  <c r="AI74" i="8"/>
  <c r="AR73" i="8"/>
  <c r="AQ73" i="8"/>
  <c r="AO73" i="8"/>
  <c r="AN73" i="8"/>
  <c r="AM73" i="8"/>
  <c r="AK73" i="8"/>
  <c r="AJ73" i="8"/>
  <c r="AI73" i="8"/>
  <c r="AR72" i="8"/>
  <c r="AQ72" i="8"/>
  <c r="AO72" i="8"/>
  <c r="AN72" i="8"/>
  <c r="AM72" i="8"/>
  <c r="AK72" i="8"/>
  <c r="AJ72" i="8"/>
  <c r="AI72" i="8"/>
  <c r="AR71" i="8"/>
  <c r="AQ71" i="8"/>
  <c r="AO71" i="8"/>
  <c r="AN71" i="8"/>
  <c r="AM71" i="8"/>
  <c r="AK71" i="8"/>
  <c r="AJ71" i="8"/>
  <c r="AI71" i="8"/>
  <c r="AQ68" i="8"/>
  <c r="AO68" i="8"/>
  <c r="AN68" i="8"/>
  <c r="AM68" i="8"/>
  <c r="AK68" i="8"/>
  <c r="AJ68" i="8"/>
  <c r="AI68" i="8"/>
  <c r="AR58" i="8"/>
  <c r="AQ58" i="8"/>
  <c r="AO58" i="8"/>
  <c r="AN58" i="8"/>
  <c r="AM58" i="8"/>
  <c r="AK58" i="8"/>
  <c r="AJ58" i="8"/>
  <c r="AI58" i="8"/>
  <c r="AR54" i="8"/>
  <c r="AQ54" i="8"/>
  <c r="AO54" i="8"/>
  <c r="AN54" i="8"/>
  <c r="AM54" i="8"/>
  <c r="AK54" i="8"/>
  <c r="AJ54" i="8"/>
  <c r="AI54" i="8"/>
  <c r="AR53" i="8"/>
  <c r="AQ53" i="8"/>
  <c r="AO53" i="8"/>
  <c r="AN53" i="8"/>
  <c r="AM53" i="8"/>
  <c r="AK53" i="8"/>
  <c r="AJ53" i="8"/>
  <c r="AI53" i="8"/>
  <c r="AR48" i="8"/>
  <c r="AQ48" i="8"/>
  <c r="AO48" i="8"/>
  <c r="AN48" i="8"/>
  <c r="AM48" i="8"/>
  <c r="AK48" i="8"/>
  <c r="AJ48" i="8"/>
  <c r="AI48" i="8"/>
  <c r="AR47" i="8"/>
  <c r="AQ47" i="8"/>
  <c r="AO47" i="8"/>
  <c r="AN47" i="8"/>
  <c r="AM47" i="8"/>
  <c r="AK47" i="8"/>
  <c r="AJ47" i="8"/>
  <c r="AI47" i="8"/>
  <c r="AQ46" i="8"/>
  <c r="AO46" i="8"/>
  <c r="AN46" i="8"/>
  <c r="AM46" i="8"/>
  <c r="AK46" i="8"/>
  <c r="AJ46" i="8"/>
  <c r="AI46" i="8"/>
  <c r="N74" i="8"/>
  <c r="U75" i="8"/>
  <c r="M75" i="8"/>
  <c r="AB83" i="8"/>
  <c r="AA83" i="8"/>
  <c r="Z83" i="8"/>
  <c r="Y83" i="8"/>
  <c r="X83" i="8"/>
  <c r="W83" i="8"/>
  <c r="V83" i="8"/>
  <c r="U83" i="8"/>
  <c r="T83" i="8"/>
  <c r="S83" i="8"/>
  <c r="R83" i="8"/>
  <c r="Q83" i="8"/>
  <c r="P83" i="8"/>
  <c r="O83" i="8"/>
  <c r="N83" i="8"/>
  <c r="M83" i="8"/>
  <c r="L83" i="8"/>
  <c r="K83" i="8"/>
  <c r="AB82" i="8"/>
  <c r="AA82" i="8"/>
  <c r="Z82" i="8"/>
  <c r="Y82" i="8"/>
  <c r="X82" i="8"/>
  <c r="W82" i="8"/>
  <c r="V82" i="8"/>
  <c r="U82" i="8"/>
  <c r="T82" i="8"/>
  <c r="S82" i="8"/>
  <c r="R82" i="8"/>
  <c r="Q82" i="8"/>
  <c r="P82" i="8"/>
  <c r="O82" i="8"/>
  <c r="N82" i="8"/>
  <c r="M82" i="8"/>
  <c r="L82" i="8"/>
  <c r="K82" i="8"/>
  <c r="Y75" i="8"/>
  <c r="X75" i="8"/>
  <c r="W75" i="8"/>
  <c r="T75" i="8"/>
  <c r="S75" i="8"/>
  <c r="Q75" i="8"/>
  <c r="P75" i="8"/>
  <c r="O75" i="8"/>
  <c r="L75" i="8"/>
  <c r="K75" i="8"/>
  <c r="M49" i="8"/>
  <c r="M55" i="8" s="1"/>
  <c r="AB43" i="8"/>
  <c r="AA43" i="8"/>
  <c r="Z43" i="8"/>
  <c r="Y43" i="8"/>
  <c r="X43" i="8"/>
  <c r="W43" i="8"/>
  <c r="V43" i="8"/>
  <c r="U43" i="8"/>
  <c r="T43" i="8"/>
  <c r="S43" i="8"/>
  <c r="R43" i="8"/>
  <c r="Q43" i="8"/>
  <c r="P43" i="8"/>
  <c r="O43" i="8"/>
  <c r="N43" i="8"/>
  <c r="M43" i="8"/>
  <c r="L43" i="8"/>
  <c r="K43" i="8"/>
  <c r="AB42" i="8"/>
  <c r="AA42" i="8"/>
  <c r="Z42" i="8"/>
  <c r="Y42" i="8"/>
  <c r="X42" i="8"/>
  <c r="W42" i="8"/>
  <c r="V42" i="8"/>
  <c r="U42" i="8"/>
  <c r="T42" i="8"/>
  <c r="S42" i="8"/>
  <c r="R42" i="8"/>
  <c r="Q42" i="8"/>
  <c r="P42" i="8"/>
  <c r="O42" i="8"/>
  <c r="N42" i="8"/>
  <c r="M42" i="8"/>
  <c r="L42" i="8"/>
  <c r="K42" i="8"/>
  <c r="I43" i="8"/>
  <c r="H43" i="8"/>
  <c r="G43" i="8"/>
  <c r="F43" i="8"/>
  <c r="E43" i="8"/>
  <c r="D43" i="8"/>
  <c r="C43" i="8"/>
  <c r="I42" i="8"/>
  <c r="H42" i="8"/>
  <c r="G42" i="8"/>
  <c r="F42" i="8"/>
  <c r="E42" i="8"/>
  <c r="D42" i="8"/>
  <c r="C42" i="8"/>
  <c r="AR46" i="8"/>
  <c r="X11" i="8"/>
  <c r="W11" i="8"/>
  <c r="U11" i="8"/>
  <c r="T11" i="8"/>
  <c r="S11" i="8"/>
  <c r="Q11" i="8"/>
  <c r="P11" i="8"/>
  <c r="O11" i="8"/>
  <c r="M11" i="8"/>
  <c r="L11" i="8"/>
  <c r="K11" i="8"/>
  <c r="AB11" i="8"/>
  <c r="AB16" i="8" s="1"/>
  <c r="AM8" i="8"/>
  <c r="AL8" i="8"/>
  <c r="AK8" i="8"/>
  <c r="AJ8" i="8"/>
  <c r="AI8" i="8"/>
  <c r="AH8" i="8"/>
  <c r="AM7" i="8"/>
  <c r="AL7" i="8"/>
  <c r="AK7" i="8"/>
  <c r="AJ7" i="8"/>
  <c r="AI7" i="8"/>
  <c r="AH7" i="8"/>
  <c r="AQ8" i="8"/>
  <c r="AP8" i="8"/>
  <c r="AO8" i="8"/>
  <c r="AN8" i="8"/>
  <c r="AQ7" i="8"/>
  <c r="AP7" i="8"/>
  <c r="AO7" i="8"/>
  <c r="AN7" i="8"/>
  <c r="AR8" i="8"/>
  <c r="AR7" i="8"/>
  <c r="H4" i="10"/>
  <c r="G4" i="10"/>
  <c r="F4" i="10"/>
  <c r="E4" i="10"/>
  <c r="D4" i="10"/>
  <c r="C4" i="10"/>
  <c r="H3" i="10"/>
  <c r="G3" i="10"/>
  <c r="F3" i="10"/>
  <c r="E3" i="10"/>
  <c r="D3" i="10"/>
  <c r="C3" i="10"/>
  <c r="I4" i="10"/>
  <c r="I3" i="10"/>
  <c r="AG10" i="10" l="1"/>
  <c r="AG8" i="9"/>
  <c r="C14" i="10"/>
  <c r="AI10" i="10"/>
  <c r="AI10" i="8"/>
  <c r="AK10" i="8"/>
  <c r="AJ10" i="8"/>
  <c r="AH10" i="8"/>
  <c r="AL10" i="8"/>
  <c r="AN10" i="8"/>
  <c r="AO10" i="8"/>
  <c r="AM10" i="8"/>
  <c r="AR10" i="8"/>
  <c r="AQ10" i="8"/>
  <c r="AP10" i="8"/>
  <c r="M16" i="8"/>
  <c r="M17" i="8" s="1"/>
  <c r="O16" i="8"/>
  <c r="O22" i="8" s="1"/>
  <c r="O28" i="8" s="1"/>
  <c r="O32" i="8" s="1"/>
  <c r="Q16" i="8"/>
  <c r="Q22" i="8" s="1"/>
  <c r="Q28" i="8" s="1"/>
  <c r="Q32" i="8" s="1"/>
  <c r="U16" i="8"/>
  <c r="U17" i="8" s="1"/>
  <c r="W16" i="8"/>
  <c r="W22" i="8" s="1"/>
  <c r="W28" i="8" s="1"/>
  <c r="W32" i="8" s="1"/>
  <c r="T16" i="8"/>
  <c r="T17" i="8" s="1"/>
  <c r="S16" i="8"/>
  <c r="S17" i="8" s="1"/>
  <c r="X16" i="8"/>
  <c r="X22" i="8" s="1"/>
  <c r="K16" i="8"/>
  <c r="K22" i="8" s="1"/>
  <c r="P16" i="8"/>
  <c r="P22" i="8" s="1"/>
  <c r="P28" i="8" s="1"/>
  <c r="P32" i="8" s="1"/>
  <c r="L16" i="8"/>
  <c r="L17" i="8" s="1"/>
  <c r="AC16" i="8"/>
  <c r="AC22" i="8" s="1"/>
  <c r="AU46" i="8"/>
  <c r="AU47" i="8"/>
  <c r="AU61" i="8"/>
  <c r="AU68" i="8"/>
  <c r="AU62" i="8"/>
  <c r="AU48" i="8"/>
  <c r="E63" i="8"/>
  <c r="AU71" i="8"/>
  <c r="AH67" i="8"/>
  <c r="AU52" i="8"/>
  <c r="AU72" i="8"/>
  <c r="AG46" i="9"/>
  <c r="AU53" i="8"/>
  <c r="AU73" i="8"/>
  <c r="D63" i="8"/>
  <c r="AU54" i="8"/>
  <c r="AU74" i="8"/>
  <c r="AU58" i="8"/>
  <c r="AU59" i="8"/>
  <c r="R49" i="8"/>
  <c r="R55" i="8" s="1"/>
  <c r="AG43" i="9"/>
  <c r="AU60" i="8"/>
  <c r="AU66" i="8"/>
  <c r="AH66" i="8"/>
  <c r="AL66" i="8"/>
  <c r="AP66" i="8"/>
  <c r="AK20" i="8"/>
  <c r="AA21" i="9"/>
  <c r="AH48" i="8"/>
  <c r="Z58" i="9"/>
  <c r="AL48" i="8"/>
  <c r="AD58" i="9"/>
  <c r="AC15" i="9"/>
  <c r="AC27" i="9" s="1"/>
  <c r="AP47" i="8"/>
  <c r="AH53" i="9"/>
  <c r="AI98" i="8"/>
  <c r="Y73" i="9"/>
  <c r="AA73" i="9"/>
  <c r="AH54" i="8"/>
  <c r="AP48" i="8"/>
  <c r="AH58" i="9"/>
  <c r="AR19" i="8"/>
  <c r="AK21" i="8"/>
  <c r="AA22" i="9"/>
  <c r="AC69" i="8"/>
  <c r="AO21" i="8"/>
  <c r="AE73" i="9"/>
  <c r="AH58" i="8"/>
  <c r="Z59" i="9"/>
  <c r="AM19" i="8"/>
  <c r="AF20" i="9"/>
  <c r="AR21" i="8"/>
  <c r="AH22" i="9"/>
  <c r="AP54" i="8"/>
  <c r="AO20" i="8"/>
  <c r="AG21" i="9"/>
  <c r="AK73" i="9"/>
  <c r="AQ137" i="8"/>
  <c r="AH47" i="8"/>
  <c r="AB73" i="9"/>
  <c r="AC73" i="9"/>
  <c r="AL54" i="8"/>
  <c r="AP58" i="8"/>
  <c r="AH59" i="9"/>
  <c r="AG15" i="9"/>
  <c r="AG27" i="9" s="1"/>
  <c r="AR20" i="8"/>
  <c r="AK21" i="9"/>
  <c r="AF73" i="9"/>
  <c r="AG73" i="9"/>
  <c r="AH46" i="8"/>
  <c r="AL46" i="8"/>
  <c r="P55" i="9"/>
  <c r="AL58" i="8"/>
  <c r="AD59" i="9"/>
  <c r="AK19" i="8"/>
  <c r="Z20" i="9"/>
  <c r="AF49" i="8"/>
  <c r="AF55" i="8" s="1"/>
  <c r="Z111" i="8"/>
  <c r="R111" i="8"/>
  <c r="V111" i="8"/>
  <c r="N111" i="8"/>
  <c r="Q49" i="8"/>
  <c r="Q55" i="8" s="1"/>
  <c r="U55" i="8"/>
  <c r="O55" i="8"/>
  <c r="P55" i="8"/>
  <c r="AE49" i="8"/>
  <c r="AE55" i="8" s="1"/>
  <c r="L49" i="8"/>
  <c r="L55" i="8" s="1"/>
  <c r="K49" i="8"/>
  <c r="K55" i="8" s="1"/>
  <c r="M69" i="8"/>
  <c r="M76" i="8" s="1"/>
  <c r="M78" i="8" s="1"/>
  <c r="AF60" i="8"/>
  <c r="AF63" i="8" s="1"/>
  <c r="AF69" i="8" s="1"/>
  <c r="AQ63" i="8"/>
  <c r="AE60" i="8"/>
  <c r="L63" i="8"/>
  <c r="L69" i="8" s="1"/>
  <c r="L76" i="8" s="1"/>
  <c r="Q69" i="8"/>
  <c r="O69" i="8"/>
  <c r="AJ10" i="10"/>
  <c r="AK10" i="10"/>
  <c r="AM10" i="10" s="1"/>
  <c r="AR63" i="8"/>
  <c r="AS63" i="8"/>
  <c r="AO63" i="8"/>
  <c r="N63" i="8"/>
  <c r="N69" i="8" s="1"/>
  <c r="V63" i="8"/>
  <c r="R63" i="8"/>
  <c r="Z63" i="8"/>
  <c r="U22" i="8"/>
  <c r="U28" i="8" s="1"/>
  <c r="U32" i="8" s="1"/>
  <c r="D14" i="10"/>
  <c r="R75" i="8"/>
  <c r="AG89" i="8"/>
  <c r="AG98" i="8"/>
  <c r="AG137" i="8"/>
  <c r="AE128" i="8"/>
  <c r="AF75" i="8"/>
  <c r="AG21" i="8"/>
  <c r="AK71" i="9"/>
  <c r="AG99" i="8"/>
  <c r="AE75" i="8"/>
  <c r="AG49" i="8"/>
  <c r="AG55" i="8" s="1"/>
  <c r="AG75" i="8"/>
  <c r="AE21" i="8"/>
  <c r="Y22" i="9"/>
  <c r="AE11" i="8"/>
  <c r="AE16" i="8" s="1"/>
  <c r="AF11" i="8"/>
  <c r="AF16" i="8" s="1"/>
  <c r="AE19" i="8"/>
  <c r="AE20" i="8"/>
  <c r="AE59" i="8"/>
  <c r="AE89" i="8"/>
  <c r="AE98" i="8"/>
  <c r="AE99" i="8"/>
  <c r="AE137" i="8"/>
  <c r="AG11" i="8"/>
  <c r="AG16" i="8" s="1"/>
  <c r="AF19" i="8"/>
  <c r="AF20" i="8"/>
  <c r="AF89" i="8"/>
  <c r="AF98" i="8"/>
  <c r="AF99" i="8"/>
  <c r="AF128" i="8"/>
  <c r="AF137" i="8"/>
  <c r="AG59" i="8"/>
  <c r="AG63" i="8" s="1"/>
  <c r="AG69" i="8" s="1"/>
  <c r="AE42" i="8"/>
  <c r="AE43" i="8"/>
  <c r="AF42" i="8"/>
  <c r="AF43" i="8"/>
  <c r="AG42" i="8"/>
  <c r="AG43" i="8"/>
  <c r="AG128" i="8"/>
  <c r="AO102" i="8"/>
  <c r="AL102" i="8"/>
  <c r="AM102" i="8"/>
  <c r="AQ102" i="8"/>
  <c r="AN102" i="8"/>
  <c r="AF102" i="8"/>
  <c r="AH101" i="8"/>
  <c r="AK101" i="8"/>
  <c r="AJ101" i="8"/>
  <c r="AI101" i="8"/>
  <c r="AM101" i="8"/>
  <c r="AF101" i="8"/>
  <c r="AS101" i="8"/>
  <c r="AL101" i="8"/>
  <c r="AN101" i="8"/>
  <c r="U69" i="8"/>
  <c r="AS98" i="8"/>
  <c r="AS100" i="8"/>
  <c r="AH21" i="8"/>
  <c r="AS21" i="8"/>
  <c r="AQ21" i="8"/>
  <c r="AI21" i="8"/>
  <c r="AJ21" i="8"/>
  <c r="AP21" i="8"/>
  <c r="AL21" i="8"/>
  <c r="AM21" i="8"/>
  <c r="AN21" i="8"/>
  <c r="AC49" i="8"/>
  <c r="AS75" i="8"/>
  <c r="AS49" i="8"/>
  <c r="AS10" i="8"/>
  <c r="T69" i="8"/>
  <c r="AS19" i="8"/>
  <c r="AS20" i="8"/>
  <c r="AS99" i="8"/>
  <c r="AS42" i="8"/>
  <c r="AS43" i="8"/>
  <c r="AL61" i="8"/>
  <c r="AD71" i="9"/>
  <c r="AH61" i="8"/>
  <c r="AP61" i="8"/>
  <c r="Z71" i="9"/>
  <c r="S69" i="8"/>
  <c r="N71" i="9"/>
  <c r="M71" i="9"/>
  <c r="U71" i="9"/>
  <c r="O71" i="9"/>
  <c r="Q71" i="9"/>
  <c r="R71" i="9"/>
  <c r="AF71" i="9"/>
  <c r="Y71" i="9"/>
  <c r="AG71" i="9"/>
  <c r="AC71" i="9"/>
  <c r="AI71" i="9"/>
  <c r="AE71" i="9"/>
  <c r="AB71" i="9"/>
  <c r="AA71" i="9"/>
  <c r="AH70" i="9"/>
  <c r="T49" i="8"/>
  <c r="T55" i="8" s="1"/>
  <c r="E121" i="8"/>
  <c r="F121" i="8"/>
  <c r="AB121" i="8"/>
  <c r="O121" i="8"/>
  <c r="W121" i="8"/>
  <c r="P121" i="8"/>
  <c r="X121" i="8"/>
  <c r="K121" i="8"/>
  <c r="L121" i="8"/>
  <c r="AB49" i="8"/>
  <c r="AB55" i="8" s="1"/>
  <c r="Y49" i="8"/>
  <c r="Y55" i="8" s="1"/>
  <c r="S49" i="8"/>
  <c r="S55" i="8" s="1"/>
  <c r="X49" i="8"/>
  <c r="X55" i="8" s="1"/>
  <c r="W49" i="8"/>
  <c r="W55" i="8" s="1"/>
  <c r="I69" i="8"/>
  <c r="AO137" i="8"/>
  <c r="Y15" i="9"/>
  <c r="Y27" i="9" s="1"/>
  <c r="Y21" i="9"/>
  <c r="AF55" i="9"/>
  <c r="AB26" i="9"/>
  <c r="Y55" i="9"/>
  <c r="AC62" i="9"/>
  <c r="AR100" i="8"/>
  <c r="AE55" i="9"/>
  <c r="Y36" i="9"/>
  <c r="Y62" i="9"/>
  <c r="AB55" i="9"/>
  <c r="AA55" i="9"/>
  <c r="AC55" i="9"/>
  <c r="Y20" i="9"/>
  <c r="AR98" i="8"/>
  <c r="AO98" i="8"/>
  <c r="AK89" i="8"/>
  <c r="AP137" i="8"/>
  <c r="AO99" i="8"/>
  <c r="AM137" i="8"/>
  <c r="AN137" i="8"/>
  <c r="AK100" i="8"/>
  <c r="AL137" i="8"/>
  <c r="AI89" i="8"/>
  <c r="AH89" i="8"/>
  <c r="AH99" i="8"/>
  <c r="AJ100" i="8"/>
  <c r="AJ89" i="8"/>
  <c r="AK98" i="8"/>
  <c r="AQ99" i="8"/>
  <c r="AL98" i="8"/>
  <c r="AN100" i="8"/>
  <c r="AM98" i="8"/>
  <c r="AJ99" i="8"/>
  <c r="AR99" i="8"/>
  <c r="AO100" i="8"/>
  <c r="AN98" i="8"/>
  <c r="AK99" i="8"/>
  <c r="AH100" i="8"/>
  <c r="AP100" i="8"/>
  <c r="AI100" i="8"/>
  <c r="AQ100" i="8"/>
  <c r="AH98" i="8"/>
  <c r="AP98" i="8"/>
  <c r="AQ98" i="8"/>
  <c r="AJ98" i="8"/>
  <c r="AL100" i="8"/>
  <c r="R11" i="8"/>
  <c r="AH19" i="8"/>
  <c r="V11" i="8"/>
  <c r="V16" i="8" s="1"/>
  <c r="AJ20" i="8"/>
  <c r="N22" i="8"/>
  <c r="AH20" i="8"/>
  <c r="AI20" i="8"/>
  <c r="AP20" i="8"/>
  <c r="AQ20" i="8"/>
  <c r="AN19" i="8"/>
  <c r="AO19" i="8"/>
  <c r="AL19" i="8"/>
  <c r="AP19" i="8"/>
  <c r="AQ19" i="8"/>
  <c r="AL20" i="8"/>
  <c r="AM20" i="8"/>
  <c r="AN20" i="8"/>
  <c r="AI19" i="8"/>
  <c r="AJ19" i="8"/>
  <c r="V75" i="8"/>
  <c r="V49" i="8"/>
  <c r="V55" i="8" s="1"/>
  <c r="Z49" i="8"/>
  <c r="Z55" i="8" s="1"/>
  <c r="N75" i="8"/>
  <c r="N49" i="8"/>
  <c r="N55" i="8" s="1"/>
  <c r="AL47" i="8"/>
  <c r="AP46" i="8"/>
  <c r="Q17" i="8"/>
  <c r="O17" i="8"/>
  <c r="U86" i="8" l="1"/>
  <c r="U36" i="8"/>
  <c r="U39" i="8"/>
  <c r="W86" i="8"/>
  <c r="W36" i="8"/>
  <c r="W39" i="8"/>
  <c r="Q86" i="8"/>
  <c r="Q39" i="8"/>
  <c r="Q36" i="8"/>
  <c r="P86" i="8"/>
  <c r="P39" i="8"/>
  <c r="P36" i="8"/>
  <c r="O86" i="8"/>
  <c r="O36" i="8"/>
  <c r="O39" i="8"/>
  <c r="AC76" i="8"/>
  <c r="K17" i="8"/>
  <c r="M22" i="8"/>
  <c r="M28" i="8" s="1"/>
  <c r="M32" i="8" s="1"/>
  <c r="Y6" i="9"/>
  <c r="AI9" i="9"/>
  <c r="AJ9" i="9"/>
  <c r="AH9" i="9"/>
  <c r="AK9" i="9"/>
  <c r="AM9" i="9" s="1"/>
  <c r="AI8" i="9"/>
  <c r="AJ8" i="9"/>
  <c r="AK8" i="9"/>
  <c r="AM8" i="9" s="1"/>
  <c r="AH8" i="9"/>
  <c r="AH7" i="9"/>
  <c r="AI7" i="9"/>
  <c r="AJ7" i="9"/>
  <c r="AK7" i="9"/>
  <c r="AM7" i="9" s="1"/>
  <c r="Y14" i="10"/>
  <c r="Y15" i="10" s="1"/>
  <c r="AC17" i="8"/>
  <c r="T22" i="8"/>
  <c r="T28" i="8" s="1"/>
  <c r="X17" i="8"/>
  <c r="W17" i="8"/>
  <c r="AC23" i="8"/>
  <c r="AC28" i="8"/>
  <c r="AC32" i="8" s="1"/>
  <c r="L22" i="8"/>
  <c r="L23" i="8" s="1"/>
  <c r="P17" i="8"/>
  <c r="K28" i="8"/>
  <c r="K32" i="8" s="1"/>
  <c r="K23" i="8"/>
  <c r="S22" i="8"/>
  <c r="R16" i="8"/>
  <c r="R22" i="8" s="1"/>
  <c r="AP63" i="8"/>
  <c r="AU106" i="8"/>
  <c r="AU110" i="8"/>
  <c r="AU99" i="8"/>
  <c r="AU19" i="8"/>
  <c r="AU114" i="8"/>
  <c r="AJ46" i="9"/>
  <c r="AK46" i="9"/>
  <c r="AH46" i="9"/>
  <c r="AI46" i="9"/>
  <c r="AH43" i="9"/>
  <c r="AJ43" i="9"/>
  <c r="AI43" i="9"/>
  <c r="AK43" i="9"/>
  <c r="AS55" i="8"/>
  <c r="AU100" i="8"/>
  <c r="AS69" i="8"/>
  <c r="AS76" i="8" s="1"/>
  <c r="AU63" i="8"/>
  <c r="AU109" i="8"/>
  <c r="AU98" i="8"/>
  <c r="AU31" i="8"/>
  <c r="AU27" i="8"/>
  <c r="AU25" i="8"/>
  <c r="AU21" i="8"/>
  <c r="AU20" i="8"/>
  <c r="AS11" i="8"/>
  <c r="AS16" i="8" s="1"/>
  <c r="AU10" i="8"/>
  <c r="T55" i="9"/>
  <c r="L55" i="9"/>
  <c r="AH52" i="9"/>
  <c r="AH55" i="9" s="1"/>
  <c r="AF74" i="9"/>
  <c r="AF83" i="9" s="1"/>
  <c r="AE74" i="9"/>
  <c r="AE83" i="9" s="1"/>
  <c r="W74" i="9"/>
  <c r="W83" i="9" s="1"/>
  <c r="AK37" i="9"/>
  <c r="AG37" i="9"/>
  <c r="Z73" i="9"/>
  <c r="Z74" i="9" s="1"/>
  <c r="Z83" i="9" s="1"/>
  <c r="AC74" i="9"/>
  <c r="AC83" i="9" s="1"/>
  <c r="AA63" i="9"/>
  <c r="AC63" i="9"/>
  <c r="O76" i="8"/>
  <c r="O78" i="8" s="1"/>
  <c r="AK63" i="9"/>
  <c r="AG74" i="9"/>
  <c r="AG83" i="9" s="1"/>
  <c r="T76" i="8"/>
  <c r="T78" i="8" s="1"/>
  <c r="AB63" i="9"/>
  <c r="Q76" i="8"/>
  <c r="Q78" i="8" s="1"/>
  <c r="Y63" i="9"/>
  <c r="Y74" i="9"/>
  <c r="Y83" i="9" s="1"/>
  <c r="AK74" i="9"/>
  <c r="AK83" i="9" s="1"/>
  <c r="AD73" i="9"/>
  <c r="AD74" i="9" s="1"/>
  <c r="AD83" i="9" s="1"/>
  <c r="R69" i="8"/>
  <c r="Z62" i="9"/>
  <c r="AB74" i="9"/>
  <c r="AB83" i="9" s="1"/>
  <c r="AA74" i="9"/>
  <c r="AA83" i="9" s="1"/>
  <c r="L78" i="8"/>
  <c r="AE63" i="8"/>
  <c r="AE69" i="8" s="1"/>
  <c r="AE76" i="8" s="1"/>
  <c r="AE78" i="8" s="1"/>
  <c r="V22" i="8"/>
  <c r="Z22" i="9"/>
  <c r="AM21" i="9"/>
  <c r="AG22" i="9"/>
  <c r="AE17" i="8"/>
  <c r="AG22" i="8"/>
  <c r="AG28" i="8" s="1"/>
  <c r="AE22" i="9"/>
  <c r="AF22" i="9"/>
  <c r="AD22" i="9"/>
  <c r="AF76" i="8"/>
  <c r="AF78" i="8" s="1"/>
  <c r="AG76" i="8"/>
  <c r="AG78" i="8" s="1"/>
  <c r="AG17" i="8"/>
  <c r="AC22" i="9"/>
  <c r="AB22" i="9"/>
  <c r="AJ15" i="9"/>
  <c r="AJ27" i="9" s="1"/>
  <c r="AK15" i="9"/>
  <c r="AK27" i="9" s="1"/>
  <c r="AJ20" i="9"/>
  <c r="AK20" i="9"/>
  <c r="AC55" i="8"/>
  <c r="AK62" i="9"/>
  <c r="AK35" i="9"/>
  <c r="AK22" i="9"/>
  <c r="AI22" i="9"/>
  <c r="AJ22" i="9"/>
  <c r="AE111" i="8"/>
  <c r="AG100" i="8"/>
  <c r="AG101" i="8"/>
  <c r="AE101" i="8"/>
  <c r="AG102" i="8"/>
  <c r="AE102" i="8"/>
  <c r="AP128" i="8"/>
  <c r="AR128" i="8"/>
  <c r="AS128" i="8"/>
  <c r="AJ128" i="8"/>
  <c r="AQ128" i="8"/>
  <c r="U76" i="8"/>
  <c r="U78" i="8" s="1"/>
  <c r="AO101" i="8"/>
  <c r="AU101" i="8" s="1"/>
  <c r="AC121" i="8"/>
  <c r="AP102" i="8"/>
  <c r="AK102" i="8"/>
  <c r="AJ102" i="8"/>
  <c r="AI102" i="8"/>
  <c r="AS102" i="8"/>
  <c r="AU102" i="8" s="1"/>
  <c r="AR102" i="8"/>
  <c r="AH102" i="8"/>
  <c r="AQ101" i="8"/>
  <c r="AP101" i="8"/>
  <c r="AR101" i="8"/>
  <c r="N17" i="8"/>
  <c r="L71" i="9"/>
  <c r="S76" i="8"/>
  <c r="S78" i="8" s="1"/>
  <c r="P71" i="9"/>
  <c r="AH71" i="9"/>
  <c r="T71" i="9"/>
  <c r="AJ71" i="9"/>
  <c r="V71" i="9"/>
  <c r="AF31" i="9"/>
  <c r="Z41" i="9"/>
  <c r="Y121" i="8"/>
  <c r="Y41" i="9"/>
  <c r="AK41" i="9"/>
  <c r="Z52" i="9"/>
  <c r="Z55" i="9" s="1"/>
  <c r="AD52" i="9"/>
  <c r="AD55" i="9" s="1"/>
  <c r="Q121" i="8"/>
  <c r="AB62" i="9"/>
  <c r="M121" i="8"/>
  <c r="AJ62" i="9"/>
  <c r="AG62" i="9"/>
  <c r="AF62" i="9"/>
  <c r="AA62" i="9"/>
  <c r="AE62" i="9"/>
  <c r="X69" i="8"/>
  <c r="P69" i="8"/>
  <c r="K69" i="8"/>
  <c r="K76" i="8" s="1"/>
  <c r="K78" i="8" s="1"/>
  <c r="W69" i="8"/>
  <c r="V69" i="8"/>
  <c r="Y69" i="8"/>
  <c r="AI20" i="9"/>
  <c r="AD21" i="9"/>
  <c r="Y31" i="9"/>
  <c r="AH20" i="9"/>
  <c r="Y26" i="9"/>
  <c r="AE21" i="9"/>
  <c r="AF15" i="9"/>
  <c r="AF27" i="9" s="1"/>
  <c r="AA26" i="9"/>
  <c r="AF21" i="9"/>
  <c r="AE36" i="9"/>
  <c r="AC38" i="9"/>
  <c r="AE15" i="9"/>
  <c r="AE27" i="9" s="1"/>
  <c r="AG20" i="9"/>
  <c r="AH36" i="9"/>
  <c r="AI35" i="9"/>
  <c r="AK38" i="9"/>
  <c r="AC21" i="9"/>
  <c r="AB21" i="9"/>
  <c r="Z21" i="9"/>
  <c r="AI15" i="9"/>
  <c r="AI27" i="9" s="1"/>
  <c r="AD62" i="9"/>
  <c r="Y38" i="9"/>
  <c r="AF36" i="9"/>
  <c r="AC37" i="9"/>
  <c r="AK137" i="8"/>
  <c r="AI21" i="9"/>
  <c r="AH21" i="9"/>
  <c r="AJ21" i="9"/>
  <c r="AB15" i="9"/>
  <c r="AB27" i="9" s="1"/>
  <c r="AA15" i="9"/>
  <c r="AA27" i="9" s="1"/>
  <c r="Z26" i="9"/>
  <c r="AJ35" i="9"/>
  <c r="AH15" i="9"/>
  <c r="AH27" i="9" s="1"/>
  <c r="AD15" i="9"/>
  <c r="AD27" i="9" s="1"/>
  <c r="AH62" i="9"/>
  <c r="AC20" i="9"/>
  <c r="AB20" i="9"/>
  <c r="AE20" i="9"/>
  <c r="AD20" i="9"/>
  <c r="AG36" i="9"/>
  <c r="Z15" i="9"/>
  <c r="Z27" i="9" s="1"/>
  <c r="AH35" i="9"/>
  <c r="AA20" i="9"/>
  <c r="AS89" i="8"/>
  <c r="AD36" i="9"/>
  <c r="AJ137" i="8"/>
  <c r="AL99" i="8"/>
  <c r="AN99" i="8"/>
  <c r="AM99" i="8"/>
  <c r="AH137" i="8"/>
  <c r="AI137" i="8"/>
  <c r="AC35" i="9"/>
  <c r="X23" i="8"/>
  <c r="X28" i="8"/>
  <c r="T23" i="8"/>
  <c r="N76" i="8"/>
  <c r="N78" i="8" s="1"/>
  <c r="P23" i="8"/>
  <c r="O23" i="8"/>
  <c r="W23" i="8"/>
  <c r="Q23" i="8"/>
  <c r="U23" i="8"/>
  <c r="M23" i="8"/>
  <c r="AC78" i="8" l="1"/>
  <c r="AC86" i="8"/>
  <c r="AC36" i="8"/>
  <c r="AC39" i="8"/>
  <c r="M86" i="8"/>
  <c r="M39" i="8"/>
  <c r="M36" i="8"/>
  <c r="K33" i="8"/>
  <c r="K36" i="8"/>
  <c r="K39" i="8"/>
  <c r="Z63" i="9"/>
  <c r="Y11" i="9"/>
  <c r="Y17" i="9" s="1"/>
  <c r="Y23" i="9" s="1"/>
  <c r="Y28" i="9" s="1"/>
  <c r="W17" i="9"/>
  <c r="W23" i="9" s="1"/>
  <c r="W28" i="9" s="1"/>
  <c r="K86" i="8"/>
  <c r="K103" i="8" s="1"/>
  <c r="K130" i="8" s="1"/>
  <c r="K29" i="8"/>
  <c r="L28" i="8"/>
  <c r="L32" i="8" s="1"/>
  <c r="AC29" i="8"/>
  <c r="R17" i="8"/>
  <c r="S28" i="8"/>
  <c r="S23" i="8"/>
  <c r="AU26" i="8"/>
  <c r="AS78" i="8"/>
  <c r="AS22" i="8"/>
  <c r="AS23" i="8" s="1"/>
  <c r="AI37" i="9"/>
  <c r="AJ37" i="9"/>
  <c r="AH37" i="9"/>
  <c r="AM37" i="9"/>
  <c r="AE37" i="9"/>
  <c r="AF37" i="9"/>
  <c r="AD37" i="9"/>
  <c r="R76" i="8"/>
  <c r="R78" i="8" s="1"/>
  <c r="AJ36" i="9"/>
  <c r="AR137" i="8"/>
  <c r="AD63" i="9"/>
  <c r="W76" i="8"/>
  <c r="W78" i="8" s="1"/>
  <c r="AE63" i="9"/>
  <c r="AI36" i="9"/>
  <c r="P76" i="8"/>
  <c r="P78" i="8" s="1"/>
  <c r="AG63" i="9"/>
  <c r="X76" i="8"/>
  <c r="X78" i="8" s="1"/>
  <c r="AF63" i="9"/>
  <c r="Z6" i="9"/>
  <c r="Z11" i="9" s="1"/>
  <c r="AF6" i="9"/>
  <c r="V17" i="8"/>
  <c r="AP111" i="8"/>
  <c r="AR111" i="8"/>
  <c r="AQ111" i="8"/>
  <c r="AS111" i="8"/>
  <c r="AM22" i="9"/>
  <c r="AG23" i="8"/>
  <c r="AE22" i="8"/>
  <c r="AE28" i="8" s="1"/>
  <c r="AE32" i="8" s="1"/>
  <c r="AF100" i="8"/>
  <c r="N121" i="8"/>
  <c r="AM20" i="9"/>
  <c r="AF111" i="8"/>
  <c r="AE100" i="8"/>
  <c r="AM15" i="9"/>
  <c r="AG121" i="8"/>
  <c r="AF17" i="8"/>
  <c r="AF22" i="8"/>
  <c r="AG111" i="8"/>
  <c r="AG32" i="8"/>
  <c r="AG29" i="8"/>
  <c r="AI128" i="8"/>
  <c r="AJ121" i="8"/>
  <c r="AN128" i="8"/>
  <c r="AK128" i="8"/>
  <c r="AH128" i="8"/>
  <c r="AJ38" i="9"/>
  <c r="X29" i="8"/>
  <c r="X32" i="8"/>
  <c r="T32" i="8"/>
  <c r="AS17" i="8"/>
  <c r="AR121" i="8"/>
  <c r="AS121" i="8"/>
  <c r="AC33" i="8"/>
  <c r="AD31" i="9"/>
  <c r="AN111" i="8"/>
  <c r="AE31" i="9"/>
  <c r="AG31" i="9"/>
  <c r="AP121" i="8"/>
  <c r="R121" i="8"/>
  <c r="AF42" i="9"/>
  <c r="AE42" i="9"/>
  <c r="AG42" i="9"/>
  <c r="AD42" i="9"/>
  <c r="Y42" i="9"/>
  <c r="AC42" i="9"/>
  <c r="AH121" i="8"/>
  <c r="AI41" i="9"/>
  <c r="AJ41" i="9"/>
  <c r="AC41" i="9"/>
  <c r="AN121" i="8"/>
  <c r="AI121" i="8"/>
  <c r="AH41" i="9"/>
  <c r="AA41" i="9"/>
  <c r="AB41" i="9"/>
  <c r="AQ121" i="8"/>
  <c r="Z121" i="8"/>
  <c r="Y76" i="8"/>
  <c r="Y78" i="8" s="1"/>
  <c r="V76" i="8"/>
  <c r="V78" i="8" s="1"/>
  <c r="AN89" i="8"/>
  <c r="AI38" i="9"/>
  <c r="AL89" i="8"/>
  <c r="AO89" i="8"/>
  <c r="AU89" i="8" s="1"/>
  <c r="AM89" i="8"/>
  <c r="AH38" i="9"/>
  <c r="AO111" i="8"/>
  <c r="AM111" i="8"/>
  <c r="AL111" i="8"/>
  <c r="AB35" i="9"/>
  <c r="AA35" i="9"/>
  <c r="Y35" i="9"/>
  <c r="Z35" i="9"/>
  <c r="AB37" i="9"/>
  <c r="AA37" i="9"/>
  <c r="Y37" i="9"/>
  <c r="Z37" i="9"/>
  <c r="AB38" i="9"/>
  <c r="Z38" i="9"/>
  <c r="AA38" i="9"/>
  <c r="AC36" i="9"/>
  <c r="AA36" i="9"/>
  <c r="AB36" i="9"/>
  <c r="Z36" i="9"/>
  <c r="AF35" i="9"/>
  <c r="AE35" i="9"/>
  <c r="AG35" i="9"/>
  <c r="AM35" i="9" s="1"/>
  <c r="AD35" i="9"/>
  <c r="AR89" i="8"/>
  <c r="AQ89" i="8"/>
  <c r="AP89" i="8"/>
  <c r="AG38" i="9"/>
  <c r="AM38" i="9" s="1"/>
  <c r="AD38" i="9"/>
  <c r="AE38" i="9"/>
  <c r="AF26" i="9"/>
  <c r="AD26" i="9"/>
  <c r="AE26" i="9"/>
  <c r="AC26" i="9"/>
  <c r="AG26" i="9"/>
  <c r="AF38" i="9"/>
  <c r="AK111" i="8"/>
  <c r="AI111" i="8"/>
  <c r="AJ111" i="8"/>
  <c r="AH111" i="8"/>
  <c r="V23" i="8"/>
  <c r="V28" i="8"/>
  <c r="N23" i="8"/>
  <c r="N28" i="8"/>
  <c r="N32" i="8" s="1"/>
  <c r="R28" i="8"/>
  <c r="R23" i="8"/>
  <c r="T29" i="8"/>
  <c r="O103" i="8"/>
  <c r="O130" i="8" s="1"/>
  <c r="O29" i="8"/>
  <c r="P29" i="8"/>
  <c r="P103" i="8"/>
  <c r="P130" i="8" s="1"/>
  <c r="M29" i="8"/>
  <c r="Q103" i="8"/>
  <c r="Q130" i="8" s="1"/>
  <c r="Q29" i="8"/>
  <c r="U103" i="8"/>
  <c r="U29" i="8"/>
  <c r="W103" i="8"/>
  <c r="W130" i="8" s="1"/>
  <c r="W29" i="8"/>
  <c r="AE36" i="8" l="1"/>
  <c r="AE39" i="8"/>
  <c r="AG36" i="8"/>
  <c r="AG39" i="8"/>
  <c r="T39" i="8"/>
  <c r="T36" i="8"/>
  <c r="L86" i="8"/>
  <c r="L103" i="8" s="1"/>
  <c r="L130" i="8" s="1"/>
  <c r="L39" i="8"/>
  <c r="L36" i="8"/>
  <c r="X86" i="8"/>
  <c r="X103" i="8" s="1"/>
  <c r="X130" i="8" s="1"/>
  <c r="X39" i="8"/>
  <c r="X36" i="8"/>
  <c r="N86" i="8"/>
  <c r="N36" i="8"/>
  <c r="N39" i="8"/>
  <c r="L29" i="8"/>
  <c r="AF11" i="9"/>
  <c r="AF17" i="9" s="1"/>
  <c r="W18" i="9"/>
  <c r="W24" i="9"/>
  <c r="Z17" i="9"/>
  <c r="Z23" i="9" s="1"/>
  <c r="Z28" i="9" s="1"/>
  <c r="AC6" i="9"/>
  <c r="AG6" i="9"/>
  <c r="AE6" i="9"/>
  <c r="AD6" i="9"/>
  <c r="AD11" i="9" s="1"/>
  <c r="AB6" i="9"/>
  <c r="AJ9" i="10"/>
  <c r="AA6" i="9"/>
  <c r="S32" i="8"/>
  <c r="S29" i="8"/>
  <c r="AS28" i="8"/>
  <c r="AS32" i="8" s="1"/>
  <c r="AU35" i="8"/>
  <c r="AU111" i="8"/>
  <c r="AK36" i="9"/>
  <c r="AM36" i="9" s="1"/>
  <c r="AS137" i="8"/>
  <c r="T86" i="8"/>
  <c r="T103" i="8" s="1"/>
  <c r="T130" i="8" s="1"/>
  <c r="AK9" i="10"/>
  <c r="AH9" i="10"/>
  <c r="AI9" i="10"/>
  <c r="AG9" i="10"/>
  <c r="AF9" i="10"/>
  <c r="AE9" i="10"/>
  <c r="AD9" i="10"/>
  <c r="AC9" i="10"/>
  <c r="AB9" i="10"/>
  <c r="AA9" i="10"/>
  <c r="AE121" i="8"/>
  <c r="AE29" i="8"/>
  <c r="AE23" i="8"/>
  <c r="AF121" i="8"/>
  <c r="AJ31" i="9"/>
  <c r="AK31" i="9"/>
  <c r="AM31" i="9" s="1"/>
  <c r="AJ26" i="9"/>
  <c r="AK26" i="9"/>
  <c r="AJ42" i="9"/>
  <c r="AK42" i="9"/>
  <c r="W32" i="9"/>
  <c r="W29" i="9"/>
  <c r="M103" i="8"/>
  <c r="M130" i="8" s="1"/>
  <c r="AF23" i="8"/>
  <c r="AF28" i="8"/>
  <c r="AE33" i="8"/>
  <c r="AG33" i="8"/>
  <c r="AL128" i="8"/>
  <c r="AK121" i="8"/>
  <c r="AO128" i="8"/>
  <c r="AM128" i="8"/>
  <c r="L33" i="8"/>
  <c r="AI31" i="9"/>
  <c r="T33" i="8"/>
  <c r="R29" i="8"/>
  <c r="R32" i="8"/>
  <c r="V29" i="8"/>
  <c r="V32" i="8"/>
  <c r="AH31" i="9"/>
  <c r="AC31" i="9"/>
  <c r="AB31" i="9"/>
  <c r="AA31" i="9"/>
  <c r="Z31" i="9"/>
  <c r="AC103" i="8"/>
  <c r="AC130" i="8" s="1"/>
  <c r="AL121" i="8"/>
  <c r="U130" i="8"/>
  <c r="AH42" i="9"/>
  <c r="AI42" i="9"/>
  <c r="Z42" i="9"/>
  <c r="AA42" i="9"/>
  <c r="V121" i="8"/>
  <c r="AO121" i="8"/>
  <c r="AU121" i="8" s="1"/>
  <c r="AG41" i="9"/>
  <c r="AM121" i="8"/>
  <c r="AB42" i="9"/>
  <c r="Y18" i="9"/>
  <c r="AI26" i="9"/>
  <c r="AH26" i="9"/>
  <c r="N29" i="8"/>
  <c r="X33" i="8"/>
  <c r="O33" i="8"/>
  <c r="U33" i="8"/>
  <c r="W33" i="8"/>
  <c r="Q33" i="8"/>
  <c r="N33" i="8"/>
  <c r="M33" i="8"/>
  <c r="P33" i="8"/>
  <c r="AS33" i="8" l="1"/>
  <c r="AS36" i="8"/>
  <c r="AS39" i="8"/>
  <c r="V86" i="8"/>
  <c r="V36" i="8"/>
  <c r="V39" i="8"/>
  <c r="S39" i="8"/>
  <c r="S36" i="8"/>
  <c r="R86" i="8"/>
  <c r="R39" i="8"/>
  <c r="R36" i="8"/>
  <c r="AS29" i="8"/>
  <c r="AA11" i="9"/>
  <c r="AA17" i="9" s="1"/>
  <c r="AB11" i="9"/>
  <c r="AF12" i="9" s="1"/>
  <c r="AG11" i="9"/>
  <c r="AG17" i="9" s="1"/>
  <c r="AC11" i="9"/>
  <c r="AC17" i="9" s="1"/>
  <c r="AE11" i="9"/>
  <c r="AE17" i="9" s="1"/>
  <c r="Z18" i="9"/>
  <c r="AM26" i="9"/>
  <c r="AD17" i="9"/>
  <c r="AD23" i="9" s="1"/>
  <c r="AD28" i="9" s="1"/>
  <c r="AD12" i="9"/>
  <c r="AH6" i="9"/>
  <c r="AJ6" i="9"/>
  <c r="AJ11" i="9" s="1"/>
  <c r="AK6" i="9"/>
  <c r="AK11" i="9" s="1"/>
  <c r="AI6" i="9"/>
  <c r="AI11" i="9" s="1"/>
  <c r="S86" i="8"/>
  <c r="S103" i="8" s="1"/>
  <c r="S130" i="8" s="1"/>
  <c r="S33" i="8"/>
  <c r="AF18" i="9"/>
  <c r="AF23" i="9"/>
  <c r="W33" i="9"/>
  <c r="W39" i="9"/>
  <c r="W47" i="9" s="1"/>
  <c r="AF29" i="8"/>
  <c r="AF32" i="8"/>
  <c r="Z32" i="9"/>
  <c r="Z80" i="9" s="1"/>
  <c r="Z24" i="9"/>
  <c r="Z29" i="9"/>
  <c r="AD41" i="9"/>
  <c r="AE41" i="9"/>
  <c r="AF41" i="9"/>
  <c r="Y32" i="9"/>
  <c r="Y80" i="9" s="1"/>
  <c r="Y24" i="9"/>
  <c r="R33" i="8"/>
  <c r="V33" i="8"/>
  <c r="AF36" i="8" l="1"/>
  <c r="AF39" i="8"/>
  <c r="AE12" i="9"/>
  <c r="AG12" i="9"/>
  <c r="AC12" i="9"/>
  <c r="AB17" i="9"/>
  <c r="AB18" i="9" s="1"/>
  <c r="AE23" i="9"/>
  <c r="AE28" i="9" s="1"/>
  <c r="AE32" i="9" s="1"/>
  <c r="AE81" i="9" s="1" a="1"/>
  <c r="AE81" i="9" s="1"/>
  <c r="AE18" i="9"/>
  <c r="AG23" i="9"/>
  <c r="AG24" i="9" s="1"/>
  <c r="AG18" i="9"/>
  <c r="AC23" i="9"/>
  <c r="AC24" i="9" s="1"/>
  <c r="AC18" i="9"/>
  <c r="AA18" i="9"/>
  <c r="AA23" i="9"/>
  <c r="AA28" i="9" s="1"/>
  <c r="AA32" i="9" s="1"/>
  <c r="AH11" i="9"/>
  <c r="AH17" i="9" s="1"/>
  <c r="AD18" i="9"/>
  <c r="AF24" i="9"/>
  <c r="AF28" i="9"/>
  <c r="AF32" i="9" s="1"/>
  <c r="AF80" i="9" s="1"/>
  <c r="AD24" i="9"/>
  <c r="AI12" i="9"/>
  <c r="AI17" i="9"/>
  <c r="AI23" i="9" s="1"/>
  <c r="AI28" i="9" s="1"/>
  <c r="AM6" i="9"/>
  <c r="AK17" i="9"/>
  <c r="W48" i="9"/>
  <c r="AF33" i="8"/>
  <c r="Z33" i="9"/>
  <c r="Z81" i="9" a="1"/>
  <c r="Z81" i="9" s="1"/>
  <c r="Z82" i="9" a="1"/>
  <c r="Z82" i="9" s="1"/>
  <c r="Z78" i="9"/>
  <c r="Z79" i="9"/>
  <c r="Z39" i="9"/>
  <c r="AD29" i="9"/>
  <c r="AD32" i="9"/>
  <c r="Y29" i="9"/>
  <c r="AL86" i="8"/>
  <c r="V103" i="8"/>
  <c r="V130" i="8" s="1"/>
  <c r="AM86" i="8"/>
  <c r="AN86" i="8"/>
  <c r="AB23" i="9" l="1"/>
  <c r="AB28" i="9" s="1"/>
  <c r="AE24" i="9"/>
  <c r="AG28" i="9"/>
  <c r="AG32" i="9" s="1"/>
  <c r="AG80" i="9" s="1"/>
  <c r="AH12" i="9"/>
  <c r="AA24" i="9"/>
  <c r="AC28" i="9"/>
  <c r="AC32" i="9" s="1"/>
  <c r="AA29" i="9"/>
  <c r="AA80" i="9"/>
  <c r="AA39" i="9"/>
  <c r="AA79" i="9"/>
  <c r="AA82" i="9" a="1"/>
  <c r="AA82" i="9" s="1"/>
  <c r="AA78" i="9"/>
  <c r="AA33" i="9"/>
  <c r="AA81" i="9" a="1"/>
  <c r="AA81" i="9" s="1"/>
  <c r="AI18" i="9"/>
  <c r="AB24" i="9"/>
  <c r="AH23" i="9"/>
  <c r="AH28" i="9" s="1"/>
  <c r="AH18" i="9"/>
  <c r="AM11" i="9"/>
  <c r="AK12" i="9"/>
  <c r="AM12" i="9" s="1"/>
  <c r="AG29" i="9"/>
  <c r="AG79" i="9"/>
  <c r="AG78" i="9"/>
  <c r="AG33" i="9"/>
  <c r="AE29" i="9"/>
  <c r="AE78" i="9"/>
  <c r="AE82" i="9" a="1"/>
  <c r="AE82" i="9" s="1"/>
  <c r="AE79" i="9"/>
  <c r="AG82" i="9" a="1"/>
  <c r="AG82" i="9" s="1"/>
  <c r="AE33" i="9"/>
  <c r="AG81" i="9" a="1"/>
  <c r="AG81" i="9" s="1"/>
  <c r="AE80" i="9"/>
  <c r="AE39" i="9"/>
  <c r="AF82" i="9" a="1"/>
  <c r="AF82" i="9" s="1"/>
  <c r="AF29" i="9"/>
  <c r="AI24" i="9"/>
  <c r="AM130" i="8"/>
  <c r="AN130" i="8"/>
  <c r="AL130" i="8"/>
  <c r="AD82" i="9" a="1"/>
  <c r="AD82" i="9" s="1"/>
  <c r="AD80" i="9"/>
  <c r="AD81" i="9" a="1"/>
  <c r="AD81" i="9" s="1"/>
  <c r="AD79" i="9"/>
  <c r="AF79" i="9"/>
  <c r="AF78" i="9"/>
  <c r="AF81" i="9" a="1"/>
  <c r="AF81" i="9" s="1"/>
  <c r="AD33" i="9"/>
  <c r="AF39" i="9"/>
  <c r="AD39" i="9"/>
  <c r="AF33" i="9"/>
  <c r="AD78" i="9"/>
  <c r="Y33" i="9"/>
  <c r="Y78" i="9"/>
  <c r="Y79" i="9"/>
  <c r="Y82" i="9" a="1"/>
  <c r="Y82" i="9" s="1"/>
  <c r="Y39" i="9"/>
  <c r="Y81" i="9" a="1"/>
  <c r="Y81" i="9" s="1"/>
  <c r="B83" i="8"/>
  <c r="B82" i="8"/>
  <c r="I83" i="8"/>
  <c r="H83" i="8"/>
  <c r="G83" i="8"/>
  <c r="F83" i="8"/>
  <c r="E83" i="8"/>
  <c r="D83" i="8"/>
  <c r="C83" i="8"/>
  <c r="I82" i="8"/>
  <c r="H82" i="8"/>
  <c r="G82" i="8"/>
  <c r="F82" i="8"/>
  <c r="E82" i="8"/>
  <c r="D82" i="8"/>
  <c r="C82" i="8"/>
  <c r="B43" i="8"/>
  <c r="B42" i="8"/>
  <c r="AR43" i="8"/>
  <c r="AQ43" i="8"/>
  <c r="AP43" i="8"/>
  <c r="AN43" i="8"/>
  <c r="AM43" i="8"/>
  <c r="AL43" i="8"/>
  <c r="AJ43" i="8"/>
  <c r="AI43" i="8"/>
  <c r="AH43" i="8"/>
  <c r="AO43" i="8"/>
  <c r="AK43" i="8"/>
  <c r="AR42" i="8"/>
  <c r="AQ42" i="8"/>
  <c r="AP42" i="8"/>
  <c r="AO42" i="8"/>
  <c r="AN42" i="8"/>
  <c r="AM42" i="8"/>
  <c r="AL42" i="8"/>
  <c r="AK42" i="8"/>
  <c r="AJ42" i="8"/>
  <c r="AI42" i="8"/>
  <c r="AH42" i="8"/>
  <c r="AG39" i="9" l="1"/>
  <c r="AC29" i="9"/>
  <c r="AB32" i="9"/>
  <c r="AB29" i="9"/>
  <c r="AK23" i="9"/>
  <c r="AK28" i="9" s="1"/>
  <c r="AK18" i="9"/>
  <c r="AM18" i="9" s="1"/>
  <c r="AM17" i="9"/>
  <c r="AH24" i="9"/>
  <c r="AC80" i="9"/>
  <c r="AC39" i="9"/>
  <c r="AC78" i="9"/>
  <c r="AC81" i="9" a="1"/>
  <c r="AC81" i="9" s="1"/>
  <c r="AC82" i="9" a="1"/>
  <c r="AC82" i="9" s="1"/>
  <c r="AC33" i="9"/>
  <c r="AC79" i="9"/>
  <c r="AI32" i="9"/>
  <c r="AI29" i="9"/>
  <c r="AH82" i="8"/>
  <c r="AK82" i="8"/>
  <c r="AL82" i="8"/>
  <c r="AL83" i="8"/>
  <c r="AO82" i="8"/>
  <c r="AP82" i="8"/>
  <c r="AK83" i="8"/>
  <c r="AP83" i="8"/>
  <c r="AQ83" i="8"/>
  <c r="AN82" i="8"/>
  <c r="AI82" i="8"/>
  <c r="AQ82" i="8"/>
  <c r="AN83" i="8"/>
  <c r="AM83" i="8"/>
  <c r="AJ82" i="8"/>
  <c r="AR82" i="8"/>
  <c r="AO83" i="8"/>
  <c r="AH83" i="8"/>
  <c r="AI83" i="8"/>
  <c r="AM82" i="8"/>
  <c r="AJ83" i="8"/>
  <c r="AR83" i="8"/>
  <c r="AB80" i="9" l="1"/>
  <c r="AB78" i="9"/>
  <c r="AB79" i="9"/>
  <c r="AB33" i="9"/>
  <c r="AB82" i="9" a="1"/>
  <c r="AB82" i="9" s="1"/>
  <c r="AB81" i="9" a="1"/>
  <c r="AB81" i="9" s="1"/>
  <c r="AB39" i="9"/>
  <c r="AH32" i="9"/>
  <c r="AH29" i="9"/>
  <c r="AK24" i="9"/>
  <c r="AM24" i="9" s="1"/>
  <c r="AM23" i="9"/>
  <c r="AI80" i="9"/>
  <c r="AI33" i="9"/>
  <c r="AI82" i="9" a="1"/>
  <c r="AI82" i="9" s="1"/>
  <c r="AI39" i="9"/>
  <c r="AI81" i="9" a="1"/>
  <c r="AI81" i="9" s="1"/>
  <c r="AI78" i="9"/>
  <c r="AI79" i="9"/>
  <c r="AM28" i="9" l="1"/>
  <c r="AK29" i="9"/>
  <c r="AM29" i="9" s="1"/>
  <c r="AK32" i="9"/>
  <c r="AH80" i="9"/>
  <c r="AH79" i="9"/>
  <c r="AH39" i="9"/>
  <c r="AH81" i="9" a="1"/>
  <c r="AH81" i="9" s="1"/>
  <c r="AH33" i="9"/>
  <c r="AH82" i="9" a="1"/>
  <c r="AH82" i="9" s="1"/>
  <c r="AH78" i="9"/>
  <c r="AK80" i="9" l="1"/>
  <c r="AM32" i="9"/>
  <c r="AK81" i="9" a="1"/>
  <c r="AK81" i="9" s="1"/>
  <c r="AK33" i="9"/>
  <c r="AM33" i="9" s="1"/>
  <c r="AK79" i="9"/>
  <c r="AK78" i="9"/>
  <c r="AK82" i="9" a="1"/>
  <c r="AK82" i="9" s="1"/>
  <c r="AK39" i="9"/>
  <c r="AM39" i="9" s="1"/>
  <c r="C69" i="8" l="1"/>
  <c r="C126" i="8"/>
  <c r="D75" i="8"/>
  <c r="C75" i="8"/>
  <c r="D69" i="8"/>
  <c r="D49" i="8"/>
  <c r="D55" i="8" s="1"/>
  <c r="C49" i="8"/>
  <c r="C55" i="8" s="1"/>
  <c r="D11" i="8"/>
  <c r="D16" i="8" s="1"/>
  <c r="C11" i="8"/>
  <c r="C16" i="8" s="1"/>
  <c r="H14" i="10"/>
  <c r="G14" i="10"/>
  <c r="F14" i="10"/>
  <c r="E14" i="10"/>
  <c r="X14" i="10"/>
  <c r="X15" i="10" s="1"/>
  <c r="W14" i="10"/>
  <c r="V14" i="10"/>
  <c r="U14" i="10"/>
  <c r="T14" i="10"/>
  <c r="T15" i="10" s="1"/>
  <c r="S14" i="10"/>
  <c r="S15" i="10" s="1"/>
  <c r="R14" i="10"/>
  <c r="R15" i="10" s="1"/>
  <c r="Q14" i="10"/>
  <c r="Q15" i="10" s="1"/>
  <c r="P14" i="10"/>
  <c r="P15" i="10" s="1"/>
  <c r="O14" i="10"/>
  <c r="O15" i="10" s="1"/>
  <c r="N14" i="10"/>
  <c r="N15" i="10" s="1"/>
  <c r="M14" i="10"/>
  <c r="M15" i="10" s="1"/>
  <c r="L14" i="10"/>
  <c r="L15" i="10" s="1"/>
  <c r="K14" i="10"/>
  <c r="K15" i="10" s="1"/>
  <c r="I14" i="10"/>
  <c r="Z75" i="8"/>
  <c r="AB75" i="8"/>
  <c r="AJ73" i="9" l="1"/>
  <c r="AH73" i="9"/>
  <c r="AH74" i="9" s="1"/>
  <c r="AH83" i="9" s="1"/>
  <c r="C15" i="10"/>
  <c r="D15" i="10"/>
  <c r="AA49" i="8"/>
  <c r="AA55" i="8" s="1"/>
  <c r="C22" i="8"/>
  <c r="D22" i="8"/>
  <c r="F17" i="9"/>
  <c r="Q17" i="9"/>
  <c r="O17" i="9"/>
  <c r="J17" i="9"/>
  <c r="R17" i="9"/>
  <c r="K17" i="9"/>
  <c r="C17" i="9"/>
  <c r="L17" i="9"/>
  <c r="D17" i="9"/>
  <c r="I17" i="9"/>
  <c r="M17" i="9"/>
  <c r="U17" i="9"/>
  <c r="G17" i="9"/>
  <c r="E17" i="9"/>
  <c r="D76" i="8"/>
  <c r="D78" i="8" s="1"/>
  <c r="C76" i="8"/>
  <c r="C78" i="8" s="1"/>
  <c r="T17" i="9"/>
  <c r="P17" i="9"/>
  <c r="N17" i="9"/>
  <c r="AA75" i="8"/>
  <c r="W12" i="9" l="1"/>
  <c r="S17" i="9"/>
  <c r="W13" i="9"/>
  <c r="V17" i="9"/>
  <c r="AI73" i="9"/>
  <c r="AI74" i="9" s="1"/>
  <c r="AI83" i="9" s="1"/>
  <c r="D28" i="8"/>
  <c r="D32" i="8" s="1"/>
  <c r="C23" i="8"/>
  <c r="AI62" i="9"/>
  <c r="D17" i="8"/>
  <c r="C17" i="8"/>
  <c r="AJ74" i="9"/>
  <c r="AJ83" i="9" s="1"/>
  <c r="AJ17" i="9"/>
  <c r="D23" i="8" l="1"/>
  <c r="C28" i="8"/>
  <c r="C32" i="8" s="1"/>
  <c r="D29" i="8"/>
  <c r="D33" i="8"/>
  <c r="D86" i="8"/>
  <c r="C33" i="8" l="1"/>
  <c r="C86" i="8"/>
  <c r="C103" i="8" s="1"/>
  <c r="C29" i="8"/>
  <c r="D103" i="8"/>
  <c r="D130" i="8" s="1"/>
  <c r="C130" i="8" l="1"/>
  <c r="C131" i="8" s="1"/>
  <c r="C133" i="8" s="1"/>
  <c r="D124" i="8" l="1"/>
  <c r="D126" i="8" s="1"/>
  <c r="D131" i="8" s="1"/>
  <c r="D133" i="8" s="1"/>
  <c r="E124" i="8" l="1"/>
  <c r="E126" i="8" s="1"/>
  <c r="AM11" i="8"/>
  <c r="H49" i="8"/>
  <c r="H55" i="8" s="1"/>
  <c r="G49" i="8"/>
  <c r="G55" i="8" s="1"/>
  <c r="F49" i="8"/>
  <c r="F55" i="8" s="1"/>
  <c r="E49" i="8"/>
  <c r="E55" i="8" s="1"/>
  <c r="I49" i="8"/>
  <c r="I55" i="8" s="1"/>
  <c r="AM16" i="8" l="1"/>
  <c r="AH63" i="8"/>
  <c r="AH69" i="8" s="1"/>
  <c r="AH49" i="8"/>
  <c r="AH55" i="8" s="1"/>
  <c r="AH75" i="8"/>
  <c r="AJ75" i="8"/>
  <c r="AN11" i="8"/>
  <c r="AN49" i="8"/>
  <c r="AN55" i="8" s="1"/>
  <c r="AN75" i="8"/>
  <c r="AK75" i="8"/>
  <c r="AL49" i="8"/>
  <c r="AL55" i="8" s="1"/>
  <c r="AN63" i="8"/>
  <c r="AN69" i="8" s="1"/>
  <c r="AM63" i="8"/>
  <c r="AM69" i="8" s="1"/>
  <c r="AI63" i="8"/>
  <c r="AI69" i="8" s="1"/>
  <c r="AK11" i="8"/>
  <c r="AI49" i="8"/>
  <c r="AI55" i="8" s="1"/>
  <c r="AM49" i="8"/>
  <c r="AM55" i="8" s="1"/>
  <c r="AL75" i="8"/>
  <c r="AL11" i="8"/>
  <c r="AJ49" i="8"/>
  <c r="AJ55" i="8" s="1"/>
  <c r="AJ63" i="8"/>
  <c r="AJ69" i="8" s="1"/>
  <c r="AL63" i="8"/>
  <c r="AL69" i="8" s="1"/>
  <c r="AM75" i="8"/>
  <c r="AI75" i="8"/>
  <c r="AP75" i="8"/>
  <c r="AP49" i="8"/>
  <c r="AP55" i="8" s="1"/>
  <c r="AQ75" i="8"/>
  <c r="AP11" i="8"/>
  <c r="AP16" i="8" s="1"/>
  <c r="AP69" i="8"/>
  <c r="AQ69" i="8"/>
  <c r="AO11" i="8"/>
  <c r="AO16" i="8" s="1"/>
  <c r="AQ11" i="8"/>
  <c r="AQ16" i="8" s="1"/>
  <c r="AQ49" i="8"/>
  <c r="AQ55" i="8" s="1"/>
  <c r="AL16" i="8" l="1"/>
  <c r="AK16" i="8"/>
  <c r="AN16" i="8"/>
  <c r="AU11" i="8"/>
  <c r="AM22" i="8"/>
  <c r="AM28" i="8" s="1"/>
  <c r="AM32" i="8" s="1"/>
  <c r="AJ23" i="9"/>
  <c r="AJ28" i="9" s="1"/>
  <c r="AG14" i="10"/>
  <c r="AG15" i="10" s="1"/>
  <c r="AH14" i="10"/>
  <c r="AH15" i="10" s="1"/>
  <c r="AH76" i="8"/>
  <c r="AH78" i="8" s="1"/>
  <c r="C23" i="9"/>
  <c r="C28" i="9" s="1"/>
  <c r="AN76" i="8"/>
  <c r="AN78" i="8" s="1"/>
  <c r="AL76" i="8"/>
  <c r="AL78" i="8" s="1"/>
  <c r="AJ76" i="8"/>
  <c r="AJ78" i="8" s="1"/>
  <c r="AM76" i="8"/>
  <c r="AM78" i="8" s="1"/>
  <c r="AI76" i="8"/>
  <c r="AI78" i="8" s="1"/>
  <c r="AM17" i="8"/>
  <c r="AP76" i="8"/>
  <c r="AP78" i="8" s="1"/>
  <c r="AU16" i="8"/>
  <c r="AQ76" i="8"/>
  <c r="AQ78" i="8" s="1"/>
  <c r="AM39" i="8" l="1"/>
  <c r="AM36" i="8"/>
  <c r="AO22" i="8"/>
  <c r="AK22" i="8"/>
  <c r="AK28" i="8" s="1"/>
  <c r="AK32" i="8" s="1"/>
  <c r="AP22" i="8"/>
  <c r="AP28" i="8" s="1"/>
  <c r="AP32" i="8" s="1"/>
  <c r="AL22" i="8"/>
  <c r="AL23" i="8" s="1"/>
  <c r="AN22" i="8"/>
  <c r="AN28" i="8" s="1"/>
  <c r="AN32" i="8" s="1"/>
  <c r="AM23" i="8"/>
  <c r="AQ22" i="8"/>
  <c r="AQ23" i="8" s="1"/>
  <c r="AP17" i="8"/>
  <c r="AO17" i="8"/>
  <c r="AU17" i="8" s="1"/>
  <c r="AL17" i="8"/>
  <c r="AQ17" i="8"/>
  <c r="AN17" i="8"/>
  <c r="AJ18" i="9"/>
  <c r="AE14" i="10"/>
  <c r="AE15" i="10" s="1"/>
  <c r="AF14" i="10"/>
  <c r="AF15" i="10" s="1"/>
  <c r="AI14" i="10"/>
  <c r="AI15" i="10" s="1"/>
  <c r="AK14" i="10"/>
  <c r="AK15" i="10" s="1"/>
  <c r="AD14" i="10"/>
  <c r="AD15" i="10" s="1"/>
  <c r="C18" i="9"/>
  <c r="AM29" i="8"/>
  <c r="AK17" i="8"/>
  <c r="AP39" i="8" l="1"/>
  <c r="AP36" i="8"/>
  <c r="AN39" i="8"/>
  <c r="AN36" i="8"/>
  <c r="AK36" i="8"/>
  <c r="AK39" i="8"/>
  <c r="AO28" i="8"/>
  <c r="AO29" i="8" s="1"/>
  <c r="AU29" i="8" s="1"/>
  <c r="AU22" i="8"/>
  <c r="C24" i="9"/>
  <c r="C32" i="9"/>
  <c r="C80" i="9" s="1"/>
  <c r="C29" i="9"/>
  <c r="AK23" i="8"/>
  <c r="AP23" i="8"/>
  <c r="AO23" i="8"/>
  <c r="AU23" i="8" s="1"/>
  <c r="AN23" i="8"/>
  <c r="AL28" i="8"/>
  <c r="AL32" i="8" s="1"/>
  <c r="AQ28" i="8"/>
  <c r="AQ32" i="8" s="1"/>
  <c r="AC14" i="10"/>
  <c r="AC15" i="10" s="1"/>
  <c r="AB14" i="10"/>
  <c r="AK29" i="8"/>
  <c r="AP29" i="8"/>
  <c r="AJ32" i="9"/>
  <c r="AJ80" i="9" s="1"/>
  <c r="AJ24" i="9"/>
  <c r="AA14" i="10"/>
  <c r="AJ14" i="10"/>
  <c r="AM14" i="10"/>
  <c r="AM9" i="10"/>
  <c r="AM33" i="8"/>
  <c r="AK33" i="8"/>
  <c r="AN29" i="8"/>
  <c r="AL33" i="8" l="1"/>
  <c r="AL39" i="8"/>
  <c r="AL36" i="8"/>
  <c r="AQ39" i="8"/>
  <c r="AQ36" i="8"/>
  <c r="AO32" i="8"/>
  <c r="AU28" i="8"/>
  <c r="C39" i="9"/>
  <c r="C48" i="9" s="1"/>
  <c r="C79" i="9"/>
  <c r="C78" i="9"/>
  <c r="C81" i="9" a="1"/>
  <c r="C81" i="9" s="1"/>
  <c r="C33" i="9"/>
  <c r="C82" i="9" a="1"/>
  <c r="C82" i="9" s="1"/>
  <c r="AL29" i="8"/>
  <c r="AQ29" i="8"/>
  <c r="AJ29" i="9"/>
  <c r="AN33" i="8"/>
  <c r="AP33" i="8"/>
  <c r="AQ33" i="8"/>
  <c r="AU32" i="8" l="1"/>
  <c r="AO36" i="8"/>
  <c r="AU36" i="8" s="1"/>
  <c r="AO39" i="8"/>
  <c r="AU39" i="8" s="1"/>
  <c r="AO33" i="8"/>
  <c r="AU33" i="8" s="1"/>
  <c r="AJ82" i="9" a="1"/>
  <c r="AJ82" i="9" s="1"/>
  <c r="AJ33" i="9"/>
  <c r="AJ81" i="9" a="1"/>
  <c r="AJ81" i="9" s="1"/>
  <c r="AJ78" i="9"/>
  <c r="AJ79" i="9"/>
  <c r="AJ39" i="9"/>
  <c r="AK63" i="8" l="1"/>
  <c r="AO69" i="8"/>
  <c r="AU69" i="8" s="1"/>
  <c r="AK69" i="8" l="1"/>
  <c r="AK76" i="8" s="1"/>
  <c r="E75" i="8" l="1"/>
  <c r="E11" i="8"/>
  <c r="E16" i="8" s="1"/>
  <c r="Y11" i="8"/>
  <c r="I11" i="8"/>
  <c r="I16" i="8" s="1"/>
  <c r="H11" i="8"/>
  <c r="H16" i="8" s="1"/>
  <c r="G11" i="8"/>
  <c r="G16" i="8" s="1"/>
  <c r="F11" i="8"/>
  <c r="F16" i="8" s="1"/>
  <c r="I75" i="8"/>
  <c r="H75" i="8"/>
  <c r="G75" i="8"/>
  <c r="F75" i="8"/>
  <c r="AB69" i="8"/>
  <c r="Z69" i="8"/>
  <c r="AR11" i="8"/>
  <c r="AR16" i="8" s="1"/>
  <c r="U74" i="9"/>
  <c r="U83" i="9" s="1"/>
  <c r="M74" i="9"/>
  <c r="M83" i="9" s="1"/>
  <c r="D12" i="9"/>
  <c r="Y16" i="8" l="1"/>
  <c r="AJ15" i="10"/>
  <c r="G15" i="10"/>
  <c r="U15" i="10"/>
  <c r="I15" i="10"/>
  <c r="H15" i="10"/>
  <c r="F15" i="10"/>
  <c r="E15" i="10"/>
  <c r="F69" i="8"/>
  <c r="H69" i="8"/>
  <c r="E69" i="8"/>
  <c r="G69" i="8"/>
  <c r="C74" i="9"/>
  <c r="C83" i="9" s="1"/>
  <c r="N74" i="9"/>
  <c r="N83" i="9" s="1"/>
  <c r="V74" i="9"/>
  <c r="V83" i="9" s="1"/>
  <c r="E74" i="9"/>
  <c r="E83" i="9" s="1"/>
  <c r="O74" i="9"/>
  <c r="O83" i="9" s="1"/>
  <c r="AH63" i="9"/>
  <c r="AJ63" i="9"/>
  <c r="E22" i="8"/>
  <c r="K74" i="9"/>
  <c r="G74" i="9"/>
  <c r="G83" i="9" s="1"/>
  <c r="J74" i="9"/>
  <c r="O23" i="9"/>
  <c r="O28" i="9" s="1"/>
  <c r="M12" i="9"/>
  <c r="U12" i="9"/>
  <c r="F74" i="9"/>
  <c r="F83" i="9" s="1"/>
  <c r="I74" i="9"/>
  <c r="U13" i="9"/>
  <c r="AO75" i="8"/>
  <c r="H22" i="8"/>
  <c r="G22" i="8"/>
  <c r="Y22" i="8"/>
  <c r="I22" i="8"/>
  <c r="AB22" i="8"/>
  <c r="F22" i="8"/>
  <c r="AA69" i="8"/>
  <c r="AR69" i="8"/>
  <c r="AR75" i="8"/>
  <c r="G23" i="9"/>
  <c r="G28" i="9" s="1"/>
  <c r="G12" i="9"/>
  <c r="E23" i="9"/>
  <c r="E28" i="9" s="1"/>
  <c r="E12" i="9"/>
  <c r="F23" i="9"/>
  <c r="F28" i="9" s="1"/>
  <c r="F12" i="9"/>
  <c r="M13" i="9"/>
  <c r="Q74" i="9"/>
  <c r="Q83" i="9" s="1"/>
  <c r="D23" i="9"/>
  <c r="D28" i="9" s="1"/>
  <c r="R74" i="9"/>
  <c r="R83" i="9" s="1"/>
  <c r="S74" i="9"/>
  <c r="S83" i="9" s="1"/>
  <c r="D74" i="9"/>
  <c r="D83" i="9" s="1"/>
  <c r="AO76" i="8" l="1"/>
  <c r="AU76" i="8" s="1"/>
  <c r="AU75" i="8"/>
  <c r="G76" i="8"/>
  <c r="G78" i="8" s="1"/>
  <c r="AB28" i="8"/>
  <c r="AB32" i="8" s="1"/>
  <c r="I28" i="8"/>
  <c r="I32" i="8" s="1"/>
  <c r="I86" i="8" s="1"/>
  <c r="Y23" i="8"/>
  <c r="E28" i="8"/>
  <c r="E32" i="8" s="1"/>
  <c r="F28" i="8"/>
  <c r="F32" i="8" s="1"/>
  <c r="G28" i="8"/>
  <c r="G32" i="8" s="1"/>
  <c r="H23" i="8"/>
  <c r="F76" i="8"/>
  <c r="F78" i="8" s="1"/>
  <c r="Y17" i="8"/>
  <c r="F17" i="8"/>
  <c r="E17" i="8"/>
  <c r="T74" i="9"/>
  <c r="T83" i="9" s="1"/>
  <c r="Z76" i="8"/>
  <c r="Z78" i="8" s="1"/>
  <c r="AO49" i="8"/>
  <c r="AU49" i="8" s="1"/>
  <c r="AK49" i="8"/>
  <c r="AB76" i="8"/>
  <c r="AB78" i="8" s="1"/>
  <c r="H76" i="8"/>
  <c r="H78" i="8" s="1"/>
  <c r="I76" i="8"/>
  <c r="I78" i="8" s="1"/>
  <c r="E76" i="8"/>
  <c r="E78" i="8" s="1"/>
  <c r="AI63" i="9"/>
  <c r="P74" i="9"/>
  <c r="P83" i="9" s="1"/>
  <c r="L74" i="9"/>
  <c r="L83" i="9" s="1"/>
  <c r="P13" i="9"/>
  <c r="T12" i="9"/>
  <c r="Q12" i="9"/>
  <c r="R13" i="9"/>
  <c r="T23" i="9"/>
  <c r="T28" i="9" s="1"/>
  <c r="O13" i="9"/>
  <c r="Q13" i="9"/>
  <c r="N13" i="9"/>
  <c r="R23" i="9"/>
  <c r="R28" i="9" s="1"/>
  <c r="P23" i="9"/>
  <c r="P28" i="9" s="1"/>
  <c r="J13" i="9"/>
  <c r="R12" i="9"/>
  <c r="N12" i="9"/>
  <c r="J23" i="9"/>
  <c r="J28" i="9" s="1"/>
  <c r="P12" i="9"/>
  <c r="AR49" i="8"/>
  <c r="AR55" i="8" s="1"/>
  <c r="H17" i="8"/>
  <c r="I17" i="8"/>
  <c r="G17" i="8"/>
  <c r="AR22" i="8"/>
  <c r="AB17" i="8"/>
  <c r="O18" i="9"/>
  <c r="F18" i="9"/>
  <c r="S12" i="9"/>
  <c r="S23" i="9"/>
  <c r="S28" i="9" s="1"/>
  <c r="S13" i="9"/>
  <c r="K23" i="9"/>
  <c r="K28" i="9" s="1"/>
  <c r="K13" i="9"/>
  <c r="U23" i="9"/>
  <c r="U28" i="9" s="1"/>
  <c r="AJ12" i="9"/>
  <c r="N23" i="9"/>
  <c r="N28" i="9" s="1"/>
  <c r="T13" i="9"/>
  <c r="D18" i="9"/>
  <c r="V12" i="9"/>
  <c r="V23" i="9"/>
  <c r="V28" i="9" s="1"/>
  <c r="V13" i="9"/>
  <c r="L23" i="9"/>
  <c r="L28" i="9" s="1"/>
  <c r="L13" i="9"/>
  <c r="O12" i="9"/>
  <c r="M23" i="9"/>
  <c r="M28" i="9" s="1"/>
  <c r="G18" i="9"/>
  <c r="Q23" i="9"/>
  <c r="Q28" i="9" s="1"/>
  <c r="E18" i="9"/>
  <c r="I23" i="9"/>
  <c r="I28" i="9" s="1"/>
  <c r="I36" i="8" l="1"/>
  <c r="I39" i="8"/>
  <c r="AB86" i="8"/>
  <c r="AB36" i="8"/>
  <c r="AB39" i="8"/>
  <c r="E36" i="8"/>
  <c r="E39" i="8"/>
  <c r="F36" i="8"/>
  <c r="F39" i="8"/>
  <c r="G36" i="8"/>
  <c r="G39" i="8"/>
  <c r="J18" i="9"/>
  <c r="R18" i="9"/>
  <c r="R24" i="9"/>
  <c r="AB23" i="8"/>
  <c r="I23" i="8"/>
  <c r="F23" i="8"/>
  <c r="E23" i="8"/>
  <c r="H28" i="8"/>
  <c r="H32" i="8" s="1"/>
  <c r="Y28" i="8"/>
  <c r="Y32" i="8" s="1"/>
  <c r="G23" i="8"/>
  <c r="AK55" i="8"/>
  <c r="AK78" i="8" s="1"/>
  <c r="AO55" i="8"/>
  <c r="AR28" i="8"/>
  <c r="AR32" i="8" s="1"/>
  <c r="E86" i="8"/>
  <c r="G29" i="8"/>
  <c r="AB29" i="8"/>
  <c r="AR23" i="8"/>
  <c r="I29" i="8"/>
  <c r="E29" i="8"/>
  <c r="AR76" i="8"/>
  <c r="AA76" i="8"/>
  <c r="AA78" i="8" s="1"/>
  <c r="T18" i="9"/>
  <c r="P18" i="9"/>
  <c r="J24" i="9"/>
  <c r="I33" i="8"/>
  <c r="I103" i="8"/>
  <c r="I130" i="8" s="1"/>
  <c r="F29" i="8"/>
  <c r="AR17" i="8"/>
  <c r="I18" i="9"/>
  <c r="E32" i="9"/>
  <c r="E80" i="9" s="1"/>
  <c r="E24" i="9"/>
  <c r="D32" i="9"/>
  <c r="D80" i="9" s="1"/>
  <c r="D24" i="9"/>
  <c r="K18" i="9"/>
  <c r="Q18" i="9"/>
  <c r="L18" i="9"/>
  <c r="F32" i="9"/>
  <c r="F80" i="9" s="1"/>
  <c r="F24" i="9"/>
  <c r="O32" i="9"/>
  <c r="O24" i="9"/>
  <c r="V18" i="9"/>
  <c r="S18" i="9"/>
  <c r="T32" i="9"/>
  <c r="T24" i="9"/>
  <c r="P24" i="9"/>
  <c r="P32" i="9"/>
  <c r="G24" i="9"/>
  <c r="G32" i="9"/>
  <c r="G80" i="9" s="1"/>
  <c r="U18" i="9"/>
  <c r="M18" i="9"/>
  <c r="N18" i="9"/>
  <c r="AR36" i="8" l="1"/>
  <c r="AR39" i="8"/>
  <c r="H86" i="8"/>
  <c r="H103" i="8" s="1"/>
  <c r="H130" i="8" s="1"/>
  <c r="H39" i="8"/>
  <c r="H36" i="8"/>
  <c r="Y39" i="8"/>
  <c r="Y36" i="8"/>
  <c r="AO78" i="8"/>
  <c r="AU55" i="8"/>
  <c r="Y86" i="8"/>
  <c r="Y103" i="8" s="1"/>
  <c r="Y130" i="8" s="1"/>
  <c r="H29" i="8"/>
  <c r="H33" i="8"/>
  <c r="Y29" i="8"/>
  <c r="E103" i="8"/>
  <c r="E130" i="8" s="1"/>
  <c r="G33" i="8"/>
  <c r="G86" i="8"/>
  <c r="E33" i="8"/>
  <c r="AB103" i="8"/>
  <c r="AB130" i="8" s="1"/>
  <c r="AB33" i="8"/>
  <c r="F86" i="8"/>
  <c r="F33" i="8"/>
  <c r="AR78" i="8"/>
  <c r="R32" i="9"/>
  <c r="J32" i="9"/>
  <c r="AR29" i="8"/>
  <c r="Y33" i="8"/>
  <c r="G29" i="9"/>
  <c r="N32" i="9"/>
  <c r="N24" i="9"/>
  <c r="T29" i="9"/>
  <c r="F29" i="9"/>
  <c r="D29" i="9"/>
  <c r="O29" i="9"/>
  <c r="S24" i="9"/>
  <c r="S32" i="9"/>
  <c r="E29" i="9"/>
  <c r="U32" i="9"/>
  <c r="U24" i="9"/>
  <c r="Q24" i="9"/>
  <c r="Q32" i="9"/>
  <c r="M32" i="9"/>
  <c r="M24" i="9"/>
  <c r="P29" i="9"/>
  <c r="L32" i="9"/>
  <c r="L24" i="9"/>
  <c r="K24" i="9"/>
  <c r="K32" i="9"/>
  <c r="V32" i="9"/>
  <c r="V24" i="9"/>
  <c r="I24" i="9"/>
  <c r="I32" i="9"/>
  <c r="AO86" i="8" l="1"/>
  <c r="W82" i="9" a="1"/>
  <c r="W82" i="9" s="1"/>
  <c r="W78" i="9"/>
  <c r="W79" i="9"/>
  <c r="W80" i="9" a="1"/>
  <c r="W80" i="9" s="1"/>
  <c r="W81" i="9" a="1"/>
  <c r="W81" i="9" s="1"/>
  <c r="AO130" i="8"/>
  <c r="Q80" i="9" a="1"/>
  <c r="Q80" i="9" s="1"/>
  <c r="P80" i="9" a="1"/>
  <c r="P80" i="9" s="1"/>
  <c r="V80" i="9" a="1"/>
  <c r="V80" i="9" s="1"/>
  <c r="L80" i="9" a="1"/>
  <c r="L80" i="9" s="1"/>
  <c r="N80" i="9" a="1"/>
  <c r="N80" i="9" s="1"/>
  <c r="U80" i="9" a="1"/>
  <c r="U80" i="9" s="1"/>
  <c r="T80" i="9" a="1"/>
  <c r="T80" i="9" s="1"/>
  <c r="M80" i="9" a="1"/>
  <c r="M80" i="9" s="1"/>
  <c r="R80" i="9" a="1"/>
  <c r="R80" i="9" s="1"/>
  <c r="O80" i="9" a="1"/>
  <c r="O80" i="9" s="1"/>
  <c r="S80" i="9" a="1"/>
  <c r="S80" i="9" s="1"/>
  <c r="G103" i="8"/>
  <c r="G130" i="8" s="1"/>
  <c r="F103" i="8"/>
  <c r="F130" i="8" s="1"/>
  <c r="AN103" i="8"/>
  <c r="R29" i="9"/>
  <c r="J29" i="9"/>
  <c r="AO103" i="8"/>
  <c r="M29" i="9"/>
  <c r="Q29" i="9"/>
  <c r="R82" i="9" a="1"/>
  <c r="R82" i="9" s="1"/>
  <c r="J39" i="9"/>
  <c r="J47" i="9" s="1"/>
  <c r="J33" i="9"/>
  <c r="N29" i="9"/>
  <c r="D81" i="9" a="1"/>
  <c r="D81" i="9" s="1"/>
  <c r="D82" i="9" a="1"/>
  <c r="D82" i="9" s="1"/>
  <c r="D39" i="9"/>
  <c r="D47" i="9" s="1"/>
  <c r="D33" i="9"/>
  <c r="D79" i="9"/>
  <c r="D78" i="9"/>
  <c r="F82" i="9" a="1"/>
  <c r="F82" i="9" s="1"/>
  <c r="F81" i="9" a="1"/>
  <c r="F81" i="9" s="1"/>
  <c r="F33" i="9"/>
  <c r="F39" i="9"/>
  <c r="F47" i="9" s="1"/>
  <c r="F78" i="9"/>
  <c r="F79" i="9"/>
  <c r="G81" i="9" a="1"/>
  <c r="G81" i="9" s="1"/>
  <c r="G82" i="9" a="1"/>
  <c r="G82" i="9" s="1"/>
  <c r="G33" i="9"/>
  <c r="G79" i="9"/>
  <c r="G39" i="9"/>
  <c r="G47" i="9" s="1"/>
  <c r="G78" i="9"/>
  <c r="R33" i="9"/>
  <c r="R39" i="9"/>
  <c r="R47" i="9" s="1"/>
  <c r="V29" i="9"/>
  <c r="L29" i="9"/>
  <c r="U29" i="9"/>
  <c r="P39" i="9"/>
  <c r="P47" i="9" s="1"/>
  <c r="P33" i="9"/>
  <c r="O39" i="9"/>
  <c r="O47" i="9" s="1"/>
  <c r="O33" i="9"/>
  <c r="S29" i="9"/>
  <c r="I29" i="9"/>
  <c r="K29" i="9"/>
  <c r="E82" i="9" a="1"/>
  <c r="E82" i="9" s="1"/>
  <c r="E39" i="9"/>
  <c r="E47" i="9" s="1"/>
  <c r="E33" i="9"/>
  <c r="E81" i="9" a="1"/>
  <c r="E81" i="9" s="1"/>
  <c r="E79" i="9"/>
  <c r="E78" i="9"/>
  <c r="T33" i="9"/>
  <c r="T39" i="9"/>
  <c r="T47" i="9" s="1"/>
  <c r="N103" i="8" l="1"/>
  <c r="N130" i="8" s="1"/>
  <c r="AG86" i="8"/>
  <c r="AG103" i="8" s="1"/>
  <c r="AF86" i="8"/>
  <c r="AF103" i="8" s="1"/>
  <c r="AE86" i="8"/>
  <c r="AE103" i="8" s="1"/>
  <c r="R103" i="8"/>
  <c r="R130" i="8" s="1"/>
  <c r="AI86" i="8"/>
  <c r="AJ86" i="8"/>
  <c r="AK86" i="8"/>
  <c r="AK103" i="8" s="1"/>
  <c r="AH86" i="8"/>
  <c r="AL103" i="8"/>
  <c r="AM103" i="8"/>
  <c r="AR33" i="8"/>
  <c r="R81" i="9" a="1"/>
  <c r="R81" i="9" s="1"/>
  <c r="D48" i="9"/>
  <c r="U81" i="9" a="1"/>
  <c r="U81" i="9" s="1"/>
  <c r="S81" i="9" a="1"/>
  <c r="S81" i="9" s="1"/>
  <c r="U79" i="9"/>
  <c r="N82" i="9" a="1"/>
  <c r="N82" i="9" s="1"/>
  <c r="N81" i="9" a="1"/>
  <c r="N81" i="9" s="1"/>
  <c r="N78" i="9"/>
  <c r="K39" i="9"/>
  <c r="K47" i="9" s="1"/>
  <c r="K33" i="9"/>
  <c r="N79" i="9"/>
  <c r="M81" i="9" a="1"/>
  <c r="M81" i="9" s="1"/>
  <c r="Q39" i="9"/>
  <c r="Q47" i="9" s="1"/>
  <c r="T81" i="9" a="1"/>
  <c r="T81" i="9" s="1"/>
  <c r="T82" i="9" a="1"/>
  <c r="T82" i="9" s="1"/>
  <c r="Q33" i="9"/>
  <c r="T78" i="9"/>
  <c r="T79" i="9"/>
  <c r="I39" i="9"/>
  <c r="I47" i="9" s="1"/>
  <c r="L81" i="9" a="1"/>
  <c r="L81" i="9" s="1"/>
  <c r="L82" i="9" a="1"/>
  <c r="L82" i="9" s="1"/>
  <c r="I33" i="9"/>
  <c r="L78" i="9"/>
  <c r="L79" i="9"/>
  <c r="R79" i="9"/>
  <c r="S78" i="9"/>
  <c r="G48" i="9"/>
  <c r="J48" i="9"/>
  <c r="R78" i="9"/>
  <c r="O81" i="9" a="1"/>
  <c r="O81" i="9" s="1"/>
  <c r="L39" i="9"/>
  <c r="L47" i="9" s="1"/>
  <c r="L33" i="9"/>
  <c r="O82" i="9" a="1"/>
  <c r="O82" i="9" s="1"/>
  <c r="O78" i="9"/>
  <c r="O79" i="9"/>
  <c r="F48" i="9"/>
  <c r="M78" i="9"/>
  <c r="U39" i="9"/>
  <c r="U47" i="9" s="1"/>
  <c r="U33" i="9"/>
  <c r="Q82" i="9" a="1"/>
  <c r="Q82" i="9" s="1"/>
  <c r="N39" i="9"/>
  <c r="N47" i="9" s="1"/>
  <c r="N33" i="9"/>
  <c r="Q81" i="9" a="1"/>
  <c r="Q81" i="9" s="1"/>
  <c r="Q78" i="9"/>
  <c r="Q79" i="9"/>
  <c r="S82" i="9" a="1"/>
  <c r="S82" i="9" s="1"/>
  <c r="U78" i="9"/>
  <c r="M82" i="9" a="1"/>
  <c r="M82" i="9" s="1"/>
  <c r="E48" i="9"/>
  <c r="V82" i="9" a="1"/>
  <c r="V82" i="9" s="1"/>
  <c r="V81" i="9" a="1"/>
  <c r="V81" i="9" s="1"/>
  <c r="V78" i="9"/>
  <c r="S33" i="9"/>
  <c r="S39" i="9"/>
  <c r="S47" i="9" s="1"/>
  <c r="V79" i="9"/>
  <c r="T48" i="9"/>
  <c r="U82" i="9" a="1"/>
  <c r="U82" i="9" s="1"/>
  <c r="P81" i="9" a="1"/>
  <c r="P81" i="9" s="1"/>
  <c r="P82" i="9" a="1"/>
  <c r="P82" i="9" s="1"/>
  <c r="M39" i="9"/>
  <c r="M47" i="9" s="1"/>
  <c r="M33" i="9"/>
  <c r="P78" i="9"/>
  <c r="P79" i="9"/>
  <c r="S79" i="9"/>
  <c r="V33" i="9"/>
  <c r="V39" i="9"/>
  <c r="V47" i="9" s="1"/>
  <c r="M79" i="9"/>
  <c r="AK47" i="9" l="1"/>
  <c r="AK48" i="9" s="1"/>
  <c r="AG130" i="8"/>
  <c r="AE130" i="8"/>
  <c r="AF130" i="8"/>
  <c r="AK130" i="8"/>
  <c r="AI130" i="8"/>
  <c r="AJ130" i="8"/>
  <c r="AH130" i="8"/>
  <c r="AE47" i="9"/>
  <c r="AE48" i="9" s="1"/>
  <c r="AA47" i="9"/>
  <c r="AA48" i="9" s="1"/>
  <c r="AH47" i="9"/>
  <c r="AH48" i="9" s="1"/>
  <c r="AG47" i="9"/>
  <c r="AG48" i="9" s="1"/>
  <c r="AD47" i="9"/>
  <c r="AD48" i="9" s="1"/>
  <c r="AJ47" i="9"/>
  <c r="AJ48" i="9" s="1"/>
  <c r="AC47" i="9"/>
  <c r="AC48" i="9" s="1"/>
  <c r="AF47" i="9"/>
  <c r="AF48" i="9" s="1"/>
  <c r="AB47" i="9"/>
  <c r="AB48" i="9" s="1"/>
  <c r="AI47" i="9"/>
  <c r="AI48" i="9" s="1"/>
  <c r="U48" i="9"/>
  <c r="V48" i="9"/>
  <c r="S48" i="9"/>
  <c r="K48" i="9"/>
  <c r="R48" i="9"/>
  <c r="M48" i="9"/>
  <c r="O48" i="9"/>
  <c r="P48" i="9"/>
  <c r="I48" i="9" l="1"/>
  <c r="Z47" i="9"/>
  <c r="Z48" i="9" s="1"/>
  <c r="Y47" i="9"/>
  <c r="Y48" i="9" s="1"/>
  <c r="N48" i="9"/>
  <c r="Q48" i="9"/>
  <c r="L48" i="9"/>
  <c r="E131" i="8" l="1"/>
  <c r="E133" i="8" s="1"/>
  <c r="K124" i="8" l="1"/>
  <c r="F124" i="8"/>
  <c r="F126" i="8" s="1"/>
  <c r="F131" i="8" s="1"/>
  <c r="F133" i="8" s="1"/>
  <c r="G124" i="8" l="1"/>
  <c r="G126" i="8" s="1"/>
  <c r="G131" i="8" s="1"/>
  <c r="G133" i="8" s="1"/>
  <c r="H124" i="8" l="1"/>
  <c r="H126" i="8" s="1"/>
  <c r="H131" i="8" s="1"/>
  <c r="H133" i="8" s="1"/>
  <c r="I124" i="8" l="1"/>
  <c r="I126" i="8" s="1"/>
  <c r="I131" i="8" s="1"/>
  <c r="I133" i="8" s="1"/>
  <c r="K126" i="8" l="1"/>
  <c r="K131" i="8" s="1"/>
  <c r="K133" i="8" s="1"/>
  <c r="AE124" i="8" l="1"/>
  <c r="AE126" i="8" s="1"/>
  <c r="AE133" i="8" s="1"/>
  <c r="L124" i="8"/>
  <c r="L126" i="8" s="1"/>
  <c r="L131" i="8" s="1"/>
  <c r="L133" i="8" s="1"/>
  <c r="AF124" i="8" l="1"/>
  <c r="AF126" i="8" s="1"/>
  <c r="AF133" i="8" s="1"/>
  <c r="M124" i="8"/>
  <c r="M126" i="8" s="1"/>
  <c r="M131" i="8" s="1"/>
  <c r="M133" i="8" s="1"/>
  <c r="AG124" i="8" l="1"/>
  <c r="AG126" i="8" s="1"/>
  <c r="AG133" i="8" s="1"/>
  <c r="N124" i="8"/>
  <c r="N126" i="8" s="1"/>
  <c r="N131" i="8" s="1"/>
  <c r="N133" i="8" s="1"/>
  <c r="AH124" i="8" l="1"/>
  <c r="O124" i="8"/>
  <c r="O126" i="8" s="1"/>
  <c r="O131" i="8" s="1"/>
  <c r="O133" i="8" s="1"/>
  <c r="AI124" i="8" l="1"/>
  <c r="P124" i="8"/>
  <c r="P126" i="8" s="1"/>
  <c r="P131" i="8" s="1"/>
  <c r="P133" i="8" s="1"/>
  <c r="AJ124" i="8" l="1"/>
  <c r="Q124" i="8"/>
  <c r="Q126" i="8" s="1"/>
  <c r="Q131" i="8" s="1"/>
  <c r="Q133" i="8" s="1"/>
  <c r="AK124" i="8" l="1"/>
  <c r="R124" i="8"/>
  <c r="R126" i="8" s="1"/>
  <c r="R131" i="8" s="1"/>
  <c r="R133" i="8" s="1"/>
  <c r="AL124" i="8" l="1"/>
  <c r="AH126" i="8"/>
  <c r="S124" i="8"/>
  <c r="S126" i="8" s="1"/>
  <c r="S131" i="8" s="1"/>
  <c r="S133" i="8" s="1"/>
  <c r="AM124" i="8" l="1"/>
  <c r="T124" i="8"/>
  <c r="T126" i="8" s="1"/>
  <c r="T131" i="8" s="1"/>
  <c r="T133" i="8" s="1"/>
  <c r="AN124" i="8" l="1"/>
  <c r="U124" i="8"/>
  <c r="U126" i="8" s="1"/>
  <c r="U131" i="8" s="1"/>
  <c r="U133" i="8" s="1"/>
  <c r="AO124" i="8" l="1"/>
  <c r="V124" i="8"/>
  <c r="V126" i="8" s="1"/>
  <c r="V131" i="8" s="1"/>
  <c r="V133" i="8" s="1"/>
  <c r="AP124" i="8" l="1"/>
  <c r="W124" i="8"/>
  <c r="W126" i="8" s="1"/>
  <c r="W131" i="8" s="1"/>
  <c r="W133" i="8" s="1"/>
  <c r="AQ124" i="8" l="1"/>
  <c r="AM126" i="8"/>
  <c r="AM133" i="8" s="1"/>
  <c r="X124" i="8"/>
  <c r="X126" i="8" s="1"/>
  <c r="X131" i="8" s="1"/>
  <c r="X133" i="8" s="1"/>
  <c r="AR124" i="8" l="1"/>
  <c r="AN126" i="8"/>
  <c r="AN133" i="8" s="1"/>
  <c r="Y124" i="8"/>
  <c r="Y126" i="8" s="1"/>
  <c r="Y131" i="8" s="1"/>
  <c r="Y133" i="8" s="1"/>
  <c r="AS124" i="8" l="1"/>
  <c r="AO126" i="8"/>
  <c r="AO133" i="8" s="1"/>
  <c r="AI126" i="8"/>
  <c r="Z124" i="8"/>
  <c r="Z126" i="8" s="1"/>
  <c r="AA11" i="8" l="1"/>
  <c r="AA16" i="8" l="1"/>
  <c r="AA22" i="8" s="1"/>
  <c r="W15" i="10"/>
  <c r="AA28" i="8" l="1"/>
  <c r="AA32" i="8" s="1"/>
  <c r="AA17" i="8"/>
  <c r="AA86" i="8" l="1"/>
  <c r="AA36" i="8"/>
  <c r="AA39" i="8"/>
  <c r="AA23" i="8"/>
  <c r="AA29" i="8"/>
  <c r="AA33" i="8" l="1"/>
  <c r="AA103" i="8" l="1"/>
  <c r="AA130" i="8" s="1"/>
  <c r="AJ103" i="8"/>
  <c r="AH11" i="8"/>
  <c r="AH16" i="8" s="1"/>
  <c r="AJ11" i="8"/>
  <c r="AJ16" i="8" s="1"/>
  <c r="Z11" i="8"/>
  <c r="AI11" i="8"/>
  <c r="AI16" i="8" l="1"/>
  <c r="Z16" i="8"/>
  <c r="Z22" i="8" s="1"/>
  <c r="AB15" i="10"/>
  <c r="AA15" i="10"/>
  <c r="V15" i="10"/>
  <c r="AJ22" i="8"/>
  <c r="AH22" i="8"/>
  <c r="Z17" i="8" l="1"/>
  <c r="Z28" i="8"/>
  <c r="Z32" i="8" s="1"/>
  <c r="AI22" i="8"/>
  <c r="AI23" i="8" s="1"/>
  <c r="AI17" i="8"/>
  <c r="AJ28" i="8"/>
  <c r="AJ32" i="8" s="1"/>
  <c r="AJ17" i="8"/>
  <c r="AH17" i="8"/>
  <c r="AH28" i="8"/>
  <c r="AH32" i="8" s="1"/>
  <c r="AH39" i="8" l="1"/>
  <c r="AH36" i="8"/>
  <c r="AJ39" i="8"/>
  <c r="AJ36" i="8"/>
  <c r="Z86" i="8"/>
  <c r="Z39" i="8"/>
  <c r="Z36" i="8"/>
  <c r="AI28" i="8"/>
  <c r="AI32" i="8" s="1"/>
  <c r="Z23" i="8"/>
  <c r="Z29" i="8"/>
  <c r="AH23" i="8"/>
  <c r="AJ23" i="8"/>
  <c r="AI39" i="8" l="1"/>
  <c r="AI36" i="8"/>
  <c r="AI29" i="8"/>
  <c r="Z33" i="8"/>
  <c r="AS86" i="8"/>
  <c r="AJ29" i="8"/>
  <c r="AH29" i="8"/>
  <c r="AI33" i="8"/>
  <c r="AS103" i="8" l="1"/>
  <c r="AU103" i="8" s="1"/>
  <c r="AU86" i="8"/>
  <c r="AR86" i="8"/>
  <c r="AP86" i="8"/>
  <c r="AP103" i="8" s="1"/>
  <c r="AQ86" i="8"/>
  <c r="AQ103" i="8" s="1"/>
  <c r="AI103" i="8"/>
  <c r="AI133" i="8" s="1"/>
  <c r="Z103" i="8"/>
  <c r="Z130" i="8" s="1"/>
  <c r="AH103" i="8"/>
  <c r="AH33" i="8"/>
  <c r="AJ33" i="8"/>
  <c r="Z131" i="8" l="1"/>
  <c r="Z133" i="8" s="1"/>
  <c r="AS130" i="8"/>
  <c r="AR130" i="8"/>
  <c r="AQ130" i="8"/>
  <c r="AP130" i="8"/>
  <c r="AH133" i="8"/>
  <c r="AP126" i="8"/>
  <c r="AR103" i="8"/>
  <c r="AJ126" i="8"/>
  <c r="AJ133" i="8" s="1"/>
  <c r="AA124" i="8" l="1"/>
  <c r="AA126" i="8" s="1"/>
  <c r="AA131" i="8" s="1"/>
  <c r="AA133" i="8" s="1"/>
  <c r="AP133" i="8"/>
  <c r="AQ126" i="8"/>
  <c r="AQ133" i="8" s="1"/>
  <c r="AK126" i="8"/>
  <c r="AK133" i="8" s="1"/>
  <c r="AB124" i="8" l="1"/>
  <c r="AB126" i="8" s="1"/>
  <c r="AB131" i="8" s="1"/>
  <c r="AB133" i="8" s="1"/>
  <c r="AR126" i="8"/>
  <c r="AR133" i="8" s="1"/>
  <c r="AL126" i="8"/>
  <c r="AL133" i="8" s="1"/>
  <c r="AC124" i="8" l="1"/>
  <c r="AC126" i="8" s="1"/>
  <c r="AC131" i="8" s="1"/>
  <c r="AC133" i="8" s="1"/>
  <c r="AS126" i="8"/>
  <c r="AS133" i="8" s="1"/>
  <c r="I24" i="23" l="1"/>
  <c r="F24" i="23"/>
  <c r="J24" i="23"/>
  <c r="H24" i="23"/>
  <c r="G24" i="23"/>
  <c r="H26" i="23"/>
  <c r="F26" i="23"/>
  <c r="I26" i="23"/>
  <c r="G26" i="23"/>
  <c r="E26" i="23"/>
  <c r="J26" i="23"/>
  <c r="J42" i="23"/>
  <c r="E42" i="23"/>
  <c r="F42" i="23"/>
  <c r="H42" i="23"/>
  <c r="I42" i="23"/>
  <c r="G42" i="23"/>
  <c r="F40" i="23"/>
  <c r="I40" i="23"/>
  <c r="H40" i="23"/>
  <c r="E40" i="23"/>
  <c r="G40" i="23"/>
  <c r="J40" i="23"/>
  <c r="S40" i="23"/>
  <c r="Q40" i="23"/>
  <c r="N40" i="23"/>
  <c r="P40" i="23"/>
  <c r="R40" i="23"/>
  <c r="O40" i="23"/>
  <c r="Q42" i="23"/>
  <c r="R42" i="23"/>
  <c r="N42" i="23"/>
  <c r="P42" i="23"/>
  <c r="O42" i="23"/>
  <c r="S42" i="23"/>
  <c r="J66" i="27" l="1"/>
  <c r="L66" i="27"/>
  <c r="I66" i="27"/>
  <c r="H66" i="27"/>
  <c r="H72" i="27" l="1"/>
  <c r="H81" i="27" s="1"/>
  <c r="H82" i="27" s="1"/>
  <c r="H67" i="27"/>
  <c r="I67" i="27"/>
  <c r="I72" i="27"/>
  <c r="I81" i="27" s="1"/>
  <c r="I82" i="27" s="1"/>
  <c r="L72" i="27"/>
  <c r="L81" i="27" s="1"/>
  <c r="L67" i="27"/>
  <c r="K66" i="27"/>
  <c r="J72" i="27"/>
  <c r="J81" i="27" s="1"/>
  <c r="J82" i="27" s="1"/>
  <c r="J67" i="27"/>
  <c r="G66" i="27"/>
  <c r="L82" i="27" l="1"/>
  <c r="K21" i="27"/>
  <c r="C14" i="27"/>
  <c r="C15" i="27" s="1"/>
  <c r="G72" i="27"/>
  <c r="G81" i="27" s="1"/>
  <c r="G82" i="27" s="1"/>
  <c r="G67" i="27"/>
  <c r="K72" i="27"/>
  <c r="K81" i="27" s="1"/>
  <c r="K82" i="27" s="1"/>
  <c r="K67" i="27"/>
  <c r="C17" i="27" l="1"/>
  <c r="C21" i="27"/>
  <c r="C16" i="27"/>
  <c r="C18" i="27" l="1"/>
  <c r="C40" i="27" s="1"/>
  <c r="C42" i="27" s="1"/>
  <c r="C44" i="27" s="1"/>
  <c r="K17" i="27"/>
  <c r="K18" i="27" s="1"/>
  <c r="E40" i="27" l="1"/>
  <c r="E42" i="27" s="1"/>
  <c r="E44" i="27" s="1"/>
  <c r="K19" i="27"/>
  <c r="K20" i="27" s="1"/>
  <c r="C19" i="27"/>
  <c r="C20" i="2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<sst xmlns="http://schemas.openxmlformats.org/spreadsheetml/2006/main" count="1776" uniqueCount="758">
  <si>
    <t>FYE</t>
  </si>
  <si>
    <t>Quarterly</t>
  </si>
  <si>
    <t>1Q24</t>
  </si>
  <si>
    <t>2Q24</t>
  </si>
  <si>
    <t>3Q24</t>
  </si>
  <si>
    <t>4Q24</t>
  </si>
  <si>
    <t>1Q23</t>
  </si>
  <si>
    <t>2Q23</t>
  </si>
  <si>
    <t>3Q23</t>
  </si>
  <si>
    <t>4Q23</t>
  </si>
  <si>
    <t>LTM</t>
  </si>
  <si>
    <t>EBITDA</t>
  </si>
  <si>
    <t>Total Revenue</t>
  </si>
  <si>
    <t>Accounts payable</t>
  </si>
  <si>
    <t>Changes in assets and liabilities:</t>
  </si>
  <si>
    <t>Cash-Flows Statement</t>
  </si>
  <si>
    <t>Other current assets</t>
  </si>
  <si>
    <t>Total stockholders' equity</t>
  </si>
  <si>
    <t>Total Liabilities</t>
  </si>
  <si>
    <t>X</t>
  </si>
  <si>
    <t>Total Current Liabilities</t>
  </si>
  <si>
    <t>Common stock</t>
  </si>
  <si>
    <t>Total Current Assets</t>
  </si>
  <si>
    <t>Total Assets</t>
  </si>
  <si>
    <t>Gross Profit</t>
  </si>
  <si>
    <t>Total Debt</t>
  </si>
  <si>
    <t>Variance</t>
  </si>
  <si>
    <t>FCF Analysis</t>
  </si>
  <si>
    <t>1Q22</t>
  </si>
  <si>
    <t>2Q22</t>
  </si>
  <si>
    <t>3Q22</t>
  </si>
  <si>
    <t>4Q22</t>
  </si>
  <si>
    <t>1Q25</t>
  </si>
  <si>
    <t>2Q25</t>
  </si>
  <si>
    <t>Y/Y Growth (%)</t>
  </si>
  <si>
    <t>Q/Q Growth (%)</t>
  </si>
  <si>
    <t>N/A</t>
  </si>
  <si>
    <t>Gross Margin (%)</t>
  </si>
  <si>
    <t>Earning before Interest &amp; Taxes (EBIT)</t>
  </si>
  <si>
    <t>Operating Margin (%)</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</si>
  <si>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</si>
  <si>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</si>
  <si>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</si>
  <si>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</si>
  <si>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</si>
  <si>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</si>
  <si>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</si>
  <si>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</si>
  <si>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</si>
  <si>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</si>
  <si>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</si>
  <si>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</si>
  <si>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</si>
  <si>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Payable</t>
  </si>
  <si>
    <t>Current Liabilities</t>
  </si>
  <si>
    <t>Total Shareholder Equity</t>
  </si>
  <si>
    <t>Total Book Capitalization</t>
  </si>
  <si>
    <t>Debt-to-Book Capitalization</t>
  </si>
  <si>
    <t>Net loss</t>
  </si>
  <si>
    <t>Total liabilities and stockholders' equity</t>
  </si>
  <si>
    <t>Cash-Flows From Operating Activities</t>
  </si>
  <si>
    <t>Net income (loss)</t>
  </si>
  <si>
    <t>Net cash used in operating activities</t>
  </si>
  <si>
    <t>Cash flows from investing activities:</t>
  </si>
  <si>
    <t>Net cash used in investing activities</t>
  </si>
  <si>
    <t>Cash flows from financing activities:</t>
  </si>
  <si>
    <t>Net cash provided by financing activities</t>
  </si>
  <si>
    <t>Consolidated Revenue</t>
  </si>
  <si>
    <t>Adjustments to reconcile net income:</t>
  </si>
  <si>
    <t>Balance Check</t>
  </si>
  <si>
    <t>Net Change in Cash</t>
  </si>
  <si>
    <t>Cash paid during the period for:</t>
  </si>
  <si>
    <t xml:space="preserve">Provision for taxes </t>
  </si>
  <si>
    <t>3Q25</t>
  </si>
  <si>
    <t>Net Margin (%)</t>
  </si>
  <si>
    <t>Basic EPS</t>
  </si>
  <si>
    <t>Fully Diluted Shares</t>
  </si>
  <si>
    <t>Segment Anaysis</t>
  </si>
  <si>
    <t>Total Net Revenue</t>
  </si>
  <si>
    <t xml:space="preserve">(+/-) Other </t>
  </si>
  <si>
    <t>Credit Metrics</t>
  </si>
  <si>
    <t>Adjusted Cash Position BOP</t>
  </si>
  <si>
    <t>Adjusted Cash Position EOP</t>
  </si>
  <si>
    <t xml:space="preserve">(-) Cash Interest </t>
  </si>
  <si>
    <t>$ mm except per share</t>
  </si>
  <si>
    <t>Income Statement</t>
  </si>
  <si>
    <t xml:space="preserve">Balance Sheet </t>
  </si>
  <si>
    <t>Historical Financials</t>
  </si>
  <si>
    <t>Fiscal Period</t>
  </si>
  <si>
    <t>Fiscal Period End Date</t>
  </si>
  <si>
    <t>Interest Expense</t>
  </si>
  <si>
    <t>Operating Profit</t>
  </si>
  <si>
    <t>Earning Before Taxes</t>
  </si>
  <si>
    <t>EBT Margin (%)</t>
  </si>
  <si>
    <t>1Q21</t>
  </si>
  <si>
    <t>2Q21</t>
  </si>
  <si>
    <t>3Q21</t>
  </si>
  <si>
    <t>4Q21</t>
  </si>
  <si>
    <t>Current Assets</t>
  </si>
  <si>
    <t>Non-Current Assets</t>
  </si>
  <si>
    <t>Non-Current Liabilities</t>
  </si>
  <si>
    <t>Unrestricted Cash BOP</t>
  </si>
  <si>
    <t>EOP FX Adjustment</t>
  </si>
  <si>
    <t>General and Administrative (G&amp;A)</t>
  </si>
  <si>
    <t xml:space="preserve">Interest Income </t>
  </si>
  <si>
    <t>Other non-current assets</t>
  </si>
  <si>
    <t>Property and equipment, net</t>
  </si>
  <si>
    <t>Deferred income taxes</t>
  </si>
  <si>
    <t>Retained earnings</t>
  </si>
  <si>
    <t>Accumulated other comprehensive income (loss)</t>
  </si>
  <si>
    <t>Deferred revenue</t>
  </si>
  <si>
    <t>Purchases of property and equipment</t>
  </si>
  <si>
    <t>Disaggregated Revenues</t>
  </si>
  <si>
    <t>Offerings Drivers</t>
  </si>
  <si>
    <t>Variance Check</t>
  </si>
  <si>
    <t>Fully Diluted EPS</t>
  </si>
  <si>
    <t>Basic Shares</t>
  </si>
  <si>
    <t>Cash Position Variance Check</t>
  </si>
  <si>
    <t>(-) General and Administrative (G&amp;A)</t>
  </si>
  <si>
    <t>Marketable Securities</t>
  </si>
  <si>
    <t>(+/-) Divestiture / Acquisitions</t>
  </si>
  <si>
    <t>LTM Total Leverage</t>
  </si>
  <si>
    <t>LTM Net Leverage</t>
  </si>
  <si>
    <t xml:space="preserve">LTM Interest Coverage </t>
  </si>
  <si>
    <t>LTM Debt Service Coverage</t>
  </si>
  <si>
    <t>LTM Fixed Charge Coverage</t>
  </si>
  <si>
    <t>Netflix, Inc. (NASDAQ: NFLX)</t>
  </si>
  <si>
    <t>Marketing</t>
  </si>
  <si>
    <t>Technology and Development (T&amp;D)</t>
  </si>
  <si>
    <t>Cash and cash equivalents</t>
  </si>
  <si>
    <t>Short-term investments</t>
  </si>
  <si>
    <t>Content assets, net</t>
  </si>
  <si>
    <t>Current content liabilities</t>
  </si>
  <si>
    <t>Accrued expenses and other liabilities</t>
  </si>
  <si>
    <t>Short-term debt</t>
  </si>
  <si>
    <t>Non-current content liabilities</t>
  </si>
  <si>
    <t>Long-term debt</t>
  </si>
  <si>
    <t>Other non-current liabilities</t>
  </si>
  <si>
    <t>Treasury stock at cost</t>
  </si>
  <si>
    <t>Other non-current assets and liabilities</t>
  </si>
  <si>
    <t>Change in other assets</t>
  </si>
  <si>
    <t>Acquisitions</t>
  </si>
  <si>
    <t>Purchases of short-term investments</t>
  </si>
  <si>
    <t>Proceeds from maturities of short-term investments</t>
  </si>
  <si>
    <t>Additions to content assets</t>
  </si>
  <si>
    <t>Change in content liabilities</t>
  </si>
  <si>
    <t>Amortization of content assets</t>
  </si>
  <si>
    <t>Depreciation and amortization of property, equipment and intangibles</t>
  </si>
  <si>
    <t>Stock-based compensation expense</t>
  </si>
  <si>
    <t>Foreign currency remeasurement loss (gain) on debt</t>
  </si>
  <si>
    <t>Other non-cash items</t>
  </si>
  <si>
    <t>Proceeds from issuance of debt</t>
  </si>
  <si>
    <t>Debt issuance costs</t>
  </si>
  <si>
    <t>Repayments of debt</t>
  </si>
  <si>
    <t>Proceeds from issuance of common stock</t>
  </si>
  <si>
    <t>Repurchases of common stock</t>
  </si>
  <si>
    <t>Taxes paid related to net share settlement of equity awards</t>
  </si>
  <si>
    <t>Other financing activities</t>
  </si>
  <si>
    <t>EOP Restricted Cash Adjustment</t>
  </si>
  <si>
    <t>Other Income &amp; Expenses</t>
  </si>
  <si>
    <t>Other Cost of Revenues</t>
  </si>
  <si>
    <t>Total Cost of Revenue</t>
  </si>
  <si>
    <t>Income taxes paid</t>
  </si>
  <si>
    <t>Interest paid</t>
  </si>
  <si>
    <t>BOP Restricted Cash Adjustment</t>
  </si>
  <si>
    <t>UCAN Revenue</t>
  </si>
  <si>
    <t>EMEA Revenue</t>
  </si>
  <si>
    <t>LATAM Revenue</t>
  </si>
  <si>
    <t>APAC Revenue</t>
  </si>
  <si>
    <t>Domestic DVD Revenue</t>
  </si>
  <si>
    <t>$ in thousands except per share</t>
  </si>
  <si>
    <t>(-) Amortization of content assets</t>
  </si>
  <si>
    <t>(-) Other Cost of Revenues</t>
  </si>
  <si>
    <t>(-) Marketing</t>
  </si>
  <si>
    <t>(-) Technology and Development (T&amp;D)</t>
  </si>
  <si>
    <t>(+) Depreciation and amortization of PP&amp;E and intangibles</t>
  </si>
  <si>
    <t>(+) Amortization of content assets</t>
  </si>
  <si>
    <t>(+/-) Proceeds / (Purchases) of ST Investments</t>
  </si>
  <si>
    <t>(-) Proceeds From Equity Issuances / (Share Repurchases)</t>
  </si>
  <si>
    <t>(-) 'Proceeds from issuance of Debt / (Repayment), net</t>
  </si>
  <si>
    <t>(+/-) Changes in Additions to content assets</t>
  </si>
  <si>
    <t>(+/-) Changes in Other Financing Activities</t>
  </si>
  <si>
    <t>Content Liabilities</t>
  </si>
  <si>
    <t>Deferred Revenue</t>
  </si>
  <si>
    <t>5.750% Senior Notes due March 2024</t>
  </si>
  <si>
    <t>5.875% Senior Notes due February 2025</t>
  </si>
  <si>
    <t>3.625% Senior Notes due June 2025</t>
  </si>
  <si>
    <t>4.375% Senior Notes due November 2026</t>
  </si>
  <si>
    <t>5.400% Senior Notes due August 2054</t>
  </si>
  <si>
    <t>4.900% Senior Notes due August 2034</t>
  </si>
  <si>
    <t>6.375% Senior Notes due May 2029</t>
  </si>
  <si>
    <t>5.875% Senior Notes due November 2028</t>
  </si>
  <si>
    <t>4.875% Senior Notes due April 2028</t>
  </si>
  <si>
    <t>4.875% Senior Notes due June 2030</t>
  </si>
  <si>
    <t>5.375% Senior Notes due November 2029</t>
  </si>
  <si>
    <t>Summary Debt:</t>
  </si>
  <si>
    <t>CPLTD</t>
  </si>
  <si>
    <t>LTD</t>
  </si>
  <si>
    <t>($ in Millions)</t>
  </si>
  <si>
    <t>Total Senior Notes</t>
  </si>
  <si>
    <t xml:space="preserve">Consolidated Sr. Notes </t>
  </si>
  <si>
    <t>Debt Schedule</t>
  </si>
  <si>
    <t xml:space="preserve">5.500% Senior Notes due February 2022	</t>
  </si>
  <si>
    <t>5.375% Senior Notes due February 2021</t>
  </si>
  <si>
    <r>
      <t xml:space="preserve">3.000% Senior Notes due June 2025 </t>
    </r>
    <r>
      <rPr>
        <vertAlign val="superscript"/>
        <sz val="9"/>
        <color theme="1"/>
        <rFont val="Calibri"/>
        <family val="2"/>
      </rPr>
      <t>(1)</t>
    </r>
  </si>
  <si>
    <r>
      <t xml:space="preserve">3.625% Senior Notes due May 2027 </t>
    </r>
    <r>
      <rPr>
        <vertAlign val="superscript"/>
        <sz val="9"/>
        <color theme="1"/>
        <rFont val="Calibri"/>
        <family val="2"/>
      </rPr>
      <t>(1)</t>
    </r>
  </si>
  <si>
    <r>
      <t xml:space="preserve">4.625% Senior Notes due May 2029 </t>
    </r>
    <r>
      <rPr>
        <vertAlign val="superscript"/>
        <sz val="9"/>
        <color theme="1"/>
        <rFont val="Calibri"/>
        <family val="2"/>
      </rPr>
      <t>(1)</t>
    </r>
  </si>
  <si>
    <r>
      <t xml:space="preserve">3.875% Senior Notes due November 2029 </t>
    </r>
    <r>
      <rPr>
        <vertAlign val="superscript"/>
        <sz val="9"/>
        <color theme="1"/>
        <rFont val="Calibri"/>
        <family val="2"/>
      </rPr>
      <t>(1)</t>
    </r>
  </si>
  <si>
    <r>
      <t xml:space="preserve">3.625% Senior Notes due June 2030 </t>
    </r>
    <r>
      <rPr>
        <vertAlign val="superscript"/>
        <sz val="9"/>
        <color theme="1"/>
        <rFont val="Calibri"/>
        <family val="2"/>
      </rPr>
      <t>(1)</t>
    </r>
  </si>
  <si>
    <t>1)  The following Senior Notes have a principal amount denominated in euros: 3.000% Senior Notes for €470 million, 3.625% Senior Notes for €1,300 million, 4.625% Senior Notes for €1,100 million, 3.875% Senior Notes for €1,200 million, and 3.625% Senior Notes for €1,100 million.</t>
  </si>
  <si>
    <t>$3Bn RCF due April 2025, April 2029 (CP Backstop)</t>
  </si>
  <si>
    <t xml:space="preserve">$3Bn Commercial Paper Program </t>
  </si>
  <si>
    <t>Property and Equipment, net</t>
  </si>
  <si>
    <t>January 2026</t>
  </si>
  <si>
    <t>Scope</t>
  </si>
  <si>
    <t>Model Outputs</t>
  </si>
  <si>
    <t>Forecast horizon:</t>
  </si>
  <si>
    <t>2020A-3031F</t>
  </si>
  <si>
    <t xml:space="preserve">Case Assumption: </t>
  </si>
  <si>
    <t>Methods:</t>
  </si>
  <si>
    <t>DCF, Peer Comparables</t>
  </si>
  <si>
    <t>Target Price:</t>
  </si>
  <si>
    <t>Valuation Weights:</t>
  </si>
  <si>
    <t>70% DCF, 30% Peer Comparables</t>
  </si>
  <si>
    <t>Recommendation:</t>
  </si>
  <si>
    <t>Hold</t>
  </si>
  <si>
    <t>Company Info</t>
  </si>
  <si>
    <t>Business Snapshot</t>
  </si>
  <si>
    <t>Ticker:</t>
  </si>
  <si>
    <t>Primary platforms:</t>
  </si>
  <si>
    <t>iOS, macOS, iPadOS, watchOS, tvOS, visionOS</t>
  </si>
  <si>
    <t>Industry:</t>
  </si>
  <si>
    <t>Hardware products:</t>
  </si>
  <si>
    <t>iPhone, Mac, iPad, Apple Watch, AirPods</t>
  </si>
  <si>
    <t>Headquarters:</t>
  </si>
  <si>
    <t>Services ecosystem:</t>
  </si>
  <si>
    <t>Store, Music, TV+, Arcade, Pay, iCloud, AppleCare</t>
  </si>
  <si>
    <t>Founded:</t>
  </si>
  <si>
    <t>Installed base:</t>
  </si>
  <si>
    <t>&gt;2.2B active devices (2025 est.)</t>
  </si>
  <si>
    <t>CEO:</t>
  </si>
  <si>
    <t>Revenue mix (FY2025):</t>
  </si>
  <si>
    <t>Hardware ~78% / Services ~22%</t>
  </si>
  <si>
    <t>CFO:</t>
  </si>
  <si>
    <t>Geographic exposure:</t>
  </si>
  <si>
    <t>Americas largest; China strategic</t>
  </si>
  <si>
    <t>Fiscal year end:</t>
  </si>
  <si>
    <t>Employees:</t>
  </si>
  <si>
    <t>Segments</t>
  </si>
  <si>
    <t>Credit Ratings:</t>
  </si>
  <si>
    <t>Capital Structure:</t>
  </si>
  <si>
    <t>Dividend Policy:</t>
  </si>
  <si>
    <t>Legal structure:</t>
  </si>
  <si>
    <t>Exchange Listing:</t>
  </si>
  <si>
    <t>NASDAQ Global Select Market</t>
  </si>
  <si>
    <t>Financial Profile</t>
  </si>
  <si>
    <t>Competition</t>
  </si>
  <si>
    <t>Revenue CAGR (5yr):</t>
  </si>
  <si>
    <t>Gross Margins:</t>
  </si>
  <si>
    <t>OpEx Structure:</t>
  </si>
  <si>
    <t>Streaming:</t>
  </si>
  <si>
    <t>Capital Returns:</t>
  </si>
  <si>
    <t>Strategic Positioning</t>
  </si>
  <si>
    <t>Advantages:</t>
  </si>
  <si>
    <t>Risks:</t>
  </si>
  <si>
    <t>Indirect:</t>
  </si>
  <si>
    <t>Regulatory &amp; Risks</t>
  </si>
  <si>
    <t>Model:</t>
  </si>
  <si>
    <t>Antitrust:</t>
  </si>
  <si>
    <t>NFLX</t>
  </si>
  <si>
    <t>Media &amp; Entertainment / Streaming</t>
  </si>
  <si>
    <t>Los Gatos, California</t>
  </si>
  <si>
    <t>1997 (DVD), Streaming 2007</t>
  </si>
  <si>
    <t>Ted Sarandos &amp; Greg Peters (Co-CEOs)</t>
  </si>
  <si>
    <t>Spencer Neumann</t>
  </si>
  <si>
    <t>December 31</t>
  </si>
  <si>
    <t>≈13,000 (FY2025)</t>
  </si>
  <si>
    <t>S&amp;P: BB+ / Moody’s: Ba1 / Fitch: BB+</t>
  </si>
  <si>
    <t>Term debt + content obligations; buybacks</t>
  </si>
  <si>
    <t>No dividend</t>
  </si>
  <si>
    <t>C-Corporation (Delaware)</t>
  </si>
  <si>
    <t>Base case</t>
  </si>
  <si>
    <t>TBD</t>
  </si>
  <si>
    <t>Reporting Regions:</t>
  </si>
  <si>
    <t>Product Segments:</t>
  </si>
  <si>
    <t>UCAN, EMEA, LATAM, APAC</t>
  </si>
  <si>
    <t>Ad-Free, Ad-Supported, Gaming (immaterial revenue)</t>
  </si>
  <si>
    <t>High-single to low-double digits</t>
  </si>
  <si>
    <t>~40–45% consolidated</t>
  </si>
  <si>
    <t>Content &gt; Tech &gt; G&amp;A</t>
  </si>
  <si>
    <t>Buybacks only</t>
  </si>
  <si>
    <t>Disney+/Hulu, Prime Video, Max, Apple TV+, Paramount+, Peacock</t>
  </si>
  <si>
    <t>YouTube, TikTok, Linear TV</t>
  </si>
  <si>
    <t>Global scale, algorithms, localized content, pricing power</t>
  </si>
  <si>
    <t>Content inflation, churn, FX exposure, competitive saturation</t>
  </si>
  <si>
    <t>Studios:</t>
  </si>
  <si>
    <t>Vertical studio + licensed catalog</t>
  </si>
  <si>
    <t>LA, Vancouver, Seoul, Tokyo, Madrid</t>
  </si>
  <si>
    <t>Strikes, FX, regional censorship</t>
  </si>
  <si>
    <t>Supply Chain &amp; Production</t>
  </si>
  <si>
    <t>Data Privacy:</t>
  </si>
  <si>
    <t>Censorship:</t>
  </si>
  <si>
    <t>Low structural risk vs app stores</t>
  </si>
  <si>
    <t>GDPR, CCPA compliance</t>
  </si>
  <si>
    <t>Local edits/bans in EMEA/APAC</t>
  </si>
  <si>
    <t>FCF:</t>
  </si>
  <si>
    <t>High-yield FCF</t>
  </si>
  <si>
    <t xml:space="preserve">Netflix, Inc. (NASDAQ: NFLX) Company Summary </t>
  </si>
  <si>
    <t>DCF Assumptions</t>
  </si>
  <si>
    <t>Revenue Segment Assumptions</t>
  </si>
  <si>
    <t>Revenue</t>
  </si>
  <si>
    <t>iPhone Revenue</t>
  </si>
  <si>
    <t>Mac Revenue</t>
  </si>
  <si>
    <t>EBIT</t>
  </si>
  <si>
    <t>iPad Revenue</t>
  </si>
  <si>
    <t>NOPAT</t>
  </si>
  <si>
    <t>Services Revenue</t>
  </si>
  <si>
    <t>UFCF</t>
  </si>
  <si>
    <t>Other</t>
  </si>
  <si>
    <t>Unit Economics</t>
  </si>
  <si>
    <t>ASP Economics</t>
  </si>
  <si>
    <t>iPhone Units</t>
  </si>
  <si>
    <t>iPhone ASP</t>
  </si>
  <si>
    <t>iPad Units</t>
  </si>
  <si>
    <t>iPad ASP</t>
  </si>
  <si>
    <t>Mac Units</t>
  </si>
  <si>
    <t>Mac ASP</t>
  </si>
  <si>
    <t>P/E Forecast</t>
  </si>
  <si>
    <t>EPS Forecast</t>
  </si>
  <si>
    <t>Basic P/E</t>
  </si>
  <si>
    <t>Diluted P/E</t>
  </si>
  <si>
    <t>Diluted EPS</t>
  </si>
  <si>
    <t>Netflix, Inc. (NASDAQ: NFLX) Financial Model Summary Assumptions</t>
  </si>
  <si>
    <t>Summary Valuation</t>
  </si>
  <si>
    <t>Low</t>
  </si>
  <si>
    <t>Delta</t>
  </si>
  <si>
    <t>High</t>
  </si>
  <si>
    <t>Mid</t>
  </si>
  <si>
    <t>Comparable Trading Analysis</t>
  </si>
  <si>
    <t>DCF Valuation Analysis: Perpetuity Method</t>
  </si>
  <si>
    <t>DCF Valuation Analysis: Multiple Method</t>
  </si>
  <si>
    <t>52 Week Trading</t>
  </si>
  <si>
    <t>Street Consensus</t>
  </si>
  <si>
    <t>Valuation Weighting</t>
  </si>
  <si>
    <t xml:space="preserve">Intrinsic Valuation </t>
  </si>
  <si>
    <t xml:space="preserve">Valuation </t>
  </si>
  <si>
    <t>Bear</t>
  </si>
  <si>
    <t>Relative</t>
  </si>
  <si>
    <t>Base</t>
  </si>
  <si>
    <t>Bull</t>
  </si>
  <si>
    <t>Weighted</t>
  </si>
  <si>
    <t>Method</t>
  </si>
  <si>
    <t>Weight</t>
  </si>
  <si>
    <t>Case</t>
  </si>
  <si>
    <t>Value</t>
  </si>
  <si>
    <t>DCF: Perpetuity Method</t>
  </si>
  <si>
    <t>DCF: Multiple Method</t>
  </si>
  <si>
    <t xml:space="preserve">Market Based </t>
  </si>
  <si>
    <t>Valuation Method</t>
  </si>
  <si>
    <t xml:space="preserve">Comparable Trading Analysis  </t>
  </si>
  <si>
    <t>Summary Weighted Valuation</t>
  </si>
  <si>
    <t>Target Price</t>
  </si>
  <si>
    <t>Current Price</t>
  </si>
  <si>
    <t>Upside (Downside)</t>
  </si>
  <si>
    <t>Netflix, Inc. (NASDAQ: NFLX) Football Field Estimates</t>
  </si>
  <si>
    <t>Apple Inc. (NASDAQ: AAPL)</t>
  </si>
  <si>
    <t>Revenue Build Projections</t>
  </si>
  <si>
    <t>Operating Scenario:</t>
  </si>
  <si>
    <t>Actuals</t>
  </si>
  <si>
    <t>CAGR</t>
  </si>
  <si>
    <t>Forecast</t>
  </si>
  <si>
    <t>6-Year(A)</t>
  </si>
  <si>
    <t>6-Year(F)</t>
  </si>
  <si>
    <t>Wearables, Home, and Accessories Revenue</t>
  </si>
  <si>
    <t>Total revenue</t>
  </si>
  <si>
    <t>Y/Y Revenue Growth Assumptions</t>
  </si>
  <si>
    <t>iPhone</t>
  </si>
  <si>
    <t>iPad</t>
  </si>
  <si>
    <t>Mac</t>
  </si>
  <si>
    <t>Y/Y Unit Economics Growth Assumptions</t>
  </si>
  <si>
    <t>ASP</t>
  </si>
  <si>
    <t>Y/Y ASP Growth Assumptions</t>
  </si>
  <si>
    <t>Case Scenarios</t>
  </si>
  <si>
    <t>Active case:</t>
  </si>
  <si>
    <t xml:space="preserve">Var. from </t>
  </si>
  <si>
    <t>base case</t>
  </si>
  <si>
    <t>Gross profit margin</t>
  </si>
  <si>
    <t>R&amp;D % of sales</t>
  </si>
  <si>
    <t>SG&amp;A % of sales</t>
  </si>
  <si>
    <t>Best case</t>
  </si>
  <si>
    <t>NM</t>
  </si>
  <si>
    <t>Consensus Estimates - Median</t>
  </si>
  <si>
    <t>Weak case</t>
  </si>
  <si>
    <t>Consensus Estimates - Average</t>
  </si>
  <si>
    <t>Consensus Estimates - Bull Case</t>
  </si>
  <si>
    <t>Gross Profit Margin</t>
  </si>
  <si>
    <t>3-Statement Model</t>
  </si>
  <si>
    <t>Company name</t>
  </si>
  <si>
    <t>Ticker</t>
  </si>
  <si>
    <t>Circ break 1=off, 0=on</t>
  </si>
  <si>
    <t>Latest closing share price</t>
  </si>
  <si>
    <t>Latest closing share price date</t>
  </si>
  <si>
    <t>Latest fiscal year end date</t>
  </si>
  <si>
    <t>Case active:</t>
  </si>
  <si>
    <t>Shares outstanding (millions)</t>
  </si>
  <si>
    <t xml:space="preserve">Fiscal year  </t>
  </si>
  <si>
    <t>Fiscal year end date</t>
  </si>
  <si>
    <t>See Revenue Projections &amp; Cases</t>
  </si>
  <si>
    <t xml:space="preserve">Cost of sales </t>
  </si>
  <si>
    <t>Research &amp; Development (R&amp;D)</t>
  </si>
  <si>
    <t>Selling, General and Administrative (SG&amp;A)</t>
  </si>
  <si>
    <t>Operating profit (EBIT)</t>
  </si>
  <si>
    <t>See interest on cash schedule</t>
  </si>
  <si>
    <t>See interest expense schedule</t>
  </si>
  <si>
    <t>Other Income/Gains (Expenses/Losses)</t>
  </si>
  <si>
    <t>3-Year Average</t>
  </si>
  <si>
    <t>Pretax profit</t>
  </si>
  <si>
    <t xml:space="preserve">Taxes </t>
  </si>
  <si>
    <t>Net income</t>
  </si>
  <si>
    <t>Depreciation &amp; Amortization</t>
  </si>
  <si>
    <t>See D&amp;A schedule</t>
  </si>
  <si>
    <t>Stock Based Compensation</t>
  </si>
  <si>
    <t>Growth in-line with revenue</t>
  </si>
  <si>
    <t>Growth rates &amp; margins</t>
  </si>
  <si>
    <t>Revenue growth</t>
  </si>
  <si>
    <t>Consolidated Revenue growth</t>
  </si>
  <si>
    <t>Margins</t>
  </si>
  <si>
    <t>Gross Margin</t>
  </si>
  <si>
    <t>EBIT Margin</t>
  </si>
  <si>
    <t>Consensus Estimate - Average</t>
  </si>
  <si>
    <t>Tax Rate</t>
  </si>
  <si>
    <t>EBITDA Margin</t>
  </si>
  <si>
    <t>Adj. EBITDA Margin</t>
  </si>
  <si>
    <t>Growth Rates</t>
  </si>
  <si>
    <t xml:space="preserve">Cost of Sales </t>
  </si>
  <si>
    <t>R&amp;D Growth (%)</t>
  </si>
  <si>
    <t>SG&amp;A Growth (%)</t>
  </si>
  <si>
    <t xml:space="preserve">% of Sales </t>
  </si>
  <si>
    <t>R&amp;D as a % of Sales</t>
  </si>
  <si>
    <t>SG&amp;A as a % of Sales</t>
  </si>
  <si>
    <t>D&amp;A as a % of Sales</t>
  </si>
  <si>
    <t>SBC as a % of Sales</t>
  </si>
  <si>
    <t>Cash &amp; equivalents, ST and LT marketable securities</t>
  </si>
  <si>
    <t>Net change in cash' line on the cash flow statement</t>
  </si>
  <si>
    <t>Accounts receivable</t>
  </si>
  <si>
    <t>Inventories</t>
  </si>
  <si>
    <t>Growth in-line with cost of sales</t>
  </si>
  <si>
    <t>Property, plant &amp; equipment</t>
  </si>
  <si>
    <t>See PP&amp;E schedule</t>
  </si>
  <si>
    <t>Other non current assets</t>
  </si>
  <si>
    <t>Other current liabilities</t>
  </si>
  <si>
    <t>Deferred revenue (current)</t>
  </si>
  <si>
    <t>Commercial paper / revolver</t>
  </si>
  <si>
    <t>See EOP balance from CP/revolver schedule</t>
  </si>
  <si>
    <t>Long term debt (includes current portion)</t>
  </si>
  <si>
    <t>Straight-line</t>
  </si>
  <si>
    <t>Other non current liabilities</t>
  </si>
  <si>
    <t>Stockholders' Equity</t>
  </si>
  <si>
    <t>Increase by stock-based compensation forecasted in the I/S section</t>
  </si>
  <si>
    <t xml:space="preserve">Retained earnings </t>
  </si>
  <si>
    <t>Reference from Retained Earnings schedule</t>
  </si>
  <si>
    <t>Other comprehensive income</t>
  </si>
  <si>
    <t>straight-line</t>
  </si>
  <si>
    <t>Total Stockholders' Equity</t>
  </si>
  <si>
    <t>Balance check</t>
  </si>
  <si>
    <t>Reference from the I/S</t>
  </si>
  <si>
    <t>Depreciation and amortization</t>
  </si>
  <si>
    <t>Stock based compensation</t>
  </si>
  <si>
    <t>Decreases / (Increases) in working capital assets</t>
  </si>
  <si>
    <t>Increases / (Decreases) in working capital liabilities</t>
  </si>
  <si>
    <t>See Other non current assets Schedule</t>
  </si>
  <si>
    <t>Cash from Operating Activities</t>
  </si>
  <si>
    <t>Capital Expenditures</t>
  </si>
  <si>
    <t>Cash from Investing Activities</t>
  </si>
  <si>
    <t>Long term debt</t>
  </si>
  <si>
    <t>Commercial paper/ Revolver</t>
  </si>
  <si>
    <t>See Retained Earnings schedule</t>
  </si>
  <si>
    <t>Share repurchases</t>
  </si>
  <si>
    <t>Common dividends</t>
  </si>
  <si>
    <t>Net Change in Cash Position</t>
  </si>
  <si>
    <t>Supporting Schedules</t>
  </si>
  <si>
    <t>PROPERTY, PLANT &amp; EQUIPMENT</t>
  </si>
  <si>
    <t xml:space="preserve">Beginning of period </t>
  </si>
  <si>
    <t>Plus: Capital expenditures</t>
  </si>
  <si>
    <t>Consensus Estimate - Median</t>
  </si>
  <si>
    <t>Less: Depreciation</t>
  </si>
  <si>
    <t xml:space="preserve">End of period </t>
  </si>
  <si>
    <t>D&amp;A related to PP&amp;E as a % of capex</t>
  </si>
  <si>
    <t>D&amp;A related to PP&amp;E as a % of capex Step-Up</t>
  </si>
  <si>
    <t>DEPRECIATION WATERFALL</t>
  </si>
  <si>
    <t>Gross PP&amp;E</t>
  </si>
  <si>
    <t>Non-depreciable PP&amp;E (i.e. land)</t>
  </si>
  <si>
    <t>Accumulated depreciation</t>
  </si>
  <si>
    <t>Net PP&amp;E (excl. land)</t>
  </si>
  <si>
    <t>Average useful life</t>
  </si>
  <si>
    <t>Midyear adj.</t>
  </si>
  <si>
    <t>Override Switch</t>
  </si>
  <si>
    <t>Depreciation from existing PP&amp;E</t>
  </si>
  <si>
    <t>Depreciation from capex purchased in 2026</t>
  </si>
  <si>
    <t>Depreciation from capex purchased in 2027</t>
  </si>
  <si>
    <t>Depreciation from capex purchased in 2028</t>
  </si>
  <si>
    <t>Depreciation from capex purchased in 2029</t>
  </si>
  <si>
    <t>Depreciation from capex purchased in 2030</t>
  </si>
  <si>
    <t>Depreciation from capex purchased in 2031</t>
  </si>
  <si>
    <t>Total Depreciation</t>
  </si>
  <si>
    <t xml:space="preserve">Total Depreciation &amp; Amortization </t>
  </si>
  <si>
    <t>D&amp;A not related to PP&amp;E</t>
  </si>
  <si>
    <t>Revenue x 'as % of revenue' assumption</t>
  </si>
  <si>
    <t>as % of revenue</t>
  </si>
  <si>
    <t>5-Year Average</t>
  </si>
  <si>
    <t>D&amp;A from PP&amp;E + D&amp;A not from PP&amp;E</t>
  </si>
  <si>
    <t>Other Non-Current Assets</t>
  </si>
  <si>
    <t>Beginning of period</t>
  </si>
  <si>
    <t>(-) Amortization of intangible assets</t>
  </si>
  <si>
    <t xml:space="preserve">Assumes all D&amp;A not from PP&amp;E is in non-current assets </t>
  </si>
  <si>
    <t xml:space="preserve">(+) Additions </t>
  </si>
  <si>
    <t>End of period</t>
  </si>
  <si>
    <t>Retained Earnings</t>
  </si>
  <si>
    <t>(+) Net income</t>
  </si>
  <si>
    <t>(-) Dividends</t>
  </si>
  <si>
    <t>(-) Repurchases</t>
  </si>
  <si>
    <t>Dividend Payout Ratio</t>
  </si>
  <si>
    <t>Revolver (Plug)</t>
  </si>
  <si>
    <t>Cash at beginning of period (BOP)</t>
  </si>
  <si>
    <t>(-) Minimum cash balance</t>
  </si>
  <si>
    <t>Conservative Assumption</t>
  </si>
  <si>
    <t>(+) Free cash flows generated during period</t>
  </si>
  <si>
    <t>Cash Available (needed) to Utilize Revolver</t>
  </si>
  <si>
    <t>Commercial paper / Revolver</t>
  </si>
  <si>
    <t>Draw / (paydown)</t>
  </si>
  <si>
    <t>Discretionary borrowing / (paydown)</t>
  </si>
  <si>
    <t>INTEREST EXPENSE AND INTEREST INCOME</t>
  </si>
  <si>
    <t>Total interest expense (from I/S)</t>
  </si>
  <si>
    <t>Commercial Paper / Revolver</t>
  </si>
  <si>
    <t>Weighted average interest rate</t>
  </si>
  <si>
    <t xml:space="preserve"> Straight-line</t>
  </si>
  <si>
    <t>End of period balance (from B/S)</t>
  </si>
  <si>
    <t>Interest rate on cash</t>
  </si>
  <si>
    <t>Weighted average interest rate on cash</t>
  </si>
  <si>
    <t>Interest Income</t>
  </si>
  <si>
    <t>EARNINGS PER SHARE</t>
  </si>
  <si>
    <t xml:space="preserve">Basic shares </t>
  </si>
  <si>
    <t>Diluted Shares</t>
  </si>
  <si>
    <t>$ amount of shares repurchased</t>
  </si>
  <si>
    <t>$ amount of new shares issued</t>
  </si>
  <si>
    <t>Average share price</t>
  </si>
  <si>
    <t>Share price increase</t>
  </si>
  <si>
    <t>Price-to-Earnings (P/E)</t>
  </si>
  <si>
    <t>Share Price</t>
  </si>
  <si>
    <t>Discounted Cash Flow Valuation</t>
  </si>
  <si>
    <t xml:space="preserve">$ and shares in millions, except per share data </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</si>
  <si>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</si>
  <si>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</si>
  <si>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</si>
  <si>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</si>
  <si>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</si>
  <si>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</si>
  <si>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</si>
  <si>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</si>
  <si>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</si>
  <si>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</si>
  <si>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</si>
  <si>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Terminal value - Perpetuity Approach</t>
  </si>
  <si>
    <t>Terminal value - EBITDA Multiple Approach</t>
  </si>
  <si>
    <t>Long term growth rate</t>
  </si>
  <si>
    <t>Terminal year EBITDA</t>
  </si>
  <si>
    <t>EBITDA multiple</t>
  </si>
  <si>
    <t>Average FY27E Peer EV/EBITDA Estimate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</si>
  <si>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</si>
  <si>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</si>
  <si>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</si>
  <si>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</si>
  <si>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</si>
  <si>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</si>
  <si>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</si>
  <si>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</si>
  <si>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</si>
  <si>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</si>
  <si>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</si>
  <si>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</si>
  <si>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Doc</t>
  </si>
  <si>
    <t>Date</t>
  </si>
  <si>
    <t>Shares</t>
  </si>
  <si>
    <t>Source date</t>
  </si>
  <si>
    <t>Basic shares</t>
  </si>
  <si>
    <t>Gross debt and equivalents</t>
  </si>
  <si>
    <t>Restricted stock / RSUs</t>
  </si>
  <si>
    <t>Debt</t>
  </si>
  <si>
    <t>Options / warrants</t>
  </si>
  <si>
    <t>Convertible debt</t>
  </si>
  <si>
    <t>Preferred stock</t>
  </si>
  <si>
    <t>Convertible preferred stock</t>
  </si>
  <si>
    <t>Noncontrolling (minority) interests</t>
  </si>
  <si>
    <t>Net diluted shares outstanding</t>
  </si>
  <si>
    <t>Nonoperating assets</t>
  </si>
  <si>
    <t xml:space="preserve">Cash </t>
  </si>
  <si>
    <t xml:space="preserve">Equity investments </t>
  </si>
  <si>
    <t>Valuation</t>
  </si>
  <si>
    <t>Perpetuity</t>
  </si>
  <si>
    <t>Enterprise value</t>
  </si>
  <si>
    <t xml:space="preserve">Equity value </t>
  </si>
  <si>
    <t>Shares outstanding</t>
  </si>
  <si>
    <t>Equity value per share</t>
  </si>
  <si>
    <t>Unlevered Free Cash Flows</t>
  </si>
  <si>
    <t>Forecasts</t>
  </si>
  <si>
    <t>4Q25</t>
  </si>
  <si>
    <t>% growth</t>
  </si>
  <si>
    <t>(+) EBITDA</t>
  </si>
  <si>
    <t>(-) Depreciation &amp; Amortization</t>
  </si>
  <si>
    <t>EBIT Margin (%)</t>
  </si>
  <si>
    <t xml:space="preserve">NOPAT </t>
  </si>
  <si>
    <t>Tax rate</t>
  </si>
  <si>
    <t>(+) Depreciation &amp; Amortization</t>
  </si>
  <si>
    <t>(+/-) Changes in net working capital</t>
  </si>
  <si>
    <t>(-) Capital expenditures</t>
  </si>
  <si>
    <t>Unlevered free cash flows (UFCF)</t>
  </si>
  <si>
    <t xml:space="preserve">Net working capital </t>
  </si>
  <si>
    <t>Val date</t>
  </si>
  <si>
    <t xml:space="preserve">Yr 1 - Stub </t>
  </si>
  <si>
    <t>Year 2</t>
  </si>
  <si>
    <t>Year 3</t>
  </si>
  <si>
    <t>Year 4</t>
  </si>
  <si>
    <t>Year 5</t>
  </si>
  <si>
    <t>Year 6</t>
  </si>
  <si>
    <t>Date for discounting cash flows</t>
  </si>
  <si>
    <t>Unlevered free cash flows (UFCF) stub adjusted</t>
  </si>
  <si>
    <t>Present value of of unlevered free cash flows</t>
  </si>
  <si>
    <t xml:space="preserve">Weighted Average Cost of Capital (WACC) </t>
  </si>
  <si>
    <t>Cost of Debt</t>
  </si>
  <si>
    <t>Capital Structure</t>
  </si>
  <si>
    <t>WACC sensitivity to MRP and Beta</t>
  </si>
  <si>
    <t>Cost of debt</t>
  </si>
  <si>
    <t>Current ($)</t>
  </si>
  <si>
    <t>Weights (%)</t>
  </si>
  <si>
    <t>Target (Override)</t>
  </si>
  <si>
    <t>Beta</t>
  </si>
  <si>
    <t>Net Debt</t>
  </si>
  <si>
    <t>Cost of debt (after tax)</t>
  </si>
  <si>
    <t>Market Capitalization</t>
  </si>
  <si>
    <t>Total Capitalization</t>
  </si>
  <si>
    <t>Market</t>
  </si>
  <si>
    <t>Cost of Equity</t>
  </si>
  <si>
    <t>Risk</t>
  </si>
  <si>
    <t xml:space="preserve">Risk free rate </t>
  </si>
  <si>
    <t>Premium</t>
  </si>
  <si>
    <t xml:space="preserve">Beta </t>
  </si>
  <si>
    <t>MRP</t>
  </si>
  <si>
    <t>Cost of equity</t>
  </si>
  <si>
    <t>WACC sensitivity to RFR and MRP</t>
  </si>
  <si>
    <t>RFR</t>
  </si>
  <si>
    <t>Capital Weights</t>
  </si>
  <si>
    <t>Weighted Average Cost of Capital (WACC)</t>
  </si>
  <si>
    <t>Weight of Debt</t>
  </si>
  <si>
    <t>WACC sensitivity to Cost of Debt and Tax Rate</t>
  </si>
  <si>
    <t>Weight of Equity</t>
  </si>
  <si>
    <t>WACC</t>
  </si>
  <si>
    <t>Tax</t>
  </si>
  <si>
    <t>Unleveraged Beta Comparables</t>
  </si>
  <si>
    <t>Rate</t>
  </si>
  <si>
    <t>Updated as of 1/4/26</t>
  </si>
  <si>
    <t>Latest</t>
  </si>
  <si>
    <t>Expense</t>
  </si>
  <si>
    <t>Company</t>
  </si>
  <si>
    <t>Observed β</t>
  </si>
  <si>
    <t>Share price</t>
  </si>
  <si>
    <t>Dil. shares</t>
  </si>
  <si>
    <t>Market cap</t>
  </si>
  <si>
    <t>Delev. β</t>
  </si>
  <si>
    <t>Industry average del. b</t>
  </si>
  <si>
    <t>As of 10/31/25</t>
  </si>
  <si>
    <t>Variables Adjustments</t>
  </si>
  <si>
    <t>Haircut Assumption</t>
  </si>
  <si>
    <t>Upside Assumption</t>
  </si>
  <si>
    <t>Consensus Estimate Comparables</t>
  </si>
  <si>
    <t>Price Targets</t>
  </si>
  <si>
    <t>Forward P/E Multiples</t>
  </si>
  <si>
    <t>Forward EPS</t>
  </si>
  <si>
    <t>Forward EV/EBITDA Multiples</t>
  </si>
  <si>
    <t xml:space="preserve">Broker </t>
  </si>
  <si>
    <t>Rating</t>
  </si>
  <si>
    <t>Weighting</t>
  </si>
  <si>
    <t>Bear Case</t>
  </si>
  <si>
    <t>Down ∆</t>
  </si>
  <si>
    <t>Base Case</t>
  </si>
  <si>
    <t>Base ∆</t>
  </si>
  <si>
    <t>Bull Case</t>
  </si>
  <si>
    <t>Upside ∆</t>
  </si>
  <si>
    <t>FY26E</t>
  </si>
  <si>
    <t>FY27E</t>
  </si>
  <si>
    <t>FY28E</t>
  </si>
  <si>
    <r>
      <t xml:space="preserve">BofA </t>
    </r>
    <r>
      <rPr>
        <vertAlign val="superscript"/>
        <sz val="9"/>
        <color theme="1"/>
        <rFont val="Calibri"/>
        <family val="2"/>
      </rPr>
      <t>(1)</t>
    </r>
  </si>
  <si>
    <t>Buy</t>
  </si>
  <si>
    <t>Overweight</t>
  </si>
  <si>
    <r>
      <t xml:space="preserve">JP Morgan </t>
    </r>
    <r>
      <rPr>
        <vertAlign val="superscript"/>
        <sz val="9"/>
        <color theme="1"/>
        <rFont val="Calibri"/>
        <family val="2"/>
      </rPr>
      <t>(1)</t>
    </r>
  </si>
  <si>
    <t xml:space="preserve">Buy </t>
  </si>
  <si>
    <r>
      <t xml:space="preserve">BNP Paribas </t>
    </r>
    <r>
      <rPr>
        <vertAlign val="superscript"/>
        <sz val="9"/>
        <color theme="1"/>
        <rFont val="Calibri"/>
        <family val="2"/>
      </rPr>
      <t>(1)</t>
    </r>
  </si>
  <si>
    <t>Neutral</t>
  </si>
  <si>
    <t xml:space="preserve">UBS </t>
  </si>
  <si>
    <r>
      <t xml:space="preserve">HSBC </t>
    </r>
    <r>
      <rPr>
        <vertAlign val="superscript"/>
        <sz val="9"/>
        <color theme="1"/>
        <rFont val="Calibri"/>
        <family val="2"/>
      </rPr>
      <t>(1)</t>
    </r>
  </si>
  <si>
    <t xml:space="preserve">Hold </t>
  </si>
  <si>
    <t>Barclays</t>
  </si>
  <si>
    <t>Underweight</t>
  </si>
  <si>
    <t>Jefferies</t>
  </si>
  <si>
    <t>Citi</t>
  </si>
  <si>
    <t>Maintain</t>
  </si>
  <si>
    <t>75th Percentile</t>
  </si>
  <si>
    <t>Average</t>
  </si>
  <si>
    <t>Median</t>
  </si>
  <si>
    <t>25th Percentile</t>
  </si>
  <si>
    <t>1) Assumes a 5% haircut on TP</t>
  </si>
  <si>
    <t>Street Consensus: Last Updated 1/3/25</t>
  </si>
  <si>
    <t>Revenue Drivers</t>
  </si>
  <si>
    <t>2026E</t>
  </si>
  <si>
    <t>2027E</t>
  </si>
  <si>
    <t>2028E</t>
  </si>
  <si>
    <t>2029E</t>
  </si>
  <si>
    <t>2030E</t>
  </si>
  <si>
    <t>2031E</t>
  </si>
  <si>
    <t>Last Updated 1/3/25</t>
  </si>
  <si>
    <t>BofA</t>
  </si>
  <si>
    <t>Updated as of 10/31/25 Report (FY25 Updates)</t>
  </si>
  <si>
    <t>JP Morgan</t>
  </si>
  <si>
    <t>Updated as of 10/30/25 Report (FY25 Updates)</t>
  </si>
  <si>
    <t>BNP Paribas</t>
  </si>
  <si>
    <t>UBS</t>
  </si>
  <si>
    <t>HSBC</t>
  </si>
  <si>
    <t>Morgan Stanley</t>
  </si>
  <si>
    <t>Wells Fargo</t>
  </si>
  <si>
    <t xml:space="preserve">Wearables, Home, and Accessories </t>
  </si>
  <si>
    <t>Operating Drivers</t>
  </si>
  <si>
    <t>Margin (%)</t>
  </si>
  <si>
    <t>R&amp;D</t>
  </si>
  <si>
    <t>SG&amp;A</t>
  </si>
  <si>
    <t>Tax Rate (%)</t>
  </si>
  <si>
    <t>Cash-Flow Items</t>
  </si>
  <si>
    <t>D&amp;A</t>
  </si>
  <si>
    <t>Capex</t>
  </si>
  <si>
    <t>Unit Economics: Iphone</t>
  </si>
  <si>
    <t>iPhone ASP ($)</t>
  </si>
  <si>
    <t>Unit Economics: Mac</t>
  </si>
  <si>
    <t>Unit Economics: Mac ASP ($)</t>
  </si>
  <si>
    <t>Mac ASP ($)</t>
  </si>
  <si>
    <t>iPad ASP ($)</t>
  </si>
  <si>
    <t xml:space="preserve">Citi </t>
  </si>
  <si>
    <t>Peer Comparables</t>
  </si>
  <si>
    <t>Background</t>
  </si>
  <si>
    <t>Trading Comps</t>
  </si>
  <si>
    <t>Performance Comps</t>
  </si>
  <si>
    <t xml:space="preserve">Company </t>
  </si>
  <si>
    <t>Price</t>
  </si>
  <si>
    <t>Equity Value</t>
  </si>
  <si>
    <r>
      <t xml:space="preserve">Net Debt </t>
    </r>
    <r>
      <rPr>
        <b/>
        <u val="singleAccounting"/>
        <vertAlign val="superscript"/>
        <sz val="9"/>
        <color theme="0"/>
        <rFont val="Calibri"/>
        <family val="2"/>
      </rPr>
      <t>(1)</t>
    </r>
  </si>
  <si>
    <t>Enterprise Value</t>
  </si>
  <si>
    <t>P/E</t>
  </si>
  <si>
    <r>
      <t xml:space="preserve">LTM Revenue </t>
    </r>
    <r>
      <rPr>
        <b/>
        <u val="singleAccounting"/>
        <vertAlign val="superscript"/>
        <sz val="9"/>
        <color theme="0"/>
        <rFont val="Calibri"/>
        <family val="2"/>
      </rPr>
      <t>(1)</t>
    </r>
  </si>
  <si>
    <r>
      <t xml:space="preserve">LTM EBITDA </t>
    </r>
    <r>
      <rPr>
        <b/>
        <u val="singleAccounting"/>
        <vertAlign val="superscript"/>
        <sz val="9"/>
        <color theme="0"/>
        <rFont val="Calibri"/>
        <family val="2"/>
      </rPr>
      <t>(1)</t>
    </r>
  </si>
  <si>
    <t>EV/Revenue</t>
  </si>
  <si>
    <t>EV/EBITDA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</si>
</sst>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0.0%\)"/>
    <numFmt numFmtId="167" formatCode="#,##0.0&quot;bps&quot;_);\(#,##0.0&quot;bps&quot;\)"/>
    <numFmt numFmtId="168" formatCode="#,##0.00&quot;bps&quot;_);\(#,##0.00&quot;bps&quot;\)"/>
    <numFmt numFmtId="169" formatCode="_(* #,##0.00&quot;x&quot;_);_(* \(#,##0.00&quot;x&quot;\);_(* &quot;-&quot;_);_(@_)"/>
    <numFmt numFmtId="170" formatCode="_(#,##0_)_%;\(#,##0\)_%;_(&quot;–&quot;_)_%;_(@_)_%"/>
    <numFmt numFmtId="171" formatCode="_([$AED]\ * #,##0.00_);_([$AED]\ * \(#,##0.00\);_([$AED]\ * &quot;-&quot;??_);_(@_)"/>
    <numFmt numFmtId="176" formatCode="General&quot;A&quot;"/>
    <numFmt numFmtId="177" formatCode="General&quot;F&quot;"/>
    <numFmt numFmtId="178" formatCode="&quot;$&quot;#,##0.0_);\(&quot;$&quot;#,##0.0\)"/>
    <numFmt numFmtId="179" formatCode="#,##0.00&quot;x&quot;"/>
    <numFmt numFmtId="182" formatCode="0.0%"/>
    <numFmt numFmtId="183" formatCode="0\P_);\(0\P\)"/>
    <numFmt numFmtId="184" formatCode="m/d/yy;@"/>
    <numFmt numFmtId="185" formatCode="&quot;$&quot;#,##0.0"/>
    <numFmt numFmtId="186" formatCode="0.0%_);\(0.0%\);@_)"/>
    <numFmt numFmtId="187" formatCode="_(#,##0.0%_);\(#,##0.0%\);_(&quot;–&quot;_)_%;_(@_)_%"/>
    <numFmt numFmtId="188" formatCode="#,##0%;\(#,##0%\)"/>
    <numFmt numFmtId="189" formatCode="0%_);\(0%\);@_)"/>
    <numFmt numFmtId="190" formatCode="#,##0.000_);\(#,##0.000\)"/>
    <numFmt numFmtId="191" formatCode="#,##0.000_);\(#,##0.000\);@_)"/>
    <numFmt numFmtId="192" formatCode="#,##0_);\(#,##0\);@_)"/>
    <numFmt numFmtId="193" formatCode="0000\P"/>
    <numFmt numFmtId="194" formatCode="0.0\x_);\(0.0\x\);@_)"/>
    <numFmt numFmtId="195" formatCode="0.000%_);\(0.000%\);@_)"/>
    <numFmt numFmtId="196" formatCode="#,##0.000"/>
    <numFmt numFmtId="197" formatCode="&quot;$&quot;#,##0.00_);\(&quot;$&quot;#,##0.00\);@_)"/>
    <numFmt numFmtId="198" formatCode="0.000"/>
    <numFmt numFmtId="199" formatCode="&quot;$&quot;#,##0"/>
    <numFmt numFmtId="200" formatCode="[$$-409]#,##0_);\([$$-409]#,##0\)"/>
    <numFmt numFmtId="201" formatCode="[$$-409]#,##0.00_);\([$$-409]#,##0.00\)"/>
  </numFmts>
  <fonts count="68">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sz val="9"/>
      <color rgb="FF0000E1"/>
      <name val="Calibri"/>
      <family val="2"/>
    </font>
    <font>
      <sz val="10"/>
      <name val="Arial"/>
      <family val="2"/>
    </font>
    <font>
      <sz val="9"/>
      <color rgb="FFFF0000"/>
      <name val="Tw Cen MT"/>
      <family val="2"/>
      <scheme val="minor"/>
    </font>
    <font>
      <sz val="8"/>
      <color rgb="FFFF0000"/>
      <name val="Calibri"/>
      <family val="2"/>
    </font>
    <font>
      <b/>
      <sz val="8"/>
      <color theme="1"/>
      <name val="Calibri"/>
      <family val="2"/>
    </font>
    <font>
      <i/>
      <sz val="8"/>
      <color theme="1"/>
      <name val="Calibri"/>
      <family val="2"/>
    </font>
    <font>
      <sz val="7"/>
      <color rgb="FFFF0000"/>
      <name val="Calibri"/>
      <family val="2"/>
    </font>
    <font>
      <sz val="9"/>
      <color rgb="FF00B050"/>
      <name val="Calibri"/>
      <family val="2"/>
    </font>
    <font>
      <sz val="10"/>
      <name val="Arial Narrow MT"/>
      <family val="2"/>
    </font>
    <font>
      <i/>
      <sz val="8"/>
      <color rgb="FFFF0000"/>
      <name val="Calibri"/>
      <family val="2"/>
    </font>
    <font>
      <b/>
      <i/>
      <sz val="8"/>
      <name val="Calibri"/>
      <family val="2"/>
    </font>
    <font>
      <b/>
      <sz val="8"/>
      <color theme="0"/>
      <name val="Calibri"/>
      <family val="2"/>
    </font>
    <font>
      <i/>
      <sz val="7"/>
      <color rgb="FFFF0000"/>
      <name val="Calibri"/>
      <family val="2"/>
    </font>
    <font>
      <i/>
      <sz val="9"/>
      <color rgb="FF0000CC"/>
      <name val="Calibri"/>
      <family val="2"/>
    </font>
    <font>
      <i/>
      <sz val="7"/>
      <color theme="1"/>
      <name val="Calibri"/>
      <family val="2"/>
    </font>
    <font>
      <vertAlign val="superscript"/>
      <sz val="9"/>
      <color theme="1"/>
      <name val="Calibri"/>
      <family val="2"/>
    </font>
    <font>
      <b/>
      <sz val="11"/>
      <color theme="1"/>
      <name val="Tw Cen MT"/>
      <family val="2"/>
      <scheme val="minor"/>
    </font>
    <font>
      <sz val="12"/>
      <color theme="1"/>
      <name val="Calibri"/>
      <family val="2"/>
    </font>
    <font>
      <sz val="12"/>
      <color rgb="FF0F238C"/>
      <name val="Calibri"/>
      <family val="2"/>
    </font>
    <font>
      <b/>
      <sz val="18"/>
      <color rgb="FF14213D"/>
      <name val="Calibri"/>
      <family val="2"/>
    </font>
    <font>
      <sz val="12"/>
      <color rgb="FF14213D"/>
      <name val="Calibri"/>
      <family val="2"/>
    </font>
    <font>
      <b/>
      <sz val="14"/>
      <color rgb="FF14213D"/>
      <name val="Calibri"/>
      <family val="2"/>
    </font>
    <font>
      <sz val="12"/>
      <color rgb="FF00B03C"/>
      <name val="Calibri"/>
      <family val="2"/>
    </font>
    <font>
      <u/>
      <sz val="11"/>
      <color theme="10"/>
      <name val="Tw Cen MT"/>
      <family val="2"/>
      <scheme val="minor"/>
    </font>
    <font>
      <b/>
      <sz val="12"/>
      <color theme="1"/>
      <name val="Calibri"/>
      <family val="2"/>
    </font>
    <font>
      <i/>
      <sz val="10"/>
      <name val="Calibri"/>
      <family val="2"/>
    </font>
    <font>
      <b/>
      <sz val="12"/>
      <color rgb="FF14213D"/>
      <name val="Calibri"/>
      <family val="2"/>
    </font>
    <font>
      <sz val="12"/>
      <color rgb="FF0000CC"/>
      <name val="Calibri"/>
      <family val="2"/>
    </font>
    <font>
      <sz val="12"/>
      <name val="Calibri"/>
      <family val="2"/>
    </font>
    <font>
      <b/>
      <i/>
      <sz val="12"/>
      <color theme="1"/>
      <name val="Calibri"/>
      <family val="2"/>
    </font>
    <font>
      <i/>
      <sz val="8"/>
      <color rgb="FF0000CC"/>
      <name val="Calibri"/>
      <family val="2"/>
    </font>
    <font>
      <b/>
      <sz val="9"/>
      <color rgb="FF000000"/>
      <name val="Calibri"/>
      <family val="2"/>
    </font>
    <font>
      <i/>
      <sz val="9"/>
      <color rgb="FF000000"/>
      <name val="Calibri"/>
      <family val="2"/>
    </font>
    <font>
      <sz val="9"/>
      <color rgb="FF000000"/>
      <name val="Calibri"/>
      <family val="2"/>
    </font>
    <font>
      <sz val="9"/>
      <color rgb="FF00B03C"/>
      <name val="Calibri"/>
      <family val="2"/>
    </font>
    <font>
      <u/>
      <sz val="9"/>
      <color theme="1"/>
      <name val="Calibri"/>
      <family val="2"/>
    </font>
    <font>
      <i/>
      <sz val="8"/>
      <color rgb="FF00B03C"/>
      <name val="Calibri"/>
      <family val="2"/>
    </font>
    <font>
      <b/>
      <sz val="9"/>
      <color rgb="FF00B03C"/>
      <name val="Calibri"/>
      <family val="2"/>
    </font>
    <font>
      <i/>
      <sz val="8"/>
      <color rgb="FF0000FF"/>
      <name val="Calibri"/>
      <family val="2"/>
    </font>
    <font>
      <b/>
      <u/>
      <sz val="9"/>
      <color theme="1"/>
      <name val="Calibri"/>
      <family val="2"/>
    </font>
    <font>
      <sz val="10"/>
      <name val="Times New Roman"/>
      <family val="1"/>
    </font>
    <font>
      <sz val="9"/>
      <color rgb="FF008000"/>
      <name val="Calibri"/>
      <family val="2"/>
    </font>
    <font>
      <u/>
      <sz val="9"/>
      <color theme="10"/>
      <name val="Calibri"/>
      <family val="2"/>
    </font>
    <font>
      <b/>
      <u/>
      <sz val="9"/>
      <color rgb="FF0070C0"/>
      <name val="Calibri"/>
      <family val="2"/>
    </font>
    <font>
      <b/>
      <u val="singleAccounting"/>
      <sz val="9"/>
      <color theme="1"/>
      <name val="Calibri"/>
      <family val="2"/>
    </font>
    <font>
      <b/>
      <u val="singleAccounting"/>
      <sz val="9"/>
      <color rgb="FF000000"/>
      <name val="Calibri"/>
      <family val="2"/>
    </font>
    <font>
      <sz val="9"/>
      <color theme="0"/>
      <name val="Calibri"/>
      <family val="2"/>
    </font>
    <font>
      <b/>
      <u val="singleAccounting"/>
      <sz val="9"/>
      <color theme="0"/>
      <name val="Calibri"/>
      <family val="2"/>
    </font>
    <font>
      <i/>
      <sz val="9"/>
      <color rgb="FF00B03C"/>
      <name val="Calibri"/>
      <family val="2"/>
    </font>
    <font>
      <b/>
      <u val="singleAccounting"/>
      <vertAlign val="superscript"/>
      <sz val="9"/>
      <color theme="0"/>
      <name val="Calibri"/>
      <family val="2"/>
    </font>
  </fonts>
  <fills count="19">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rgb="FF0E5672"/>
        <bgColor indexed="64"/>
      </patternFill>
    </fill>
    <fill>
      <patternFill patternType="gray06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487B79"/>
        <bgColor indexed="64"/>
      </patternFill>
    </fill>
    <fill>
      <patternFill patternType="solid">
        <fgColor rgb="FFC0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C9DAF8"/>
        <bgColor indexed="64"/>
      </patternFill>
    </fill>
  </fills>
  <borders count="59">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F238C"/>
      </left>
      <right/>
      <top/>
      <bottom/>
      <diagonal/>
    </border>
    <border>
      <left/>
      <right style="thin">
        <color rgb="FF0F238C"/>
      </right>
      <top/>
      <bottom/>
      <diagonal/>
    </border>
    <border>
      <left/>
      <right/>
      <top/>
      <bottom style="thin">
        <color rgb="FF000000"/>
      </bottom>
      <diagonal/>
    </border>
    <border>
      <left style="thin">
        <color rgb="FF0F238C"/>
      </left>
      <right/>
      <top/>
      <bottom style="thin">
        <color rgb="FF0F238C"/>
      </bottom>
      <diagonal/>
    </border>
    <border>
      <left/>
      <right/>
      <top/>
      <bottom style="thin">
        <color rgb="FF0F238C"/>
      </bottom>
      <diagonal/>
    </border>
    <border>
      <left/>
      <right style="thin">
        <color rgb="FF0F238C"/>
      </right>
      <top/>
      <bottom style="thin">
        <color rgb="FF0F238C"/>
      </bottom>
      <diagonal/>
    </border>
    <border>
      <left/>
      <right style="thin">
        <color theme="0" tint="-0.249977111117893"/>
      </right>
      <top/>
      <bottom/>
      <diagonal/>
    </border>
    <border>
      <left/>
      <right/>
      <top/>
      <bottom style="thin">
        <color theme="0" tint="-0.249977111117893"/>
      </bottom>
      <diagonal/>
    </border>
    <border>
      <left style="medium">
        <color indexed="64"/>
      </left>
      <right style="medium">
        <color indexed="64"/>
      </right>
      <top style="medium">
        <color indexed="64"/>
      </top>
      <bottom style="medium">
        <color indexed="64"/>
      </bottom>
      <diagonal/>
    </border>
    <border>
      <left/>
      <right style="hair">
        <color indexed="64"/>
      </right>
      <top style="thin">
        <color indexed="64"/>
      </top>
      <bottom/>
      <diagonal/>
    </border>
    <border>
      <left style="dotted">
        <color indexed="64"/>
      </left>
      <right/>
      <top style="hair">
        <color indexed="64"/>
      </top>
      <bottom style="dotted">
        <color indexed="64"/>
      </bottom>
      <diagonal/>
    </border>
    <border>
      <left/>
      <right/>
      <top style="hair">
        <color indexed="64"/>
      </top>
      <bottom style="dotted">
        <color indexed="64"/>
      </bottom>
      <diagonal/>
    </border>
    <border>
      <left style="hair">
        <color rgb="FF000000"/>
      </left>
      <right style="hair">
        <color indexed="64"/>
      </right>
      <top style="hair">
        <color indexed="64"/>
      </top>
      <bottom style="dotted">
        <color indexed="64"/>
      </bottom>
      <diagonal/>
    </border>
    <border>
      <left style="thin">
        <color indexed="64"/>
      </left>
      <right/>
      <top style="thin">
        <color indexed="64"/>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medium">
        <color indexed="64"/>
      </right>
      <top/>
      <bottom style="medium">
        <color indexed="64"/>
      </bottom>
      <diagonal/>
    </border>
    <border>
      <left style="hair">
        <color rgb="FF000000"/>
      </left>
      <right style="hair">
        <color rgb="FF000000"/>
      </right>
      <top style="hair">
        <color rgb="FF000000"/>
      </top>
      <bottom style="hair">
        <color rgb="FF000000"/>
      </bottom>
      <diagonal/>
    </border>
    <border>
      <left style="hair">
        <color indexed="64"/>
      </left>
      <right style="hair">
        <color indexed="64"/>
      </right>
      <top style="hair">
        <color indexed="64"/>
      </top>
      <bottom style="hair">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hair">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indexed="64"/>
      </right>
      <top/>
      <bottom style="thin">
        <color indexed="64"/>
      </bottom>
      <diagonal/>
    </border>
  </borders>
  <cellStyleXfs count="8">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26" fillId="0" borderId="0" applyNumberFormat="0" applyFont="0" applyFill="0" applyBorder="0" applyAlignment="0" applyProtection="0"/>
    <xf numFmtId="0" fontId="1" fillId="0" borderId="0"/>
    <xf numFmtId="0" fontId="41" fillId="0" borderId="0" applyNumberFormat="0" applyFill="0" applyBorder="0" applyAlignment="0" applyProtection="0"/>
    <xf numFmtId="37" fontId="58" fillId="0" borderId="0"/>
  </cellStyleXfs>
  <cellXfs count="627">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6"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6"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166" fontId="10" fillId="0" borderId="0" xfId="1" applyNumberFormat="1" applyFont="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6" fontId="7" fillId="0" borderId="0" xfId="1" applyNumberFormat="1" applyFont="1" applyBorder="1" applyAlignment="1">
      <alignment horizontal="right" vertical="center" wrapText="1"/>
    </xf>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5" fillId="0" borderId="0" xfId="2" applyNumberFormat="1" applyFont="1" applyFill="1" applyBorder="1" applyAlignment="1">
      <alignment wrapText="1"/>
    </xf>
    <xf numFmtId="37" fontId="18" fillId="0" borderId="0" xfId="2" applyNumberFormat="1" applyFont="1" applyFill="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0" fillId="0" borderId="0" xfId="0" applyFont="1" applyAlignment="1">
      <alignment vertical="top" wrapText="1"/>
    </xf>
    <xf numFmtId="43" fontId="20" fillId="0" borderId="0" xfId="0" applyNumberFormat="1" applyFont="1" applyAlignment="1">
      <alignment wrapText="1"/>
    </xf>
    <xf numFmtId="43" fontId="21" fillId="0" borderId="0" xfId="0" applyNumberFormat="1" applyFont="1" applyAlignment="1">
      <alignment wrapText="1"/>
    </xf>
    <xf numFmtId="0" fontId="22"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6" fontId="7" fillId="5" borderId="0" xfId="1" applyNumberFormat="1" applyFont="1" applyFill="1" applyBorder="1" applyAlignment="1">
      <alignment horizontal="right" vertical="center" wrapText="1"/>
    </xf>
    <xf numFmtId="166" fontId="9" fillId="5" borderId="0" xfId="1" applyNumberFormat="1" applyFont="1" applyFill="1" applyBorder="1" applyAlignment="1">
      <alignment horizontal="right" vertical="center" wrapText="1"/>
    </xf>
    <xf numFmtId="168" fontId="9" fillId="5" borderId="0" xfId="1" applyNumberFormat="1" applyFont="1" applyFill="1" applyBorder="1" applyAlignment="1">
      <alignment horizontal="right" vertical="center" wrapText="1"/>
    </xf>
    <xf numFmtId="0" fontId="8" fillId="0" borderId="6" xfId="0" applyFont="1" applyBorder="1" applyAlignment="1">
      <alignment vertical="top" wrapText="1"/>
    </xf>
    <xf numFmtId="41" fontId="24"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41" fontId="11" fillId="0" borderId="0" xfId="0" applyNumberFormat="1" applyFont="1" applyAlignment="1">
      <alignment horizontal="right" vertical="top" wrapText="1"/>
    </xf>
    <xf numFmtId="169" fontId="4" fillId="0" borderId="0" xfId="0" applyNumberFormat="1" applyFont="1"/>
    <xf numFmtId="0" fontId="4" fillId="0" borderId="0" xfId="0" quotePrefix="1" applyFont="1" applyAlignment="1">
      <alignment horizontal="left" indent="1"/>
    </xf>
    <xf numFmtId="14" fontId="3" fillId="2" borderId="0" xfId="0" quotePrefix="1" applyNumberFormat="1" applyFont="1" applyFill="1" applyAlignment="1">
      <alignment horizontal="center" vertical="center" wrapText="1"/>
    </xf>
    <xf numFmtId="3" fontId="4" fillId="0" borderId="0" xfId="0" applyNumberFormat="1" applyFont="1" applyAlignment="1">
      <alignment wrapText="1"/>
    </xf>
    <xf numFmtId="43" fontId="21" fillId="0" borderId="7" xfId="0" applyNumberFormat="1" applyFont="1" applyBorder="1" applyAlignment="1">
      <alignment wrapText="1"/>
    </xf>
    <xf numFmtId="41" fontId="6" fillId="0" borderId="7" xfId="0" applyNumberFormat="1" applyFont="1" applyBorder="1" applyAlignment="1">
      <alignment horizontal="right" vertical="top" wrapText="1"/>
    </xf>
    <xf numFmtId="0" fontId="8" fillId="6" borderId="9" xfId="0" applyFont="1" applyFill="1" applyBorder="1" applyAlignment="1">
      <alignment horizontal="right" vertical="center" wrapText="1"/>
    </xf>
    <xf numFmtId="0" fontId="4" fillId="0" borderId="9" xfId="0" applyFont="1" applyBorder="1"/>
    <xf numFmtId="37" fontId="4" fillId="0" borderId="10" xfId="0" applyNumberFormat="1" applyFont="1" applyBorder="1" applyAlignment="1">
      <alignment wrapText="1"/>
    </xf>
    <xf numFmtId="41" fontId="8" fillId="0" borderId="12" xfId="0" applyNumberFormat="1" applyFont="1" applyBorder="1" applyAlignment="1">
      <alignment horizontal="right" vertical="top" wrapText="1"/>
    </xf>
    <xf numFmtId="41" fontId="6" fillId="0" borderId="13" xfId="0" applyNumberFormat="1" applyFont="1" applyBorder="1" applyAlignment="1">
      <alignment horizontal="right" vertical="top" wrapText="1"/>
    </xf>
    <xf numFmtId="41" fontId="25" fillId="0" borderId="0" xfId="0" applyNumberFormat="1" applyFont="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0" fontId="2" fillId="7" borderId="0" xfId="0" applyFont="1" applyFill="1" applyAlignment="1">
      <alignment vertical="center" wrapText="1"/>
    </xf>
    <xf numFmtId="0" fontId="3" fillId="7" borderId="0" xfId="0" applyFont="1" applyFill="1" applyAlignment="1">
      <alignment vertical="center" wrapText="1"/>
    </xf>
    <xf numFmtId="166" fontId="7" fillId="0" borderId="0" xfId="1" applyNumberFormat="1" applyFont="1" applyFill="1" applyBorder="1" applyAlignment="1">
      <alignment horizontal="right" vertical="center" wrapText="1"/>
    </xf>
    <xf numFmtId="0" fontId="2" fillId="2" borderId="0" xfId="0" applyFont="1" applyFill="1" applyAlignment="1">
      <alignment horizontal="centerContinuous" vertical="center" wrapText="1"/>
    </xf>
    <xf numFmtId="0" fontId="2" fillId="7" borderId="4" xfId="0" applyFont="1" applyFill="1" applyBorder="1" applyAlignment="1">
      <alignment horizontal="centerContinuous" vertical="center" wrapText="1"/>
    </xf>
    <xf numFmtId="0" fontId="4" fillId="7" borderId="0" xfId="0" applyFont="1" applyFill="1" applyAlignment="1">
      <alignment wrapText="1"/>
    </xf>
    <xf numFmtId="0" fontId="5" fillId="7" borderId="0" xfId="0" applyFont="1" applyFill="1" applyAlignment="1">
      <alignment horizontal="center" vertical="center" wrapText="1"/>
    </xf>
    <xf numFmtId="14" fontId="3" fillId="7" borderId="0" xfId="0" applyNumberFormat="1" applyFont="1" applyFill="1" applyAlignment="1">
      <alignment horizontal="center" vertical="center" wrapText="1"/>
    </xf>
    <xf numFmtId="0" fontId="2" fillId="8" borderId="0" xfId="0" applyFont="1" applyFill="1" applyAlignment="1">
      <alignment vertical="center" wrapText="1"/>
    </xf>
    <xf numFmtId="0" fontId="2" fillId="8" borderId="4" xfId="0" applyFont="1" applyFill="1" applyBorder="1" applyAlignment="1">
      <alignment horizontal="centerContinuous" vertical="center" wrapText="1"/>
    </xf>
    <xf numFmtId="0" fontId="4" fillId="8" borderId="0" xfId="0" applyFont="1" applyFill="1" applyAlignment="1">
      <alignment wrapText="1"/>
    </xf>
    <xf numFmtId="0" fontId="5" fillId="8" borderId="0" xfId="0" applyFont="1" applyFill="1" applyAlignment="1">
      <alignment horizontal="center" vertical="center" wrapText="1"/>
    </xf>
    <xf numFmtId="0" fontId="3" fillId="8" borderId="0" xfId="0" applyFont="1" applyFill="1" applyAlignment="1">
      <alignment vertical="center" wrapText="1"/>
    </xf>
    <xf numFmtId="0" fontId="5" fillId="8" borderId="0" xfId="0" applyFont="1" applyFill="1" applyAlignment="1">
      <alignment vertical="center" wrapText="1"/>
    </xf>
    <xf numFmtId="14" fontId="3" fillId="8" borderId="0" xfId="0" applyNumberFormat="1" applyFont="1" applyFill="1" applyAlignment="1">
      <alignment horizontal="center" vertical="center" wrapText="1"/>
    </xf>
    <xf numFmtId="14" fontId="3" fillId="8" borderId="0" xfId="0" applyNumberFormat="1" applyFont="1" applyFill="1" applyAlignment="1">
      <alignment vertical="center" wrapText="1"/>
    </xf>
    <xf numFmtId="0" fontId="6" fillId="0" borderId="0" xfId="0" applyFont="1" applyAlignment="1">
      <alignment vertical="center" wrapText="1"/>
    </xf>
    <xf numFmtId="166" fontId="10" fillId="9" borderId="0" xfId="1" applyNumberFormat="1" applyFont="1" applyFill="1" applyBorder="1" applyAlignment="1">
      <alignment horizontal="right" vertical="center" wrapText="1"/>
    </xf>
    <xf numFmtId="0" fontId="21" fillId="0" borderId="1" xfId="0" applyFont="1" applyBorder="1" applyAlignment="1">
      <alignment vertical="top" wrapText="1"/>
    </xf>
    <xf numFmtId="43" fontId="21" fillId="0" borderId="1" xfId="0" applyNumberFormat="1" applyFont="1" applyBorder="1" applyAlignment="1">
      <alignment wrapText="1"/>
    </xf>
    <xf numFmtId="0" fontId="22" fillId="0" borderId="1" xfId="0" applyFont="1" applyBorder="1" applyAlignment="1">
      <alignment wrapText="1"/>
    </xf>
    <xf numFmtId="0" fontId="14" fillId="0" borderId="1" xfId="0" applyFont="1" applyBorder="1" applyAlignment="1">
      <alignment wrapText="1"/>
    </xf>
    <xf numFmtId="0" fontId="6" fillId="0" borderId="0" xfId="0" applyFont="1" applyAlignment="1">
      <alignment wrapText="1"/>
    </xf>
    <xf numFmtId="41" fontId="11" fillId="0" borderId="0" xfId="0" applyNumberFormat="1" applyFont="1" applyAlignment="1">
      <alignment horizontal="right" wrapText="1"/>
    </xf>
    <xf numFmtId="0" fontId="4" fillId="0" borderId="0" xfId="0" applyFont="1" applyAlignment="1">
      <alignment vertical="center" wrapText="1"/>
    </xf>
    <xf numFmtId="37" fontId="4" fillId="0" borderId="0" xfId="0" applyNumberFormat="1" applyFont="1" applyAlignment="1">
      <alignment vertical="center" wrapText="1"/>
    </xf>
    <xf numFmtId="41" fontId="6" fillId="0" borderId="0" xfId="0" applyNumberFormat="1" applyFont="1"/>
    <xf numFmtId="0" fontId="14" fillId="3" borderId="0" xfId="0" applyFont="1" applyFill="1"/>
    <xf numFmtId="166" fontId="10" fillId="3" borderId="0" xfId="1" applyNumberFormat="1" applyFont="1" applyFill="1" applyBorder="1" applyAlignment="1">
      <alignment horizontal="right" vertical="center" wrapText="1"/>
    </xf>
    <xf numFmtId="166" fontId="28" fillId="3" borderId="0" xfId="1" applyNumberFormat="1" applyFont="1" applyFill="1" applyBorder="1" applyAlignment="1">
      <alignment horizontal="right" vertical="center" wrapText="1"/>
    </xf>
    <xf numFmtId="167" fontId="28" fillId="3" borderId="0" xfId="1" applyNumberFormat="1" applyFont="1" applyFill="1" applyBorder="1" applyAlignment="1">
      <alignment horizontal="right" vertical="center" wrapText="1"/>
    </xf>
    <xf numFmtId="0" fontId="14" fillId="0" borderId="0" xfId="0" applyFont="1"/>
    <xf numFmtId="0" fontId="23" fillId="0" borderId="0" xfId="0" applyFont="1" applyAlignment="1">
      <alignment horizontal="left" wrapText="1"/>
    </xf>
    <xf numFmtId="41" fontId="11" fillId="0" borderId="13" xfId="0" applyNumberFormat="1" applyFont="1" applyBorder="1" applyAlignment="1">
      <alignment horizontal="right" vertical="top" wrapText="1"/>
    </xf>
    <xf numFmtId="41" fontId="7" fillId="0" borderId="9" xfId="0" applyNumberFormat="1" applyFont="1" applyBorder="1" applyAlignment="1">
      <alignment horizontal="right" vertical="top" wrapText="1"/>
    </xf>
    <xf numFmtId="0" fontId="30" fillId="0" borderId="0" xfId="0" applyFont="1" applyAlignment="1">
      <alignment horizontal="right" vertical="center" wrapText="1"/>
    </xf>
    <xf numFmtId="7" fontId="25" fillId="0" borderId="0" xfId="0" applyNumberFormat="1" applyFont="1" applyAlignment="1">
      <alignment horizontal="right"/>
    </xf>
    <xf numFmtId="5" fontId="6" fillId="0" borderId="0" xfId="0" applyNumberFormat="1" applyFont="1" applyAlignment="1">
      <alignment horizontal="right" vertical="top" wrapText="1"/>
    </xf>
    <xf numFmtId="41" fontId="6" fillId="0" borderId="10" xfId="0" applyNumberFormat="1" applyFont="1" applyBorder="1" applyAlignment="1">
      <alignment horizontal="right" vertical="top" wrapText="1"/>
    </xf>
    <xf numFmtId="41" fontId="8" fillId="0" borderId="10" xfId="0" applyNumberFormat="1" applyFont="1" applyBorder="1" applyAlignment="1">
      <alignment horizontal="right" vertical="top" wrapText="1"/>
    </xf>
    <xf numFmtId="43" fontId="21" fillId="0" borderId="11" xfId="0" applyNumberFormat="1" applyFont="1" applyBorder="1" applyAlignment="1">
      <alignment wrapText="1"/>
    </xf>
    <xf numFmtId="0" fontId="8" fillId="0" borderId="9" xfId="0" applyFont="1" applyBorder="1" applyAlignment="1">
      <alignment horizontal="right" vertical="center" wrapText="1"/>
    </xf>
    <xf numFmtId="0" fontId="27" fillId="0" borderId="8" xfId="0" applyFont="1" applyBorder="1" applyAlignment="1">
      <alignment horizontal="right" vertical="top" wrapText="1"/>
    </xf>
    <xf numFmtId="0" fontId="27" fillId="0" borderId="0" xfId="0" applyFont="1" applyAlignment="1">
      <alignment vertical="top" wrapText="1"/>
    </xf>
    <xf numFmtId="41" fontId="6" fillId="0" borderId="14" xfId="0" applyNumberFormat="1" applyFont="1" applyBorder="1" applyAlignment="1">
      <alignment horizontal="right" vertical="top" wrapText="1"/>
    </xf>
    <xf numFmtId="41" fontId="25" fillId="0" borderId="0" xfId="0" applyNumberFormat="1" applyFont="1" applyAlignment="1">
      <alignment vertical="center"/>
    </xf>
    <xf numFmtId="41" fontId="4" fillId="0" borderId="0" xfId="0" applyNumberFormat="1" applyFont="1" applyAlignment="1">
      <alignment vertical="center"/>
    </xf>
    <xf numFmtId="0" fontId="2" fillId="2" borderId="4" xfId="0" applyFont="1" applyFill="1" applyBorder="1" applyAlignment="1">
      <alignment horizontal="centerContinuous" vertical="center"/>
    </xf>
    <xf numFmtId="14" fontId="3" fillId="2" borderId="0" xfId="0" applyNumberFormat="1" applyFont="1" applyFill="1" applyAlignment="1">
      <alignment horizontal="center" vertical="center"/>
    </xf>
    <xf numFmtId="0" fontId="2" fillId="2" borderId="0" xfId="0" applyFont="1" applyFill="1" applyAlignment="1">
      <alignment vertical="center"/>
    </xf>
    <xf numFmtId="0" fontId="3" fillId="2" borderId="0" xfId="0" applyFont="1" applyFill="1" applyAlignment="1">
      <alignment vertical="center"/>
    </xf>
    <xf numFmtId="41" fontId="7" fillId="0" borderId="0" xfId="0" applyNumberFormat="1" applyFont="1" applyAlignment="1">
      <alignment horizontal="right" vertical="top" wrapText="1"/>
    </xf>
    <xf numFmtId="0" fontId="7" fillId="0" borderId="0" xfId="0" applyFont="1" applyAlignment="1">
      <alignment horizontal="left" vertical="top" wrapText="1" indent="1"/>
    </xf>
    <xf numFmtId="41" fontId="6" fillId="0" borderId="0" xfId="0" applyNumberFormat="1" applyFont="1" applyAlignment="1">
      <alignment vertical="center"/>
    </xf>
    <xf numFmtId="0" fontId="5" fillId="2" borderId="0" xfId="0" applyFont="1" applyFill="1" applyAlignment="1">
      <alignment horizontal="center" vertical="center"/>
    </xf>
    <xf numFmtId="0" fontId="2" fillId="2" borderId="0" xfId="0" applyFont="1" applyFill="1" applyAlignment="1">
      <alignment horizontal="center" vertical="center"/>
    </xf>
    <xf numFmtId="41" fontId="11" fillId="0" borderId="0" xfId="0" applyNumberFormat="1" applyFont="1" applyAlignment="1">
      <alignment vertical="center"/>
    </xf>
    <xf numFmtId="0" fontId="4" fillId="0" borderId="0" xfId="0" quotePrefix="1" applyFont="1" applyAlignment="1">
      <alignment vertical="center"/>
    </xf>
    <xf numFmtId="9" fontId="13" fillId="0" borderId="0" xfId="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23" fillId="0" borderId="3" xfId="0" applyFont="1" applyBorder="1" applyAlignment="1">
      <alignment horizontal="left" wrapText="1"/>
    </xf>
    <xf numFmtId="0" fontId="2" fillId="2" borderId="0" xfId="0" applyFont="1" applyFill="1" applyAlignment="1">
      <alignment horizontal="center" vertical="center" wrapText="1"/>
    </xf>
    <xf numFmtId="0" fontId="5" fillId="8" borderId="0" xfId="0" applyFont="1" applyFill="1" applyAlignment="1">
      <alignment horizontal="center" vertical="center" wrapText="1"/>
    </xf>
    <xf numFmtId="0" fontId="5" fillId="7" borderId="0" xfId="0" applyFont="1" applyFill="1" applyAlignment="1">
      <alignment horizontal="center" vertical="center" wrapText="1"/>
    </xf>
    <xf numFmtId="0" fontId="29" fillId="2" borderId="0" xfId="0" applyFont="1" applyFill="1" applyAlignment="1">
      <alignment horizontal="center" vertical="center" wrapText="1"/>
    </xf>
    <xf numFmtId="0" fontId="32" fillId="0" borderId="0" xfId="0" applyFont="1" applyAlignment="1">
      <alignment horizontal="left" vertical="center" wrapText="1"/>
    </xf>
    <xf numFmtId="0" fontId="35" fillId="0" borderId="0" xfId="0" applyFont="1"/>
    <xf numFmtId="0" fontId="35" fillId="10" borderId="0" xfId="0" applyFont="1" applyFill="1"/>
    <xf numFmtId="0" fontId="36" fillId="10" borderId="0" xfId="0" applyFont="1" applyFill="1"/>
    <xf numFmtId="0" fontId="35" fillId="0" borderId="15" xfId="0" applyFont="1" applyBorder="1"/>
    <xf numFmtId="0" fontId="35" fillId="0" borderId="16" xfId="0" applyFont="1" applyBorder="1"/>
    <xf numFmtId="0" fontId="37" fillId="11" borderId="0" xfId="5" applyFont="1" applyFill="1" applyAlignment="1" applyProtection="1">
      <alignment horizontal="left" vertical="center"/>
      <protection locked="0"/>
    </xf>
    <xf numFmtId="0" fontId="35" fillId="11" borderId="0" xfId="0" applyFont="1" applyFill="1"/>
    <xf numFmtId="170" fontId="38" fillId="0" borderId="0" xfId="0" quotePrefix="1" applyNumberFormat="1" applyFont="1" applyAlignment="1">
      <alignment horizontal="left" vertical="center"/>
    </xf>
    <xf numFmtId="0" fontId="39" fillId="0" borderId="17" xfId="0" applyFont="1" applyBorder="1" applyAlignment="1" applyProtection="1">
      <alignment horizontal="left"/>
      <protection locked="0"/>
    </xf>
    <xf numFmtId="170" fontId="38" fillId="0" borderId="0" xfId="0" applyNumberFormat="1" applyFont="1" applyAlignment="1">
      <alignment horizontal="left" vertical="center"/>
    </xf>
    <xf numFmtId="170" fontId="38" fillId="0" borderId="0" xfId="0" applyNumberFormat="1" applyFont="1" applyAlignment="1">
      <alignment horizontal="right" vertical="center"/>
    </xf>
    <xf numFmtId="171" fontId="35" fillId="0" borderId="0" xfId="0" applyNumberFormat="1" applyFont="1" applyAlignment="1">
      <alignment horizontal="right"/>
    </xf>
    <xf numFmtId="7" fontId="40" fillId="0" borderId="0" xfId="0" applyNumberFormat="1" applyFont="1" applyAlignment="1">
      <alignment horizontal="right" vertical="center"/>
    </xf>
    <xf numFmtId="0" fontId="35" fillId="0" borderId="0" xfId="0" applyFont="1" applyAlignment="1">
      <alignment horizontal="right"/>
    </xf>
    <xf numFmtId="0" fontId="39" fillId="0" borderId="0" xfId="0" applyFont="1" applyAlignment="1" applyProtection="1">
      <alignment horizontal="left"/>
      <protection locked="0"/>
    </xf>
    <xf numFmtId="0" fontId="35" fillId="0" borderId="18" xfId="0" applyFont="1" applyBorder="1"/>
    <xf numFmtId="0" fontId="35" fillId="0" borderId="19" xfId="0" applyFont="1" applyBorder="1"/>
    <xf numFmtId="0" fontId="35" fillId="0" borderId="20" xfId="0" applyFont="1" applyBorder="1"/>
    <xf numFmtId="9" fontId="35" fillId="0" borderId="0" xfId="1" applyFont="1"/>
    <xf numFmtId="9" fontId="35" fillId="10" borderId="0" xfId="1" applyFont="1" applyFill="1" applyBorder="1"/>
    <xf numFmtId="9" fontId="36" fillId="10" borderId="0" xfId="1" applyFont="1" applyFill="1" applyBorder="1"/>
    <xf numFmtId="176" fontId="42" fillId="0" borderId="6" xfId="0" applyNumberFormat="1" applyFont="1" applyBorder="1" applyAlignment="1">
      <alignment vertical="center"/>
    </xf>
    <xf numFmtId="177" fontId="42" fillId="0" borderId="6" xfId="0" applyNumberFormat="1" applyFont="1" applyBorder="1" applyAlignment="1">
      <alignment vertical="center"/>
    </xf>
    <xf numFmtId="0" fontId="39" fillId="12" borderId="17" xfId="0" applyFont="1" applyFill="1" applyBorder="1" applyAlignment="1" applyProtection="1">
      <alignment horizontal="left"/>
      <protection locked="0"/>
    </xf>
    <xf numFmtId="176" fontId="42" fillId="12" borderId="6" xfId="0" applyNumberFormat="1" applyFont="1" applyFill="1" applyBorder="1" applyAlignment="1">
      <alignment vertical="center"/>
    </xf>
    <xf numFmtId="177" fontId="42" fillId="12" borderId="6" xfId="0" applyNumberFormat="1" applyFont="1" applyFill="1" applyBorder="1" applyAlignment="1">
      <alignment vertical="center"/>
    </xf>
    <xf numFmtId="0" fontId="42" fillId="0" borderId="0" xfId="0" applyFont="1" applyAlignment="1">
      <alignment vertical="center"/>
    </xf>
    <xf numFmtId="178" fontId="40" fillId="0" borderId="0" xfId="0" applyNumberFormat="1" applyFont="1" applyAlignment="1">
      <alignment horizontal="right" vertical="center"/>
    </xf>
    <xf numFmtId="0" fontId="43" fillId="0" borderId="0" xfId="0" applyFont="1" applyAlignment="1">
      <alignment horizontal="left" vertical="center" indent="1"/>
    </xf>
    <xf numFmtId="0" fontId="35" fillId="0" borderId="0" xfId="0" applyFont="1" applyAlignment="1">
      <alignment horizontal="left" indent="1"/>
    </xf>
    <xf numFmtId="166" fontId="43" fillId="0" borderId="0" xfId="1" applyNumberFormat="1" applyFont="1" applyBorder="1" applyAlignment="1">
      <alignment horizontal="right" vertical="center" wrapText="1"/>
    </xf>
    <xf numFmtId="41" fontId="40" fillId="0" borderId="0" xfId="0" applyNumberFormat="1" applyFont="1" applyAlignment="1">
      <alignment horizontal="right" vertical="center"/>
    </xf>
    <xf numFmtId="179" fontId="40" fillId="0" borderId="0" xfId="0" applyNumberFormat="1" applyFont="1" applyAlignment="1">
      <alignment horizontal="right" vertical="center"/>
    </xf>
    <xf numFmtId="9" fontId="35" fillId="0" borderId="19" xfId="1" applyFont="1" applyBorder="1"/>
    <xf numFmtId="0" fontId="44" fillId="0" borderId="17" xfId="0" applyFont="1" applyBorder="1" applyAlignment="1" applyProtection="1">
      <alignment horizontal="center" vertical="center"/>
      <protection locked="0"/>
    </xf>
    <xf numFmtId="170" fontId="35" fillId="0" borderId="21" xfId="0" applyNumberFormat="1" applyFont="1" applyBorder="1" applyAlignment="1">
      <alignment horizontal="right"/>
    </xf>
    <xf numFmtId="7" fontId="45" fillId="0" borderId="0" xfId="0" applyNumberFormat="1" applyFont="1"/>
    <xf numFmtId="7" fontId="46" fillId="0" borderId="0" xfId="0" applyNumberFormat="1" applyFont="1"/>
    <xf numFmtId="0" fontId="35" fillId="0" borderId="0" xfId="0" applyFont="1" applyAlignment="1">
      <alignment vertical="center"/>
    </xf>
    <xf numFmtId="0" fontId="44" fillId="0" borderId="0" xfId="0" applyFont="1" applyAlignment="1" applyProtection="1">
      <alignment horizontal="left" vertical="center"/>
      <protection locked="0"/>
    </xf>
    <xf numFmtId="0" fontId="44" fillId="0" borderId="0" xfId="0" applyFont="1" applyAlignment="1" applyProtection="1">
      <alignment horizontal="center" vertical="center"/>
      <protection locked="0"/>
    </xf>
    <xf numFmtId="0" fontId="44" fillId="0" borderId="6" xfId="0" applyFont="1" applyBorder="1" applyAlignment="1" applyProtection="1">
      <alignment horizontal="left" vertical="center"/>
      <protection locked="0"/>
    </xf>
    <xf numFmtId="0" fontId="44" fillId="0" borderId="6" xfId="0" applyFont="1" applyBorder="1" applyAlignment="1" applyProtection="1">
      <alignment horizontal="center" vertical="center"/>
      <protection locked="0"/>
    </xf>
    <xf numFmtId="9" fontId="45" fillId="0" borderId="0" xfId="1" applyFont="1" applyAlignment="1">
      <alignment horizontal="center" vertical="center"/>
    </xf>
    <xf numFmtId="7" fontId="35" fillId="0" borderId="0" xfId="0" applyNumberFormat="1" applyFont="1" applyAlignment="1">
      <alignment vertical="center"/>
    </xf>
    <xf numFmtId="9" fontId="35" fillId="0" borderId="0" xfId="0" applyNumberFormat="1" applyFont="1"/>
    <xf numFmtId="7" fontId="40" fillId="0" borderId="0" xfId="0" applyNumberFormat="1" applyFont="1" applyAlignment="1">
      <alignment vertical="center"/>
    </xf>
    <xf numFmtId="170" fontId="42" fillId="0" borderId="0" xfId="0" applyNumberFormat="1" applyFont="1" applyAlignment="1">
      <alignment horizontal="left"/>
    </xf>
    <xf numFmtId="170" fontId="35" fillId="0" borderId="0" xfId="0" applyNumberFormat="1" applyFont="1" applyAlignment="1">
      <alignment horizontal="left"/>
    </xf>
    <xf numFmtId="170" fontId="47" fillId="0" borderId="22" xfId="0" applyNumberFormat="1" applyFont="1" applyBorder="1" applyAlignment="1">
      <alignment horizontal="left" vertical="center"/>
    </xf>
    <xf numFmtId="166" fontId="47" fillId="0" borderId="22" xfId="1" applyNumberFormat="1" applyFont="1" applyBorder="1" applyAlignment="1">
      <alignment horizontal="right" vertical="center"/>
    </xf>
    <xf numFmtId="5" fontId="8" fillId="9" borderId="0" xfId="0" applyNumberFormat="1" applyFont="1" applyFill="1" applyAlignment="1">
      <alignment horizontal="right" vertical="top" wrapText="1"/>
    </xf>
    <xf numFmtId="5" fontId="8" fillId="6" borderId="2" xfId="0" applyNumberFormat="1" applyFont="1" applyFill="1" applyBorder="1" applyAlignment="1">
      <alignment horizontal="right" vertical="top" wrapText="1"/>
    </xf>
    <xf numFmtId="5" fontId="8" fillId="6" borderId="24" xfId="0" applyNumberFormat="1" applyFont="1" applyFill="1" applyBorder="1" applyAlignment="1">
      <alignment horizontal="right" vertical="top" wrapText="1"/>
    </xf>
    <xf numFmtId="176" fontId="5" fillId="2" borderId="0" xfId="0" applyNumberFormat="1" applyFont="1" applyFill="1" applyAlignment="1">
      <alignment horizontal="center" vertical="center"/>
    </xf>
    <xf numFmtId="0" fontId="15" fillId="0" borderId="25" xfId="0" applyFont="1" applyBorder="1" applyAlignment="1">
      <alignment vertical="center"/>
    </xf>
    <xf numFmtId="0" fontId="4" fillId="0" borderId="26" xfId="0" applyFont="1" applyBorder="1"/>
    <xf numFmtId="170" fontId="12" fillId="6" borderId="27" xfId="0" applyNumberFormat="1" applyFont="1" applyFill="1" applyBorder="1" applyAlignment="1">
      <alignment horizontal="center" vertical="center"/>
    </xf>
    <xf numFmtId="177" fontId="5" fillId="2" borderId="0" xfId="0" applyNumberFormat="1" applyFont="1" applyFill="1" applyAlignment="1">
      <alignment horizontal="center" vertical="center"/>
    </xf>
    <xf numFmtId="166" fontId="4" fillId="0" borderId="0" xfId="1" applyNumberFormat="1" applyFont="1" applyAlignment="1">
      <alignment horizontal="center"/>
    </xf>
    <xf numFmtId="166" fontId="15" fillId="0" borderId="0" xfId="1" applyNumberFormat="1" applyFont="1" applyAlignment="1">
      <alignment horizontal="center"/>
    </xf>
    <xf numFmtId="0" fontId="22" fillId="12" borderId="28" xfId="0" applyFont="1" applyFill="1" applyBorder="1"/>
    <xf numFmtId="9" fontId="10" fillId="0" borderId="2" xfId="1" applyFont="1" applyBorder="1" applyAlignment="1">
      <alignment horizontal="right"/>
    </xf>
    <xf numFmtId="0" fontId="4" fillId="0" borderId="2" xfId="0" applyFont="1" applyBorder="1"/>
    <xf numFmtId="0" fontId="0" fillId="0" borderId="2" xfId="0" applyBorder="1"/>
    <xf numFmtId="0" fontId="0" fillId="0" borderId="29" xfId="0" applyBorder="1"/>
    <xf numFmtId="0" fontId="23" fillId="12" borderId="30" xfId="0" applyFont="1" applyFill="1" applyBorder="1" applyAlignment="1">
      <alignment horizontal="left" indent="1"/>
    </xf>
    <xf numFmtId="182" fontId="10" fillId="0" borderId="0" xfId="1" applyNumberFormat="1" applyFont="1" applyBorder="1" applyAlignment="1">
      <alignment horizontal="right"/>
    </xf>
    <xf numFmtId="166" fontId="10" fillId="0" borderId="0" xfId="1" applyNumberFormat="1" applyFont="1" applyBorder="1" applyAlignment="1">
      <alignment horizontal="right" vertical="center"/>
    </xf>
    <xf numFmtId="166" fontId="10" fillId="0" borderId="31" xfId="1" applyNumberFormat="1" applyFont="1" applyBorder="1" applyAlignment="1">
      <alignment horizontal="right" vertical="center"/>
    </xf>
    <xf numFmtId="0" fontId="22" fillId="12" borderId="30" xfId="0" applyFont="1" applyFill="1" applyBorder="1"/>
    <xf numFmtId="0" fontId="0" fillId="0" borderId="31" xfId="0" applyBorder="1"/>
    <xf numFmtId="41" fontId="48" fillId="0" borderId="0" xfId="0" applyNumberFormat="1" applyFont="1" applyAlignment="1">
      <alignment vertical="center"/>
    </xf>
    <xf numFmtId="41" fontId="10" fillId="0" borderId="0" xfId="0" applyNumberFormat="1" applyFont="1" applyAlignment="1">
      <alignment vertical="center"/>
    </xf>
    <xf numFmtId="41" fontId="10" fillId="0" borderId="31" xfId="0" applyNumberFormat="1" applyFont="1" applyBorder="1" applyAlignment="1">
      <alignment vertical="center"/>
    </xf>
    <xf numFmtId="178" fontId="48" fillId="0" borderId="0" xfId="0" applyNumberFormat="1" applyFont="1" applyAlignment="1">
      <alignment vertical="center"/>
    </xf>
    <xf numFmtId="178" fontId="10" fillId="0" borderId="0" xfId="0" applyNumberFormat="1" applyFont="1" applyAlignment="1">
      <alignment vertical="center"/>
    </xf>
    <xf numFmtId="178" fontId="10" fillId="0" borderId="31" xfId="0" applyNumberFormat="1" applyFont="1" applyBorder="1" applyAlignment="1">
      <alignment vertical="center"/>
    </xf>
    <xf numFmtId="0" fontId="23" fillId="12" borderId="32" xfId="0" applyFont="1" applyFill="1" applyBorder="1" applyAlignment="1">
      <alignment horizontal="left" indent="1"/>
    </xf>
    <xf numFmtId="182" fontId="10" fillId="0" borderId="6" xfId="1" applyNumberFormat="1" applyFont="1" applyBorder="1" applyAlignment="1">
      <alignment horizontal="right"/>
    </xf>
    <xf numFmtId="166" fontId="10" fillId="0" borderId="6" xfId="1" applyNumberFormat="1" applyFont="1" applyBorder="1" applyAlignment="1">
      <alignment horizontal="right" vertical="center"/>
    </xf>
    <xf numFmtId="0" fontId="4" fillId="0" borderId="6" xfId="0" applyFont="1" applyBorder="1"/>
    <xf numFmtId="166" fontId="10" fillId="0" borderId="33" xfId="1" applyNumberFormat="1" applyFont="1" applyBorder="1" applyAlignment="1">
      <alignment horizontal="right" vertical="center"/>
    </xf>
    <xf numFmtId="0" fontId="15" fillId="0" borderId="17" xfId="0" applyFont="1" applyBorder="1"/>
    <xf numFmtId="170" fontId="15" fillId="0" borderId="23" xfId="0" applyNumberFormat="1" applyFont="1" applyBorder="1" applyAlignment="1">
      <alignment horizontal="center" vertical="center"/>
    </xf>
    <xf numFmtId="0" fontId="15" fillId="0" borderId="34" xfId="0" applyFont="1" applyBorder="1" applyAlignment="1">
      <alignment horizontal="center"/>
    </xf>
    <xf numFmtId="183" fontId="49" fillId="0" borderId="0" xfId="0" applyNumberFormat="1" applyFont="1"/>
    <xf numFmtId="0" fontId="15" fillId="0" borderId="35" xfId="0" applyFont="1" applyBorder="1" applyAlignment="1">
      <alignment horizontal="center"/>
    </xf>
    <xf numFmtId="184" fontId="50" fillId="0" borderId="17" xfId="0" applyNumberFormat="1" applyFont="1" applyBorder="1"/>
    <xf numFmtId="0" fontId="4" fillId="6" borderId="0" xfId="0" applyFont="1" applyFill="1" applyAlignment="1">
      <alignment horizontal="left" indent="1"/>
    </xf>
    <xf numFmtId="0" fontId="4" fillId="6" borderId="0" xfId="0" applyFont="1" applyFill="1"/>
    <xf numFmtId="0" fontId="0" fillId="6" borderId="0" xfId="0" applyFill="1"/>
    <xf numFmtId="178" fontId="6" fillId="6" borderId="36" xfId="0" applyNumberFormat="1" applyFont="1" applyFill="1" applyBorder="1" applyAlignment="1">
      <alignment horizontal="center"/>
    </xf>
    <xf numFmtId="185" fontId="51" fillId="6" borderId="0" xfId="0" applyNumberFormat="1" applyFont="1" applyFill="1" applyAlignment="1">
      <alignment vertical="center"/>
    </xf>
    <xf numFmtId="0" fontId="4" fillId="6" borderId="0" xfId="0" applyFont="1" applyFill="1" applyAlignment="1">
      <alignment horizontal="left" indent="2"/>
    </xf>
    <xf numFmtId="37" fontId="4" fillId="6" borderId="36" xfId="0" applyNumberFormat="1" applyFont="1" applyFill="1" applyBorder="1" applyAlignment="1">
      <alignment horizontal="center"/>
    </xf>
    <xf numFmtId="37" fontId="51" fillId="6" borderId="0" xfId="0" applyNumberFormat="1" applyFont="1" applyFill="1" applyAlignment="1">
      <alignment vertical="center"/>
    </xf>
    <xf numFmtId="182" fontId="4" fillId="6" borderId="36" xfId="1" applyNumberFormat="1" applyFont="1" applyFill="1" applyBorder="1" applyAlignment="1">
      <alignment horizontal="center"/>
    </xf>
    <xf numFmtId="186" fontId="4" fillId="6" borderId="0" xfId="0" applyNumberFormat="1" applyFont="1" applyFill="1"/>
    <xf numFmtId="186" fontId="4" fillId="6" borderId="36" xfId="0" applyNumberFormat="1" applyFont="1" applyFill="1" applyBorder="1" applyAlignment="1">
      <alignment horizontal="center"/>
    </xf>
    <xf numFmtId="0" fontId="15" fillId="0" borderId="0" xfId="0" applyFont="1" applyAlignment="1">
      <alignment horizontal="left" vertical="center"/>
    </xf>
    <xf numFmtId="0" fontId="4" fillId="0" borderId="36" xfId="0" applyFont="1" applyBorder="1"/>
    <xf numFmtId="0" fontId="4" fillId="0" borderId="0" xfId="0" applyFont="1" applyAlignment="1">
      <alignment horizontal="left" vertical="center" indent="2"/>
    </xf>
    <xf numFmtId="178" fontId="12" fillId="0" borderId="36" xfId="0" applyNumberFormat="1" applyFont="1" applyBorder="1" applyAlignment="1">
      <alignment horizontal="center" vertical="center"/>
    </xf>
    <xf numFmtId="185" fontId="51" fillId="0" borderId="0" xfId="0" applyNumberFormat="1" applyFont="1" applyAlignment="1">
      <alignment vertical="center"/>
    </xf>
    <xf numFmtId="185" fontId="0" fillId="0" borderId="0" xfId="0" applyNumberFormat="1"/>
    <xf numFmtId="0" fontId="4" fillId="12" borderId="37" xfId="0" applyFont="1" applyFill="1" applyBorder="1" applyAlignment="1">
      <alignment horizontal="left" vertical="center" indent="2"/>
    </xf>
    <xf numFmtId="0" fontId="4" fillId="12" borderId="38" xfId="0" applyFont="1" applyFill="1" applyBorder="1" applyAlignment="1">
      <alignment vertical="center"/>
    </xf>
    <xf numFmtId="0" fontId="4" fillId="12" borderId="39" xfId="0" applyFont="1" applyFill="1" applyBorder="1" applyAlignment="1">
      <alignment horizontal="center" vertical="center"/>
    </xf>
    <xf numFmtId="185" fontId="52" fillId="12" borderId="38" xfId="0" applyNumberFormat="1" applyFont="1" applyFill="1" applyBorder="1" applyAlignment="1">
      <alignment vertical="center"/>
    </xf>
    <xf numFmtId="185" fontId="52" fillId="12" borderId="40" xfId="0" applyNumberFormat="1" applyFont="1" applyFill="1" applyBorder="1" applyAlignment="1">
      <alignment vertical="center"/>
    </xf>
    <xf numFmtId="187" fontId="12" fillId="0" borderId="36" xfId="0" applyNumberFormat="1" applyFont="1" applyBorder="1" applyAlignment="1">
      <alignment horizontal="center"/>
    </xf>
    <xf numFmtId="186" fontId="51" fillId="0" borderId="0" xfId="0" applyNumberFormat="1" applyFont="1"/>
    <xf numFmtId="37" fontId="12" fillId="0" borderId="36" xfId="0" applyNumberFormat="1" applyFont="1" applyBorder="1" applyAlignment="1">
      <alignment horizontal="center" vertical="center"/>
    </xf>
    <xf numFmtId="37" fontId="51" fillId="0" borderId="0" xfId="0" applyNumberFormat="1" applyFont="1" applyAlignment="1">
      <alignment vertical="center"/>
    </xf>
    <xf numFmtId="37" fontId="52" fillId="12" borderId="38" xfId="0" applyNumberFormat="1" applyFont="1" applyFill="1" applyBorder="1" applyAlignment="1">
      <alignment vertical="center"/>
    </xf>
    <xf numFmtId="37" fontId="52" fillId="12" borderId="40" xfId="0" applyNumberFormat="1" applyFont="1" applyFill="1" applyBorder="1" applyAlignment="1">
      <alignment vertical="center"/>
    </xf>
    <xf numFmtId="37" fontId="12" fillId="0" borderId="36" xfId="0" applyNumberFormat="1" applyFont="1" applyBorder="1" applyAlignment="1">
      <alignment horizontal="center"/>
    </xf>
    <xf numFmtId="37" fontId="51" fillId="0" borderId="0" xfId="0" applyNumberFormat="1" applyFont="1"/>
    <xf numFmtId="9" fontId="12" fillId="0" borderId="36" xfId="1" applyFont="1" applyFill="1" applyBorder="1" applyAlignment="1">
      <alignment horizontal="center" vertical="center"/>
    </xf>
    <xf numFmtId="188" fontId="12" fillId="0" borderId="36" xfId="1" applyNumberFormat="1" applyFont="1" applyFill="1" applyBorder="1" applyAlignment="1">
      <alignment horizontal="center" vertical="center"/>
    </xf>
    <xf numFmtId="0" fontId="4" fillId="0" borderId="36" xfId="0" applyFont="1" applyBorder="1" applyAlignment="1">
      <alignment horizontal="center"/>
    </xf>
    <xf numFmtId="186" fontId="12" fillId="0" borderId="0" xfId="0" applyNumberFormat="1" applyFont="1"/>
    <xf numFmtId="187" fontId="12" fillId="0" borderId="36" xfId="0" applyNumberFormat="1" applyFont="1" applyBorder="1" applyAlignment="1">
      <alignment horizontal="center" vertical="center"/>
    </xf>
    <xf numFmtId="186" fontId="51" fillId="0" borderId="0" xfId="0" applyNumberFormat="1" applyFont="1" applyAlignment="1">
      <alignment vertical="center"/>
    </xf>
    <xf numFmtId="0" fontId="4" fillId="12" borderId="38" xfId="0" applyFont="1" applyFill="1" applyBorder="1"/>
    <xf numFmtId="186" fontId="52" fillId="12" borderId="38" xfId="0" applyNumberFormat="1" applyFont="1" applyFill="1" applyBorder="1" applyAlignment="1">
      <alignment vertical="center"/>
    </xf>
    <xf numFmtId="186" fontId="52" fillId="12" borderId="40" xfId="0" applyNumberFormat="1" applyFont="1" applyFill="1" applyBorder="1" applyAlignment="1">
      <alignment vertical="center"/>
    </xf>
    <xf numFmtId="189" fontId="4" fillId="0" borderId="0" xfId="0" applyNumberFormat="1" applyFont="1"/>
    <xf numFmtId="187" fontId="12" fillId="0" borderId="41" xfId="0" applyNumberFormat="1" applyFont="1" applyBorder="1" applyAlignment="1">
      <alignment horizontal="center" vertical="center"/>
    </xf>
    <xf numFmtId="0" fontId="49" fillId="0" borderId="12" xfId="0" applyFont="1" applyBorder="1"/>
    <xf numFmtId="0" fontId="12" fillId="0" borderId="13" xfId="0" applyFont="1" applyBorder="1" applyAlignment="1">
      <alignment horizontal="center"/>
    </xf>
    <xf numFmtId="0" fontId="4" fillId="0" borderId="13" xfId="0" applyFont="1" applyBorder="1"/>
    <xf numFmtId="0" fontId="15" fillId="0" borderId="13" xfId="0" applyFont="1" applyBorder="1"/>
    <xf numFmtId="0" fontId="15" fillId="0" borderId="14" xfId="0" applyFont="1" applyBorder="1"/>
    <xf numFmtId="0" fontId="4" fillId="0" borderId="14" xfId="0" applyFont="1" applyBorder="1"/>
    <xf numFmtId="0" fontId="49" fillId="0" borderId="9" xfId="0" applyFont="1" applyBorder="1"/>
    <xf numFmtId="0" fontId="12" fillId="0" borderId="0" xfId="0" applyFont="1" applyAlignment="1">
      <alignment horizontal="center"/>
    </xf>
    <xf numFmtId="0" fontId="4" fillId="0" borderId="10" xfId="0" applyFont="1" applyBorder="1"/>
    <xf numFmtId="0" fontId="15" fillId="0" borderId="9" xfId="0" applyFont="1" applyBorder="1"/>
    <xf numFmtId="170" fontId="12" fillId="6" borderId="42" xfId="0" applyNumberFormat="1" applyFont="1" applyFill="1" applyBorder="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84" fontId="12" fillId="0" borderId="0" xfId="0" applyNumberFormat="1" applyFont="1" applyAlignment="1">
      <alignment horizontal="center"/>
    </xf>
    <xf numFmtId="0" fontId="52" fillId="0" borderId="0" xfId="0" applyFont="1" applyAlignment="1">
      <alignment horizontal="center"/>
    </xf>
    <xf numFmtId="0" fontId="15" fillId="0" borderId="8" xfId="0" applyFont="1" applyBorder="1"/>
    <xf numFmtId="190" fontId="12" fillId="0" borderId="7" xfId="0" applyNumberFormat="1" applyFont="1" applyBorder="1" applyAlignment="1">
      <alignment horizontal="center"/>
    </xf>
    <xf numFmtId="0" fontId="4" fillId="0" borderId="7" xfId="0" applyFont="1" applyBorder="1"/>
    <xf numFmtId="0" fontId="4" fillId="0" borderId="11" xfId="0" applyFont="1" applyBorder="1"/>
    <xf numFmtId="176" fontId="5" fillId="2" borderId="0" xfId="0" applyNumberFormat="1" applyFont="1" applyFill="1" applyAlignment="1">
      <alignment horizontal="center" vertical="center" wrapText="1"/>
    </xf>
    <xf numFmtId="37" fontId="25" fillId="0" borderId="0" xfId="0" applyNumberFormat="1" applyFont="1"/>
    <xf numFmtId="0" fontId="15" fillId="0" borderId="0" xfId="0" applyFont="1" applyAlignment="1">
      <alignment horizontal="left" indent="1"/>
    </xf>
    <xf numFmtId="5" fontId="15" fillId="0" borderId="2" xfId="0" applyNumberFormat="1" applyFont="1" applyBorder="1"/>
    <xf numFmtId="37" fontId="6" fillId="0" borderId="0" xfId="0" applyNumberFormat="1" applyFont="1"/>
    <xf numFmtId="37" fontId="4" fillId="0" borderId="0" xfId="0" applyNumberFormat="1" applyFont="1"/>
    <xf numFmtId="37" fontId="11" fillId="0" borderId="0" xfId="0" applyNumberFormat="1" applyFont="1"/>
    <xf numFmtId="5" fontId="4" fillId="0" borderId="0" xfId="0" applyNumberFormat="1" applyFont="1"/>
    <xf numFmtId="182" fontId="4" fillId="0" borderId="0" xfId="1" applyNumberFormat="1" applyFont="1" applyAlignment="1">
      <alignment horizontal="center"/>
    </xf>
    <xf numFmtId="37" fontId="15" fillId="0" borderId="0" xfId="0" applyNumberFormat="1" applyFont="1"/>
    <xf numFmtId="182" fontId="15" fillId="0" borderId="0" xfId="1" applyNumberFormat="1" applyFont="1" applyAlignment="1">
      <alignment horizontal="center"/>
    </xf>
    <xf numFmtId="0" fontId="2" fillId="2" borderId="12" xfId="0" applyFont="1" applyFill="1" applyBorder="1"/>
    <xf numFmtId="0" fontId="2" fillId="2" borderId="0" xfId="0" applyFont="1" applyFill="1"/>
    <xf numFmtId="0" fontId="2" fillId="0" borderId="9" xfId="0" applyFont="1" applyBorder="1"/>
    <xf numFmtId="0" fontId="53" fillId="0" borderId="9" xfId="0" applyFont="1" applyBorder="1" applyAlignment="1">
      <alignment horizontal="left" indent="1"/>
    </xf>
    <xf numFmtId="0" fontId="16" fillId="0" borderId="9" xfId="0" applyFont="1" applyBorder="1" applyAlignment="1">
      <alignment horizontal="left" indent="1"/>
    </xf>
    <xf numFmtId="166" fontId="10" fillId="0" borderId="0" xfId="1" applyNumberFormat="1" applyFont="1" applyFill="1" applyBorder="1" applyAlignment="1">
      <alignment horizontal="right" vertical="center"/>
    </xf>
    <xf numFmtId="166" fontId="54" fillId="0" borderId="0" xfId="1" applyNumberFormat="1" applyFont="1" applyFill="1" applyBorder="1" applyAlignment="1">
      <alignment horizontal="right" vertical="center"/>
    </xf>
    <xf numFmtId="166" fontId="54" fillId="0" borderId="10" xfId="1" applyNumberFormat="1" applyFont="1" applyFill="1" applyBorder="1" applyAlignment="1">
      <alignment horizontal="right" vertical="center"/>
    </xf>
    <xf numFmtId="0" fontId="16" fillId="0" borderId="9" xfId="0" applyFont="1" applyBorder="1" applyAlignment="1">
      <alignment horizontal="left" indent="2"/>
    </xf>
    <xf numFmtId="166" fontId="10" fillId="0" borderId="10" xfId="1" applyNumberFormat="1" applyFont="1" applyFill="1" applyBorder="1" applyAlignment="1">
      <alignment horizontal="right" vertical="center"/>
    </xf>
    <xf numFmtId="0" fontId="16" fillId="0" borderId="8" xfId="0" applyFont="1" applyBorder="1" applyAlignment="1">
      <alignment horizontal="left" indent="2"/>
    </xf>
    <xf numFmtId="166" fontId="10" fillId="0" borderId="7" xfId="1" applyNumberFormat="1" applyFont="1" applyFill="1" applyBorder="1" applyAlignment="1">
      <alignment horizontal="right" vertical="center"/>
    </xf>
    <xf numFmtId="166" fontId="10" fillId="0" borderId="11" xfId="1" applyNumberFormat="1" applyFont="1" applyFill="1" applyBorder="1" applyAlignment="1">
      <alignment horizontal="right" vertical="center"/>
    </xf>
    <xf numFmtId="0" fontId="4" fillId="0" borderId="0" xfId="0" applyFont="1" applyAlignment="1">
      <alignment horizontal="center"/>
    </xf>
    <xf numFmtId="0" fontId="2" fillId="13" borderId="0" xfId="0" applyFont="1" applyFill="1" applyAlignment="1">
      <alignment vertical="center" wrapText="1"/>
    </xf>
    <xf numFmtId="14" fontId="3" fillId="13" borderId="0" xfId="0" applyNumberFormat="1" applyFont="1" applyFill="1" applyAlignment="1">
      <alignment horizontal="center" vertical="center" wrapText="1"/>
    </xf>
    <xf numFmtId="177" fontId="5" fillId="13" borderId="0" xfId="0" applyNumberFormat="1" applyFont="1" applyFill="1" applyAlignment="1">
      <alignment horizontal="center" vertical="center" wrapText="1"/>
    </xf>
    <xf numFmtId="0" fontId="3" fillId="13" borderId="0" xfId="0" applyFont="1" applyFill="1" applyAlignment="1">
      <alignment vertical="center" wrapText="1"/>
    </xf>
    <xf numFmtId="176" fontId="5" fillId="13" borderId="0" xfId="0" applyNumberFormat="1" applyFont="1" applyFill="1" applyAlignment="1">
      <alignment horizontal="center" vertical="center" wrapText="1"/>
    </xf>
    <xf numFmtId="0" fontId="15" fillId="0" borderId="7" xfId="0" applyFont="1" applyBorder="1"/>
    <xf numFmtId="5" fontId="15" fillId="0" borderId="13" xfId="0" applyNumberFormat="1" applyFont="1" applyBorder="1"/>
    <xf numFmtId="0" fontId="27" fillId="0" borderId="0" xfId="0" applyFont="1" applyAlignment="1">
      <alignment horizontal="left" vertical="center" indent="1"/>
    </xf>
    <xf numFmtId="41" fontId="21" fillId="0" borderId="0" xfId="0" applyNumberFormat="1" applyFont="1" applyAlignment="1">
      <alignment horizontal="right" vertical="center" wrapText="1"/>
    </xf>
    <xf numFmtId="0" fontId="2" fillId="14" borderId="0" xfId="0" applyFont="1" applyFill="1" applyAlignment="1">
      <alignment vertical="center" wrapText="1"/>
    </xf>
    <xf numFmtId="0" fontId="2" fillId="14" borderId="4" xfId="0" applyFont="1" applyFill="1" applyBorder="1" applyAlignment="1">
      <alignment horizontal="centerContinuous" vertical="center" wrapText="1"/>
    </xf>
    <xf numFmtId="14" fontId="3" fillId="14" borderId="0" xfId="0" applyNumberFormat="1" applyFont="1" applyFill="1" applyAlignment="1">
      <alignment horizontal="center" vertical="center" wrapText="1"/>
    </xf>
    <xf numFmtId="0" fontId="3" fillId="14" borderId="0" xfId="0" applyFont="1" applyFill="1" applyAlignment="1">
      <alignment vertical="center" wrapText="1"/>
    </xf>
    <xf numFmtId="176" fontId="5" fillId="14" borderId="0" xfId="0" applyNumberFormat="1" applyFont="1" applyFill="1" applyAlignment="1">
      <alignment horizontal="center" vertical="center" wrapText="1"/>
    </xf>
    <xf numFmtId="177" fontId="3" fillId="14" borderId="0" xfId="0" applyNumberFormat="1" applyFont="1" applyFill="1" applyAlignment="1">
      <alignment horizontal="center" vertical="center" wrapText="1"/>
    </xf>
    <xf numFmtId="177" fontId="5" fillId="14" borderId="0" xfId="0" applyNumberFormat="1" applyFont="1" applyFill="1" applyAlignment="1">
      <alignment horizontal="center" vertical="center" wrapText="1"/>
    </xf>
    <xf numFmtId="5" fontId="15" fillId="0" borderId="0" xfId="0" applyNumberFormat="1" applyFont="1"/>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14" fontId="3" fillId="15" borderId="0" xfId="0" applyNumberFormat="1" applyFont="1" applyFill="1" applyAlignment="1">
      <alignment horizontal="center" vertical="center" wrapText="1"/>
    </xf>
    <xf numFmtId="0" fontId="3" fillId="15" borderId="0" xfId="0" applyFont="1" applyFill="1" applyAlignment="1">
      <alignment vertical="center" wrapText="1"/>
    </xf>
    <xf numFmtId="176" fontId="5" fillId="15" borderId="0" xfId="0" applyNumberFormat="1" applyFont="1" applyFill="1" applyAlignment="1">
      <alignment horizontal="center" vertical="center" wrapText="1"/>
    </xf>
    <xf numFmtId="177" fontId="5" fillId="15" borderId="0" xfId="0" applyNumberFormat="1" applyFont="1" applyFill="1" applyAlignment="1">
      <alignment horizontal="center" vertical="center" wrapText="1"/>
    </xf>
    <xf numFmtId="0" fontId="15" fillId="16" borderId="0" xfId="0" applyFont="1" applyFill="1"/>
    <xf numFmtId="5" fontId="55" fillId="16" borderId="0" xfId="0" applyNumberFormat="1" applyFont="1" applyFill="1"/>
    <xf numFmtId="5" fontId="15" fillId="16" borderId="0" xfId="0" applyNumberFormat="1" applyFont="1" applyFill="1"/>
    <xf numFmtId="0" fontId="15" fillId="16" borderId="2" xfId="0" applyFont="1" applyFill="1" applyBorder="1" applyAlignment="1">
      <alignment horizontal="left"/>
    </xf>
    <xf numFmtId="5" fontId="15" fillId="16" borderId="2" xfId="0" applyNumberFormat="1" applyFont="1" applyFill="1" applyBorder="1"/>
    <xf numFmtId="0" fontId="4" fillId="16" borderId="2" xfId="0" applyFont="1" applyFill="1" applyBorder="1"/>
    <xf numFmtId="186" fontId="4" fillId="0" borderId="0" xfId="0" applyNumberFormat="1" applyFont="1"/>
    <xf numFmtId="0" fontId="16" fillId="0" borderId="0" xfId="0" applyFont="1" applyAlignment="1">
      <alignment horizontal="left" indent="1"/>
    </xf>
    <xf numFmtId="187" fontId="56" fillId="16" borderId="43" xfId="0" applyNumberFormat="1" applyFont="1" applyFill="1" applyBorder="1" applyAlignment="1">
      <alignment horizontal="center" vertical="center"/>
    </xf>
    <xf numFmtId="0" fontId="4" fillId="9" borderId="0" xfId="0" applyFont="1" applyFill="1"/>
    <xf numFmtId="2" fontId="10" fillId="16" borderId="43" xfId="0" applyNumberFormat="1" applyFont="1" applyFill="1" applyBorder="1" applyAlignment="1">
      <alignment horizontal="center" vertical="center"/>
    </xf>
    <xf numFmtId="2" fontId="56" fillId="16" borderId="43" xfId="0" applyNumberFormat="1" applyFont="1" applyFill="1" applyBorder="1" applyAlignment="1">
      <alignment horizontal="center" vertical="center"/>
    </xf>
    <xf numFmtId="1" fontId="56" fillId="16" borderId="43" xfId="0" applyNumberFormat="1" applyFont="1" applyFill="1" applyBorder="1" applyAlignment="1">
      <alignment horizontal="center" vertical="center"/>
    </xf>
    <xf numFmtId="41" fontId="4" fillId="9" borderId="0" xfId="0" applyNumberFormat="1" applyFont="1" applyFill="1"/>
    <xf numFmtId="0" fontId="4" fillId="0" borderId="0" xfId="0" applyFont="1" applyAlignment="1">
      <alignment horizontal="left"/>
    </xf>
    <xf numFmtId="187" fontId="16" fillId="0" borderId="0" xfId="0" applyNumberFormat="1" applyFont="1"/>
    <xf numFmtId="41" fontId="52" fillId="0" borderId="0" xfId="0" applyNumberFormat="1" applyFont="1"/>
    <xf numFmtId="164" fontId="4" fillId="0" borderId="0" xfId="0" applyNumberFormat="1" applyFont="1"/>
    <xf numFmtId="166" fontId="16" fillId="0" borderId="0" xfId="1" applyNumberFormat="1" applyFont="1"/>
    <xf numFmtId="0" fontId="15" fillId="12" borderId="44" xfId="0" applyFont="1" applyFill="1" applyBorder="1" applyAlignment="1">
      <alignment horizontal="left"/>
    </xf>
    <xf numFmtId="5" fontId="15" fillId="12" borderId="45" xfId="0" applyNumberFormat="1" applyFont="1" applyFill="1" applyBorder="1"/>
    <xf numFmtId="0" fontId="15" fillId="12" borderId="45" xfId="0" applyFont="1" applyFill="1" applyBorder="1"/>
    <xf numFmtId="5" fontId="15" fillId="12" borderId="46" xfId="0" applyNumberFormat="1" applyFont="1" applyFill="1" applyBorder="1"/>
    <xf numFmtId="0" fontId="57" fillId="0" borderId="0" xfId="0" applyFont="1" applyAlignment="1">
      <alignment horizontal="left"/>
    </xf>
    <xf numFmtId="10" fontId="11" fillId="0" borderId="0" xfId="1" applyNumberFormat="1" applyFont="1"/>
    <xf numFmtId="10" fontId="6" fillId="0" borderId="0" xfId="1" applyNumberFormat="1" applyFont="1"/>
    <xf numFmtId="166" fontId="4" fillId="0" borderId="0" xfId="1" applyNumberFormat="1" applyFont="1"/>
    <xf numFmtId="10" fontId="4" fillId="0" borderId="0" xfId="0" applyNumberFormat="1" applyFont="1"/>
    <xf numFmtId="7" fontId="15" fillId="16" borderId="2" xfId="0" applyNumberFormat="1" applyFont="1" applyFill="1" applyBorder="1"/>
    <xf numFmtId="7" fontId="11" fillId="0" borderId="0" xfId="1" applyNumberFormat="1" applyFont="1"/>
    <xf numFmtId="7" fontId="52" fillId="0" borderId="0" xfId="1" applyNumberFormat="1" applyFont="1"/>
    <xf numFmtId="7" fontId="4" fillId="0" borderId="0" xfId="0" applyNumberFormat="1" applyFont="1"/>
    <xf numFmtId="179" fontId="8" fillId="16" borderId="2" xfId="0" applyNumberFormat="1" applyFont="1" applyFill="1" applyBorder="1" applyAlignment="1">
      <alignment horizontal="right" vertical="center"/>
    </xf>
    <xf numFmtId="0" fontId="15" fillId="0" borderId="0" xfId="0" applyFont="1" applyAlignment="1">
      <alignment horizontal="left"/>
    </xf>
    <xf numFmtId="7" fontId="15" fillId="0" borderId="0" xfId="0" applyNumberFormat="1" applyFont="1"/>
    <xf numFmtId="191" fontId="52" fillId="0" borderId="0" xfId="0" applyNumberFormat="1" applyFont="1"/>
    <xf numFmtId="0" fontId="4" fillId="0" borderId="12" xfId="0" applyFont="1" applyBorder="1"/>
    <xf numFmtId="14" fontId="52" fillId="0" borderId="13" xfId="7" applyNumberFormat="1" applyFont="1" applyBorder="1" applyAlignment="1">
      <alignment horizontal="right"/>
    </xf>
    <xf numFmtId="14" fontId="12" fillId="0" borderId="13" xfId="7" applyNumberFormat="1" applyFont="1" applyBorder="1" applyAlignment="1">
      <alignment horizontal="right"/>
    </xf>
    <xf numFmtId="186" fontId="59" fillId="0" borderId="13" xfId="0" applyNumberFormat="1" applyFont="1" applyBorder="1"/>
    <xf numFmtId="14" fontId="51" fillId="0" borderId="0" xfId="7" applyNumberFormat="1" applyFont="1" applyAlignment="1">
      <alignment horizontal="right"/>
    </xf>
    <xf numFmtId="7" fontId="12" fillId="0" borderId="0" xfId="0" applyNumberFormat="1" applyFont="1"/>
    <xf numFmtId="14" fontId="52" fillId="0" borderId="0" xfId="7" applyNumberFormat="1" applyFont="1" applyAlignment="1">
      <alignment horizontal="right"/>
    </xf>
    <xf numFmtId="14" fontId="12" fillId="0" borderId="0" xfId="7" applyNumberFormat="1" applyFont="1" applyAlignment="1">
      <alignment horizontal="right"/>
    </xf>
    <xf numFmtId="14" fontId="12" fillId="0" borderId="0" xfId="0" applyNumberFormat="1" applyFont="1" applyAlignment="1">
      <alignment horizontal="right"/>
    </xf>
    <xf numFmtId="0" fontId="60" fillId="0" borderId="0" xfId="6" applyFont="1" applyBorder="1"/>
    <xf numFmtId="0" fontId="61" fillId="0" borderId="0" xfId="0" applyFont="1" applyAlignment="1">
      <alignment horizontal="center"/>
    </xf>
    <xf numFmtId="0" fontId="60" fillId="0" borderId="10" xfId="6" applyFont="1" applyBorder="1"/>
    <xf numFmtId="0" fontId="4" fillId="0" borderId="8" xfId="0" applyFont="1" applyBorder="1"/>
    <xf numFmtId="187" fontId="51" fillId="0" borderId="7" xfId="0" applyNumberFormat="1" applyFont="1" applyBorder="1"/>
    <xf numFmtId="0" fontId="52" fillId="0" borderId="7" xfId="0" applyFont="1" applyBorder="1" applyAlignment="1">
      <alignment horizontal="center"/>
    </xf>
    <xf numFmtId="7" fontId="59" fillId="0" borderId="0" xfId="0" applyNumberFormat="1" applyFont="1" applyAlignment="1">
      <alignment horizontal="right"/>
    </xf>
    <xf numFmtId="0" fontId="2" fillId="2" borderId="0" xfId="0" applyFont="1" applyFill="1" applyAlignment="1">
      <alignment horizontal="left" vertical="center" wrapText="1"/>
    </xf>
    <xf numFmtId="0" fontId="2" fillId="2" borderId="0" xfId="0" applyFont="1" applyFill="1" applyAlignment="1">
      <alignment horizontal="left" vertical="center"/>
    </xf>
    <xf numFmtId="187" fontId="12" fillId="0" borderId="0" xfId="0" applyNumberFormat="1" applyFont="1"/>
    <xf numFmtId="192" fontId="4" fillId="0" borderId="0" xfId="0" applyNumberFormat="1" applyFont="1"/>
    <xf numFmtId="193" fontId="4" fillId="0" borderId="0" xfId="0" applyNumberFormat="1" applyFont="1"/>
    <xf numFmtId="194" fontId="11" fillId="0" borderId="0" xfId="0" applyNumberFormat="1" applyFont="1"/>
    <xf numFmtId="192" fontId="51" fillId="0" borderId="0" xfId="0" applyNumberFormat="1" applyFont="1"/>
    <xf numFmtId="0" fontId="15" fillId="12" borderId="13" xfId="0" applyFont="1" applyFill="1" applyBorder="1"/>
    <xf numFmtId="5" fontId="15" fillId="12" borderId="13" xfId="0" applyNumberFormat="1" applyFont="1" applyFill="1" applyBorder="1"/>
    <xf numFmtId="0" fontId="4" fillId="12" borderId="13" xfId="0" applyFont="1" applyFill="1" applyBorder="1"/>
    <xf numFmtId="0" fontId="16" fillId="0" borderId="0" xfId="0" applyFont="1" applyAlignment="1">
      <alignment horizontal="left"/>
    </xf>
    <xf numFmtId="195" fontId="16" fillId="0" borderId="0" xfId="0" applyNumberFormat="1" applyFont="1"/>
    <xf numFmtId="187" fontId="4" fillId="0" borderId="0" xfId="0" applyNumberFormat="1" applyFont="1"/>
    <xf numFmtId="194" fontId="16" fillId="0" borderId="0" xfId="0" applyNumberFormat="1" applyFont="1"/>
    <xf numFmtId="186" fontId="4" fillId="0" borderId="0" xfId="0" quotePrefix="1" applyNumberFormat="1" applyFont="1"/>
    <xf numFmtId="0" fontId="57" fillId="0" borderId="0" xfId="0" applyFont="1" applyAlignment="1">
      <alignment horizontal="center"/>
    </xf>
    <xf numFmtId="14" fontId="4" fillId="0" borderId="0" xfId="0" applyNumberFormat="1" applyFont="1"/>
    <xf numFmtId="0" fontId="4" fillId="0" borderId="0" xfId="0" applyFont="1" applyAlignment="1">
      <alignment vertical="center"/>
    </xf>
    <xf numFmtId="14" fontId="6" fillId="0" borderId="0" xfId="0" applyNumberFormat="1" applyFont="1" applyAlignment="1">
      <alignment horizontal="right"/>
    </xf>
    <xf numFmtId="0" fontId="53" fillId="0" borderId="0" xfId="0" applyFont="1" applyAlignment="1">
      <alignment horizontal="left" vertical="center"/>
    </xf>
    <xf numFmtId="14" fontId="51" fillId="0" borderId="0" xfId="0" applyNumberFormat="1" applyFont="1"/>
    <xf numFmtId="0" fontId="4" fillId="0" borderId="0" xfId="0" applyFont="1" applyAlignment="1">
      <alignment horizontal="left" vertical="center"/>
    </xf>
    <xf numFmtId="191" fontId="12" fillId="0" borderId="0" xfId="0" applyNumberFormat="1" applyFont="1"/>
    <xf numFmtId="190" fontId="59" fillId="0" borderId="0" xfId="0" applyNumberFormat="1" applyFont="1" applyAlignment="1">
      <alignment horizontal="right" vertical="center"/>
    </xf>
    <xf numFmtId="190" fontId="11" fillId="0" borderId="0" xfId="0" applyNumberFormat="1" applyFont="1" applyAlignment="1">
      <alignment horizontal="right" vertical="center"/>
    </xf>
    <xf numFmtId="0" fontId="51" fillId="0" borderId="0" xfId="0" applyFont="1" applyAlignment="1">
      <alignment horizontal="left" indent="1"/>
    </xf>
    <xf numFmtId="0" fontId="15" fillId="12" borderId="13" xfId="0" applyFont="1" applyFill="1" applyBorder="1" applyAlignment="1">
      <alignment horizontal="left"/>
    </xf>
    <xf numFmtId="3" fontId="15" fillId="12" borderId="13" xfId="0" applyNumberFormat="1" applyFont="1" applyFill="1" applyBorder="1"/>
    <xf numFmtId="196" fontId="15" fillId="0" borderId="0" xfId="0" applyNumberFormat="1" applyFont="1"/>
    <xf numFmtId="0" fontId="4" fillId="0" borderId="0" xfId="0" applyFont="1" applyAlignment="1">
      <alignment horizontal="left" vertical="center" indent="1"/>
    </xf>
    <xf numFmtId="0" fontId="15" fillId="12" borderId="13" xfId="0" applyFont="1" applyFill="1"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Continuous" vertical="center" wrapText="1"/>
    </xf>
    <xf numFmtId="0" fontId="62" fillId="0" borderId="0" xfId="0" applyFont="1" applyAlignment="1">
      <alignment horizontal="center"/>
    </xf>
    <xf numFmtId="192" fontId="4" fillId="0" borderId="0" xfId="0" applyNumberFormat="1" applyFont="1" applyAlignment="1">
      <alignment horizontal="right"/>
    </xf>
    <xf numFmtId="37" fontId="16" fillId="0" borderId="47" xfId="0" applyNumberFormat="1" applyFont="1" applyBorder="1" applyAlignment="1">
      <alignment horizontal="right"/>
    </xf>
    <xf numFmtId="37" fontId="15" fillId="0" borderId="0" xfId="0" applyNumberFormat="1" applyFont="1" applyAlignment="1">
      <alignment horizontal="right"/>
    </xf>
    <xf numFmtId="37" fontId="4" fillId="0" borderId="0" xfId="0" applyNumberFormat="1" applyFont="1" applyAlignment="1">
      <alignment horizontal="right"/>
    </xf>
    <xf numFmtId="0" fontId="15" fillId="6" borderId="13" xfId="0" applyFont="1" applyFill="1" applyBorder="1"/>
    <xf numFmtId="197" fontId="15" fillId="6" borderId="13" xfId="0" applyNumberFormat="1" applyFont="1" applyFill="1" applyBorder="1" applyAlignment="1">
      <alignment horizontal="right"/>
    </xf>
    <xf numFmtId="177" fontId="5" fillId="2" borderId="0" xfId="0" applyNumberFormat="1" applyFont="1" applyFill="1" applyAlignment="1">
      <alignment horizontal="center" vertical="center" wrapText="1"/>
    </xf>
    <xf numFmtId="0" fontId="4" fillId="0" borderId="0" xfId="0" applyFont="1" applyAlignment="1">
      <alignment horizontal="left" indent="2"/>
    </xf>
    <xf numFmtId="0" fontId="15" fillId="12" borderId="0" xfId="0" applyFont="1" applyFill="1"/>
    <xf numFmtId="5" fontId="15" fillId="12" borderId="2" xfId="0" applyNumberFormat="1" applyFont="1" applyFill="1" applyBorder="1"/>
    <xf numFmtId="0" fontId="16" fillId="0" borderId="0" xfId="0" applyFont="1" applyAlignment="1">
      <alignment horizontal="left" vertical="center" indent="1"/>
    </xf>
    <xf numFmtId="5" fontId="49" fillId="6" borderId="13" xfId="0" applyNumberFormat="1" applyFont="1" applyFill="1" applyBorder="1"/>
    <xf numFmtId="192" fontId="59" fillId="0" borderId="0" xfId="0" applyNumberFormat="1" applyFont="1"/>
    <xf numFmtId="192" fontId="63" fillId="0" borderId="47" xfId="0" applyNumberFormat="1" applyFont="1" applyBorder="1" applyAlignment="1">
      <alignment horizontal="center"/>
    </xf>
    <xf numFmtId="192" fontId="63" fillId="0" borderId="0" xfId="0" applyNumberFormat="1" applyFont="1" applyAlignment="1">
      <alignment horizontal="center"/>
    </xf>
    <xf numFmtId="14" fontId="52" fillId="0" borderId="0" xfId="0" applyNumberFormat="1" applyFont="1" applyAlignment="1">
      <alignment horizontal="center"/>
    </xf>
    <xf numFmtId="187" fontId="4" fillId="0" borderId="0" xfId="0" applyNumberFormat="1" applyFont="1" applyAlignment="1">
      <alignment horizontal="center"/>
    </xf>
    <xf numFmtId="0" fontId="49" fillId="12" borderId="13" xfId="0" applyFont="1" applyFill="1" applyBorder="1" applyAlignment="1">
      <alignment vertical="center"/>
    </xf>
    <xf numFmtId="192" fontId="49" fillId="12" borderId="13" xfId="0" applyNumberFormat="1" applyFont="1" applyFill="1" applyBorder="1" applyAlignment="1">
      <alignment vertical="center"/>
    </xf>
    <xf numFmtId="192" fontId="51" fillId="0" borderId="0" xfId="0" applyNumberFormat="1" applyFont="1" applyAlignment="1">
      <alignment vertical="center"/>
    </xf>
    <xf numFmtId="0" fontId="15" fillId="0" borderId="1" xfId="0" applyFont="1" applyBorder="1" applyAlignment="1">
      <alignment horizontal="centerContinuous"/>
    </xf>
    <xf numFmtId="0" fontId="4" fillId="0" borderId="1" xfId="0" applyFont="1" applyBorder="1" applyAlignment="1">
      <alignment horizontal="centerContinuous"/>
    </xf>
    <xf numFmtId="182" fontId="12" fillId="0" borderId="0" xfId="0" applyNumberFormat="1" applyFont="1" applyAlignment="1">
      <alignment vertical="center"/>
    </xf>
    <xf numFmtId="182" fontId="63" fillId="0" borderId="0" xfId="0" applyNumberFormat="1" applyFont="1" applyAlignment="1">
      <alignment horizontal="center" vertical="center"/>
    </xf>
    <xf numFmtId="0" fontId="15" fillId="0" borderId="0" xfId="0" applyFont="1" applyAlignment="1">
      <alignment vertical="center"/>
    </xf>
    <xf numFmtId="0" fontId="15" fillId="17" borderId="0" xfId="0" applyFont="1" applyFill="1" applyAlignment="1">
      <alignment horizontal="centerContinuous" vertical="center"/>
    </xf>
    <xf numFmtId="0" fontId="15" fillId="17" borderId="0" xfId="0" applyFont="1" applyFill="1" applyAlignment="1">
      <alignment horizontal="centerContinuous"/>
    </xf>
    <xf numFmtId="37" fontId="6" fillId="0" borderId="0" xfId="0" applyNumberFormat="1" applyFont="1" applyAlignment="1">
      <alignment vertical="center"/>
    </xf>
    <xf numFmtId="166" fontId="4" fillId="0" borderId="0" xfId="1" applyNumberFormat="1" applyFont="1" applyFill="1" applyAlignment="1">
      <alignment vertical="center"/>
    </xf>
    <xf numFmtId="166" fontId="12" fillId="18" borderId="0" xfId="0" applyNumberFormat="1" applyFont="1" applyFill="1" applyAlignment="1">
      <alignment vertical="center"/>
    </xf>
    <xf numFmtId="0" fontId="4" fillId="17" borderId="0" xfId="0" applyFont="1" applyFill="1"/>
    <xf numFmtId="186" fontId="64" fillId="0" borderId="0" xfId="0" applyNumberFormat="1" applyFont="1"/>
    <xf numFmtId="198" fontId="51" fillId="0" borderId="0" xfId="0" applyNumberFormat="1" applyFont="1"/>
    <xf numFmtId="190" fontId="12" fillId="0" borderId="0" xfId="0" applyNumberFormat="1" applyFont="1"/>
    <xf numFmtId="182" fontId="49" fillId="12" borderId="0" xfId="0" applyNumberFormat="1" applyFont="1" applyFill="1"/>
    <xf numFmtId="182" fontId="4" fillId="0" borderId="0" xfId="1" applyNumberFormat="1" applyFont="1" applyFill="1" applyAlignment="1">
      <alignment vertical="center"/>
    </xf>
    <xf numFmtId="10" fontId="51" fillId="0" borderId="0" xfId="0" applyNumberFormat="1" applyFont="1"/>
    <xf numFmtId="187" fontId="4" fillId="17" borderId="12" xfId="0" applyNumberFormat="1" applyFont="1" applyFill="1" applyBorder="1"/>
    <xf numFmtId="187" fontId="4" fillId="0" borderId="13" xfId="0" applyNumberFormat="1" applyFont="1" applyBorder="1"/>
    <xf numFmtId="187" fontId="4" fillId="0" borderId="14" xfId="0" applyNumberFormat="1" applyFont="1" applyBorder="1"/>
    <xf numFmtId="0" fontId="51" fillId="0" borderId="0" xfId="0" applyFont="1"/>
    <xf numFmtId="199" fontId="49" fillId="12" borderId="2" xfId="0" applyNumberFormat="1" applyFont="1" applyFill="1" applyBorder="1"/>
    <xf numFmtId="9" fontId="49" fillId="12" borderId="2" xfId="1" applyFont="1" applyFill="1" applyBorder="1"/>
    <xf numFmtId="0" fontId="15" fillId="17" borderId="0" xfId="0" applyFont="1" applyFill="1" applyAlignment="1">
      <alignment horizontal="right"/>
    </xf>
    <xf numFmtId="187" fontId="4" fillId="0" borderId="9" xfId="0" applyNumberFormat="1" applyFont="1" applyBorder="1"/>
    <xf numFmtId="187" fontId="4" fillId="17" borderId="0" xfId="0" applyNumberFormat="1" applyFont="1" applyFill="1"/>
    <xf numFmtId="187" fontId="4" fillId="0" borderId="10" xfId="0" applyNumberFormat="1" applyFont="1" applyBorder="1"/>
    <xf numFmtId="10" fontId="12" fillId="0" borderId="0" xfId="0" applyNumberFormat="1" applyFont="1"/>
    <xf numFmtId="182" fontId="12" fillId="0" borderId="0" xfId="0" applyNumberFormat="1" applyFont="1"/>
    <xf numFmtId="190" fontId="51" fillId="0" borderId="0" xfId="0" applyNumberFormat="1" applyFont="1"/>
    <xf numFmtId="187" fontId="4" fillId="0" borderId="8" xfId="0" applyNumberFormat="1" applyFont="1" applyBorder="1"/>
    <xf numFmtId="187" fontId="4" fillId="0" borderId="7" xfId="0" applyNumberFormat="1" applyFont="1" applyBorder="1"/>
    <xf numFmtId="187" fontId="4" fillId="17" borderId="11" xfId="0" applyNumberFormat="1" applyFont="1" applyFill="1" applyBorder="1"/>
    <xf numFmtId="166" fontId="11" fillId="0" borderId="0" xfId="1" applyNumberFormat="1" applyFont="1" applyFill="1" applyAlignment="1">
      <alignment vertical="center"/>
    </xf>
    <xf numFmtId="39" fontId="6" fillId="0" borderId="0" xfId="0" applyNumberFormat="1" applyFont="1"/>
    <xf numFmtId="182" fontId="6" fillId="0" borderId="0" xfId="0" applyNumberFormat="1" applyFont="1"/>
    <xf numFmtId="9" fontId="49" fillId="12" borderId="0" xfId="1" applyFont="1" applyFill="1"/>
    <xf numFmtId="37" fontId="15" fillId="12" borderId="13" xfId="0" applyNumberFormat="1" applyFont="1" applyFill="1" applyBorder="1"/>
    <xf numFmtId="190" fontId="6" fillId="0" borderId="0" xfId="0" applyNumberFormat="1" applyFont="1"/>
    <xf numFmtId="190" fontId="4" fillId="0" borderId="0" xfId="0" applyNumberFormat="1" applyFont="1"/>
    <xf numFmtId="2" fontId="6" fillId="0" borderId="0" xfId="0" applyNumberFormat="1" applyFont="1"/>
    <xf numFmtId="182" fontId="49" fillId="12" borderId="0" xfId="1" applyNumberFormat="1" applyFont="1" applyFill="1"/>
    <xf numFmtId="182" fontId="51" fillId="0" borderId="0" xfId="0" applyNumberFormat="1" applyFont="1"/>
    <xf numFmtId="0" fontId="64" fillId="2" borderId="0" xfId="0" applyFont="1" applyFill="1" applyAlignment="1">
      <alignment horizontal="left" vertical="center"/>
    </xf>
    <xf numFmtId="0" fontId="3" fillId="2" borderId="0" xfId="0" applyFont="1" applyFill="1" applyAlignment="1">
      <alignment horizontal="left" vertical="center"/>
    </xf>
    <xf numFmtId="0" fontId="65" fillId="2" borderId="0" xfId="0" applyFont="1" applyFill="1" applyAlignment="1">
      <alignment horizontal="left" vertical="center"/>
    </xf>
    <xf numFmtId="0" fontId="65" fillId="2" borderId="0" xfId="0" applyFont="1" applyFill="1" applyAlignment="1">
      <alignment horizontal="center" vertical="center"/>
    </xf>
    <xf numFmtId="0" fontId="12" fillId="0" borderId="0" xfId="0" applyFont="1"/>
    <xf numFmtId="190" fontId="52" fillId="0" borderId="0" xfId="0" applyNumberFormat="1" applyFont="1"/>
    <xf numFmtId="7" fontId="59" fillId="0" borderId="0" xfId="0" applyNumberFormat="1" applyFont="1"/>
    <xf numFmtId="37" fontId="12" fillId="0" borderId="0" xfId="0" applyNumberFormat="1" applyFont="1"/>
    <xf numFmtId="37" fontId="59" fillId="0" borderId="0" xfId="0" applyNumberFormat="1" applyFont="1"/>
    <xf numFmtId="190" fontId="4" fillId="0" borderId="1" xfId="0" applyNumberFormat="1" applyFont="1" applyBorder="1"/>
    <xf numFmtId="37" fontId="4" fillId="0" borderId="1" xfId="0" applyNumberFormat="1" applyFont="1" applyBorder="1"/>
    <xf numFmtId="186" fontId="4" fillId="0" borderId="1" xfId="0" applyNumberFormat="1" applyFont="1" applyBorder="1"/>
    <xf numFmtId="0" fontId="4" fillId="0" borderId="48" xfId="0" applyFont="1" applyBorder="1"/>
    <xf numFmtId="190" fontId="4" fillId="0" borderId="49" xfId="0" applyNumberFormat="1" applyFont="1" applyBorder="1"/>
    <xf numFmtId="0" fontId="15" fillId="0" borderId="50" xfId="0" applyFont="1" applyBorder="1"/>
    <xf numFmtId="190" fontId="15" fillId="0" borderId="51" xfId="0" applyNumberFormat="1" applyFont="1" applyBorder="1"/>
    <xf numFmtId="190" fontId="15" fillId="0" borderId="0" xfId="0" applyNumberFormat="1" applyFont="1"/>
    <xf numFmtId="0" fontId="65" fillId="2" borderId="0" xfId="0" applyFont="1" applyFill="1" applyAlignment="1">
      <alignment horizontal="centerContinuous" vertical="center"/>
    </xf>
    <xf numFmtId="7" fontId="11" fillId="6" borderId="52" xfId="0" applyNumberFormat="1" applyFont="1" applyFill="1" applyBorder="1" applyAlignment="1">
      <alignment horizontal="center" vertical="center"/>
    </xf>
    <xf numFmtId="166" fontId="11" fillId="6" borderId="52" xfId="1" applyNumberFormat="1" applyFont="1" applyFill="1" applyBorder="1" applyAlignment="1">
      <alignment horizontal="center" vertical="center"/>
    </xf>
    <xf numFmtId="0" fontId="2" fillId="0" borderId="0" xfId="0" applyFont="1" applyAlignment="1">
      <alignment horizontal="centerContinuous" vertical="center"/>
    </xf>
    <xf numFmtId="41" fontId="6" fillId="0" borderId="0" xfId="0" applyNumberFormat="1" applyFont="1" applyAlignment="1">
      <alignment horizontal="center" vertical="center"/>
    </xf>
    <xf numFmtId="7" fontId="4" fillId="0" borderId="0" xfId="0" applyNumberFormat="1" applyFont="1" applyAlignment="1">
      <alignment vertical="center"/>
    </xf>
    <xf numFmtId="178" fontId="6" fillId="0" borderId="0" xfId="0" applyNumberFormat="1" applyFont="1" applyAlignment="1">
      <alignment horizontal="right" vertical="center"/>
    </xf>
    <xf numFmtId="166" fontId="4" fillId="12" borderId="53" xfId="1" applyNumberFormat="1" applyFont="1" applyFill="1" applyBorder="1" applyAlignment="1">
      <alignment horizontal="right" vertical="center"/>
    </xf>
    <xf numFmtId="178" fontId="11" fillId="0" borderId="0" xfId="0" applyNumberFormat="1" applyFont="1" applyAlignment="1">
      <alignment horizontal="right" vertical="center"/>
    </xf>
    <xf numFmtId="166" fontId="4" fillId="0" borderId="0" xfId="1" applyNumberFormat="1" applyFont="1" applyFill="1" applyBorder="1" applyAlignment="1">
      <alignment horizontal="right" vertical="center"/>
    </xf>
    <xf numFmtId="179" fontId="11" fillId="0" borderId="0" xfId="0" applyNumberFormat="1" applyFont="1" applyAlignment="1">
      <alignment horizontal="right" vertical="center"/>
    </xf>
    <xf numFmtId="7" fontId="11" fillId="0" borderId="0" xfId="0" applyNumberFormat="1" applyFont="1" applyAlignment="1">
      <alignment horizontal="right" vertical="center"/>
    </xf>
    <xf numFmtId="166" fontId="4" fillId="12" borderId="54" xfId="1" applyNumberFormat="1" applyFont="1" applyFill="1" applyBorder="1" applyAlignment="1">
      <alignment horizontal="right" vertical="center"/>
    </xf>
    <xf numFmtId="166" fontId="4" fillId="12" borderId="55" xfId="1" applyNumberFormat="1" applyFont="1" applyFill="1" applyBorder="1" applyAlignment="1">
      <alignment horizontal="right" vertical="center"/>
    </xf>
    <xf numFmtId="179" fontId="6" fillId="0" borderId="0" xfId="0" applyNumberFormat="1" applyFont="1" applyAlignment="1">
      <alignment horizontal="right" vertical="center"/>
    </xf>
    <xf numFmtId="0" fontId="4" fillId="6" borderId="0" xfId="0" applyFont="1" applyFill="1" applyAlignment="1">
      <alignment vertical="center"/>
    </xf>
    <xf numFmtId="41" fontId="6" fillId="6" borderId="0" xfId="0" applyNumberFormat="1" applyFont="1" applyFill="1" applyAlignment="1">
      <alignment horizontal="center" vertical="center"/>
    </xf>
    <xf numFmtId="7" fontId="4" fillId="6" borderId="0" xfId="0" applyNumberFormat="1" applyFont="1" applyFill="1" applyAlignment="1">
      <alignment vertical="center"/>
    </xf>
    <xf numFmtId="178" fontId="6" fillId="6" borderId="0" xfId="0" applyNumberFormat="1" applyFont="1" applyFill="1" applyAlignment="1">
      <alignment horizontal="right" vertical="center"/>
    </xf>
    <xf numFmtId="166" fontId="4" fillId="6" borderId="0" xfId="1" applyNumberFormat="1" applyFont="1" applyFill="1" applyBorder="1" applyAlignment="1">
      <alignment horizontal="right" vertical="center"/>
    </xf>
    <xf numFmtId="179" fontId="6" fillId="6" borderId="0" xfId="0" applyNumberFormat="1" applyFont="1" applyFill="1" applyAlignment="1">
      <alignment horizontal="right" vertical="center"/>
    </xf>
    <xf numFmtId="7" fontId="6" fillId="6" borderId="0" xfId="0" applyNumberFormat="1" applyFont="1" applyFill="1" applyAlignment="1">
      <alignment horizontal="right" vertical="center"/>
    </xf>
    <xf numFmtId="0" fontId="15" fillId="6" borderId="0" xfId="0" applyFont="1" applyFill="1" applyAlignment="1">
      <alignment vertical="center"/>
    </xf>
    <xf numFmtId="178" fontId="8" fillId="6" borderId="0" xfId="0" applyNumberFormat="1" applyFont="1" applyFill="1" applyAlignment="1">
      <alignment horizontal="right" vertical="center"/>
    </xf>
    <xf numFmtId="166" fontId="15" fillId="6" borderId="0" xfId="1" applyNumberFormat="1" applyFont="1" applyFill="1" applyBorder="1" applyAlignment="1">
      <alignment horizontal="right" vertical="center"/>
    </xf>
    <xf numFmtId="179" fontId="8" fillId="6" borderId="0" xfId="0" applyNumberFormat="1" applyFont="1" applyFill="1" applyAlignment="1">
      <alignment horizontal="right" vertical="center"/>
    </xf>
    <xf numFmtId="0" fontId="0" fillId="0" borderId="1" xfId="0" applyBorder="1"/>
    <xf numFmtId="0" fontId="0" fillId="0" borderId="3" xfId="0" applyBorder="1"/>
    <xf numFmtId="0" fontId="0" fillId="0" borderId="0" xfId="0" applyAlignment="1">
      <alignment horizontal="center"/>
    </xf>
    <xf numFmtId="166" fontId="15" fillId="16" borderId="56" xfId="1" applyNumberFormat="1" applyFont="1" applyFill="1" applyBorder="1" applyAlignment="1">
      <alignment horizontal="center" vertical="center"/>
    </xf>
    <xf numFmtId="0" fontId="16" fillId="12" borderId="0" xfId="0" applyFont="1" applyFill="1" applyAlignment="1">
      <alignment horizontal="left" vertical="center" indent="1"/>
    </xf>
    <xf numFmtId="166" fontId="52" fillId="12" borderId="0" xfId="1" applyNumberFormat="1" applyFont="1" applyFill="1" applyAlignment="1">
      <alignment horizontal="right" vertical="center"/>
    </xf>
    <xf numFmtId="166" fontId="4" fillId="12" borderId="0" xfId="1" applyNumberFormat="1" applyFont="1" applyFill="1" applyAlignment="1">
      <alignment horizontal="right" vertical="center"/>
    </xf>
    <xf numFmtId="0" fontId="0" fillId="16" borderId="57" xfId="0" applyFill="1" applyBorder="1"/>
    <xf numFmtId="166" fontId="15" fillId="16" borderId="57" xfId="1" applyNumberFormat="1" applyFont="1" applyFill="1" applyBorder="1" applyAlignment="1">
      <alignment horizontal="center" vertical="center"/>
    </xf>
    <xf numFmtId="0" fontId="0" fillId="16" borderId="58" xfId="0" applyFill="1" applyBorder="1"/>
    <xf numFmtId="0" fontId="4" fillId="6" borderId="28" xfId="0" applyFont="1" applyFill="1" applyBorder="1"/>
    <xf numFmtId="5" fontId="6" fillId="6" borderId="2" xfId="0" applyNumberFormat="1" applyFont="1" applyFill="1" applyBorder="1" applyAlignment="1">
      <alignment vertical="center"/>
    </xf>
    <xf numFmtId="0" fontId="34" fillId="6" borderId="2" xfId="0" applyFont="1" applyFill="1" applyBorder="1"/>
    <xf numFmtId="166" fontId="15" fillId="6" borderId="29" xfId="1" applyNumberFormat="1" applyFont="1" applyFill="1" applyBorder="1" applyAlignment="1">
      <alignment horizontal="center" vertical="center"/>
    </xf>
    <xf numFmtId="0" fontId="16" fillId="6" borderId="30" xfId="0" applyFont="1" applyFill="1" applyBorder="1" applyAlignment="1">
      <alignment horizontal="left" vertical="center" indent="1"/>
    </xf>
    <xf numFmtId="166" fontId="66" fillId="6" borderId="0" xfId="1" applyNumberFormat="1" applyFont="1" applyFill="1" applyBorder="1" applyAlignment="1">
      <alignment vertical="center"/>
    </xf>
    <xf numFmtId="166" fontId="7" fillId="6" borderId="0" xfId="1" applyNumberFormat="1" applyFont="1" applyFill="1" applyBorder="1" applyAlignment="1">
      <alignment vertical="center"/>
    </xf>
    <xf numFmtId="0" fontId="34" fillId="6" borderId="0" xfId="0" applyFont="1" applyFill="1"/>
    <xf numFmtId="166" fontId="15" fillId="6" borderId="31" xfId="1" applyNumberFormat="1" applyFont="1" applyFill="1" applyBorder="1" applyAlignment="1">
      <alignment horizontal="center" vertical="center"/>
    </xf>
    <xf numFmtId="0" fontId="15" fillId="6" borderId="30" xfId="0" applyFont="1" applyFill="1" applyBorder="1"/>
    <xf numFmtId="5" fontId="8" fillId="6" borderId="0" xfId="0" applyNumberFormat="1" applyFont="1" applyFill="1" applyAlignment="1">
      <alignment vertical="center"/>
    </xf>
    <xf numFmtId="0" fontId="4" fillId="6" borderId="30" xfId="0" applyFont="1" applyFill="1" applyBorder="1"/>
    <xf numFmtId="5" fontId="6" fillId="6" borderId="0" xfId="0" applyNumberFormat="1" applyFont="1" applyFill="1" applyAlignment="1">
      <alignment vertical="center"/>
    </xf>
    <xf numFmtId="0" fontId="16" fillId="6" borderId="32" xfId="0" applyFont="1" applyFill="1" applyBorder="1" applyAlignment="1">
      <alignment horizontal="left" vertical="center" indent="1"/>
    </xf>
    <xf numFmtId="166" fontId="66" fillId="6" borderId="6" xfId="1" applyNumberFormat="1" applyFont="1" applyFill="1" applyBorder="1" applyAlignment="1">
      <alignment vertical="center"/>
    </xf>
    <xf numFmtId="166" fontId="7" fillId="6" borderId="6" xfId="1" applyNumberFormat="1" applyFont="1" applyFill="1" applyBorder="1" applyAlignment="1">
      <alignment vertical="center"/>
    </xf>
    <xf numFmtId="0" fontId="34" fillId="6" borderId="6" xfId="0" applyFont="1" applyFill="1" applyBorder="1"/>
    <xf numFmtId="166" fontId="15" fillId="6" borderId="33" xfId="1" applyNumberFormat="1" applyFont="1" applyFill="1" applyBorder="1" applyAlignment="1">
      <alignment horizontal="center" vertical="center"/>
    </xf>
    <xf numFmtId="41" fontId="6" fillId="6" borderId="2" xfId="0" applyNumberFormat="1" applyFont="1" applyFill="1" applyBorder="1" applyAlignment="1">
      <alignment vertical="center"/>
    </xf>
    <xf numFmtId="166" fontId="66" fillId="12" borderId="0" xfId="1" applyNumberFormat="1" applyFont="1" applyFill="1" applyBorder="1" applyAlignment="1">
      <alignment vertical="center"/>
    </xf>
    <xf numFmtId="166" fontId="7" fillId="0" borderId="0" xfId="1" applyNumberFormat="1" applyFont="1" applyFill="1" applyBorder="1" applyAlignment="1">
      <alignment vertical="center"/>
    </xf>
    <xf numFmtId="0" fontId="34" fillId="0" borderId="0" xfId="0" applyFont="1"/>
    <xf numFmtId="166" fontId="15" fillId="0" borderId="0" xfId="1" applyNumberFormat="1" applyFont="1" applyFill="1" applyBorder="1" applyAlignment="1">
      <alignment horizontal="center" vertical="center"/>
    </xf>
    <xf numFmtId="166" fontId="16" fillId="12" borderId="0" xfId="1" applyNumberFormat="1" applyFont="1" applyFill="1" applyAlignment="1">
      <alignment horizontal="right" vertical="center"/>
    </xf>
    <xf numFmtId="166" fontId="31" fillId="12" borderId="0" xfId="1" applyNumberFormat="1" applyFont="1" applyFill="1" applyAlignment="1">
      <alignment horizontal="right" vertical="center"/>
    </xf>
    <xf numFmtId="41" fontId="8" fillId="6" borderId="0" xfId="0" applyNumberFormat="1" applyFont="1" applyFill="1" applyAlignment="1">
      <alignment vertical="center"/>
    </xf>
    <xf numFmtId="166" fontId="4" fillId="6" borderId="6" xfId="1" applyNumberFormat="1" applyFont="1" applyFill="1" applyBorder="1" applyAlignment="1">
      <alignment horizontal="right" vertical="center"/>
    </xf>
    <xf numFmtId="166" fontId="4" fillId="6" borderId="33" xfId="1" applyNumberFormat="1" applyFont="1" applyFill="1" applyBorder="1" applyAlignment="1">
      <alignment horizontal="right" vertical="center"/>
    </xf>
    <xf numFmtId="0" fontId="34" fillId="16" borderId="57" xfId="0" applyFont="1" applyFill="1" applyBorder="1"/>
    <xf numFmtId="166" fontId="16" fillId="6" borderId="0" xfId="1" applyNumberFormat="1" applyFont="1" applyFill="1" applyBorder="1" applyAlignment="1">
      <alignment horizontal="right" vertical="center"/>
    </xf>
    <xf numFmtId="166" fontId="16" fillId="6" borderId="6" xfId="1" applyNumberFormat="1" applyFont="1" applyFill="1" applyBorder="1" applyAlignment="1">
      <alignment horizontal="right" vertical="center"/>
    </xf>
    <xf numFmtId="166" fontId="6" fillId="12" borderId="0" xfId="1" applyNumberFormat="1" applyFont="1" applyFill="1" applyAlignment="1">
      <alignment horizontal="right" vertical="center"/>
    </xf>
    <xf numFmtId="0" fontId="0" fillId="11" borderId="0" xfId="0" applyFill="1"/>
    <xf numFmtId="41" fontId="6" fillId="6" borderId="0" xfId="0" applyNumberFormat="1" applyFont="1" applyFill="1" applyAlignment="1">
      <alignment vertical="center"/>
    </xf>
    <xf numFmtId="178" fontId="6" fillId="6" borderId="2" xfId="0" applyNumberFormat="1" applyFont="1" applyFill="1" applyBorder="1" applyAlignment="1">
      <alignment vertical="center"/>
    </xf>
    <xf numFmtId="178" fontId="8" fillId="6" borderId="0" xfId="0" applyNumberFormat="1" applyFont="1" applyFill="1" applyAlignment="1">
      <alignment vertical="center"/>
    </xf>
    <xf numFmtId="178" fontId="6" fillId="6" borderId="0" xfId="0" applyNumberFormat="1" applyFont="1" applyFill="1" applyAlignment="1">
      <alignment vertical="center"/>
    </xf>
    <xf numFmtId="0" fontId="5" fillId="2" borderId="0" xfId="0" applyFont="1" applyFill="1" applyAlignment="1">
      <alignment horizontal="centerContinuous" vertical="center"/>
    </xf>
    <xf numFmtId="0" fontId="65" fillId="2" borderId="0" xfId="0" applyFont="1" applyFill="1" applyAlignment="1">
      <alignment horizontal="center"/>
    </xf>
    <xf numFmtId="0" fontId="2" fillId="2" borderId="0" xfId="0" applyFont="1" applyFill="1" applyAlignment="1">
      <alignment horizontal="centerContinuous" vertical="center"/>
    </xf>
    <xf numFmtId="0" fontId="15" fillId="6" borderId="37" xfId="0" applyFont="1" applyFill="1" applyBorder="1" applyAlignment="1">
      <alignment vertical="center"/>
    </xf>
    <xf numFmtId="179" fontId="8" fillId="6" borderId="38" xfId="0" applyNumberFormat="1" applyFont="1" applyFill="1" applyBorder="1" applyAlignment="1">
      <alignment horizontal="center" vertical="center"/>
    </xf>
    <xf numFmtId="7" fontId="8" fillId="6" borderId="38" xfId="0" applyNumberFormat="1" applyFont="1" applyFill="1" applyBorder="1" applyAlignment="1">
      <alignment horizontal="right" vertical="center"/>
    </xf>
    <xf numFmtId="39" fontId="8" fillId="6" borderId="38" xfId="0" applyNumberFormat="1" applyFont="1" applyFill="1" applyBorder="1" applyAlignment="1">
      <alignment horizontal="right" vertical="center"/>
    </xf>
    <xf numFmtId="200" fontId="8" fillId="6" borderId="38" xfId="0" applyNumberFormat="1" applyFont="1" applyFill="1" applyBorder="1" applyAlignment="1">
      <alignment horizontal="right" vertical="center"/>
    </xf>
    <xf numFmtId="200" fontId="55" fillId="6" borderId="38" xfId="0" applyNumberFormat="1" applyFont="1" applyFill="1" applyBorder="1" applyAlignment="1">
      <alignment horizontal="right" vertical="center"/>
    </xf>
    <xf numFmtId="5" fontId="8" fillId="6" borderId="38" xfId="0" applyNumberFormat="1" applyFont="1" applyFill="1" applyBorder="1" applyAlignment="1">
      <alignment horizontal="right" vertical="center"/>
    </xf>
    <xf numFmtId="179" fontId="8" fillId="6" borderId="38" xfId="0" applyNumberFormat="1" applyFont="1" applyFill="1" applyBorder="1" applyAlignment="1">
      <alignment horizontal="right" vertical="center"/>
    </xf>
    <xf numFmtId="201" fontId="4" fillId="0" borderId="0" xfId="0" applyNumberFormat="1" applyFont="1"/>
    <xf numFmtId="179" fontId="8" fillId="0" borderId="0" xfId="0" applyNumberFormat="1" applyFont="1" applyAlignment="1">
      <alignment horizontal="center" vertical="center"/>
    </xf>
    <xf numFmtId="7" fontId="8" fillId="0" borderId="0" xfId="0" applyNumberFormat="1" applyFont="1" applyAlignment="1">
      <alignment horizontal="right" vertical="center"/>
    </xf>
    <xf numFmtId="39" fontId="8" fillId="0" borderId="0" xfId="0" applyNumberFormat="1" applyFont="1" applyAlignment="1">
      <alignment horizontal="right" vertical="center"/>
    </xf>
    <xf numFmtId="200" fontId="8" fillId="0" borderId="0" xfId="0" applyNumberFormat="1" applyFont="1" applyAlignment="1">
      <alignment horizontal="right" vertical="center"/>
    </xf>
    <xf numFmtId="5" fontId="8" fillId="0" borderId="0" xfId="0" applyNumberFormat="1" applyFont="1" applyAlignment="1">
      <alignment horizontal="right" vertical="center"/>
    </xf>
    <xf numFmtId="179" fontId="8" fillId="0" borderId="0" xfId="0" applyNumberFormat="1" applyFont="1" applyAlignment="1">
      <alignment horizontal="right" vertical="center"/>
    </xf>
    <xf numFmtId="39" fontId="6" fillId="0" borderId="0" xfId="0" applyNumberFormat="1" applyFont="1" applyAlignment="1">
      <alignment horizontal="right" vertical="center"/>
    </xf>
    <xf numFmtId="5" fontId="6" fillId="0" borderId="0" xfId="0" applyNumberFormat="1" applyFont="1" applyAlignment="1">
      <alignment horizontal="right" vertical="center"/>
    </xf>
    <xf numFmtId="5" fontId="11" fillId="0" borderId="0" xfId="0" applyNumberFormat="1" applyFont="1" applyAlignment="1">
      <alignment horizontal="right" vertical="center"/>
    </xf>
    <xf numFmtId="2" fontId="6" fillId="6" borderId="0" xfId="0" applyNumberFormat="1" applyFont="1" applyFill="1" applyAlignment="1">
      <alignment horizontal="right" vertical="center"/>
    </xf>
    <xf numFmtId="5" fontId="6" fillId="6" borderId="0" xfId="0" applyNumberFormat="1" applyFont="1" applyFill="1" applyAlignment="1">
      <alignment horizontal="right" vertical="center"/>
    </xf>
    <xf numFmtId="2" fontId="8" fillId="6" borderId="0" xfId="0" applyNumberFormat="1" applyFont="1" applyFill="1" applyAlignment="1">
      <alignment horizontal="right" vertical="center"/>
    </xf>
    <xf numFmtId="5" fontId="8" fillId="6" borderId="0" xfId="0" applyNumberFormat="1" applyFont="1" applyFill="1" applyAlignment="1">
      <alignment horizontal="right" vertical="center"/>
    </xf>
  </cellXfs>
  <cellStyles count="8">
    <cellStyle name="%" xfId="3" xr:uid="{B2D0E839-0EB6-4A26-A036-4291FCE77A81}"/>
    <cellStyle name="******************************************" xfId="4" xr:uid="{7C8B12D3-B631-462E-992D-9CE2477EE747}"/>
    <cellStyle name="Comma" xfId="2" builtinId="3"/>
    <cellStyle name="Hyperlink" xfId="6" builtinId="8"/>
    <cellStyle name="Normal" xfId="0" builtinId="0"/>
    <cellStyle name="Normal 2 2 2" xfId="5" xr:uid="{53947D43-52E8-4591-8BF0-B64F7234BDE7}"/>
    <cellStyle name="Normal_DCF_Model" xfId="7" xr:uid="{69F1FD9A-2B90-4282-BED6-EA3C5D806AC2}"/>
    <cellStyle name="Percent" xfId="1" builtinId="5"/>
  </cellStyles>
  <dxfs count="2">
    <dxf>
      <font>
        <b/>
        <i val="0"/>
      </font>
      <fill>
        <patternFill patternType="solid">
          <bgColor theme="2"/>
        </patternFill>
      </fill>
      <border>
        <left/>
        <right/>
        <top/>
        <bottom/>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CC"/>
      <color rgb="FF00B03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06/relationships/richStyles" Target="richData/rich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'[1]Summary Valuation'!$D$17:$D$21</c:f>
              <c:strCache>
                <c:ptCount val="5"/>
                <c:pt idx="0">
                  <c:v>Comparable Trading Analysis</c:v>
                </c:pt>
                <c:pt idx="1">
                  <c:v>DCF Valuation Analysis: Perpetuity Method</c:v>
                </c:pt>
                <c:pt idx="2">
                  <c:v>DCF Valuation Analysis: Multiple Method</c:v>
                </c:pt>
                <c:pt idx="3">
                  <c:v>52 Week Trading</c:v>
                </c:pt>
                <c:pt idx="4">
                  <c:v>Street Consensus</c:v>
                </c:pt>
              </c:strCache>
            </c:strRef>
          </c:cat>
          <c:val>
            <c:numRef>
              <c:f>'[1]Summary Valuation'!$E$17:$E$21</c:f>
              <c:numCache>
                <c:formatCode>General</c:formatCode>
                <c:ptCount val="5"/>
                <c:pt idx="0">
                  <c:v>169.14013195569618</c:v>
                </c:pt>
                <c:pt idx="1">
                  <c:v>213.92265814436621</c:v>
                </c:pt>
                <c:pt idx="2">
                  <c:v>218.81903615797995</c:v>
                </c:pt>
                <c:pt idx="3">
                  <c:v>259.81</c:v>
                </c:pt>
                <c:pt idx="4">
                  <c:v>171</c:v>
                </c:pt>
              </c:numCache>
            </c:numRef>
          </c:val>
          <c:extLst>
            <c:ext xmlns:c16="http://schemas.microsoft.com/office/drawing/2014/chart" uri="{C3380CC4-5D6E-409C-BE32-E72D297353CC}">
              <c16:uniqueId val="{00000000-AE98-4137-94D7-C85CA9B67BBF}"/>
            </c:ext>
          </c:extLst>
        </c:ser>
        <c:ser>
          <c:idx val="1"/>
          <c:order val="1"/>
          <c:spPr>
            <a:solidFill>
              <a:schemeClr val="accent2">
                <a:lumMod val="50000"/>
              </a:schemeClr>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2-AE98-4137-94D7-C85CA9B67BBF}"/>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AE98-4137-94D7-C85CA9B67BBF}"/>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AE98-4137-94D7-C85CA9B67BBF}"/>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8-AE98-4137-94D7-C85CA9B67BBF}"/>
              </c:ext>
            </c:extLst>
          </c:dPt>
          <c:dLbls>
            <c:delete val="1"/>
          </c:dLbls>
          <c:cat>
            <c:strRef>
              <c:f>'[1]Summary Valuation'!$D$17:$D$21</c:f>
              <c:strCache>
                <c:ptCount val="5"/>
                <c:pt idx="0">
                  <c:v>Comparable Trading Analysis</c:v>
                </c:pt>
                <c:pt idx="1">
                  <c:v>DCF Valuation Analysis: Perpetuity Method</c:v>
                </c:pt>
                <c:pt idx="2">
                  <c:v>DCF Valuation Analysis: Multiple Method</c:v>
                </c:pt>
                <c:pt idx="3">
                  <c:v>52 Week Trading</c:v>
                </c:pt>
                <c:pt idx="4">
                  <c:v>Street Consensus</c:v>
                </c:pt>
              </c:strCache>
            </c:strRef>
          </c:cat>
          <c:val>
            <c:numRef>
              <c:f>'[1]Summary Valuation'!$F$17:$F$21</c:f>
              <c:numCache>
                <c:formatCode>General</c:formatCode>
                <c:ptCount val="5"/>
                <c:pt idx="0">
                  <c:v>131.95588984815157</c:v>
                </c:pt>
                <c:pt idx="1">
                  <c:v>86.472101326490986</c:v>
                </c:pt>
                <c:pt idx="2">
                  <c:v>99.277407108504178</c:v>
                </c:pt>
                <c:pt idx="3">
                  <c:v>28.800000000000011</c:v>
                </c:pt>
                <c:pt idx="4">
                  <c:v>192.26</c:v>
                </c:pt>
              </c:numCache>
            </c:numRef>
          </c:val>
          <c:extLst>
            <c:ext xmlns:c16="http://schemas.microsoft.com/office/drawing/2014/chart" uri="{C3380CC4-5D6E-409C-BE32-E72D297353CC}">
              <c16:uniqueId val="{00000009-AE98-4137-94D7-C85CA9B67BBF}"/>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B-AE98-4137-94D7-C85CA9B67BBF}"/>
              </c:ext>
            </c:extLst>
          </c:dPt>
          <c:dPt>
            <c:idx val="1"/>
            <c:invertIfNegative val="0"/>
            <c:bubble3D val="0"/>
            <c:spPr>
              <a:noFill/>
              <a:ln>
                <a:noFill/>
              </a:ln>
              <a:effectLst/>
            </c:spPr>
            <c:extLst>
              <c:ext xmlns:c16="http://schemas.microsoft.com/office/drawing/2014/chart" uri="{C3380CC4-5D6E-409C-BE32-E72D297353CC}">
                <c16:uniqueId val="{0000000D-AE98-4137-94D7-C85CA9B67BBF}"/>
              </c:ext>
            </c:extLst>
          </c:dPt>
          <c:dPt>
            <c:idx val="2"/>
            <c:invertIfNegative val="0"/>
            <c:bubble3D val="0"/>
            <c:spPr>
              <a:noFill/>
              <a:ln>
                <a:noFill/>
              </a:ln>
              <a:effectLst/>
            </c:spPr>
            <c:extLst>
              <c:ext xmlns:c16="http://schemas.microsoft.com/office/drawing/2014/chart" uri="{C3380CC4-5D6E-409C-BE32-E72D297353CC}">
                <c16:uniqueId val="{0000000F-AE98-4137-94D7-C85CA9B67BBF}"/>
              </c:ext>
            </c:extLst>
          </c:dPt>
          <c:dPt>
            <c:idx val="3"/>
            <c:invertIfNegative val="0"/>
            <c:bubble3D val="0"/>
            <c:spPr>
              <a:noFill/>
              <a:ln>
                <a:noFill/>
              </a:ln>
              <a:effectLst/>
            </c:spPr>
            <c:extLst>
              <c:ext xmlns:c16="http://schemas.microsoft.com/office/drawing/2014/chart" uri="{C3380CC4-5D6E-409C-BE32-E72D297353CC}">
                <c16:uniqueId val="{00000011-AE98-4137-94D7-C85CA9B67BBF}"/>
              </c:ext>
            </c:extLst>
          </c:dPt>
          <c:dPt>
            <c:idx val="4"/>
            <c:invertIfNegative val="0"/>
            <c:bubble3D val="0"/>
            <c:spPr>
              <a:noFill/>
              <a:ln>
                <a:noFill/>
              </a:ln>
              <a:effectLst/>
            </c:spPr>
            <c:extLst>
              <c:ext xmlns:c16="http://schemas.microsoft.com/office/drawing/2014/chart" uri="{C3380CC4-5D6E-409C-BE32-E72D297353CC}">
                <c16:uniqueId val="{00000013-AE98-4137-94D7-C85CA9B67BBF}"/>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'[1]Summary Valuation'!$D$17:$D$21</c:f>
              <c:strCache>
                <c:ptCount val="5"/>
                <c:pt idx="0">
                  <c:v>Comparable Trading Analysis</c:v>
                </c:pt>
                <c:pt idx="1">
                  <c:v>DCF Valuation Analysis: Perpetuity Method</c:v>
                </c:pt>
                <c:pt idx="2">
                  <c:v>DCF Valuation Analysis: Multiple Method</c:v>
                </c:pt>
                <c:pt idx="3">
                  <c:v>52 Week Trading</c:v>
                </c:pt>
                <c:pt idx="4">
                  <c:v>Street Consensus</c:v>
                </c:pt>
              </c:strCache>
            </c:strRef>
          </c:cat>
          <c:val>
            <c:numRef>
              <c:f>'[1]Summary Valuation'!$G$17:$G$21</c:f>
              <c:numCache>
                <c:formatCode>General</c:formatCode>
                <c:ptCount val="5"/>
                <c:pt idx="0">
                  <c:v>301.09602180384775</c:v>
                </c:pt>
                <c:pt idx="1">
                  <c:v>300.3947594708572</c:v>
                </c:pt>
                <c:pt idx="2">
                  <c:v>318.09644326648413</c:v>
                </c:pt>
                <c:pt idx="3">
                  <c:v>288.61</c:v>
                </c:pt>
                <c:pt idx="4">
                  <c:v>363.26</c:v>
                </c:pt>
              </c:numCache>
            </c:numRef>
          </c:val>
          <c:extLst>
            <c:ext xmlns:c16="http://schemas.microsoft.com/office/drawing/2014/chart" uri="{C3380CC4-5D6E-409C-BE32-E72D297353CC}">
              <c16:uniqueId val="{00000014-AE98-4137-94D7-C85CA9B67BBF}"/>
            </c:ext>
          </c:extLst>
        </c:ser>
        <c:dLbls>
          <c:dLblPos val="ctr"/>
          <c:showLegendKey val="0"/>
          <c:showVal val="1"/>
          <c:showCatName val="0"/>
          <c:showSerName val="0"/>
          <c:showPercent val="0"/>
          <c:showBubbleSize val="0"/>
        </c:dLbls>
        <c:gapWidth val="150"/>
        <c:overlap val="100"/>
        <c:axId val="1815050832"/>
        <c:axId val="1815051312"/>
      </c:barChart>
      <c:catAx>
        <c:axId val="1815050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15051312"/>
        <c:crosses val="autoZero"/>
        <c:auto val="1"/>
        <c:lblAlgn val="ctr"/>
        <c:lblOffset val="100"/>
        <c:noMultiLvlLbl val="0"/>
      </c:catAx>
      <c:valAx>
        <c:axId val="1815051312"/>
        <c:scaling>
          <c:orientation val="minMax"/>
          <c:max val="400"/>
          <c:min val="150"/>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1505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aseline="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A29B-4049-BC9F-4CD570088D6E}"/>
              </c:ext>
            </c:extLst>
          </c:dPt>
          <c:dPt>
            <c:idx val="1"/>
            <c:bubble3D val="0"/>
            <c:spPr>
              <a:solidFill>
                <a:schemeClr val="accent2"/>
              </a:solidFill>
              <a:ln w="19050">
                <a:noFill/>
              </a:ln>
              <a:effectLst/>
            </c:spPr>
            <c:extLst>
              <c:ext xmlns:c16="http://schemas.microsoft.com/office/drawing/2014/chart" uri="{C3380CC4-5D6E-409C-BE32-E72D297353CC}">
                <c16:uniqueId val="{00000003-A29B-4049-BC9F-4CD570088D6E}"/>
              </c:ext>
            </c:extLst>
          </c:dPt>
          <c:dPt>
            <c:idx val="2"/>
            <c:bubble3D val="0"/>
            <c:spPr>
              <a:solidFill>
                <a:schemeClr val="accent3"/>
              </a:solidFill>
              <a:ln w="19050">
                <a:noFill/>
              </a:ln>
              <a:effectLst/>
            </c:spPr>
            <c:extLst>
              <c:ext xmlns:c16="http://schemas.microsoft.com/office/drawing/2014/chart" uri="{C3380CC4-5D6E-409C-BE32-E72D297353CC}">
                <c16:uniqueId val="{00000005-A29B-4049-BC9F-4CD570088D6E}"/>
              </c:ext>
            </c:extLst>
          </c:dPt>
          <c:dLbls>
            <c:dLbl>
              <c:idx val="0"/>
              <c:layout>
                <c:manualLayout>
                  <c:x val="-0.12698738136179086"/>
                  <c:y val="0.1216641561222197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9B-4049-BC9F-4CD570088D6E}"/>
                </c:ext>
              </c:extLst>
            </c:dLbl>
            <c:dLbl>
              <c:idx val="1"/>
              <c:layout>
                <c:manualLayout>
                  <c:x val="6.7358307476260415E-4"/>
                  <c:y val="-0.2235912993853892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9B-4049-BC9F-4CD570088D6E}"/>
                </c:ext>
              </c:extLst>
            </c:dLbl>
            <c:dLbl>
              <c:idx val="2"/>
              <c:layout>
                <c:manualLayout>
                  <c:x val="0.12398312238589981"/>
                  <c:y val="0.1393860044597010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9B-4049-BC9F-4CD570088D6E}"/>
                </c:ext>
              </c:extLst>
            </c:dLbl>
            <c:spPr>
              <a:noFill/>
              <a:ln>
                <a:noFill/>
              </a:ln>
              <a:effectLst/>
            </c:spPr>
            <c:txPr>
              <a:bodyPr rot="0" spcFirstLastPara="1" vertOverflow="overflow" horzOverflow="overflow" vert="horz" wrap="square" lIns="38100" tIns="19050" rIns="38100" bIns="19050" anchor="ctr" anchorCtr="0">
                <a:spAutoFit/>
              </a:bodyPr>
              <a:lstStyle/>
              <a:p>
                <a:pPr>
                  <a:defRPr sz="12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('[1]Summary Valuation'!$C$27,'[1]Summary Valuation'!$C$28,'[1]Summary Valuation'!$C$33)</c:f>
              <c:strCache>
                <c:ptCount val="3"/>
                <c:pt idx="0">
                  <c:v>DCF: Perpetuity Method</c:v>
                </c:pt>
                <c:pt idx="1">
                  <c:v>DCF: Multiple Method</c:v>
                </c:pt>
                <c:pt idx="2">
                  <c:v>Comparable Trading Analysis  </c:v>
                </c:pt>
              </c:strCache>
            </c:strRef>
          </c:cat>
          <c:val>
            <c:numRef>
              <c:f>('[1]Summary Valuation'!$L$27,'[1]Summary Valuation'!$L$28,'[1]Summary Valuation'!$L$33)</c:f>
              <c:numCache>
                <c:formatCode>General</c:formatCode>
                <c:ptCount val="3"/>
                <c:pt idx="0">
                  <c:v>265.80591894026077</c:v>
                </c:pt>
                <c:pt idx="1">
                  <c:v>278.38548042308247</c:v>
                </c:pt>
                <c:pt idx="2">
                  <c:v>254.6418843927357</c:v>
                </c:pt>
              </c:numCache>
            </c:numRef>
          </c:val>
          <c:extLst>
            <c:ext xmlns:c16="http://schemas.microsoft.com/office/drawing/2014/chart" uri="{C3380CC4-5D6E-409C-BE32-E72D297353CC}">
              <c16:uniqueId val="{00000006-A29B-4049-BC9F-4CD570088D6E}"/>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1</xdr:row>
      <xdr:rowOff>114299</xdr:rowOff>
    </xdr:from>
    <xdr:to>
      <xdr:col>3</xdr:col>
      <xdr:colOff>790575</xdr:colOff>
      <xdr:row>9</xdr:row>
      <xdr:rowOff>123824</xdr:rowOff>
    </xdr:to>
    <xdr:pic>
      <xdr:nvPicPr>
        <xdr:cNvPr id="5" name="Picture 4" descr="About Netflix - Company Assets">
          <a:extLst>
            <a:ext uri="{FF2B5EF4-FFF2-40B4-BE49-F238E27FC236}">
              <a16:creationId xmlns:a16="http://schemas.microsoft.com/office/drawing/2014/main" id="{A0B56975-5FFF-EB54-1A54-D55CB6A28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352424"/>
          <a:ext cx="1914525" cy="191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1</xdr:row>
      <xdr:rowOff>152400</xdr:rowOff>
    </xdr:from>
    <xdr:to>
      <xdr:col>3</xdr:col>
      <xdr:colOff>700928</xdr:colOff>
      <xdr:row>9</xdr:row>
      <xdr:rowOff>139513</xdr:rowOff>
    </xdr:to>
    <xdr:pic>
      <xdr:nvPicPr>
        <xdr:cNvPr id="3" name="Picture 2" descr="About Netflix - Company Assets">
          <a:extLst>
            <a:ext uri="{FF2B5EF4-FFF2-40B4-BE49-F238E27FC236}">
              <a16:creationId xmlns:a16="http://schemas.microsoft.com/office/drawing/2014/main" id="{B6D33F50-620F-41F6-9F52-CEF382177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390525"/>
          <a:ext cx="1920128" cy="1892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425823</xdr:colOff>
      <xdr:row>12</xdr:row>
      <xdr:rowOff>54428</xdr:rowOff>
    </xdr:from>
    <xdr:to>
      <xdr:col>28</xdr:col>
      <xdr:colOff>476250</xdr:colOff>
      <xdr:row>46</xdr:row>
      <xdr:rowOff>67235</xdr:rowOff>
    </xdr:to>
    <xdr:graphicFrame macro="">
      <xdr:nvGraphicFramePr>
        <xdr:cNvPr id="3" name="Chart 2">
          <a:extLst>
            <a:ext uri="{FF2B5EF4-FFF2-40B4-BE49-F238E27FC236}">
              <a16:creationId xmlns:a16="http://schemas.microsoft.com/office/drawing/2014/main" id="{C06C960B-5469-4C5C-8D5E-DD5713302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40822</xdr:colOff>
      <xdr:row>34</xdr:row>
      <xdr:rowOff>117663</xdr:rowOff>
    </xdr:from>
    <xdr:to>
      <xdr:col>12</xdr:col>
      <xdr:colOff>93249</xdr:colOff>
      <xdr:row>47</xdr:row>
      <xdr:rowOff>54428</xdr:rowOff>
    </xdr:to>
    <xdr:graphicFrame macro="">
      <xdr:nvGraphicFramePr>
        <xdr:cNvPr id="4" name="Chart 3">
          <a:extLst>
            <a:ext uri="{FF2B5EF4-FFF2-40B4-BE49-F238E27FC236}">
              <a16:creationId xmlns:a16="http://schemas.microsoft.com/office/drawing/2014/main" id="{50A3FD22-0FB3-45AC-8F73-4EF9D9CDB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17318</xdr:colOff>
      <xdr:row>1</xdr:row>
      <xdr:rowOff>173181</xdr:rowOff>
    </xdr:from>
    <xdr:to>
      <xdr:col>2</xdr:col>
      <xdr:colOff>1660355</xdr:colOff>
      <xdr:row>9</xdr:row>
      <xdr:rowOff>125658</xdr:rowOff>
    </xdr:to>
    <xdr:pic>
      <xdr:nvPicPr>
        <xdr:cNvPr id="5" name="Picture 4" descr="About Netflix - Company Assets">
          <a:extLst>
            <a:ext uri="{FF2B5EF4-FFF2-40B4-BE49-F238E27FC236}">
              <a16:creationId xmlns:a16="http://schemas.microsoft.com/office/drawing/2014/main" id="{150F8F25-8AC7-48DC-92E5-226095ED9E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8545" y="415636"/>
          <a:ext cx="1920128" cy="1892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Downloads\Apple%20Inc%20(APPL)_LTM%204Q25%20Model_v1%20(1).xlsm" TargetMode="External"/><Relationship Id="rId1" Type="http://schemas.openxmlformats.org/officeDocument/2006/relationships/externalLinkPath" Target="Apple%20Inc%20(APPL)_LTM%204Q25%20Model_v1%20(1).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Felix\Downloads\Apple%20Inc%20(APPL)_LTM%204Q25%20Model_v1%20(2).xlsm" TargetMode="External"/><Relationship Id="rId1" Type="http://schemas.openxmlformats.org/officeDocument/2006/relationships/externalLinkPath" Target="Apple%20Inc%20(APPL)_LTM%204Q25%20Model_v1%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ary Assumptions"/>
      <sheetName val="Summary Valuation"/>
      <sheetName val="Historical Financials"/>
      <sheetName val="FCF"/>
      <sheetName val="Revenue Drivers"/>
      <sheetName val="Balance Sheet Drivers"/>
      <sheetName val="Revenue Projections &amp; Cases"/>
      <sheetName val="3 Statement Model"/>
      <sheetName val="DCF"/>
      <sheetName val="WACC"/>
      <sheetName val="Street Price Targets"/>
      <sheetName val="Street Consensus"/>
      <sheetName val="Peer Comparables"/>
    </sheetNames>
    <sheetDataSet>
      <sheetData sheetId="0" refreshError="1"/>
      <sheetData sheetId="1" refreshError="1"/>
      <sheetData sheetId="2">
        <row r="17">
          <cell r="D17" t="str">
            <v>Comparable Trading Analysis</v>
          </cell>
          <cell r="E17">
            <v>169.14013195569618</v>
          </cell>
          <cell r="F17">
            <v>131.95588984815157</v>
          </cell>
          <cell r="G17">
            <v>301.09602180384775</v>
          </cell>
        </row>
        <row r="18">
          <cell r="D18" t="str">
            <v>DCF Valuation Analysis: Perpetuity Method</v>
          </cell>
          <cell r="E18">
            <v>213.92265814436621</v>
          </cell>
          <cell r="F18">
            <v>86.472101326490986</v>
          </cell>
          <cell r="G18">
            <v>300.3947594708572</v>
          </cell>
        </row>
        <row r="19">
          <cell r="D19" t="str">
            <v>DCF Valuation Analysis: Multiple Method</v>
          </cell>
          <cell r="E19">
            <v>218.81903615797995</v>
          </cell>
          <cell r="F19">
            <v>99.277407108504178</v>
          </cell>
          <cell r="G19">
            <v>318.09644326648413</v>
          </cell>
        </row>
        <row r="20">
          <cell r="D20" t="str">
            <v>52 Week Trading</v>
          </cell>
          <cell r="E20">
            <v>259.81</v>
          </cell>
          <cell r="F20">
            <v>28.800000000000011</v>
          </cell>
          <cell r="G20">
            <v>288.61</v>
          </cell>
        </row>
        <row r="21">
          <cell r="D21" t="str">
            <v>Street Consensus</v>
          </cell>
          <cell r="E21">
            <v>171</v>
          </cell>
          <cell r="F21">
            <v>192.26</v>
          </cell>
          <cell r="G21">
            <v>363.26</v>
          </cell>
        </row>
        <row r="27">
          <cell r="C27" t="str">
            <v>DCF: Perpetuity Method</v>
          </cell>
          <cell r="L27">
            <v>265.80591894026077</v>
          </cell>
        </row>
        <row r="28">
          <cell r="C28" t="str">
            <v>DCF: Multiple Method</v>
          </cell>
          <cell r="L28">
            <v>278.38548042308247</v>
          </cell>
        </row>
        <row r="33">
          <cell r="C33" t="str">
            <v xml:space="preserve">Comparable Trading Analysis  </v>
          </cell>
          <cell r="L33">
            <v>254.6418843927357</v>
          </cell>
        </row>
      </sheetData>
      <sheetData sheetId="3" refreshError="1"/>
      <sheetData sheetId="4" refreshError="1"/>
      <sheetData sheetId="5">
        <row r="9">
          <cell r="G9">
            <v>137781</v>
          </cell>
        </row>
      </sheetData>
      <sheetData sheetId="6" refreshError="1"/>
      <sheetData sheetId="7"/>
      <sheetData sheetId="8">
        <row r="16">
          <cell r="C16">
            <v>2020</v>
          </cell>
          <cell r="D16">
            <v>2021</v>
          </cell>
          <cell r="E16">
            <v>2022</v>
          </cell>
          <cell r="F16">
            <v>2023</v>
          </cell>
          <cell r="G16">
            <v>2024</v>
          </cell>
          <cell r="H16">
            <v>2025</v>
          </cell>
          <cell r="L16">
            <v>2026</v>
          </cell>
          <cell r="M16">
            <v>2027</v>
          </cell>
          <cell r="N16">
            <v>2028</v>
          </cell>
          <cell r="O16">
            <v>2029</v>
          </cell>
          <cell r="P16">
            <v>2030</v>
          </cell>
          <cell r="Q16">
            <v>2031</v>
          </cell>
        </row>
        <row r="17">
          <cell r="C17">
            <v>44104</v>
          </cell>
          <cell r="D17">
            <v>44469</v>
          </cell>
          <cell r="E17">
            <v>44834</v>
          </cell>
          <cell r="F17">
            <v>45192</v>
          </cell>
          <cell r="G17">
            <v>45559</v>
          </cell>
          <cell r="H17">
            <v>45927</v>
          </cell>
          <cell r="L17">
            <v>46295</v>
          </cell>
          <cell r="M17">
            <v>46660</v>
          </cell>
          <cell r="N17">
            <v>47026</v>
          </cell>
          <cell r="O17">
            <v>47391</v>
          </cell>
          <cell r="P17">
            <v>47756</v>
          </cell>
          <cell r="Q17">
            <v>48121</v>
          </cell>
        </row>
      </sheetData>
      <sheetData sheetId="9"/>
      <sheetData sheetId="10" refreshError="1"/>
      <sheetData sheetId="11" refreshError="1"/>
      <sheetData sheetId="12">
        <row r="145">
          <cell r="C145">
            <v>37319</v>
          </cell>
        </row>
      </sheetData>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ary Assumptions"/>
      <sheetName val="Summary Valuation"/>
      <sheetName val="Historical Financials"/>
      <sheetName val="FCF"/>
      <sheetName val="Revenue Drivers"/>
      <sheetName val="Balance Sheet Drivers"/>
      <sheetName val="Revenue Projections &amp; Cases"/>
      <sheetName val="3 Statement Model"/>
      <sheetName val="DCF"/>
      <sheetName val="WACC"/>
      <sheetName val="Street Price Targets"/>
      <sheetName val="Street Consensus"/>
      <sheetName val="Peer Comparables"/>
    </sheetNames>
    <sheetDataSet>
      <sheetData sheetId="0"/>
      <sheetData sheetId="1"/>
      <sheetData sheetId="2"/>
      <sheetData sheetId="3">
        <row r="2">
          <cell r="B2" t="str">
            <v>Apple Inc. (NASDAQ: AAPL)</v>
          </cell>
        </row>
        <row r="7">
          <cell r="G7">
            <v>2020</v>
          </cell>
          <cell r="H7">
            <v>2021</v>
          </cell>
          <cell r="I7">
            <v>2022</v>
          </cell>
          <cell r="J7">
            <v>2023</v>
          </cell>
          <cell r="K7">
            <v>2024</v>
          </cell>
          <cell r="L7">
            <v>2025</v>
          </cell>
        </row>
        <row r="8">
          <cell r="G8">
            <v>44104</v>
          </cell>
          <cell r="H8">
            <v>44469</v>
          </cell>
          <cell r="I8">
            <v>44834</v>
          </cell>
          <cell r="J8">
            <v>45192</v>
          </cell>
          <cell r="K8">
            <v>45559</v>
          </cell>
          <cell r="L8">
            <v>45927</v>
          </cell>
        </row>
      </sheetData>
      <sheetData sheetId="4"/>
      <sheetData sheetId="5">
        <row r="9">
          <cell r="B9" t="str">
            <v>iPhone Revenue</v>
          </cell>
        </row>
        <row r="10">
          <cell r="B10" t="str">
            <v>Mac Revenue</v>
          </cell>
        </row>
        <row r="11">
          <cell r="B11" t="str">
            <v>iPad Revenue</v>
          </cell>
        </row>
        <row r="12">
          <cell r="B12" t="str">
            <v>Services Revenue</v>
          </cell>
        </row>
        <row r="13">
          <cell r="B13" t="str">
            <v>Wearables, Home, and Accessories Revenue</v>
          </cell>
        </row>
      </sheetData>
      <sheetData sheetId="6"/>
      <sheetData sheetId="7">
        <row r="6">
          <cell r="D6" t="str">
            <v>Base case</v>
          </cell>
        </row>
        <row r="27">
          <cell r="H27">
            <v>231000</v>
          </cell>
        </row>
        <row r="28">
          <cell r="H28">
            <v>50850</v>
          </cell>
        </row>
        <row r="29">
          <cell r="H29">
            <v>26947</v>
          </cell>
        </row>
        <row r="35">
          <cell r="H35">
            <v>907</v>
          </cell>
        </row>
        <row r="36">
          <cell r="H36">
            <v>551</v>
          </cell>
        </row>
        <row r="37">
          <cell r="H37">
            <v>1251</v>
          </cell>
        </row>
      </sheetData>
      <sheetData sheetId="8">
        <row r="16">
          <cell r="L16">
            <v>2026</v>
          </cell>
          <cell r="M16">
            <v>2027</v>
          </cell>
          <cell r="N16">
            <v>2028</v>
          </cell>
          <cell r="O16">
            <v>2029</v>
          </cell>
          <cell r="P16">
            <v>2030</v>
          </cell>
          <cell r="Q16">
            <v>2031</v>
          </cell>
        </row>
        <row r="19">
          <cell r="B19" t="str">
            <v>iPhone Revenue</v>
          </cell>
          <cell r="H19">
            <v>209586</v>
          </cell>
        </row>
        <row r="20">
          <cell r="B20" t="str">
            <v>Mac Revenue</v>
          </cell>
          <cell r="H20">
            <v>33708</v>
          </cell>
        </row>
        <row r="21">
          <cell r="B21" t="str">
            <v>iPad Revenue</v>
          </cell>
          <cell r="H21">
            <v>28023</v>
          </cell>
        </row>
        <row r="22">
          <cell r="B22" t="str">
            <v>Services Revenue</v>
          </cell>
          <cell r="H22">
            <v>109158</v>
          </cell>
        </row>
        <row r="23">
          <cell r="B23" t="str">
            <v>Wearables, Home, and Accessories Revenue</v>
          </cell>
          <cell r="H23">
            <v>35686</v>
          </cell>
        </row>
        <row r="24">
          <cell r="H24">
            <v>416161</v>
          </cell>
        </row>
        <row r="135">
          <cell r="H135">
            <v>12715</v>
          </cell>
        </row>
      </sheetData>
      <sheetData sheetId="9">
        <row r="35">
          <cell r="C35">
            <v>-33763</v>
          </cell>
        </row>
        <row r="57">
          <cell r="C57">
            <v>416161</v>
          </cell>
        </row>
        <row r="60">
          <cell r="C60">
            <v>144748</v>
          </cell>
        </row>
      </sheetData>
      <sheetData sheetId="10"/>
      <sheetData sheetId="11"/>
      <sheetData sheetId="12"/>
      <sheetData sheetId="13"/>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https://www.bing.com/financeapi/forcetrigger?t=a1mou2&amp;q=XNAS%3aAAPL&amp;form=skydnc</v>
    <v>Learn more on Bing</v>
  </rv>
  <rv s="1">
    <v>en-US</v>
    <v>a1mou2</v>
    <v>268435456</v>
    <v>1</v>
    <v>Powered by Refinitiv</v>
    <v>0</v>
    <v>APPLE INC. (XNAS:AAPL)</v>
    <v>2</v>
    <v>3</v>
    <v>Finance</v>
    <v>4</v>
    <v>288.62</v>
    <v>169.21010000000001</v>
    <v>1.0942000000000001</v>
    <v>0.33</v>
    <v>-3.084E-6</v>
    <v>1.2740000000000002E-3</v>
    <v>-8.0000000000000004E-4</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260.20999999999998</v>
    <v>Computers, Phones &amp; Household Electronics</v>
    <v>Stock</v>
    <v>46032.041580566409</v>
    <v>0</v>
    <v>256.22000000000003</v>
    <v>3832541899500</v>
    <v>APPLE INC.</v>
    <v>APPLE INC.</v>
    <v>259.07499999999999</v>
    <v>34.924500000000002</v>
    <v>259.04000000000002</v>
    <v>259.37</v>
    <v>259.36919999999998</v>
    <v>14776350000</v>
    <v>AAPL</v>
    <v>APPLE INC. (XNAS:AAPL)</v>
    <v>39996967</v>
    <v>42353529</v>
    <v>1977</v>
  </rv>
  <rv s="2">
    <v>1</v>
  </rv>
  <rv s="0">
    <v>http://en.wikipedia.org/wiki/Public_domain</v>
    <v>Public domain</v>
  </rv>
  <rv s="0">
    <v>https://en.wikipedia.org/wiki/Microsoft</v>
    <v>Wikipedia</v>
  </rv>
  <rv s="3">
    <v>3</v>
    <v>4</v>
  </rv>
  <rv s="4">
    <v>9</v>
    <v>https://www.bing.com/th?id=AMMS_e6e837c7bf3a77408619758b7447855a&amp;qlt=95</v>
    <v>5</v>
    <v>0</v>
    <v>https://www.bing.com/images/search?form=xlimg&amp;q=microsoft</v>
    <v>Image of MICROSOFT CORPORATION</v>
  </rv>
  <rv s="0">
    <v>https://www.bing.com/financeapi/forcetrigger?t=a1xzim&amp;q=XNAS%3aMSFT&amp;form=skydnc</v>
    <v>Learn more on Bing</v>
  </rv>
  <rv s="5">
    <v>en-US</v>
    <v>a1xzim</v>
    <v>268435456</v>
    <v>1</v>
    <v>Powered by Refinitiv</v>
    <v>5</v>
    <v>MICROSOFT CORPORATION (XNAS:MSFT)</v>
    <v>7</v>
    <v>8</v>
    <v>Finance</v>
    <v>4</v>
    <v>555.45000000000005</v>
    <v>344.79</v>
    <v>1.0837000000000001</v>
    <v>1.17</v>
    <v>-5.842E-4</v>
    <v>2.447E-3</v>
    <v>-0.28000000000000003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479.82</v>
    <v>6</v>
    <v>Software &amp; IT Services</v>
    <v>Stock</v>
    <v>46032.041665392971</v>
    <v>7</v>
    <v>472.20010000000002</v>
    <v>3562189648560</v>
    <v>MICROSOFT CORPORATION</v>
    <v>MICROSOFT CORPORATION</v>
    <v>474.06</v>
    <v>34.099299999999999</v>
    <v>478.11</v>
    <v>479.28</v>
    <v>479</v>
    <v>7432377000</v>
    <v>MSFT</v>
    <v>MICROSOFT CORPORATION (XNAS:MSFT)</v>
    <v>18491036</v>
    <v>22824719</v>
    <v>1993</v>
  </rv>
  <rv s="2">
    <v>8</v>
  </rv>
  <rv s="0">
    <v>https://www.bing.com/financeapi/forcetrigger?t=a1nhlh&amp;q=XNAS%3aAMZN&amp;form=skydnc</v>
    <v>Learn more on Bing</v>
  </rv>
  <rv s="1">
    <v>en-US</v>
    <v>a1nhlh</v>
    <v>268435456</v>
    <v>1</v>
    <v>Powered by Refinitiv</v>
    <v>0</v>
    <v>AMAZON.COM, INC. (XNAS:AMZN)</v>
    <v>2</v>
    <v>3</v>
    <v>Finance</v>
    <v>4</v>
    <v>258.60000000000002</v>
    <v>161.38</v>
    <v>1.3764000000000001</v>
    <v>1.0900000000000001</v>
    <v>6.8720000000000001E-4</v>
    <v>4.4260000000000002E-3</v>
    <v>0.17</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247.86</v>
    <v>Diversified Retail</v>
    <v>Stock</v>
    <v>46032.041662800781</v>
    <v>10</v>
    <v>242.24</v>
    <v>2632893000000</v>
    <v>AMAZON.COM, INC.</v>
    <v>AMAZON.COM, INC.</v>
    <v>244.56800000000001</v>
    <v>34.945599999999999</v>
    <v>246.29</v>
    <v>247.38</v>
    <v>247.55</v>
    <v>10690220000</v>
    <v>AMZN</v>
    <v>AMAZON.COM, INC. (XNAS:AMZN)</v>
    <v>34559961</v>
    <v>37438870</v>
    <v>1996</v>
  </rv>
  <rv s="2">
    <v>11</v>
  </rv>
  <rv s="0">
    <v>https://www.bing.com/financeapi/forcetrigger?t=a1u3p2&amp;q=XNAS%3aGOOG&amp;form=skydnc</v>
    <v>Learn more on Bing</v>
  </rv>
  <rv s="1">
    <v>en-US</v>
    <v>a1u3p2</v>
    <v>268435456</v>
    <v>1</v>
    <v>Powered by Refinitiv</v>
    <v>0</v>
    <v>ALPHABET INC. (XNAS:GOOG)</v>
    <v>2</v>
    <v>3</v>
    <v>Finance</v>
    <v>4</v>
    <v>331.48</v>
    <v>142.66</v>
    <v>1.0946</v>
    <v>3.13</v>
    <v>2.2789999999999998E-3</v>
    <v>9.6010000000000002E-3</v>
    <v>0.75</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331.48</v>
    <v>Software &amp; IT Services</v>
    <v>Stock</v>
    <v>46032.041630589847</v>
    <v>13</v>
    <v>326.25</v>
    <v>3930167000000</v>
    <v>ALPHABET INC.</v>
    <v>ALPHABET INC.</v>
    <v>327.49</v>
    <v>32.501899999999999</v>
    <v>326.01</v>
    <v>329.14</v>
    <v>329.89</v>
    <v>12067000000</v>
    <v>GOOG</v>
    <v>ALPHABET INC. (XNAS:GOOG)</v>
    <v>17917732</v>
    <v>19847927</v>
    <v>2015</v>
  </rv>
  <rv s="2">
    <v>14</v>
  </rv>
  <rv s="0">
    <v>https://www.bing.com/financeapi/forcetrigger?t=a1yv52&amp;q=XNAS%3aNVDA&amp;form=skydnc</v>
    <v>Learn more on Bing</v>
  </rv>
  <rv s="1">
    <v>en-US</v>
    <v>a1yv52</v>
    <v>268435456</v>
    <v>1</v>
    <v>Powered by Refinitiv</v>
    <v>0</v>
    <v>NVIDIA CORPORATION (XNAS:NVDA)</v>
    <v>2</v>
    <v>3</v>
    <v>Finance</v>
    <v>4</v>
    <v>212.18989999999999</v>
    <v>86.62</v>
    <v>2.3107000000000002</v>
    <v>-0.18</v>
    <v>5.9499999999999993E-4</v>
    <v>-9.7280000000000001E-4</v>
    <v>0.11</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186.34</v>
    <v>Semiconductors &amp; Semiconductor Equipment</v>
    <v>Stock</v>
    <v>46032.04165806641</v>
    <v>16</v>
    <v>183.67009999999999</v>
    <v>4492098000000</v>
    <v>NVIDIA CORPORATION</v>
    <v>NVIDIA CORPORATION</v>
    <v>185.08</v>
    <v>45.8309</v>
    <v>185.04</v>
    <v>184.86</v>
    <v>184.97</v>
    <v>24300000000</v>
    <v>NVDA</v>
    <v>NVIDIA CORPORATION (XNAS:NVDA)</v>
    <v>131327534</v>
    <v>163742542</v>
    <v>1998</v>
  </rv>
  <rv s="2">
    <v>17</v>
  </rv>
  <rv s="0">
    <v>https://www.bing.com/financeapi/forcetrigger?t=a1slm7&amp;q=XNAS%3aMETA&amp;form=skydnc</v>
    <v>Learn more on Bing</v>
  </rv>
  <rv s="1">
    <v>en-US</v>
    <v>a1slm7</v>
    <v>268435456</v>
    <v>1</v>
    <v>Powered by Refinitiv</v>
    <v>0</v>
    <v>Meta Platforms, Inc. (XNAS:META)</v>
    <v>2</v>
    <v>3</v>
    <v>Finance</v>
    <v>4</v>
    <v>796.25</v>
    <v>479.8</v>
    <v>1.2773000000000001</v>
    <v>7</v>
    <v>-7.6559999999999999E-5</v>
    <v>1.0834999999999999E-2</v>
    <v>-0.05</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78450</v>
    <v>Nasdaq Stock Market</v>
    <v>XNAS</v>
    <v>XNAS</v>
    <v>1 Meta Way, MENLO PARK, CA, 94025 US</v>
    <v>654.95000000000005</v>
    <v>Software &amp; IT Services</v>
    <v>Stock</v>
    <v>46032.041661203126</v>
    <v>19</v>
    <v>642.85</v>
    <v>1646056015679</v>
    <v>Meta Platforms, Inc.</v>
    <v>Meta Platforms, Inc.</v>
    <v>645.43499999999995</v>
    <v>22.468</v>
    <v>646.05999999999995</v>
    <v>653.05999999999995</v>
    <v>653.01</v>
    <v>2520528000</v>
    <v>META</v>
    <v>Meta Platforms, Inc. (XNAS:META)</v>
    <v>11634944</v>
    <v>14895122</v>
    <v>2004</v>
  </rv>
  <rv s="2">
    <v>20</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0">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0</v>
      <v>0</v>
    </spb>
    <spb s="6">
      <v>6</v>
      <v>1</v>
      <v>1</v>
      <v>1</v>
      <v>1</v>
    </spb>
    <spb s="7">
      <v>1</v>
      <v>2</v>
      <v>2</v>
      <v>1</v>
      <v>3</v>
      <v>1</v>
      <v>10</v>
      <v>1</v>
      <v>1</v>
      <v>4</v>
      <v>4</v>
      <v>5</v>
      <v>6</v>
      <v>1</v>
      <v>1</v>
      <v>1</v>
      <v>4</v>
      <v>7</v>
      <v>8</v>
      <v>9</v>
      <v>4</v>
      <v>1</v>
      <v>1</v>
      <v>5</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ichStyles>
</richStyleSheet>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37B5-31D2-407C-8472-E550C78025CA}">
  <dimension ref="B2:N47"/>
  <sheetViews>
    <sheetView showGridLines="0" zoomScale="85" zoomScaleNormal="85" workbookViewId="0">
      <selection activeCell="I39" sqref="I39"/>
    </sheetView>
  </sheetViews>
  <sheetFormatPr defaultColWidth="10.875" defaultRowHeight="18.75" customHeight="1"/>
  <cols>
    <col min="1" max="1" width="1.625" style="166" customWidth="1"/>
    <col min="2" max="2" width="3.625" style="166" customWidth="1"/>
    <col min="3" max="13" width="12.625" style="166" customWidth="1"/>
    <col min="14" max="14" width="3.625" style="166" customWidth="1"/>
    <col min="15" max="16384" width="10.875" style="166"/>
  </cols>
  <sheetData>
    <row r="2" spans="2:14" ht="18.75" customHeight="1">
      <c r="B2" s="167"/>
      <c r="C2" s="167"/>
      <c r="D2" s="167"/>
      <c r="E2" s="167"/>
      <c r="F2" s="167"/>
      <c r="G2" s="167"/>
      <c r="H2" s="167"/>
      <c r="I2" s="167"/>
      <c r="J2" s="167"/>
      <c r="K2" s="167"/>
      <c r="L2" s="167"/>
      <c r="M2" s="167"/>
      <c r="N2" s="167"/>
    </row>
    <row r="3" spans="2:14" ht="18.75" customHeight="1">
      <c r="B3" s="167"/>
      <c r="C3" s="167"/>
      <c r="D3" s="167"/>
      <c r="E3" s="167"/>
      <c r="F3" s="167"/>
      <c r="G3" s="167"/>
      <c r="H3" s="167"/>
      <c r="I3" s="167"/>
      <c r="J3" s="167"/>
      <c r="K3" s="167"/>
      <c r="L3" s="167"/>
      <c r="M3" s="167"/>
      <c r="N3" s="167"/>
    </row>
    <row r="4" spans="2:14" ht="18.75" customHeight="1">
      <c r="B4" s="167"/>
      <c r="C4" s="167"/>
      <c r="D4" s="167"/>
      <c r="E4" s="167"/>
      <c r="F4" s="167"/>
      <c r="G4" s="167"/>
      <c r="H4" s="167"/>
      <c r="I4" s="167"/>
      <c r="J4" s="167"/>
      <c r="K4" s="167"/>
      <c r="L4" s="167"/>
      <c r="M4" s="167"/>
      <c r="N4" s="167"/>
    </row>
    <row r="5" spans="2:14" ht="18.75" customHeight="1">
      <c r="B5" s="167"/>
      <c r="C5" s="167"/>
      <c r="D5" s="167"/>
      <c r="E5" s="167"/>
      <c r="F5" s="167"/>
      <c r="G5" s="167"/>
      <c r="H5" s="167"/>
      <c r="I5" s="167"/>
      <c r="J5" s="167"/>
      <c r="K5" s="167"/>
      <c r="L5" s="167"/>
      <c r="M5" s="167"/>
      <c r="N5" s="167"/>
    </row>
    <row r="6" spans="2:14" ht="18.75" customHeight="1">
      <c r="B6" s="167"/>
      <c r="C6" s="167"/>
      <c r="D6" s="167"/>
      <c r="E6" s="167"/>
      <c r="F6" s="167"/>
      <c r="G6" s="167"/>
      <c r="H6" s="167"/>
      <c r="I6" s="167"/>
      <c r="J6" s="167"/>
      <c r="K6" s="167"/>
      <c r="L6" s="167"/>
      <c r="M6" s="167"/>
      <c r="N6" s="167"/>
    </row>
    <row r="7" spans="2:14" ht="18.75" customHeight="1">
      <c r="B7" s="167"/>
      <c r="C7" s="167"/>
      <c r="D7" s="167"/>
      <c r="E7" s="167"/>
      <c r="F7" s="167"/>
      <c r="G7" s="167"/>
      <c r="H7" s="167"/>
      <c r="I7" s="167"/>
      <c r="J7" s="167"/>
      <c r="K7" s="167"/>
      <c r="L7" s="167"/>
      <c r="M7" s="167"/>
      <c r="N7" s="167"/>
    </row>
    <row r="8" spans="2:14" ht="18.75" customHeight="1">
      <c r="B8" s="167"/>
      <c r="C8" s="167"/>
      <c r="D8" s="167"/>
      <c r="E8" s="167"/>
      <c r="F8" s="167"/>
      <c r="G8" s="167"/>
      <c r="H8" s="167"/>
      <c r="I8" s="167"/>
      <c r="J8" s="167"/>
      <c r="K8" s="167"/>
      <c r="L8" s="167"/>
      <c r="M8" s="167"/>
      <c r="N8" s="167"/>
    </row>
    <row r="9" spans="2:14" ht="18.75" customHeight="1">
      <c r="B9" s="167"/>
      <c r="C9" s="167"/>
      <c r="D9" s="167"/>
      <c r="E9" s="167"/>
      <c r="F9" s="167"/>
      <c r="G9" s="167"/>
      <c r="H9" s="167"/>
      <c r="I9" s="167"/>
      <c r="J9" s="167"/>
      <c r="K9" s="167"/>
      <c r="L9" s="167"/>
      <c r="M9" s="167"/>
      <c r="N9" s="167"/>
    </row>
    <row r="10" spans="2:14" ht="18.75" customHeight="1">
      <c r="B10" s="167"/>
      <c r="C10" s="167"/>
      <c r="D10" s="167"/>
      <c r="E10" s="167"/>
      <c r="F10" s="167"/>
      <c r="G10" s="167"/>
      <c r="H10" s="167"/>
      <c r="I10" s="167"/>
      <c r="J10" s="168"/>
      <c r="K10" s="168"/>
      <c r="L10" s="168"/>
      <c r="M10" s="168"/>
      <c r="N10" s="167"/>
    </row>
    <row r="11" spans="2:14" ht="18.75" customHeight="1">
      <c r="B11" s="169"/>
      <c r="N11" s="170"/>
    </row>
    <row r="12" spans="2:14" ht="18.75" customHeight="1">
      <c r="B12" s="169"/>
      <c r="C12" s="171" t="s">
        <v>307</v>
      </c>
      <c r="D12" s="172"/>
      <c r="E12" s="172"/>
      <c r="F12" s="172"/>
      <c r="G12" s="172"/>
      <c r="N12" s="170"/>
    </row>
    <row r="13" spans="2:14" ht="18.75" customHeight="1">
      <c r="B13" s="169"/>
      <c r="C13" s="173" t="s">
        <v>213</v>
      </c>
      <c r="H13"/>
      <c r="N13" s="170"/>
    </row>
    <row r="14" spans="2:14" ht="18.75" customHeight="1">
      <c r="B14" s="169"/>
      <c r="N14" s="170"/>
    </row>
    <row r="15" spans="2:14" ht="18.75" customHeight="1">
      <c r="B15" s="169"/>
      <c r="C15" s="174" t="s">
        <v>214</v>
      </c>
      <c r="D15" s="174"/>
      <c r="E15" s="174"/>
      <c r="F15" s="174"/>
      <c r="G15" s="174"/>
      <c r="I15" s="174" t="s">
        <v>215</v>
      </c>
      <c r="J15" s="174"/>
      <c r="K15" s="174"/>
      <c r="L15" s="174"/>
      <c r="M15" s="174"/>
      <c r="N15" s="170"/>
    </row>
    <row r="16" spans="2:14" ht="18.75" customHeight="1">
      <c r="B16" s="169"/>
      <c r="C16" s="175" t="s">
        <v>216</v>
      </c>
      <c r="D16" s="175"/>
      <c r="G16" s="176" t="s">
        <v>217</v>
      </c>
      <c r="I16" s="175" t="s">
        <v>218</v>
      </c>
      <c r="J16" s="175"/>
      <c r="M16" s="176" t="s">
        <v>281</v>
      </c>
      <c r="N16" s="170"/>
    </row>
    <row r="17" spans="2:14" ht="18.75" customHeight="1">
      <c r="B17" s="169"/>
      <c r="C17" s="175" t="s">
        <v>219</v>
      </c>
      <c r="D17" s="175"/>
      <c r="G17" s="176" t="s">
        <v>220</v>
      </c>
      <c r="H17" s="177"/>
      <c r="I17" s="175" t="s">
        <v>221</v>
      </c>
      <c r="J17" s="175"/>
      <c r="M17" s="176" t="s">
        <v>282</v>
      </c>
      <c r="N17" s="170"/>
    </row>
    <row r="18" spans="2:14" ht="18.75" customHeight="1">
      <c r="B18" s="169"/>
      <c r="C18" s="175" t="s">
        <v>222</v>
      </c>
      <c r="D18" s="175"/>
      <c r="G18" s="176" t="s">
        <v>223</v>
      </c>
      <c r="H18" s="179"/>
      <c r="I18" s="175" t="s">
        <v>224</v>
      </c>
      <c r="J18" s="175"/>
      <c r="M18" s="176" t="s">
        <v>282</v>
      </c>
      <c r="N18" s="170"/>
    </row>
    <row r="19" spans="2:14" ht="18.75" customHeight="1">
      <c r="B19" s="169"/>
      <c r="N19" s="170"/>
    </row>
    <row r="20" spans="2:14" ht="18.75" customHeight="1">
      <c r="B20" s="169"/>
      <c r="C20" s="174" t="s">
        <v>226</v>
      </c>
      <c r="D20" s="174"/>
      <c r="E20" s="174"/>
      <c r="F20" s="174"/>
      <c r="G20" s="174"/>
      <c r="I20" s="174" t="s">
        <v>227</v>
      </c>
      <c r="J20" s="174"/>
      <c r="K20" s="174"/>
      <c r="L20" s="174"/>
      <c r="M20" s="174"/>
      <c r="N20" s="170"/>
    </row>
    <row r="21" spans="2:14" ht="18.75" customHeight="1">
      <c r="B21" s="169"/>
      <c r="C21" s="175" t="s">
        <v>228</v>
      </c>
      <c r="D21" s="175"/>
      <c r="E21" s="180"/>
      <c r="F21" s="180"/>
      <c r="G21" s="176" t="s">
        <v>269</v>
      </c>
      <c r="I21" s="175" t="s">
        <v>229</v>
      </c>
      <c r="J21" s="175"/>
      <c r="K21" s="180"/>
      <c r="L21" s="180"/>
      <c r="M21" s="176" t="s">
        <v>230</v>
      </c>
      <c r="N21" s="170"/>
    </row>
    <row r="22" spans="2:14" ht="18.75" customHeight="1">
      <c r="B22" s="169"/>
      <c r="C22" s="175" t="s">
        <v>231</v>
      </c>
      <c r="D22" s="175"/>
      <c r="G22" s="176" t="s">
        <v>270</v>
      </c>
      <c r="I22" s="175" t="s">
        <v>232</v>
      </c>
      <c r="J22" s="175"/>
      <c r="M22" s="176" t="s">
        <v>233</v>
      </c>
      <c r="N22" s="170"/>
    </row>
    <row r="23" spans="2:14" ht="18.75" customHeight="1">
      <c r="B23" s="169"/>
      <c r="C23" s="175" t="s">
        <v>234</v>
      </c>
      <c r="D23" s="175"/>
      <c r="G23" s="176" t="s">
        <v>271</v>
      </c>
      <c r="I23" s="175" t="s">
        <v>235</v>
      </c>
      <c r="J23" s="175"/>
      <c r="M23" s="176" t="s">
        <v>236</v>
      </c>
      <c r="N23" s="170"/>
    </row>
    <row r="24" spans="2:14" ht="18.75" customHeight="1">
      <c r="B24" s="169"/>
      <c r="C24" s="175" t="s">
        <v>237</v>
      </c>
      <c r="D24" s="175"/>
      <c r="G24" s="176" t="s">
        <v>272</v>
      </c>
      <c r="I24" s="175" t="s">
        <v>238</v>
      </c>
      <c r="J24" s="175"/>
      <c r="M24" s="176" t="s">
        <v>239</v>
      </c>
      <c r="N24" s="170"/>
    </row>
    <row r="25" spans="2:14" ht="18.75" customHeight="1">
      <c r="B25" s="169"/>
      <c r="C25" s="175" t="s">
        <v>240</v>
      </c>
      <c r="D25" s="175"/>
      <c r="G25" s="176" t="s">
        <v>273</v>
      </c>
      <c r="I25" s="175" t="s">
        <v>241</v>
      </c>
      <c r="J25" s="175"/>
      <c r="M25" s="176" t="s">
        <v>242</v>
      </c>
      <c r="N25" s="170"/>
    </row>
    <row r="26" spans="2:14" ht="18.75" customHeight="1">
      <c r="B26" s="169"/>
      <c r="C26" s="175" t="s">
        <v>243</v>
      </c>
      <c r="D26" s="175"/>
      <c r="G26" s="176" t="s">
        <v>274</v>
      </c>
      <c r="I26" s="175" t="s">
        <v>244</v>
      </c>
      <c r="J26" s="175"/>
      <c r="M26" s="176" t="s">
        <v>245</v>
      </c>
      <c r="N26" s="170"/>
    </row>
    <row r="27" spans="2:14" ht="18.75" customHeight="1">
      <c r="B27" s="169"/>
      <c r="C27" s="175" t="s">
        <v>246</v>
      </c>
      <c r="D27" s="175"/>
      <c r="G27" s="176" t="s">
        <v>275</v>
      </c>
      <c r="I27" s="175"/>
      <c r="J27" s="175"/>
      <c r="M27" s="176"/>
      <c r="N27" s="170"/>
    </row>
    <row r="28" spans="2:14" ht="18.75" customHeight="1">
      <c r="B28" s="169"/>
      <c r="C28" s="175" t="s">
        <v>247</v>
      </c>
      <c r="D28" s="175"/>
      <c r="G28" s="176" t="s">
        <v>276</v>
      </c>
      <c r="I28" s="174" t="s">
        <v>255</v>
      </c>
      <c r="J28" s="174"/>
      <c r="K28" s="174"/>
      <c r="L28" s="174"/>
      <c r="M28" s="174"/>
      <c r="N28" s="170"/>
    </row>
    <row r="29" spans="2:14" ht="18.75" customHeight="1">
      <c r="B29" s="169"/>
      <c r="C29" s="175" t="s">
        <v>249</v>
      </c>
      <c r="D29" s="175"/>
      <c r="G29" s="176" t="s">
        <v>277</v>
      </c>
      <c r="I29" s="175" t="s">
        <v>257</v>
      </c>
      <c r="J29" s="175"/>
      <c r="K29" s="180"/>
      <c r="L29" s="180"/>
      <c r="M29" s="176" t="s">
        <v>287</v>
      </c>
      <c r="N29" s="170"/>
    </row>
    <row r="30" spans="2:14" ht="18.75" customHeight="1">
      <c r="B30" s="169"/>
      <c r="C30" s="175" t="s">
        <v>250</v>
      </c>
      <c r="D30" s="175"/>
      <c r="G30" s="176" t="s">
        <v>278</v>
      </c>
      <c r="I30" s="175" t="s">
        <v>258</v>
      </c>
      <c r="J30" s="175"/>
      <c r="M30" s="176" t="s">
        <v>288</v>
      </c>
      <c r="N30" s="170"/>
    </row>
    <row r="31" spans="2:14" ht="18.75" customHeight="1">
      <c r="B31" s="169"/>
      <c r="C31" s="175" t="s">
        <v>251</v>
      </c>
      <c r="D31" s="175"/>
      <c r="G31" s="176" t="s">
        <v>279</v>
      </c>
      <c r="I31" s="175" t="s">
        <v>259</v>
      </c>
      <c r="J31" s="175"/>
      <c r="M31" s="176" t="s">
        <v>289</v>
      </c>
      <c r="N31" s="170"/>
    </row>
    <row r="32" spans="2:14" ht="18.75" customHeight="1">
      <c r="B32" s="169"/>
      <c r="C32" s="175" t="s">
        <v>252</v>
      </c>
      <c r="D32" s="175"/>
      <c r="G32" s="176" t="s">
        <v>280</v>
      </c>
      <c r="I32" s="175" t="s">
        <v>261</v>
      </c>
      <c r="J32" s="175"/>
      <c r="M32" s="176" t="s">
        <v>290</v>
      </c>
      <c r="N32" s="170"/>
    </row>
    <row r="33" spans="2:14" ht="18.75" customHeight="1">
      <c r="B33" s="169"/>
      <c r="C33" s="175" t="s">
        <v>253</v>
      </c>
      <c r="D33" s="175"/>
      <c r="G33" s="176" t="s">
        <v>254</v>
      </c>
      <c r="I33" s="175" t="s">
        <v>305</v>
      </c>
      <c r="J33" s="175"/>
      <c r="M33" s="176" t="s">
        <v>306</v>
      </c>
      <c r="N33" s="170"/>
    </row>
    <row r="34" spans="2:14" ht="18.75" customHeight="1">
      <c r="B34" s="169"/>
      <c r="C34" s="175"/>
      <c r="G34" s="176"/>
      <c r="N34" s="170"/>
    </row>
    <row r="35" spans="2:14" ht="18.75" customHeight="1">
      <c r="B35" s="169"/>
      <c r="C35" s="174" t="s">
        <v>299</v>
      </c>
      <c r="D35" s="174"/>
      <c r="E35" s="174"/>
      <c r="F35" s="174"/>
      <c r="G35" s="174"/>
      <c r="I35" s="174" t="s">
        <v>266</v>
      </c>
      <c r="J35" s="174"/>
      <c r="K35" s="174"/>
      <c r="L35" s="174"/>
      <c r="M35" s="174"/>
      <c r="N35" s="170"/>
    </row>
    <row r="36" spans="2:14" ht="18.75" customHeight="1">
      <c r="B36" s="169"/>
      <c r="C36" s="175" t="s">
        <v>267</v>
      </c>
      <c r="D36" s="175"/>
      <c r="E36" s="180"/>
      <c r="F36" s="180"/>
      <c r="G36" s="176" t="s">
        <v>296</v>
      </c>
      <c r="I36" s="175" t="s">
        <v>268</v>
      </c>
      <c r="J36" s="175"/>
      <c r="K36" s="180"/>
      <c r="L36" s="180"/>
      <c r="M36" s="176" t="s">
        <v>302</v>
      </c>
      <c r="N36" s="170"/>
    </row>
    <row r="37" spans="2:14" ht="18.75" customHeight="1">
      <c r="B37" s="169"/>
      <c r="C37" s="175" t="s">
        <v>295</v>
      </c>
      <c r="D37" s="175"/>
      <c r="G37" s="176" t="s">
        <v>297</v>
      </c>
      <c r="I37" s="175" t="s">
        <v>300</v>
      </c>
      <c r="J37" s="175"/>
      <c r="M37" s="176" t="s">
        <v>303</v>
      </c>
      <c r="N37" s="170"/>
    </row>
    <row r="38" spans="2:14" ht="18.75" customHeight="1">
      <c r="B38" s="169"/>
      <c r="C38" s="175" t="s">
        <v>264</v>
      </c>
      <c r="D38" s="175"/>
      <c r="G38" s="176" t="s">
        <v>298</v>
      </c>
      <c r="I38" s="175" t="s">
        <v>301</v>
      </c>
      <c r="J38" s="175"/>
      <c r="M38" s="176" t="s">
        <v>304</v>
      </c>
      <c r="N38" s="170"/>
    </row>
    <row r="39" spans="2:14" ht="18.75" customHeight="1">
      <c r="B39" s="169"/>
      <c r="N39" s="170"/>
    </row>
    <row r="40" spans="2:14" ht="18.75" customHeight="1">
      <c r="B40" s="169"/>
      <c r="C40" s="174" t="s">
        <v>262</v>
      </c>
      <c r="D40" s="174"/>
      <c r="E40" s="174"/>
      <c r="F40" s="174"/>
      <c r="G40" s="174"/>
      <c r="I40" s="174" t="s">
        <v>256</v>
      </c>
      <c r="J40" s="174"/>
      <c r="K40" s="174"/>
      <c r="L40" s="174"/>
      <c r="M40" s="174"/>
      <c r="N40" s="170"/>
    </row>
    <row r="41" spans="2:14" ht="18.75" customHeight="1">
      <c r="B41" s="169"/>
      <c r="C41" s="175" t="s">
        <v>263</v>
      </c>
      <c r="D41" s="175"/>
      <c r="E41" s="180"/>
      <c r="F41" s="180"/>
      <c r="G41" s="176" t="s">
        <v>293</v>
      </c>
      <c r="I41" s="175" t="s">
        <v>260</v>
      </c>
      <c r="J41" s="175"/>
      <c r="K41" s="180"/>
      <c r="L41" s="180"/>
      <c r="M41" s="176" t="s">
        <v>291</v>
      </c>
      <c r="N41" s="170"/>
    </row>
    <row r="42" spans="2:14" ht="18.75" customHeight="1">
      <c r="B42" s="169"/>
      <c r="C42" s="175" t="s">
        <v>264</v>
      </c>
      <c r="D42" s="175"/>
      <c r="G42" s="176" t="s">
        <v>294</v>
      </c>
      <c r="I42" s="175" t="s">
        <v>265</v>
      </c>
      <c r="J42" s="175"/>
      <c r="M42" s="176" t="s">
        <v>292</v>
      </c>
      <c r="N42" s="170"/>
    </row>
    <row r="43" spans="2:14" ht="18.75" customHeight="1">
      <c r="B43" s="169"/>
      <c r="N43" s="170"/>
    </row>
    <row r="44" spans="2:14" ht="18.75" customHeight="1">
      <c r="B44" s="169"/>
      <c r="C44" s="174" t="s">
        <v>248</v>
      </c>
      <c r="D44" s="174"/>
      <c r="E44" s="174"/>
      <c r="F44" s="174"/>
      <c r="G44" s="174"/>
      <c r="N44" s="170"/>
    </row>
    <row r="45" spans="2:14" ht="18.75" customHeight="1">
      <c r="B45" s="169"/>
      <c r="C45" s="175" t="s">
        <v>283</v>
      </c>
      <c r="D45" s="175"/>
      <c r="E45" s="180"/>
      <c r="F45" s="180"/>
      <c r="G45" s="176" t="s">
        <v>285</v>
      </c>
      <c r="N45" s="170"/>
    </row>
    <row r="46" spans="2:14" ht="18.75" customHeight="1">
      <c r="B46" s="169"/>
      <c r="C46" s="175" t="s">
        <v>284</v>
      </c>
      <c r="D46" s="175"/>
      <c r="G46" s="176" t="s">
        <v>286</v>
      </c>
      <c r="N46" s="170"/>
    </row>
    <row r="47" spans="2:14" ht="18.75" customHeight="1">
      <c r="B47" s="181"/>
      <c r="C47" s="182"/>
      <c r="D47" s="182"/>
      <c r="E47" s="182"/>
      <c r="F47" s="182"/>
      <c r="G47" s="182"/>
      <c r="H47" s="182"/>
      <c r="I47" s="182"/>
      <c r="J47" s="182"/>
      <c r="K47" s="182"/>
      <c r="L47" s="182"/>
      <c r="M47" s="182"/>
      <c r="N47" s="18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BCC6E-25CF-41DE-AD1E-BCB980312A68}">
  <dimension ref="B2:T43"/>
  <sheetViews>
    <sheetView showGridLines="0" tabSelected="1" workbookViewId="0">
      <selection activeCell="C12" sqref="C12"/>
    </sheetView>
  </sheetViews>
  <sheetFormatPr defaultColWidth="10.875" defaultRowHeight="18.75" customHeight="1"/>
  <cols>
    <col min="1" max="1" width="1.625" style="166" customWidth="1"/>
    <col min="2" max="2" width="3.625" style="166" customWidth="1"/>
    <col min="3" max="3" width="12.875" style="166" bestFit="1" customWidth="1"/>
    <col min="4" max="8" width="10.875" style="166"/>
    <col min="9" max="9" width="12.875" style="166" bestFit="1" customWidth="1"/>
    <col min="10" max="10" width="10.875" style="166"/>
    <col min="11" max="11" width="3.625" style="184" customWidth="1"/>
    <col min="12" max="12" width="16.25" style="166" bestFit="1" customWidth="1"/>
    <col min="13" max="19" width="10.875" style="166"/>
    <col min="20" max="20" width="3.625" style="166" customWidth="1"/>
    <col min="21" max="16384" width="10.875" style="166"/>
  </cols>
  <sheetData>
    <row r="2" spans="2:20" ht="18.75" customHeight="1">
      <c r="B2" s="167"/>
      <c r="C2" s="167"/>
      <c r="D2" s="167"/>
      <c r="E2" s="167"/>
      <c r="F2" s="167"/>
      <c r="G2" s="167"/>
      <c r="H2" s="167"/>
      <c r="I2" s="167"/>
      <c r="J2" s="167"/>
      <c r="K2" s="185"/>
      <c r="L2" s="167"/>
      <c r="M2" s="167"/>
      <c r="N2" s="167"/>
      <c r="O2" s="167"/>
      <c r="P2" s="167"/>
      <c r="Q2" s="167"/>
      <c r="R2" s="167"/>
      <c r="S2" s="167"/>
      <c r="T2" s="167"/>
    </row>
    <row r="3" spans="2:20" ht="18.75" customHeight="1">
      <c r="B3" s="167"/>
      <c r="C3" s="167"/>
      <c r="D3" s="167"/>
      <c r="E3" s="167"/>
      <c r="F3" s="167"/>
      <c r="G3" s="167"/>
      <c r="H3" s="167"/>
      <c r="I3" s="167"/>
      <c r="J3" s="167"/>
      <c r="K3" s="185"/>
      <c r="L3" s="167"/>
      <c r="M3" s="167"/>
      <c r="N3" s="167"/>
      <c r="O3" s="167"/>
      <c r="P3" s="167"/>
      <c r="Q3" s="167"/>
      <c r="R3" s="167"/>
      <c r="S3" s="167"/>
      <c r="T3" s="167"/>
    </row>
    <row r="4" spans="2:20" ht="18.75" customHeight="1">
      <c r="B4" s="167"/>
      <c r="C4" s="167"/>
      <c r="D4" s="167"/>
      <c r="E4" s="167"/>
      <c r="F4" s="167"/>
      <c r="G4" s="167"/>
      <c r="H4" s="167"/>
      <c r="I4" s="167"/>
      <c r="J4" s="167"/>
      <c r="K4" s="185"/>
      <c r="L4" s="167"/>
      <c r="M4" s="167"/>
      <c r="N4" s="167"/>
      <c r="O4" s="167"/>
      <c r="P4" s="167"/>
      <c r="Q4" s="167"/>
      <c r="R4" s="167"/>
      <c r="S4" s="167"/>
      <c r="T4" s="167"/>
    </row>
    <row r="5" spans="2:20" ht="18.75" customHeight="1">
      <c r="B5" s="167"/>
      <c r="C5" s="167"/>
      <c r="D5" s="167"/>
      <c r="E5" s="167"/>
      <c r="F5" s="167"/>
      <c r="G5" s="167"/>
      <c r="H5" s="167"/>
      <c r="I5" s="167"/>
      <c r="J5" s="167"/>
      <c r="K5" s="185"/>
      <c r="L5" s="167"/>
      <c r="M5" s="167"/>
      <c r="N5" s="167"/>
      <c r="O5" s="167"/>
      <c r="P5" s="167"/>
      <c r="Q5" s="167"/>
      <c r="R5" s="167"/>
      <c r="S5" s="167"/>
      <c r="T5" s="167"/>
    </row>
    <row r="6" spans="2:20" ht="18.75" customHeight="1">
      <c r="B6" s="167"/>
      <c r="C6" s="167"/>
      <c r="D6" s="167"/>
      <c r="E6" s="167"/>
      <c r="F6" s="167"/>
      <c r="G6" s="167"/>
      <c r="H6" s="167"/>
      <c r="I6" s="167"/>
      <c r="J6" s="167"/>
      <c r="K6" s="185"/>
      <c r="L6" s="167"/>
      <c r="M6" s="167"/>
      <c r="N6" s="167"/>
      <c r="O6" s="167"/>
      <c r="P6" s="167"/>
      <c r="Q6" s="167"/>
      <c r="R6" s="167"/>
      <c r="S6" s="167"/>
      <c r="T6" s="167"/>
    </row>
    <row r="7" spans="2:20" ht="18.75" customHeight="1">
      <c r="B7" s="167"/>
      <c r="C7" s="167"/>
      <c r="D7" s="167"/>
      <c r="E7" s="167"/>
      <c r="F7" s="167"/>
      <c r="G7" s="167"/>
      <c r="H7" s="167"/>
      <c r="I7" s="167"/>
      <c r="J7" s="167"/>
      <c r="K7" s="185"/>
      <c r="L7" s="167"/>
      <c r="M7" s="167"/>
      <c r="N7" s="167"/>
      <c r="O7" s="167"/>
      <c r="P7" s="167"/>
      <c r="Q7" s="167"/>
      <c r="R7" s="167"/>
      <c r="S7" s="167"/>
      <c r="T7" s="167"/>
    </row>
    <row r="8" spans="2:20" ht="18.75" customHeight="1">
      <c r="B8" s="167"/>
      <c r="C8" s="167"/>
      <c r="D8" s="167"/>
      <c r="E8" s="167"/>
      <c r="F8" s="167"/>
      <c r="G8" s="167"/>
      <c r="H8" s="167"/>
      <c r="I8" s="167"/>
      <c r="J8" s="167"/>
      <c r="K8" s="185"/>
      <c r="L8" s="167"/>
      <c r="M8" s="167"/>
      <c r="N8" s="167"/>
      <c r="O8" s="167"/>
      <c r="P8" s="167"/>
      <c r="Q8" s="167"/>
      <c r="R8" s="167"/>
      <c r="S8" s="167"/>
      <c r="T8" s="167"/>
    </row>
    <row r="9" spans="2:20" ht="18.75" customHeight="1">
      <c r="B9" s="167"/>
      <c r="C9" s="167"/>
      <c r="D9" s="167"/>
      <c r="E9" s="167"/>
      <c r="F9" s="167"/>
      <c r="G9" s="167"/>
      <c r="H9" s="167"/>
      <c r="I9" s="167"/>
      <c r="J9" s="167"/>
      <c r="K9" s="185"/>
      <c r="L9" s="167"/>
      <c r="M9" s="167"/>
      <c r="N9" s="167"/>
      <c r="O9" s="167"/>
      <c r="P9" s="167"/>
      <c r="Q9" s="167"/>
      <c r="R9" s="167"/>
      <c r="S9" s="167"/>
      <c r="T9" s="167"/>
    </row>
    <row r="10" spans="2:20" ht="18.75" customHeight="1">
      <c r="B10" s="167"/>
      <c r="C10" s="167"/>
      <c r="D10" s="167"/>
      <c r="E10" s="167"/>
      <c r="F10" s="167"/>
      <c r="G10" s="167"/>
      <c r="H10" s="167"/>
      <c r="I10" s="167"/>
      <c r="J10" s="168"/>
      <c r="K10" s="186"/>
      <c r="L10" s="168"/>
      <c r="M10" s="168"/>
      <c r="N10" s="168"/>
      <c r="O10" s="168"/>
      <c r="P10" s="168"/>
      <c r="Q10" s="168"/>
      <c r="R10" s="168"/>
      <c r="S10" s="168"/>
      <c r="T10" s="167"/>
    </row>
    <row r="11" spans="2:20" ht="18.75" customHeight="1">
      <c r="B11" s="169"/>
      <c r="T11" s="170"/>
    </row>
    <row r="12" spans="2:20" ht="18.75" customHeight="1">
      <c r="B12" s="169"/>
      <c r="C12" s="171" t="s">
        <v>332</v>
      </c>
      <c r="D12" s="172"/>
      <c r="E12" s="172"/>
      <c r="F12" s="172"/>
      <c r="G12" s="172"/>
      <c r="T12" s="170"/>
    </row>
    <row r="13" spans="2:20" ht="18.75" customHeight="1">
      <c r="B13" s="169"/>
      <c r="C13" s="173" t="s">
        <v>213</v>
      </c>
      <c r="T13" s="170"/>
    </row>
    <row r="14" spans="2:20" ht="18.75" customHeight="1">
      <c r="B14" s="169"/>
      <c r="C14" s="175"/>
      <c r="T14" s="170"/>
    </row>
    <row r="15" spans="2:20" ht="18.75" customHeight="1">
      <c r="B15" s="169"/>
      <c r="C15" s="174" t="s">
        <v>308</v>
      </c>
      <c r="D15" s="187"/>
      <c r="E15" s="188"/>
      <c r="F15" s="188"/>
      <c r="G15" s="188"/>
      <c r="H15" s="188"/>
      <c r="I15" s="188"/>
      <c r="J15" s="188"/>
      <c r="L15" s="174" t="s">
        <v>309</v>
      </c>
      <c r="M15" s="187"/>
      <c r="N15" s="188"/>
      <c r="O15" s="188"/>
      <c r="P15" s="188"/>
      <c r="Q15" s="188"/>
      <c r="R15" s="188"/>
      <c r="S15" s="188"/>
      <c r="T15" s="170"/>
    </row>
    <row r="16" spans="2:20" ht="18.75" customHeight="1">
      <c r="B16" s="169"/>
      <c r="C16" s="189"/>
      <c r="D16" s="190">
        <v>2025</v>
      </c>
      <c r="E16" s="191">
        <v>2026</v>
      </c>
      <c r="F16" s="191">
        <v>2027</v>
      </c>
      <c r="G16" s="191">
        <v>2028</v>
      </c>
      <c r="H16" s="191">
        <v>2029</v>
      </c>
      <c r="I16" s="191">
        <v>2030</v>
      </c>
      <c r="J16" s="191">
        <v>2031</v>
      </c>
      <c r="L16" s="189"/>
      <c r="M16" s="190">
        <v>2025</v>
      </c>
      <c r="N16" s="191">
        <v>2026</v>
      </c>
      <c r="O16" s="191">
        <v>2027</v>
      </c>
      <c r="P16" s="191">
        <v>2028</v>
      </c>
      <c r="Q16" s="191">
        <v>2029</v>
      </c>
      <c r="R16" s="191">
        <v>2030</v>
      </c>
      <c r="S16" s="191">
        <v>2031</v>
      </c>
      <c r="T16" s="170"/>
    </row>
    <row r="17" spans="2:20" ht="18.75" customHeight="1">
      <c r="B17" s="169"/>
      <c r="C17" s="192" t="s">
        <v>310</v>
      </c>
      <c r="D17" s="193"/>
      <c r="E17" s="193"/>
      <c r="F17" s="193"/>
      <c r="G17" s="193"/>
      <c r="H17" s="193"/>
      <c r="I17" s="193"/>
      <c r="J17" s="193"/>
      <c r="L17" s="192" t="s">
        <v>311</v>
      </c>
      <c r="M17" s="178"/>
      <c r="N17" s="178"/>
      <c r="O17" s="178"/>
      <c r="P17" s="178"/>
      <c r="Q17" s="178"/>
      <c r="R17" s="178"/>
      <c r="S17" s="178"/>
      <c r="T17" s="170"/>
    </row>
    <row r="18" spans="2:20" ht="18.75" customHeight="1">
      <c r="B18" s="169"/>
      <c r="C18" s="194" t="s">
        <v>34</v>
      </c>
      <c r="D18" s="195"/>
      <c r="E18" s="196" t="e">
        <f>SUM(E17/D17)-1</f>
        <v>#DIV/0!</v>
      </c>
      <c r="F18" s="196" t="e">
        <f>SUM(F17/E17)-1</f>
        <v>#DIV/0!</v>
      </c>
      <c r="G18" s="196" t="e">
        <f t="shared" ref="G18:J18" si="0">SUM(G17/F17)-1</f>
        <v>#DIV/0!</v>
      </c>
      <c r="H18" s="196" t="e">
        <f t="shared" si="0"/>
        <v>#DIV/0!</v>
      </c>
      <c r="I18" s="196" t="e">
        <f t="shared" si="0"/>
        <v>#DIV/0!</v>
      </c>
      <c r="J18" s="196" t="e">
        <f t="shared" si="0"/>
        <v>#DIV/0!</v>
      </c>
      <c r="L18" s="194" t="s">
        <v>34</v>
      </c>
      <c r="N18" s="196" t="e">
        <f>SUM(N17/M17)-1</f>
        <v>#DIV/0!</v>
      </c>
      <c r="O18" s="196" t="e">
        <f t="shared" ref="O18:S18" si="1">SUM(O17/N17)-1</f>
        <v>#DIV/0!</v>
      </c>
      <c r="P18" s="196" t="e">
        <f t="shared" si="1"/>
        <v>#DIV/0!</v>
      </c>
      <c r="Q18" s="196" t="e">
        <f t="shared" si="1"/>
        <v>#DIV/0!</v>
      </c>
      <c r="R18" s="196" t="e">
        <f t="shared" si="1"/>
        <v>#DIV/0!</v>
      </c>
      <c r="S18" s="196" t="e">
        <f t="shared" si="1"/>
        <v>#DIV/0!</v>
      </c>
      <c r="T18" s="170"/>
    </row>
    <row r="19" spans="2:20" ht="18.75" customHeight="1">
      <c r="B19" s="169"/>
      <c r="C19" s="192" t="s">
        <v>11</v>
      </c>
      <c r="D19" s="193"/>
      <c r="E19" s="193"/>
      <c r="F19" s="193"/>
      <c r="G19" s="193"/>
      <c r="H19" s="193"/>
      <c r="I19" s="193"/>
      <c r="J19" s="193"/>
      <c r="L19" s="192" t="s">
        <v>312</v>
      </c>
      <c r="M19" s="178"/>
      <c r="N19" s="178"/>
      <c r="O19" s="178"/>
      <c r="P19" s="178"/>
      <c r="Q19" s="178"/>
      <c r="R19" s="178"/>
      <c r="S19" s="178"/>
      <c r="T19" s="170"/>
    </row>
    <row r="20" spans="2:20" ht="18.75" customHeight="1">
      <c r="B20" s="169"/>
      <c r="C20" s="194" t="s">
        <v>34</v>
      </c>
      <c r="E20" s="196" t="e">
        <f>SUM(E19/D19)-1</f>
        <v>#DIV/0!</v>
      </c>
      <c r="F20" s="196" t="e">
        <f t="shared" ref="F20:J20" si="2">SUM(F19/E19)-1</f>
        <v>#DIV/0!</v>
      </c>
      <c r="G20" s="196" t="e">
        <f t="shared" si="2"/>
        <v>#DIV/0!</v>
      </c>
      <c r="H20" s="196" t="e">
        <f t="shared" si="2"/>
        <v>#DIV/0!</v>
      </c>
      <c r="I20" s="196" t="e">
        <f t="shared" si="2"/>
        <v>#DIV/0!</v>
      </c>
      <c r="J20" s="196" t="e">
        <f t="shared" si="2"/>
        <v>#DIV/0!</v>
      </c>
      <c r="L20" s="194" t="s">
        <v>34</v>
      </c>
      <c r="N20" s="196" t="e">
        <f>SUM(N19/M19)-1</f>
        <v>#DIV/0!</v>
      </c>
      <c r="O20" s="196" t="e">
        <f t="shared" ref="O20:S20" si="3">SUM(O19/N19)-1</f>
        <v>#DIV/0!</v>
      </c>
      <c r="P20" s="196" t="e">
        <f t="shared" si="3"/>
        <v>#DIV/0!</v>
      </c>
      <c r="Q20" s="196" t="e">
        <f t="shared" si="3"/>
        <v>#DIV/0!</v>
      </c>
      <c r="R20" s="196" t="e">
        <f t="shared" si="3"/>
        <v>#DIV/0!</v>
      </c>
      <c r="S20" s="196" t="e">
        <f t="shared" si="3"/>
        <v>#DIV/0!</v>
      </c>
      <c r="T20" s="170"/>
    </row>
    <row r="21" spans="2:20" ht="18.75" customHeight="1">
      <c r="B21" s="169"/>
      <c r="C21" s="192" t="s">
        <v>313</v>
      </c>
      <c r="D21" s="193"/>
      <c r="E21" s="193"/>
      <c r="F21" s="193"/>
      <c r="G21" s="193"/>
      <c r="H21" s="193"/>
      <c r="I21" s="193"/>
      <c r="J21" s="193"/>
      <c r="L21" s="192" t="s">
        <v>314</v>
      </c>
      <c r="M21" s="178"/>
      <c r="N21" s="178"/>
      <c r="O21" s="178"/>
      <c r="P21" s="178"/>
      <c r="Q21" s="178"/>
      <c r="R21" s="178"/>
      <c r="S21" s="178"/>
      <c r="T21" s="170"/>
    </row>
    <row r="22" spans="2:20" ht="18.75" customHeight="1">
      <c r="B22" s="169"/>
      <c r="C22" s="194" t="s">
        <v>34</v>
      </c>
      <c r="E22" s="196" t="e">
        <f>SUM(E21/D21)-1</f>
        <v>#DIV/0!</v>
      </c>
      <c r="F22" s="196" t="e">
        <f t="shared" ref="F22:J22" si="4">SUM(F21/E21)-1</f>
        <v>#DIV/0!</v>
      </c>
      <c r="G22" s="196" t="e">
        <f t="shared" si="4"/>
        <v>#DIV/0!</v>
      </c>
      <c r="H22" s="196" t="e">
        <f t="shared" si="4"/>
        <v>#DIV/0!</v>
      </c>
      <c r="I22" s="196" t="e">
        <f t="shared" si="4"/>
        <v>#DIV/0!</v>
      </c>
      <c r="J22" s="196" t="e">
        <f t="shared" si="4"/>
        <v>#DIV/0!</v>
      </c>
      <c r="L22" s="194" t="s">
        <v>34</v>
      </c>
      <c r="N22" s="196" t="e">
        <f>SUM(N21/M21)-1</f>
        <v>#DIV/0!</v>
      </c>
      <c r="O22" s="196" t="e">
        <f t="shared" ref="O22:S22" si="5">SUM(O21/N21)-1</f>
        <v>#DIV/0!</v>
      </c>
      <c r="P22" s="196" t="e">
        <f t="shared" si="5"/>
        <v>#DIV/0!</v>
      </c>
      <c r="Q22" s="196" t="e">
        <f t="shared" si="5"/>
        <v>#DIV/0!</v>
      </c>
      <c r="R22" s="196" t="e">
        <f t="shared" si="5"/>
        <v>#DIV/0!</v>
      </c>
      <c r="S22" s="196" t="e">
        <f t="shared" si="5"/>
        <v>#DIV/0!</v>
      </c>
      <c r="T22" s="170"/>
    </row>
    <row r="23" spans="2:20" ht="18.75" customHeight="1">
      <c r="B23" s="169"/>
      <c r="C23" s="192" t="s">
        <v>315</v>
      </c>
      <c r="D23" s="193"/>
      <c r="E23" s="193"/>
      <c r="F23" s="193"/>
      <c r="G23" s="193"/>
      <c r="H23" s="193"/>
      <c r="I23" s="193"/>
      <c r="J23" s="193"/>
      <c r="L23" s="192" t="s">
        <v>316</v>
      </c>
      <c r="M23" s="178"/>
      <c r="N23" s="178"/>
      <c r="O23" s="178"/>
      <c r="P23" s="178"/>
      <c r="Q23" s="178"/>
      <c r="R23" s="178"/>
      <c r="S23" s="178"/>
      <c r="T23" s="170"/>
    </row>
    <row r="24" spans="2:20" ht="18.75" customHeight="1">
      <c r="B24" s="169"/>
      <c r="C24" s="194" t="s">
        <v>34</v>
      </c>
      <c r="E24" s="196" t="e">
        <f>SUM(E23/D23)-1</f>
        <v>#DIV/0!</v>
      </c>
      <c r="F24" s="196" t="e">
        <f t="shared" ref="F24:J24" si="6">SUM(F23/E23)-1</f>
        <v>#DIV/0!</v>
      </c>
      <c r="G24" s="196" t="e">
        <f t="shared" si="6"/>
        <v>#DIV/0!</v>
      </c>
      <c r="H24" s="196" t="e">
        <f t="shared" si="6"/>
        <v>#DIV/0!</v>
      </c>
      <c r="I24" s="196" t="e">
        <f t="shared" si="6"/>
        <v>#DIV/0!</v>
      </c>
      <c r="J24" s="196" t="e">
        <f t="shared" si="6"/>
        <v>#DIV/0!</v>
      </c>
      <c r="L24" s="194" t="s">
        <v>34</v>
      </c>
      <c r="N24" s="196" t="e">
        <f>SUM(N23/M23)-1</f>
        <v>#DIV/0!</v>
      </c>
      <c r="O24" s="196" t="e">
        <f t="shared" ref="O24:S24" si="7">SUM(O23/N23)-1</f>
        <v>#DIV/0!</v>
      </c>
      <c r="P24" s="196" t="e">
        <f t="shared" si="7"/>
        <v>#DIV/0!</v>
      </c>
      <c r="Q24" s="196" t="e">
        <f t="shared" si="7"/>
        <v>#DIV/0!</v>
      </c>
      <c r="R24" s="196" t="e">
        <f t="shared" si="7"/>
        <v>#DIV/0!</v>
      </c>
      <c r="S24" s="196" t="e">
        <f t="shared" si="7"/>
        <v>#DIV/0!</v>
      </c>
      <c r="T24" s="170"/>
    </row>
    <row r="25" spans="2:20" ht="18.75" customHeight="1">
      <c r="B25" s="169"/>
      <c r="C25" s="192" t="s">
        <v>317</v>
      </c>
      <c r="D25" s="193"/>
      <c r="E25" s="193"/>
      <c r="F25" s="193"/>
      <c r="G25" s="193"/>
      <c r="H25" s="193"/>
      <c r="I25" s="193"/>
      <c r="J25" s="193"/>
      <c r="L25" s="192" t="s">
        <v>318</v>
      </c>
      <c r="M25" s="178"/>
      <c r="N25" s="178"/>
      <c r="O25" s="178"/>
      <c r="P25" s="178"/>
      <c r="Q25" s="178"/>
      <c r="R25" s="178"/>
      <c r="S25" s="178"/>
      <c r="T25" s="170"/>
    </row>
    <row r="26" spans="2:20" ht="18.75" customHeight="1">
      <c r="B26" s="169"/>
      <c r="C26" s="194" t="s">
        <v>34</v>
      </c>
      <c r="E26" s="196" t="e">
        <f>SUM(E25/D25)-1</f>
        <v>#DIV/0!</v>
      </c>
      <c r="F26" s="196" t="e">
        <f t="shared" ref="F26:J26" si="8">SUM(F25/E25)-1</f>
        <v>#DIV/0!</v>
      </c>
      <c r="G26" s="196" t="e">
        <f t="shared" si="8"/>
        <v>#DIV/0!</v>
      </c>
      <c r="H26" s="196" t="e">
        <f t="shared" si="8"/>
        <v>#DIV/0!</v>
      </c>
      <c r="I26" s="196" t="e">
        <f t="shared" si="8"/>
        <v>#DIV/0!</v>
      </c>
      <c r="J26" s="196" t="e">
        <f t="shared" si="8"/>
        <v>#DIV/0!</v>
      </c>
      <c r="L26" s="194" t="s">
        <v>34</v>
      </c>
      <c r="N26" s="196" t="e">
        <f>SUM(N25/M25)-1</f>
        <v>#DIV/0!</v>
      </c>
      <c r="O26" s="196" t="e">
        <f t="shared" ref="O26:S26" si="9">SUM(O25/N25)-1</f>
        <v>#DIV/0!</v>
      </c>
      <c r="P26" s="196" t="e">
        <f t="shared" si="9"/>
        <v>#DIV/0!</v>
      </c>
      <c r="Q26" s="196" t="e">
        <f t="shared" si="9"/>
        <v>#DIV/0!</v>
      </c>
      <c r="R26" s="196" t="e">
        <f t="shared" si="9"/>
        <v>#DIV/0!</v>
      </c>
      <c r="S26" s="196" t="e">
        <f t="shared" si="9"/>
        <v>#DIV/0!</v>
      </c>
      <c r="T26" s="170"/>
    </row>
    <row r="27" spans="2:20" ht="18.75" customHeight="1">
      <c r="B27" s="169"/>
      <c r="C27" s="194"/>
      <c r="E27" s="196"/>
      <c r="F27" s="196"/>
      <c r="G27" s="196"/>
      <c r="H27" s="196"/>
      <c r="I27" s="196"/>
      <c r="J27" s="196"/>
      <c r="T27" s="170"/>
    </row>
    <row r="28" spans="2:20" ht="18.75" customHeight="1">
      <c r="B28" s="169"/>
      <c r="C28" s="174" t="s">
        <v>319</v>
      </c>
      <c r="D28" s="187"/>
      <c r="E28" s="188"/>
      <c r="F28" s="188"/>
      <c r="G28" s="188"/>
      <c r="H28" s="188"/>
      <c r="I28" s="188"/>
      <c r="J28" s="188"/>
      <c r="L28" s="174" t="s">
        <v>320</v>
      </c>
      <c r="M28" s="187"/>
      <c r="N28" s="188"/>
      <c r="O28" s="188"/>
      <c r="P28" s="188"/>
      <c r="Q28" s="188"/>
      <c r="R28" s="188"/>
      <c r="S28" s="188"/>
      <c r="T28" s="170"/>
    </row>
    <row r="29" spans="2:20" ht="18.75" customHeight="1">
      <c r="B29" s="169"/>
      <c r="C29" s="189"/>
      <c r="D29" s="190">
        <v>2025</v>
      </c>
      <c r="E29" s="191">
        <v>2026</v>
      </c>
      <c r="F29" s="191">
        <v>2027</v>
      </c>
      <c r="G29" s="191">
        <v>2028</v>
      </c>
      <c r="H29" s="191">
        <v>2029</v>
      </c>
      <c r="I29" s="191">
        <v>2030</v>
      </c>
      <c r="J29" s="191">
        <v>2031</v>
      </c>
      <c r="L29" s="189"/>
      <c r="M29" s="190">
        <v>2025</v>
      </c>
      <c r="N29" s="191">
        <v>2026</v>
      </c>
      <c r="O29" s="191">
        <v>2027</v>
      </c>
      <c r="P29" s="191">
        <v>2028</v>
      </c>
      <c r="Q29" s="191">
        <v>2029</v>
      </c>
      <c r="R29" s="191">
        <v>2030</v>
      </c>
      <c r="S29" s="191">
        <v>2031</v>
      </c>
      <c r="T29" s="170"/>
    </row>
    <row r="30" spans="2:20" ht="18.75" customHeight="1">
      <c r="B30" s="169"/>
      <c r="C30" s="192" t="s">
        <v>321</v>
      </c>
      <c r="D30" s="197"/>
      <c r="E30" s="197"/>
      <c r="F30" s="197"/>
      <c r="G30" s="197"/>
      <c r="H30" s="197"/>
      <c r="I30" s="197"/>
      <c r="J30" s="197"/>
      <c r="L30" s="192" t="s">
        <v>322</v>
      </c>
      <c r="M30" s="178"/>
      <c r="N30" s="178"/>
      <c r="O30" s="178"/>
      <c r="P30" s="178"/>
      <c r="Q30" s="178"/>
      <c r="R30" s="178"/>
      <c r="S30" s="178"/>
      <c r="T30" s="170"/>
    </row>
    <row r="31" spans="2:20" ht="18.75" customHeight="1">
      <c r="B31" s="169"/>
      <c r="C31" s="194" t="s">
        <v>34</v>
      </c>
      <c r="E31" s="196" t="e">
        <f>SUM(E30/D30)-1</f>
        <v>#DIV/0!</v>
      </c>
      <c r="F31" s="196" t="e">
        <f t="shared" ref="F31:J31" si="10">SUM(F30/E30)-1</f>
        <v>#DIV/0!</v>
      </c>
      <c r="G31" s="196" t="e">
        <f t="shared" si="10"/>
        <v>#DIV/0!</v>
      </c>
      <c r="H31" s="196" t="e">
        <f t="shared" si="10"/>
        <v>#DIV/0!</v>
      </c>
      <c r="I31" s="196" t="e">
        <f t="shared" si="10"/>
        <v>#DIV/0!</v>
      </c>
      <c r="J31" s="196" t="e">
        <f t="shared" si="10"/>
        <v>#DIV/0!</v>
      </c>
      <c r="L31" s="194" t="s">
        <v>34</v>
      </c>
      <c r="N31" s="196" t="e">
        <f>SUM(N30/M30)-1</f>
        <v>#DIV/0!</v>
      </c>
      <c r="O31" s="196" t="e">
        <f t="shared" ref="O31:S31" si="11">SUM(O30/N30)-1</f>
        <v>#DIV/0!</v>
      </c>
      <c r="P31" s="196" t="e">
        <f t="shared" si="11"/>
        <v>#DIV/0!</v>
      </c>
      <c r="Q31" s="196" t="e">
        <f t="shared" si="11"/>
        <v>#DIV/0!</v>
      </c>
      <c r="R31" s="196" t="e">
        <f t="shared" si="11"/>
        <v>#DIV/0!</v>
      </c>
      <c r="S31" s="196" t="e">
        <f t="shared" si="11"/>
        <v>#DIV/0!</v>
      </c>
      <c r="T31" s="170"/>
    </row>
    <row r="32" spans="2:20" ht="18.75" customHeight="1">
      <c r="B32" s="169"/>
      <c r="C32" s="192" t="s">
        <v>323</v>
      </c>
      <c r="D32" s="197"/>
      <c r="E32" s="197"/>
      <c r="F32" s="197"/>
      <c r="G32" s="197"/>
      <c r="H32" s="197"/>
      <c r="I32" s="197"/>
      <c r="J32" s="197"/>
      <c r="L32" s="192" t="s">
        <v>324</v>
      </c>
      <c r="M32" s="178"/>
      <c r="N32" s="178"/>
      <c r="O32" s="178"/>
      <c r="P32" s="178"/>
      <c r="Q32" s="178"/>
      <c r="R32" s="178"/>
      <c r="S32" s="178"/>
      <c r="T32" s="170"/>
    </row>
    <row r="33" spans="2:20" ht="18.75" customHeight="1">
      <c r="B33" s="169"/>
      <c r="C33" s="194" t="s">
        <v>34</v>
      </c>
      <c r="E33" s="196" t="e">
        <f>SUM(E32/D32)-1</f>
        <v>#DIV/0!</v>
      </c>
      <c r="F33" s="196" t="e">
        <f t="shared" ref="F33:J33" si="12">SUM(F32/E32)-1</f>
        <v>#DIV/0!</v>
      </c>
      <c r="G33" s="196" t="e">
        <f t="shared" si="12"/>
        <v>#DIV/0!</v>
      </c>
      <c r="H33" s="196" t="e">
        <f t="shared" si="12"/>
        <v>#DIV/0!</v>
      </c>
      <c r="I33" s="196" t="e">
        <f t="shared" si="12"/>
        <v>#DIV/0!</v>
      </c>
      <c r="J33" s="196" t="e">
        <f t="shared" si="12"/>
        <v>#DIV/0!</v>
      </c>
      <c r="L33" s="194" t="s">
        <v>34</v>
      </c>
      <c r="N33" s="196" t="e">
        <f>SUM(N32/M32)-1</f>
        <v>#DIV/0!</v>
      </c>
      <c r="O33" s="196" t="e">
        <f t="shared" ref="O33:S33" si="13">SUM(O32/N32)-1</f>
        <v>#DIV/0!</v>
      </c>
      <c r="P33" s="196" t="e">
        <f t="shared" si="13"/>
        <v>#DIV/0!</v>
      </c>
      <c r="Q33" s="196" t="e">
        <f t="shared" si="13"/>
        <v>#DIV/0!</v>
      </c>
      <c r="R33" s="196" t="e">
        <f t="shared" si="13"/>
        <v>#DIV/0!</v>
      </c>
      <c r="S33" s="196" t="e">
        <f t="shared" si="13"/>
        <v>#DIV/0!</v>
      </c>
      <c r="T33" s="170"/>
    </row>
    <row r="34" spans="2:20" ht="18.75" customHeight="1">
      <c r="B34" s="169"/>
      <c r="C34" s="192" t="s">
        <v>325</v>
      </c>
      <c r="D34" s="197"/>
      <c r="E34" s="197"/>
      <c r="F34" s="197"/>
      <c r="G34" s="197"/>
      <c r="H34" s="197"/>
      <c r="I34" s="197"/>
      <c r="J34" s="197"/>
      <c r="L34" s="192" t="s">
        <v>326</v>
      </c>
      <c r="M34" s="178"/>
      <c r="N34" s="178"/>
      <c r="O34" s="178"/>
      <c r="P34" s="178"/>
      <c r="Q34" s="178"/>
      <c r="R34" s="178"/>
      <c r="S34" s="178"/>
      <c r="T34" s="170"/>
    </row>
    <row r="35" spans="2:20" ht="18.75" customHeight="1">
      <c r="B35" s="169"/>
      <c r="C35" s="194" t="s">
        <v>34</v>
      </c>
      <c r="E35" s="196" t="e">
        <f>SUM(E34/D34)-1</f>
        <v>#DIV/0!</v>
      </c>
      <c r="F35" s="196" t="e">
        <f t="shared" ref="F35:J35" si="14">SUM(F34/E34)-1</f>
        <v>#DIV/0!</v>
      </c>
      <c r="G35" s="196" t="e">
        <f t="shared" si="14"/>
        <v>#DIV/0!</v>
      </c>
      <c r="H35" s="196" t="e">
        <f t="shared" si="14"/>
        <v>#DIV/0!</v>
      </c>
      <c r="I35" s="196" t="e">
        <f t="shared" si="14"/>
        <v>#DIV/0!</v>
      </c>
      <c r="J35" s="196" t="e">
        <f t="shared" si="14"/>
        <v>#DIV/0!</v>
      </c>
      <c r="L35" s="194" t="s">
        <v>34</v>
      </c>
      <c r="N35" s="196" t="e">
        <f>SUM(N34/M34)-1</f>
        <v>#DIV/0!</v>
      </c>
      <c r="O35" s="196" t="e">
        <f t="shared" ref="O35:S35" si="15">SUM(O34/N34)-1</f>
        <v>#DIV/0!</v>
      </c>
      <c r="P35" s="196" t="e">
        <f t="shared" si="15"/>
        <v>#DIV/0!</v>
      </c>
      <c r="Q35" s="196" t="e">
        <f t="shared" si="15"/>
        <v>#DIV/0!</v>
      </c>
      <c r="R35" s="196" t="e">
        <f t="shared" si="15"/>
        <v>#DIV/0!</v>
      </c>
      <c r="S35" s="196" t="e">
        <f t="shared" si="15"/>
        <v>#DIV/0!</v>
      </c>
      <c r="T35" s="170"/>
    </row>
    <row r="36" spans="2:20" ht="18.75" customHeight="1">
      <c r="B36" s="169"/>
      <c r="C36" s="194"/>
      <c r="E36" s="196"/>
      <c r="F36" s="196"/>
      <c r="G36" s="196"/>
      <c r="H36" s="196"/>
      <c r="I36" s="196"/>
      <c r="J36" s="196"/>
      <c r="T36" s="170"/>
    </row>
    <row r="37" spans="2:20" ht="18.75" customHeight="1">
      <c r="B37" s="169"/>
      <c r="C37" s="174" t="s">
        <v>327</v>
      </c>
      <c r="D37" s="187"/>
      <c r="E37" s="188"/>
      <c r="F37" s="188"/>
      <c r="G37" s="188"/>
      <c r="H37" s="188"/>
      <c r="I37" s="188"/>
      <c r="J37" s="188"/>
      <c r="L37" s="174" t="s">
        <v>328</v>
      </c>
      <c r="M37" s="187"/>
      <c r="N37" s="188"/>
      <c r="O37" s="188"/>
      <c r="P37" s="188"/>
      <c r="Q37" s="188"/>
      <c r="R37" s="188"/>
      <c r="S37" s="188"/>
      <c r="T37" s="170"/>
    </row>
    <row r="38" spans="2:20" ht="18.75" customHeight="1">
      <c r="B38" s="169"/>
      <c r="C38" s="189"/>
      <c r="D38" s="190">
        <v>2025</v>
      </c>
      <c r="E38" s="191">
        <v>2026</v>
      </c>
      <c r="F38" s="191">
        <v>2027</v>
      </c>
      <c r="G38" s="191">
        <v>2028</v>
      </c>
      <c r="H38" s="191">
        <v>2029</v>
      </c>
      <c r="I38" s="191">
        <v>2030</v>
      </c>
      <c r="J38" s="191">
        <v>2031</v>
      </c>
      <c r="L38" s="189"/>
      <c r="M38" s="190">
        <v>2025</v>
      </c>
      <c r="N38" s="191">
        <v>2026</v>
      </c>
      <c r="O38" s="191">
        <v>2027</v>
      </c>
      <c r="P38" s="191">
        <v>2028</v>
      </c>
      <c r="Q38" s="191">
        <v>2029</v>
      </c>
      <c r="R38" s="191">
        <v>2030</v>
      </c>
      <c r="S38" s="191">
        <v>2031</v>
      </c>
      <c r="T38" s="170"/>
    </row>
    <row r="39" spans="2:20" ht="18.75" customHeight="1">
      <c r="B39" s="169"/>
      <c r="C39" s="192" t="s">
        <v>329</v>
      </c>
      <c r="D39" s="198"/>
      <c r="E39" s="198"/>
      <c r="F39" s="198"/>
      <c r="G39" s="198"/>
      <c r="H39" s="198"/>
      <c r="I39" s="198"/>
      <c r="J39" s="198"/>
      <c r="L39" s="192" t="s">
        <v>75</v>
      </c>
      <c r="M39" s="178"/>
      <c r="N39" s="178"/>
      <c r="O39" s="178"/>
      <c r="P39" s="178"/>
      <c r="Q39" s="178"/>
      <c r="R39" s="178"/>
      <c r="S39" s="178"/>
      <c r="T39" s="170"/>
    </row>
    <row r="40" spans="2:20" ht="18.75" customHeight="1">
      <c r="B40" s="169"/>
      <c r="C40" s="194" t="s">
        <v>34</v>
      </c>
      <c r="D40" s="195"/>
      <c r="E40" s="196" t="e">
        <f>SUM(E39/D39)-1</f>
        <v>#DIV/0!</v>
      </c>
      <c r="F40" s="196" t="e">
        <f>SUM(F39/E39)-1</f>
        <v>#DIV/0!</v>
      </c>
      <c r="G40" s="196" t="e">
        <f t="shared" ref="G40:J40" si="16">SUM(G39/F39)-1</f>
        <v>#DIV/0!</v>
      </c>
      <c r="H40" s="196" t="e">
        <f t="shared" si="16"/>
        <v>#DIV/0!</v>
      </c>
      <c r="I40" s="196" t="e">
        <f t="shared" si="16"/>
        <v>#DIV/0!</v>
      </c>
      <c r="J40" s="196" t="e">
        <f t="shared" si="16"/>
        <v>#DIV/0!</v>
      </c>
      <c r="L40" s="194" t="s">
        <v>34</v>
      </c>
      <c r="N40" s="196" t="e">
        <f>SUM(N39/M39)-1</f>
        <v>#DIV/0!</v>
      </c>
      <c r="O40" s="196" t="e">
        <f t="shared" ref="O40:S40" si="17">SUM(O39/N39)-1</f>
        <v>#DIV/0!</v>
      </c>
      <c r="P40" s="196" t="e">
        <f t="shared" si="17"/>
        <v>#DIV/0!</v>
      </c>
      <c r="Q40" s="196" t="e">
        <f t="shared" si="17"/>
        <v>#DIV/0!</v>
      </c>
      <c r="R40" s="196" t="e">
        <f t="shared" si="17"/>
        <v>#DIV/0!</v>
      </c>
      <c r="S40" s="196" t="e">
        <f t="shared" si="17"/>
        <v>#DIV/0!</v>
      </c>
      <c r="T40" s="170"/>
    </row>
    <row r="41" spans="2:20" ht="18.75" customHeight="1">
      <c r="B41" s="169"/>
      <c r="C41" s="192" t="s">
        <v>330</v>
      </c>
      <c r="D41" s="198"/>
      <c r="E41" s="198"/>
      <c r="F41" s="198"/>
      <c r="G41" s="198"/>
      <c r="H41" s="198"/>
      <c r="I41" s="198"/>
      <c r="J41" s="198"/>
      <c r="L41" s="192" t="s">
        <v>331</v>
      </c>
      <c r="M41" s="178"/>
      <c r="N41" s="178"/>
      <c r="O41" s="178"/>
      <c r="P41" s="178"/>
      <c r="Q41" s="178"/>
      <c r="R41" s="178"/>
      <c r="S41" s="178"/>
      <c r="T41" s="170"/>
    </row>
    <row r="42" spans="2:20" ht="18.75" customHeight="1">
      <c r="B42" s="169"/>
      <c r="C42" s="194" t="s">
        <v>34</v>
      </c>
      <c r="E42" s="196" t="e">
        <f>SUM(E41/D41)-1</f>
        <v>#DIV/0!</v>
      </c>
      <c r="F42" s="196" t="e">
        <f t="shared" ref="F42:J42" si="18">SUM(F41/E41)-1</f>
        <v>#DIV/0!</v>
      </c>
      <c r="G42" s="196" t="e">
        <f t="shared" si="18"/>
        <v>#DIV/0!</v>
      </c>
      <c r="H42" s="196" t="e">
        <f t="shared" si="18"/>
        <v>#DIV/0!</v>
      </c>
      <c r="I42" s="196" t="e">
        <f t="shared" si="18"/>
        <v>#DIV/0!</v>
      </c>
      <c r="J42" s="196" t="e">
        <f t="shared" si="18"/>
        <v>#DIV/0!</v>
      </c>
      <c r="L42" s="194" t="s">
        <v>34</v>
      </c>
      <c r="N42" s="196" t="e">
        <f>SUM(N41/M41)-1</f>
        <v>#DIV/0!</v>
      </c>
      <c r="O42" s="196" t="e">
        <f t="shared" ref="O42:S42" si="19">SUM(O41/N41)-1</f>
        <v>#DIV/0!</v>
      </c>
      <c r="P42" s="196" t="e">
        <f t="shared" si="19"/>
        <v>#DIV/0!</v>
      </c>
      <c r="Q42" s="196" t="e">
        <f t="shared" si="19"/>
        <v>#DIV/0!</v>
      </c>
      <c r="R42" s="196" t="e">
        <f t="shared" si="19"/>
        <v>#DIV/0!</v>
      </c>
      <c r="S42" s="196" t="e">
        <f t="shared" si="19"/>
        <v>#DIV/0!</v>
      </c>
      <c r="T42" s="170"/>
    </row>
    <row r="43" spans="2:20" ht="18.75" customHeight="1">
      <c r="B43" s="181"/>
      <c r="C43" s="182"/>
      <c r="D43" s="182"/>
      <c r="E43" s="182"/>
      <c r="F43" s="182"/>
      <c r="G43" s="182"/>
      <c r="H43" s="182"/>
      <c r="I43" s="182"/>
      <c r="J43" s="182"/>
      <c r="K43" s="199"/>
      <c r="L43" s="182"/>
      <c r="M43" s="182"/>
      <c r="N43" s="182"/>
      <c r="O43" s="182"/>
      <c r="P43" s="182"/>
      <c r="Q43" s="182"/>
      <c r="R43" s="182"/>
      <c r="S43" s="182"/>
      <c r="T43" s="18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46AB-3537-4E89-9587-9829FE274963}">
  <dimension ref="B2:AD48"/>
  <sheetViews>
    <sheetView showGridLines="0" zoomScale="55" zoomScaleNormal="55" workbookViewId="0">
      <selection activeCell="I55" sqref="I55"/>
    </sheetView>
  </sheetViews>
  <sheetFormatPr defaultColWidth="10.875" defaultRowHeight="18.75" customHeight="1"/>
  <cols>
    <col min="1" max="1" width="1.625" style="166" customWidth="1"/>
    <col min="2" max="2" width="3.625" style="166" customWidth="1"/>
    <col min="3" max="3" width="28.625" style="166" bestFit="1" customWidth="1"/>
    <col min="4" max="4" width="15.875" style="166" customWidth="1"/>
    <col min="5" max="29" width="10.875" style="166"/>
    <col min="30" max="30" width="3.625" style="166" customWidth="1"/>
    <col min="31" max="16384" width="10.875" style="166"/>
  </cols>
  <sheetData>
    <row r="2" spans="2:30" ht="18.75" customHeight="1">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row>
    <row r="3" spans="2:30" ht="18.75" customHeight="1">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row>
    <row r="4" spans="2:30" ht="18.75" customHeight="1">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row>
    <row r="5" spans="2:30" ht="18.75" customHeight="1">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row>
    <row r="6" spans="2:30" ht="18.75" customHeight="1">
      <c r="B6" s="167"/>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row>
    <row r="7" spans="2:30" ht="18.75" customHeight="1">
      <c r="B7" s="167"/>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row>
    <row r="8" spans="2:30" ht="18.75" customHeight="1">
      <c r="B8" s="167"/>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row>
    <row r="9" spans="2:30" ht="18.75" customHeight="1">
      <c r="B9" s="167"/>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row>
    <row r="10" spans="2:30" ht="18.75" customHeight="1">
      <c r="B10" s="167"/>
      <c r="C10" s="167"/>
      <c r="D10" s="167"/>
      <c r="E10" s="167"/>
      <c r="F10" s="167"/>
      <c r="G10" s="167"/>
      <c r="H10" s="167"/>
      <c r="I10" s="167"/>
      <c r="J10" s="168"/>
      <c r="K10" s="168"/>
      <c r="L10" s="168"/>
      <c r="M10" s="168"/>
      <c r="N10" s="168"/>
      <c r="O10" s="168"/>
      <c r="P10" s="168"/>
      <c r="Q10" s="168"/>
      <c r="R10" s="168"/>
      <c r="S10" s="168"/>
      <c r="T10" s="168"/>
      <c r="U10" s="168"/>
      <c r="V10" s="168"/>
      <c r="W10" s="168"/>
      <c r="X10" s="168"/>
      <c r="Y10" s="168"/>
      <c r="Z10" s="168"/>
      <c r="AA10" s="168"/>
      <c r="AB10" s="168"/>
      <c r="AC10" s="168"/>
      <c r="AD10" s="167"/>
    </row>
    <row r="11" spans="2:30" ht="18.75" customHeight="1">
      <c r="B11" s="169"/>
      <c r="AD11" s="170"/>
    </row>
    <row r="12" spans="2:30" ht="18.75" customHeight="1">
      <c r="B12" s="169"/>
      <c r="C12" s="171" t="s">
        <v>364</v>
      </c>
      <c r="D12" s="172"/>
      <c r="E12" s="172"/>
      <c r="F12" s="172"/>
      <c r="G12" s="172"/>
      <c r="AD12" s="170"/>
    </row>
    <row r="13" spans="2:30" ht="18.75" customHeight="1">
      <c r="B13" s="169"/>
      <c r="C13" s="173" t="s">
        <v>213</v>
      </c>
      <c r="AD13" s="170"/>
    </row>
    <row r="14" spans="2:30" ht="18.75" customHeight="1">
      <c r="B14" s="169"/>
      <c r="AD14" s="170"/>
    </row>
    <row r="15" spans="2:30" ht="18.75" customHeight="1">
      <c r="B15" s="169"/>
      <c r="C15" s="174" t="s">
        <v>333</v>
      </c>
      <c r="D15" s="174"/>
      <c r="E15" s="174"/>
      <c r="F15" s="174"/>
      <c r="G15" s="174"/>
      <c r="H15" s="174"/>
      <c r="AD15" s="170"/>
    </row>
    <row r="16" spans="2:30" ht="18.75" customHeight="1">
      <c r="B16" s="169"/>
      <c r="C16" s="174"/>
      <c r="D16" s="174"/>
      <c r="E16" s="200" t="s">
        <v>334</v>
      </c>
      <c r="F16" s="200" t="s">
        <v>335</v>
      </c>
      <c r="G16" s="200" t="s">
        <v>336</v>
      </c>
      <c r="H16" s="200" t="s">
        <v>337</v>
      </c>
      <c r="AD16" s="170"/>
    </row>
    <row r="17" spans="2:30" ht="18.75" customHeight="1">
      <c r="B17" s="169"/>
      <c r="D17" s="201" t="s">
        <v>338</v>
      </c>
      <c r="E17" s="202"/>
      <c r="F17" s="203">
        <f>G17-E17</f>
        <v>0</v>
      </c>
      <c r="G17" s="202"/>
      <c r="H17" s="203" t="e">
        <f>MEDIAN(G17,E17)</f>
        <v>#NUM!</v>
      </c>
      <c r="AD17" s="170"/>
    </row>
    <row r="18" spans="2:30" ht="18.75" customHeight="1">
      <c r="B18" s="169"/>
      <c r="D18" s="201" t="s">
        <v>339</v>
      </c>
      <c r="E18" s="202"/>
      <c r="F18" s="203">
        <f>G18-E18</f>
        <v>0</v>
      </c>
      <c r="G18" s="202"/>
      <c r="H18" s="203" t="e">
        <f t="shared" ref="H18:H21" si="0">MEDIAN(G18,E18)</f>
        <v>#NUM!</v>
      </c>
      <c r="AD18" s="170"/>
    </row>
    <row r="19" spans="2:30" ht="18.75" customHeight="1">
      <c r="B19" s="169"/>
      <c r="D19" s="201" t="s">
        <v>340</v>
      </c>
      <c r="E19" s="202"/>
      <c r="F19" s="203">
        <f t="shared" ref="F19:F21" si="1">G19-E19</f>
        <v>0</v>
      </c>
      <c r="G19" s="202"/>
      <c r="H19" s="203" t="e">
        <f t="shared" si="0"/>
        <v>#NUM!</v>
      </c>
      <c r="AD19" s="170"/>
    </row>
    <row r="20" spans="2:30" ht="18.75" customHeight="1">
      <c r="B20" s="169"/>
      <c r="D20" s="201" t="s">
        <v>341</v>
      </c>
      <c r="E20" s="202"/>
      <c r="F20" s="203">
        <f t="shared" si="1"/>
        <v>0</v>
      </c>
      <c r="G20" s="202"/>
      <c r="H20" s="203" t="e">
        <f t="shared" si="0"/>
        <v>#NUM!</v>
      </c>
      <c r="AD20" s="170"/>
    </row>
    <row r="21" spans="2:30" ht="18.75" customHeight="1">
      <c r="B21" s="169"/>
      <c r="D21" s="201" t="s">
        <v>342</v>
      </c>
      <c r="E21" s="202"/>
      <c r="F21" s="203">
        <f t="shared" si="1"/>
        <v>0</v>
      </c>
      <c r="G21" s="202"/>
      <c r="H21" s="203" t="e">
        <f t="shared" si="0"/>
        <v>#NUM!</v>
      </c>
      <c r="AD21" s="170"/>
    </row>
    <row r="22" spans="2:30" ht="18.75" customHeight="1">
      <c r="B22" s="169"/>
      <c r="AD22" s="170"/>
    </row>
    <row r="23" spans="2:30" ht="18.75" customHeight="1">
      <c r="B23" s="169"/>
      <c r="C23" s="174" t="s">
        <v>343</v>
      </c>
      <c r="D23" s="174"/>
      <c r="E23" s="174"/>
      <c r="F23" s="174"/>
      <c r="G23" s="174"/>
      <c r="H23" s="174"/>
      <c r="I23" s="174"/>
      <c r="J23" s="174"/>
      <c r="K23" s="174"/>
      <c r="L23" s="174"/>
      <c r="M23" s="204"/>
      <c r="N23" s="204"/>
      <c r="AD23" s="170"/>
    </row>
    <row r="24" spans="2:30" ht="18.75" customHeight="1">
      <c r="B24" s="169"/>
      <c r="C24" s="205" t="s">
        <v>344</v>
      </c>
      <c r="D24" s="206" t="s">
        <v>345</v>
      </c>
      <c r="F24" s="206" t="s">
        <v>346</v>
      </c>
      <c r="G24" s="206" t="s">
        <v>347</v>
      </c>
      <c r="H24" s="206" t="s">
        <v>348</v>
      </c>
      <c r="I24" s="206" t="s">
        <v>347</v>
      </c>
      <c r="J24" s="206" t="s">
        <v>349</v>
      </c>
      <c r="K24" s="206" t="s">
        <v>347</v>
      </c>
      <c r="L24" s="206" t="s">
        <v>350</v>
      </c>
      <c r="M24" s="204"/>
      <c r="N24" s="204"/>
      <c r="AD24" s="170"/>
    </row>
    <row r="25" spans="2:30" ht="18.75" customHeight="1">
      <c r="B25" s="169"/>
      <c r="C25" s="207" t="s">
        <v>351</v>
      </c>
      <c r="D25" s="208" t="s">
        <v>352</v>
      </c>
      <c r="E25" s="208"/>
      <c r="F25" s="208" t="s">
        <v>353</v>
      </c>
      <c r="G25" s="208" t="s">
        <v>352</v>
      </c>
      <c r="H25" s="208" t="s">
        <v>353</v>
      </c>
      <c r="I25" s="208" t="s">
        <v>352</v>
      </c>
      <c r="J25" s="208" t="s">
        <v>353</v>
      </c>
      <c r="K25" s="208" t="s">
        <v>352</v>
      </c>
      <c r="L25" s="208" t="s">
        <v>354</v>
      </c>
      <c r="M25" s="204"/>
      <c r="N25" s="204"/>
      <c r="AD25" s="170"/>
    </row>
    <row r="26" spans="2:30" ht="18.75" customHeight="1">
      <c r="B26" s="169"/>
      <c r="M26" s="204"/>
      <c r="N26" s="204"/>
      <c r="AD26" s="170"/>
    </row>
    <row r="27" spans="2:30" ht="18.75" customHeight="1">
      <c r="B27" s="169"/>
      <c r="C27" s="166" t="s">
        <v>355</v>
      </c>
      <c r="D27" s="209"/>
      <c r="F27" s="210">
        <f>E18</f>
        <v>0</v>
      </c>
      <c r="G27" s="209"/>
      <c r="H27" s="210" t="e">
        <f>H18</f>
        <v>#NUM!</v>
      </c>
      <c r="I27" s="209"/>
      <c r="J27" s="210">
        <f>G18</f>
        <v>0</v>
      </c>
      <c r="K27" s="209"/>
      <c r="L27" s="210" t="e">
        <f>F27*G27+H27*I27+J27*K27</f>
        <v>#NUM!</v>
      </c>
      <c r="M27" s="204"/>
      <c r="N27" s="204"/>
      <c r="AD27" s="170"/>
    </row>
    <row r="28" spans="2:30" ht="18.75" customHeight="1">
      <c r="B28" s="169"/>
      <c r="C28" s="166" t="s">
        <v>356</v>
      </c>
      <c r="D28" s="209"/>
      <c r="F28" s="210">
        <f>E19</f>
        <v>0</v>
      </c>
      <c r="G28" s="209"/>
      <c r="H28" s="210" t="e">
        <f>H19</f>
        <v>#NUM!</v>
      </c>
      <c r="I28" s="209"/>
      <c r="J28" s="210">
        <f>G19</f>
        <v>0</v>
      </c>
      <c r="K28" s="209"/>
      <c r="L28" s="210" t="e">
        <f>F28*G28+H28*I28+J28*K28</f>
        <v>#NUM!</v>
      </c>
      <c r="M28" s="204"/>
      <c r="AD28" s="170"/>
    </row>
    <row r="29" spans="2:30" ht="18.75" customHeight="1">
      <c r="B29" s="169"/>
      <c r="D29" s="211"/>
      <c r="AD29" s="170"/>
    </row>
    <row r="30" spans="2:30" ht="18.75" customHeight="1">
      <c r="B30" s="169"/>
      <c r="C30" s="174" t="s">
        <v>343</v>
      </c>
      <c r="D30" s="174"/>
      <c r="E30" s="174"/>
      <c r="F30" s="174"/>
      <c r="G30" s="174"/>
      <c r="H30" s="174"/>
      <c r="I30" s="174"/>
      <c r="J30" s="174"/>
      <c r="K30" s="174"/>
      <c r="L30" s="174"/>
      <c r="AD30" s="170"/>
    </row>
    <row r="31" spans="2:30" ht="18.75" customHeight="1">
      <c r="B31" s="169"/>
      <c r="C31" s="205" t="s">
        <v>357</v>
      </c>
      <c r="D31" s="206" t="s">
        <v>345</v>
      </c>
      <c r="F31" s="206" t="s">
        <v>346</v>
      </c>
      <c r="G31" s="206" t="s">
        <v>347</v>
      </c>
      <c r="H31" s="206" t="s">
        <v>348</v>
      </c>
      <c r="I31" s="206" t="s">
        <v>347</v>
      </c>
      <c r="J31" s="206" t="s">
        <v>349</v>
      </c>
      <c r="K31" s="206" t="s">
        <v>347</v>
      </c>
      <c r="L31" s="206" t="s">
        <v>350</v>
      </c>
      <c r="AD31" s="170"/>
    </row>
    <row r="32" spans="2:30" ht="18.75" customHeight="1">
      <c r="B32" s="169"/>
      <c r="C32" s="207" t="s">
        <v>358</v>
      </c>
      <c r="D32" s="208" t="s">
        <v>352</v>
      </c>
      <c r="E32" s="208"/>
      <c r="F32" s="208" t="s">
        <v>353</v>
      </c>
      <c r="G32" s="208" t="s">
        <v>352</v>
      </c>
      <c r="H32" s="208" t="s">
        <v>353</v>
      </c>
      <c r="I32" s="208" t="s">
        <v>352</v>
      </c>
      <c r="J32" s="208" t="s">
        <v>353</v>
      </c>
      <c r="K32" s="208" t="s">
        <v>352</v>
      </c>
      <c r="L32" s="208" t="s">
        <v>354</v>
      </c>
      <c r="AD32" s="170"/>
    </row>
    <row r="33" spans="2:30" ht="18.75" customHeight="1">
      <c r="B33" s="169"/>
      <c r="C33" s="175" t="s">
        <v>359</v>
      </c>
      <c r="D33" s="209"/>
      <c r="E33" s="180"/>
      <c r="F33" s="212"/>
      <c r="G33" s="209"/>
      <c r="H33" s="212"/>
      <c r="I33" s="209"/>
      <c r="J33" s="212"/>
      <c r="K33" s="209"/>
      <c r="L33" s="210">
        <f>F33*G33+H33*I33+J33*K33</f>
        <v>0</v>
      </c>
      <c r="AD33" s="170"/>
    </row>
    <row r="34" spans="2:30" ht="18.75" customHeight="1">
      <c r="B34" s="169"/>
      <c r="C34" s="175"/>
      <c r="D34" s="175"/>
      <c r="G34" s="176"/>
      <c r="I34" s="194"/>
      <c r="K34" s="196"/>
      <c r="L34" s="196"/>
      <c r="M34" s="196"/>
      <c r="N34" s="196"/>
      <c r="O34" s="196"/>
      <c r="P34" s="196"/>
      <c r="Q34" s="196"/>
      <c r="R34" s="196"/>
      <c r="S34" s="196"/>
      <c r="T34" s="196"/>
      <c r="U34" s="196"/>
      <c r="V34" s="196"/>
      <c r="W34" s="196"/>
      <c r="X34" s="196"/>
      <c r="Y34" s="196"/>
      <c r="Z34" s="196"/>
      <c r="AA34" s="196"/>
      <c r="AB34" s="196"/>
      <c r="AC34" s="196"/>
      <c r="AD34" s="170"/>
    </row>
    <row r="35" spans="2:30" ht="18.75" customHeight="1">
      <c r="B35" s="169"/>
      <c r="C35" s="174" t="s">
        <v>360</v>
      </c>
      <c r="D35" s="174"/>
      <c r="I35" s="192"/>
      <c r="J35" s="193"/>
      <c r="K35" s="193"/>
      <c r="L35" s="193"/>
      <c r="M35" s="193"/>
      <c r="N35" s="193"/>
      <c r="O35" s="193"/>
      <c r="P35" s="193"/>
      <c r="Q35" s="193"/>
      <c r="R35" s="193"/>
      <c r="S35" s="193"/>
      <c r="T35" s="193"/>
      <c r="U35" s="193"/>
      <c r="V35" s="193"/>
      <c r="W35" s="193"/>
      <c r="X35" s="193"/>
      <c r="Y35" s="193"/>
      <c r="Z35" s="193"/>
      <c r="AA35" s="193"/>
      <c r="AB35" s="193"/>
      <c r="AC35" s="193"/>
      <c r="AD35" s="170"/>
    </row>
    <row r="36" spans="2:30" ht="18.75" customHeight="1">
      <c r="B36" s="169"/>
      <c r="C36" s="213" t="s">
        <v>361</v>
      </c>
      <c r="D36" s="210" t="e">
        <f>D33*L33+D27*L27+D28*L28</f>
        <v>#NUM!</v>
      </c>
      <c r="I36" s="194"/>
      <c r="K36" s="196"/>
      <c r="L36" s="196"/>
      <c r="M36" s="196"/>
      <c r="N36" s="196"/>
      <c r="O36" s="196"/>
      <c r="P36" s="196"/>
      <c r="Q36" s="196"/>
      <c r="R36" s="196"/>
      <c r="S36" s="196"/>
      <c r="T36" s="196"/>
      <c r="U36" s="196"/>
      <c r="V36" s="196"/>
      <c r="W36" s="196"/>
      <c r="X36" s="196"/>
      <c r="Y36" s="196"/>
      <c r="Z36" s="196"/>
      <c r="AA36" s="196"/>
      <c r="AB36" s="196"/>
      <c r="AC36" s="196"/>
      <c r="AD36" s="170"/>
    </row>
    <row r="37" spans="2:30" ht="18.75" customHeight="1">
      <c r="B37" s="169"/>
      <c r="C37" s="214" t="s">
        <v>362</v>
      </c>
      <c r="D37" s="178"/>
      <c r="I37" s="192"/>
      <c r="J37" s="178"/>
      <c r="K37" s="178"/>
      <c r="L37" s="178"/>
      <c r="M37" s="178"/>
      <c r="N37" s="178"/>
      <c r="O37" s="178"/>
      <c r="P37" s="178"/>
      <c r="Q37" s="178"/>
      <c r="R37" s="178"/>
      <c r="S37" s="178"/>
      <c r="T37" s="178"/>
      <c r="U37" s="178"/>
      <c r="V37" s="178"/>
      <c r="W37" s="178"/>
      <c r="X37" s="178"/>
      <c r="Y37" s="178"/>
      <c r="Z37" s="178"/>
      <c r="AA37" s="178"/>
      <c r="AB37" s="178"/>
      <c r="AC37" s="178"/>
      <c r="AD37" s="170"/>
    </row>
    <row r="38" spans="2:30" ht="18.75" customHeight="1">
      <c r="B38" s="169"/>
      <c r="C38" s="215" t="s">
        <v>363</v>
      </c>
      <c r="D38" s="216" t="e">
        <f>(D36/D37)-1</f>
        <v>#NUM!</v>
      </c>
      <c r="I38" s="194"/>
      <c r="K38" s="196"/>
      <c r="L38" s="196"/>
      <c r="M38" s="196"/>
      <c r="N38" s="196"/>
      <c r="O38" s="196"/>
      <c r="P38" s="196"/>
      <c r="Q38" s="196"/>
      <c r="R38" s="196"/>
      <c r="S38" s="196"/>
      <c r="T38" s="196"/>
      <c r="U38" s="196"/>
      <c r="V38" s="196"/>
      <c r="W38" s="196"/>
      <c r="X38" s="196"/>
      <c r="Y38" s="196"/>
      <c r="Z38" s="196"/>
      <c r="AA38" s="196"/>
      <c r="AB38" s="196"/>
      <c r="AC38" s="196"/>
      <c r="AD38" s="170"/>
    </row>
    <row r="39" spans="2:30" ht="18.75" customHeight="1">
      <c r="B39" s="169"/>
      <c r="C39" s="175"/>
      <c r="D39" s="175"/>
      <c r="G39" s="176"/>
      <c r="I39" s="192"/>
      <c r="J39" s="178"/>
      <c r="K39" s="178"/>
      <c r="L39" s="178"/>
      <c r="M39" s="178"/>
      <c r="N39" s="178"/>
      <c r="O39" s="178"/>
      <c r="P39" s="178"/>
      <c r="Q39" s="178"/>
      <c r="R39" s="178"/>
      <c r="S39" s="178"/>
      <c r="T39" s="178"/>
      <c r="U39" s="178"/>
      <c r="V39" s="178"/>
      <c r="W39" s="178"/>
      <c r="X39" s="178"/>
      <c r="Y39" s="178"/>
      <c r="Z39" s="178"/>
      <c r="AA39" s="178"/>
      <c r="AB39" s="178"/>
      <c r="AC39" s="178"/>
      <c r="AD39" s="170"/>
    </row>
    <row r="40" spans="2:30" ht="18.75" customHeight="1">
      <c r="B40" s="169"/>
      <c r="C40" s="175"/>
      <c r="D40" s="175"/>
      <c r="G40" s="176"/>
      <c r="I40" s="194"/>
      <c r="K40" s="196"/>
      <c r="L40" s="196"/>
      <c r="M40" s="196"/>
      <c r="N40" s="196"/>
      <c r="O40" s="196"/>
      <c r="P40" s="196"/>
      <c r="Q40" s="196"/>
      <c r="R40" s="196"/>
      <c r="S40" s="196"/>
      <c r="T40" s="196"/>
      <c r="U40" s="196"/>
      <c r="V40" s="196"/>
      <c r="W40" s="196"/>
      <c r="X40" s="196"/>
      <c r="Y40" s="196"/>
      <c r="Z40" s="196"/>
      <c r="AA40" s="196"/>
      <c r="AB40" s="196"/>
      <c r="AC40" s="196"/>
      <c r="AD40" s="170"/>
    </row>
    <row r="41" spans="2:30" ht="18.75" customHeight="1">
      <c r="B41" s="169"/>
      <c r="C41" s="175"/>
      <c r="D41" s="175"/>
      <c r="G41" s="176"/>
      <c r="AD41" s="170"/>
    </row>
    <row r="42" spans="2:30" ht="18.75" customHeight="1">
      <c r="B42" s="169"/>
      <c r="C42" s="175"/>
      <c r="D42" s="175"/>
      <c r="G42" s="176"/>
      <c r="AD42" s="170"/>
    </row>
    <row r="43" spans="2:30" ht="18.75" customHeight="1">
      <c r="B43" s="169"/>
      <c r="C43" s="175"/>
      <c r="D43" s="175"/>
      <c r="G43" s="176"/>
      <c r="AD43" s="170"/>
    </row>
    <row r="44" spans="2:30" ht="18.75" customHeight="1">
      <c r="B44" s="169"/>
      <c r="C44" s="175"/>
      <c r="D44" s="175"/>
      <c r="G44" s="176"/>
      <c r="AD44" s="170"/>
    </row>
    <row r="45" spans="2:30" ht="18.75" customHeight="1">
      <c r="B45" s="169"/>
      <c r="C45" s="175"/>
      <c r="D45" s="175"/>
      <c r="G45" s="176"/>
      <c r="AD45" s="170"/>
    </row>
    <row r="46" spans="2:30" ht="18.75" customHeight="1">
      <c r="B46" s="169"/>
      <c r="C46" s="175"/>
      <c r="D46" s="175"/>
      <c r="G46" s="176"/>
      <c r="AD46" s="170"/>
    </row>
    <row r="47" spans="2:30" ht="18.75" customHeight="1">
      <c r="B47" s="169"/>
      <c r="C47" s="175"/>
      <c r="D47" s="175"/>
      <c r="G47" s="176"/>
      <c r="I47" s="194"/>
      <c r="K47" s="196"/>
      <c r="L47" s="196"/>
      <c r="M47" s="196"/>
      <c r="N47" s="196"/>
      <c r="O47" s="196"/>
      <c r="P47" s="196"/>
      <c r="Q47" s="196"/>
      <c r="R47" s="196"/>
      <c r="S47" s="196"/>
      <c r="T47" s="196"/>
      <c r="U47" s="196"/>
      <c r="V47" s="196"/>
      <c r="W47" s="196"/>
      <c r="X47" s="196"/>
      <c r="Y47" s="196"/>
      <c r="Z47" s="196"/>
      <c r="AA47" s="196"/>
      <c r="AB47" s="196"/>
      <c r="AC47" s="196"/>
      <c r="AD47" s="170"/>
    </row>
    <row r="48" spans="2:30" ht="18.75" customHeight="1">
      <c r="B48" s="181"/>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c r="AC48" s="182"/>
      <c r="AD48" s="18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U152"/>
  <sheetViews>
    <sheetView showGridLines="0" zoomScaleNormal="100" workbookViewId="0">
      <selection activeCell="AW125" sqref="AW125"/>
    </sheetView>
  </sheetViews>
  <sheetFormatPr defaultRowHeight="12" outlineLevelRow="1" outlineLevelCol="4"/>
  <cols>
    <col min="1" max="1" width="1.625" style="5" bestFit="1" customWidth="1"/>
    <col min="2" max="2" width="36.25" style="5" customWidth="1"/>
    <col min="3" max="4" width="9" style="5" customWidth="1" outlineLevel="2"/>
    <col min="5" max="6" width="9" style="5" customWidth="1" outlineLevel="1"/>
    <col min="7" max="9" width="9" style="5" bestFit="1" customWidth="1"/>
    <col min="10" max="10" width="1.5" style="5" customWidth="1"/>
    <col min="11" max="14" width="8.875" style="5" customWidth="1" outlineLevel="4"/>
    <col min="15" max="18" width="8.875" style="5" customWidth="1" outlineLevel="3"/>
    <col min="19" max="22" width="8.875" style="5" customWidth="1" outlineLevel="2"/>
    <col min="23" max="24" width="8.875" style="5" customWidth="1" outlineLevel="1"/>
    <col min="25" max="29" width="8.875" style="5" bestFit="1" customWidth="1"/>
    <col min="30" max="30" width="1.5" style="5" customWidth="1"/>
    <col min="31" max="40" width="8.75" style="5" hidden="1" customWidth="1" outlineLevel="1"/>
    <col min="41" max="41" width="9" style="5" bestFit="1" customWidth="1" collapsed="1"/>
    <col min="42" max="44" width="9" style="5" hidden="1" customWidth="1" outlineLevel="1"/>
    <col min="45" max="45" width="9" style="5" bestFit="1" customWidth="1" collapsed="1"/>
    <col min="46" max="46" width="1.25" style="5" customWidth="1"/>
    <col min="47" max="47" width="8" style="5" bestFit="1" customWidth="1"/>
    <col min="48" max="48" width="1.375" style="5" customWidth="1"/>
    <col min="49" max="16384" width="9" style="5"/>
  </cols>
  <sheetData>
    <row r="2" spans="1:47" ht="12.75" customHeight="1">
      <c r="B2" s="1" t="s">
        <v>126</v>
      </c>
      <c r="C2" s="103"/>
      <c r="D2" s="103"/>
      <c r="E2" s="103"/>
      <c r="F2" s="103"/>
      <c r="G2" s="103"/>
      <c r="H2" s="103"/>
      <c r="I2" s="103"/>
      <c r="J2" s="3"/>
      <c r="K2" s="103"/>
      <c r="L2" s="103"/>
      <c r="M2" s="103"/>
      <c r="N2" s="103"/>
      <c r="O2" s="103"/>
      <c r="P2" s="103"/>
      <c r="Q2" s="103"/>
      <c r="R2" s="103"/>
      <c r="S2" s="103"/>
      <c r="T2" s="103"/>
      <c r="U2" s="103"/>
      <c r="V2" s="103"/>
      <c r="W2" s="103"/>
      <c r="X2" s="103"/>
      <c r="Y2" s="103"/>
      <c r="Z2" s="103"/>
      <c r="AA2" s="103"/>
      <c r="AB2" s="103"/>
      <c r="AC2" s="103"/>
      <c r="AD2" s="3"/>
      <c r="AE2" s="103"/>
      <c r="AF2" s="103"/>
      <c r="AG2" s="103"/>
      <c r="AH2" s="103"/>
      <c r="AI2" s="103"/>
      <c r="AJ2" s="103"/>
      <c r="AK2" s="103"/>
      <c r="AL2" s="103"/>
      <c r="AM2" s="103"/>
      <c r="AN2" s="103"/>
      <c r="AO2" s="103"/>
      <c r="AP2" s="103"/>
      <c r="AQ2" s="103"/>
      <c r="AR2" s="103"/>
      <c r="AS2" s="103"/>
      <c r="AT2" s="3"/>
      <c r="AU2" s="1"/>
    </row>
    <row r="3" spans="1:47" ht="12.75" customHeight="1">
      <c r="B3" s="6" t="s">
        <v>87</v>
      </c>
      <c r="C3" s="7"/>
      <c r="D3" s="7"/>
      <c r="E3" s="7"/>
      <c r="F3" s="7"/>
      <c r="G3" s="7"/>
      <c r="H3" s="7"/>
      <c r="I3" s="7"/>
      <c r="J3" s="3"/>
      <c r="K3" s="4"/>
      <c r="L3" s="4"/>
      <c r="M3" s="4"/>
      <c r="N3" s="4"/>
      <c r="O3" s="4"/>
      <c r="P3" s="4"/>
      <c r="Q3" s="4"/>
      <c r="R3" s="4"/>
      <c r="S3" s="4"/>
      <c r="T3" s="4"/>
      <c r="U3" s="4"/>
      <c r="V3" s="4"/>
      <c r="W3" s="4"/>
      <c r="X3" s="4"/>
      <c r="Y3" s="4"/>
      <c r="Z3" s="4"/>
      <c r="AA3" s="4"/>
      <c r="AB3" s="4"/>
      <c r="AC3" s="4"/>
      <c r="AD3" s="3"/>
      <c r="AE3" s="4"/>
      <c r="AF3" s="4"/>
      <c r="AG3" s="4"/>
      <c r="AH3" s="4"/>
      <c r="AI3" s="4"/>
      <c r="AJ3" s="4"/>
      <c r="AK3" s="4"/>
      <c r="AL3" s="4"/>
      <c r="AM3" s="4"/>
      <c r="AN3" s="4"/>
      <c r="AO3" s="4"/>
      <c r="AP3" s="4"/>
      <c r="AQ3" s="4"/>
      <c r="AR3" s="4"/>
      <c r="AS3" s="4"/>
      <c r="AT3" s="3"/>
      <c r="AU3" s="1"/>
    </row>
    <row r="4" spans="1:47" ht="12.75" customHeight="1">
      <c r="B4" s="6" t="s">
        <v>170</v>
      </c>
      <c r="C4" s="3"/>
      <c r="D4" s="3"/>
      <c r="E4" s="3"/>
      <c r="F4" s="3"/>
      <c r="G4" s="3"/>
      <c r="H4" s="88"/>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1"/>
    </row>
    <row r="6" spans="1:47" ht="12.75" customHeight="1">
      <c r="A6" s="5" t="s">
        <v>19</v>
      </c>
      <c r="B6" s="1" t="s">
        <v>85</v>
      </c>
      <c r="C6" s="2"/>
      <c r="D6" s="2"/>
      <c r="E6" s="2"/>
      <c r="F6" s="2"/>
      <c r="G6" s="2" t="s">
        <v>0</v>
      </c>
      <c r="H6" s="2"/>
      <c r="I6" s="2"/>
      <c r="J6" s="3"/>
      <c r="K6" s="2"/>
      <c r="L6" s="2"/>
      <c r="M6" s="2"/>
      <c r="N6" s="2"/>
      <c r="O6" s="2" t="s">
        <v>1</v>
      </c>
      <c r="P6" s="2"/>
      <c r="Q6" s="2"/>
      <c r="R6" s="2"/>
      <c r="S6" s="2" t="s">
        <v>1</v>
      </c>
      <c r="T6" s="2"/>
      <c r="U6" s="2"/>
      <c r="V6" s="2"/>
      <c r="W6" s="2"/>
      <c r="X6" s="2"/>
      <c r="Y6" s="2" t="s">
        <v>1</v>
      </c>
      <c r="Z6" s="2"/>
      <c r="AA6" s="2"/>
      <c r="AB6" s="2"/>
      <c r="AC6" s="2"/>
      <c r="AD6" s="3"/>
      <c r="AE6" s="2"/>
      <c r="AF6" s="2"/>
      <c r="AG6" s="2"/>
      <c r="AH6" s="2"/>
      <c r="AI6" s="2"/>
      <c r="AJ6" s="2"/>
      <c r="AK6" s="2"/>
      <c r="AL6" s="2"/>
      <c r="AM6" s="2"/>
      <c r="AN6" s="2" t="s">
        <v>10</v>
      </c>
      <c r="AO6" s="2" t="s">
        <v>10</v>
      </c>
      <c r="AP6" s="2"/>
      <c r="AQ6" s="2"/>
      <c r="AR6" s="2"/>
      <c r="AS6" s="2"/>
      <c r="AT6" s="39"/>
      <c r="AU6" s="161" t="s">
        <v>26</v>
      </c>
    </row>
    <row r="7" spans="1:47" ht="12.75" customHeight="1">
      <c r="B7" s="6" t="s">
        <v>88</v>
      </c>
      <c r="C7" s="7">
        <v>2018</v>
      </c>
      <c r="D7" s="7">
        <v>2019</v>
      </c>
      <c r="E7" s="7">
        <v>2020</v>
      </c>
      <c r="F7" s="7">
        <v>2021</v>
      </c>
      <c r="G7" s="7">
        <v>2022</v>
      </c>
      <c r="H7" s="7">
        <v>2023</v>
      </c>
      <c r="I7" s="7">
        <v>2024</v>
      </c>
      <c r="J7" s="3"/>
      <c r="K7" s="4" t="s">
        <v>94</v>
      </c>
      <c r="L7" s="4" t="s">
        <v>95</v>
      </c>
      <c r="M7" s="4" t="s">
        <v>96</v>
      </c>
      <c r="N7" s="4" t="s">
        <v>97</v>
      </c>
      <c r="O7" s="4" t="s">
        <v>28</v>
      </c>
      <c r="P7" s="4" t="s">
        <v>29</v>
      </c>
      <c r="Q7" s="4" t="s">
        <v>30</v>
      </c>
      <c r="R7" s="4" t="s">
        <v>31</v>
      </c>
      <c r="S7" s="4" t="s">
        <v>6</v>
      </c>
      <c r="T7" s="4" t="s">
        <v>7</v>
      </c>
      <c r="U7" s="4" t="s">
        <v>8</v>
      </c>
      <c r="V7" s="4" t="s">
        <v>9</v>
      </c>
      <c r="W7" s="4" t="s">
        <v>2</v>
      </c>
      <c r="X7" s="4" t="s">
        <v>3</v>
      </c>
      <c r="Y7" s="4" t="s">
        <v>4</v>
      </c>
      <c r="Z7" s="4" t="s">
        <v>5</v>
      </c>
      <c r="AA7" s="4" t="s">
        <v>32</v>
      </c>
      <c r="AB7" s="4" t="s">
        <v>33</v>
      </c>
      <c r="AC7" s="4" t="s">
        <v>73</v>
      </c>
      <c r="AD7" s="3"/>
      <c r="AE7" s="4" t="str">
        <f t="shared" ref="AE7:AS8" si="0">O7</f>
        <v>1Q22</v>
      </c>
      <c r="AF7" s="4" t="str">
        <f t="shared" si="0"/>
        <v>2Q22</v>
      </c>
      <c r="AG7" s="4" t="str">
        <f t="shared" si="0"/>
        <v>3Q22</v>
      </c>
      <c r="AH7" s="4" t="str">
        <f t="shared" si="0"/>
        <v>4Q22</v>
      </c>
      <c r="AI7" s="4" t="str">
        <f t="shared" si="0"/>
        <v>1Q23</v>
      </c>
      <c r="AJ7" s="4" t="str">
        <f t="shared" si="0"/>
        <v>2Q23</v>
      </c>
      <c r="AK7" s="4" t="str">
        <f t="shared" si="0"/>
        <v>3Q23</v>
      </c>
      <c r="AL7" s="4" t="str">
        <f t="shared" si="0"/>
        <v>4Q23</v>
      </c>
      <c r="AM7" s="4" t="str">
        <f t="shared" si="0"/>
        <v>1Q24</v>
      </c>
      <c r="AN7" s="4" t="str">
        <f t="shared" si="0"/>
        <v>2Q24</v>
      </c>
      <c r="AO7" s="4" t="str">
        <f t="shared" si="0"/>
        <v>3Q24</v>
      </c>
      <c r="AP7" s="4" t="str">
        <f t="shared" si="0"/>
        <v>4Q24</v>
      </c>
      <c r="AQ7" s="4" t="str">
        <f t="shared" si="0"/>
        <v>1Q25</v>
      </c>
      <c r="AR7" s="4" t="str">
        <f t="shared" si="0"/>
        <v>2Q25</v>
      </c>
      <c r="AS7" s="4" t="str">
        <f t="shared" si="0"/>
        <v>3Q25</v>
      </c>
      <c r="AT7" s="39"/>
      <c r="AU7" s="161"/>
    </row>
    <row r="8" spans="1:47" ht="12.75" customHeight="1">
      <c r="B8" s="6" t="s">
        <v>89</v>
      </c>
      <c r="C8" s="3">
        <v>43465</v>
      </c>
      <c r="D8" s="3">
        <v>43830</v>
      </c>
      <c r="E8" s="3">
        <v>44196</v>
      </c>
      <c r="F8" s="3">
        <v>44561</v>
      </c>
      <c r="G8" s="3">
        <v>44926</v>
      </c>
      <c r="H8" s="88">
        <v>45291</v>
      </c>
      <c r="I8" s="3">
        <v>45657</v>
      </c>
      <c r="J8" s="3"/>
      <c r="K8" s="3">
        <v>44286</v>
      </c>
      <c r="L8" s="3">
        <v>44377</v>
      </c>
      <c r="M8" s="3">
        <v>44469</v>
      </c>
      <c r="N8" s="3">
        <f>F8</f>
        <v>44561</v>
      </c>
      <c r="O8" s="3">
        <v>44651</v>
      </c>
      <c r="P8" s="3">
        <v>44742</v>
      </c>
      <c r="Q8" s="3">
        <v>44834</v>
      </c>
      <c r="R8" s="3">
        <f>G8</f>
        <v>44926</v>
      </c>
      <c r="S8" s="3">
        <v>45016</v>
      </c>
      <c r="T8" s="3">
        <v>45107</v>
      </c>
      <c r="U8" s="3">
        <v>45199</v>
      </c>
      <c r="V8" s="3">
        <f>H8</f>
        <v>45291</v>
      </c>
      <c r="W8" s="3">
        <v>45382</v>
      </c>
      <c r="X8" s="3">
        <v>45473</v>
      </c>
      <c r="Y8" s="3">
        <v>45565</v>
      </c>
      <c r="Z8" s="3">
        <f>I8</f>
        <v>45657</v>
      </c>
      <c r="AA8" s="3">
        <v>45747</v>
      </c>
      <c r="AB8" s="3">
        <v>45838</v>
      </c>
      <c r="AC8" s="3">
        <v>45930</v>
      </c>
      <c r="AD8" s="3"/>
      <c r="AE8" s="3">
        <f t="shared" si="0"/>
        <v>44651</v>
      </c>
      <c r="AF8" s="3">
        <f t="shared" si="0"/>
        <v>44742</v>
      </c>
      <c r="AG8" s="3">
        <f t="shared" si="0"/>
        <v>44834</v>
      </c>
      <c r="AH8" s="3">
        <f t="shared" si="0"/>
        <v>44926</v>
      </c>
      <c r="AI8" s="3">
        <f t="shared" si="0"/>
        <v>45016</v>
      </c>
      <c r="AJ8" s="3">
        <f t="shared" si="0"/>
        <v>45107</v>
      </c>
      <c r="AK8" s="3">
        <f t="shared" si="0"/>
        <v>45199</v>
      </c>
      <c r="AL8" s="3">
        <f t="shared" si="0"/>
        <v>45291</v>
      </c>
      <c r="AM8" s="3">
        <f t="shared" si="0"/>
        <v>45382</v>
      </c>
      <c r="AN8" s="3">
        <f t="shared" si="0"/>
        <v>45473</v>
      </c>
      <c r="AO8" s="3">
        <f t="shared" si="0"/>
        <v>45565</v>
      </c>
      <c r="AP8" s="3">
        <f t="shared" si="0"/>
        <v>45657</v>
      </c>
      <c r="AQ8" s="3">
        <f t="shared" si="0"/>
        <v>45747</v>
      </c>
      <c r="AR8" s="3">
        <f t="shared" si="0"/>
        <v>45838</v>
      </c>
      <c r="AS8" s="3">
        <f t="shared" si="0"/>
        <v>45930</v>
      </c>
      <c r="AT8" s="39"/>
      <c r="AU8" s="161"/>
    </row>
    <row r="9" spans="1:47" ht="5.0999999999999996" customHeight="1">
      <c r="AU9" s="102"/>
    </row>
    <row r="10" spans="1:47" ht="12.75" customHeight="1">
      <c r="B10" s="9" t="s">
        <v>67</v>
      </c>
      <c r="C10" s="85">
        <v>15794.341</v>
      </c>
      <c r="D10" s="85">
        <v>20156.447</v>
      </c>
      <c r="E10" s="85">
        <v>24996.056</v>
      </c>
      <c r="F10" s="85">
        <v>29697.844000000001</v>
      </c>
      <c r="G10" s="85">
        <v>31615.55</v>
      </c>
      <c r="H10" s="85">
        <v>33723.296999999999</v>
      </c>
      <c r="I10" s="85">
        <v>39000.966</v>
      </c>
      <c r="J10" s="11"/>
      <c r="K10" s="85">
        <v>7163.2820000000002</v>
      </c>
      <c r="L10" s="85">
        <v>7341.777</v>
      </c>
      <c r="M10" s="85">
        <v>7483.4669999999996</v>
      </c>
      <c r="N10" s="32">
        <f>SUM(F10-SUM(K10:M10))</f>
        <v>7709.3179999999993</v>
      </c>
      <c r="O10" s="85">
        <v>7867.7669999999998</v>
      </c>
      <c r="P10" s="85">
        <v>7970.1409999999996</v>
      </c>
      <c r="Q10" s="85">
        <v>7925.5889999999999</v>
      </c>
      <c r="R10" s="32">
        <f>SUM(G10-SUM(O10:Q10))</f>
        <v>7852.0529999999999</v>
      </c>
      <c r="S10" s="85">
        <v>8161.5029999999997</v>
      </c>
      <c r="T10" s="85">
        <v>8187.3010000000004</v>
      </c>
      <c r="U10" s="85">
        <v>8541.6679999999997</v>
      </c>
      <c r="V10" s="32">
        <f>SUM(H10-SUM(S10:U10))</f>
        <v>8832.8249999999971</v>
      </c>
      <c r="W10" s="85">
        <v>9370.44</v>
      </c>
      <c r="X10" s="85">
        <v>9559.31</v>
      </c>
      <c r="Y10" s="85">
        <v>9824.7029999999995</v>
      </c>
      <c r="Z10" s="32">
        <f>SUM(I10-SUM(W10:Y10))</f>
        <v>10246.512999999999</v>
      </c>
      <c r="AA10" s="85">
        <v>10542.800999999999</v>
      </c>
      <c r="AB10" s="85">
        <v>11079.165999999999</v>
      </c>
      <c r="AC10" s="85">
        <v>11510.307000000001</v>
      </c>
      <c r="AE10" s="32">
        <f t="shared" ref="AE10:AS10" si="1">SUM(L10:O10)</f>
        <v>30402.328999999998</v>
      </c>
      <c r="AF10" s="32">
        <f t="shared" si="1"/>
        <v>31030.692999999999</v>
      </c>
      <c r="AG10" s="32">
        <f t="shared" si="1"/>
        <v>31472.814999999999</v>
      </c>
      <c r="AH10" s="32">
        <f t="shared" si="1"/>
        <v>31615.55</v>
      </c>
      <c r="AI10" s="32">
        <f t="shared" si="1"/>
        <v>31909.286</v>
      </c>
      <c r="AJ10" s="32">
        <f t="shared" si="1"/>
        <v>32126.446</v>
      </c>
      <c r="AK10" s="32">
        <f t="shared" si="1"/>
        <v>32742.525000000001</v>
      </c>
      <c r="AL10" s="32">
        <f t="shared" si="1"/>
        <v>33723.296999999999</v>
      </c>
      <c r="AM10" s="32">
        <f t="shared" si="1"/>
        <v>34932.233999999997</v>
      </c>
      <c r="AN10" s="32">
        <f t="shared" si="1"/>
        <v>36304.242999999995</v>
      </c>
      <c r="AO10" s="32">
        <f t="shared" si="1"/>
        <v>37587.277999999998</v>
      </c>
      <c r="AP10" s="32">
        <f t="shared" si="1"/>
        <v>39000.966</v>
      </c>
      <c r="AQ10" s="32">
        <f t="shared" si="1"/>
        <v>40173.326999999997</v>
      </c>
      <c r="AR10" s="32">
        <f t="shared" si="1"/>
        <v>41693.182999999997</v>
      </c>
      <c r="AS10" s="32">
        <f t="shared" si="1"/>
        <v>43378.786999999997</v>
      </c>
      <c r="AT10" s="41"/>
      <c r="AU10" s="12">
        <f>SUM(AS10/AO10)-1</f>
        <v>0.15408162836372452</v>
      </c>
    </row>
    <row r="11" spans="1:47" ht="12.75" customHeight="1">
      <c r="B11" s="13" t="s">
        <v>12</v>
      </c>
      <c r="C11" s="14">
        <f t="shared" ref="C11:I11" si="2">+SUM(C10:C10)</f>
        <v>15794.341</v>
      </c>
      <c r="D11" s="14">
        <f t="shared" si="2"/>
        <v>20156.447</v>
      </c>
      <c r="E11" s="14">
        <f t="shared" si="2"/>
        <v>24996.056</v>
      </c>
      <c r="F11" s="14">
        <f t="shared" si="2"/>
        <v>29697.844000000001</v>
      </c>
      <c r="G11" s="14">
        <f t="shared" si="2"/>
        <v>31615.55</v>
      </c>
      <c r="H11" s="14">
        <f t="shared" si="2"/>
        <v>33723.296999999999</v>
      </c>
      <c r="I11" s="14">
        <f t="shared" si="2"/>
        <v>39000.966</v>
      </c>
      <c r="J11" s="11"/>
      <c r="K11" s="14">
        <f t="shared" ref="K11:AB11" si="3">+SUM(K10:K10)</f>
        <v>7163.2820000000002</v>
      </c>
      <c r="L11" s="14">
        <f t="shared" si="3"/>
        <v>7341.777</v>
      </c>
      <c r="M11" s="14">
        <f t="shared" si="3"/>
        <v>7483.4669999999996</v>
      </c>
      <c r="N11" s="14">
        <f t="shared" si="3"/>
        <v>7709.3179999999993</v>
      </c>
      <c r="O11" s="14">
        <f t="shared" si="3"/>
        <v>7867.7669999999998</v>
      </c>
      <c r="P11" s="14">
        <f t="shared" si="3"/>
        <v>7970.1409999999996</v>
      </c>
      <c r="Q11" s="14">
        <f t="shared" si="3"/>
        <v>7925.5889999999999</v>
      </c>
      <c r="R11" s="14">
        <f t="shared" si="3"/>
        <v>7852.0529999999999</v>
      </c>
      <c r="S11" s="14">
        <f t="shared" si="3"/>
        <v>8161.5029999999997</v>
      </c>
      <c r="T11" s="14">
        <f t="shared" si="3"/>
        <v>8187.3010000000004</v>
      </c>
      <c r="U11" s="14">
        <f t="shared" si="3"/>
        <v>8541.6679999999997</v>
      </c>
      <c r="V11" s="14">
        <f t="shared" si="3"/>
        <v>8832.8249999999971</v>
      </c>
      <c r="W11" s="14">
        <f t="shared" si="3"/>
        <v>9370.44</v>
      </c>
      <c r="X11" s="14">
        <f t="shared" si="3"/>
        <v>9559.31</v>
      </c>
      <c r="Y11" s="14">
        <f t="shared" si="3"/>
        <v>9824.7029999999995</v>
      </c>
      <c r="Z11" s="14">
        <f t="shared" si="3"/>
        <v>10246.512999999999</v>
      </c>
      <c r="AA11" s="14">
        <f t="shared" si="3"/>
        <v>10542.800999999999</v>
      </c>
      <c r="AB11" s="14">
        <f t="shared" si="3"/>
        <v>11079.165999999999</v>
      </c>
      <c r="AC11" s="14">
        <f>+SUM(AC10:AC10)</f>
        <v>11510.307000000001</v>
      </c>
      <c r="AE11" s="14">
        <f t="shared" ref="AE11:AG11" si="4">+SUM(AE10:AE10)</f>
        <v>30402.328999999998</v>
      </c>
      <c r="AF11" s="14">
        <f t="shared" si="4"/>
        <v>31030.692999999999</v>
      </c>
      <c r="AG11" s="14">
        <f t="shared" si="4"/>
        <v>31472.814999999999</v>
      </c>
      <c r="AH11" s="14">
        <f t="shared" ref="AH11:AR11" si="5">+SUM(AH10:AH10)</f>
        <v>31615.55</v>
      </c>
      <c r="AI11" s="14">
        <f t="shared" si="5"/>
        <v>31909.286</v>
      </c>
      <c r="AJ11" s="14">
        <f t="shared" si="5"/>
        <v>32126.446</v>
      </c>
      <c r="AK11" s="14">
        <f t="shared" si="5"/>
        <v>32742.525000000001</v>
      </c>
      <c r="AL11" s="14">
        <f t="shared" si="5"/>
        <v>33723.296999999999</v>
      </c>
      <c r="AM11" s="14">
        <f t="shared" si="5"/>
        <v>34932.233999999997</v>
      </c>
      <c r="AN11" s="14">
        <f t="shared" si="5"/>
        <v>36304.242999999995</v>
      </c>
      <c r="AO11" s="14">
        <f t="shared" si="5"/>
        <v>37587.277999999998</v>
      </c>
      <c r="AP11" s="14">
        <f t="shared" si="5"/>
        <v>39000.966</v>
      </c>
      <c r="AQ11" s="14">
        <f t="shared" si="5"/>
        <v>40173.326999999997</v>
      </c>
      <c r="AR11" s="14">
        <f t="shared" si="5"/>
        <v>41693.182999999997</v>
      </c>
      <c r="AS11" s="14">
        <f>+SUM(AS10:AS10)</f>
        <v>43378.786999999997</v>
      </c>
      <c r="AT11" s="41"/>
      <c r="AU11" s="15">
        <f>SUM(AS11/AO11)-1</f>
        <v>0.15408162836372452</v>
      </c>
    </row>
    <row r="12" spans="1:47" s="20" customFormat="1" ht="5.0999999999999996" customHeight="1">
      <c r="B12" s="18"/>
      <c r="C12" s="19"/>
      <c r="D12" s="19"/>
      <c r="E12" s="19"/>
      <c r="F12" s="19"/>
      <c r="G12" s="19"/>
      <c r="H12" s="19"/>
      <c r="I12" s="19"/>
      <c r="K12" s="21"/>
      <c r="L12" s="21"/>
      <c r="M12" s="21"/>
      <c r="N12" s="21"/>
      <c r="O12" s="21"/>
      <c r="P12" s="21"/>
      <c r="Q12" s="21"/>
      <c r="R12" s="21"/>
      <c r="S12" s="21"/>
      <c r="T12" s="21"/>
      <c r="U12" s="21"/>
      <c r="V12" s="21"/>
      <c r="W12" s="21"/>
      <c r="X12" s="21"/>
      <c r="Y12" s="21"/>
      <c r="Z12" s="21"/>
      <c r="AA12" s="22"/>
      <c r="AB12" s="21"/>
      <c r="AC12" s="21"/>
      <c r="AU12" s="78"/>
    </row>
    <row r="13" spans="1:47" ht="12.75" customHeight="1">
      <c r="B13" s="9" t="s">
        <v>146</v>
      </c>
      <c r="C13" s="85">
        <v>-7532.0879999999997</v>
      </c>
      <c r="D13" s="85">
        <v>-9216.2469999999994</v>
      </c>
      <c r="E13" s="85">
        <v>-10806.912</v>
      </c>
      <c r="F13" s="85">
        <v>-12230.367</v>
      </c>
      <c r="G13" s="85">
        <v>-14026.132</v>
      </c>
      <c r="H13" s="85">
        <v>-14197.437</v>
      </c>
      <c r="I13" s="85">
        <v>-15301.517</v>
      </c>
      <c r="J13" s="24"/>
      <c r="K13" s="85">
        <v>-2719.1959999999999</v>
      </c>
      <c r="L13" s="85">
        <v>-2806.8029999999999</v>
      </c>
      <c r="M13" s="85">
        <v>-2963.0509999999999</v>
      </c>
      <c r="N13" s="32">
        <f>SUM(F13-SUM(K13:M13))</f>
        <v>-3741.3170000000009</v>
      </c>
      <c r="O13" s="85">
        <v>-3166.3649999999998</v>
      </c>
      <c r="P13" s="85">
        <v>-3261.348</v>
      </c>
      <c r="Q13" s="85">
        <v>-3653.5920000000001</v>
      </c>
      <c r="R13" s="32">
        <f>SUM(G13-SUM(O13:Q13))</f>
        <v>-3944.8269999999993</v>
      </c>
      <c r="S13" s="85">
        <v>-3459.9839999999999</v>
      </c>
      <c r="T13" s="85">
        <v>-3410.0210000000002</v>
      </c>
      <c r="U13" s="85">
        <v>-3573.3530000000001</v>
      </c>
      <c r="V13" s="32">
        <f>SUM(H13-SUM(S13:U13))</f>
        <v>-3754.0789999999997</v>
      </c>
      <c r="W13" s="85">
        <v>-3670.8049999999998</v>
      </c>
      <c r="X13" s="85">
        <v>-3769.69</v>
      </c>
      <c r="Y13" s="85">
        <v>-3699.5210000000002</v>
      </c>
      <c r="Z13" s="32">
        <f>SUM(I13-SUM(W13:Y13))</f>
        <v>-4161.5010000000002</v>
      </c>
      <c r="AA13" s="85">
        <v>-3823.1120000000001</v>
      </c>
      <c r="AB13" s="85">
        <v>-3832.0740000000001</v>
      </c>
      <c r="AC13" s="85">
        <v>-4002.7440000000001</v>
      </c>
      <c r="AE13" s="32">
        <f t="shared" ref="AE13:AE15" si="6">SUM(L13:O13)</f>
        <v>-12677.536</v>
      </c>
      <c r="AF13" s="32">
        <f t="shared" ref="AF13:AF15" si="7">SUM(M13:P13)</f>
        <v>-13132.081</v>
      </c>
      <c r="AG13" s="32">
        <f t="shared" ref="AG13:AG15" si="8">SUM(N13:Q13)</f>
        <v>-13822.622000000001</v>
      </c>
      <c r="AH13" s="32">
        <f t="shared" ref="AH13:AH15" si="9">SUM(O13:R13)</f>
        <v>-14026.132</v>
      </c>
      <c r="AI13" s="32">
        <f t="shared" ref="AI13:AI15" si="10">SUM(P13:S13)</f>
        <v>-14319.751</v>
      </c>
      <c r="AJ13" s="32">
        <f t="shared" ref="AJ13:AJ15" si="11">SUM(Q13:T13)</f>
        <v>-14468.424000000001</v>
      </c>
      <c r="AK13" s="32">
        <f t="shared" ref="AK13:AK15" si="12">SUM(R13:U13)</f>
        <v>-14388.185000000001</v>
      </c>
      <c r="AL13" s="32">
        <f t="shared" ref="AL13:AL15" si="13">SUM(S13:V13)</f>
        <v>-14197.437</v>
      </c>
      <c r="AM13" s="32">
        <f t="shared" ref="AM13:AM15" si="14">SUM(T13:W13)</f>
        <v>-14408.258</v>
      </c>
      <c r="AN13" s="32">
        <f t="shared" ref="AN13:AN15" si="15">SUM(U13:X13)</f>
        <v>-14767.927</v>
      </c>
      <c r="AO13" s="32">
        <f t="shared" ref="AO13:AO15" si="16">SUM(V13:Y13)</f>
        <v>-14894.095000000001</v>
      </c>
      <c r="AP13" s="32">
        <f t="shared" ref="AP13:AP15" si="17">SUM(W13:Z13)</f>
        <v>-15301.517</v>
      </c>
      <c r="AQ13" s="32">
        <f t="shared" ref="AQ13:AQ15" si="18">SUM(X13:AA13)</f>
        <v>-15453.824000000001</v>
      </c>
      <c r="AR13" s="32">
        <f t="shared" ref="AR13:AR15" si="19">SUM(Y13:AB13)</f>
        <v>-15516.208000000002</v>
      </c>
      <c r="AS13" s="32">
        <f>SUM(Z13:AC13)</f>
        <v>-15819.431</v>
      </c>
      <c r="AT13" s="11"/>
      <c r="AU13" s="12">
        <f t="shared" ref="AU13:AU15" si="20">SUM(AS13/AO13)-1</f>
        <v>6.2127709001453146E-2</v>
      </c>
    </row>
    <row r="14" spans="1:47" ht="12.75" customHeight="1">
      <c r="B14" s="9" t="s">
        <v>160</v>
      </c>
      <c r="C14" s="32">
        <f>+C15-C13</f>
        <v>-2435.4500000000007</v>
      </c>
      <c r="D14" s="32">
        <f t="shared" ref="D14:K14" si="21">+D15-D13</f>
        <v>-3223.9660000000003</v>
      </c>
      <c r="E14" s="32">
        <f t="shared" si="21"/>
        <v>-4469.4069999999992</v>
      </c>
      <c r="F14" s="32">
        <f t="shared" si="21"/>
        <v>-5102.3160000000007</v>
      </c>
      <c r="G14" s="32">
        <f t="shared" si="21"/>
        <v>-5142.1530000000002</v>
      </c>
      <c r="H14" s="32">
        <f t="shared" si="21"/>
        <v>-5517.9309999999987</v>
      </c>
      <c r="I14" s="32">
        <f t="shared" si="21"/>
        <v>-5736.9470000000001</v>
      </c>
      <c r="J14" s="24"/>
      <c r="K14" s="32">
        <f t="shared" si="21"/>
        <v>-1149.3150000000001</v>
      </c>
      <c r="L14" s="32">
        <f t="shared" ref="L14" si="22">+L15-L13</f>
        <v>-1211.2049999999999</v>
      </c>
      <c r="M14" s="32">
        <f t="shared" ref="M14" si="23">+M15-M13</f>
        <v>-1243.538</v>
      </c>
      <c r="N14" s="151">
        <f>SUM(F14-SUM(K14:M14))</f>
        <v>-1498.2580000000007</v>
      </c>
      <c r="O14" s="32">
        <f t="shared" ref="O14" si="24">+O15-O13</f>
        <v>-1118.3400000000001</v>
      </c>
      <c r="P14" s="32">
        <f t="shared" ref="P14" si="25">+P15-P13</f>
        <v>-1429.4070000000002</v>
      </c>
      <c r="Q14" s="32">
        <f t="shared" ref="Q14" si="26">+Q15-Q13</f>
        <v>-1135.0729999999999</v>
      </c>
      <c r="R14" s="32">
        <f t="shared" ref="R14" si="27">+R15-R13</f>
        <v>-1459.3330000000005</v>
      </c>
      <c r="S14" s="32">
        <f t="shared" ref="S14" si="28">+S15-S13</f>
        <v>-1343.6410000000001</v>
      </c>
      <c r="T14" s="32">
        <f t="shared" ref="T14" si="29">+T15-T13</f>
        <v>-1263.4490000000001</v>
      </c>
      <c r="U14" s="32">
        <f t="shared" ref="U14" si="30">+U15-U13</f>
        <v>-1357.4349999999995</v>
      </c>
      <c r="V14" s="32">
        <f t="shared" ref="V14" si="31">+V15-V13</f>
        <v>-1553.4059999999972</v>
      </c>
      <c r="W14" s="32">
        <f t="shared" ref="W14" si="32">+W15-W13</f>
        <v>-1306.2680000000005</v>
      </c>
      <c r="X14" s="32">
        <f t="shared" ref="X14" si="33">+X15-X13</f>
        <v>-1404.453</v>
      </c>
      <c r="Y14" s="32">
        <f t="shared" ref="Y14" si="34">+Y15-Y13</f>
        <v>-1420.3629999999998</v>
      </c>
      <c r="Z14" s="32">
        <f t="shared" ref="Z14" si="35">+Z15-Z13</f>
        <v>-1605.8629999999994</v>
      </c>
      <c r="AA14" s="32">
        <f t="shared" ref="AA14" si="36">+AA15-AA13</f>
        <v>-1440.0349999999999</v>
      </c>
      <c r="AB14" s="32">
        <f t="shared" ref="AB14" si="37">+AB15-AB13</f>
        <v>-1493.2369999999996</v>
      </c>
      <c r="AC14" s="32">
        <f t="shared" ref="AC14" si="38">+AC15-AC13</f>
        <v>-2161.5059999999999</v>
      </c>
      <c r="AE14" s="32">
        <f t="shared" si="6"/>
        <v>-5071.3410000000003</v>
      </c>
      <c r="AF14" s="32">
        <f t="shared" si="7"/>
        <v>-5289.5430000000015</v>
      </c>
      <c r="AG14" s="32">
        <f t="shared" si="8"/>
        <v>-5181.0780000000013</v>
      </c>
      <c r="AH14" s="32">
        <f t="shared" si="9"/>
        <v>-5142.1530000000002</v>
      </c>
      <c r="AI14" s="32">
        <f t="shared" si="10"/>
        <v>-5367.4540000000006</v>
      </c>
      <c r="AJ14" s="32">
        <f t="shared" si="11"/>
        <v>-5201.496000000001</v>
      </c>
      <c r="AK14" s="32">
        <f t="shared" si="12"/>
        <v>-5423.8580000000002</v>
      </c>
      <c r="AL14" s="32">
        <f t="shared" si="13"/>
        <v>-5517.9309999999969</v>
      </c>
      <c r="AM14" s="32">
        <f t="shared" si="14"/>
        <v>-5480.5579999999973</v>
      </c>
      <c r="AN14" s="32">
        <f t="shared" si="15"/>
        <v>-5621.5619999999963</v>
      </c>
      <c r="AO14" s="32">
        <f t="shared" si="16"/>
        <v>-5684.489999999998</v>
      </c>
      <c r="AP14" s="32">
        <f t="shared" si="17"/>
        <v>-5736.9470000000001</v>
      </c>
      <c r="AQ14" s="32">
        <f t="shared" si="18"/>
        <v>-5870.713999999999</v>
      </c>
      <c r="AR14" s="32">
        <f t="shared" si="19"/>
        <v>-5959.4979999999978</v>
      </c>
      <c r="AS14" s="32">
        <f>SUM(Z14:AC14)</f>
        <v>-6700.6409999999978</v>
      </c>
      <c r="AT14" s="11"/>
      <c r="AU14" s="12">
        <f t="shared" si="20"/>
        <v>0.1787585165951564</v>
      </c>
    </row>
    <row r="15" spans="1:47" ht="12.75" customHeight="1" outlineLevel="1">
      <c r="B15" s="152" t="s">
        <v>161</v>
      </c>
      <c r="C15" s="85">
        <v>-9967.5380000000005</v>
      </c>
      <c r="D15" s="85">
        <v>-12440.213</v>
      </c>
      <c r="E15" s="85">
        <v>-15276.319</v>
      </c>
      <c r="F15" s="85">
        <v>-17332.683000000001</v>
      </c>
      <c r="G15" s="85">
        <v>-19168.285</v>
      </c>
      <c r="H15" s="85">
        <v>-19715.367999999999</v>
      </c>
      <c r="I15" s="85">
        <v>-21038.464</v>
      </c>
      <c r="J15" s="24"/>
      <c r="K15" s="85">
        <v>-3868.511</v>
      </c>
      <c r="L15" s="85">
        <v>-4018.0079999999998</v>
      </c>
      <c r="M15" s="85">
        <v>-4206.5889999999999</v>
      </c>
      <c r="N15" s="151">
        <f>SUM(F15-SUM(K15:M15))</f>
        <v>-5239.5750000000007</v>
      </c>
      <c r="O15" s="85">
        <v>-4284.7049999999999</v>
      </c>
      <c r="P15" s="85">
        <v>-4690.7550000000001</v>
      </c>
      <c r="Q15" s="85">
        <v>-4788.665</v>
      </c>
      <c r="R15" s="151">
        <f>SUM(G15-SUM(O15:Q15))</f>
        <v>-5404.16</v>
      </c>
      <c r="S15" s="85">
        <v>-4803.625</v>
      </c>
      <c r="T15" s="85">
        <v>-4673.47</v>
      </c>
      <c r="U15" s="85">
        <v>-4930.7879999999996</v>
      </c>
      <c r="V15" s="151">
        <f>SUM(H15-SUM(S15:U15))</f>
        <v>-5307.4849999999969</v>
      </c>
      <c r="W15" s="85">
        <v>-4977.0730000000003</v>
      </c>
      <c r="X15" s="85">
        <v>-5174.143</v>
      </c>
      <c r="Y15" s="85">
        <v>-5119.884</v>
      </c>
      <c r="Z15" s="151">
        <f>SUM(I15-SUM(W15:Y15))</f>
        <v>-5767.3639999999996</v>
      </c>
      <c r="AA15" s="85">
        <v>-5263.1469999999999</v>
      </c>
      <c r="AB15" s="85">
        <v>-5325.3109999999997</v>
      </c>
      <c r="AC15" s="85">
        <v>-6164.25</v>
      </c>
      <c r="AE15" s="32">
        <f t="shared" si="6"/>
        <v>-17748.877</v>
      </c>
      <c r="AF15" s="32">
        <f t="shared" si="7"/>
        <v>-18421.624</v>
      </c>
      <c r="AG15" s="32">
        <f t="shared" si="8"/>
        <v>-19003.7</v>
      </c>
      <c r="AH15" s="32">
        <f t="shared" si="9"/>
        <v>-19168.285</v>
      </c>
      <c r="AI15" s="32">
        <f t="shared" si="10"/>
        <v>-19687.205000000002</v>
      </c>
      <c r="AJ15" s="32">
        <f t="shared" si="11"/>
        <v>-19669.920000000002</v>
      </c>
      <c r="AK15" s="32">
        <f t="shared" si="12"/>
        <v>-19812.043000000001</v>
      </c>
      <c r="AL15" s="32">
        <f t="shared" si="13"/>
        <v>-19715.367999999999</v>
      </c>
      <c r="AM15" s="32">
        <f t="shared" si="14"/>
        <v>-19888.815999999999</v>
      </c>
      <c r="AN15" s="32">
        <f t="shared" si="15"/>
        <v>-20389.488999999998</v>
      </c>
      <c r="AO15" s="32">
        <f t="shared" si="16"/>
        <v>-20578.584999999999</v>
      </c>
      <c r="AP15" s="32">
        <f t="shared" si="17"/>
        <v>-21038.464</v>
      </c>
      <c r="AQ15" s="32">
        <f t="shared" si="18"/>
        <v>-21324.538</v>
      </c>
      <c r="AR15" s="32">
        <f t="shared" si="19"/>
        <v>-21475.705999999998</v>
      </c>
      <c r="AS15" s="32">
        <f>SUM(Z15:AC15)</f>
        <v>-22520.072</v>
      </c>
      <c r="AT15" s="11"/>
      <c r="AU15" s="12">
        <f t="shared" si="20"/>
        <v>9.4345019348998083E-2</v>
      </c>
    </row>
    <row r="16" spans="1:47" ht="12.75" customHeight="1">
      <c r="B16" s="25" t="s">
        <v>24</v>
      </c>
      <c r="C16" s="26">
        <f>+SUM(C11+SUM(C13:C14))</f>
        <v>5826.8029999999999</v>
      </c>
      <c r="D16" s="26">
        <f t="shared" ref="D16:AS16" si="39">+SUM(D11+SUM(D13:D14))</f>
        <v>7716.2340000000004</v>
      </c>
      <c r="E16" s="26">
        <f t="shared" si="39"/>
        <v>9719.737000000001</v>
      </c>
      <c r="F16" s="26">
        <f t="shared" si="39"/>
        <v>12365.161</v>
      </c>
      <c r="G16" s="26">
        <f t="shared" si="39"/>
        <v>12447.264999999999</v>
      </c>
      <c r="H16" s="26">
        <f t="shared" si="39"/>
        <v>14007.929</v>
      </c>
      <c r="I16" s="26">
        <f t="shared" si="39"/>
        <v>17962.502</v>
      </c>
      <c r="K16" s="26">
        <f t="shared" si="39"/>
        <v>3294.7710000000002</v>
      </c>
      <c r="L16" s="26">
        <f t="shared" si="39"/>
        <v>3323.7690000000002</v>
      </c>
      <c r="M16" s="26">
        <f t="shared" si="39"/>
        <v>3276.8779999999997</v>
      </c>
      <c r="N16" s="26">
        <f t="shared" si="39"/>
        <v>2469.7429999999977</v>
      </c>
      <c r="O16" s="26">
        <f t="shared" si="39"/>
        <v>3583.0619999999999</v>
      </c>
      <c r="P16" s="26">
        <f t="shared" si="39"/>
        <v>3279.3859999999995</v>
      </c>
      <c r="Q16" s="26">
        <f t="shared" si="39"/>
        <v>3136.924</v>
      </c>
      <c r="R16" s="26">
        <f t="shared" si="39"/>
        <v>2447.893</v>
      </c>
      <c r="S16" s="26">
        <f t="shared" si="39"/>
        <v>3357.8779999999997</v>
      </c>
      <c r="T16" s="26">
        <f t="shared" si="39"/>
        <v>3513.8310000000001</v>
      </c>
      <c r="U16" s="26">
        <f t="shared" si="39"/>
        <v>3610.88</v>
      </c>
      <c r="V16" s="26">
        <f t="shared" si="39"/>
        <v>3525.34</v>
      </c>
      <c r="W16" s="26">
        <f t="shared" si="39"/>
        <v>4393.3670000000002</v>
      </c>
      <c r="X16" s="26">
        <f t="shared" si="39"/>
        <v>4385.1669999999995</v>
      </c>
      <c r="Y16" s="26">
        <f t="shared" si="39"/>
        <v>4704.8189999999995</v>
      </c>
      <c r="Z16" s="26">
        <f t="shared" si="39"/>
        <v>4479.1489999999994</v>
      </c>
      <c r="AA16" s="26">
        <f t="shared" si="39"/>
        <v>5279.6539999999995</v>
      </c>
      <c r="AB16" s="26">
        <f t="shared" si="39"/>
        <v>5753.8549999999996</v>
      </c>
      <c r="AC16" s="26">
        <f t="shared" si="39"/>
        <v>5346.0570000000007</v>
      </c>
      <c r="AE16" s="26">
        <f t="shared" si="39"/>
        <v>12653.451999999997</v>
      </c>
      <c r="AF16" s="26">
        <f t="shared" si="39"/>
        <v>12609.068999999996</v>
      </c>
      <c r="AG16" s="26">
        <f t="shared" si="39"/>
        <v>12469.114999999994</v>
      </c>
      <c r="AH16" s="26">
        <f t="shared" si="39"/>
        <v>12447.264999999999</v>
      </c>
      <c r="AI16" s="26">
        <f t="shared" si="39"/>
        <v>12222.080999999998</v>
      </c>
      <c r="AJ16" s="26">
        <f t="shared" si="39"/>
        <v>12456.525999999998</v>
      </c>
      <c r="AK16" s="26">
        <f t="shared" si="39"/>
        <v>12930.482</v>
      </c>
      <c r="AL16" s="26">
        <f t="shared" si="39"/>
        <v>14007.929000000004</v>
      </c>
      <c r="AM16" s="26">
        <f t="shared" si="39"/>
        <v>15043.417999999998</v>
      </c>
      <c r="AN16" s="26">
        <f t="shared" si="39"/>
        <v>15914.754000000001</v>
      </c>
      <c r="AO16" s="26">
        <f t="shared" si="39"/>
        <v>17008.692999999999</v>
      </c>
      <c r="AP16" s="26">
        <f t="shared" si="39"/>
        <v>17962.502</v>
      </c>
      <c r="AQ16" s="26">
        <f t="shared" si="39"/>
        <v>18848.788999999997</v>
      </c>
      <c r="AR16" s="26">
        <f t="shared" si="39"/>
        <v>20217.476999999999</v>
      </c>
      <c r="AS16" s="26">
        <f t="shared" si="39"/>
        <v>20858.714999999997</v>
      </c>
      <c r="AT16" s="43"/>
      <c r="AU16" s="79">
        <f>SUM(AS16/AO16)-1</f>
        <v>0.22635613447782243</v>
      </c>
    </row>
    <row r="17" spans="2:47" ht="12.75" customHeight="1">
      <c r="B17" s="16" t="s">
        <v>37</v>
      </c>
      <c r="C17" s="17">
        <f t="shared" ref="C17:I17" si="40">C16/C11</f>
        <v>0.36891713304151152</v>
      </c>
      <c r="D17" s="17">
        <f t="shared" si="40"/>
        <v>0.38281717010939481</v>
      </c>
      <c r="E17" s="17">
        <f t="shared" si="40"/>
        <v>0.38885082510616881</v>
      </c>
      <c r="F17" s="17">
        <f t="shared" si="40"/>
        <v>0.41636561226464791</v>
      </c>
      <c r="G17" s="17">
        <f t="shared" si="40"/>
        <v>0.39370705238403253</v>
      </c>
      <c r="H17" s="17">
        <f t="shared" si="40"/>
        <v>0.41537839553469524</v>
      </c>
      <c r="I17" s="17">
        <f t="shared" si="40"/>
        <v>0.46056556650417324</v>
      </c>
      <c r="J17" s="27"/>
      <c r="K17" s="17">
        <f t="shared" ref="K17:AC17" si="41">K16/K11</f>
        <v>0.45995271441219265</v>
      </c>
      <c r="L17" s="17">
        <f t="shared" si="41"/>
        <v>0.45271996139354276</v>
      </c>
      <c r="M17" s="17">
        <f t="shared" si="41"/>
        <v>0.43788233448480496</v>
      </c>
      <c r="N17" s="17">
        <f t="shared" si="41"/>
        <v>0.32035816916619575</v>
      </c>
      <c r="O17" s="17">
        <f t="shared" si="41"/>
        <v>0.45541028350229484</v>
      </c>
      <c r="P17" s="17">
        <f t="shared" si="41"/>
        <v>0.41145896917005603</v>
      </c>
      <c r="Q17" s="17">
        <f t="shared" si="41"/>
        <v>0.39579695591078468</v>
      </c>
      <c r="R17" s="17">
        <f t="shared" si="41"/>
        <v>0.3117519711087024</v>
      </c>
      <c r="S17" s="17">
        <f t="shared" si="41"/>
        <v>0.41142887529417066</v>
      </c>
      <c r="T17" s="17">
        <f t="shared" si="41"/>
        <v>0.42918062985591954</v>
      </c>
      <c r="U17" s="17">
        <f t="shared" si="41"/>
        <v>0.42273710474347637</v>
      </c>
      <c r="V17" s="17">
        <f t="shared" si="41"/>
        <v>0.39911806245453763</v>
      </c>
      <c r="W17" s="17">
        <f t="shared" si="41"/>
        <v>0.46885386385271127</v>
      </c>
      <c r="X17" s="17">
        <f t="shared" si="41"/>
        <v>0.45873258634775937</v>
      </c>
      <c r="Y17" s="17">
        <f t="shared" si="41"/>
        <v>0.47887646069301021</v>
      </c>
      <c r="Z17" s="17">
        <f t="shared" si="41"/>
        <v>0.43713885884885911</v>
      </c>
      <c r="AA17" s="17">
        <f t="shared" si="41"/>
        <v>0.50078285647239285</v>
      </c>
      <c r="AB17" s="17">
        <f t="shared" si="41"/>
        <v>0.51934008390162223</v>
      </c>
      <c r="AC17" s="17">
        <f t="shared" si="41"/>
        <v>0.4644582459877048</v>
      </c>
      <c r="AD17" s="28"/>
      <c r="AE17" s="17">
        <f t="shared" ref="AE17:AS17" si="42">AE16/AE11</f>
        <v>0.41620008782879753</v>
      </c>
      <c r="AF17" s="17">
        <f t="shared" si="42"/>
        <v>0.40634184354181185</v>
      </c>
      <c r="AG17" s="17">
        <f t="shared" si="42"/>
        <v>0.39618683616320927</v>
      </c>
      <c r="AH17" s="17">
        <f t="shared" si="42"/>
        <v>0.39370705238403253</v>
      </c>
      <c r="AI17" s="17">
        <f t="shared" si="42"/>
        <v>0.38302583768248522</v>
      </c>
      <c r="AJ17" s="17">
        <f t="shared" si="42"/>
        <v>0.38773432953025672</v>
      </c>
      <c r="AK17" s="17">
        <f t="shared" si="42"/>
        <v>0.39491401472549842</v>
      </c>
      <c r="AL17" s="17">
        <f t="shared" si="42"/>
        <v>0.4153783955346953</v>
      </c>
      <c r="AM17" s="17">
        <f t="shared" si="42"/>
        <v>0.43064574684802581</v>
      </c>
      <c r="AN17" s="17">
        <f t="shared" si="42"/>
        <v>0.43837173522665113</v>
      </c>
      <c r="AO17" s="17">
        <f t="shared" si="42"/>
        <v>0.45251196428749113</v>
      </c>
      <c r="AP17" s="17">
        <f t="shared" si="42"/>
        <v>0.46056556650417324</v>
      </c>
      <c r="AQ17" s="17">
        <f t="shared" si="42"/>
        <v>0.46918665710708995</v>
      </c>
      <c r="AR17" s="17">
        <f t="shared" si="42"/>
        <v>0.48491085461141215</v>
      </c>
      <c r="AS17" s="17">
        <f t="shared" si="42"/>
        <v>0.48085058256700441</v>
      </c>
      <c r="AT17" s="43"/>
      <c r="AU17" s="80">
        <f>SUM(AS17-AO17)*1000</f>
        <v>28.338618279513284</v>
      </c>
    </row>
    <row r="18" spans="2:47" ht="5.0999999999999996" customHeight="1">
      <c r="B18" s="29"/>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E18" s="30"/>
      <c r="AF18" s="30"/>
      <c r="AG18" s="30"/>
      <c r="AH18" s="30"/>
      <c r="AI18" s="30"/>
      <c r="AJ18" s="30"/>
      <c r="AK18" s="30"/>
      <c r="AL18" s="30"/>
      <c r="AM18" s="30"/>
      <c r="AN18" s="30"/>
      <c r="AO18" s="30"/>
      <c r="AP18" s="30"/>
      <c r="AQ18" s="30"/>
      <c r="AR18" s="30"/>
      <c r="AS18" s="30"/>
      <c r="AT18" s="43"/>
      <c r="AU18" s="78"/>
    </row>
    <row r="19" spans="2:47" ht="12.75" customHeight="1">
      <c r="B19" s="9" t="s">
        <v>127</v>
      </c>
      <c r="C19" s="85">
        <v>-2369.4690000000001</v>
      </c>
      <c r="D19" s="85">
        <v>-2652.462</v>
      </c>
      <c r="E19" s="85">
        <v>-2228.3620000000001</v>
      </c>
      <c r="F19" s="85">
        <v>-2545.1460000000002</v>
      </c>
      <c r="G19" s="85">
        <v>-2530.502</v>
      </c>
      <c r="H19" s="85">
        <v>-2657.8829999999998</v>
      </c>
      <c r="I19" s="85">
        <v>-2917.5540000000001</v>
      </c>
      <c r="J19" s="32"/>
      <c r="K19" s="85">
        <v>-512.51199999999994</v>
      </c>
      <c r="L19" s="85">
        <v>-603.97299999999996</v>
      </c>
      <c r="M19" s="85">
        <v>-635.94799999999998</v>
      </c>
      <c r="N19" s="32">
        <f t="shared" ref="N19:N21" si="43">SUM(F19-SUM(K19:M19))</f>
        <v>-792.71300000000019</v>
      </c>
      <c r="O19" s="85">
        <v>-555.97799999999995</v>
      </c>
      <c r="P19" s="85">
        <v>-574.96</v>
      </c>
      <c r="Q19" s="85">
        <v>-567.95399999999995</v>
      </c>
      <c r="R19" s="32">
        <f t="shared" ref="R19:R21" si="44">SUM(G19-SUM(O19:Q19))</f>
        <v>-831.6099999999999</v>
      </c>
      <c r="S19" s="85">
        <v>-555.36199999999997</v>
      </c>
      <c r="T19" s="85">
        <v>-627.16800000000001</v>
      </c>
      <c r="U19" s="85">
        <v>-558.73599999999999</v>
      </c>
      <c r="V19" s="32">
        <f t="shared" ref="V19:V21" si="45">SUM(H19-SUM(S19:U19))</f>
        <v>-916.61699999999973</v>
      </c>
      <c r="W19" s="85">
        <v>-654.34</v>
      </c>
      <c r="X19" s="85">
        <v>-644.08399999999995</v>
      </c>
      <c r="Y19" s="85">
        <v>-642.92600000000004</v>
      </c>
      <c r="Z19" s="32">
        <f t="shared" ref="Z19:Z21" si="46">SUM(I19-SUM(W19:Y19))</f>
        <v>-976.20400000000018</v>
      </c>
      <c r="AA19" s="85">
        <v>-688.37</v>
      </c>
      <c r="AB19" s="85">
        <v>-713.26499999999999</v>
      </c>
      <c r="AC19" s="85">
        <v>-786.29499999999996</v>
      </c>
      <c r="AE19" s="32">
        <f t="shared" ref="AE19:AS21" si="47">SUM(L19:O19)</f>
        <v>-2588.6120000000001</v>
      </c>
      <c r="AF19" s="32">
        <f t="shared" si="47"/>
        <v>-2559.5990000000002</v>
      </c>
      <c r="AG19" s="32">
        <f t="shared" si="47"/>
        <v>-2491.6050000000005</v>
      </c>
      <c r="AH19" s="32">
        <f t="shared" si="47"/>
        <v>-2530.502</v>
      </c>
      <c r="AI19" s="32">
        <f t="shared" si="47"/>
        <v>-2529.886</v>
      </c>
      <c r="AJ19" s="32">
        <f t="shared" si="47"/>
        <v>-2582.0940000000001</v>
      </c>
      <c r="AK19" s="32">
        <f t="shared" si="47"/>
        <v>-2572.8759999999997</v>
      </c>
      <c r="AL19" s="32">
        <f t="shared" si="47"/>
        <v>-2657.8829999999998</v>
      </c>
      <c r="AM19" s="32">
        <f t="shared" si="47"/>
        <v>-2756.8609999999999</v>
      </c>
      <c r="AN19" s="32">
        <f t="shared" si="47"/>
        <v>-2773.7769999999996</v>
      </c>
      <c r="AO19" s="32">
        <f t="shared" si="47"/>
        <v>-2857.9669999999996</v>
      </c>
      <c r="AP19" s="32">
        <f t="shared" si="47"/>
        <v>-2917.5540000000001</v>
      </c>
      <c r="AQ19" s="32">
        <f t="shared" si="47"/>
        <v>-2951.5839999999998</v>
      </c>
      <c r="AR19" s="32">
        <f t="shared" si="47"/>
        <v>-3020.7649999999999</v>
      </c>
      <c r="AS19" s="32">
        <f t="shared" si="47"/>
        <v>-3164.134</v>
      </c>
      <c r="AT19" s="11"/>
      <c r="AU19" s="78">
        <f>SUM(AS19/AO19)-1</f>
        <v>0.10712754905847421</v>
      </c>
    </row>
    <row r="20" spans="2:47" ht="12.75" customHeight="1">
      <c r="B20" s="9" t="s">
        <v>128</v>
      </c>
      <c r="C20" s="85">
        <v>-1221.8140000000001</v>
      </c>
      <c r="D20" s="85">
        <v>-1545.1489999999999</v>
      </c>
      <c r="E20" s="85">
        <v>-1829.6</v>
      </c>
      <c r="F20" s="85">
        <v>-2273.8850000000002</v>
      </c>
      <c r="G20" s="85">
        <v>-2711.0410000000002</v>
      </c>
      <c r="H20" s="85">
        <v>-2675.7579999999998</v>
      </c>
      <c r="I20" s="85">
        <v>-2925.2950000000001</v>
      </c>
      <c r="J20" s="32"/>
      <c r="K20" s="85">
        <v>-525.20699999999999</v>
      </c>
      <c r="L20" s="85">
        <v>-537.32100000000003</v>
      </c>
      <c r="M20" s="85">
        <v>-563.88699999999994</v>
      </c>
      <c r="N20" s="32">
        <f t="shared" si="43"/>
        <v>-647.47000000000025</v>
      </c>
      <c r="O20" s="85">
        <v>-657.53</v>
      </c>
      <c r="P20" s="85">
        <v>-716.846</v>
      </c>
      <c r="Q20" s="85">
        <v>-662.73900000000003</v>
      </c>
      <c r="R20" s="32">
        <f t="shared" si="44"/>
        <v>-673.92600000000016</v>
      </c>
      <c r="S20" s="85">
        <v>-687.27499999999998</v>
      </c>
      <c r="T20" s="85">
        <v>-657.98299999999995</v>
      </c>
      <c r="U20" s="85">
        <v>-657.15899999999999</v>
      </c>
      <c r="V20" s="32">
        <f t="shared" si="45"/>
        <v>-673.34099999999989</v>
      </c>
      <c r="W20" s="85">
        <v>-702.47299999999996</v>
      </c>
      <c r="X20" s="85">
        <v>-711.25400000000002</v>
      </c>
      <c r="Y20" s="85">
        <v>-735.06299999999999</v>
      </c>
      <c r="Z20" s="32">
        <f t="shared" si="46"/>
        <v>-776.50500000000011</v>
      </c>
      <c r="AA20" s="85">
        <v>-822.82299999999998</v>
      </c>
      <c r="AB20" s="85">
        <v>-824.68299999999999</v>
      </c>
      <c r="AC20" s="85">
        <v>-853.58399999999995</v>
      </c>
      <c r="AE20" s="32">
        <f t="shared" si="47"/>
        <v>-2406.2080000000005</v>
      </c>
      <c r="AF20" s="32">
        <f t="shared" si="47"/>
        <v>-2585.7330000000002</v>
      </c>
      <c r="AG20" s="32">
        <f t="shared" si="47"/>
        <v>-2684.585</v>
      </c>
      <c r="AH20" s="32">
        <f t="shared" si="47"/>
        <v>-2711.0410000000002</v>
      </c>
      <c r="AI20" s="32">
        <f t="shared" si="47"/>
        <v>-2740.7860000000005</v>
      </c>
      <c r="AJ20" s="32">
        <f t="shared" si="47"/>
        <v>-2681.9229999999998</v>
      </c>
      <c r="AK20" s="32">
        <f t="shared" si="47"/>
        <v>-2676.3429999999998</v>
      </c>
      <c r="AL20" s="32">
        <f t="shared" si="47"/>
        <v>-2675.7579999999998</v>
      </c>
      <c r="AM20" s="32">
        <f t="shared" si="47"/>
        <v>-2690.9559999999997</v>
      </c>
      <c r="AN20" s="32">
        <f t="shared" si="47"/>
        <v>-2744.2269999999999</v>
      </c>
      <c r="AO20" s="32">
        <f t="shared" si="47"/>
        <v>-2822.1309999999999</v>
      </c>
      <c r="AP20" s="32">
        <f t="shared" si="47"/>
        <v>-2925.2950000000001</v>
      </c>
      <c r="AQ20" s="32">
        <f t="shared" si="47"/>
        <v>-3045.645</v>
      </c>
      <c r="AR20" s="32">
        <f t="shared" si="47"/>
        <v>-3159.0740000000001</v>
      </c>
      <c r="AS20" s="32">
        <f t="shared" si="47"/>
        <v>-3277.5949999999998</v>
      </c>
      <c r="AT20" s="11"/>
      <c r="AU20" s="78">
        <f>SUM(AS20/AO20)-1</f>
        <v>0.16139009847523034</v>
      </c>
    </row>
    <row r="21" spans="2:47" ht="12.75" customHeight="1">
      <c r="B21" s="9" t="s">
        <v>103</v>
      </c>
      <c r="C21" s="85">
        <v>-630.29399999999998</v>
      </c>
      <c r="D21" s="85">
        <v>-914.36900000000003</v>
      </c>
      <c r="E21" s="85">
        <v>-1076.4860000000001</v>
      </c>
      <c r="F21" s="85">
        <v>-1351.6210000000001</v>
      </c>
      <c r="G21" s="85">
        <v>-1572.8910000000001</v>
      </c>
      <c r="H21" s="85">
        <v>-1720.2850000000001</v>
      </c>
      <c r="I21" s="85">
        <v>-1702.039</v>
      </c>
      <c r="J21" s="32"/>
      <c r="K21" s="85">
        <v>-297.19600000000003</v>
      </c>
      <c r="L21" s="85">
        <v>-334.84500000000003</v>
      </c>
      <c r="M21" s="85">
        <v>-321.79000000000002</v>
      </c>
      <c r="N21" s="32">
        <f t="shared" si="43"/>
        <v>-397.78999999999996</v>
      </c>
      <c r="O21" s="85">
        <v>-397.928</v>
      </c>
      <c r="P21" s="85">
        <v>-409.29700000000003</v>
      </c>
      <c r="Q21" s="85">
        <v>-373.21300000000002</v>
      </c>
      <c r="R21" s="32">
        <f t="shared" si="44"/>
        <v>-392.45299999999997</v>
      </c>
      <c r="S21" s="85">
        <v>-400.92399999999998</v>
      </c>
      <c r="T21" s="85">
        <v>-401.49700000000001</v>
      </c>
      <c r="U21" s="85">
        <v>-478.59100000000001</v>
      </c>
      <c r="V21" s="32">
        <f t="shared" si="45"/>
        <v>-439.27299999999991</v>
      </c>
      <c r="W21" s="85">
        <v>-404.02</v>
      </c>
      <c r="X21" s="85">
        <v>-426.99200000000002</v>
      </c>
      <c r="Y21" s="85">
        <v>-417.35300000000001</v>
      </c>
      <c r="Z21" s="32">
        <f t="shared" si="46"/>
        <v>-453.67399999999998</v>
      </c>
      <c r="AA21" s="85">
        <v>-421.46199999999999</v>
      </c>
      <c r="AB21" s="85">
        <v>-441.21300000000002</v>
      </c>
      <c r="AC21" s="85">
        <v>-457.93099999999998</v>
      </c>
      <c r="AE21" s="32">
        <f t="shared" si="47"/>
        <v>-1452.3530000000001</v>
      </c>
      <c r="AF21" s="32">
        <f t="shared" si="47"/>
        <v>-1526.8049999999998</v>
      </c>
      <c r="AG21" s="32">
        <f t="shared" si="47"/>
        <v>-1578.2279999999998</v>
      </c>
      <c r="AH21" s="32">
        <f t="shared" si="47"/>
        <v>-1572.8910000000001</v>
      </c>
      <c r="AI21" s="32">
        <f t="shared" si="47"/>
        <v>-1575.8869999999999</v>
      </c>
      <c r="AJ21" s="32">
        <f t="shared" si="47"/>
        <v>-1568.087</v>
      </c>
      <c r="AK21" s="32">
        <f t="shared" si="47"/>
        <v>-1673.4650000000001</v>
      </c>
      <c r="AL21" s="32">
        <f t="shared" si="47"/>
        <v>-1720.2850000000001</v>
      </c>
      <c r="AM21" s="32">
        <f t="shared" si="47"/>
        <v>-1723.3809999999999</v>
      </c>
      <c r="AN21" s="32">
        <f t="shared" si="47"/>
        <v>-1748.876</v>
      </c>
      <c r="AO21" s="32">
        <f t="shared" si="47"/>
        <v>-1687.6379999999999</v>
      </c>
      <c r="AP21" s="32">
        <f t="shared" si="47"/>
        <v>-1702.039</v>
      </c>
      <c r="AQ21" s="32">
        <f t="shared" si="47"/>
        <v>-1719.481</v>
      </c>
      <c r="AR21" s="32">
        <f t="shared" si="47"/>
        <v>-1733.702</v>
      </c>
      <c r="AS21" s="32">
        <f t="shared" si="47"/>
        <v>-1774.28</v>
      </c>
      <c r="AT21" s="11"/>
      <c r="AU21" s="78">
        <f>SUM(AS21/AO21)-1</f>
        <v>5.1339209000982544E-2</v>
      </c>
    </row>
    <row r="22" spans="2:47" ht="12.75" customHeight="1">
      <c r="B22" s="25" t="s">
        <v>91</v>
      </c>
      <c r="C22" s="26">
        <f t="shared" ref="C22:I22" si="48">+SUM(C16+SUM(C19:C21))</f>
        <v>1605.2259999999997</v>
      </c>
      <c r="D22" s="26">
        <f t="shared" si="48"/>
        <v>2604.2540000000008</v>
      </c>
      <c r="E22" s="26">
        <f t="shared" si="48"/>
        <v>4585.2890000000007</v>
      </c>
      <c r="F22" s="26">
        <f t="shared" si="48"/>
        <v>6194.5089999999991</v>
      </c>
      <c r="G22" s="26">
        <f t="shared" si="48"/>
        <v>5632.8310000000001</v>
      </c>
      <c r="H22" s="26">
        <f t="shared" si="48"/>
        <v>6954.0030000000006</v>
      </c>
      <c r="I22" s="26">
        <f t="shared" si="48"/>
        <v>10417.614000000001</v>
      </c>
      <c r="J22" s="32"/>
      <c r="K22" s="26">
        <f t="shared" ref="K22:AC22" si="49">+SUM(K16+SUM(K19:K21))</f>
        <v>1959.8560000000002</v>
      </c>
      <c r="L22" s="26">
        <f t="shared" si="49"/>
        <v>1847.6300000000003</v>
      </c>
      <c r="M22" s="26">
        <f t="shared" si="49"/>
        <v>1755.2529999999997</v>
      </c>
      <c r="N22" s="26">
        <f t="shared" si="49"/>
        <v>631.76999999999725</v>
      </c>
      <c r="O22" s="26">
        <f t="shared" si="49"/>
        <v>1971.6260000000002</v>
      </c>
      <c r="P22" s="26">
        <f t="shared" si="49"/>
        <v>1578.2829999999994</v>
      </c>
      <c r="Q22" s="26">
        <f t="shared" si="49"/>
        <v>1533.018</v>
      </c>
      <c r="R22" s="26">
        <f t="shared" si="49"/>
        <v>549.904</v>
      </c>
      <c r="S22" s="26">
        <f t="shared" si="49"/>
        <v>1714.3169999999998</v>
      </c>
      <c r="T22" s="26">
        <f t="shared" si="49"/>
        <v>1827.1830000000002</v>
      </c>
      <c r="U22" s="26">
        <f t="shared" si="49"/>
        <v>1916.3940000000002</v>
      </c>
      <c r="V22" s="26">
        <f t="shared" si="49"/>
        <v>1496.1090000000006</v>
      </c>
      <c r="W22" s="26">
        <f t="shared" si="49"/>
        <v>2632.5340000000001</v>
      </c>
      <c r="X22" s="26">
        <f t="shared" si="49"/>
        <v>2602.8369999999995</v>
      </c>
      <c r="Y22" s="26">
        <f t="shared" si="49"/>
        <v>2909.4769999999994</v>
      </c>
      <c r="Z22" s="26">
        <f t="shared" si="49"/>
        <v>2272.7659999999992</v>
      </c>
      <c r="AA22" s="26">
        <f t="shared" si="49"/>
        <v>3346.9989999999998</v>
      </c>
      <c r="AB22" s="26">
        <f t="shared" si="49"/>
        <v>3774.6939999999995</v>
      </c>
      <c r="AC22" s="26">
        <f t="shared" si="49"/>
        <v>3248.2470000000008</v>
      </c>
      <c r="AE22" s="26">
        <f t="shared" ref="AE22:AS22" si="50">+SUM(AE16+SUM(AE19:AE21))</f>
        <v>6206.2789999999968</v>
      </c>
      <c r="AF22" s="26">
        <f t="shared" si="50"/>
        <v>5936.9319999999952</v>
      </c>
      <c r="AG22" s="26">
        <f t="shared" si="50"/>
        <v>5714.6969999999937</v>
      </c>
      <c r="AH22" s="26">
        <f t="shared" si="50"/>
        <v>5632.8310000000001</v>
      </c>
      <c r="AI22" s="26">
        <f t="shared" si="50"/>
        <v>5375.5219999999981</v>
      </c>
      <c r="AJ22" s="26">
        <f t="shared" si="50"/>
        <v>5624.4219999999987</v>
      </c>
      <c r="AK22" s="26">
        <f t="shared" si="50"/>
        <v>6007.7980000000007</v>
      </c>
      <c r="AL22" s="26">
        <f t="shared" si="50"/>
        <v>6954.0030000000042</v>
      </c>
      <c r="AM22" s="26">
        <f t="shared" si="50"/>
        <v>7872.2199999999993</v>
      </c>
      <c r="AN22" s="26">
        <f t="shared" si="50"/>
        <v>8647.8740000000016</v>
      </c>
      <c r="AO22" s="26">
        <f t="shared" si="50"/>
        <v>9640.9569999999985</v>
      </c>
      <c r="AP22" s="26">
        <f t="shared" si="50"/>
        <v>10417.614000000001</v>
      </c>
      <c r="AQ22" s="26">
        <f t="shared" si="50"/>
        <v>11132.078999999998</v>
      </c>
      <c r="AR22" s="26">
        <f t="shared" si="50"/>
        <v>12303.935999999998</v>
      </c>
      <c r="AS22" s="26">
        <f t="shared" si="50"/>
        <v>12642.705999999996</v>
      </c>
      <c r="AT22" s="11"/>
      <c r="AU22" s="79">
        <f>SUM(AS22/AO22)-1</f>
        <v>0.31135384173998482</v>
      </c>
    </row>
    <row r="23" spans="2:47" ht="12.75" customHeight="1">
      <c r="B23" s="16" t="s">
        <v>39</v>
      </c>
      <c r="C23" s="17">
        <f t="shared" ref="C23:I23" si="51">C22/C11</f>
        <v>0.10163298361102877</v>
      </c>
      <c r="D23" s="17">
        <f t="shared" si="51"/>
        <v>0.12920203645017403</v>
      </c>
      <c r="E23" s="17">
        <f t="shared" si="51"/>
        <v>0.18344049957321271</v>
      </c>
      <c r="F23" s="17">
        <f t="shared" si="51"/>
        <v>0.20858446828665403</v>
      </c>
      <c r="G23" s="17">
        <f t="shared" si="51"/>
        <v>0.17816647187855345</v>
      </c>
      <c r="H23" s="17">
        <f t="shared" si="51"/>
        <v>0.20620768485358951</v>
      </c>
      <c r="I23" s="17">
        <f t="shared" si="51"/>
        <v>0.26711169154117881</v>
      </c>
      <c r="J23" s="32"/>
      <c r="K23" s="17">
        <f t="shared" ref="K23:AC23" si="52">K22/K11</f>
        <v>0.27359749343945977</v>
      </c>
      <c r="L23" s="17">
        <f t="shared" si="52"/>
        <v>0.25165978209362672</v>
      </c>
      <c r="M23" s="17">
        <f t="shared" si="52"/>
        <v>0.23455077706629826</v>
      </c>
      <c r="N23" s="17">
        <f t="shared" si="52"/>
        <v>8.1948883156719873E-2</v>
      </c>
      <c r="O23" s="17">
        <f t="shared" si="52"/>
        <v>0.25059537223204503</v>
      </c>
      <c r="P23" s="17">
        <f t="shared" si="52"/>
        <v>0.19802447660587177</v>
      </c>
      <c r="Q23" s="17">
        <f t="shared" si="52"/>
        <v>0.19342638130743342</v>
      </c>
      <c r="R23" s="17">
        <f t="shared" si="52"/>
        <v>7.0033149292293373E-2</v>
      </c>
      <c r="S23" s="17">
        <f t="shared" si="52"/>
        <v>0.21004917844176493</v>
      </c>
      <c r="T23" s="17">
        <f t="shared" si="52"/>
        <v>0.2231728136048742</v>
      </c>
      <c r="U23" s="17">
        <f t="shared" si="52"/>
        <v>0.22435828692943818</v>
      </c>
      <c r="V23" s="17">
        <f t="shared" si="52"/>
        <v>0.16938057756153904</v>
      </c>
      <c r="W23" s="17">
        <f t="shared" si="52"/>
        <v>0.28094027601692129</v>
      </c>
      <c r="X23" s="17">
        <f t="shared" si="52"/>
        <v>0.27228293673915793</v>
      </c>
      <c r="Y23" s="17">
        <f t="shared" si="52"/>
        <v>0.29613892654057833</v>
      </c>
      <c r="Z23" s="17">
        <f t="shared" si="52"/>
        <v>0.2218087265394578</v>
      </c>
      <c r="AA23" s="17">
        <f t="shared" si="52"/>
        <v>0.31746772039043514</v>
      </c>
      <c r="AB23" s="17">
        <f t="shared" si="52"/>
        <v>0.34070199868834888</v>
      </c>
      <c r="AC23" s="17">
        <f t="shared" si="52"/>
        <v>0.28220333306487833</v>
      </c>
      <c r="AE23" s="17">
        <f t="shared" ref="AE23:AS23" si="53">AE22/AE11</f>
        <v>0.20413827506438725</v>
      </c>
      <c r="AF23" s="17">
        <f t="shared" si="53"/>
        <v>0.19132450570794521</v>
      </c>
      <c r="AG23" s="17">
        <f t="shared" si="53"/>
        <v>0.18157565505341655</v>
      </c>
      <c r="AH23" s="17">
        <f t="shared" si="53"/>
        <v>0.17816647187855345</v>
      </c>
      <c r="AI23" s="17">
        <f t="shared" si="53"/>
        <v>0.16846262244789803</v>
      </c>
      <c r="AJ23" s="17">
        <f t="shared" si="53"/>
        <v>0.17507140378988695</v>
      </c>
      <c r="AK23" s="17">
        <f t="shared" si="53"/>
        <v>0.18348609339078156</v>
      </c>
      <c r="AL23" s="17">
        <f t="shared" si="53"/>
        <v>0.20620768485358962</v>
      </c>
      <c r="AM23" s="17">
        <f t="shared" si="53"/>
        <v>0.22535690102156078</v>
      </c>
      <c r="AN23" s="17">
        <f t="shared" si="53"/>
        <v>0.23820560037569169</v>
      </c>
      <c r="AO23" s="17">
        <f t="shared" si="53"/>
        <v>0.25649521628035954</v>
      </c>
      <c r="AP23" s="17">
        <f t="shared" si="53"/>
        <v>0.26711169154117881</v>
      </c>
      <c r="AQ23" s="17">
        <f t="shared" si="53"/>
        <v>0.27710124680487624</v>
      </c>
      <c r="AR23" s="17">
        <f t="shared" si="53"/>
        <v>0.29510666048212242</v>
      </c>
      <c r="AS23" s="17">
        <f t="shared" si="53"/>
        <v>0.2914490439762642</v>
      </c>
      <c r="AT23" s="11"/>
      <c r="AU23" s="80">
        <f>SUM(AS23-AO23)*1000</f>
        <v>34.953827695904657</v>
      </c>
    </row>
    <row r="24" spans="2:47" ht="5.0999999999999996" customHeight="1">
      <c r="B24" s="16"/>
      <c r="C24" s="17"/>
      <c r="D24" s="17"/>
      <c r="E24" s="17"/>
      <c r="F24" s="17"/>
      <c r="G24" s="17"/>
      <c r="H24" s="17"/>
      <c r="I24" s="17"/>
      <c r="J24" s="32"/>
      <c r="K24" s="85"/>
      <c r="L24" s="85"/>
      <c r="M24" s="85"/>
      <c r="N24" s="85"/>
      <c r="O24" s="85"/>
      <c r="P24" s="85"/>
      <c r="Q24" s="85"/>
      <c r="R24" s="85"/>
      <c r="S24" s="85"/>
      <c r="T24" s="85"/>
      <c r="U24" s="85"/>
      <c r="V24" s="85"/>
      <c r="W24" s="85"/>
      <c r="X24" s="85"/>
      <c r="Y24" s="85"/>
      <c r="Z24" s="85"/>
      <c r="AA24" s="32"/>
      <c r="AB24" s="85"/>
      <c r="AC24" s="85"/>
      <c r="AE24" s="32"/>
      <c r="AF24" s="32"/>
      <c r="AG24" s="32"/>
      <c r="AH24" s="32"/>
      <c r="AI24" s="32"/>
      <c r="AJ24" s="32"/>
      <c r="AK24" s="32"/>
      <c r="AL24" s="32"/>
      <c r="AM24" s="32"/>
      <c r="AN24" s="32"/>
      <c r="AO24" s="32"/>
      <c r="AP24" s="32"/>
      <c r="AQ24" s="32"/>
      <c r="AR24" s="32"/>
      <c r="AS24" s="32"/>
      <c r="AT24" s="11"/>
      <c r="AU24" s="78"/>
    </row>
    <row r="25" spans="2:47" ht="12.75" customHeight="1">
      <c r="B25" s="9" t="s">
        <v>104</v>
      </c>
      <c r="C25" s="85">
        <v>0</v>
      </c>
      <c r="D25" s="85">
        <v>0</v>
      </c>
      <c r="E25" s="85">
        <v>0</v>
      </c>
      <c r="F25" s="85">
        <v>0</v>
      </c>
      <c r="G25" s="85">
        <v>60</v>
      </c>
      <c r="H25" s="85">
        <v>281</v>
      </c>
      <c r="I25" s="85">
        <v>294</v>
      </c>
      <c r="J25" s="32"/>
      <c r="K25" s="85">
        <v>0</v>
      </c>
      <c r="L25" s="85">
        <v>0</v>
      </c>
      <c r="M25" s="85">
        <v>0</v>
      </c>
      <c r="N25" s="32">
        <f t="shared" ref="N25:N27" si="54">SUM(F25-SUM(K25:M25))</f>
        <v>0</v>
      </c>
      <c r="O25" s="85">
        <v>0</v>
      </c>
      <c r="P25" s="85">
        <v>0</v>
      </c>
      <c r="Q25" s="85">
        <v>0</v>
      </c>
      <c r="R25" s="32">
        <f t="shared" ref="R25:R27" si="55">SUM(G25-SUM(O25:Q25))</f>
        <v>60</v>
      </c>
      <c r="S25" s="85">
        <v>0</v>
      </c>
      <c r="T25" s="85">
        <v>0</v>
      </c>
      <c r="U25" s="85">
        <v>0</v>
      </c>
      <c r="V25" s="32">
        <f t="shared" ref="V25:V27" si="56">SUM(H25-SUM(S25:U25))</f>
        <v>281</v>
      </c>
      <c r="W25" s="85">
        <v>67</v>
      </c>
      <c r="X25" s="85">
        <v>63</v>
      </c>
      <c r="Y25" s="85">
        <v>76</v>
      </c>
      <c r="Z25" s="32">
        <f t="shared" ref="Z25:Z27" si="57">SUM(I25-SUM(W25:Y25))</f>
        <v>88</v>
      </c>
      <c r="AA25" s="85">
        <v>82</v>
      </c>
      <c r="AB25" s="85">
        <v>72</v>
      </c>
      <c r="AC25" s="85">
        <v>67</v>
      </c>
      <c r="AE25" s="32">
        <f t="shared" ref="AE25:AE27" si="58">SUM(L25:O25)</f>
        <v>0</v>
      </c>
      <c r="AF25" s="32">
        <f t="shared" ref="AF25:AF27" si="59">SUM(M25:P25)</f>
        <v>0</v>
      </c>
      <c r="AG25" s="32">
        <f t="shared" ref="AG25:AG27" si="60">SUM(N25:Q25)</f>
        <v>0</v>
      </c>
      <c r="AH25" s="32">
        <f t="shared" ref="AH25:AH27" si="61">SUM(O25:R25)</f>
        <v>60</v>
      </c>
      <c r="AI25" s="32">
        <f t="shared" ref="AI25:AI27" si="62">SUM(P25:S25)</f>
        <v>60</v>
      </c>
      <c r="AJ25" s="32">
        <f t="shared" ref="AJ25:AJ27" si="63">SUM(Q25:T25)</f>
        <v>60</v>
      </c>
      <c r="AK25" s="32">
        <f t="shared" ref="AK25:AK27" si="64">SUM(R25:U25)</f>
        <v>60</v>
      </c>
      <c r="AL25" s="32">
        <f t="shared" ref="AL25:AL27" si="65">SUM(S25:V25)</f>
        <v>281</v>
      </c>
      <c r="AM25" s="32">
        <f t="shared" ref="AM25:AM27" si="66">SUM(T25:W25)</f>
        <v>348</v>
      </c>
      <c r="AN25" s="32">
        <f t="shared" ref="AN25:AN27" si="67">SUM(U25:X25)</f>
        <v>411</v>
      </c>
      <c r="AO25" s="32">
        <f t="shared" ref="AO25:AO27" si="68">SUM(V25:Y25)</f>
        <v>487</v>
      </c>
      <c r="AP25" s="32">
        <f t="shared" ref="AP25:AP27" si="69">SUM(W25:Z25)</f>
        <v>294</v>
      </c>
      <c r="AQ25" s="32">
        <f t="shared" ref="AQ25:AQ27" si="70">SUM(X25:AA25)</f>
        <v>309</v>
      </c>
      <c r="AR25" s="32">
        <f t="shared" ref="AR25:AR27" si="71">SUM(Y25:AB25)</f>
        <v>318</v>
      </c>
      <c r="AS25" s="32">
        <f t="shared" ref="AS25:AS27" si="72">SUM(Z25:AC25)</f>
        <v>309</v>
      </c>
      <c r="AT25" s="11"/>
      <c r="AU25" s="78">
        <f>SUM(AS25/AO25)-1</f>
        <v>-0.3655030800821355</v>
      </c>
    </row>
    <row r="26" spans="2:47" ht="12.75" customHeight="1">
      <c r="B26" s="9" t="s">
        <v>90</v>
      </c>
      <c r="C26" s="85">
        <v>-420.49299999999999</v>
      </c>
      <c r="D26" s="85">
        <v>-626.02300000000002</v>
      </c>
      <c r="E26" s="85">
        <v>-767.49900000000002</v>
      </c>
      <c r="F26" s="85">
        <v>-765.62</v>
      </c>
      <c r="G26" s="85">
        <v>-706.21199999999999</v>
      </c>
      <c r="H26" s="85">
        <v>-699.82600000000002</v>
      </c>
      <c r="I26" s="85">
        <v>-718.73299999999995</v>
      </c>
      <c r="J26" s="32"/>
      <c r="K26" s="85">
        <v>-194.44</v>
      </c>
      <c r="L26" s="85">
        <v>-191.322</v>
      </c>
      <c r="M26" s="85">
        <v>-190.429</v>
      </c>
      <c r="N26" s="32">
        <f t="shared" si="54"/>
        <v>-189.42899999999997</v>
      </c>
      <c r="O26" s="85">
        <v>-187.57900000000001</v>
      </c>
      <c r="P26" s="85">
        <v>-175.45500000000001</v>
      </c>
      <c r="Q26" s="85">
        <v>-172.57499999999999</v>
      </c>
      <c r="R26" s="32">
        <f t="shared" si="55"/>
        <v>-170.60300000000007</v>
      </c>
      <c r="S26" s="85">
        <v>-174.239</v>
      </c>
      <c r="T26" s="85">
        <v>-174.81200000000001</v>
      </c>
      <c r="U26" s="85">
        <v>-175.56299999999999</v>
      </c>
      <c r="V26" s="32">
        <f t="shared" si="56"/>
        <v>-175.21199999999999</v>
      </c>
      <c r="W26" s="85">
        <v>-173.31399999999999</v>
      </c>
      <c r="X26" s="85">
        <v>-167.98599999999999</v>
      </c>
      <c r="Y26" s="85">
        <v>-184.83</v>
      </c>
      <c r="Z26" s="32">
        <f t="shared" si="57"/>
        <v>-192.60299999999995</v>
      </c>
      <c r="AA26" s="85">
        <v>-184.172</v>
      </c>
      <c r="AB26" s="85">
        <v>-182.649</v>
      </c>
      <c r="AC26" s="85">
        <v>-175.29400000000001</v>
      </c>
      <c r="AE26" s="32">
        <f t="shared" si="58"/>
        <v>-758.75900000000001</v>
      </c>
      <c r="AF26" s="32">
        <f t="shared" si="59"/>
        <v>-742.89199999999994</v>
      </c>
      <c r="AG26" s="32">
        <f t="shared" si="60"/>
        <v>-725.03800000000001</v>
      </c>
      <c r="AH26" s="32">
        <f t="shared" si="61"/>
        <v>-706.21199999999999</v>
      </c>
      <c r="AI26" s="32">
        <f t="shared" si="62"/>
        <v>-692.87200000000007</v>
      </c>
      <c r="AJ26" s="32">
        <f t="shared" si="63"/>
        <v>-692.22900000000004</v>
      </c>
      <c r="AK26" s="32">
        <f t="shared" si="64"/>
        <v>-695.2170000000001</v>
      </c>
      <c r="AL26" s="32">
        <f t="shared" si="65"/>
        <v>-699.82600000000002</v>
      </c>
      <c r="AM26" s="32">
        <f t="shared" si="66"/>
        <v>-698.90099999999995</v>
      </c>
      <c r="AN26" s="32">
        <f t="shared" si="67"/>
        <v>-692.07499999999993</v>
      </c>
      <c r="AO26" s="32">
        <f t="shared" si="68"/>
        <v>-701.34199999999998</v>
      </c>
      <c r="AP26" s="32">
        <f t="shared" si="69"/>
        <v>-718.73299999999995</v>
      </c>
      <c r="AQ26" s="32">
        <f t="shared" si="70"/>
        <v>-729.59100000000001</v>
      </c>
      <c r="AR26" s="32">
        <f t="shared" si="71"/>
        <v>-744.25400000000002</v>
      </c>
      <c r="AS26" s="32">
        <f t="shared" si="72"/>
        <v>-734.71799999999996</v>
      </c>
      <c r="AT26" s="11"/>
      <c r="AU26" s="78">
        <f>SUM(AS26/AO26)-1</f>
        <v>4.7588765538068456E-2</v>
      </c>
    </row>
    <row r="27" spans="2:47" ht="12.75" customHeight="1">
      <c r="B27" s="9" t="s">
        <v>159</v>
      </c>
      <c r="C27" s="85">
        <v>41.725000000000001</v>
      </c>
      <c r="D27" s="85">
        <v>84</v>
      </c>
      <c r="E27" s="85">
        <v>-618.44100000000003</v>
      </c>
      <c r="F27" s="85">
        <v>411.214</v>
      </c>
      <c r="G27" s="85">
        <f>(337.31-G25)</f>
        <v>277.31</v>
      </c>
      <c r="H27" s="85">
        <f>(-48.772-H25)</f>
        <v>-329.77199999999999</v>
      </c>
      <c r="I27" s="85">
        <f>(266.776-I25)</f>
        <v>-27.22399999999999</v>
      </c>
      <c r="J27" s="32"/>
      <c r="K27" s="85">
        <v>269.08600000000001</v>
      </c>
      <c r="L27" s="85">
        <v>-62.518999999999998</v>
      </c>
      <c r="M27" s="85">
        <v>96.135000000000005</v>
      </c>
      <c r="N27" s="32">
        <f t="shared" si="54"/>
        <v>108.512</v>
      </c>
      <c r="O27" s="85">
        <v>195.64500000000001</v>
      </c>
      <c r="P27" s="85">
        <v>220.226</v>
      </c>
      <c r="Q27" s="85">
        <v>261.404</v>
      </c>
      <c r="R27" s="32">
        <f t="shared" si="55"/>
        <v>-399.96499999999997</v>
      </c>
      <c r="S27" s="85">
        <v>-71.203999999999994</v>
      </c>
      <c r="T27" s="85">
        <v>26.960999999999999</v>
      </c>
      <c r="U27" s="85">
        <v>168.21799999999999</v>
      </c>
      <c r="V27" s="32">
        <f t="shared" si="56"/>
        <v>-453.74699999999996</v>
      </c>
      <c r="W27" s="32">
        <f>155.359-W25</f>
        <v>88.359000000000009</v>
      </c>
      <c r="X27" s="32">
        <f>79.005-X25</f>
        <v>16.004999999999995</v>
      </c>
      <c r="Y27" s="32">
        <f>-21.693-Y25</f>
        <v>-97.692999999999998</v>
      </c>
      <c r="Z27" s="32">
        <f t="shared" si="57"/>
        <v>-33.894999999999996</v>
      </c>
      <c r="AA27" s="32">
        <f>50.899-AA25</f>
        <v>-31.100999999999999</v>
      </c>
      <c r="AB27" s="32">
        <f>39.63-AB25</f>
        <v>-32.369999999999997</v>
      </c>
      <c r="AC27" s="32">
        <f>36.457-AC25</f>
        <v>-30.542999999999999</v>
      </c>
      <c r="AE27" s="32">
        <f t="shared" si="58"/>
        <v>337.77300000000002</v>
      </c>
      <c r="AF27" s="32">
        <f t="shared" si="59"/>
        <v>620.51800000000003</v>
      </c>
      <c r="AG27" s="32">
        <f t="shared" si="60"/>
        <v>785.78700000000003</v>
      </c>
      <c r="AH27" s="32">
        <f t="shared" si="61"/>
        <v>277.31</v>
      </c>
      <c r="AI27" s="32">
        <f t="shared" si="62"/>
        <v>10.461000000000027</v>
      </c>
      <c r="AJ27" s="32">
        <f t="shared" si="63"/>
        <v>-182.80399999999997</v>
      </c>
      <c r="AK27" s="32">
        <f t="shared" si="64"/>
        <v>-275.99</v>
      </c>
      <c r="AL27" s="32">
        <f t="shared" si="65"/>
        <v>-329.77199999999993</v>
      </c>
      <c r="AM27" s="32">
        <f t="shared" si="66"/>
        <v>-170.20899999999997</v>
      </c>
      <c r="AN27" s="32">
        <f t="shared" si="67"/>
        <v>-181.16499999999999</v>
      </c>
      <c r="AO27" s="32">
        <f t="shared" si="68"/>
        <v>-447.07599999999991</v>
      </c>
      <c r="AP27" s="32">
        <f t="shared" si="69"/>
        <v>-27.22399999999999</v>
      </c>
      <c r="AQ27" s="32">
        <f t="shared" si="70"/>
        <v>-146.684</v>
      </c>
      <c r="AR27" s="32">
        <f t="shared" si="71"/>
        <v>-195.059</v>
      </c>
      <c r="AS27" s="32">
        <f t="shared" si="72"/>
        <v>-127.90899999999999</v>
      </c>
      <c r="AT27" s="11"/>
      <c r="AU27" s="78">
        <f>SUM(AS27/AO27)-1</f>
        <v>-0.71389875546886872</v>
      </c>
    </row>
    <row r="28" spans="2:47" ht="12.75" customHeight="1">
      <c r="B28" s="25" t="s">
        <v>92</v>
      </c>
      <c r="C28" s="26">
        <f t="shared" ref="C28:I28" si="73">SUM(C22+SUM(C25:C27))</f>
        <v>1226.4579999999996</v>
      </c>
      <c r="D28" s="26">
        <f t="shared" si="73"/>
        <v>2062.2310000000007</v>
      </c>
      <c r="E28" s="26">
        <f t="shared" si="73"/>
        <v>3199.3490000000006</v>
      </c>
      <c r="F28" s="26">
        <f t="shared" si="73"/>
        <v>5840.1029999999992</v>
      </c>
      <c r="G28" s="26">
        <f t="shared" si="73"/>
        <v>5263.9290000000001</v>
      </c>
      <c r="H28" s="26">
        <f t="shared" si="73"/>
        <v>6205.4050000000007</v>
      </c>
      <c r="I28" s="26">
        <f t="shared" si="73"/>
        <v>9965.6570000000011</v>
      </c>
      <c r="K28" s="26">
        <f t="shared" ref="K28:AC28" si="74">SUM(K22+SUM(K25:K27))</f>
        <v>2034.5020000000002</v>
      </c>
      <c r="L28" s="26">
        <f t="shared" si="74"/>
        <v>1593.7890000000002</v>
      </c>
      <c r="M28" s="26">
        <f t="shared" si="74"/>
        <v>1660.9589999999996</v>
      </c>
      <c r="N28" s="26">
        <f t="shared" si="74"/>
        <v>550.85299999999734</v>
      </c>
      <c r="O28" s="26">
        <f t="shared" si="74"/>
        <v>1979.6920000000002</v>
      </c>
      <c r="P28" s="26">
        <f t="shared" si="74"/>
        <v>1623.0539999999994</v>
      </c>
      <c r="Q28" s="26">
        <f t="shared" si="74"/>
        <v>1621.847</v>
      </c>
      <c r="R28" s="26">
        <f t="shared" si="74"/>
        <v>39.335999999999956</v>
      </c>
      <c r="S28" s="26">
        <f t="shared" si="74"/>
        <v>1468.8739999999998</v>
      </c>
      <c r="T28" s="26">
        <f t="shared" si="74"/>
        <v>1679.3320000000003</v>
      </c>
      <c r="U28" s="26">
        <f t="shared" si="74"/>
        <v>1909.0490000000002</v>
      </c>
      <c r="V28" s="26">
        <f t="shared" si="74"/>
        <v>1148.1500000000005</v>
      </c>
      <c r="W28" s="26">
        <f t="shared" si="74"/>
        <v>2614.5790000000002</v>
      </c>
      <c r="X28" s="26">
        <f t="shared" si="74"/>
        <v>2513.8559999999998</v>
      </c>
      <c r="Y28" s="26">
        <f t="shared" si="74"/>
        <v>2702.9539999999993</v>
      </c>
      <c r="Z28" s="26">
        <f t="shared" si="74"/>
        <v>2134.2679999999991</v>
      </c>
      <c r="AA28" s="26">
        <f t="shared" si="74"/>
        <v>3213.7259999999997</v>
      </c>
      <c r="AB28" s="26">
        <f t="shared" si="74"/>
        <v>3631.6749999999993</v>
      </c>
      <c r="AC28" s="26">
        <f t="shared" si="74"/>
        <v>3109.4100000000008</v>
      </c>
      <c r="AE28" s="26">
        <f t="shared" ref="AE28:AS28" si="75">SUM(AE22+SUM(AE25:AE27))</f>
        <v>5785.2929999999969</v>
      </c>
      <c r="AF28" s="26">
        <f t="shared" si="75"/>
        <v>5814.5579999999954</v>
      </c>
      <c r="AG28" s="26">
        <f t="shared" si="75"/>
        <v>5775.4459999999935</v>
      </c>
      <c r="AH28" s="26">
        <f t="shared" si="75"/>
        <v>5263.9290000000001</v>
      </c>
      <c r="AI28" s="26">
        <f t="shared" si="75"/>
        <v>4753.1109999999981</v>
      </c>
      <c r="AJ28" s="26">
        <f t="shared" si="75"/>
        <v>4809.3889999999983</v>
      </c>
      <c r="AK28" s="26">
        <f t="shared" si="75"/>
        <v>5096.5910000000003</v>
      </c>
      <c r="AL28" s="26">
        <f t="shared" si="75"/>
        <v>6205.4050000000043</v>
      </c>
      <c r="AM28" s="26">
        <f t="shared" si="75"/>
        <v>7351.11</v>
      </c>
      <c r="AN28" s="26">
        <f t="shared" si="75"/>
        <v>8185.6340000000018</v>
      </c>
      <c r="AO28" s="26">
        <f t="shared" si="75"/>
        <v>8979.5389999999989</v>
      </c>
      <c r="AP28" s="26">
        <f t="shared" si="75"/>
        <v>9965.6570000000011</v>
      </c>
      <c r="AQ28" s="26">
        <f t="shared" si="75"/>
        <v>10564.803999999998</v>
      </c>
      <c r="AR28" s="26">
        <f t="shared" si="75"/>
        <v>11682.622999999998</v>
      </c>
      <c r="AS28" s="26">
        <f t="shared" si="75"/>
        <v>12089.078999999996</v>
      </c>
      <c r="AT28" s="43"/>
      <c r="AU28" s="79">
        <f>SUM(AS28/AO28)-1</f>
        <v>0.34629171943013981</v>
      </c>
    </row>
    <row r="29" spans="2:47" ht="12.75" customHeight="1">
      <c r="B29" s="16" t="s">
        <v>93</v>
      </c>
      <c r="C29" s="17">
        <f t="shared" ref="C29:I29" si="76">C28/C11</f>
        <v>7.7651736150308487E-2</v>
      </c>
      <c r="D29" s="17">
        <f t="shared" si="76"/>
        <v>0.10231123570538006</v>
      </c>
      <c r="E29" s="17">
        <f t="shared" si="76"/>
        <v>0.12799415235747594</v>
      </c>
      <c r="F29" s="17">
        <f t="shared" si="76"/>
        <v>0.1966507400335189</v>
      </c>
      <c r="G29" s="17">
        <f t="shared" si="76"/>
        <v>0.16649809982745833</v>
      </c>
      <c r="H29" s="17">
        <f t="shared" si="76"/>
        <v>0.18400944012087553</v>
      </c>
      <c r="I29" s="17">
        <f t="shared" si="76"/>
        <v>0.255523337550152</v>
      </c>
      <c r="J29" s="27"/>
      <c r="K29" s="17">
        <f t="shared" ref="K29:AC29" si="77">K28/K11</f>
        <v>0.28401813582098262</v>
      </c>
      <c r="L29" s="17">
        <f t="shared" si="77"/>
        <v>0.21708491009737835</v>
      </c>
      <c r="M29" s="17">
        <f t="shared" si="77"/>
        <v>0.2219504676108012</v>
      </c>
      <c r="N29" s="17">
        <f t="shared" si="77"/>
        <v>7.1452883380864224E-2</v>
      </c>
      <c r="O29" s="17">
        <f t="shared" si="77"/>
        <v>0.25162056781803532</v>
      </c>
      <c r="P29" s="17">
        <f t="shared" si="77"/>
        <v>0.20364181762907324</v>
      </c>
      <c r="Q29" s="17">
        <f t="shared" si="77"/>
        <v>0.20463425494307111</v>
      </c>
      <c r="R29" s="17">
        <f t="shared" si="77"/>
        <v>5.0096452481917728E-3</v>
      </c>
      <c r="S29" s="17">
        <f t="shared" si="77"/>
        <v>0.1799759186512582</v>
      </c>
      <c r="T29" s="17">
        <f t="shared" si="77"/>
        <v>0.20511423728039316</v>
      </c>
      <c r="U29" s="17">
        <f t="shared" si="77"/>
        <v>0.22349838462464244</v>
      </c>
      <c r="V29" s="17">
        <f t="shared" si="77"/>
        <v>0.12998672565119324</v>
      </c>
      <c r="W29" s="17">
        <f t="shared" si="77"/>
        <v>0.27902414401031328</v>
      </c>
      <c r="X29" s="17">
        <f t="shared" si="77"/>
        <v>0.26297462892196194</v>
      </c>
      <c r="Y29" s="17">
        <f t="shared" si="77"/>
        <v>0.27511813843125837</v>
      </c>
      <c r="Z29" s="17">
        <f t="shared" si="77"/>
        <v>0.20829212825865728</v>
      </c>
      <c r="AA29" s="17">
        <f t="shared" si="77"/>
        <v>0.30482658261310253</v>
      </c>
      <c r="AB29" s="17">
        <f t="shared" si="77"/>
        <v>0.32779317504584726</v>
      </c>
      <c r="AC29" s="17">
        <f t="shared" si="77"/>
        <v>0.27014136112963805</v>
      </c>
      <c r="AD29" s="28"/>
      <c r="AE29" s="17">
        <f t="shared" ref="AE29:AS29" si="78">AE28/AE11</f>
        <v>0.19029111223682887</v>
      </c>
      <c r="AF29" s="17">
        <f t="shared" si="78"/>
        <v>0.18738086190985151</v>
      </c>
      <c r="AG29" s="17">
        <f t="shared" si="78"/>
        <v>0.18350586053392409</v>
      </c>
      <c r="AH29" s="17">
        <f t="shared" si="78"/>
        <v>0.16649809982745833</v>
      </c>
      <c r="AI29" s="17">
        <f t="shared" si="78"/>
        <v>0.14895698386983644</v>
      </c>
      <c r="AJ29" s="17">
        <f t="shared" si="78"/>
        <v>0.14970186867230811</v>
      </c>
      <c r="AK29" s="17">
        <f t="shared" si="78"/>
        <v>0.15565662697058336</v>
      </c>
      <c r="AL29" s="17">
        <f t="shared" si="78"/>
        <v>0.18400944012087561</v>
      </c>
      <c r="AM29" s="17">
        <f t="shared" si="78"/>
        <v>0.21043916057587386</v>
      </c>
      <c r="AN29" s="17">
        <f t="shared" si="78"/>
        <v>0.22547320433041401</v>
      </c>
      <c r="AO29" s="17">
        <f t="shared" si="78"/>
        <v>0.23889835810935814</v>
      </c>
      <c r="AP29" s="17">
        <f t="shared" si="78"/>
        <v>0.255523337550152</v>
      </c>
      <c r="AQ29" s="17">
        <f t="shared" si="78"/>
        <v>0.2629805592153221</v>
      </c>
      <c r="AR29" s="17">
        <f t="shared" si="78"/>
        <v>0.28020463201382345</v>
      </c>
      <c r="AS29" s="17">
        <f t="shared" si="78"/>
        <v>0.2786864233893861</v>
      </c>
      <c r="AT29" s="44"/>
      <c r="AU29" s="80">
        <f>SUM(AS29-AO29)*1000</f>
        <v>39.788065280027958</v>
      </c>
    </row>
    <row r="30" spans="2:47" ht="5.0999999999999996" customHeight="1">
      <c r="B30" s="29"/>
      <c r="C30" s="45"/>
      <c r="D30" s="45"/>
      <c r="E30" s="45"/>
      <c r="F30" s="45"/>
      <c r="G30" s="45"/>
      <c r="H30" s="45"/>
      <c r="I30" s="45"/>
      <c r="J30" s="30"/>
      <c r="K30" s="45"/>
      <c r="L30" s="45"/>
      <c r="M30" s="45"/>
      <c r="N30" s="45"/>
      <c r="O30" s="45"/>
      <c r="P30" s="45"/>
      <c r="Q30" s="45"/>
      <c r="R30" s="45"/>
      <c r="S30" s="45"/>
      <c r="T30" s="45"/>
      <c r="U30" s="45"/>
      <c r="V30" s="45"/>
      <c r="W30" s="45"/>
      <c r="X30" s="45"/>
      <c r="Y30" s="45"/>
      <c r="Z30" s="45"/>
      <c r="AA30" s="45"/>
      <c r="AB30" s="45"/>
      <c r="AC30" s="45"/>
      <c r="AE30" s="45"/>
      <c r="AF30" s="45"/>
      <c r="AG30" s="45"/>
      <c r="AH30" s="45"/>
      <c r="AI30" s="45"/>
      <c r="AJ30" s="45"/>
      <c r="AK30" s="45"/>
      <c r="AL30" s="45"/>
      <c r="AM30" s="45"/>
      <c r="AN30" s="45"/>
      <c r="AO30" s="45"/>
      <c r="AP30" s="45"/>
      <c r="AQ30" s="45"/>
      <c r="AR30" s="45"/>
      <c r="AS30" s="45"/>
      <c r="AT30" s="44"/>
      <c r="AU30" s="78"/>
    </row>
    <row r="31" spans="2:47" ht="12.75" customHeight="1">
      <c r="B31" s="46" t="s">
        <v>72</v>
      </c>
      <c r="C31" s="85">
        <v>-15.215999999999999</v>
      </c>
      <c r="D31" s="85">
        <v>-195.315</v>
      </c>
      <c r="E31" s="85">
        <v>-437.95400000000001</v>
      </c>
      <c r="F31" s="85">
        <v>-723.875</v>
      </c>
      <c r="G31" s="85">
        <v>-772.005</v>
      </c>
      <c r="H31" s="85">
        <v>-797.41499999999996</v>
      </c>
      <c r="I31" s="85">
        <v>-1254.0260000000001</v>
      </c>
      <c r="J31" s="32"/>
      <c r="K31" s="85">
        <v>-327.78699999999998</v>
      </c>
      <c r="L31" s="85">
        <v>-240.77600000000001</v>
      </c>
      <c r="M31" s="85">
        <v>-211.88800000000001</v>
      </c>
      <c r="N31" s="32">
        <f>SUM(F31-SUM(K31:M31))</f>
        <v>56.576000000000022</v>
      </c>
      <c r="O31" s="85">
        <v>-382.245</v>
      </c>
      <c r="P31" s="85">
        <v>-182.10300000000001</v>
      </c>
      <c r="Q31" s="85">
        <v>-223.60499999999999</v>
      </c>
      <c r="R31" s="32">
        <f t="shared" ref="R31" si="79">SUM(G31-SUM(O31:Q31))</f>
        <v>15.947999999999979</v>
      </c>
      <c r="S31" s="85">
        <v>-163.75399999999999</v>
      </c>
      <c r="T31" s="85">
        <v>-191.72200000000001</v>
      </c>
      <c r="U31" s="85">
        <v>-231.62700000000001</v>
      </c>
      <c r="V31" s="32">
        <f>SUM(H31-SUM(S31:U31))</f>
        <v>-210.3119999999999</v>
      </c>
      <c r="W31" s="85">
        <v>-282.37</v>
      </c>
      <c r="X31" s="85">
        <v>-366.55</v>
      </c>
      <c r="Y31" s="85">
        <v>-339.44499999999999</v>
      </c>
      <c r="Z31" s="32">
        <f>SUM(I31-SUM(W31:Y31))</f>
        <v>-265.66100000000006</v>
      </c>
      <c r="AA31" s="85">
        <v>-323.375</v>
      </c>
      <c r="AB31" s="85">
        <v>-506.262</v>
      </c>
      <c r="AC31" s="85">
        <v>-562.49400000000003</v>
      </c>
      <c r="AD31" s="32"/>
      <c r="AE31" s="32">
        <f t="shared" ref="AE31" si="80">SUM(L31:O31)</f>
        <v>-778.33299999999997</v>
      </c>
      <c r="AF31" s="32">
        <f t="shared" ref="AF31" si="81">SUM(M31:P31)</f>
        <v>-719.66000000000008</v>
      </c>
      <c r="AG31" s="32">
        <f t="shared" ref="AG31" si="82">SUM(N31:Q31)</f>
        <v>-731.37699999999995</v>
      </c>
      <c r="AH31" s="32">
        <f t="shared" ref="AH31" si="83">SUM(O31:R31)</f>
        <v>-772.005</v>
      </c>
      <c r="AI31" s="32">
        <f t="shared" ref="AI31" si="84">SUM(P31:S31)</f>
        <v>-553.51400000000001</v>
      </c>
      <c r="AJ31" s="32">
        <f t="shared" ref="AJ31" si="85">SUM(Q31:T31)</f>
        <v>-563.13300000000004</v>
      </c>
      <c r="AK31" s="32">
        <f t="shared" ref="AK31" si="86">SUM(R31:U31)</f>
        <v>-571.15499999999997</v>
      </c>
      <c r="AL31" s="32">
        <f t="shared" ref="AL31" si="87">SUM(S31:V31)</f>
        <v>-797.41499999999996</v>
      </c>
      <c r="AM31" s="32">
        <f t="shared" ref="AM31" si="88">SUM(T31:W31)</f>
        <v>-916.03099999999995</v>
      </c>
      <c r="AN31" s="32">
        <f t="shared" ref="AN31" si="89">SUM(U31:X31)</f>
        <v>-1090.8589999999999</v>
      </c>
      <c r="AO31" s="32">
        <f t="shared" ref="AO31" si="90">SUM(V31:Y31)</f>
        <v>-1198.6769999999999</v>
      </c>
      <c r="AP31" s="32">
        <f t="shared" ref="AP31" si="91">SUM(W31:Z31)</f>
        <v>-1254.0260000000001</v>
      </c>
      <c r="AQ31" s="32">
        <f t="shared" ref="AQ31" si="92">SUM(X31:AA31)</f>
        <v>-1295.0309999999999</v>
      </c>
      <c r="AR31" s="32">
        <f t="shared" ref="AR31" si="93">SUM(Y31:AB31)</f>
        <v>-1434.7429999999999</v>
      </c>
      <c r="AS31" s="32">
        <f>SUM(Z31:AC31)</f>
        <v>-1657.7919999999999</v>
      </c>
      <c r="AT31" s="44"/>
      <c r="AU31" s="78">
        <f>SUM(AS31/AO31)-1</f>
        <v>0.38301811080049086</v>
      </c>
    </row>
    <row r="32" spans="2:47" ht="12.75" customHeight="1">
      <c r="B32" s="13" t="s">
        <v>58</v>
      </c>
      <c r="C32" s="14">
        <f t="shared" ref="C32:I32" si="94">SUM(C28+SUM(C31:C31))</f>
        <v>1211.2419999999997</v>
      </c>
      <c r="D32" s="14">
        <f t="shared" si="94"/>
        <v>1866.9160000000006</v>
      </c>
      <c r="E32" s="14">
        <f t="shared" si="94"/>
        <v>2761.3950000000004</v>
      </c>
      <c r="F32" s="14">
        <f t="shared" si="94"/>
        <v>5116.2279999999992</v>
      </c>
      <c r="G32" s="14">
        <f t="shared" si="94"/>
        <v>4491.924</v>
      </c>
      <c r="H32" s="14">
        <f t="shared" si="94"/>
        <v>5407.9900000000007</v>
      </c>
      <c r="I32" s="14">
        <f t="shared" si="94"/>
        <v>8711.6310000000012</v>
      </c>
      <c r="J32" s="11"/>
      <c r="K32" s="14">
        <f t="shared" ref="K32:AC32" si="95">SUM(K28+SUM(K31:K31))</f>
        <v>1706.7150000000001</v>
      </c>
      <c r="L32" s="14">
        <f t="shared" si="95"/>
        <v>1353.0130000000001</v>
      </c>
      <c r="M32" s="14">
        <f t="shared" si="95"/>
        <v>1449.0709999999997</v>
      </c>
      <c r="N32" s="14">
        <f t="shared" si="95"/>
        <v>607.42899999999736</v>
      </c>
      <c r="O32" s="14">
        <f t="shared" si="95"/>
        <v>1597.4470000000001</v>
      </c>
      <c r="P32" s="14">
        <f t="shared" si="95"/>
        <v>1440.9509999999993</v>
      </c>
      <c r="Q32" s="14">
        <f t="shared" si="95"/>
        <v>1398.242</v>
      </c>
      <c r="R32" s="14">
        <f t="shared" si="95"/>
        <v>55.283999999999935</v>
      </c>
      <c r="S32" s="14">
        <f t="shared" si="95"/>
        <v>1305.1199999999999</v>
      </c>
      <c r="T32" s="14">
        <f t="shared" si="95"/>
        <v>1487.6100000000004</v>
      </c>
      <c r="U32" s="14">
        <f t="shared" si="95"/>
        <v>1677.4220000000003</v>
      </c>
      <c r="V32" s="14">
        <f t="shared" si="95"/>
        <v>937.83800000000065</v>
      </c>
      <c r="W32" s="14">
        <f t="shared" si="95"/>
        <v>2332.2090000000003</v>
      </c>
      <c r="X32" s="14">
        <f t="shared" si="95"/>
        <v>2147.3059999999996</v>
      </c>
      <c r="Y32" s="14">
        <f t="shared" si="95"/>
        <v>2363.5089999999991</v>
      </c>
      <c r="Z32" s="14">
        <f t="shared" si="95"/>
        <v>1868.6069999999991</v>
      </c>
      <c r="AA32" s="14">
        <f t="shared" si="95"/>
        <v>2890.3509999999997</v>
      </c>
      <c r="AB32" s="14">
        <f t="shared" si="95"/>
        <v>3125.4129999999991</v>
      </c>
      <c r="AC32" s="14">
        <f t="shared" si="95"/>
        <v>2546.9160000000006</v>
      </c>
      <c r="AD32" s="32"/>
      <c r="AE32" s="14">
        <f t="shared" ref="AE32:AS32" si="96">SUM(AE28+SUM(AE31:AE31))</f>
        <v>5006.9599999999973</v>
      </c>
      <c r="AF32" s="14">
        <f t="shared" si="96"/>
        <v>5094.8979999999956</v>
      </c>
      <c r="AG32" s="14">
        <f t="shared" si="96"/>
        <v>5044.068999999994</v>
      </c>
      <c r="AH32" s="14">
        <f t="shared" si="96"/>
        <v>4491.924</v>
      </c>
      <c r="AI32" s="14">
        <f t="shared" si="96"/>
        <v>4199.5969999999979</v>
      </c>
      <c r="AJ32" s="14">
        <f t="shared" si="96"/>
        <v>4246.2559999999985</v>
      </c>
      <c r="AK32" s="14">
        <f t="shared" si="96"/>
        <v>4525.4360000000006</v>
      </c>
      <c r="AL32" s="14">
        <f t="shared" si="96"/>
        <v>5407.9900000000043</v>
      </c>
      <c r="AM32" s="14">
        <f t="shared" si="96"/>
        <v>6435.0789999999997</v>
      </c>
      <c r="AN32" s="14">
        <f t="shared" si="96"/>
        <v>7094.7750000000015</v>
      </c>
      <c r="AO32" s="14">
        <f t="shared" si="96"/>
        <v>7780.8619999999992</v>
      </c>
      <c r="AP32" s="14">
        <f t="shared" si="96"/>
        <v>8711.6310000000012</v>
      </c>
      <c r="AQ32" s="14">
        <f t="shared" si="96"/>
        <v>9269.7729999999974</v>
      </c>
      <c r="AR32" s="14">
        <f t="shared" si="96"/>
        <v>10247.879999999997</v>
      </c>
      <c r="AS32" s="14">
        <f t="shared" si="96"/>
        <v>10431.286999999997</v>
      </c>
      <c r="AT32" s="36"/>
      <c r="AU32" s="79">
        <f>SUM(AS32/AO32)-1</f>
        <v>0.34063385265025881</v>
      </c>
    </row>
    <row r="33" spans="1:47" ht="12.75" customHeight="1">
      <c r="B33" s="16" t="s">
        <v>74</v>
      </c>
      <c r="C33" s="17">
        <f t="shared" ref="C33:I33" si="97">C32/C11</f>
        <v>7.668835312597086E-2</v>
      </c>
      <c r="D33" s="17">
        <f t="shared" si="97"/>
        <v>9.2621283899885762E-2</v>
      </c>
      <c r="E33" s="17">
        <f t="shared" si="97"/>
        <v>0.11047322825648975</v>
      </c>
      <c r="F33" s="17">
        <f t="shared" si="97"/>
        <v>0.17227607499049422</v>
      </c>
      <c r="G33" s="17">
        <f t="shared" si="97"/>
        <v>0.14207957792921522</v>
      </c>
      <c r="H33" s="17">
        <f t="shared" si="97"/>
        <v>0.16036362043723071</v>
      </c>
      <c r="I33" s="17">
        <f t="shared" si="97"/>
        <v>0.2233696211524607</v>
      </c>
      <c r="J33" s="27"/>
      <c r="K33" s="17">
        <f t="shared" ref="K33:AC33" si="98">K32/K11</f>
        <v>0.23825880371595032</v>
      </c>
      <c r="L33" s="17">
        <f t="shared" si="98"/>
        <v>0.18428958002946699</v>
      </c>
      <c r="M33" s="17">
        <f t="shared" si="98"/>
        <v>0.19363631856731642</v>
      </c>
      <c r="N33" s="17">
        <f t="shared" si="98"/>
        <v>7.8791535126712553E-2</v>
      </c>
      <c r="O33" s="17">
        <f t="shared" si="98"/>
        <v>0.20303689725432897</v>
      </c>
      <c r="P33" s="17">
        <f t="shared" si="98"/>
        <v>0.18079366475448796</v>
      </c>
      <c r="Q33" s="17">
        <f t="shared" si="98"/>
        <v>0.17642120983058798</v>
      </c>
      <c r="R33" s="17">
        <f t="shared" si="98"/>
        <v>7.0407064241670217E-3</v>
      </c>
      <c r="S33" s="17">
        <f t="shared" si="98"/>
        <v>0.15991172214235538</v>
      </c>
      <c r="T33" s="17">
        <f t="shared" si="98"/>
        <v>0.18169724064132983</v>
      </c>
      <c r="U33" s="17">
        <f t="shared" si="98"/>
        <v>0.19638108154051415</v>
      </c>
      <c r="V33" s="17">
        <f t="shared" si="98"/>
        <v>0.10617644977682689</v>
      </c>
      <c r="W33" s="17">
        <f t="shared" si="98"/>
        <v>0.24889002010577946</v>
      </c>
      <c r="X33" s="17">
        <f t="shared" si="98"/>
        <v>0.22462981114745725</v>
      </c>
      <c r="Y33" s="17">
        <f t="shared" si="98"/>
        <v>0.24056798459963616</v>
      </c>
      <c r="Z33" s="17">
        <f t="shared" si="98"/>
        <v>0.18236516168964009</v>
      </c>
      <c r="AA33" s="17">
        <f t="shared" si="98"/>
        <v>0.27415399380107808</v>
      </c>
      <c r="AB33" s="17">
        <f t="shared" si="98"/>
        <v>0.282098219306399</v>
      </c>
      <c r="AC33" s="17">
        <f t="shared" si="98"/>
        <v>0.22127263851433332</v>
      </c>
      <c r="AD33" s="28"/>
      <c r="AE33" s="17">
        <f t="shared" ref="AE33:AS33" si="99">AE32/AE11</f>
        <v>0.16469001437356978</v>
      </c>
      <c r="AF33" s="17">
        <f t="shared" si="99"/>
        <v>0.16418898540229171</v>
      </c>
      <c r="AG33" s="17">
        <f t="shared" si="99"/>
        <v>0.16026748798923751</v>
      </c>
      <c r="AH33" s="17">
        <f t="shared" si="99"/>
        <v>0.14207957792921522</v>
      </c>
      <c r="AI33" s="17">
        <f t="shared" si="99"/>
        <v>0.13161049733297064</v>
      </c>
      <c r="AJ33" s="17">
        <f t="shared" si="99"/>
        <v>0.13217322575923893</v>
      </c>
      <c r="AK33" s="17">
        <f t="shared" si="99"/>
        <v>0.1382127981882888</v>
      </c>
      <c r="AL33" s="17">
        <f t="shared" si="99"/>
        <v>0.16036362043723082</v>
      </c>
      <c r="AM33" s="17">
        <f t="shared" si="99"/>
        <v>0.1842160738989668</v>
      </c>
      <c r="AN33" s="17">
        <f t="shared" si="99"/>
        <v>0.19542550439627684</v>
      </c>
      <c r="AO33" s="17">
        <f t="shared" si="99"/>
        <v>0.20700786047875028</v>
      </c>
      <c r="AP33" s="17">
        <f t="shared" si="99"/>
        <v>0.2233696211524607</v>
      </c>
      <c r="AQ33" s="17">
        <f t="shared" si="99"/>
        <v>0.23074446883625044</v>
      </c>
      <c r="AR33" s="17">
        <f t="shared" si="99"/>
        <v>0.24579269949238461</v>
      </c>
      <c r="AS33" s="17">
        <f t="shared" si="99"/>
        <v>0.2404697715498591</v>
      </c>
      <c r="AT33" s="44"/>
      <c r="AU33" s="80">
        <f>SUM(AS33-AO33)*1000</f>
        <v>33.461911071108823</v>
      </c>
    </row>
    <row r="34" spans="1:47" ht="5.0999999999999996" customHeight="1">
      <c r="B34" s="16"/>
      <c r="C34" s="17"/>
      <c r="D34" s="17"/>
      <c r="E34" s="17"/>
      <c r="F34" s="17"/>
      <c r="G34" s="17"/>
      <c r="H34" s="17"/>
      <c r="I34" s="17"/>
      <c r="J34" s="27"/>
      <c r="K34" s="17"/>
      <c r="L34" s="17"/>
      <c r="M34" s="17"/>
      <c r="N34" s="17"/>
      <c r="O34" s="17"/>
      <c r="P34" s="17"/>
      <c r="Q34" s="17"/>
      <c r="R34" s="17"/>
      <c r="S34" s="17"/>
      <c r="T34" s="17"/>
      <c r="U34" s="17"/>
      <c r="V34" s="17"/>
      <c r="W34" s="17"/>
      <c r="X34" s="17"/>
      <c r="Y34" s="17"/>
      <c r="Z34" s="17"/>
      <c r="AA34" s="17"/>
      <c r="AB34" s="17"/>
      <c r="AC34" s="17"/>
      <c r="AD34" s="28"/>
      <c r="AE34" s="17"/>
      <c r="AF34" s="17"/>
      <c r="AG34" s="17"/>
      <c r="AH34" s="17"/>
      <c r="AI34" s="17"/>
      <c r="AJ34" s="17"/>
      <c r="AK34" s="17"/>
      <c r="AL34" s="17"/>
      <c r="AM34" s="17"/>
      <c r="AN34" s="17"/>
      <c r="AO34" s="17"/>
      <c r="AP34" s="17"/>
      <c r="AQ34" s="17"/>
      <c r="AR34" s="17"/>
      <c r="AS34" s="17"/>
      <c r="AT34" s="44"/>
      <c r="AU34" s="80"/>
    </row>
    <row r="35" spans="1:47" ht="12.75" customHeight="1">
      <c r="B35" s="46" t="s">
        <v>116</v>
      </c>
      <c r="C35" s="136"/>
      <c r="D35" s="136"/>
      <c r="E35" s="85">
        <v>440.92200000000003</v>
      </c>
      <c r="F35" s="85">
        <v>443.15499999999997</v>
      </c>
      <c r="G35" s="85">
        <v>444.69799999999998</v>
      </c>
      <c r="H35" s="85">
        <v>441.57100000000003</v>
      </c>
      <c r="I35" s="85">
        <f>(429519)/1000</f>
        <v>429.51900000000001</v>
      </c>
      <c r="J35" s="27"/>
      <c r="K35" s="85">
        <v>443.22399999999999</v>
      </c>
      <c r="L35" s="85">
        <v>443.15899999999999</v>
      </c>
      <c r="M35" s="85">
        <v>442.77800000000002</v>
      </c>
      <c r="N35" s="32">
        <f>F35</f>
        <v>443.15499999999997</v>
      </c>
      <c r="O35" s="85">
        <v>444.14600000000002</v>
      </c>
      <c r="P35" s="85">
        <v>444.55700000000002</v>
      </c>
      <c r="Q35" s="85">
        <v>444.87799999999999</v>
      </c>
      <c r="R35" s="32">
        <f>G35</f>
        <v>444.69799999999998</v>
      </c>
      <c r="S35" s="85">
        <v>445.24400000000003</v>
      </c>
      <c r="T35" s="85">
        <v>443.88099999999997</v>
      </c>
      <c r="U35" s="85">
        <v>441.53699999999998</v>
      </c>
      <c r="V35" s="32">
        <f>K35</f>
        <v>443.22399999999999</v>
      </c>
      <c r="W35" s="85">
        <v>432.09</v>
      </c>
      <c r="X35" s="85">
        <v>430.065</v>
      </c>
      <c r="Y35" s="85">
        <v>428.23899999999998</v>
      </c>
      <c r="Z35" s="32">
        <f>I35</f>
        <v>429.51900000000001</v>
      </c>
      <c r="AA35" s="85">
        <v>427.27</v>
      </c>
      <c r="AB35" s="85">
        <v>425.21100000000001</v>
      </c>
      <c r="AC35" s="85">
        <v>424.45499999999998</v>
      </c>
      <c r="AD35" s="136"/>
      <c r="AE35" s="32">
        <f t="shared" ref="AE35:AR35" si="100">O35</f>
        <v>444.14600000000002</v>
      </c>
      <c r="AF35" s="32">
        <f t="shared" si="100"/>
        <v>444.55700000000002</v>
      </c>
      <c r="AG35" s="32">
        <f t="shared" si="100"/>
        <v>444.87799999999999</v>
      </c>
      <c r="AH35" s="32">
        <f t="shared" si="100"/>
        <v>444.69799999999998</v>
      </c>
      <c r="AI35" s="32">
        <f t="shared" si="100"/>
        <v>445.24400000000003</v>
      </c>
      <c r="AJ35" s="32">
        <f t="shared" si="100"/>
        <v>443.88099999999997</v>
      </c>
      <c r="AK35" s="32">
        <f t="shared" si="100"/>
        <v>441.53699999999998</v>
      </c>
      <c r="AL35" s="32">
        <f t="shared" si="100"/>
        <v>443.22399999999999</v>
      </c>
      <c r="AM35" s="32">
        <f t="shared" si="100"/>
        <v>432.09</v>
      </c>
      <c r="AN35" s="32">
        <f t="shared" si="100"/>
        <v>430.065</v>
      </c>
      <c r="AO35" s="32">
        <f t="shared" si="100"/>
        <v>428.23899999999998</v>
      </c>
      <c r="AP35" s="32">
        <f t="shared" si="100"/>
        <v>429.51900000000001</v>
      </c>
      <c r="AQ35" s="32">
        <f t="shared" si="100"/>
        <v>427.27</v>
      </c>
      <c r="AR35" s="32">
        <f t="shared" si="100"/>
        <v>425.21100000000001</v>
      </c>
      <c r="AS35" s="32">
        <f>AC35</f>
        <v>424.45499999999998</v>
      </c>
      <c r="AT35" s="44"/>
      <c r="AU35" s="78">
        <f>SUM(AS35/AO35)-1</f>
        <v>-8.8361872692584997E-3</v>
      </c>
    </row>
    <row r="36" spans="1:47" ht="12.75" customHeight="1">
      <c r="B36" s="13" t="s">
        <v>75</v>
      </c>
      <c r="C36" s="14"/>
      <c r="D36" s="14"/>
      <c r="E36" s="159">
        <f t="shared" ref="E36:H36" si="101">E32/E35</f>
        <v>6.2627743682556103</v>
      </c>
      <c r="F36" s="159">
        <f t="shared" si="101"/>
        <v>11.545007954327492</v>
      </c>
      <c r="G36" s="159">
        <f t="shared" si="101"/>
        <v>10.101066341652087</v>
      </c>
      <c r="H36" s="159">
        <f t="shared" si="101"/>
        <v>12.247158441111397</v>
      </c>
      <c r="I36" s="159">
        <f>I32/I35</f>
        <v>20.282294846095287</v>
      </c>
      <c r="J36" s="27"/>
      <c r="K36" s="159">
        <f t="shared" ref="K36" si="102">K32/K35</f>
        <v>3.8506827247621973</v>
      </c>
      <c r="L36" s="159">
        <f t="shared" ref="L36" si="103">L32/L35</f>
        <v>3.053109606258702</v>
      </c>
      <c r="M36" s="159">
        <f t="shared" ref="M36" si="104">M32/M35</f>
        <v>3.2726806661577577</v>
      </c>
      <c r="N36" s="159">
        <f t="shared" ref="N36" si="105">N32/N35</f>
        <v>1.3706919700781834</v>
      </c>
      <c r="O36" s="159">
        <f t="shared" ref="O36:X36" si="106">O32/O35</f>
        <v>3.5966709145190996</v>
      </c>
      <c r="P36" s="159">
        <f t="shared" si="106"/>
        <v>3.2413188859921207</v>
      </c>
      <c r="Q36" s="159">
        <f t="shared" si="106"/>
        <v>3.1429785244493997</v>
      </c>
      <c r="R36" s="159">
        <f t="shared" si="106"/>
        <v>0.12431807653733531</v>
      </c>
      <c r="S36" s="159">
        <f t="shared" si="106"/>
        <v>2.9312466872097094</v>
      </c>
      <c r="T36" s="159">
        <f t="shared" si="106"/>
        <v>3.3513712008398659</v>
      </c>
      <c r="U36" s="159">
        <f t="shared" si="106"/>
        <v>3.7990519480813618</v>
      </c>
      <c r="V36" s="159">
        <f t="shared" si="106"/>
        <v>2.1159458874068204</v>
      </c>
      <c r="W36" s="159">
        <f t="shared" si="106"/>
        <v>5.3975074637228362</v>
      </c>
      <c r="X36" s="159">
        <f t="shared" si="106"/>
        <v>4.9929801309104427</v>
      </c>
      <c r="Y36" s="159">
        <f>Y32/Y35</f>
        <v>5.519135342647445</v>
      </c>
      <c r="Z36" s="159">
        <f t="shared" ref="Z36:AC36" si="107">Z32/Z35</f>
        <v>4.3504641238222268</v>
      </c>
      <c r="AA36" s="159">
        <f t="shared" si="107"/>
        <v>6.7646944554965236</v>
      </c>
      <c r="AB36" s="159">
        <f t="shared" si="107"/>
        <v>7.3502637514081224</v>
      </c>
      <c r="AC36" s="159">
        <f t="shared" si="107"/>
        <v>6.000438208997422</v>
      </c>
      <c r="AD36" s="136"/>
      <c r="AE36" s="159">
        <f t="shared" ref="AE36" si="108">AE32/AE35</f>
        <v>11.273229973927485</v>
      </c>
      <c r="AF36" s="159">
        <f t="shared" ref="AF36" si="109">AF32/AF35</f>
        <v>11.460618098466552</v>
      </c>
      <c r="AG36" s="159">
        <f t="shared" ref="AG36" si="110">AG32/AG35</f>
        <v>11.33809493838759</v>
      </c>
      <c r="AH36" s="159">
        <f t="shared" ref="AH36" si="111">AH32/AH35</f>
        <v>10.101066341652087</v>
      </c>
      <c r="AI36" s="159">
        <f t="shared" ref="AI36" si="112">AI32/AI35</f>
        <v>9.4321248573815648</v>
      </c>
      <c r="AJ36" s="159">
        <f t="shared" ref="AJ36" si="113">AJ32/AJ35</f>
        <v>9.5662035545562851</v>
      </c>
      <c r="AK36" s="159">
        <f t="shared" ref="AK36" si="114">AK32/AK35</f>
        <v>10.249279222352829</v>
      </c>
      <c r="AL36" s="159">
        <f t="shared" ref="AL36" si="115">AL32/AL35</f>
        <v>12.201482771691074</v>
      </c>
      <c r="AM36" s="159">
        <f t="shared" ref="AM36" si="116">AM32/AM35</f>
        <v>14.892913513388415</v>
      </c>
      <c r="AN36" s="159">
        <f t="shared" ref="AN36" si="117">AN32/AN35</f>
        <v>16.496983014195532</v>
      </c>
      <c r="AO36" s="159">
        <f t="shared" ref="AO36" si="118">AO32/AO35</f>
        <v>18.169438094148362</v>
      </c>
      <c r="AP36" s="159">
        <f t="shared" ref="AP36" si="119">AP32/AP35</f>
        <v>20.282294846095287</v>
      </c>
      <c r="AQ36" s="159">
        <f t="shared" ref="AQ36" si="120">AQ32/AQ35</f>
        <v>21.695351885224795</v>
      </c>
      <c r="AR36" s="159">
        <f t="shared" ref="AR36" si="121">AR32/AR35</f>
        <v>24.100693538031699</v>
      </c>
      <c r="AS36" s="159">
        <f t="shared" ref="AS36" si="122">AS32/AS35</f>
        <v>24.575719452003149</v>
      </c>
      <c r="AT36" s="44"/>
      <c r="AU36" s="79">
        <f>SUM(AS36/AO36)-1</f>
        <v>0.35258555188440255</v>
      </c>
    </row>
    <row r="37" spans="1:47" ht="12.75" customHeight="1">
      <c r="B37" s="25"/>
      <c r="C37" s="50"/>
      <c r="D37" s="50"/>
      <c r="E37" s="50"/>
      <c r="F37" s="50"/>
      <c r="G37" s="50"/>
      <c r="H37" s="50"/>
      <c r="I37" s="50"/>
      <c r="J37" s="158"/>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44"/>
      <c r="AU37" s="78"/>
    </row>
    <row r="38" spans="1:47" ht="12.75" customHeight="1">
      <c r="B38" s="46" t="s">
        <v>76</v>
      </c>
      <c r="C38" s="50"/>
      <c r="D38" s="50"/>
      <c r="E38" s="85">
        <v>454.20800000000003</v>
      </c>
      <c r="F38" s="85">
        <v>455.37200000000001</v>
      </c>
      <c r="G38" s="85">
        <v>451.29</v>
      </c>
      <c r="H38" s="85">
        <v>449.49799999999999</v>
      </c>
      <c r="I38" s="85">
        <v>439.26100000000002</v>
      </c>
      <c r="J38" s="158"/>
      <c r="K38" s="85">
        <v>455.64100000000002</v>
      </c>
      <c r="L38" s="85">
        <v>455.12900000000002</v>
      </c>
      <c r="M38" s="85">
        <v>454.92500000000001</v>
      </c>
      <c r="N38" s="32">
        <f>F38</f>
        <v>455.37200000000001</v>
      </c>
      <c r="O38" s="85">
        <v>452.98399999999998</v>
      </c>
      <c r="P38" s="85">
        <v>450.16899999999998</v>
      </c>
      <c r="Q38" s="85">
        <v>450.34399999999999</v>
      </c>
      <c r="R38" s="32">
        <f>G38</f>
        <v>451.29</v>
      </c>
      <c r="S38" s="85">
        <v>452.41699999999997</v>
      </c>
      <c r="T38" s="85">
        <v>451.572</v>
      </c>
      <c r="U38" s="85">
        <v>450.01100000000002</v>
      </c>
      <c r="V38" s="32">
        <f>K38</f>
        <v>455.64100000000002</v>
      </c>
      <c r="W38" s="85">
        <v>441.654</v>
      </c>
      <c r="X38" s="85">
        <v>439.73899999999998</v>
      </c>
      <c r="Y38" s="85">
        <v>437.89800000000002</v>
      </c>
      <c r="Z38" s="32">
        <f>I38</f>
        <v>439.26100000000002</v>
      </c>
      <c r="AA38" s="85">
        <v>436.96199999999999</v>
      </c>
      <c r="AB38" s="85">
        <v>434.88299999999998</v>
      </c>
      <c r="AC38" s="85">
        <v>434.03899999999999</v>
      </c>
      <c r="AD38" s="136"/>
      <c r="AE38" s="32">
        <f t="shared" ref="AE38:AR38" si="123">O38</f>
        <v>452.98399999999998</v>
      </c>
      <c r="AF38" s="32">
        <f t="shared" si="123"/>
        <v>450.16899999999998</v>
      </c>
      <c r="AG38" s="32">
        <f t="shared" si="123"/>
        <v>450.34399999999999</v>
      </c>
      <c r="AH38" s="32">
        <f t="shared" si="123"/>
        <v>451.29</v>
      </c>
      <c r="AI38" s="32">
        <f t="shared" si="123"/>
        <v>452.41699999999997</v>
      </c>
      <c r="AJ38" s="32">
        <f t="shared" si="123"/>
        <v>451.572</v>
      </c>
      <c r="AK38" s="32">
        <f t="shared" si="123"/>
        <v>450.01100000000002</v>
      </c>
      <c r="AL38" s="32">
        <f t="shared" si="123"/>
        <v>455.64100000000002</v>
      </c>
      <c r="AM38" s="32">
        <f t="shared" si="123"/>
        <v>441.654</v>
      </c>
      <c r="AN38" s="32">
        <f t="shared" si="123"/>
        <v>439.73899999999998</v>
      </c>
      <c r="AO38" s="32">
        <f t="shared" si="123"/>
        <v>437.89800000000002</v>
      </c>
      <c r="AP38" s="32">
        <f t="shared" si="123"/>
        <v>439.26100000000002</v>
      </c>
      <c r="AQ38" s="32">
        <f t="shared" si="123"/>
        <v>436.96199999999999</v>
      </c>
      <c r="AR38" s="32">
        <f t="shared" si="123"/>
        <v>434.88299999999998</v>
      </c>
      <c r="AS38" s="32">
        <f>AC38</f>
        <v>434.03899999999999</v>
      </c>
      <c r="AT38" s="44"/>
      <c r="AU38" s="78">
        <f>SUM(AS38/AO38)-1</f>
        <v>-8.8125545218293855E-3</v>
      </c>
    </row>
    <row r="39" spans="1:47" ht="12.75" customHeight="1">
      <c r="B39" s="13" t="s">
        <v>115</v>
      </c>
      <c r="C39" s="14"/>
      <c r="D39" s="14"/>
      <c r="E39" s="159">
        <f t="shared" ref="E39:H39" si="124">E32/E38</f>
        <v>6.0795824820346631</v>
      </c>
      <c r="F39" s="159">
        <f t="shared" si="124"/>
        <v>11.235271382518027</v>
      </c>
      <c r="G39" s="159">
        <f t="shared" si="124"/>
        <v>9.9535199095925009</v>
      </c>
      <c r="H39" s="159">
        <f t="shared" si="124"/>
        <v>12.031177001899898</v>
      </c>
      <c r="I39" s="159">
        <f>I32/I38</f>
        <v>19.832470899988845</v>
      </c>
      <c r="J39" s="27"/>
      <c r="K39" s="159">
        <f t="shared" ref="K39" si="125">K32/K38</f>
        <v>3.7457450053880139</v>
      </c>
      <c r="L39" s="159">
        <f t="shared" ref="L39" si="126">L32/L38</f>
        <v>2.9728121038211146</v>
      </c>
      <c r="M39" s="159">
        <f t="shared" ref="M39" si="127">M32/M38</f>
        <v>3.1852964774413359</v>
      </c>
      <c r="N39" s="159">
        <f t="shared" ref="N39" si="128">N32/N38</f>
        <v>1.3339182031394055</v>
      </c>
      <c r="O39" s="159">
        <f t="shared" ref="O39:X39" si="129">O32/O38</f>
        <v>3.5264976246401645</v>
      </c>
      <c r="P39" s="159">
        <f t="shared" si="129"/>
        <v>3.2009112133443205</v>
      </c>
      <c r="Q39" s="159">
        <f t="shared" si="129"/>
        <v>3.104830973655694</v>
      </c>
      <c r="R39" s="159">
        <f t="shared" si="129"/>
        <v>0.1225021604733097</v>
      </c>
      <c r="S39" s="159">
        <f t="shared" si="129"/>
        <v>2.8847722344651063</v>
      </c>
      <c r="T39" s="159">
        <f t="shared" si="129"/>
        <v>3.2942919401557234</v>
      </c>
      <c r="U39" s="159">
        <f t="shared" si="129"/>
        <v>3.7275133274519958</v>
      </c>
      <c r="V39" s="159">
        <f t="shared" si="129"/>
        <v>2.0582827269714548</v>
      </c>
      <c r="W39" s="159">
        <f t="shared" si="129"/>
        <v>5.280624651876809</v>
      </c>
      <c r="X39" s="159">
        <f t="shared" si="129"/>
        <v>4.8831374974700896</v>
      </c>
      <c r="Y39" s="159">
        <f>Y32/Y38</f>
        <v>5.3973961972879509</v>
      </c>
      <c r="Z39" s="159">
        <f t="shared" ref="Z39:AC39" si="130">Z32/Z38</f>
        <v>4.2539788417364592</v>
      </c>
      <c r="AA39" s="159">
        <f t="shared" si="130"/>
        <v>6.6146507018916969</v>
      </c>
      <c r="AB39" s="159">
        <f t="shared" si="130"/>
        <v>7.1867904700804566</v>
      </c>
      <c r="AC39" s="159">
        <f t="shared" si="130"/>
        <v>5.8679427424724526</v>
      </c>
      <c r="AD39" s="136"/>
      <c r="AE39" s="159">
        <f t="shared" ref="AE39" si="131">AE32/AE38</f>
        <v>11.053282235134127</v>
      </c>
      <c r="AF39" s="159">
        <f t="shared" ref="AF39" si="132">AF32/AF38</f>
        <v>11.317745113501809</v>
      </c>
      <c r="AG39" s="159">
        <f t="shared" ref="AG39" si="133">AG32/AG38</f>
        <v>11.200480077451891</v>
      </c>
      <c r="AH39" s="159">
        <f t="shared" ref="AH39" si="134">AH32/AH38</f>
        <v>9.9535199095925009</v>
      </c>
      <c r="AI39" s="159">
        <f t="shared" ref="AI39" si="135">AI32/AI38</f>
        <v>9.2825800091508466</v>
      </c>
      <c r="AJ39" s="159">
        <f t="shared" ref="AJ39" si="136">AJ32/AJ38</f>
        <v>9.4032756681105081</v>
      </c>
      <c r="AK39" s="159">
        <f t="shared" ref="AK39" si="137">AK32/AK38</f>
        <v>10.056278624300296</v>
      </c>
      <c r="AL39" s="159">
        <f t="shared" ref="AL39" si="138">AL32/AL38</f>
        <v>11.868971405119391</v>
      </c>
      <c r="AM39" s="159">
        <f t="shared" ref="AM39" si="139">AM32/AM38</f>
        <v>14.570408056985785</v>
      </c>
      <c r="AN39" s="159">
        <f t="shared" ref="AN39" si="140">AN32/AN38</f>
        <v>16.134059066855571</v>
      </c>
      <c r="AO39" s="159">
        <f t="shared" ref="AO39" si="141">AO32/AO38</f>
        <v>17.768663021982285</v>
      </c>
      <c r="AP39" s="159">
        <f t="shared" ref="AP39" si="142">AP32/AP38</f>
        <v>19.832470899988845</v>
      </c>
      <c r="AQ39" s="159">
        <f t="shared" ref="AQ39" si="143">AQ32/AQ38</f>
        <v>21.214139902325599</v>
      </c>
      <c r="AR39" s="159">
        <f t="shared" ref="AR39" si="144">AR32/AR38</f>
        <v>23.564682914714986</v>
      </c>
      <c r="AS39" s="159">
        <f t="shared" ref="AS39" si="145">AS32/AS38</f>
        <v>24.033063849101111</v>
      </c>
      <c r="AT39" s="44"/>
      <c r="AU39" s="79">
        <f>SUM(AS39/AO39)-1</f>
        <v>0.35255330237108451</v>
      </c>
    </row>
    <row r="40" spans="1:47">
      <c r="B40" s="16"/>
      <c r="C40" s="17"/>
      <c r="D40" s="17"/>
      <c r="E40" s="17"/>
      <c r="F40" s="17"/>
      <c r="G40" s="17"/>
      <c r="H40" s="17"/>
      <c r="I40" s="17"/>
      <c r="J40" s="27"/>
      <c r="K40" s="17"/>
      <c r="L40" s="17"/>
      <c r="M40" s="17"/>
      <c r="N40" s="17"/>
      <c r="O40" s="17"/>
      <c r="P40" s="17"/>
      <c r="Q40" s="17"/>
      <c r="R40" s="17"/>
      <c r="S40" s="17"/>
      <c r="T40" s="17"/>
      <c r="U40" s="17"/>
      <c r="V40" s="17"/>
      <c r="W40" s="17"/>
      <c r="X40" s="17"/>
      <c r="Y40" s="17"/>
      <c r="Z40" s="17"/>
      <c r="AA40" s="17"/>
      <c r="AB40" s="17"/>
      <c r="AC40" s="17"/>
      <c r="AD40" s="28"/>
      <c r="AE40" s="17"/>
      <c r="AF40" s="17"/>
      <c r="AG40" s="17"/>
      <c r="AH40" s="17"/>
      <c r="AI40" s="17"/>
      <c r="AJ40" s="17"/>
      <c r="AK40" s="17"/>
      <c r="AL40" s="17"/>
      <c r="AM40" s="17"/>
      <c r="AN40" s="17"/>
      <c r="AO40" s="17"/>
      <c r="AP40" s="17"/>
      <c r="AQ40" s="17"/>
      <c r="AR40" s="17"/>
      <c r="AS40" s="17"/>
      <c r="AT40" s="44"/>
    </row>
    <row r="41" spans="1:47" ht="12.75" customHeight="1">
      <c r="A41" s="5" t="s">
        <v>19</v>
      </c>
      <c r="B41" s="108" t="s">
        <v>86</v>
      </c>
      <c r="C41" s="109"/>
      <c r="D41" s="109"/>
      <c r="E41" s="109"/>
      <c r="F41" s="109"/>
      <c r="G41" s="109"/>
      <c r="H41" s="109"/>
      <c r="I41" s="109"/>
      <c r="J41" s="110"/>
      <c r="K41" s="109"/>
      <c r="L41" s="109"/>
      <c r="M41" s="109"/>
      <c r="N41" s="109"/>
      <c r="O41" s="109"/>
      <c r="P41" s="109"/>
      <c r="Q41" s="109"/>
      <c r="R41" s="109"/>
      <c r="S41" s="109"/>
      <c r="T41" s="109"/>
      <c r="U41" s="109"/>
      <c r="V41" s="109"/>
      <c r="W41" s="109"/>
      <c r="X41" s="109"/>
      <c r="Y41" s="109"/>
      <c r="Z41" s="109"/>
      <c r="AA41" s="109"/>
      <c r="AB41" s="109"/>
      <c r="AC41" s="109"/>
      <c r="AD41" s="108"/>
      <c r="AE41" s="109"/>
      <c r="AF41" s="109"/>
      <c r="AG41" s="109"/>
      <c r="AH41" s="109"/>
      <c r="AI41" s="109"/>
      <c r="AJ41" s="109"/>
      <c r="AK41" s="109"/>
      <c r="AL41" s="109"/>
      <c r="AM41" s="109"/>
      <c r="AN41" s="109" t="s">
        <v>10</v>
      </c>
      <c r="AO41" s="109"/>
      <c r="AP41" s="109"/>
      <c r="AQ41" s="109"/>
      <c r="AR41" s="109"/>
      <c r="AS41" s="109"/>
      <c r="AT41" s="110"/>
      <c r="AU41" s="162" t="s">
        <v>26</v>
      </c>
    </row>
    <row r="42" spans="1:47" ht="12.75" customHeight="1">
      <c r="B42" s="112" t="str">
        <f t="shared" ref="B42:I43" si="146">B7</f>
        <v>Fiscal Period</v>
      </c>
      <c r="C42" s="111">
        <f t="shared" si="146"/>
        <v>2018</v>
      </c>
      <c r="D42" s="111">
        <f t="shared" si="146"/>
        <v>2019</v>
      </c>
      <c r="E42" s="111">
        <f t="shared" si="146"/>
        <v>2020</v>
      </c>
      <c r="F42" s="111">
        <f t="shared" si="146"/>
        <v>2021</v>
      </c>
      <c r="G42" s="111">
        <f t="shared" si="146"/>
        <v>2022</v>
      </c>
      <c r="H42" s="111">
        <f t="shared" si="146"/>
        <v>2023</v>
      </c>
      <c r="I42" s="111">
        <f t="shared" si="146"/>
        <v>2024</v>
      </c>
      <c r="J42" s="110"/>
      <c r="K42" s="111" t="str">
        <f t="shared" ref="K42:AC42" si="147">K7</f>
        <v>1Q21</v>
      </c>
      <c r="L42" s="111" t="str">
        <f t="shared" si="147"/>
        <v>2Q21</v>
      </c>
      <c r="M42" s="111" t="str">
        <f t="shared" si="147"/>
        <v>3Q21</v>
      </c>
      <c r="N42" s="111" t="str">
        <f t="shared" si="147"/>
        <v>4Q21</v>
      </c>
      <c r="O42" s="111" t="str">
        <f t="shared" si="147"/>
        <v>1Q22</v>
      </c>
      <c r="P42" s="111" t="str">
        <f t="shared" si="147"/>
        <v>2Q22</v>
      </c>
      <c r="Q42" s="111" t="str">
        <f t="shared" si="147"/>
        <v>3Q22</v>
      </c>
      <c r="R42" s="111" t="str">
        <f t="shared" si="147"/>
        <v>4Q22</v>
      </c>
      <c r="S42" s="111" t="str">
        <f t="shared" si="147"/>
        <v>1Q23</v>
      </c>
      <c r="T42" s="111" t="str">
        <f t="shared" si="147"/>
        <v>2Q23</v>
      </c>
      <c r="U42" s="111" t="str">
        <f t="shared" si="147"/>
        <v>3Q23</v>
      </c>
      <c r="V42" s="111" t="str">
        <f t="shared" si="147"/>
        <v>4Q23</v>
      </c>
      <c r="W42" s="111" t="str">
        <f t="shared" si="147"/>
        <v>1Q24</v>
      </c>
      <c r="X42" s="111" t="str">
        <f t="shared" si="147"/>
        <v>2Q24</v>
      </c>
      <c r="Y42" s="111" t="str">
        <f t="shared" si="147"/>
        <v>3Q24</v>
      </c>
      <c r="Z42" s="111" t="str">
        <f t="shared" si="147"/>
        <v>4Q24</v>
      </c>
      <c r="AA42" s="111" t="str">
        <f t="shared" si="147"/>
        <v>1Q25</v>
      </c>
      <c r="AB42" s="111" t="str">
        <f t="shared" si="147"/>
        <v>2Q25</v>
      </c>
      <c r="AC42" s="111" t="str">
        <f t="shared" si="147"/>
        <v>3Q25</v>
      </c>
      <c r="AD42" s="113"/>
      <c r="AE42" s="111" t="str">
        <f t="shared" ref="AE42:AS42" si="148">AE7</f>
        <v>1Q22</v>
      </c>
      <c r="AF42" s="111" t="str">
        <f t="shared" si="148"/>
        <v>2Q22</v>
      </c>
      <c r="AG42" s="111" t="str">
        <f t="shared" si="148"/>
        <v>3Q22</v>
      </c>
      <c r="AH42" s="111" t="str">
        <f t="shared" si="148"/>
        <v>4Q22</v>
      </c>
      <c r="AI42" s="111" t="str">
        <f t="shared" si="148"/>
        <v>1Q23</v>
      </c>
      <c r="AJ42" s="111" t="str">
        <f t="shared" si="148"/>
        <v>2Q23</v>
      </c>
      <c r="AK42" s="111" t="str">
        <f t="shared" si="148"/>
        <v>3Q23</v>
      </c>
      <c r="AL42" s="111" t="str">
        <f t="shared" si="148"/>
        <v>4Q23</v>
      </c>
      <c r="AM42" s="111" t="str">
        <f t="shared" si="148"/>
        <v>1Q24</v>
      </c>
      <c r="AN42" s="111" t="str">
        <f t="shared" si="148"/>
        <v>2Q24</v>
      </c>
      <c r="AO42" s="111" t="str">
        <f t="shared" si="148"/>
        <v>3Q24</v>
      </c>
      <c r="AP42" s="111" t="str">
        <f t="shared" si="148"/>
        <v>4Q24</v>
      </c>
      <c r="AQ42" s="111" t="str">
        <f t="shared" si="148"/>
        <v>1Q25</v>
      </c>
      <c r="AR42" s="111" t="str">
        <f t="shared" si="148"/>
        <v>2Q25</v>
      </c>
      <c r="AS42" s="111" t="str">
        <f t="shared" si="148"/>
        <v>3Q25</v>
      </c>
      <c r="AT42" s="110"/>
      <c r="AU42" s="162"/>
    </row>
    <row r="43" spans="1:47" ht="12.75" customHeight="1">
      <c r="B43" s="112" t="str">
        <f t="shared" si="146"/>
        <v>Fiscal Period End Date</v>
      </c>
      <c r="C43" s="114">
        <f t="shared" si="146"/>
        <v>43465</v>
      </c>
      <c r="D43" s="114">
        <f t="shared" si="146"/>
        <v>43830</v>
      </c>
      <c r="E43" s="114">
        <f t="shared" si="146"/>
        <v>44196</v>
      </c>
      <c r="F43" s="114">
        <f t="shared" si="146"/>
        <v>44561</v>
      </c>
      <c r="G43" s="114">
        <f t="shared" si="146"/>
        <v>44926</v>
      </c>
      <c r="H43" s="114">
        <f t="shared" si="146"/>
        <v>45291</v>
      </c>
      <c r="I43" s="114">
        <f t="shared" si="146"/>
        <v>45657</v>
      </c>
      <c r="J43" s="110"/>
      <c r="K43" s="114">
        <f t="shared" ref="K43:AC43" si="149">K8</f>
        <v>44286</v>
      </c>
      <c r="L43" s="114">
        <f t="shared" si="149"/>
        <v>44377</v>
      </c>
      <c r="M43" s="114">
        <f t="shared" si="149"/>
        <v>44469</v>
      </c>
      <c r="N43" s="114">
        <f t="shared" si="149"/>
        <v>44561</v>
      </c>
      <c r="O43" s="114">
        <f t="shared" si="149"/>
        <v>44651</v>
      </c>
      <c r="P43" s="114">
        <f t="shared" si="149"/>
        <v>44742</v>
      </c>
      <c r="Q43" s="114">
        <f t="shared" si="149"/>
        <v>44834</v>
      </c>
      <c r="R43" s="114">
        <f t="shared" si="149"/>
        <v>44926</v>
      </c>
      <c r="S43" s="114">
        <f t="shared" si="149"/>
        <v>45016</v>
      </c>
      <c r="T43" s="114">
        <f t="shared" si="149"/>
        <v>45107</v>
      </c>
      <c r="U43" s="114">
        <f t="shared" si="149"/>
        <v>45199</v>
      </c>
      <c r="V43" s="114">
        <f t="shared" si="149"/>
        <v>45291</v>
      </c>
      <c r="W43" s="114">
        <f t="shared" si="149"/>
        <v>45382</v>
      </c>
      <c r="X43" s="114">
        <f t="shared" si="149"/>
        <v>45473</v>
      </c>
      <c r="Y43" s="114">
        <f t="shared" si="149"/>
        <v>45565</v>
      </c>
      <c r="Z43" s="114">
        <f t="shared" si="149"/>
        <v>45657</v>
      </c>
      <c r="AA43" s="114">
        <f t="shared" si="149"/>
        <v>45747</v>
      </c>
      <c r="AB43" s="114">
        <f t="shared" si="149"/>
        <v>45838</v>
      </c>
      <c r="AC43" s="114">
        <f t="shared" si="149"/>
        <v>45930</v>
      </c>
      <c r="AD43" s="115"/>
      <c r="AE43" s="114">
        <f t="shared" ref="AE43:AS43" si="150">AE8</f>
        <v>44651</v>
      </c>
      <c r="AF43" s="114">
        <f t="shared" si="150"/>
        <v>44742</v>
      </c>
      <c r="AG43" s="114">
        <f t="shared" si="150"/>
        <v>44834</v>
      </c>
      <c r="AH43" s="114">
        <f t="shared" si="150"/>
        <v>44926</v>
      </c>
      <c r="AI43" s="114">
        <f t="shared" si="150"/>
        <v>45016</v>
      </c>
      <c r="AJ43" s="114">
        <f t="shared" si="150"/>
        <v>45107</v>
      </c>
      <c r="AK43" s="114">
        <f t="shared" si="150"/>
        <v>45199</v>
      </c>
      <c r="AL43" s="114">
        <f t="shared" si="150"/>
        <v>45291</v>
      </c>
      <c r="AM43" s="114">
        <f t="shared" si="150"/>
        <v>45382</v>
      </c>
      <c r="AN43" s="114">
        <f t="shared" si="150"/>
        <v>45473</v>
      </c>
      <c r="AO43" s="114">
        <f t="shared" si="150"/>
        <v>45565</v>
      </c>
      <c r="AP43" s="114">
        <f t="shared" si="150"/>
        <v>45657</v>
      </c>
      <c r="AQ43" s="114">
        <f t="shared" si="150"/>
        <v>45747</v>
      </c>
      <c r="AR43" s="114">
        <f t="shared" si="150"/>
        <v>45838</v>
      </c>
      <c r="AS43" s="114">
        <f t="shared" si="150"/>
        <v>45930</v>
      </c>
      <c r="AT43" s="110"/>
      <c r="AU43" s="162"/>
    </row>
    <row r="44" spans="1:47" ht="5.0999999999999996" customHeight="1">
      <c r="B44" s="48"/>
      <c r="C44" s="49"/>
      <c r="D44" s="49"/>
      <c r="E44" s="49"/>
      <c r="F44" s="49"/>
      <c r="G44" s="49"/>
      <c r="H44" s="49"/>
      <c r="I44" s="49"/>
    </row>
    <row r="45" spans="1:47">
      <c r="B45" s="81" t="s">
        <v>98</v>
      </c>
      <c r="C45" s="49"/>
      <c r="D45" s="49"/>
      <c r="E45" s="49"/>
      <c r="F45" s="49"/>
      <c r="G45" s="49"/>
      <c r="H45" s="49"/>
      <c r="I45" s="49"/>
    </row>
    <row r="46" spans="1:47" s="124" customFormat="1" ht="12.75" customHeight="1">
      <c r="B46" s="116" t="s">
        <v>129</v>
      </c>
      <c r="C46" s="85">
        <v>3794.4830000000002</v>
      </c>
      <c r="D46" s="85">
        <v>5018.4369999999999</v>
      </c>
      <c r="E46" s="85">
        <v>8205.5499999999993</v>
      </c>
      <c r="F46" s="85">
        <v>6027.8040000000001</v>
      </c>
      <c r="G46" s="85">
        <v>5147.1760000000004</v>
      </c>
      <c r="H46" s="85">
        <v>7116.9129999999996</v>
      </c>
      <c r="I46" s="85">
        <v>7804.7330000000002</v>
      </c>
      <c r="K46" s="85">
        <v>8403.7049999999999</v>
      </c>
      <c r="L46" s="85">
        <v>7777.53</v>
      </c>
      <c r="M46" s="85">
        <v>7526.6809999999996</v>
      </c>
      <c r="N46" s="32">
        <f t="shared" ref="N46:N48" si="151">F46</f>
        <v>6027.8040000000001</v>
      </c>
      <c r="O46" s="85">
        <v>6008.9459999999999</v>
      </c>
      <c r="P46" s="85">
        <v>5819.4489999999996</v>
      </c>
      <c r="Q46" s="85">
        <v>6113.7330000000002</v>
      </c>
      <c r="R46" s="99">
        <f t="shared" ref="R46:R48" si="152">G46</f>
        <v>5147.1760000000004</v>
      </c>
      <c r="S46" s="85">
        <v>6714.5940000000001</v>
      </c>
      <c r="T46" s="85">
        <v>7662.7879999999996</v>
      </c>
      <c r="U46" s="85">
        <v>7353.2449999999999</v>
      </c>
      <c r="V46" s="32">
        <f t="shared" ref="V46:V48" si="153">H46</f>
        <v>7116.9129999999996</v>
      </c>
      <c r="W46" s="85">
        <v>7024.7659999999996</v>
      </c>
      <c r="X46" s="85">
        <v>6624.9390000000003</v>
      </c>
      <c r="Y46" s="85">
        <v>7457.0249999999996</v>
      </c>
      <c r="Z46" s="32">
        <f t="shared" ref="Z46:Z48" si="154">I46</f>
        <v>7804.7330000000002</v>
      </c>
      <c r="AA46" s="85">
        <v>7199.848</v>
      </c>
      <c r="AB46" s="85">
        <v>8177.4049999999997</v>
      </c>
      <c r="AC46" s="85">
        <v>9287.2870000000003</v>
      </c>
      <c r="AE46" s="98">
        <f t="shared" ref="AE46:AS48" si="155">O46</f>
        <v>6008.9459999999999</v>
      </c>
      <c r="AF46" s="98">
        <f t="shared" si="155"/>
        <v>5819.4489999999996</v>
      </c>
      <c r="AG46" s="98">
        <f t="shared" si="155"/>
        <v>6113.7330000000002</v>
      </c>
      <c r="AH46" s="98">
        <f t="shared" si="155"/>
        <v>5147.1760000000004</v>
      </c>
      <c r="AI46" s="98">
        <f t="shared" si="155"/>
        <v>6714.5940000000001</v>
      </c>
      <c r="AJ46" s="98">
        <f t="shared" si="155"/>
        <v>7662.7879999999996</v>
      </c>
      <c r="AK46" s="98">
        <f t="shared" si="155"/>
        <v>7353.2449999999999</v>
      </c>
      <c r="AL46" s="98">
        <f t="shared" si="155"/>
        <v>7116.9129999999996</v>
      </c>
      <c r="AM46" s="98">
        <f t="shared" si="155"/>
        <v>7024.7659999999996</v>
      </c>
      <c r="AN46" s="98">
        <f t="shared" si="155"/>
        <v>6624.9390000000003</v>
      </c>
      <c r="AO46" s="98">
        <f t="shared" si="155"/>
        <v>7457.0249999999996</v>
      </c>
      <c r="AP46" s="98">
        <f t="shared" si="155"/>
        <v>7804.7330000000002</v>
      </c>
      <c r="AQ46" s="98">
        <f t="shared" si="155"/>
        <v>7199.848</v>
      </c>
      <c r="AR46" s="98">
        <f t="shared" si="155"/>
        <v>8177.4049999999997</v>
      </c>
      <c r="AS46" s="98">
        <f t="shared" si="155"/>
        <v>9287.2870000000003</v>
      </c>
      <c r="AT46" s="125"/>
      <c r="AU46" s="78">
        <f>SUM(AS46/AO46)-1</f>
        <v>0.24544131205138786</v>
      </c>
    </row>
    <row r="47" spans="1:47" s="124" customFormat="1" ht="12.75" customHeight="1">
      <c r="B47" s="116" t="s">
        <v>16</v>
      </c>
      <c r="C47" s="85">
        <v>748.46600000000001</v>
      </c>
      <c r="D47" s="85">
        <v>1160.067</v>
      </c>
      <c r="E47" s="85">
        <v>1556.03</v>
      </c>
      <c r="F47" s="85">
        <v>2042.021</v>
      </c>
      <c r="G47" s="85">
        <v>3208.0210000000002</v>
      </c>
      <c r="H47" s="85">
        <v>2780.2469999999998</v>
      </c>
      <c r="I47" s="85">
        <v>3516.64</v>
      </c>
      <c r="K47" s="85">
        <v>1703.8030000000001</v>
      </c>
      <c r="L47" s="85">
        <v>1826.7460000000001</v>
      </c>
      <c r="M47" s="85">
        <v>1889.106</v>
      </c>
      <c r="N47" s="32">
        <f t="shared" si="151"/>
        <v>2042.021</v>
      </c>
      <c r="O47" s="85">
        <v>2089.069</v>
      </c>
      <c r="P47" s="85">
        <v>2021.329</v>
      </c>
      <c r="Q47" s="85">
        <v>2703.17</v>
      </c>
      <c r="R47" s="99">
        <f t="shared" si="152"/>
        <v>3208.0210000000002</v>
      </c>
      <c r="S47" s="85">
        <v>2655.1190000000001</v>
      </c>
      <c r="T47" s="85">
        <v>2929.3470000000002</v>
      </c>
      <c r="U47" s="85">
        <v>2912.0279999999998</v>
      </c>
      <c r="V47" s="32">
        <f t="shared" si="153"/>
        <v>2780.2469999999998</v>
      </c>
      <c r="W47" s="85">
        <v>2875.5740000000001</v>
      </c>
      <c r="X47" s="85">
        <v>2959.6410000000001</v>
      </c>
      <c r="Y47" s="85">
        <v>2905.172</v>
      </c>
      <c r="Z47" s="32">
        <f t="shared" si="154"/>
        <v>3516.64</v>
      </c>
      <c r="AA47" s="85">
        <v>3326.6419999999998</v>
      </c>
      <c r="AB47" s="85">
        <v>3602.5859999999998</v>
      </c>
      <c r="AC47" s="85">
        <v>3638.5430000000001</v>
      </c>
      <c r="AE47" s="98">
        <f t="shared" si="155"/>
        <v>2089.069</v>
      </c>
      <c r="AF47" s="98">
        <f t="shared" si="155"/>
        <v>2021.329</v>
      </c>
      <c r="AG47" s="98">
        <f t="shared" si="155"/>
        <v>2703.17</v>
      </c>
      <c r="AH47" s="98">
        <f t="shared" si="155"/>
        <v>3208.0210000000002</v>
      </c>
      <c r="AI47" s="98">
        <f t="shared" si="155"/>
        <v>2655.1190000000001</v>
      </c>
      <c r="AJ47" s="98">
        <f t="shared" si="155"/>
        <v>2929.3470000000002</v>
      </c>
      <c r="AK47" s="98">
        <f t="shared" si="155"/>
        <v>2912.0279999999998</v>
      </c>
      <c r="AL47" s="98">
        <f t="shared" si="155"/>
        <v>2780.2469999999998</v>
      </c>
      <c r="AM47" s="98">
        <f t="shared" si="155"/>
        <v>2875.5740000000001</v>
      </c>
      <c r="AN47" s="98">
        <f t="shared" si="155"/>
        <v>2959.6410000000001</v>
      </c>
      <c r="AO47" s="98">
        <f t="shared" si="155"/>
        <v>2905.172</v>
      </c>
      <c r="AP47" s="98">
        <f t="shared" si="155"/>
        <v>3516.64</v>
      </c>
      <c r="AQ47" s="98">
        <f t="shared" si="155"/>
        <v>3326.6419999999998</v>
      </c>
      <c r="AR47" s="98">
        <f t="shared" si="155"/>
        <v>3602.5859999999998</v>
      </c>
      <c r="AS47" s="98">
        <f t="shared" si="155"/>
        <v>3638.5430000000001</v>
      </c>
      <c r="AT47" s="125"/>
      <c r="AU47" s="78">
        <f>SUM(AS47/AO47)-1</f>
        <v>0.25243634456066633</v>
      </c>
    </row>
    <row r="48" spans="1:47" s="124" customFormat="1" ht="12.75" customHeight="1">
      <c r="B48" s="116" t="s">
        <v>130</v>
      </c>
      <c r="C48" s="85">
        <v>0</v>
      </c>
      <c r="D48" s="85">
        <v>0</v>
      </c>
      <c r="E48" s="85">
        <v>0</v>
      </c>
      <c r="F48" s="85">
        <v>0</v>
      </c>
      <c r="G48" s="85">
        <v>911.27599999999995</v>
      </c>
      <c r="H48" s="85">
        <v>20.972999999999999</v>
      </c>
      <c r="I48" s="85">
        <v>1779.0060000000001</v>
      </c>
      <c r="K48" s="85">
        <v>0</v>
      </c>
      <c r="L48" s="85">
        <v>0</v>
      </c>
      <c r="M48" s="85">
        <v>0</v>
      </c>
      <c r="N48" s="32">
        <f t="shared" si="151"/>
        <v>0</v>
      </c>
      <c r="O48" s="85">
        <v>0</v>
      </c>
      <c r="P48" s="85">
        <v>0</v>
      </c>
      <c r="Q48" s="85">
        <v>0</v>
      </c>
      <c r="R48" s="99">
        <f t="shared" si="152"/>
        <v>911.27599999999995</v>
      </c>
      <c r="S48" s="85">
        <v>1112.9100000000001</v>
      </c>
      <c r="T48" s="85">
        <v>914.20100000000002</v>
      </c>
      <c r="U48" s="85">
        <v>514.20100000000002</v>
      </c>
      <c r="V48" s="32">
        <f t="shared" si="153"/>
        <v>20.972999999999999</v>
      </c>
      <c r="W48" s="85">
        <v>20.972999999999999</v>
      </c>
      <c r="X48" s="85">
        <v>30.972999999999999</v>
      </c>
      <c r="Y48" s="85">
        <v>1766.902</v>
      </c>
      <c r="Z48" s="32">
        <f t="shared" si="154"/>
        <v>1779.0060000000001</v>
      </c>
      <c r="AA48" s="85">
        <v>1171.1420000000001</v>
      </c>
      <c r="AB48" s="85">
        <v>213.11500000000001</v>
      </c>
      <c r="AC48" s="85">
        <v>37.104999999999997</v>
      </c>
      <c r="AE48" s="98">
        <f t="shared" si="155"/>
        <v>0</v>
      </c>
      <c r="AF48" s="98">
        <f t="shared" si="155"/>
        <v>0</v>
      </c>
      <c r="AG48" s="98">
        <f t="shared" si="155"/>
        <v>0</v>
      </c>
      <c r="AH48" s="98">
        <f t="shared" si="155"/>
        <v>911.27599999999995</v>
      </c>
      <c r="AI48" s="98">
        <f t="shared" si="155"/>
        <v>1112.9100000000001</v>
      </c>
      <c r="AJ48" s="98">
        <f t="shared" si="155"/>
        <v>914.20100000000002</v>
      </c>
      <c r="AK48" s="98">
        <f t="shared" si="155"/>
        <v>514.20100000000002</v>
      </c>
      <c r="AL48" s="98">
        <f t="shared" si="155"/>
        <v>20.972999999999999</v>
      </c>
      <c r="AM48" s="98">
        <f t="shared" si="155"/>
        <v>20.972999999999999</v>
      </c>
      <c r="AN48" s="98">
        <f t="shared" si="155"/>
        <v>30.972999999999999</v>
      </c>
      <c r="AO48" s="98">
        <f t="shared" si="155"/>
        <v>1766.902</v>
      </c>
      <c r="AP48" s="98">
        <f t="shared" si="155"/>
        <v>1779.0060000000001</v>
      </c>
      <c r="AQ48" s="98">
        <f t="shared" si="155"/>
        <v>1171.1420000000001</v>
      </c>
      <c r="AR48" s="98">
        <f t="shared" si="155"/>
        <v>213.11500000000001</v>
      </c>
      <c r="AS48" s="98">
        <f t="shared" si="155"/>
        <v>37.104999999999997</v>
      </c>
      <c r="AT48" s="125"/>
      <c r="AU48" s="78">
        <f>SUM(AS48/AO48)-1</f>
        <v>-0.97899996717418392</v>
      </c>
    </row>
    <row r="49" spans="2:47" ht="12.75" customHeight="1">
      <c r="B49" s="25" t="s">
        <v>22</v>
      </c>
      <c r="C49" s="26">
        <f t="shared" ref="C49:I49" si="156">SUM(C46:C48)</f>
        <v>4542.9490000000005</v>
      </c>
      <c r="D49" s="26">
        <f t="shared" si="156"/>
        <v>6178.5039999999999</v>
      </c>
      <c r="E49" s="26">
        <f t="shared" si="156"/>
        <v>9761.58</v>
      </c>
      <c r="F49" s="26">
        <f t="shared" si="156"/>
        <v>8069.8249999999998</v>
      </c>
      <c r="G49" s="26">
        <f t="shared" si="156"/>
        <v>9266.473</v>
      </c>
      <c r="H49" s="26">
        <f t="shared" si="156"/>
        <v>9918.1329999999998</v>
      </c>
      <c r="I49" s="26">
        <f t="shared" si="156"/>
        <v>13100.378999999999</v>
      </c>
      <c r="J49" s="50"/>
      <c r="K49" s="26">
        <f t="shared" ref="K49:AC49" si="157">SUM(K46:K48)</f>
        <v>10107.508</v>
      </c>
      <c r="L49" s="26">
        <f t="shared" si="157"/>
        <v>9604.2759999999998</v>
      </c>
      <c r="M49" s="26">
        <f t="shared" si="157"/>
        <v>9415.7870000000003</v>
      </c>
      <c r="N49" s="26">
        <f t="shared" si="157"/>
        <v>8069.8249999999998</v>
      </c>
      <c r="O49" s="26">
        <f t="shared" si="157"/>
        <v>8098.0149999999994</v>
      </c>
      <c r="P49" s="26">
        <f t="shared" si="157"/>
        <v>7840.7779999999993</v>
      </c>
      <c r="Q49" s="26">
        <f t="shared" si="157"/>
        <v>8816.9030000000002</v>
      </c>
      <c r="R49" s="26">
        <f t="shared" si="157"/>
        <v>9266.473</v>
      </c>
      <c r="S49" s="26">
        <f t="shared" si="157"/>
        <v>10482.623</v>
      </c>
      <c r="T49" s="26">
        <f t="shared" si="157"/>
        <v>11506.335999999999</v>
      </c>
      <c r="U49" s="26">
        <f t="shared" si="157"/>
        <v>10779.473999999998</v>
      </c>
      <c r="V49" s="26">
        <f t="shared" si="157"/>
        <v>9918.1329999999998</v>
      </c>
      <c r="W49" s="26">
        <f t="shared" si="157"/>
        <v>9921.3130000000001</v>
      </c>
      <c r="X49" s="26">
        <f t="shared" si="157"/>
        <v>9615.5529999999999</v>
      </c>
      <c r="Y49" s="26">
        <f t="shared" si="157"/>
        <v>12129.099</v>
      </c>
      <c r="Z49" s="26">
        <f t="shared" si="157"/>
        <v>13100.378999999999</v>
      </c>
      <c r="AA49" s="26">
        <f t="shared" si="157"/>
        <v>11697.632</v>
      </c>
      <c r="AB49" s="26">
        <f t="shared" si="157"/>
        <v>11993.106</v>
      </c>
      <c r="AC49" s="26">
        <f t="shared" si="157"/>
        <v>12962.934999999999</v>
      </c>
      <c r="AD49" s="50"/>
      <c r="AE49" s="26">
        <f t="shared" ref="AE49:AS49" si="158">SUM(AE46:AE48)</f>
        <v>8098.0149999999994</v>
      </c>
      <c r="AF49" s="26">
        <f t="shared" si="158"/>
        <v>7840.7779999999993</v>
      </c>
      <c r="AG49" s="26">
        <f t="shared" si="158"/>
        <v>8816.9030000000002</v>
      </c>
      <c r="AH49" s="26">
        <f t="shared" si="158"/>
        <v>9266.473</v>
      </c>
      <c r="AI49" s="26">
        <f t="shared" si="158"/>
        <v>10482.623</v>
      </c>
      <c r="AJ49" s="26">
        <f t="shared" si="158"/>
        <v>11506.335999999999</v>
      </c>
      <c r="AK49" s="26">
        <f t="shared" si="158"/>
        <v>10779.473999999998</v>
      </c>
      <c r="AL49" s="26">
        <f t="shared" si="158"/>
        <v>9918.1329999999998</v>
      </c>
      <c r="AM49" s="26">
        <f t="shared" si="158"/>
        <v>9921.3130000000001</v>
      </c>
      <c r="AN49" s="26">
        <f t="shared" si="158"/>
        <v>9615.5529999999999</v>
      </c>
      <c r="AO49" s="26">
        <f t="shared" si="158"/>
        <v>12129.099</v>
      </c>
      <c r="AP49" s="26">
        <f t="shared" si="158"/>
        <v>13100.378999999999</v>
      </c>
      <c r="AQ49" s="26">
        <f t="shared" si="158"/>
        <v>11697.632</v>
      </c>
      <c r="AR49" s="26">
        <f t="shared" si="158"/>
        <v>11993.106</v>
      </c>
      <c r="AS49" s="26">
        <f t="shared" si="158"/>
        <v>12962.934999999999</v>
      </c>
      <c r="AT49" s="43"/>
      <c r="AU49" s="79">
        <f>SUM(AS49/AO49)-1</f>
        <v>6.8746738731376489E-2</v>
      </c>
    </row>
    <row r="50" spans="2:47" ht="5.0999999999999996" customHeight="1">
      <c r="B50" s="25"/>
      <c r="C50" s="51"/>
      <c r="D50" s="51"/>
      <c r="E50" s="51"/>
      <c r="F50" s="51"/>
      <c r="G50" s="51"/>
      <c r="H50" s="42"/>
      <c r="I50" s="42"/>
      <c r="K50" s="42"/>
      <c r="L50" s="42"/>
      <c r="M50" s="42"/>
      <c r="N50" s="42"/>
      <c r="O50" s="42"/>
      <c r="P50" s="42"/>
      <c r="Q50" s="42"/>
      <c r="R50" s="42"/>
      <c r="S50" s="42"/>
      <c r="T50" s="42"/>
      <c r="U50" s="42"/>
      <c r="V50" s="42"/>
      <c r="W50" s="42"/>
      <c r="X50" s="42"/>
      <c r="Y50" s="42"/>
      <c r="Z50" s="42"/>
      <c r="AA50" s="42"/>
      <c r="AB50" s="42"/>
      <c r="AC50" s="42"/>
      <c r="AE50" s="43"/>
      <c r="AF50" s="43"/>
      <c r="AG50" s="43"/>
      <c r="AH50" s="43"/>
      <c r="AI50" s="43"/>
      <c r="AJ50" s="43"/>
      <c r="AK50" s="43"/>
      <c r="AL50" s="43"/>
      <c r="AM50" s="43"/>
      <c r="AN50" s="43"/>
      <c r="AO50" s="43"/>
      <c r="AP50" s="43"/>
      <c r="AQ50" s="43"/>
      <c r="AR50" s="43"/>
      <c r="AS50" s="43"/>
      <c r="AT50" s="43"/>
      <c r="AU50" s="40"/>
    </row>
    <row r="51" spans="2:47" ht="12.75" customHeight="1">
      <c r="B51" s="81" t="s">
        <v>99</v>
      </c>
      <c r="C51" s="85"/>
      <c r="D51" s="85"/>
      <c r="E51" s="85"/>
      <c r="F51" s="85"/>
      <c r="G51" s="85"/>
      <c r="H51" s="85"/>
      <c r="I51" s="85"/>
      <c r="K51" s="85"/>
      <c r="L51" s="85"/>
      <c r="M51" s="85"/>
      <c r="N51" s="85"/>
      <c r="O51" s="85"/>
      <c r="P51" s="85"/>
      <c r="Q51" s="85"/>
      <c r="R51" s="85"/>
      <c r="S51" s="85"/>
      <c r="T51" s="85"/>
      <c r="U51" s="85"/>
      <c r="V51" s="85"/>
      <c r="W51" s="85"/>
      <c r="X51" s="85"/>
      <c r="Y51" s="85"/>
      <c r="Z51" s="85"/>
      <c r="AA51" s="32"/>
      <c r="AB51" s="85"/>
      <c r="AC51" s="85"/>
      <c r="AE51" s="32"/>
      <c r="AF51" s="32"/>
      <c r="AG51" s="32"/>
      <c r="AH51" s="32"/>
      <c r="AI51" s="32"/>
      <c r="AJ51" s="32"/>
      <c r="AK51" s="32"/>
      <c r="AL51" s="32"/>
      <c r="AM51" s="32"/>
      <c r="AN51" s="32"/>
      <c r="AO51" s="32"/>
      <c r="AP51" s="32"/>
      <c r="AQ51" s="32"/>
      <c r="AR51" s="32"/>
      <c r="AS51" s="32"/>
      <c r="AT51" s="11"/>
      <c r="AU51" s="78"/>
    </row>
    <row r="52" spans="2:47" ht="12.75" customHeight="1">
      <c r="B52" s="9" t="s">
        <v>131</v>
      </c>
      <c r="C52" s="85">
        <v>20102.327000000001</v>
      </c>
      <c r="D52" s="85">
        <v>24504.566999999999</v>
      </c>
      <c r="E52" s="85">
        <v>25383.95</v>
      </c>
      <c r="F52" s="85">
        <v>30919.539000000001</v>
      </c>
      <c r="G52" s="85">
        <v>32736.713</v>
      </c>
      <c r="H52" s="85">
        <v>31658.056</v>
      </c>
      <c r="I52" s="85">
        <v>32452.462</v>
      </c>
      <c r="K52" s="85">
        <v>26043.991000000002</v>
      </c>
      <c r="L52" s="85">
        <v>27291.64</v>
      </c>
      <c r="M52" s="85">
        <v>28974.044999999998</v>
      </c>
      <c r="N52" s="32">
        <f t="shared" ref="N52:N54" si="159">F52</f>
        <v>30919.539000000001</v>
      </c>
      <c r="O52" s="85">
        <v>31191.919999999998</v>
      </c>
      <c r="P52" s="85">
        <v>32533.199000000001</v>
      </c>
      <c r="Q52" s="85">
        <v>32777.339999999997</v>
      </c>
      <c r="R52" s="99">
        <f t="shared" ref="R52:R54" si="160">G52</f>
        <v>32736.713</v>
      </c>
      <c r="S52" s="85">
        <v>32349.184000000001</v>
      </c>
      <c r="T52" s="85">
        <v>32520.774000000001</v>
      </c>
      <c r="U52" s="85">
        <v>31749.861000000001</v>
      </c>
      <c r="V52" s="32">
        <f t="shared" ref="V52:V54" si="161">H52</f>
        <v>31658.056</v>
      </c>
      <c r="W52" s="85">
        <v>31662.1</v>
      </c>
      <c r="X52" s="85">
        <v>31927.355</v>
      </c>
      <c r="Y52" s="85">
        <v>32175.382000000001</v>
      </c>
      <c r="Z52" s="32">
        <f t="shared" ref="Z52:Z54" si="162">I52</f>
        <v>32452.462</v>
      </c>
      <c r="AA52" s="85">
        <v>32040.839</v>
      </c>
      <c r="AB52" s="85">
        <v>32089.394</v>
      </c>
      <c r="AC52" s="85">
        <v>32639.879000000001</v>
      </c>
      <c r="AE52" s="32">
        <f t="shared" ref="AE52:AS54" si="163">O52</f>
        <v>31191.919999999998</v>
      </c>
      <c r="AF52" s="32">
        <f t="shared" si="163"/>
        <v>32533.199000000001</v>
      </c>
      <c r="AG52" s="32">
        <f t="shared" si="163"/>
        <v>32777.339999999997</v>
      </c>
      <c r="AH52" s="32">
        <f t="shared" si="163"/>
        <v>32736.713</v>
      </c>
      <c r="AI52" s="32">
        <f t="shared" si="163"/>
        <v>32349.184000000001</v>
      </c>
      <c r="AJ52" s="32">
        <f t="shared" si="163"/>
        <v>32520.774000000001</v>
      </c>
      <c r="AK52" s="32">
        <f t="shared" si="163"/>
        <v>31749.861000000001</v>
      </c>
      <c r="AL52" s="32">
        <f t="shared" si="163"/>
        <v>31658.056</v>
      </c>
      <c r="AM52" s="32">
        <f t="shared" si="163"/>
        <v>31662.1</v>
      </c>
      <c r="AN52" s="32">
        <f t="shared" si="163"/>
        <v>31927.355</v>
      </c>
      <c r="AO52" s="32">
        <f t="shared" si="163"/>
        <v>32175.382000000001</v>
      </c>
      <c r="AP52" s="32">
        <f t="shared" si="163"/>
        <v>32452.462</v>
      </c>
      <c r="AQ52" s="32">
        <f t="shared" si="163"/>
        <v>32040.839</v>
      </c>
      <c r="AR52" s="32">
        <f t="shared" si="163"/>
        <v>32089.394</v>
      </c>
      <c r="AS52" s="32">
        <f t="shared" si="163"/>
        <v>32639.879000000001</v>
      </c>
      <c r="AT52" s="11"/>
      <c r="AU52" s="78">
        <f t="shared" ref="AU52:AU55" si="164">SUM(AS52/AO52)-1</f>
        <v>1.4436409799268191E-2</v>
      </c>
    </row>
    <row r="53" spans="2:47" ht="12.75" customHeight="1">
      <c r="B53" s="9" t="s">
        <v>106</v>
      </c>
      <c r="C53" s="85">
        <v>418.28100000000001</v>
      </c>
      <c r="D53" s="85">
        <v>565.221</v>
      </c>
      <c r="E53" s="85">
        <v>960.18299999999999</v>
      </c>
      <c r="F53" s="85">
        <v>1323.453</v>
      </c>
      <c r="G53" s="85">
        <v>1398.2570000000001</v>
      </c>
      <c r="H53" s="85">
        <v>1491.444</v>
      </c>
      <c r="I53" s="85">
        <v>1593.7560000000001</v>
      </c>
      <c r="K53" s="85">
        <v>1015.419</v>
      </c>
      <c r="L53" s="85">
        <v>1107.4369999999999</v>
      </c>
      <c r="M53" s="85">
        <v>1220.114</v>
      </c>
      <c r="N53" s="32">
        <f t="shared" si="159"/>
        <v>1323.453</v>
      </c>
      <c r="O53" s="85">
        <v>1383.7629999999999</v>
      </c>
      <c r="P53" s="85">
        <v>1361.92</v>
      </c>
      <c r="Q53" s="85">
        <v>1372.7539999999999</v>
      </c>
      <c r="R53" s="99">
        <f t="shared" si="160"/>
        <v>1398.2570000000001</v>
      </c>
      <c r="S53" s="85">
        <v>1413.0940000000001</v>
      </c>
      <c r="T53" s="85">
        <v>1471.9680000000001</v>
      </c>
      <c r="U53" s="85">
        <v>1498.3910000000001</v>
      </c>
      <c r="V53" s="32">
        <f t="shared" si="161"/>
        <v>1491.444</v>
      </c>
      <c r="W53" s="85">
        <v>1501.1679999999999</v>
      </c>
      <c r="X53" s="85">
        <v>1510.9580000000001</v>
      </c>
      <c r="Y53" s="85">
        <v>1568.212</v>
      </c>
      <c r="Z53" s="32">
        <f t="shared" si="162"/>
        <v>1593.7560000000001</v>
      </c>
      <c r="AA53" s="85">
        <v>1644.346</v>
      </c>
      <c r="AB53" s="85">
        <v>1743.566</v>
      </c>
      <c r="AC53" s="85">
        <v>1837.8889999999999</v>
      </c>
      <c r="AE53" s="32">
        <f t="shared" si="163"/>
        <v>1383.7629999999999</v>
      </c>
      <c r="AF53" s="32">
        <f t="shared" si="163"/>
        <v>1361.92</v>
      </c>
      <c r="AG53" s="32">
        <f t="shared" si="163"/>
        <v>1372.7539999999999</v>
      </c>
      <c r="AH53" s="32">
        <f t="shared" si="163"/>
        <v>1398.2570000000001</v>
      </c>
      <c r="AI53" s="32">
        <f t="shared" si="163"/>
        <v>1413.0940000000001</v>
      </c>
      <c r="AJ53" s="32">
        <f t="shared" si="163"/>
        <v>1471.9680000000001</v>
      </c>
      <c r="AK53" s="32">
        <f t="shared" si="163"/>
        <v>1498.3910000000001</v>
      </c>
      <c r="AL53" s="32">
        <f t="shared" si="163"/>
        <v>1491.444</v>
      </c>
      <c r="AM53" s="32">
        <f t="shared" si="163"/>
        <v>1501.1679999999999</v>
      </c>
      <c r="AN53" s="32">
        <f t="shared" si="163"/>
        <v>1510.9580000000001</v>
      </c>
      <c r="AO53" s="32">
        <f t="shared" si="163"/>
        <v>1568.212</v>
      </c>
      <c r="AP53" s="32">
        <f t="shared" si="163"/>
        <v>1593.7560000000001</v>
      </c>
      <c r="AQ53" s="32">
        <f t="shared" si="163"/>
        <v>1644.346</v>
      </c>
      <c r="AR53" s="32">
        <f t="shared" si="163"/>
        <v>1743.566</v>
      </c>
      <c r="AS53" s="32">
        <f t="shared" si="163"/>
        <v>1837.8889999999999</v>
      </c>
      <c r="AT53" s="11"/>
      <c r="AU53" s="78">
        <f t="shared" si="164"/>
        <v>0.1719646323328734</v>
      </c>
    </row>
    <row r="54" spans="2:47" ht="12.75" customHeight="1">
      <c r="B54" s="9" t="s">
        <v>105</v>
      </c>
      <c r="C54" s="85">
        <v>910.84299999999996</v>
      </c>
      <c r="D54" s="85">
        <v>2727.42</v>
      </c>
      <c r="E54" s="85">
        <v>3174.6460000000002</v>
      </c>
      <c r="F54" s="85">
        <v>4271.8459999999995</v>
      </c>
      <c r="G54" s="85">
        <v>5193.3249999999998</v>
      </c>
      <c r="H54" s="85">
        <v>5664.3590000000004</v>
      </c>
      <c r="I54" s="85">
        <v>6483.777</v>
      </c>
      <c r="K54" s="85">
        <v>2956.096</v>
      </c>
      <c r="L54" s="85">
        <v>2967.616</v>
      </c>
      <c r="M54" s="85">
        <v>3129.9110000000001</v>
      </c>
      <c r="N54" s="32">
        <f t="shared" si="159"/>
        <v>4271.8459999999995</v>
      </c>
      <c r="O54" s="85">
        <v>4657.2060000000001</v>
      </c>
      <c r="P54" s="85">
        <v>4615.0379999999996</v>
      </c>
      <c r="Q54" s="85">
        <v>4595.1899999999996</v>
      </c>
      <c r="R54" s="99">
        <f t="shared" si="160"/>
        <v>5193.3249999999998</v>
      </c>
      <c r="S54" s="85">
        <v>5245.4440000000004</v>
      </c>
      <c r="T54" s="85">
        <v>5318.3950000000004</v>
      </c>
      <c r="U54" s="85">
        <v>5474.06</v>
      </c>
      <c r="V54" s="32">
        <f t="shared" si="161"/>
        <v>5664.3590000000004</v>
      </c>
      <c r="W54" s="85">
        <v>5743.14</v>
      </c>
      <c r="X54" s="85">
        <v>6045.0290000000005</v>
      </c>
      <c r="Y54" s="85">
        <v>6409.1509999999998</v>
      </c>
      <c r="Z54" s="32">
        <f t="shared" si="162"/>
        <v>6483.777</v>
      </c>
      <c r="AA54" s="85">
        <v>6704.8270000000002</v>
      </c>
      <c r="AB54" s="85">
        <v>7273.598</v>
      </c>
      <c r="AC54" s="85">
        <v>7494.1319999999996</v>
      </c>
      <c r="AE54" s="32">
        <f t="shared" si="163"/>
        <v>4657.2060000000001</v>
      </c>
      <c r="AF54" s="32">
        <f t="shared" si="163"/>
        <v>4615.0379999999996</v>
      </c>
      <c r="AG54" s="32">
        <f t="shared" si="163"/>
        <v>4595.1899999999996</v>
      </c>
      <c r="AH54" s="32">
        <f t="shared" si="163"/>
        <v>5193.3249999999998</v>
      </c>
      <c r="AI54" s="32">
        <f t="shared" si="163"/>
        <v>5245.4440000000004</v>
      </c>
      <c r="AJ54" s="32">
        <f t="shared" si="163"/>
        <v>5318.3950000000004</v>
      </c>
      <c r="AK54" s="32">
        <f t="shared" si="163"/>
        <v>5474.06</v>
      </c>
      <c r="AL54" s="32">
        <f t="shared" si="163"/>
        <v>5664.3590000000004</v>
      </c>
      <c r="AM54" s="32">
        <f t="shared" si="163"/>
        <v>5743.14</v>
      </c>
      <c r="AN54" s="32">
        <f t="shared" si="163"/>
        <v>6045.0290000000005</v>
      </c>
      <c r="AO54" s="32">
        <f t="shared" si="163"/>
        <v>6409.1509999999998</v>
      </c>
      <c r="AP54" s="32">
        <f t="shared" si="163"/>
        <v>6483.777</v>
      </c>
      <c r="AQ54" s="32">
        <f t="shared" si="163"/>
        <v>6704.8270000000002</v>
      </c>
      <c r="AR54" s="32">
        <f t="shared" si="163"/>
        <v>7273.598</v>
      </c>
      <c r="AS54" s="32">
        <f t="shared" si="163"/>
        <v>7494.1319999999996</v>
      </c>
      <c r="AT54" s="11"/>
      <c r="AU54" s="78">
        <f t="shared" si="164"/>
        <v>0.16928622839436924</v>
      </c>
    </row>
    <row r="55" spans="2:47" ht="12.75" customHeight="1">
      <c r="B55" s="13" t="s">
        <v>23</v>
      </c>
      <c r="C55" s="14">
        <f t="shared" ref="C55:I55" si="165">SUM(C52:C54)+C49</f>
        <v>25974.400000000001</v>
      </c>
      <c r="D55" s="14">
        <f t="shared" si="165"/>
        <v>33975.712</v>
      </c>
      <c r="E55" s="14">
        <f t="shared" si="165"/>
        <v>39280.359000000004</v>
      </c>
      <c r="F55" s="14">
        <f t="shared" si="165"/>
        <v>44584.663</v>
      </c>
      <c r="G55" s="14">
        <f t="shared" si="165"/>
        <v>48594.767999999996</v>
      </c>
      <c r="H55" s="14">
        <f t="shared" si="165"/>
        <v>48731.991999999998</v>
      </c>
      <c r="I55" s="14">
        <f t="shared" si="165"/>
        <v>53630.374000000003</v>
      </c>
      <c r="K55" s="14">
        <f t="shared" ref="K55:AC55" si="166">SUM(K52:K54)+K49</f>
        <v>40123.014000000003</v>
      </c>
      <c r="L55" s="14">
        <f t="shared" si="166"/>
        <v>40970.968999999997</v>
      </c>
      <c r="M55" s="14">
        <f t="shared" si="166"/>
        <v>42739.857000000004</v>
      </c>
      <c r="N55" s="14">
        <f t="shared" si="166"/>
        <v>44584.663</v>
      </c>
      <c r="O55" s="14">
        <f t="shared" si="166"/>
        <v>45330.903999999995</v>
      </c>
      <c r="P55" s="14">
        <f t="shared" si="166"/>
        <v>46350.934999999998</v>
      </c>
      <c r="Q55" s="14">
        <f t="shared" si="166"/>
        <v>47562.186999999998</v>
      </c>
      <c r="R55" s="14">
        <f t="shared" si="166"/>
        <v>48594.767999999996</v>
      </c>
      <c r="S55" s="14">
        <f t="shared" si="166"/>
        <v>49490.345000000001</v>
      </c>
      <c r="T55" s="14">
        <f t="shared" si="166"/>
        <v>50817.472999999998</v>
      </c>
      <c r="U55" s="14">
        <f t="shared" si="166"/>
        <v>49501.785999999993</v>
      </c>
      <c r="V55" s="14">
        <f t="shared" si="166"/>
        <v>48731.991999999998</v>
      </c>
      <c r="W55" s="14">
        <f t="shared" si="166"/>
        <v>48827.720999999998</v>
      </c>
      <c r="X55" s="14">
        <f t="shared" si="166"/>
        <v>49098.895000000004</v>
      </c>
      <c r="Y55" s="14">
        <f t="shared" si="166"/>
        <v>52281.844000000005</v>
      </c>
      <c r="Z55" s="14">
        <f t="shared" si="166"/>
        <v>53630.374000000003</v>
      </c>
      <c r="AA55" s="14">
        <f t="shared" si="166"/>
        <v>52087.643999999993</v>
      </c>
      <c r="AB55" s="14">
        <f t="shared" si="166"/>
        <v>53099.663999999997</v>
      </c>
      <c r="AC55" s="14">
        <f t="shared" si="166"/>
        <v>54934.834999999999</v>
      </c>
      <c r="AE55" s="14">
        <f t="shared" ref="AE55:AS55" si="167">SUM(AE52:AE54)+AE49</f>
        <v>45330.903999999995</v>
      </c>
      <c r="AF55" s="14">
        <f t="shared" si="167"/>
        <v>46350.934999999998</v>
      </c>
      <c r="AG55" s="14">
        <f t="shared" si="167"/>
        <v>47562.186999999998</v>
      </c>
      <c r="AH55" s="14">
        <f t="shared" si="167"/>
        <v>48594.767999999996</v>
      </c>
      <c r="AI55" s="14">
        <f t="shared" si="167"/>
        <v>49490.345000000001</v>
      </c>
      <c r="AJ55" s="14">
        <f t="shared" si="167"/>
        <v>50817.472999999998</v>
      </c>
      <c r="AK55" s="14">
        <f t="shared" si="167"/>
        <v>49501.785999999993</v>
      </c>
      <c r="AL55" s="14">
        <f t="shared" si="167"/>
        <v>48731.991999999998</v>
      </c>
      <c r="AM55" s="14">
        <f t="shared" si="167"/>
        <v>48827.720999999998</v>
      </c>
      <c r="AN55" s="14">
        <f t="shared" si="167"/>
        <v>49098.895000000004</v>
      </c>
      <c r="AO55" s="14">
        <f t="shared" si="167"/>
        <v>52281.844000000005</v>
      </c>
      <c r="AP55" s="14">
        <f t="shared" si="167"/>
        <v>53630.374000000003</v>
      </c>
      <c r="AQ55" s="14">
        <f t="shared" si="167"/>
        <v>52087.643999999993</v>
      </c>
      <c r="AR55" s="14">
        <f t="shared" si="167"/>
        <v>53099.663999999997</v>
      </c>
      <c r="AS55" s="34">
        <f t="shared" si="167"/>
        <v>54934.834999999999</v>
      </c>
      <c r="AT55" s="43"/>
      <c r="AU55" s="79">
        <f t="shared" si="164"/>
        <v>5.0744021194049527E-2</v>
      </c>
    </row>
    <row r="56" spans="2:47" ht="12.75" customHeight="1">
      <c r="B56" s="25"/>
      <c r="C56" s="52"/>
      <c r="D56" s="52"/>
      <c r="E56" s="52"/>
      <c r="F56" s="52"/>
      <c r="G56" s="52"/>
      <c r="H56" s="42"/>
      <c r="I56" s="42"/>
      <c r="K56" s="42"/>
      <c r="L56" s="42"/>
      <c r="M56" s="42"/>
      <c r="N56" s="42"/>
      <c r="O56" s="42"/>
      <c r="P56" s="42"/>
      <c r="Q56" s="42"/>
      <c r="R56" s="42"/>
      <c r="S56" s="42"/>
      <c r="T56" s="42"/>
      <c r="U56" s="42"/>
      <c r="V56" s="42"/>
      <c r="W56" s="42"/>
      <c r="X56" s="42"/>
      <c r="Y56" s="42"/>
      <c r="Z56" s="42"/>
      <c r="AA56" s="42"/>
      <c r="AB56" s="42"/>
      <c r="AC56" s="42"/>
      <c r="AE56" s="43"/>
      <c r="AF56" s="43"/>
      <c r="AG56" s="43"/>
      <c r="AH56" s="43"/>
      <c r="AI56" s="43"/>
      <c r="AJ56" s="43"/>
      <c r="AK56" s="43"/>
      <c r="AL56" s="43"/>
      <c r="AM56" s="43"/>
      <c r="AN56" s="43"/>
      <c r="AO56" s="43"/>
      <c r="AP56" s="43"/>
      <c r="AQ56" s="43"/>
      <c r="AR56" s="43"/>
      <c r="AS56" s="43"/>
      <c r="AT56" s="43"/>
      <c r="AU56" s="40"/>
    </row>
    <row r="57" spans="2:47" ht="12.75" customHeight="1">
      <c r="B57" s="81" t="s">
        <v>54</v>
      </c>
      <c r="C57" s="52"/>
      <c r="D57" s="52"/>
      <c r="E57" s="52"/>
      <c r="F57" s="52"/>
      <c r="G57" s="52"/>
      <c r="H57" s="42"/>
      <c r="I57" s="42"/>
      <c r="K57" s="42"/>
      <c r="L57" s="42"/>
      <c r="M57" s="42"/>
      <c r="N57" s="42"/>
      <c r="O57" s="42"/>
      <c r="P57" s="42"/>
      <c r="Q57" s="42"/>
      <c r="R57" s="42"/>
      <c r="S57" s="42"/>
      <c r="T57" s="42"/>
      <c r="U57" s="42"/>
      <c r="V57" s="42"/>
      <c r="W57" s="42"/>
      <c r="X57" s="42"/>
      <c r="Y57" s="42"/>
      <c r="Z57" s="42"/>
      <c r="AA57" s="42"/>
      <c r="AB57" s="42"/>
      <c r="AC57" s="42"/>
      <c r="AE57" s="43"/>
      <c r="AF57" s="43"/>
      <c r="AG57" s="43"/>
      <c r="AH57" s="43"/>
      <c r="AI57" s="43"/>
      <c r="AJ57" s="43"/>
      <c r="AK57" s="43"/>
      <c r="AL57" s="43"/>
      <c r="AM57" s="43"/>
      <c r="AN57" s="43"/>
      <c r="AO57" s="43"/>
      <c r="AP57" s="43"/>
      <c r="AQ57" s="43"/>
      <c r="AR57" s="43"/>
      <c r="AS57" s="43"/>
      <c r="AT57" s="43"/>
      <c r="AU57" s="40"/>
    </row>
    <row r="58" spans="2:47" ht="12.75" customHeight="1">
      <c r="B58" s="122" t="s">
        <v>132</v>
      </c>
      <c r="C58" s="85">
        <v>4681.5619999999999</v>
      </c>
      <c r="D58" s="85">
        <v>4413.5609999999997</v>
      </c>
      <c r="E58" s="85">
        <v>4429.5360000000001</v>
      </c>
      <c r="F58" s="85">
        <v>4292.9669999999996</v>
      </c>
      <c r="G58" s="85">
        <v>4480.1499999999996</v>
      </c>
      <c r="H58" s="85">
        <v>4466.47</v>
      </c>
      <c r="I58" s="85">
        <v>4393.6809999999996</v>
      </c>
      <c r="K58" s="85">
        <v>4297.9570000000003</v>
      </c>
      <c r="L58" s="85">
        <v>4197.8739999999998</v>
      </c>
      <c r="M58" s="85">
        <v>4110.9620000000004</v>
      </c>
      <c r="N58" s="32">
        <f t="shared" ref="N58:N62" si="168">F58</f>
        <v>4292.9669999999996</v>
      </c>
      <c r="O58" s="85">
        <v>4066.2890000000002</v>
      </c>
      <c r="P58" s="85">
        <v>4174.9660000000003</v>
      </c>
      <c r="Q58" s="85">
        <v>4225.8900000000003</v>
      </c>
      <c r="R58" s="99">
        <f t="shared" ref="R58:R62" si="169">G58</f>
        <v>4480.1499999999996</v>
      </c>
      <c r="S58" s="85">
        <v>4344.58</v>
      </c>
      <c r="T58" s="85">
        <v>4440.4120000000003</v>
      </c>
      <c r="U58" s="85">
        <v>4259.5820000000003</v>
      </c>
      <c r="V58" s="32">
        <f t="shared" ref="V58:V62" si="170">H58</f>
        <v>4466.47</v>
      </c>
      <c r="W58" s="85">
        <v>4436.0209999999997</v>
      </c>
      <c r="X58" s="85">
        <v>4391.4369999999999</v>
      </c>
      <c r="Y58" s="85">
        <v>4489.9709999999995</v>
      </c>
      <c r="Z58" s="32">
        <f t="shared" ref="Z58:Z62" si="171">I58</f>
        <v>4393.6809999999996</v>
      </c>
      <c r="AA58" s="85">
        <v>4128.9049999999997</v>
      </c>
      <c r="AB58" s="85">
        <v>4091.77</v>
      </c>
      <c r="AC58" s="85">
        <v>4102.6400000000003</v>
      </c>
      <c r="AE58" s="99">
        <f t="shared" ref="AE58:AS62" si="172">O58</f>
        <v>4066.2890000000002</v>
      </c>
      <c r="AF58" s="99">
        <f t="shared" si="172"/>
        <v>4174.9660000000003</v>
      </c>
      <c r="AG58" s="99">
        <f t="shared" si="172"/>
        <v>4225.8900000000003</v>
      </c>
      <c r="AH58" s="99">
        <f t="shared" si="172"/>
        <v>4480.1499999999996</v>
      </c>
      <c r="AI58" s="99">
        <f t="shared" si="172"/>
        <v>4344.58</v>
      </c>
      <c r="AJ58" s="99">
        <f t="shared" si="172"/>
        <v>4440.4120000000003</v>
      </c>
      <c r="AK58" s="99">
        <f t="shared" si="172"/>
        <v>4259.5820000000003</v>
      </c>
      <c r="AL58" s="99">
        <f t="shared" si="172"/>
        <v>4466.47</v>
      </c>
      <c r="AM58" s="99">
        <f t="shared" si="172"/>
        <v>4436.0209999999997</v>
      </c>
      <c r="AN58" s="99">
        <f t="shared" si="172"/>
        <v>4391.4369999999999</v>
      </c>
      <c r="AO58" s="99">
        <f t="shared" si="172"/>
        <v>4489.9709999999995</v>
      </c>
      <c r="AP58" s="99">
        <f t="shared" si="172"/>
        <v>4393.6809999999996</v>
      </c>
      <c r="AQ58" s="99">
        <f t="shared" si="172"/>
        <v>4128.9049999999997</v>
      </c>
      <c r="AR58" s="99">
        <f t="shared" si="172"/>
        <v>4091.77</v>
      </c>
      <c r="AS58" s="99">
        <f t="shared" si="172"/>
        <v>4102.6400000000003</v>
      </c>
      <c r="AT58" s="11"/>
      <c r="AU58" s="78">
        <f t="shared" ref="AU58:AU63" si="173">SUM(AS58/AO58)-1</f>
        <v>-8.6265813298125771E-2</v>
      </c>
    </row>
    <row r="59" spans="2:47" ht="12.75" customHeight="1">
      <c r="B59" s="122" t="s">
        <v>13</v>
      </c>
      <c r="C59" s="85">
        <v>562.98500000000001</v>
      </c>
      <c r="D59" s="85">
        <v>674.34699999999998</v>
      </c>
      <c r="E59" s="85">
        <v>656.18299999999999</v>
      </c>
      <c r="F59" s="85">
        <v>837.48299999999995</v>
      </c>
      <c r="G59" s="85">
        <v>671.51300000000003</v>
      </c>
      <c r="H59" s="85">
        <v>747.41200000000003</v>
      </c>
      <c r="I59" s="85">
        <v>899.90899999999999</v>
      </c>
      <c r="K59" s="85">
        <v>532.94200000000001</v>
      </c>
      <c r="L59" s="85">
        <v>622.93100000000004</v>
      </c>
      <c r="M59" s="85">
        <v>643.05899999999997</v>
      </c>
      <c r="N59" s="32">
        <f t="shared" si="168"/>
        <v>837.48299999999995</v>
      </c>
      <c r="O59" s="85">
        <v>617.202</v>
      </c>
      <c r="P59" s="85">
        <v>504.27800000000002</v>
      </c>
      <c r="Q59" s="85">
        <v>560.15599999999995</v>
      </c>
      <c r="R59" s="99">
        <f t="shared" si="169"/>
        <v>671.51300000000003</v>
      </c>
      <c r="S59" s="85">
        <v>591.98699999999997</v>
      </c>
      <c r="T59" s="85">
        <v>615.37400000000002</v>
      </c>
      <c r="U59" s="85">
        <v>534.42899999999997</v>
      </c>
      <c r="V59" s="32">
        <f t="shared" si="170"/>
        <v>747.41200000000003</v>
      </c>
      <c r="W59" s="85">
        <v>607.34799999999996</v>
      </c>
      <c r="X59" s="85">
        <v>598.55700000000002</v>
      </c>
      <c r="Y59" s="85">
        <v>641.95299999999997</v>
      </c>
      <c r="Z59" s="32">
        <f t="shared" si="171"/>
        <v>899.90899999999999</v>
      </c>
      <c r="AA59" s="85">
        <v>614.48900000000003</v>
      </c>
      <c r="AB59" s="85">
        <v>632.71799999999996</v>
      </c>
      <c r="AC59" s="85">
        <v>793.23299999999995</v>
      </c>
      <c r="AE59" s="99">
        <f t="shared" si="172"/>
        <v>617.202</v>
      </c>
      <c r="AF59" s="99">
        <f t="shared" si="172"/>
        <v>504.27800000000002</v>
      </c>
      <c r="AG59" s="99">
        <f t="shared" si="172"/>
        <v>560.15599999999995</v>
      </c>
      <c r="AH59" s="99">
        <f t="shared" si="172"/>
        <v>671.51300000000003</v>
      </c>
      <c r="AI59" s="99">
        <f t="shared" si="172"/>
        <v>591.98699999999997</v>
      </c>
      <c r="AJ59" s="99">
        <f t="shared" si="172"/>
        <v>615.37400000000002</v>
      </c>
      <c r="AK59" s="99">
        <f t="shared" si="172"/>
        <v>534.42899999999997</v>
      </c>
      <c r="AL59" s="99">
        <f t="shared" si="172"/>
        <v>747.41200000000003</v>
      </c>
      <c r="AM59" s="99">
        <f t="shared" si="172"/>
        <v>607.34799999999996</v>
      </c>
      <c r="AN59" s="99">
        <f t="shared" si="172"/>
        <v>598.55700000000002</v>
      </c>
      <c r="AO59" s="99">
        <f t="shared" si="172"/>
        <v>641.95299999999997</v>
      </c>
      <c r="AP59" s="99">
        <f t="shared" si="172"/>
        <v>899.90899999999999</v>
      </c>
      <c r="AQ59" s="99">
        <f t="shared" si="172"/>
        <v>614.48900000000003</v>
      </c>
      <c r="AR59" s="99">
        <f t="shared" si="172"/>
        <v>632.71799999999996</v>
      </c>
      <c r="AS59" s="99">
        <f t="shared" si="172"/>
        <v>793.23299999999995</v>
      </c>
      <c r="AT59" s="11"/>
      <c r="AU59" s="78">
        <f t="shared" si="173"/>
        <v>0.23565588134956927</v>
      </c>
    </row>
    <row r="60" spans="2:47" ht="12.75" customHeight="1">
      <c r="B60" s="122" t="s">
        <v>133</v>
      </c>
      <c r="C60" s="85">
        <v>481.87400000000002</v>
      </c>
      <c r="D60" s="85">
        <v>843.04300000000001</v>
      </c>
      <c r="E60" s="85">
        <v>1102.1959999999999</v>
      </c>
      <c r="F60" s="85">
        <v>1449.3510000000001</v>
      </c>
      <c r="G60" s="85">
        <v>1514.65</v>
      </c>
      <c r="H60" s="85">
        <v>1803.96</v>
      </c>
      <c r="I60" s="85">
        <v>2156.5439999999999</v>
      </c>
      <c r="K60" s="85">
        <v>1291.8119999999999</v>
      </c>
      <c r="L60" s="85">
        <v>1125.5909999999999</v>
      </c>
      <c r="M60" s="85">
        <v>1413.12</v>
      </c>
      <c r="N60" s="32">
        <f t="shared" si="168"/>
        <v>1449.3510000000001</v>
      </c>
      <c r="O60" s="85">
        <v>1817.117</v>
      </c>
      <c r="P60" s="85">
        <v>1596.0350000000001</v>
      </c>
      <c r="Q60" s="85">
        <v>1803.5550000000001</v>
      </c>
      <c r="R60" s="99">
        <f t="shared" si="169"/>
        <v>1514.65</v>
      </c>
      <c r="S60" s="85">
        <v>1718.069</v>
      </c>
      <c r="T60" s="85">
        <v>1908.7139999999999</v>
      </c>
      <c r="U60" s="85">
        <v>1838.9079999999999</v>
      </c>
      <c r="V60" s="32">
        <f t="shared" si="170"/>
        <v>1803.96</v>
      </c>
      <c r="W60" s="85">
        <v>1977.4280000000001</v>
      </c>
      <c r="X60" s="85">
        <v>1876.2439999999999</v>
      </c>
      <c r="Y60" s="85">
        <v>2241.7579999999998</v>
      </c>
      <c r="Z60" s="32">
        <f t="shared" si="171"/>
        <v>2156.5439999999999</v>
      </c>
      <c r="AA60" s="85">
        <v>2359.518</v>
      </c>
      <c r="AB60" s="85">
        <v>2489.4859999999999</v>
      </c>
      <c r="AC60" s="85">
        <v>3111.3110000000001</v>
      </c>
      <c r="AE60" s="99">
        <f t="shared" si="172"/>
        <v>1817.117</v>
      </c>
      <c r="AF60" s="99">
        <f t="shared" si="172"/>
        <v>1596.0350000000001</v>
      </c>
      <c r="AG60" s="99">
        <f t="shared" si="172"/>
        <v>1803.5550000000001</v>
      </c>
      <c r="AH60" s="99">
        <f t="shared" si="172"/>
        <v>1514.65</v>
      </c>
      <c r="AI60" s="99">
        <f t="shared" si="172"/>
        <v>1718.069</v>
      </c>
      <c r="AJ60" s="99">
        <f t="shared" si="172"/>
        <v>1908.7139999999999</v>
      </c>
      <c r="AK60" s="99">
        <f t="shared" si="172"/>
        <v>1838.9079999999999</v>
      </c>
      <c r="AL60" s="99">
        <f t="shared" si="172"/>
        <v>1803.96</v>
      </c>
      <c r="AM60" s="99">
        <f t="shared" si="172"/>
        <v>1977.4280000000001</v>
      </c>
      <c r="AN60" s="99">
        <f t="shared" si="172"/>
        <v>1876.2439999999999</v>
      </c>
      <c r="AO60" s="99">
        <f t="shared" si="172"/>
        <v>2241.7579999999998</v>
      </c>
      <c r="AP60" s="99">
        <f t="shared" si="172"/>
        <v>2156.5439999999999</v>
      </c>
      <c r="AQ60" s="99">
        <f t="shared" si="172"/>
        <v>2359.518</v>
      </c>
      <c r="AR60" s="99">
        <f t="shared" si="172"/>
        <v>2489.4859999999999</v>
      </c>
      <c r="AS60" s="99">
        <f t="shared" si="172"/>
        <v>3111.3110000000001</v>
      </c>
      <c r="AT60" s="11"/>
      <c r="AU60" s="78">
        <f t="shared" si="173"/>
        <v>0.38788888006644795</v>
      </c>
    </row>
    <row r="61" spans="2:47" ht="12.75" customHeight="1">
      <c r="B61" s="122" t="s">
        <v>110</v>
      </c>
      <c r="C61" s="85">
        <v>760.899</v>
      </c>
      <c r="D61" s="85">
        <v>924.745</v>
      </c>
      <c r="E61" s="85">
        <v>1117.992</v>
      </c>
      <c r="F61" s="85">
        <v>1209.3420000000001</v>
      </c>
      <c r="G61" s="85">
        <v>1264.6610000000001</v>
      </c>
      <c r="H61" s="85">
        <v>1442.9690000000001</v>
      </c>
      <c r="I61" s="85">
        <v>1520.8130000000001</v>
      </c>
      <c r="K61" s="85">
        <v>1140.271</v>
      </c>
      <c r="L61" s="85">
        <v>1187.364</v>
      </c>
      <c r="M61" s="85">
        <v>1182.6320000000001</v>
      </c>
      <c r="N61" s="32">
        <f t="shared" si="168"/>
        <v>1209.3420000000001</v>
      </c>
      <c r="O61" s="85">
        <v>1239.048</v>
      </c>
      <c r="P61" s="85">
        <v>1224.7429999999999</v>
      </c>
      <c r="Q61" s="85">
        <v>1176.3230000000001</v>
      </c>
      <c r="R61" s="99">
        <f t="shared" si="169"/>
        <v>1264.6610000000001</v>
      </c>
      <c r="S61" s="85">
        <v>1262.271</v>
      </c>
      <c r="T61" s="85">
        <v>1311.9179999999999</v>
      </c>
      <c r="U61" s="85">
        <v>1306.1849999999999</v>
      </c>
      <c r="V61" s="32">
        <f t="shared" si="170"/>
        <v>1442.9690000000001</v>
      </c>
      <c r="W61" s="85">
        <v>1469.4839999999999</v>
      </c>
      <c r="X61" s="85">
        <v>1473.72</v>
      </c>
      <c r="Y61" s="85">
        <v>1513.048</v>
      </c>
      <c r="Z61" s="32">
        <f t="shared" si="171"/>
        <v>1520.8130000000001</v>
      </c>
      <c r="AA61" s="85">
        <v>1609.7260000000001</v>
      </c>
      <c r="AB61" s="85">
        <v>1728.3610000000001</v>
      </c>
      <c r="AC61" s="85">
        <v>1724.675</v>
      </c>
      <c r="AE61" s="99">
        <f t="shared" si="172"/>
        <v>1239.048</v>
      </c>
      <c r="AF61" s="99">
        <f t="shared" si="172"/>
        <v>1224.7429999999999</v>
      </c>
      <c r="AG61" s="99">
        <f t="shared" si="172"/>
        <v>1176.3230000000001</v>
      </c>
      <c r="AH61" s="99">
        <f t="shared" si="172"/>
        <v>1264.6610000000001</v>
      </c>
      <c r="AI61" s="99">
        <f t="shared" si="172"/>
        <v>1262.271</v>
      </c>
      <c r="AJ61" s="99">
        <f t="shared" si="172"/>
        <v>1311.9179999999999</v>
      </c>
      <c r="AK61" s="99">
        <f t="shared" si="172"/>
        <v>1306.1849999999999</v>
      </c>
      <c r="AL61" s="99">
        <f t="shared" si="172"/>
        <v>1442.9690000000001</v>
      </c>
      <c r="AM61" s="99">
        <f t="shared" si="172"/>
        <v>1469.4839999999999</v>
      </c>
      <c r="AN61" s="99">
        <f t="shared" si="172"/>
        <v>1473.72</v>
      </c>
      <c r="AO61" s="99">
        <f t="shared" si="172"/>
        <v>1513.048</v>
      </c>
      <c r="AP61" s="99">
        <f t="shared" si="172"/>
        <v>1520.8130000000001</v>
      </c>
      <c r="AQ61" s="99">
        <f t="shared" si="172"/>
        <v>1609.7260000000001</v>
      </c>
      <c r="AR61" s="99">
        <f t="shared" si="172"/>
        <v>1728.3610000000001</v>
      </c>
      <c r="AS61" s="99">
        <f t="shared" si="172"/>
        <v>1724.675</v>
      </c>
      <c r="AT61" s="11"/>
      <c r="AU61" s="78">
        <f t="shared" si="173"/>
        <v>0.13986800154390333</v>
      </c>
    </row>
    <row r="62" spans="2:47" ht="12.75" customHeight="1">
      <c r="B62" s="122" t="s">
        <v>134</v>
      </c>
      <c r="C62" s="85">
        <v>0</v>
      </c>
      <c r="D62" s="85">
        <v>0</v>
      </c>
      <c r="E62" s="85">
        <v>499.87799999999999</v>
      </c>
      <c r="F62" s="85">
        <v>699.82299999999998</v>
      </c>
      <c r="G62" s="85">
        <v>0</v>
      </c>
      <c r="H62" s="85">
        <v>399.84399999999999</v>
      </c>
      <c r="I62" s="85">
        <v>1784.453</v>
      </c>
      <c r="K62" s="85">
        <v>698.78800000000001</v>
      </c>
      <c r="L62" s="85">
        <v>699.12800000000004</v>
      </c>
      <c r="M62" s="85">
        <v>699.47299999999996</v>
      </c>
      <c r="N62" s="32">
        <f t="shared" si="168"/>
        <v>699.82299999999998</v>
      </c>
      <c r="O62" s="85">
        <v>0</v>
      </c>
      <c r="P62" s="85">
        <v>0</v>
      </c>
      <c r="Q62" s="85">
        <v>0</v>
      </c>
      <c r="R62" s="99">
        <f t="shared" si="169"/>
        <v>0</v>
      </c>
      <c r="S62" s="85">
        <v>399.16300000000001</v>
      </c>
      <c r="T62" s="85">
        <v>399.387</v>
      </c>
      <c r="U62" s="85">
        <v>399.61399999999998</v>
      </c>
      <c r="V62" s="32">
        <f t="shared" si="170"/>
        <v>399.84399999999999</v>
      </c>
      <c r="W62" s="85">
        <v>798.93600000000004</v>
      </c>
      <c r="X62" s="85">
        <v>1800.0409999999999</v>
      </c>
      <c r="Y62" s="85">
        <v>1820.396</v>
      </c>
      <c r="Z62" s="32">
        <f t="shared" si="171"/>
        <v>1784.453</v>
      </c>
      <c r="AA62" s="85">
        <v>1005.881</v>
      </c>
      <c r="AB62" s="85">
        <v>0</v>
      </c>
      <c r="AC62" s="85">
        <v>0</v>
      </c>
      <c r="AE62" s="99">
        <f t="shared" si="172"/>
        <v>0</v>
      </c>
      <c r="AF62" s="99">
        <f t="shared" si="172"/>
        <v>0</v>
      </c>
      <c r="AG62" s="99">
        <f t="shared" si="172"/>
        <v>0</v>
      </c>
      <c r="AH62" s="99">
        <f t="shared" si="172"/>
        <v>0</v>
      </c>
      <c r="AI62" s="99">
        <f t="shared" si="172"/>
        <v>399.16300000000001</v>
      </c>
      <c r="AJ62" s="99">
        <f t="shared" si="172"/>
        <v>399.387</v>
      </c>
      <c r="AK62" s="99">
        <f t="shared" si="172"/>
        <v>399.61399999999998</v>
      </c>
      <c r="AL62" s="99">
        <f t="shared" si="172"/>
        <v>399.84399999999999</v>
      </c>
      <c r="AM62" s="99">
        <f t="shared" si="172"/>
        <v>798.93600000000004</v>
      </c>
      <c r="AN62" s="99">
        <f t="shared" si="172"/>
        <v>1800.0409999999999</v>
      </c>
      <c r="AO62" s="99">
        <f t="shared" si="172"/>
        <v>1820.396</v>
      </c>
      <c r="AP62" s="99">
        <f t="shared" si="172"/>
        <v>1784.453</v>
      </c>
      <c r="AQ62" s="99">
        <f t="shared" si="172"/>
        <v>1005.881</v>
      </c>
      <c r="AR62" s="99">
        <f t="shared" si="172"/>
        <v>0</v>
      </c>
      <c r="AS62" s="99">
        <f t="shared" si="172"/>
        <v>0</v>
      </c>
      <c r="AT62" s="11"/>
      <c r="AU62" s="78">
        <f t="shared" si="173"/>
        <v>-1</v>
      </c>
    </row>
    <row r="63" spans="2:47" ht="12.75" customHeight="1">
      <c r="B63" s="25" t="s">
        <v>20</v>
      </c>
      <c r="C63" s="26">
        <f t="shared" ref="C63:I63" si="174">SUM(C58:C62)</f>
        <v>6487.32</v>
      </c>
      <c r="D63" s="26">
        <f t="shared" si="174"/>
        <v>6855.695999999999</v>
      </c>
      <c r="E63" s="26">
        <f t="shared" si="174"/>
        <v>7805.7849999999999</v>
      </c>
      <c r="F63" s="26">
        <f t="shared" si="174"/>
        <v>8488.9660000000003</v>
      </c>
      <c r="G63" s="26">
        <f t="shared" si="174"/>
        <v>7930.9740000000002</v>
      </c>
      <c r="H63" s="26">
        <f t="shared" si="174"/>
        <v>8860.6550000000007</v>
      </c>
      <c r="I63" s="26">
        <f t="shared" si="174"/>
        <v>10755.4</v>
      </c>
      <c r="K63" s="26">
        <f t="shared" ref="K63:AC63" si="175">SUM(K58:K62)</f>
        <v>7961.77</v>
      </c>
      <c r="L63" s="26">
        <f t="shared" si="175"/>
        <v>7832.8879999999999</v>
      </c>
      <c r="M63" s="26">
        <f t="shared" si="175"/>
        <v>8049.246000000001</v>
      </c>
      <c r="N63" s="26">
        <f t="shared" si="175"/>
        <v>8488.9660000000003</v>
      </c>
      <c r="O63" s="26">
        <f t="shared" si="175"/>
        <v>7739.6559999999999</v>
      </c>
      <c r="P63" s="26">
        <f t="shared" si="175"/>
        <v>7500.0220000000008</v>
      </c>
      <c r="Q63" s="26">
        <f t="shared" si="175"/>
        <v>7765.9240000000009</v>
      </c>
      <c r="R63" s="26">
        <f t="shared" si="175"/>
        <v>7930.9740000000002</v>
      </c>
      <c r="S63" s="26">
        <f t="shared" si="175"/>
        <v>8316.07</v>
      </c>
      <c r="T63" s="26">
        <f t="shared" si="175"/>
        <v>8675.8050000000003</v>
      </c>
      <c r="U63" s="26">
        <f t="shared" si="175"/>
        <v>8338.7179999999989</v>
      </c>
      <c r="V63" s="26">
        <f t="shared" si="175"/>
        <v>8860.6550000000007</v>
      </c>
      <c r="W63" s="26">
        <f t="shared" si="175"/>
        <v>9289.2169999999987</v>
      </c>
      <c r="X63" s="26">
        <f t="shared" si="175"/>
        <v>10139.998999999998</v>
      </c>
      <c r="Y63" s="26">
        <f t="shared" si="175"/>
        <v>10707.126</v>
      </c>
      <c r="Z63" s="26">
        <f t="shared" si="175"/>
        <v>10755.4</v>
      </c>
      <c r="AA63" s="26">
        <f t="shared" si="175"/>
        <v>9718.5190000000002</v>
      </c>
      <c r="AB63" s="26">
        <f t="shared" si="175"/>
        <v>8942.3350000000009</v>
      </c>
      <c r="AC63" s="26">
        <f t="shared" si="175"/>
        <v>9731.8590000000004</v>
      </c>
      <c r="AD63" s="50"/>
      <c r="AE63" s="26">
        <f t="shared" ref="AE63:AS63" si="176">SUM(AE58:AE62)</f>
        <v>7739.6559999999999</v>
      </c>
      <c r="AF63" s="26">
        <f t="shared" si="176"/>
        <v>7500.0220000000008</v>
      </c>
      <c r="AG63" s="26">
        <f t="shared" si="176"/>
        <v>7765.9240000000009</v>
      </c>
      <c r="AH63" s="26">
        <f t="shared" si="176"/>
        <v>7930.9740000000002</v>
      </c>
      <c r="AI63" s="26">
        <f t="shared" si="176"/>
        <v>8316.07</v>
      </c>
      <c r="AJ63" s="26">
        <f t="shared" si="176"/>
        <v>8675.8050000000003</v>
      </c>
      <c r="AK63" s="26">
        <f t="shared" si="176"/>
        <v>8338.7179999999989</v>
      </c>
      <c r="AL63" s="26">
        <f t="shared" si="176"/>
        <v>8860.6550000000007</v>
      </c>
      <c r="AM63" s="26">
        <f t="shared" si="176"/>
        <v>9289.2169999999987</v>
      </c>
      <c r="AN63" s="26">
        <f t="shared" si="176"/>
        <v>10139.998999999998</v>
      </c>
      <c r="AO63" s="26">
        <f t="shared" si="176"/>
        <v>10707.126</v>
      </c>
      <c r="AP63" s="26">
        <f t="shared" si="176"/>
        <v>10755.4</v>
      </c>
      <c r="AQ63" s="26">
        <f t="shared" si="176"/>
        <v>9718.5190000000002</v>
      </c>
      <c r="AR63" s="26">
        <f t="shared" si="176"/>
        <v>8942.3350000000009</v>
      </c>
      <c r="AS63" s="26">
        <f t="shared" si="176"/>
        <v>9731.8590000000004</v>
      </c>
      <c r="AT63" s="43"/>
      <c r="AU63" s="79">
        <f t="shared" si="173"/>
        <v>-9.1085787166416021E-2</v>
      </c>
    </row>
    <row r="64" spans="2:47" ht="5.0999999999999996" customHeight="1">
      <c r="B64" s="25"/>
      <c r="C64" s="52"/>
      <c r="D64" s="52"/>
      <c r="E64" s="52"/>
      <c r="F64" s="52"/>
      <c r="G64" s="52"/>
      <c r="H64" s="42"/>
      <c r="I64" s="42"/>
      <c r="K64" s="42"/>
      <c r="L64" s="42"/>
      <c r="M64" s="42"/>
      <c r="N64" s="42"/>
      <c r="O64" s="42"/>
      <c r="P64" s="42"/>
      <c r="Q64" s="42"/>
      <c r="R64" s="42"/>
      <c r="S64" s="42"/>
      <c r="T64" s="42"/>
      <c r="U64" s="42"/>
      <c r="V64" s="42"/>
      <c r="W64" s="42"/>
      <c r="X64" s="42"/>
      <c r="Y64" s="42"/>
      <c r="Z64" s="42"/>
      <c r="AA64" s="42"/>
      <c r="AB64" s="42"/>
      <c r="AC64" s="42"/>
      <c r="AE64" s="43"/>
      <c r="AF64" s="43"/>
      <c r="AG64" s="43"/>
      <c r="AH64" s="43"/>
      <c r="AI64" s="43"/>
      <c r="AJ64" s="43"/>
      <c r="AK64" s="43"/>
      <c r="AL64" s="43"/>
      <c r="AM64" s="43"/>
      <c r="AN64" s="43"/>
      <c r="AO64" s="43"/>
      <c r="AP64" s="43"/>
      <c r="AQ64" s="43"/>
      <c r="AR64" s="43"/>
      <c r="AS64" s="43"/>
      <c r="AT64" s="43"/>
      <c r="AU64" s="40"/>
    </row>
    <row r="65" spans="2:47">
      <c r="B65" s="81" t="s">
        <v>100</v>
      </c>
      <c r="C65" s="52"/>
      <c r="D65" s="52"/>
      <c r="E65" s="52"/>
      <c r="F65" s="52"/>
      <c r="G65" s="52"/>
      <c r="H65" s="42"/>
      <c r="I65" s="42"/>
      <c r="K65" s="42"/>
      <c r="L65" s="42"/>
      <c r="M65" s="42"/>
      <c r="N65" s="42"/>
      <c r="O65" s="42"/>
      <c r="P65" s="42"/>
      <c r="Q65" s="42"/>
      <c r="R65" s="42"/>
      <c r="S65" s="42"/>
      <c r="T65" s="42"/>
      <c r="U65" s="42"/>
      <c r="V65" s="42"/>
      <c r="W65" s="42"/>
      <c r="X65" s="42"/>
      <c r="Y65" s="42"/>
      <c r="Z65" s="42"/>
      <c r="AA65" s="42"/>
      <c r="AB65" s="42"/>
      <c r="AC65" s="42"/>
      <c r="AE65" s="43"/>
      <c r="AF65" s="43"/>
      <c r="AG65" s="43"/>
      <c r="AH65" s="43"/>
      <c r="AI65" s="43"/>
      <c r="AJ65" s="43"/>
      <c r="AK65" s="43"/>
      <c r="AL65" s="43"/>
      <c r="AM65" s="43"/>
      <c r="AN65" s="43"/>
      <c r="AO65" s="43"/>
      <c r="AP65" s="43"/>
      <c r="AQ65" s="43"/>
      <c r="AR65" s="43"/>
      <c r="AS65" s="43"/>
      <c r="AT65" s="43"/>
      <c r="AU65" s="40"/>
    </row>
    <row r="66" spans="2:47" ht="12.75" customHeight="1">
      <c r="B66" s="122" t="s">
        <v>135</v>
      </c>
      <c r="C66" s="85">
        <v>3759.0259999999998</v>
      </c>
      <c r="D66" s="85">
        <v>3334.3229999999999</v>
      </c>
      <c r="E66" s="85">
        <v>2618.0839999999998</v>
      </c>
      <c r="F66" s="85">
        <v>3094.2130000000002</v>
      </c>
      <c r="G66" s="85">
        <v>3081.277</v>
      </c>
      <c r="H66" s="85">
        <v>2578.1729999999998</v>
      </c>
      <c r="I66" s="85">
        <v>1780.806</v>
      </c>
      <c r="J66" s="53"/>
      <c r="K66" s="85">
        <v>2465.6260000000002</v>
      </c>
      <c r="L66" s="85">
        <v>2265.2860000000001</v>
      </c>
      <c r="M66" s="85">
        <v>2301.0259999999998</v>
      </c>
      <c r="N66" s="32">
        <f t="shared" ref="N66:N68" si="177">F66</f>
        <v>3094.2130000000002</v>
      </c>
      <c r="O66" s="85">
        <v>2945.221</v>
      </c>
      <c r="P66" s="85">
        <v>2989.9609999999998</v>
      </c>
      <c r="Q66" s="85">
        <v>2955.3679999999999</v>
      </c>
      <c r="R66" s="99">
        <f t="shared" ref="R66:R68" si="178">G66</f>
        <v>3081.277</v>
      </c>
      <c r="S66" s="85">
        <v>2908.029</v>
      </c>
      <c r="T66" s="85">
        <v>2849.3870000000002</v>
      </c>
      <c r="U66" s="85">
        <v>2668.4720000000002</v>
      </c>
      <c r="V66" s="32">
        <f t="shared" ref="V66:V68" si="179">H66</f>
        <v>2578.1729999999998</v>
      </c>
      <c r="W66" s="85">
        <v>2370.692</v>
      </c>
      <c r="X66" s="85">
        <v>2028.7819999999999</v>
      </c>
      <c r="Y66" s="85">
        <v>1918.0889999999999</v>
      </c>
      <c r="Z66" s="32">
        <f t="shared" ref="Z66:Z68" si="180">I66</f>
        <v>1780.806</v>
      </c>
      <c r="AA66" s="85">
        <v>1696.662</v>
      </c>
      <c r="AB66" s="85">
        <v>1606.404</v>
      </c>
      <c r="AC66" s="85">
        <v>1591.973</v>
      </c>
      <c r="AD66" s="123"/>
      <c r="AE66" s="99">
        <f t="shared" ref="AE66:AS68" si="181">O66</f>
        <v>2945.221</v>
      </c>
      <c r="AF66" s="99">
        <f t="shared" si="181"/>
        <v>2989.9609999999998</v>
      </c>
      <c r="AG66" s="99">
        <f t="shared" si="181"/>
        <v>2955.3679999999999</v>
      </c>
      <c r="AH66" s="99">
        <f t="shared" si="181"/>
        <v>3081.277</v>
      </c>
      <c r="AI66" s="99">
        <f t="shared" si="181"/>
        <v>2908.029</v>
      </c>
      <c r="AJ66" s="99">
        <f t="shared" si="181"/>
        <v>2849.3870000000002</v>
      </c>
      <c r="AK66" s="99">
        <f t="shared" si="181"/>
        <v>2668.4720000000002</v>
      </c>
      <c r="AL66" s="99">
        <f t="shared" si="181"/>
        <v>2578.1729999999998</v>
      </c>
      <c r="AM66" s="99">
        <f t="shared" si="181"/>
        <v>2370.692</v>
      </c>
      <c r="AN66" s="99">
        <f t="shared" si="181"/>
        <v>2028.7819999999999</v>
      </c>
      <c r="AO66" s="99">
        <f t="shared" si="181"/>
        <v>1918.0889999999999</v>
      </c>
      <c r="AP66" s="99">
        <f t="shared" si="181"/>
        <v>1780.806</v>
      </c>
      <c r="AQ66" s="99">
        <f t="shared" si="181"/>
        <v>1696.662</v>
      </c>
      <c r="AR66" s="99">
        <f t="shared" si="181"/>
        <v>1606.404</v>
      </c>
      <c r="AS66" s="99">
        <f t="shared" si="181"/>
        <v>1591.973</v>
      </c>
      <c r="AT66" s="43"/>
      <c r="AU66" s="78">
        <f t="shared" ref="AU66:AU76" si="182">SUM(AS66/AO66)-1</f>
        <v>-0.17002130766611978</v>
      </c>
    </row>
    <row r="67" spans="2:47" ht="12.75" customHeight="1">
      <c r="B67" s="122" t="s">
        <v>136</v>
      </c>
      <c r="C67" s="85">
        <v>10360.058000000001</v>
      </c>
      <c r="D67" s="85">
        <v>14759.26</v>
      </c>
      <c r="E67" s="85">
        <v>15809.094999999999</v>
      </c>
      <c r="F67" s="85">
        <v>14693.072</v>
      </c>
      <c r="G67" s="85">
        <v>14353.075999999999</v>
      </c>
      <c r="H67" s="85">
        <v>14143.416999999999</v>
      </c>
      <c r="I67" s="85">
        <v>13798.351000000001</v>
      </c>
      <c r="J67" s="53"/>
      <c r="K67" s="85">
        <v>14860.552</v>
      </c>
      <c r="L67" s="85">
        <v>14926.888999999999</v>
      </c>
      <c r="M67" s="85">
        <v>14793.691000000001</v>
      </c>
      <c r="N67" s="32">
        <f t="shared" si="177"/>
        <v>14693.072</v>
      </c>
      <c r="O67" s="85">
        <v>14534.561</v>
      </c>
      <c r="P67" s="85">
        <v>14233.303</v>
      </c>
      <c r="Q67" s="85">
        <v>13888.117</v>
      </c>
      <c r="R67" s="99">
        <f t="shared" si="178"/>
        <v>14353.075999999999</v>
      </c>
      <c r="S67" s="85">
        <v>14037.965</v>
      </c>
      <c r="T67" s="85">
        <v>14070.151</v>
      </c>
      <c r="U67" s="85">
        <v>13900.754000000001</v>
      </c>
      <c r="V67" s="32">
        <f t="shared" si="179"/>
        <v>14143.416999999999</v>
      </c>
      <c r="W67" s="85">
        <v>13217.038</v>
      </c>
      <c r="X67" s="85">
        <v>12180.023999999999</v>
      </c>
      <c r="Y67" s="85">
        <v>14160.932000000001</v>
      </c>
      <c r="Z67" s="32">
        <f t="shared" si="180"/>
        <v>13798.351000000001</v>
      </c>
      <c r="AA67" s="85">
        <v>14011.037</v>
      </c>
      <c r="AB67" s="85">
        <v>14453.206</v>
      </c>
      <c r="AC67" s="85">
        <v>14463.02</v>
      </c>
      <c r="AD67" s="123"/>
      <c r="AE67" s="99">
        <f t="shared" si="181"/>
        <v>14534.561</v>
      </c>
      <c r="AF67" s="99">
        <f t="shared" si="181"/>
        <v>14233.303</v>
      </c>
      <c r="AG67" s="99">
        <f t="shared" si="181"/>
        <v>13888.117</v>
      </c>
      <c r="AH67" s="99">
        <f t="shared" si="181"/>
        <v>14353.075999999999</v>
      </c>
      <c r="AI67" s="99">
        <f t="shared" si="181"/>
        <v>14037.965</v>
      </c>
      <c r="AJ67" s="99">
        <f t="shared" si="181"/>
        <v>14070.151</v>
      </c>
      <c r="AK67" s="99">
        <f t="shared" si="181"/>
        <v>13900.754000000001</v>
      </c>
      <c r="AL67" s="99">
        <f t="shared" si="181"/>
        <v>14143.416999999999</v>
      </c>
      <c r="AM67" s="99">
        <f t="shared" si="181"/>
        <v>13217.038</v>
      </c>
      <c r="AN67" s="99">
        <f t="shared" si="181"/>
        <v>12180.023999999999</v>
      </c>
      <c r="AO67" s="99">
        <f t="shared" si="181"/>
        <v>14160.932000000001</v>
      </c>
      <c r="AP67" s="99">
        <f t="shared" si="181"/>
        <v>13798.351000000001</v>
      </c>
      <c r="AQ67" s="99">
        <f t="shared" si="181"/>
        <v>14011.037</v>
      </c>
      <c r="AR67" s="99">
        <f t="shared" si="181"/>
        <v>14453.206</v>
      </c>
      <c r="AS67" s="99">
        <f t="shared" si="181"/>
        <v>14463.02</v>
      </c>
      <c r="AT67" s="43"/>
      <c r="AU67" s="78">
        <f t="shared" si="182"/>
        <v>2.1332494217188414E-2</v>
      </c>
    </row>
    <row r="68" spans="2:47" ht="12.75" customHeight="1">
      <c r="B68" s="122" t="s">
        <v>137</v>
      </c>
      <c r="C68" s="85">
        <v>129.23099999999999</v>
      </c>
      <c r="D68" s="85">
        <v>1444.2760000000001</v>
      </c>
      <c r="E68" s="85">
        <v>1982.155</v>
      </c>
      <c r="F68" s="85">
        <v>2459.1640000000002</v>
      </c>
      <c r="G68" s="85">
        <v>2452.04</v>
      </c>
      <c r="H68" s="85">
        <v>2561.4340000000002</v>
      </c>
      <c r="I68" s="85">
        <v>2552.25</v>
      </c>
      <c r="J68" s="53"/>
      <c r="K68" s="85">
        <v>1950.9860000000001</v>
      </c>
      <c r="L68" s="85">
        <v>2082.0349999999999</v>
      </c>
      <c r="M68" s="85">
        <v>2281.277</v>
      </c>
      <c r="N68" s="32">
        <f t="shared" si="177"/>
        <v>2459.1640000000002</v>
      </c>
      <c r="O68" s="85">
        <v>2567.4270000000001</v>
      </c>
      <c r="P68" s="85">
        <v>2551.6750000000002</v>
      </c>
      <c r="Q68" s="85">
        <v>2424.6370000000002</v>
      </c>
      <c r="R68" s="99">
        <f t="shared" si="178"/>
        <v>2452.04</v>
      </c>
      <c r="S68" s="85">
        <v>2400.085</v>
      </c>
      <c r="T68" s="85">
        <v>2389.915</v>
      </c>
      <c r="U68" s="85">
        <v>2486.2150000000001</v>
      </c>
      <c r="V68" s="32">
        <f t="shared" si="179"/>
        <v>2561.4340000000002</v>
      </c>
      <c r="W68" s="85">
        <v>2585.364</v>
      </c>
      <c r="X68" s="85">
        <v>2637.3969999999999</v>
      </c>
      <c r="Y68" s="85">
        <v>2774.9609999999998</v>
      </c>
      <c r="Z68" s="32">
        <f t="shared" si="180"/>
        <v>2552.25</v>
      </c>
      <c r="AA68" s="85">
        <v>2633.3530000000001</v>
      </c>
      <c r="AB68" s="85">
        <v>3145.82</v>
      </c>
      <c r="AC68" s="85">
        <v>3193.9479999999999</v>
      </c>
      <c r="AE68" s="99">
        <f t="shared" si="181"/>
        <v>2567.4270000000001</v>
      </c>
      <c r="AF68" s="99">
        <f t="shared" si="181"/>
        <v>2551.6750000000002</v>
      </c>
      <c r="AG68" s="99">
        <f t="shared" si="181"/>
        <v>2424.6370000000002</v>
      </c>
      <c r="AH68" s="99">
        <f t="shared" si="181"/>
        <v>2452.04</v>
      </c>
      <c r="AI68" s="99">
        <f t="shared" si="181"/>
        <v>2400.085</v>
      </c>
      <c r="AJ68" s="99">
        <f t="shared" si="181"/>
        <v>2389.915</v>
      </c>
      <c r="AK68" s="99">
        <f t="shared" si="181"/>
        <v>2486.2150000000001</v>
      </c>
      <c r="AL68" s="99">
        <f t="shared" si="181"/>
        <v>2561.4340000000002</v>
      </c>
      <c r="AM68" s="99">
        <f t="shared" si="181"/>
        <v>2585.364</v>
      </c>
      <c r="AN68" s="99">
        <f t="shared" si="181"/>
        <v>2637.3969999999999</v>
      </c>
      <c r="AO68" s="99">
        <f t="shared" si="181"/>
        <v>2774.9609999999998</v>
      </c>
      <c r="AP68" s="99">
        <f t="shared" si="181"/>
        <v>2552.25</v>
      </c>
      <c r="AQ68" s="99">
        <f t="shared" si="181"/>
        <v>2633.3530000000001</v>
      </c>
      <c r="AR68" s="99">
        <f t="shared" si="181"/>
        <v>3145.82</v>
      </c>
      <c r="AS68" s="99">
        <f t="shared" si="181"/>
        <v>3193.9479999999999</v>
      </c>
      <c r="AT68" s="43"/>
      <c r="AU68" s="78">
        <f t="shared" si="182"/>
        <v>0.15098842830583936</v>
      </c>
    </row>
    <row r="69" spans="2:47" ht="12.75" customHeight="1">
      <c r="B69" s="13" t="s">
        <v>18</v>
      </c>
      <c r="C69" s="14">
        <f t="shared" ref="C69:I69" si="183">SUM(C66:C68)+C63</f>
        <v>20735.635000000002</v>
      </c>
      <c r="D69" s="14">
        <f t="shared" si="183"/>
        <v>26393.555</v>
      </c>
      <c r="E69" s="14">
        <f t="shared" si="183"/>
        <v>28215.118999999999</v>
      </c>
      <c r="F69" s="14">
        <f t="shared" si="183"/>
        <v>28735.415000000001</v>
      </c>
      <c r="G69" s="14">
        <f t="shared" si="183"/>
        <v>27817.366999999998</v>
      </c>
      <c r="H69" s="14">
        <f t="shared" si="183"/>
        <v>28143.679000000004</v>
      </c>
      <c r="I69" s="14">
        <f t="shared" si="183"/>
        <v>28886.807000000001</v>
      </c>
      <c r="K69" s="14">
        <f t="shared" ref="K69:AC69" si="184">SUM(K66:K68)+K63</f>
        <v>27238.934000000001</v>
      </c>
      <c r="L69" s="14">
        <f t="shared" si="184"/>
        <v>27107.097999999998</v>
      </c>
      <c r="M69" s="14">
        <f t="shared" si="184"/>
        <v>27425.239999999998</v>
      </c>
      <c r="N69" s="14">
        <f t="shared" si="184"/>
        <v>28735.415000000001</v>
      </c>
      <c r="O69" s="14">
        <f t="shared" si="184"/>
        <v>27786.864999999998</v>
      </c>
      <c r="P69" s="14">
        <f t="shared" si="184"/>
        <v>27274.960999999999</v>
      </c>
      <c r="Q69" s="14">
        <f t="shared" si="184"/>
        <v>27034.046000000002</v>
      </c>
      <c r="R69" s="14">
        <f t="shared" si="184"/>
        <v>27817.366999999998</v>
      </c>
      <c r="S69" s="14">
        <f t="shared" si="184"/>
        <v>27662.148999999998</v>
      </c>
      <c r="T69" s="14">
        <f t="shared" si="184"/>
        <v>27985.258000000002</v>
      </c>
      <c r="U69" s="14">
        <f t="shared" si="184"/>
        <v>27394.159</v>
      </c>
      <c r="V69" s="14">
        <f t="shared" si="184"/>
        <v>28143.679000000004</v>
      </c>
      <c r="W69" s="14">
        <f t="shared" si="184"/>
        <v>27462.311000000002</v>
      </c>
      <c r="X69" s="14">
        <f t="shared" si="184"/>
        <v>26986.201999999997</v>
      </c>
      <c r="Y69" s="14">
        <f t="shared" si="184"/>
        <v>29561.108</v>
      </c>
      <c r="Z69" s="14">
        <f t="shared" si="184"/>
        <v>28886.807000000001</v>
      </c>
      <c r="AA69" s="14">
        <f t="shared" si="184"/>
        <v>28059.571</v>
      </c>
      <c r="AB69" s="14">
        <f t="shared" si="184"/>
        <v>28147.764999999999</v>
      </c>
      <c r="AC69" s="14">
        <f t="shared" si="184"/>
        <v>28980.799999999999</v>
      </c>
      <c r="AE69" s="14">
        <f t="shared" ref="AE69:AS69" si="185">SUM(AE66:AE68)+AE63</f>
        <v>27786.864999999998</v>
      </c>
      <c r="AF69" s="14">
        <f t="shared" si="185"/>
        <v>27274.960999999999</v>
      </c>
      <c r="AG69" s="14">
        <f t="shared" si="185"/>
        <v>27034.046000000002</v>
      </c>
      <c r="AH69" s="14">
        <f t="shared" si="185"/>
        <v>27817.366999999998</v>
      </c>
      <c r="AI69" s="14">
        <f t="shared" si="185"/>
        <v>27662.148999999998</v>
      </c>
      <c r="AJ69" s="14">
        <f t="shared" si="185"/>
        <v>27985.258000000002</v>
      </c>
      <c r="AK69" s="14">
        <f t="shared" si="185"/>
        <v>27394.159</v>
      </c>
      <c r="AL69" s="14">
        <f t="shared" si="185"/>
        <v>28143.679000000004</v>
      </c>
      <c r="AM69" s="14">
        <f t="shared" si="185"/>
        <v>27462.311000000002</v>
      </c>
      <c r="AN69" s="14">
        <f t="shared" si="185"/>
        <v>26986.201999999997</v>
      </c>
      <c r="AO69" s="14">
        <f t="shared" si="185"/>
        <v>29561.108</v>
      </c>
      <c r="AP69" s="14">
        <f t="shared" si="185"/>
        <v>28886.807000000001</v>
      </c>
      <c r="AQ69" s="14">
        <f t="shared" si="185"/>
        <v>28059.571</v>
      </c>
      <c r="AR69" s="14">
        <f t="shared" si="185"/>
        <v>28147.764999999999</v>
      </c>
      <c r="AS69" s="14">
        <f t="shared" si="185"/>
        <v>28980.799999999999</v>
      </c>
      <c r="AT69" s="43"/>
      <c r="AU69" s="79">
        <f t="shared" si="182"/>
        <v>-1.9630793270671743E-2</v>
      </c>
    </row>
    <row r="70" spans="2:47" ht="5.0999999999999996" customHeight="1">
      <c r="B70" s="25"/>
      <c r="C70" s="51"/>
      <c r="D70" s="51"/>
      <c r="E70" s="51"/>
      <c r="F70" s="51"/>
      <c r="G70" s="51"/>
      <c r="H70" s="42"/>
      <c r="I70" s="42"/>
      <c r="K70" s="42"/>
      <c r="L70" s="42"/>
      <c r="M70" s="42"/>
      <c r="N70" s="42"/>
      <c r="O70" s="42"/>
      <c r="P70" s="42"/>
      <c r="Q70" s="42"/>
      <c r="R70" s="42"/>
      <c r="S70" s="42"/>
      <c r="T70" s="42"/>
      <c r="U70" s="42"/>
      <c r="V70" s="42"/>
      <c r="W70" s="42"/>
      <c r="X70" s="42"/>
      <c r="Y70" s="42"/>
      <c r="Z70" s="42"/>
      <c r="AA70" s="42"/>
      <c r="AB70" s="42"/>
      <c r="AC70" s="42"/>
      <c r="AE70" s="43"/>
      <c r="AF70" s="43"/>
      <c r="AG70" s="43"/>
      <c r="AH70" s="43"/>
      <c r="AI70" s="43"/>
      <c r="AJ70" s="43"/>
      <c r="AK70" s="43"/>
      <c r="AL70" s="43"/>
      <c r="AM70" s="43"/>
      <c r="AN70" s="43"/>
      <c r="AO70" s="43"/>
      <c r="AP70" s="43"/>
      <c r="AQ70" s="43"/>
      <c r="AR70" s="43"/>
      <c r="AS70" s="43"/>
      <c r="AT70" s="43"/>
      <c r="AU70" s="40"/>
    </row>
    <row r="71" spans="2:47" ht="12.75" customHeight="1">
      <c r="B71" s="9" t="s">
        <v>21</v>
      </c>
      <c r="C71" s="85">
        <v>2315.9879999999998</v>
      </c>
      <c r="D71" s="85">
        <v>2793.9290000000001</v>
      </c>
      <c r="E71" s="85">
        <v>3447.6979999999999</v>
      </c>
      <c r="F71" s="85">
        <v>4024.5610000000001</v>
      </c>
      <c r="G71" s="85">
        <v>4637.6009999999997</v>
      </c>
      <c r="H71" s="85">
        <v>5145.1719999999996</v>
      </c>
      <c r="I71" s="85">
        <v>6252.1260000000002</v>
      </c>
      <c r="J71" s="32"/>
      <c r="K71" s="85">
        <v>3600.0839999999998</v>
      </c>
      <c r="L71" s="85">
        <v>3721.2460000000001</v>
      </c>
      <c r="M71" s="85">
        <v>3852.5309999999999</v>
      </c>
      <c r="N71" s="32">
        <f t="shared" ref="N71:N73" si="186">F71</f>
        <v>4024.5610000000001</v>
      </c>
      <c r="O71" s="85">
        <v>4155.58</v>
      </c>
      <c r="P71" s="85">
        <v>4316.87</v>
      </c>
      <c r="Q71" s="85">
        <v>4473.9620000000004</v>
      </c>
      <c r="R71" s="99">
        <f t="shared" ref="R71:R73" si="187">G71</f>
        <v>4637.6009999999997</v>
      </c>
      <c r="S71" s="85">
        <v>4762.3950000000004</v>
      </c>
      <c r="T71" s="85">
        <v>4874.2079999999996</v>
      </c>
      <c r="U71" s="85">
        <v>5011.4269999999997</v>
      </c>
      <c r="V71" s="32">
        <f t="shared" ref="V71:V73" si="188">H71</f>
        <v>5145.1719999999996</v>
      </c>
      <c r="W71" s="85">
        <v>5489.85</v>
      </c>
      <c r="X71" s="85">
        <v>5680.0609999999997</v>
      </c>
      <c r="Y71" s="85">
        <v>5887.9030000000002</v>
      </c>
      <c r="Z71" s="32">
        <f t="shared" ref="Z71:Z73" si="189">I71</f>
        <v>6252.1260000000002</v>
      </c>
      <c r="AA71" s="85">
        <v>6677.4690000000001</v>
      </c>
      <c r="AB71" s="85">
        <v>6932.8280000000004</v>
      </c>
      <c r="AC71" s="85">
        <v>7080.3249999999998</v>
      </c>
      <c r="AE71" s="32">
        <f t="shared" ref="AE71:AS74" si="190">O71</f>
        <v>4155.58</v>
      </c>
      <c r="AF71" s="32">
        <f t="shared" si="190"/>
        <v>4316.87</v>
      </c>
      <c r="AG71" s="32">
        <f t="shared" si="190"/>
        <v>4473.9620000000004</v>
      </c>
      <c r="AH71" s="32">
        <f t="shared" si="190"/>
        <v>4637.6009999999997</v>
      </c>
      <c r="AI71" s="32">
        <f t="shared" si="190"/>
        <v>4762.3950000000004</v>
      </c>
      <c r="AJ71" s="32">
        <f t="shared" si="190"/>
        <v>4874.2079999999996</v>
      </c>
      <c r="AK71" s="32">
        <f t="shared" si="190"/>
        <v>5011.4269999999997</v>
      </c>
      <c r="AL71" s="32">
        <f t="shared" si="190"/>
        <v>5145.1719999999996</v>
      </c>
      <c r="AM71" s="32">
        <f t="shared" si="190"/>
        <v>5489.85</v>
      </c>
      <c r="AN71" s="32">
        <f t="shared" si="190"/>
        <v>5680.0609999999997</v>
      </c>
      <c r="AO71" s="32">
        <f t="shared" si="190"/>
        <v>5887.9030000000002</v>
      </c>
      <c r="AP71" s="32">
        <f t="shared" si="190"/>
        <v>6252.1260000000002</v>
      </c>
      <c r="AQ71" s="32">
        <f t="shared" si="190"/>
        <v>6677.4690000000001</v>
      </c>
      <c r="AR71" s="32">
        <f t="shared" si="190"/>
        <v>6932.8280000000004</v>
      </c>
      <c r="AS71" s="32">
        <f t="shared" si="190"/>
        <v>7080.3249999999998</v>
      </c>
      <c r="AT71" s="11"/>
      <c r="AU71" s="78">
        <f t="shared" si="182"/>
        <v>0.20252065973233591</v>
      </c>
    </row>
    <row r="72" spans="2:47" ht="12.75" customHeight="1">
      <c r="B72" s="9" t="s">
        <v>138</v>
      </c>
      <c r="C72" s="85">
        <v>0</v>
      </c>
      <c r="D72" s="85">
        <v>0</v>
      </c>
      <c r="E72" s="85">
        <v>0</v>
      </c>
      <c r="F72" s="85">
        <v>-824.19</v>
      </c>
      <c r="G72" s="85">
        <v>-824.19</v>
      </c>
      <c r="H72" s="85">
        <v>-6922.2</v>
      </c>
      <c r="I72" s="85">
        <v>-13171.638000000001</v>
      </c>
      <c r="J72" s="32"/>
      <c r="K72" s="85">
        <v>0</v>
      </c>
      <c r="L72" s="85">
        <v>-500.02199999999999</v>
      </c>
      <c r="M72" s="85">
        <v>-600.02200000000005</v>
      </c>
      <c r="N72" s="32">
        <f t="shared" si="186"/>
        <v>-824.19</v>
      </c>
      <c r="O72" s="85">
        <v>-824.19</v>
      </c>
      <c r="P72" s="85">
        <v>-824.19</v>
      </c>
      <c r="Q72" s="85">
        <v>-824.19</v>
      </c>
      <c r="R72" s="99">
        <f t="shared" si="187"/>
        <v>-824.19</v>
      </c>
      <c r="S72" s="85">
        <v>-1228.92</v>
      </c>
      <c r="T72" s="85">
        <v>-1876.7529999999999</v>
      </c>
      <c r="U72" s="85">
        <v>-4399.6769999999997</v>
      </c>
      <c r="V72" s="32">
        <f t="shared" si="188"/>
        <v>-6922.2</v>
      </c>
      <c r="W72" s="85">
        <v>-8934.0560000000005</v>
      </c>
      <c r="X72" s="85">
        <v>-10547.055</v>
      </c>
      <c r="Y72" s="85">
        <v>-12254.855</v>
      </c>
      <c r="Z72" s="32">
        <f t="shared" si="189"/>
        <v>-13171.638000000001</v>
      </c>
      <c r="AA72" s="85">
        <v>-16754.929</v>
      </c>
      <c r="AB72" s="85">
        <v>-18392.941999999999</v>
      </c>
      <c r="AC72" s="85">
        <v>-20270.631000000001</v>
      </c>
      <c r="AE72" s="32">
        <f t="shared" si="190"/>
        <v>-824.19</v>
      </c>
      <c r="AF72" s="32">
        <f t="shared" si="190"/>
        <v>-824.19</v>
      </c>
      <c r="AG72" s="32">
        <f t="shared" si="190"/>
        <v>-824.19</v>
      </c>
      <c r="AH72" s="32">
        <f t="shared" si="190"/>
        <v>-824.19</v>
      </c>
      <c r="AI72" s="32">
        <f t="shared" si="190"/>
        <v>-1228.92</v>
      </c>
      <c r="AJ72" s="32">
        <f t="shared" si="190"/>
        <v>-1876.7529999999999</v>
      </c>
      <c r="AK72" s="32">
        <f t="shared" si="190"/>
        <v>-4399.6769999999997</v>
      </c>
      <c r="AL72" s="32">
        <f t="shared" si="190"/>
        <v>-6922.2</v>
      </c>
      <c r="AM72" s="32">
        <f t="shared" si="190"/>
        <v>-8934.0560000000005</v>
      </c>
      <c r="AN72" s="32">
        <f t="shared" si="190"/>
        <v>-10547.055</v>
      </c>
      <c r="AO72" s="32">
        <f t="shared" si="190"/>
        <v>-12254.855</v>
      </c>
      <c r="AP72" s="32">
        <f t="shared" si="190"/>
        <v>-13171.638000000001</v>
      </c>
      <c r="AQ72" s="32">
        <f t="shared" si="190"/>
        <v>-16754.929</v>
      </c>
      <c r="AR72" s="32">
        <f t="shared" si="190"/>
        <v>-18392.941999999999</v>
      </c>
      <c r="AS72" s="32">
        <f t="shared" si="190"/>
        <v>-20270.631000000001</v>
      </c>
      <c r="AT72" s="11"/>
      <c r="AU72" s="78">
        <f t="shared" si="182"/>
        <v>0.65408982807222138</v>
      </c>
    </row>
    <row r="73" spans="2:47" ht="12.75" customHeight="1">
      <c r="B73" s="9" t="s">
        <v>109</v>
      </c>
      <c r="C73" s="85">
        <v>-19.582000000000001</v>
      </c>
      <c r="D73" s="85">
        <v>-23.521000000000001</v>
      </c>
      <c r="E73" s="85">
        <v>44.398000000000003</v>
      </c>
      <c r="F73" s="85">
        <v>-40.494999999999997</v>
      </c>
      <c r="G73" s="85">
        <v>-217.30600000000001</v>
      </c>
      <c r="H73" s="85">
        <v>-223.94499999999999</v>
      </c>
      <c r="I73" s="85">
        <v>362.16199999999998</v>
      </c>
      <c r="J73" s="32"/>
      <c r="K73" s="85">
        <v>4.1369999999999996</v>
      </c>
      <c r="L73" s="85">
        <v>9.7750000000000004</v>
      </c>
      <c r="M73" s="85">
        <v>-19.835000000000001</v>
      </c>
      <c r="N73" s="32">
        <f t="shared" si="186"/>
        <v>-40.494999999999997</v>
      </c>
      <c r="O73" s="85">
        <v>-74.17</v>
      </c>
      <c r="P73" s="85">
        <v>-144.476</v>
      </c>
      <c r="Q73" s="85">
        <v>-247.643</v>
      </c>
      <c r="R73" s="99">
        <f t="shared" si="187"/>
        <v>-217.30600000000001</v>
      </c>
      <c r="S73" s="85">
        <v>-191.69499999999999</v>
      </c>
      <c r="T73" s="85">
        <v>-139.26599999999999</v>
      </c>
      <c r="U73" s="85">
        <v>-155.571</v>
      </c>
      <c r="V73" s="32">
        <f t="shared" si="188"/>
        <v>-223.94499999999999</v>
      </c>
      <c r="W73" s="85">
        <v>-111.879</v>
      </c>
      <c r="X73" s="85">
        <v>-89.114000000000004</v>
      </c>
      <c r="Y73" s="85">
        <v>-344.62200000000001</v>
      </c>
      <c r="Z73" s="32">
        <f t="shared" si="189"/>
        <v>362.16199999999998</v>
      </c>
      <c r="AA73" s="85">
        <v>-85.734999999999999</v>
      </c>
      <c r="AB73" s="85">
        <v>-904.66800000000001</v>
      </c>
      <c r="AC73" s="85">
        <v>-719.25599999999997</v>
      </c>
      <c r="AE73" s="32">
        <f t="shared" si="190"/>
        <v>-74.17</v>
      </c>
      <c r="AF73" s="32">
        <f t="shared" si="190"/>
        <v>-144.476</v>
      </c>
      <c r="AG73" s="32">
        <f t="shared" si="190"/>
        <v>-247.643</v>
      </c>
      <c r="AH73" s="32">
        <f t="shared" si="190"/>
        <v>-217.30600000000001</v>
      </c>
      <c r="AI73" s="32">
        <f t="shared" si="190"/>
        <v>-191.69499999999999</v>
      </c>
      <c r="AJ73" s="32">
        <f t="shared" si="190"/>
        <v>-139.26599999999999</v>
      </c>
      <c r="AK73" s="32">
        <f t="shared" si="190"/>
        <v>-155.571</v>
      </c>
      <c r="AL73" s="32">
        <f t="shared" si="190"/>
        <v>-223.94499999999999</v>
      </c>
      <c r="AM73" s="32">
        <f t="shared" si="190"/>
        <v>-111.879</v>
      </c>
      <c r="AN73" s="32">
        <f t="shared" si="190"/>
        <v>-89.114000000000004</v>
      </c>
      <c r="AO73" s="32">
        <f t="shared" si="190"/>
        <v>-344.62200000000001</v>
      </c>
      <c r="AP73" s="32">
        <f t="shared" si="190"/>
        <v>362.16199999999998</v>
      </c>
      <c r="AQ73" s="32">
        <f t="shared" si="190"/>
        <v>-85.734999999999999</v>
      </c>
      <c r="AR73" s="32">
        <f t="shared" si="190"/>
        <v>-904.66800000000001</v>
      </c>
      <c r="AS73" s="32">
        <f t="shared" si="190"/>
        <v>-719.25599999999997</v>
      </c>
      <c r="AT73" s="11"/>
      <c r="AU73" s="78">
        <f t="shared" si="182"/>
        <v>1.0870867211031214</v>
      </c>
    </row>
    <row r="74" spans="2:47" ht="12.75" customHeight="1">
      <c r="B74" s="9" t="s">
        <v>108</v>
      </c>
      <c r="C74" s="85">
        <v>2942.3589999999999</v>
      </c>
      <c r="D74" s="85">
        <v>4811.7489999999998</v>
      </c>
      <c r="E74" s="85">
        <v>7573.1440000000002</v>
      </c>
      <c r="F74" s="85">
        <v>12689.371999999999</v>
      </c>
      <c r="G74" s="85">
        <v>17181.295999999998</v>
      </c>
      <c r="H74" s="85">
        <v>22589.286</v>
      </c>
      <c r="I74" s="85">
        <v>31300.917000000001</v>
      </c>
      <c r="J74" s="32"/>
      <c r="K74" s="85">
        <v>9279.8590000000004</v>
      </c>
      <c r="L74" s="85">
        <v>10632.871999999999</v>
      </c>
      <c r="M74" s="85">
        <v>12081.942999999999</v>
      </c>
      <c r="N74" s="32">
        <f>F74</f>
        <v>12689.371999999999</v>
      </c>
      <c r="O74" s="85">
        <v>14286.819</v>
      </c>
      <c r="P74" s="85">
        <v>15727.77</v>
      </c>
      <c r="Q74" s="85">
        <v>17126.011999999999</v>
      </c>
      <c r="R74" s="99">
        <f>G74</f>
        <v>17181.295999999998</v>
      </c>
      <c r="S74" s="85">
        <v>18486.416000000001</v>
      </c>
      <c r="T74" s="85">
        <v>19974.026000000002</v>
      </c>
      <c r="U74" s="85">
        <v>21651.448</v>
      </c>
      <c r="V74" s="32">
        <f>H74</f>
        <v>22589.286</v>
      </c>
      <c r="W74" s="85">
        <v>24921.494999999999</v>
      </c>
      <c r="X74" s="85">
        <v>27068.800999999999</v>
      </c>
      <c r="Y74" s="85">
        <v>29432.31</v>
      </c>
      <c r="Z74" s="32">
        <f>I74</f>
        <v>31300.917000000001</v>
      </c>
      <c r="AA74" s="85">
        <v>34191.267999999996</v>
      </c>
      <c r="AB74" s="85">
        <v>37316.680999999997</v>
      </c>
      <c r="AC74" s="85">
        <v>39863.597000000002</v>
      </c>
      <c r="AE74" s="32">
        <f t="shared" si="190"/>
        <v>14286.819</v>
      </c>
      <c r="AF74" s="32">
        <f t="shared" si="190"/>
        <v>15727.77</v>
      </c>
      <c r="AG74" s="32">
        <f t="shared" si="190"/>
        <v>17126.011999999999</v>
      </c>
      <c r="AH74" s="32">
        <f t="shared" si="190"/>
        <v>17181.295999999998</v>
      </c>
      <c r="AI74" s="32">
        <f t="shared" si="190"/>
        <v>18486.416000000001</v>
      </c>
      <c r="AJ74" s="32">
        <f t="shared" si="190"/>
        <v>19974.026000000002</v>
      </c>
      <c r="AK74" s="32">
        <f t="shared" si="190"/>
        <v>21651.448</v>
      </c>
      <c r="AL74" s="32">
        <f t="shared" si="190"/>
        <v>22589.286</v>
      </c>
      <c r="AM74" s="32">
        <f t="shared" si="190"/>
        <v>24921.494999999999</v>
      </c>
      <c r="AN74" s="32">
        <f t="shared" si="190"/>
        <v>27068.800999999999</v>
      </c>
      <c r="AO74" s="32">
        <f t="shared" si="190"/>
        <v>29432.31</v>
      </c>
      <c r="AP74" s="32">
        <f t="shared" si="190"/>
        <v>31300.917000000001</v>
      </c>
      <c r="AQ74" s="32">
        <f t="shared" si="190"/>
        <v>34191.267999999996</v>
      </c>
      <c r="AR74" s="32">
        <f t="shared" si="190"/>
        <v>37316.680999999997</v>
      </c>
      <c r="AS74" s="32">
        <f t="shared" si="190"/>
        <v>39863.597000000002</v>
      </c>
      <c r="AT74" s="11"/>
      <c r="AU74" s="78">
        <f t="shared" si="182"/>
        <v>0.35441618411874565</v>
      </c>
    </row>
    <row r="75" spans="2:47" ht="12.75" customHeight="1">
      <c r="B75" s="13" t="s">
        <v>17</v>
      </c>
      <c r="C75" s="14">
        <f t="shared" ref="C75:I75" si="191">SUM(C71:C74)</f>
        <v>5238.7649999999994</v>
      </c>
      <c r="D75" s="14">
        <f t="shared" si="191"/>
        <v>7582.1569999999992</v>
      </c>
      <c r="E75" s="14">
        <f t="shared" si="191"/>
        <v>11065.24</v>
      </c>
      <c r="F75" s="14">
        <f t="shared" si="191"/>
        <v>15849.248</v>
      </c>
      <c r="G75" s="14">
        <f t="shared" si="191"/>
        <v>20777.400999999998</v>
      </c>
      <c r="H75" s="14">
        <f t="shared" si="191"/>
        <v>20588.312999999998</v>
      </c>
      <c r="I75" s="14">
        <f t="shared" si="191"/>
        <v>24743.567000000003</v>
      </c>
      <c r="J75" s="54"/>
      <c r="K75" s="14">
        <f t="shared" ref="K75:AC75" si="192">SUM(K71:K74)</f>
        <v>12884.08</v>
      </c>
      <c r="L75" s="14">
        <f t="shared" si="192"/>
        <v>13863.870999999999</v>
      </c>
      <c r="M75" s="14">
        <f t="shared" si="192"/>
        <v>15314.616999999998</v>
      </c>
      <c r="N75" s="14">
        <f t="shared" si="192"/>
        <v>15849.248</v>
      </c>
      <c r="O75" s="14">
        <f t="shared" si="192"/>
        <v>17544.039000000001</v>
      </c>
      <c r="P75" s="14">
        <f t="shared" si="192"/>
        <v>19075.974000000002</v>
      </c>
      <c r="Q75" s="14">
        <f t="shared" si="192"/>
        <v>20528.141</v>
      </c>
      <c r="R75" s="14">
        <f t="shared" si="192"/>
        <v>20777.400999999998</v>
      </c>
      <c r="S75" s="14">
        <f t="shared" si="192"/>
        <v>21828.196</v>
      </c>
      <c r="T75" s="14">
        <f t="shared" si="192"/>
        <v>22832.215</v>
      </c>
      <c r="U75" s="14">
        <f t="shared" si="192"/>
        <v>22107.627</v>
      </c>
      <c r="V75" s="14">
        <f t="shared" si="192"/>
        <v>20588.312999999998</v>
      </c>
      <c r="W75" s="14">
        <f t="shared" si="192"/>
        <v>21365.41</v>
      </c>
      <c r="X75" s="14">
        <f t="shared" si="192"/>
        <v>22112.692999999999</v>
      </c>
      <c r="Y75" s="14">
        <f t="shared" si="192"/>
        <v>22720.736000000001</v>
      </c>
      <c r="Z75" s="14">
        <f t="shared" si="192"/>
        <v>24743.567000000003</v>
      </c>
      <c r="AA75" s="14">
        <f t="shared" si="192"/>
        <v>24028.072999999997</v>
      </c>
      <c r="AB75" s="14">
        <f t="shared" si="192"/>
        <v>24951.898999999998</v>
      </c>
      <c r="AC75" s="14">
        <f t="shared" si="192"/>
        <v>25954.035000000003</v>
      </c>
      <c r="AE75" s="14">
        <f t="shared" ref="AE75:AS75" si="193">SUM(AE71:AE74)</f>
        <v>17544.039000000001</v>
      </c>
      <c r="AF75" s="14">
        <f t="shared" si="193"/>
        <v>19075.974000000002</v>
      </c>
      <c r="AG75" s="14">
        <f t="shared" si="193"/>
        <v>20528.141</v>
      </c>
      <c r="AH75" s="14">
        <f t="shared" si="193"/>
        <v>20777.400999999998</v>
      </c>
      <c r="AI75" s="14">
        <f t="shared" si="193"/>
        <v>21828.196</v>
      </c>
      <c r="AJ75" s="14">
        <f t="shared" si="193"/>
        <v>22832.215</v>
      </c>
      <c r="AK75" s="14">
        <f t="shared" si="193"/>
        <v>22107.627</v>
      </c>
      <c r="AL75" s="14">
        <f t="shared" si="193"/>
        <v>20588.312999999998</v>
      </c>
      <c r="AM75" s="14">
        <f t="shared" si="193"/>
        <v>21365.41</v>
      </c>
      <c r="AN75" s="14">
        <f t="shared" si="193"/>
        <v>22112.692999999999</v>
      </c>
      <c r="AO75" s="14">
        <f t="shared" si="193"/>
        <v>22720.736000000001</v>
      </c>
      <c r="AP75" s="14">
        <f t="shared" si="193"/>
        <v>24743.567000000003</v>
      </c>
      <c r="AQ75" s="14">
        <f t="shared" si="193"/>
        <v>24028.072999999997</v>
      </c>
      <c r="AR75" s="14">
        <f t="shared" si="193"/>
        <v>24951.898999999998</v>
      </c>
      <c r="AS75" s="14">
        <f t="shared" si="193"/>
        <v>25954.035000000003</v>
      </c>
      <c r="AT75" s="43"/>
      <c r="AU75" s="78">
        <f t="shared" si="182"/>
        <v>0.14230608550708923</v>
      </c>
    </row>
    <row r="76" spans="2:47" ht="12.75" customHeight="1">
      <c r="B76" s="25" t="s">
        <v>59</v>
      </c>
      <c r="C76" s="32">
        <f t="shared" ref="C76:I76" si="194">SUM(C75+C69)</f>
        <v>25974.400000000001</v>
      </c>
      <c r="D76" s="32">
        <f t="shared" si="194"/>
        <v>33975.712</v>
      </c>
      <c r="E76" s="32">
        <f t="shared" si="194"/>
        <v>39280.358999999997</v>
      </c>
      <c r="F76" s="32">
        <f t="shared" si="194"/>
        <v>44584.663</v>
      </c>
      <c r="G76" s="32">
        <f t="shared" si="194"/>
        <v>48594.767999999996</v>
      </c>
      <c r="H76" s="32">
        <f t="shared" si="194"/>
        <v>48731.991999999998</v>
      </c>
      <c r="I76" s="32">
        <f t="shared" si="194"/>
        <v>53630.374000000003</v>
      </c>
      <c r="J76" s="32"/>
      <c r="K76" s="32">
        <f t="shared" ref="K76:AC76" si="195">SUM(K75+K69)</f>
        <v>40123.014000000003</v>
      </c>
      <c r="L76" s="32">
        <f t="shared" si="195"/>
        <v>40970.968999999997</v>
      </c>
      <c r="M76" s="32">
        <f t="shared" si="195"/>
        <v>42739.856999999996</v>
      </c>
      <c r="N76" s="32">
        <f t="shared" si="195"/>
        <v>44584.663</v>
      </c>
      <c r="O76" s="32">
        <f t="shared" si="195"/>
        <v>45330.903999999995</v>
      </c>
      <c r="P76" s="32">
        <f t="shared" si="195"/>
        <v>46350.934999999998</v>
      </c>
      <c r="Q76" s="32">
        <f t="shared" si="195"/>
        <v>47562.187000000005</v>
      </c>
      <c r="R76" s="32">
        <f t="shared" si="195"/>
        <v>48594.767999999996</v>
      </c>
      <c r="S76" s="32">
        <f t="shared" si="195"/>
        <v>49490.345000000001</v>
      </c>
      <c r="T76" s="32">
        <f t="shared" si="195"/>
        <v>50817.472999999998</v>
      </c>
      <c r="U76" s="32">
        <f t="shared" si="195"/>
        <v>49501.786</v>
      </c>
      <c r="V76" s="32">
        <f t="shared" si="195"/>
        <v>48731.991999999998</v>
      </c>
      <c r="W76" s="32">
        <f t="shared" si="195"/>
        <v>48827.721000000005</v>
      </c>
      <c r="X76" s="32">
        <f t="shared" si="195"/>
        <v>49098.894999999997</v>
      </c>
      <c r="Y76" s="32">
        <f t="shared" si="195"/>
        <v>52281.843999999997</v>
      </c>
      <c r="Z76" s="32">
        <f t="shared" si="195"/>
        <v>53630.374000000003</v>
      </c>
      <c r="AA76" s="32">
        <f t="shared" si="195"/>
        <v>52087.644</v>
      </c>
      <c r="AB76" s="32">
        <f t="shared" si="195"/>
        <v>53099.663999999997</v>
      </c>
      <c r="AC76" s="32">
        <f t="shared" si="195"/>
        <v>54934.835000000006</v>
      </c>
      <c r="AD76" s="32"/>
      <c r="AE76" s="32">
        <f t="shared" ref="AE76:AS76" si="196">SUM(AE75+AE69)</f>
        <v>45330.903999999995</v>
      </c>
      <c r="AF76" s="32">
        <f t="shared" si="196"/>
        <v>46350.934999999998</v>
      </c>
      <c r="AG76" s="32">
        <f t="shared" si="196"/>
        <v>47562.187000000005</v>
      </c>
      <c r="AH76" s="32">
        <f t="shared" si="196"/>
        <v>48594.767999999996</v>
      </c>
      <c r="AI76" s="32">
        <f t="shared" si="196"/>
        <v>49490.345000000001</v>
      </c>
      <c r="AJ76" s="32">
        <f t="shared" si="196"/>
        <v>50817.472999999998</v>
      </c>
      <c r="AK76" s="32">
        <f t="shared" si="196"/>
        <v>49501.786</v>
      </c>
      <c r="AL76" s="32">
        <f t="shared" si="196"/>
        <v>48731.991999999998</v>
      </c>
      <c r="AM76" s="32">
        <f t="shared" si="196"/>
        <v>48827.721000000005</v>
      </c>
      <c r="AN76" s="32">
        <f t="shared" si="196"/>
        <v>49098.894999999997</v>
      </c>
      <c r="AO76" s="32">
        <f t="shared" si="196"/>
        <v>52281.843999999997</v>
      </c>
      <c r="AP76" s="32">
        <f t="shared" si="196"/>
        <v>53630.374000000003</v>
      </c>
      <c r="AQ76" s="32">
        <f t="shared" si="196"/>
        <v>52087.644</v>
      </c>
      <c r="AR76" s="32">
        <f t="shared" si="196"/>
        <v>53099.663999999997</v>
      </c>
      <c r="AS76" s="32">
        <f t="shared" si="196"/>
        <v>54934.835000000006</v>
      </c>
      <c r="AT76" s="11"/>
      <c r="AU76" s="79">
        <f t="shared" si="182"/>
        <v>5.0744021194049971E-2</v>
      </c>
    </row>
    <row r="77" spans="2:47" ht="5.0999999999999996" customHeight="1">
      <c r="B77" s="25"/>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11"/>
    </row>
    <row r="78" spans="2:47" ht="12.75" customHeight="1">
      <c r="B78" s="143" t="s">
        <v>69</v>
      </c>
      <c r="C78" s="72">
        <f t="shared" ref="C78:I78" si="197">C76-C55</f>
        <v>0</v>
      </c>
      <c r="D78" s="72">
        <f t="shared" si="197"/>
        <v>0</v>
      </c>
      <c r="E78" s="72">
        <f t="shared" si="197"/>
        <v>0</v>
      </c>
      <c r="F78" s="72">
        <f t="shared" si="197"/>
        <v>0</v>
      </c>
      <c r="G78" s="72">
        <f t="shared" si="197"/>
        <v>0</v>
      </c>
      <c r="H78" s="72">
        <f t="shared" si="197"/>
        <v>0</v>
      </c>
      <c r="I78" s="72">
        <f t="shared" si="197"/>
        <v>0</v>
      </c>
      <c r="J78" s="73"/>
      <c r="K78" s="72">
        <f t="shared" ref="K78:AC78" si="198">K76-K55</f>
        <v>0</v>
      </c>
      <c r="L78" s="72">
        <f t="shared" si="198"/>
        <v>0</v>
      </c>
      <c r="M78" s="72">
        <f t="shared" si="198"/>
        <v>0</v>
      </c>
      <c r="N78" s="72">
        <f t="shared" si="198"/>
        <v>0</v>
      </c>
      <c r="O78" s="72">
        <f t="shared" si="198"/>
        <v>0</v>
      </c>
      <c r="P78" s="72">
        <f t="shared" si="198"/>
        <v>0</v>
      </c>
      <c r="Q78" s="72">
        <f t="shared" si="198"/>
        <v>0</v>
      </c>
      <c r="R78" s="72">
        <f t="shared" si="198"/>
        <v>0</v>
      </c>
      <c r="S78" s="72">
        <f t="shared" si="198"/>
        <v>0</v>
      </c>
      <c r="T78" s="72">
        <f t="shared" si="198"/>
        <v>0</v>
      </c>
      <c r="U78" s="72">
        <f t="shared" si="198"/>
        <v>0</v>
      </c>
      <c r="V78" s="72">
        <f t="shared" si="198"/>
        <v>0</v>
      </c>
      <c r="W78" s="72">
        <f t="shared" si="198"/>
        <v>0</v>
      </c>
      <c r="X78" s="72">
        <f t="shared" si="198"/>
        <v>0</v>
      </c>
      <c r="Y78" s="72">
        <f t="shared" si="198"/>
        <v>0</v>
      </c>
      <c r="Z78" s="72">
        <f t="shared" si="198"/>
        <v>0</v>
      </c>
      <c r="AA78" s="72">
        <f t="shared" si="198"/>
        <v>0</v>
      </c>
      <c r="AB78" s="72">
        <f t="shared" si="198"/>
        <v>0</v>
      </c>
      <c r="AC78" s="72">
        <f t="shared" si="198"/>
        <v>0</v>
      </c>
      <c r="AD78" s="28"/>
      <c r="AE78" s="72">
        <f t="shared" ref="AE78:AS78" si="199">AE76-AE55</f>
        <v>0</v>
      </c>
      <c r="AF78" s="72">
        <f t="shared" si="199"/>
        <v>0</v>
      </c>
      <c r="AG78" s="72">
        <f t="shared" si="199"/>
        <v>0</v>
      </c>
      <c r="AH78" s="72">
        <f t="shared" si="199"/>
        <v>0</v>
      </c>
      <c r="AI78" s="72">
        <f t="shared" si="199"/>
        <v>0</v>
      </c>
      <c r="AJ78" s="72">
        <f t="shared" si="199"/>
        <v>0</v>
      </c>
      <c r="AK78" s="72">
        <f t="shared" si="199"/>
        <v>0</v>
      </c>
      <c r="AL78" s="72">
        <f t="shared" si="199"/>
        <v>0</v>
      </c>
      <c r="AM78" s="72">
        <f t="shared" si="199"/>
        <v>0</v>
      </c>
      <c r="AN78" s="72">
        <f t="shared" si="199"/>
        <v>0</v>
      </c>
      <c r="AO78" s="72">
        <f t="shared" si="199"/>
        <v>0</v>
      </c>
      <c r="AP78" s="72">
        <f t="shared" si="199"/>
        <v>0</v>
      </c>
      <c r="AQ78" s="72">
        <f t="shared" si="199"/>
        <v>0</v>
      </c>
      <c r="AR78" s="72">
        <f t="shared" si="199"/>
        <v>0</v>
      </c>
      <c r="AS78" s="72">
        <f t="shared" si="199"/>
        <v>0</v>
      </c>
    </row>
    <row r="79" spans="2:47" ht="5.0999999999999996" customHeight="1" thickBot="1">
      <c r="B79" s="118"/>
      <c r="C79" s="119"/>
      <c r="D79" s="119"/>
      <c r="E79" s="119"/>
      <c r="F79" s="119"/>
      <c r="G79" s="119"/>
      <c r="H79" s="119"/>
      <c r="I79" s="119"/>
      <c r="J79" s="120"/>
      <c r="K79" s="119"/>
      <c r="L79" s="119"/>
      <c r="M79" s="119"/>
      <c r="N79" s="119"/>
      <c r="O79" s="119"/>
      <c r="P79" s="119"/>
      <c r="Q79" s="119"/>
      <c r="R79" s="119"/>
      <c r="S79" s="119"/>
      <c r="T79" s="119"/>
      <c r="U79" s="119"/>
      <c r="V79" s="119"/>
      <c r="W79" s="119"/>
      <c r="X79" s="119"/>
      <c r="Y79" s="119"/>
      <c r="Z79" s="119"/>
      <c r="AA79" s="119"/>
      <c r="AB79" s="119"/>
      <c r="AC79" s="119"/>
      <c r="AD79" s="121"/>
      <c r="AE79" s="119"/>
      <c r="AF79" s="119"/>
      <c r="AG79" s="119"/>
      <c r="AH79" s="119"/>
      <c r="AI79" s="119"/>
      <c r="AJ79" s="119"/>
      <c r="AK79" s="119"/>
      <c r="AL79" s="119"/>
      <c r="AM79" s="119"/>
      <c r="AN79" s="119"/>
      <c r="AO79" s="119"/>
      <c r="AP79" s="119"/>
      <c r="AQ79" s="119"/>
      <c r="AR79" s="119"/>
      <c r="AS79" s="119"/>
      <c r="AT79" s="76"/>
      <c r="AU79" s="76"/>
    </row>
    <row r="80" spans="2:47">
      <c r="B80" s="70"/>
      <c r="C80" s="71"/>
      <c r="D80" s="71"/>
      <c r="E80" s="71"/>
      <c r="F80" s="55"/>
      <c r="G80" s="24"/>
      <c r="H80" s="24"/>
      <c r="I80" s="24"/>
      <c r="J80" s="55"/>
    </row>
    <row r="81" spans="1:47" ht="12.75" customHeight="1">
      <c r="A81" s="5" t="s">
        <v>19</v>
      </c>
      <c r="B81" s="100" t="s">
        <v>15</v>
      </c>
      <c r="C81" s="104"/>
      <c r="D81" s="104"/>
      <c r="E81" s="104"/>
      <c r="F81" s="104"/>
      <c r="G81" s="104"/>
      <c r="H81" s="104"/>
      <c r="I81" s="104"/>
      <c r="J81" s="105"/>
      <c r="K81" s="104"/>
      <c r="L81" s="104"/>
      <c r="M81" s="104"/>
      <c r="N81" s="104"/>
      <c r="O81" s="104"/>
      <c r="P81" s="104"/>
      <c r="Q81" s="104"/>
      <c r="R81" s="104"/>
      <c r="S81" s="104"/>
      <c r="T81" s="104"/>
      <c r="U81" s="104"/>
      <c r="V81" s="104"/>
      <c r="W81" s="104"/>
      <c r="X81" s="104"/>
      <c r="Y81" s="104"/>
      <c r="Z81" s="104"/>
      <c r="AA81" s="104"/>
      <c r="AB81" s="104"/>
      <c r="AC81" s="104"/>
      <c r="AD81" s="100"/>
      <c r="AE81" s="104"/>
      <c r="AF81" s="104"/>
      <c r="AG81" s="104"/>
      <c r="AH81" s="104"/>
      <c r="AI81" s="104"/>
      <c r="AJ81" s="104"/>
      <c r="AK81" s="104"/>
      <c r="AL81" s="104"/>
      <c r="AM81" s="104"/>
      <c r="AN81" s="104" t="s">
        <v>10</v>
      </c>
      <c r="AO81" s="104"/>
      <c r="AP81" s="104"/>
      <c r="AQ81" s="104"/>
      <c r="AR81" s="104"/>
      <c r="AS81" s="104"/>
      <c r="AT81" s="105"/>
      <c r="AU81" s="163" t="s">
        <v>26</v>
      </c>
    </row>
    <row r="82" spans="1:47" ht="12.75" customHeight="1">
      <c r="B82" s="101" t="str">
        <f t="shared" ref="B82:I83" si="200">B7</f>
        <v>Fiscal Period</v>
      </c>
      <c r="C82" s="106">
        <f t="shared" si="200"/>
        <v>2018</v>
      </c>
      <c r="D82" s="106">
        <f t="shared" si="200"/>
        <v>2019</v>
      </c>
      <c r="E82" s="106">
        <f t="shared" si="200"/>
        <v>2020</v>
      </c>
      <c r="F82" s="106">
        <f t="shared" si="200"/>
        <v>2021</v>
      </c>
      <c r="G82" s="106">
        <f t="shared" si="200"/>
        <v>2022</v>
      </c>
      <c r="H82" s="106">
        <f t="shared" si="200"/>
        <v>2023</v>
      </c>
      <c r="I82" s="106">
        <f t="shared" si="200"/>
        <v>2024</v>
      </c>
      <c r="J82" s="105"/>
      <c r="K82" s="106" t="str">
        <f t="shared" ref="K82:AC82" si="201">K7</f>
        <v>1Q21</v>
      </c>
      <c r="L82" s="106" t="str">
        <f t="shared" si="201"/>
        <v>2Q21</v>
      </c>
      <c r="M82" s="106" t="str">
        <f t="shared" si="201"/>
        <v>3Q21</v>
      </c>
      <c r="N82" s="106" t="str">
        <f t="shared" si="201"/>
        <v>4Q21</v>
      </c>
      <c r="O82" s="106" t="str">
        <f t="shared" si="201"/>
        <v>1Q22</v>
      </c>
      <c r="P82" s="106" t="str">
        <f t="shared" si="201"/>
        <v>2Q22</v>
      </c>
      <c r="Q82" s="106" t="str">
        <f t="shared" si="201"/>
        <v>3Q22</v>
      </c>
      <c r="R82" s="106" t="str">
        <f t="shared" si="201"/>
        <v>4Q22</v>
      </c>
      <c r="S82" s="106" t="str">
        <f t="shared" si="201"/>
        <v>1Q23</v>
      </c>
      <c r="T82" s="106" t="str">
        <f t="shared" si="201"/>
        <v>2Q23</v>
      </c>
      <c r="U82" s="106" t="str">
        <f t="shared" si="201"/>
        <v>3Q23</v>
      </c>
      <c r="V82" s="106" t="str">
        <f t="shared" si="201"/>
        <v>4Q23</v>
      </c>
      <c r="W82" s="106" t="str">
        <f t="shared" si="201"/>
        <v>1Q24</v>
      </c>
      <c r="X82" s="106" t="str">
        <f t="shared" si="201"/>
        <v>2Q24</v>
      </c>
      <c r="Y82" s="106" t="str">
        <f t="shared" si="201"/>
        <v>3Q24</v>
      </c>
      <c r="Z82" s="106" t="str">
        <f t="shared" si="201"/>
        <v>4Q24</v>
      </c>
      <c r="AA82" s="106" t="str">
        <f t="shared" si="201"/>
        <v>1Q25</v>
      </c>
      <c r="AB82" s="106" t="str">
        <f t="shared" si="201"/>
        <v>2Q25</v>
      </c>
      <c r="AC82" s="106" t="str">
        <f t="shared" si="201"/>
        <v>3Q25</v>
      </c>
      <c r="AD82" s="106"/>
      <c r="AE82" s="106" t="str">
        <f t="shared" ref="AE82:AS82" si="202">AE7</f>
        <v>1Q22</v>
      </c>
      <c r="AF82" s="106" t="str">
        <f t="shared" si="202"/>
        <v>2Q22</v>
      </c>
      <c r="AG82" s="106" t="str">
        <f t="shared" si="202"/>
        <v>3Q22</v>
      </c>
      <c r="AH82" s="106" t="str">
        <f t="shared" si="202"/>
        <v>4Q22</v>
      </c>
      <c r="AI82" s="106" t="str">
        <f t="shared" si="202"/>
        <v>1Q23</v>
      </c>
      <c r="AJ82" s="106" t="str">
        <f t="shared" si="202"/>
        <v>2Q23</v>
      </c>
      <c r="AK82" s="106" t="str">
        <f t="shared" si="202"/>
        <v>3Q23</v>
      </c>
      <c r="AL82" s="106" t="str">
        <f t="shared" si="202"/>
        <v>4Q23</v>
      </c>
      <c r="AM82" s="106" t="str">
        <f t="shared" si="202"/>
        <v>1Q24</v>
      </c>
      <c r="AN82" s="106" t="str">
        <f t="shared" si="202"/>
        <v>2Q24</v>
      </c>
      <c r="AO82" s="106" t="str">
        <f t="shared" si="202"/>
        <v>3Q24</v>
      </c>
      <c r="AP82" s="106" t="str">
        <f t="shared" si="202"/>
        <v>4Q24</v>
      </c>
      <c r="AQ82" s="106" t="str">
        <f t="shared" si="202"/>
        <v>1Q25</v>
      </c>
      <c r="AR82" s="106" t="str">
        <f t="shared" si="202"/>
        <v>2Q25</v>
      </c>
      <c r="AS82" s="106" t="str">
        <f t="shared" si="202"/>
        <v>3Q25</v>
      </c>
      <c r="AT82" s="105"/>
      <c r="AU82" s="163"/>
    </row>
    <row r="83" spans="1:47" ht="12.75" customHeight="1">
      <c r="B83" s="101" t="str">
        <f t="shared" si="200"/>
        <v>Fiscal Period End Date</v>
      </c>
      <c r="C83" s="107">
        <f t="shared" si="200"/>
        <v>43465</v>
      </c>
      <c r="D83" s="107">
        <f t="shared" si="200"/>
        <v>43830</v>
      </c>
      <c r="E83" s="107">
        <f t="shared" si="200"/>
        <v>44196</v>
      </c>
      <c r="F83" s="107">
        <f t="shared" si="200"/>
        <v>44561</v>
      </c>
      <c r="G83" s="107">
        <f t="shared" si="200"/>
        <v>44926</v>
      </c>
      <c r="H83" s="107">
        <f t="shared" si="200"/>
        <v>45291</v>
      </c>
      <c r="I83" s="107">
        <f t="shared" si="200"/>
        <v>45657</v>
      </c>
      <c r="J83" s="105"/>
      <c r="K83" s="107">
        <f t="shared" ref="K83:AC83" si="203">K8</f>
        <v>44286</v>
      </c>
      <c r="L83" s="107">
        <f t="shared" si="203"/>
        <v>44377</v>
      </c>
      <c r="M83" s="107">
        <f t="shared" si="203"/>
        <v>44469</v>
      </c>
      <c r="N83" s="107">
        <f t="shared" si="203"/>
        <v>44561</v>
      </c>
      <c r="O83" s="107">
        <f t="shared" si="203"/>
        <v>44651</v>
      </c>
      <c r="P83" s="107">
        <f t="shared" si="203"/>
        <v>44742</v>
      </c>
      <c r="Q83" s="107">
        <f t="shared" si="203"/>
        <v>44834</v>
      </c>
      <c r="R83" s="107">
        <f t="shared" si="203"/>
        <v>44926</v>
      </c>
      <c r="S83" s="107">
        <f t="shared" si="203"/>
        <v>45016</v>
      </c>
      <c r="T83" s="107">
        <f t="shared" si="203"/>
        <v>45107</v>
      </c>
      <c r="U83" s="107">
        <f t="shared" si="203"/>
        <v>45199</v>
      </c>
      <c r="V83" s="107">
        <f t="shared" si="203"/>
        <v>45291</v>
      </c>
      <c r="W83" s="107">
        <f t="shared" si="203"/>
        <v>45382</v>
      </c>
      <c r="X83" s="107">
        <f t="shared" si="203"/>
        <v>45473</v>
      </c>
      <c r="Y83" s="107">
        <f t="shared" si="203"/>
        <v>45565</v>
      </c>
      <c r="Z83" s="107">
        <f t="shared" si="203"/>
        <v>45657</v>
      </c>
      <c r="AA83" s="107">
        <f t="shared" si="203"/>
        <v>45747</v>
      </c>
      <c r="AB83" s="107">
        <f t="shared" si="203"/>
        <v>45838</v>
      </c>
      <c r="AC83" s="107">
        <f t="shared" si="203"/>
        <v>45930</v>
      </c>
      <c r="AD83" s="107"/>
      <c r="AE83" s="107">
        <f t="shared" ref="AE83:AS83" si="204">AE8</f>
        <v>44651</v>
      </c>
      <c r="AF83" s="107">
        <f t="shared" si="204"/>
        <v>44742</v>
      </c>
      <c r="AG83" s="107">
        <f t="shared" si="204"/>
        <v>44834</v>
      </c>
      <c r="AH83" s="107">
        <f t="shared" si="204"/>
        <v>44926</v>
      </c>
      <c r="AI83" s="107">
        <f t="shared" si="204"/>
        <v>45016</v>
      </c>
      <c r="AJ83" s="107">
        <f t="shared" si="204"/>
        <v>45107</v>
      </c>
      <c r="AK83" s="107">
        <f t="shared" si="204"/>
        <v>45199</v>
      </c>
      <c r="AL83" s="107">
        <f t="shared" si="204"/>
        <v>45291</v>
      </c>
      <c r="AM83" s="107">
        <f t="shared" si="204"/>
        <v>45382</v>
      </c>
      <c r="AN83" s="107">
        <f t="shared" si="204"/>
        <v>45473</v>
      </c>
      <c r="AO83" s="107">
        <f t="shared" si="204"/>
        <v>45565</v>
      </c>
      <c r="AP83" s="107">
        <f t="shared" si="204"/>
        <v>45657</v>
      </c>
      <c r="AQ83" s="107">
        <f t="shared" si="204"/>
        <v>45747</v>
      </c>
      <c r="AR83" s="107">
        <f t="shared" si="204"/>
        <v>45838</v>
      </c>
      <c r="AS83" s="107">
        <f t="shared" si="204"/>
        <v>45930</v>
      </c>
      <c r="AT83" s="105"/>
      <c r="AU83" s="163"/>
    </row>
    <row r="84" spans="1:47" ht="5.0999999999999996" customHeight="1">
      <c r="B84" s="56"/>
      <c r="C84" s="49"/>
      <c r="D84" s="49"/>
      <c r="E84" s="49"/>
      <c r="F84" s="49"/>
      <c r="G84" s="49"/>
      <c r="H84" s="49"/>
      <c r="I84" s="49"/>
    </row>
    <row r="85" spans="1:47" ht="12.75" customHeight="1">
      <c r="B85" s="57" t="s">
        <v>60</v>
      </c>
      <c r="C85" s="58"/>
      <c r="D85" s="58"/>
      <c r="E85" s="58"/>
      <c r="F85" s="58"/>
      <c r="G85" s="58"/>
      <c r="H85" s="58"/>
      <c r="I85" s="58"/>
    </row>
    <row r="86" spans="1:47" ht="12.75" customHeight="1">
      <c r="B86" s="59" t="s">
        <v>61</v>
      </c>
      <c r="C86" s="137">
        <f t="shared" ref="C86:I86" si="205">C32</f>
        <v>1211.2419999999997</v>
      </c>
      <c r="D86" s="32">
        <f t="shared" si="205"/>
        <v>1866.9160000000006</v>
      </c>
      <c r="E86" s="32">
        <f t="shared" si="205"/>
        <v>2761.3950000000004</v>
      </c>
      <c r="F86" s="32">
        <f t="shared" si="205"/>
        <v>5116.2279999999992</v>
      </c>
      <c r="G86" s="32">
        <f t="shared" si="205"/>
        <v>4491.924</v>
      </c>
      <c r="H86" s="32">
        <f t="shared" si="205"/>
        <v>5407.9900000000007</v>
      </c>
      <c r="I86" s="137">
        <f>I32</f>
        <v>8711.6310000000012</v>
      </c>
      <c r="J86" s="32"/>
      <c r="K86" s="32">
        <f t="shared" ref="K86:AC86" si="206">K32</f>
        <v>1706.7150000000001</v>
      </c>
      <c r="L86" s="32">
        <f t="shared" si="206"/>
        <v>1353.0130000000001</v>
      </c>
      <c r="M86" s="32">
        <f t="shared" si="206"/>
        <v>1449.0709999999997</v>
      </c>
      <c r="N86" s="32">
        <f t="shared" si="206"/>
        <v>607.42899999999736</v>
      </c>
      <c r="O86" s="137">
        <f t="shared" si="206"/>
        <v>1597.4470000000001</v>
      </c>
      <c r="P86" s="32">
        <f t="shared" si="206"/>
        <v>1440.9509999999993</v>
      </c>
      <c r="Q86" s="32">
        <f t="shared" si="206"/>
        <v>1398.242</v>
      </c>
      <c r="R86" s="32">
        <f t="shared" si="206"/>
        <v>55.283999999999935</v>
      </c>
      <c r="S86" s="32">
        <f t="shared" si="206"/>
        <v>1305.1199999999999</v>
      </c>
      <c r="T86" s="32">
        <f t="shared" si="206"/>
        <v>1487.6100000000004</v>
      </c>
      <c r="U86" s="32">
        <f t="shared" si="206"/>
        <v>1677.4220000000003</v>
      </c>
      <c r="V86" s="32">
        <f t="shared" si="206"/>
        <v>937.83800000000065</v>
      </c>
      <c r="W86" s="32">
        <f t="shared" si="206"/>
        <v>2332.2090000000003</v>
      </c>
      <c r="X86" s="32">
        <f t="shared" si="206"/>
        <v>2147.3059999999996</v>
      </c>
      <c r="Y86" s="32">
        <f t="shared" si="206"/>
        <v>2363.5089999999991</v>
      </c>
      <c r="Z86" s="32">
        <f t="shared" si="206"/>
        <v>1868.6069999999991</v>
      </c>
      <c r="AA86" s="32">
        <f t="shared" si="206"/>
        <v>2890.3509999999997</v>
      </c>
      <c r="AB86" s="32">
        <f t="shared" si="206"/>
        <v>3125.4129999999991</v>
      </c>
      <c r="AC86" s="32">
        <f t="shared" si="206"/>
        <v>2546.9160000000006</v>
      </c>
      <c r="AE86" s="32">
        <f t="shared" ref="AE86:AS86" si="207">SUM(L86:O86)</f>
        <v>5006.9599999999973</v>
      </c>
      <c r="AF86" s="32">
        <f t="shared" si="207"/>
        <v>5094.8979999999965</v>
      </c>
      <c r="AG86" s="32">
        <f t="shared" si="207"/>
        <v>5044.0689999999968</v>
      </c>
      <c r="AH86" s="32">
        <f t="shared" si="207"/>
        <v>4491.9239999999991</v>
      </c>
      <c r="AI86" s="32">
        <f t="shared" si="207"/>
        <v>4199.5969999999998</v>
      </c>
      <c r="AJ86" s="32">
        <f t="shared" si="207"/>
        <v>4246.2560000000003</v>
      </c>
      <c r="AK86" s="32">
        <f t="shared" si="207"/>
        <v>4525.4360000000006</v>
      </c>
      <c r="AL86" s="32">
        <f t="shared" si="207"/>
        <v>5407.9900000000016</v>
      </c>
      <c r="AM86" s="32">
        <f t="shared" si="207"/>
        <v>6435.0790000000015</v>
      </c>
      <c r="AN86" s="32">
        <f t="shared" si="207"/>
        <v>7094.7750000000005</v>
      </c>
      <c r="AO86" s="32">
        <f t="shared" si="207"/>
        <v>7780.8620000000001</v>
      </c>
      <c r="AP86" s="32">
        <f t="shared" si="207"/>
        <v>8711.6309999999976</v>
      </c>
      <c r="AQ86" s="32">
        <f t="shared" si="207"/>
        <v>9269.7729999999974</v>
      </c>
      <c r="AR86" s="32">
        <f t="shared" si="207"/>
        <v>10247.879999999997</v>
      </c>
      <c r="AS86" s="32">
        <f t="shared" si="207"/>
        <v>10431.286999999998</v>
      </c>
      <c r="AT86" s="11"/>
      <c r="AU86" s="78">
        <f>SUM(AS86/AO86)-1</f>
        <v>0.34063385265025881</v>
      </c>
    </row>
    <row r="87" spans="1:47" ht="5.0999999999999996" customHeight="1">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E87" s="32"/>
      <c r="AF87" s="32"/>
      <c r="AG87" s="32"/>
      <c r="AH87" s="32"/>
      <c r="AI87" s="32"/>
      <c r="AJ87" s="32"/>
      <c r="AK87" s="32"/>
      <c r="AL87" s="32"/>
      <c r="AM87" s="32"/>
      <c r="AN87" s="32"/>
      <c r="AO87" s="32"/>
      <c r="AP87" s="32"/>
      <c r="AQ87" s="32"/>
      <c r="AR87" s="32"/>
      <c r="AS87" s="32"/>
      <c r="AT87" s="11"/>
      <c r="AU87" s="78"/>
    </row>
    <row r="88" spans="1:47" ht="12.75" customHeight="1">
      <c r="B88" s="36" t="s">
        <v>68</v>
      </c>
      <c r="C88" s="32"/>
      <c r="D88" s="32"/>
      <c r="E88" s="32"/>
      <c r="F88" s="32"/>
      <c r="G88" s="32"/>
      <c r="H88" s="32"/>
      <c r="I88" s="32"/>
      <c r="J88" s="32"/>
      <c r="K88" s="85"/>
      <c r="L88" s="85"/>
      <c r="M88" s="85"/>
      <c r="N88" s="32"/>
      <c r="O88" s="85"/>
      <c r="P88" s="85"/>
      <c r="Q88" s="85"/>
      <c r="R88" s="32"/>
      <c r="S88" s="85"/>
      <c r="T88" s="85"/>
      <c r="U88" s="85"/>
      <c r="V88" s="32"/>
      <c r="W88" s="85"/>
      <c r="X88" s="85"/>
      <c r="Y88" s="85"/>
      <c r="Z88" s="32"/>
      <c r="AA88" s="85"/>
      <c r="AB88" s="85"/>
      <c r="AC88" s="85"/>
      <c r="AE88" s="32"/>
      <c r="AF88" s="32"/>
      <c r="AG88" s="32"/>
      <c r="AH88" s="32"/>
      <c r="AI88" s="32"/>
      <c r="AJ88" s="32"/>
      <c r="AK88" s="32"/>
      <c r="AL88" s="32"/>
      <c r="AM88" s="32"/>
      <c r="AN88" s="32"/>
      <c r="AO88" s="32"/>
      <c r="AP88" s="32"/>
      <c r="AQ88" s="32"/>
      <c r="AR88" s="32"/>
      <c r="AS88" s="32"/>
      <c r="AT88" s="61"/>
      <c r="AU88" s="78"/>
    </row>
    <row r="89" spans="1:47" ht="12.75" customHeight="1">
      <c r="B89" s="62" t="s">
        <v>144</v>
      </c>
      <c r="C89" s="85">
        <v>-13043.437</v>
      </c>
      <c r="D89" s="85">
        <v>-13916.683000000001</v>
      </c>
      <c r="E89" s="85">
        <v>-11779.284</v>
      </c>
      <c r="F89" s="85">
        <v>-17702.202000000001</v>
      </c>
      <c r="G89" s="85">
        <v>-16839.038</v>
      </c>
      <c r="H89" s="85">
        <v>-12554.703</v>
      </c>
      <c r="I89" s="85">
        <v>-16223.617</v>
      </c>
      <c r="J89" s="32"/>
      <c r="K89" s="85">
        <v>-3284.576</v>
      </c>
      <c r="L89" s="85">
        <v>-4096.75</v>
      </c>
      <c r="M89" s="85">
        <v>-4666.2370000000001</v>
      </c>
      <c r="N89" s="32">
        <f t="shared" ref="N89" si="208">SUM(F89-SUM(K89:M89))</f>
        <v>-5654.639000000001</v>
      </c>
      <c r="O89" s="85">
        <v>-3584.1640000000002</v>
      </c>
      <c r="P89" s="85">
        <v>-4687.0110000000004</v>
      </c>
      <c r="Q89" s="85">
        <v>-4582.6710000000003</v>
      </c>
      <c r="R89" s="32">
        <f t="shared" ref="R89" si="209">SUM(G89-SUM(O89:Q89))</f>
        <v>-3985.1919999999991</v>
      </c>
      <c r="S89" s="85">
        <v>-2458.6660000000002</v>
      </c>
      <c r="T89" s="85">
        <v>-3683.0070000000001</v>
      </c>
      <c r="U89" s="85">
        <v>-2883.8389999999999</v>
      </c>
      <c r="V89" s="32">
        <f t="shared" ref="V89" si="210">SUM(H89-SUM(S89:U89))</f>
        <v>-3529.1909999999989</v>
      </c>
      <c r="W89" s="85">
        <v>-3728.9670000000001</v>
      </c>
      <c r="X89" s="85">
        <v>-4048.8519999999999</v>
      </c>
      <c r="Y89" s="85">
        <v>-4016.3960000000002</v>
      </c>
      <c r="Z89" s="32">
        <f t="shared" ref="Z89" si="211">SUM(I89-SUM(W89:Y89))</f>
        <v>-4429.402</v>
      </c>
      <c r="AA89" s="85">
        <v>-3549.6570000000002</v>
      </c>
      <c r="AB89" s="85">
        <v>-3835.8130000000001</v>
      </c>
      <c r="AC89" s="85">
        <v>-4653.9350000000004</v>
      </c>
      <c r="AE89" s="32">
        <f t="shared" ref="AE89:AS89" si="212">SUM(L89:O89)</f>
        <v>-18001.79</v>
      </c>
      <c r="AF89" s="32">
        <f t="shared" si="212"/>
        <v>-18592.050999999999</v>
      </c>
      <c r="AG89" s="32">
        <f t="shared" si="212"/>
        <v>-18508.485000000001</v>
      </c>
      <c r="AH89" s="32">
        <f t="shared" si="212"/>
        <v>-16839.038</v>
      </c>
      <c r="AI89" s="32">
        <f t="shared" si="212"/>
        <v>-15713.54</v>
      </c>
      <c r="AJ89" s="32">
        <f t="shared" si="212"/>
        <v>-14709.535999999998</v>
      </c>
      <c r="AK89" s="32">
        <f t="shared" si="212"/>
        <v>-13010.704</v>
      </c>
      <c r="AL89" s="32">
        <f t="shared" si="212"/>
        <v>-12554.703</v>
      </c>
      <c r="AM89" s="32">
        <f t="shared" si="212"/>
        <v>-13825.003999999999</v>
      </c>
      <c r="AN89" s="32">
        <f t="shared" si="212"/>
        <v>-14190.848999999998</v>
      </c>
      <c r="AO89" s="32">
        <f t="shared" si="212"/>
        <v>-15323.405999999999</v>
      </c>
      <c r="AP89" s="32">
        <f t="shared" si="212"/>
        <v>-16223.617</v>
      </c>
      <c r="AQ89" s="32">
        <f t="shared" si="212"/>
        <v>-16044.307000000001</v>
      </c>
      <c r="AR89" s="32">
        <f t="shared" si="212"/>
        <v>-15831.268000000002</v>
      </c>
      <c r="AS89" s="32">
        <f t="shared" si="212"/>
        <v>-16468.807000000001</v>
      </c>
      <c r="AT89" s="11"/>
      <c r="AU89" s="78">
        <f t="shared" ref="AU89:AU103" si="213">SUM(AS89/AO89)-1</f>
        <v>7.4748459970322534E-2</v>
      </c>
    </row>
    <row r="90" spans="1:47" ht="12.75" customHeight="1">
      <c r="B90" s="62" t="s">
        <v>145</v>
      </c>
      <c r="C90" s="85">
        <v>999.88</v>
      </c>
      <c r="D90" s="85">
        <v>-694.01099999999997</v>
      </c>
      <c r="E90" s="85">
        <v>-757.43299999999999</v>
      </c>
      <c r="F90" s="85">
        <v>232.898</v>
      </c>
      <c r="G90" s="85">
        <v>179.31</v>
      </c>
      <c r="H90" s="85">
        <v>-585.60199999999998</v>
      </c>
      <c r="I90" s="85">
        <v>-779.13499999999999</v>
      </c>
      <c r="J90" s="32"/>
      <c r="K90" s="85">
        <v>-266.04000000000002</v>
      </c>
      <c r="L90" s="85">
        <v>-312.20800000000003</v>
      </c>
      <c r="M90" s="85">
        <v>-29.245999999999999</v>
      </c>
      <c r="N90" s="32">
        <f t="shared" ref="N90:N96" si="214">SUM(F90-SUM(K90:M90))</f>
        <v>840.39200000000005</v>
      </c>
      <c r="O90" s="85">
        <v>-347.149</v>
      </c>
      <c r="P90" s="85">
        <v>191.22800000000001</v>
      </c>
      <c r="Q90" s="85">
        <v>60.866999999999997</v>
      </c>
      <c r="R90" s="32">
        <f t="shared" ref="R90:R96" si="215">SUM(G90-SUM(O90:Q90))</f>
        <v>274.36400000000003</v>
      </c>
      <c r="S90" s="85">
        <v>-354.791</v>
      </c>
      <c r="T90" s="85">
        <v>46.119</v>
      </c>
      <c r="U90" s="85">
        <v>-325.98899999999998</v>
      </c>
      <c r="V90" s="32">
        <f t="shared" ref="V90:V96" si="216">SUM(H90-SUM(S90:U90))</f>
        <v>49.059000000000083</v>
      </c>
      <c r="W90" s="85">
        <v>-189.441</v>
      </c>
      <c r="X90" s="85">
        <v>-366.572</v>
      </c>
      <c r="Y90" s="85">
        <v>-83.584999999999994</v>
      </c>
      <c r="Z90" s="32">
        <f t="shared" ref="Z90:Z96" si="217">SUM(I90-SUM(W90:Y90))</f>
        <v>-139.53699999999992</v>
      </c>
      <c r="AA90" s="85">
        <v>-411.25299999999999</v>
      </c>
      <c r="AB90" s="85">
        <v>-214.05199999999999</v>
      </c>
      <c r="AC90" s="85">
        <v>24.262</v>
      </c>
      <c r="AE90" s="32">
        <f t="shared" ref="AE90:AE96" si="218">SUM(L90:O90)</f>
        <v>151.78900000000004</v>
      </c>
      <c r="AF90" s="32">
        <f t="shared" ref="AF90:AF96" si="219">SUM(M90:P90)</f>
        <v>655.22500000000014</v>
      </c>
      <c r="AG90" s="32">
        <f t="shared" ref="AG90:AG96" si="220">SUM(N90:Q90)</f>
        <v>745.33799999999997</v>
      </c>
      <c r="AH90" s="32">
        <f t="shared" ref="AH90:AH96" si="221">SUM(O90:R90)</f>
        <v>179.31000000000003</v>
      </c>
      <c r="AI90" s="32">
        <f t="shared" ref="AI90:AI96" si="222">SUM(P90:S90)</f>
        <v>171.66800000000006</v>
      </c>
      <c r="AJ90" s="32">
        <f t="shared" ref="AJ90:AJ96" si="223">SUM(Q90:T90)</f>
        <v>26.559000000000054</v>
      </c>
      <c r="AK90" s="32">
        <f t="shared" ref="AK90:AK96" si="224">SUM(R90:U90)</f>
        <v>-360.29699999999991</v>
      </c>
      <c r="AL90" s="32">
        <f t="shared" ref="AL90:AL96" si="225">SUM(S90:V90)</f>
        <v>-585.60199999999998</v>
      </c>
      <c r="AM90" s="32">
        <f t="shared" ref="AM90:AM96" si="226">SUM(T90:W90)</f>
        <v>-420.25199999999995</v>
      </c>
      <c r="AN90" s="32">
        <f t="shared" ref="AN90:AN96" si="227">SUM(U90:X90)</f>
        <v>-832.94299999999987</v>
      </c>
      <c r="AO90" s="32">
        <f t="shared" ref="AO90:AO96" si="228">SUM(V90:Y90)</f>
        <v>-590.53899999999999</v>
      </c>
      <c r="AP90" s="32">
        <f t="shared" ref="AP90:AP96" si="229">SUM(W90:Z90)</f>
        <v>-779.13499999999999</v>
      </c>
      <c r="AQ90" s="32">
        <f t="shared" ref="AQ90:AQ96" si="230">SUM(X90:AA90)</f>
        <v>-1000.9469999999999</v>
      </c>
      <c r="AR90" s="32">
        <f t="shared" ref="AR90:AR96" si="231">SUM(Y90:AB90)</f>
        <v>-848.42699999999991</v>
      </c>
      <c r="AS90" s="32">
        <f t="shared" ref="AS90:AS96" si="232">SUM(Z90:AC90)</f>
        <v>-740.57999999999993</v>
      </c>
      <c r="AT90" s="11"/>
      <c r="AU90" s="78">
        <f t="shared" si="213"/>
        <v>0.25407466738013906</v>
      </c>
    </row>
    <row r="91" spans="1:47" ht="12.75" customHeight="1">
      <c r="B91" s="62" t="s">
        <v>146</v>
      </c>
      <c r="C91" s="85">
        <v>7532.0879999999997</v>
      </c>
      <c r="D91" s="85">
        <v>9216.2469999999994</v>
      </c>
      <c r="E91" s="85">
        <v>10806.912</v>
      </c>
      <c r="F91" s="85">
        <v>12230.367</v>
      </c>
      <c r="G91" s="85">
        <v>14026.132</v>
      </c>
      <c r="H91" s="85">
        <v>14197.437</v>
      </c>
      <c r="I91" s="85">
        <v>15301.517</v>
      </c>
      <c r="J91" s="32"/>
      <c r="K91" s="85">
        <v>2719.1959999999999</v>
      </c>
      <c r="L91" s="85">
        <v>2806.8029999999999</v>
      </c>
      <c r="M91" s="85">
        <v>2963.0509999999999</v>
      </c>
      <c r="N91" s="32">
        <f t="shared" si="214"/>
        <v>3741.3170000000009</v>
      </c>
      <c r="O91" s="85">
        <v>3166.3649999999998</v>
      </c>
      <c r="P91" s="85">
        <v>3261.348</v>
      </c>
      <c r="Q91" s="85">
        <v>3653.5920000000001</v>
      </c>
      <c r="R91" s="32">
        <f t="shared" si="215"/>
        <v>3944.8269999999993</v>
      </c>
      <c r="S91" s="85">
        <v>3459.9839999999999</v>
      </c>
      <c r="T91" s="85">
        <v>3410.0210000000002</v>
      </c>
      <c r="U91" s="85">
        <v>3573.3530000000001</v>
      </c>
      <c r="V91" s="32">
        <f t="shared" si="216"/>
        <v>3754.0789999999997</v>
      </c>
      <c r="W91" s="85">
        <v>3670.8049999999998</v>
      </c>
      <c r="X91" s="85">
        <v>3769.69</v>
      </c>
      <c r="Y91" s="85">
        <v>3699.5210000000002</v>
      </c>
      <c r="Z91" s="32">
        <f t="shared" si="217"/>
        <v>4161.5010000000002</v>
      </c>
      <c r="AA91" s="85">
        <v>3823.1120000000001</v>
      </c>
      <c r="AB91" s="85">
        <v>3832.0740000000001</v>
      </c>
      <c r="AC91" s="85">
        <v>4002.7440000000001</v>
      </c>
      <c r="AE91" s="32">
        <f t="shared" si="218"/>
        <v>12677.536</v>
      </c>
      <c r="AF91" s="32">
        <f t="shared" si="219"/>
        <v>13132.081</v>
      </c>
      <c r="AG91" s="32">
        <f t="shared" si="220"/>
        <v>13822.622000000001</v>
      </c>
      <c r="AH91" s="32">
        <f t="shared" si="221"/>
        <v>14026.132</v>
      </c>
      <c r="AI91" s="32">
        <f t="shared" si="222"/>
        <v>14319.751</v>
      </c>
      <c r="AJ91" s="32">
        <f t="shared" si="223"/>
        <v>14468.424000000001</v>
      </c>
      <c r="AK91" s="32">
        <f t="shared" si="224"/>
        <v>14388.185000000001</v>
      </c>
      <c r="AL91" s="32">
        <f t="shared" si="225"/>
        <v>14197.437</v>
      </c>
      <c r="AM91" s="32">
        <f t="shared" si="226"/>
        <v>14408.258</v>
      </c>
      <c r="AN91" s="32">
        <f t="shared" si="227"/>
        <v>14767.927</v>
      </c>
      <c r="AO91" s="32">
        <f t="shared" si="228"/>
        <v>14894.095000000001</v>
      </c>
      <c r="AP91" s="32">
        <f t="shared" si="229"/>
        <v>15301.517</v>
      </c>
      <c r="AQ91" s="32">
        <f t="shared" si="230"/>
        <v>15453.824000000001</v>
      </c>
      <c r="AR91" s="32">
        <f t="shared" si="231"/>
        <v>15516.208000000002</v>
      </c>
      <c r="AS91" s="32">
        <f t="shared" si="232"/>
        <v>15819.431</v>
      </c>
      <c r="AT91" s="11"/>
      <c r="AU91" s="78">
        <f t="shared" si="213"/>
        <v>6.2127709001453146E-2</v>
      </c>
    </row>
    <row r="92" spans="1:47" ht="12.75" customHeight="1">
      <c r="B92" s="62" t="s">
        <v>147</v>
      </c>
      <c r="C92" s="85">
        <v>83.156999999999996</v>
      </c>
      <c r="D92" s="85">
        <v>103.57899999999999</v>
      </c>
      <c r="E92" s="85">
        <v>115.71</v>
      </c>
      <c r="F92" s="85">
        <v>208.41200000000001</v>
      </c>
      <c r="G92" s="85">
        <v>336.68200000000002</v>
      </c>
      <c r="H92" s="85">
        <v>356.947</v>
      </c>
      <c r="I92" s="85">
        <v>328.91399999999999</v>
      </c>
      <c r="J92" s="32"/>
      <c r="K92" s="85">
        <v>35.741</v>
      </c>
      <c r="L92" s="85">
        <v>38.433999999999997</v>
      </c>
      <c r="M92" s="85">
        <v>70.253</v>
      </c>
      <c r="N92" s="32">
        <f t="shared" si="214"/>
        <v>63.984000000000009</v>
      </c>
      <c r="O92" s="85">
        <v>74.602000000000004</v>
      </c>
      <c r="P92" s="85">
        <v>83.504999999999995</v>
      </c>
      <c r="Q92" s="85">
        <v>85.188000000000002</v>
      </c>
      <c r="R92" s="32">
        <f t="shared" si="215"/>
        <v>93.387</v>
      </c>
      <c r="S92" s="85">
        <v>90.334999999999994</v>
      </c>
      <c r="T92" s="85">
        <v>89.385000000000005</v>
      </c>
      <c r="U92" s="85">
        <v>90.66</v>
      </c>
      <c r="V92" s="32">
        <f t="shared" si="216"/>
        <v>86.567000000000007</v>
      </c>
      <c r="W92" s="85">
        <v>87.233999999999995</v>
      </c>
      <c r="X92" s="85">
        <v>81.227000000000004</v>
      </c>
      <c r="Y92" s="85">
        <v>80.914000000000001</v>
      </c>
      <c r="Z92" s="32">
        <f t="shared" si="217"/>
        <v>79.538999999999987</v>
      </c>
      <c r="AA92" s="85">
        <v>80.066999999999993</v>
      </c>
      <c r="AB92" s="85">
        <v>80.013000000000005</v>
      </c>
      <c r="AC92" s="85">
        <v>87.325999999999993</v>
      </c>
      <c r="AE92" s="32">
        <f t="shared" si="218"/>
        <v>247.273</v>
      </c>
      <c r="AF92" s="32">
        <f t="shared" si="219"/>
        <v>292.34400000000005</v>
      </c>
      <c r="AG92" s="32">
        <f t="shared" si="220"/>
        <v>307.279</v>
      </c>
      <c r="AH92" s="32">
        <f t="shared" si="221"/>
        <v>336.68200000000002</v>
      </c>
      <c r="AI92" s="32">
        <f t="shared" si="222"/>
        <v>352.41499999999996</v>
      </c>
      <c r="AJ92" s="32">
        <f t="shared" si="223"/>
        <v>358.29499999999996</v>
      </c>
      <c r="AK92" s="32">
        <f t="shared" si="224"/>
        <v>363.76699999999994</v>
      </c>
      <c r="AL92" s="32">
        <f t="shared" si="225"/>
        <v>356.947</v>
      </c>
      <c r="AM92" s="32">
        <f t="shared" si="226"/>
        <v>353.846</v>
      </c>
      <c r="AN92" s="32">
        <f t="shared" si="227"/>
        <v>345.68799999999999</v>
      </c>
      <c r="AO92" s="32">
        <f t="shared" si="228"/>
        <v>335.94200000000001</v>
      </c>
      <c r="AP92" s="32">
        <f t="shared" si="229"/>
        <v>328.91399999999999</v>
      </c>
      <c r="AQ92" s="32">
        <f t="shared" si="230"/>
        <v>321.74700000000001</v>
      </c>
      <c r="AR92" s="32">
        <f t="shared" si="231"/>
        <v>320.53300000000002</v>
      </c>
      <c r="AS92" s="32">
        <f t="shared" si="232"/>
        <v>326.94499999999999</v>
      </c>
      <c r="AT92" s="11"/>
      <c r="AU92" s="78">
        <f t="shared" si="213"/>
        <v>-2.6781408695548681E-2</v>
      </c>
    </row>
    <row r="93" spans="1:47" ht="12.75" customHeight="1">
      <c r="B93" s="62" t="s">
        <v>148</v>
      </c>
      <c r="C93" s="85">
        <v>320.65699999999998</v>
      </c>
      <c r="D93" s="85">
        <v>405.37599999999998</v>
      </c>
      <c r="E93" s="85">
        <v>415.18</v>
      </c>
      <c r="F93" s="85">
        <v>403.22</v>
      </c>
      <c r="G93" s="85">
        <v>575.452</v>
      </c>
      <c r="H93" s="85">
        <v>339.36799999999999</v>
      </c>
      <c r="I93" s="85">
        <v>272.58800000000002</v>
      </c>
      <c r="J93" s="32"/>
      <c r="K93" s="85">
        <v>107.23</v>
      </c>
      <c r="L93" s="85">
        <v>101.583</v>
      </c>
      <c r="M93" s="85">
        <v>95.078000000000003</v>
      </c>
      <c r="N93" s="32">
        <f t="shared" si="214"/>
        <v>99.329000000000065</v>
      </c>
      <c r="O93" s="85">
        <v>119.209</v>
      </c>
      <c r="P93" s="85">
        <v>150.392</v>
      </c>
      <c r="Q93" s="85">
        <v>152.06200000000001</v>
      </c>
      <c r="R93" s="32">
        <f t="shared" si="215"/>
        <v>153.78899999999999</v>
      </c>
      <c r="S93" s="85">
        <v>99.099000000000004</v>
      </c>
      <c r="T93" s="85">
        <v>78.03</v>
      </c>
      <c r="U93" s="85">
        <v>79.72</v>
      </c>
      <c r="V93" s="32">
        <f t="shared" si="216"/>
        <v>82.518999999999949</v>
      </c>
      <c r="W93" s="85">
        <v>76.344999999999999</v>
      </c>
      <c r="X93" s="85">
        <v>68.766000000000005</v>
      </c>
      <c r="Y93" s="85">
        <v>65.650000000000006</v>
      </c>
      <c r="Z93" s="32">
        <f t="shared" si="217"/>
        <v>61.827000000000027</v>
      </c>
      <c r="AA93" s="85">
        <v>71.977000000000004</v>
      </c>
      <c r="AB93" s="85">
        <v>80.861999999999995</v>
      </c>
      <c r="AC93" s="85">
        <v>80.986000000000004</v>
      </c>
      <c r="AE93" s="32">
        <f t="shared" si="218"/>
        <v>415.19900000000007</v>
      </c>
      <c r="AF93" s="32">
        <f t="shared" si="219"/>
        <v>464.0080000000001</v>
      </c>
      <c r="AG93" s="32">
        <f t="shared" si="220"/>
        <v>520.99200000000008</v>
      </c>
      <c r="AH93" s="32">
        <f t="shared" si="221"/>
        <v>575.452</v>
      </c>
      <c r="AI93" s="32">
        <f t="shared" si="222"/>
        <v>555.34199999999998</v>
      </c>
      <c r="AJ93" s="32">
        <f t="shared" si="223"/>
        <v>482.98</v>
      </c>
      <c r="AK93" s="32">
        <f t="shared" si="224"/>
        <v>410.63800000000003</v>
      </c>
      <c r="AL93" s="32">
        <f t="shared" si="225"/>
        <v>339.36799999999999</v>
      </c>
      <c r="AM93" s="32">
        <f t="shared" si="226"/>
        <v>316.61399999999992</v>
      </c>
      <c r="AN93" s="32">
        <f t="shared" si="227"/>
        <v>307.34999999999997</v>
      </c>
      <c r="AO93" s="32">
        <f t="shared" si="228"/>
        <v>293.27999999999997</v>
      </c>
      <c r="AP93" s="32">
        <f t="shared" si="229"/>
        <v>272.58800000000002</v>
      </c>
      <c r="AQ93" s="32">
        <f t="shared" si="230"/>
        <v>268.22000000000003</v>
      </c>
      <c r="AR93" s="32">
        <f t="shared" si="231"/>
        <v>280.31600000000003</v>
      </c>
      <c r="AS93" s="32">
        <f t="shared" si="232"/>
        <v>295.65200000000004</v>
      </c>
      <c r="AT93" s="11"/>
      <c r="AU93" s="78">
        <f t="shared" si="213"/>
        <v>8.0878341516641417E-3</v>
      </c>
    </row>
    <row r="94" spans="1:47" ht="12.75" customHeight="1">
      <c r="B94" s="62" t="s">
        <v>149</v>
      </c>
      <c r="C94" s="85">
        <v>-73.953000000000003</v>
      </c>
      <c r="D94" s="85">
        <v>-45.576000000000001</v>
      </c>
      <c r="E94" s="85">
        <v>533.27800000000002</v>
      </c>
      <c r="F94" s="85">
        <v>-430.661</v>
      </c>
      <c r="G94" s="85">
        <v>-353.11099999999999</v>
      </c>
      <c r="H94" s="85">
        <v>176.29599999999999</v>
      </c>
      <c r="I94" s="85">
        <v>-121.539</v>
      </c>
      <c r="J94" s="32"/>
      <c r="K94" s="85">
        <v>-253.33</v>
      </c>
      <c r="L94" s="85">
        <v>63.073999999999998</v>
      </c>
      <c r="M94" s="85">
        <v>-136.488</v>
      </c>
      <c r="N94" s="32">
        <f t="shared" si="214"/>
        <v>-103.91699999999997</v>
      </c>
      <c r="O94" s="85">
        <v>-161.821</v>
      </c>
      <c r="P94" s="85">
        <v>-304.51299999999998</v>
      </c>
      <c r="Q94" s="85">
        <v>-348.45800000000003</v>
      </c>
      <c r="R94" s="32">
        <f t="shared" si="215"/>
        <v>461.68099999999993</v>
      </c>
      <c r="S94" s="85">
        <v>80.650999999999996</v>
      </c>
      <c r="T94" s="85">
        <v>28.952000000000002</v>
      </c>
      <c r="U94" s="85">
        <v>-172.678</v>
      </c>
      <c r="V94" s="32">
        <f t="shared" si="216"/>
        <v>239.37099999999998</v>
      </c>
      <c r="W94" s="85">
        <v>-130.80099999999999</v>
      </c>
      <c r="X94" s="85">
        <v>-42.692</v>
      </c>
      <c r="Y94" s="85">
        <v>104.809</v>
      </c>
      <c r="Z94" s="32">
        <f t="shared" si="217"/>
        <v>-52.855000000000004</v>
      </c>
      <c r="AA94" s="85">
        <v>28.547000000000001</v>
      </c>
      <c r="AB94" s="85">
        <v>55.238</v>
      </c>
      <c r="AC94" s="85">
        <v>-1.7070000000000001</v>
      </c>
      <c r="AE94" s="32">
        <f t="shared" si="218"/>
        <v>-339.15199999999993</v>
      </c>
      <c r="AF94" s="32">
        <f t="shared" si="219"/>
        <v>-706.73900000000003</v>
      </c>
      <c r="AG94" s="32">
        <f t="shared" si="220"/>
        <v>-918.70900000000006</v>
      </c>
      <c r="AH94" s="32">
        <f t="shared" si="221"/>
        <v>-353.11099999999999</v>
      </c>
      <c r="AI94" s="32">
        <f t="shared" si="222"/>
        <v>-110.63900000000008</v>
      </c>
      <c r="AJ94" s="32">
        <f t="shared" si="223"/>
        <v>222.82599999999991</v>
      </c>
      <c r="AK94" s="32">
        <f t="shared" si="224"/>
        <v>398.60599999999988</v>
      </c>
      <c r="AL94" s="32">
        <f t="shared" si="225"/>
        <v>176.29599999999999</v>
      </c>
      <c r="AM94" s="32">
        <f t="shared" si="226"/>
        <v>-35.156000000000006</v>
      </c>
      <c r="AN94" s="32">
        <f t="shared" si="227"/>
        <v>-106.80000000000001</v>
      </c>
      <c r="AO94" s="32">
        <f t="shared" si="228"/>
        <v>170.68699999999998</v>
      </c>
      <c r="AP94" s="32">
        <f t="shared" si="229"/>
        <v>-121.539</v>
      </c>
      <c r="AQ94" s="32">
        <f t="shared" si="230"/>
        <v>37.808999999999997</v>
      </c>
      <c r="AR94" s="32">
        <f t="shared" si="231"/>
        <v>135.73899999999998</v>
      </c>
      <c r="AS94" s="32">
        <f t="shared" si="232"/>
        <v>29.222999999999995</v>
      </c>
      <c r="AT94" s="11"/>
      <c r="AU94" s="78">
        <f t="shared" si="213"/>
        <v>-0.82879188221715772</v>
      </c>
    </row>
    <row r="95" spans="1:47" ht="12.75" customHeight="1">
      <c r="B95" s="62" t="s">
        <v>150</v>
      </c>
      <c r="C95" s="85">
        <v>81.64</v>
      </c>
      <c r="D95" s="85">
        <v>228.23</v>
      </c>
      <c r="E95" s="85">
        <v>293.12599999999998</v>
      </c>
      <c r="F95" s="85">
        <v>376.77699999999999</v>
      </c>
      <c r="G95" s="85">
        <v>533.54300000000001</v>
      </c>
      <c r="H95" s="85">
        <v>512.07500000000005</v>
      </c>
      <c r="I95" s="85">
        <v>494.77800000000002</v>
      </c>
      <c r="J95" s="32"/>
      <c r="K95" s="85">
        <v>72.656999999999996</v>
      </c>
      <c r="L95" s="85">
        <v>108.10299999999999</v>
      </c>
      <c r="M95" s="85">
        <v>102.211</v>
      </c>
      <c r="N95" s="32">
        <f t="shared" si="214"/>
        <v>93.805999999999983</v>
      </c>
      <c r="O95" s="85">
        <v>101.968</v>
      </c>
      <c r="P95" s="85">
        <v>205.374</v>
      </c>
      <c r="Q95" s="85">
        <v>102.51300000000001</v>
      </c>
      <c r="R95" s="32">
        <f t="shared" si="215"/>
        <v>123.68799999999999</v>
      </c>
      <c r="S95" s="85">
        <v>120.008</v>
      </c>
      <c r="T95" s="85">
        <v>121.483</v>
      </c>
      <c r="U95" s="85">
        <v>115.688</v>
      </c>
      <c r="V95" s="32">
        <f t="shared" si="216"/>
        <v>154.89600000000007</v>
      </c>
      <c r="W95" s="85">
        <v>97.180999999999997</v>
      </c>
      <c r="X95" s="85">
        <v>138.58799999999999</v>
      </c>
      <c r="Y95" s="85">
        <v>128.08199999999999</v>
      </c>
      <c r="Z95" s="32">
        <f t="shared" si="217"/>
        <v>130.92700000000002</v>
      </c>
      <c r="AA95" s="85">
        <v>114.73</v>
      </c>
      <c r="AB95" s="85">
        <v>120.139</v>
      </c>
      <c r="AC95" s="85">
        <v>142.29300000000001</v>
      </c>
      <c r="AE95" s="32">
        <f t="shared" si="218"/>
        <v>406.08800000000002</v>
      </c>
      <c r="AF95" s="32">
        <f t="shared" si="219"/>
        <v>503.35900000000004</v>
      </c>
      <c r="AG95" s="32">
        <f t="shared" si="220"/>
        <v>503.66100000000006</v>
      </c>
      <c r="AH95" s="32">
        <f t="shared" si="221"/>
        <v>533.54300000000001</v>
      </c>
      <c r="AI95" s="32">
        <f t="shared" si="222"/>
        <v>551.58299999999997</v>
      </c>
      <c r="AJ95" s="32">
        <f t="shared" si="223"/>
        <v>467.69200000000001</v>
      </c>
      <c r="AK95" s="32">
        <f t="shared" si="224"/>
        <v>480.86699999999996</v>
      </c>
      <c r="AL95" s="32">
        <f t="shared" si="225"/>
        <v>512.07500000000005</v>
      </c>
      <c r="AM95" s="32">
        <f t="shared" si="226"/>
        <v>489.24800000000005</v>
      </c>
      <c r="AN95" s="32">
        <f t="shared" si="227"/>
        <v>506.35300000000007</v>
      </c>
      <c r="AO95" s="32">
        <f t="shared" si="228"/>
        <v>518.74700000000007</v>
      </c>
      <c r="AP95" s="32">
        <f t="shared" si="229"/>
        <v>494.77800000000002</v>
      </c>
      <c r="AQ95" s="32">
        <f t="shared" si="230"/>
        <v>512.327</v>
      </c>
      <c r="AR95" s="32">
        <f t="shared" si="231"/>
        <v>493.87800000000004</v>
      </c>
      <c r="AS95" s="32">
        <f t="shared" si="232"/>
        <v>508.08900000000006</v>
      </c>
      <c r="AT95" s="11"/>
      <c r="AU95" s="78">
        <f t="shared" si="213"/>
        <v>-2.0545660986955094E-2</v>
      </c>
    </row>
    <row r="96" spans="1:47" ht="12.75" customHeight="1">
      <c r="B96" s="62" t="s">
        <v>107</v>
      </c>
      <c r="C96" s="85">
        <v>-85.52</v>
      </c>
      <c r="D96" s="85">
        <v>-94.442999999999998</v>
      </c>
      <c r="E96" s="85">
        <v>70.066000000000003</v>
      </c>
      <c r="F96" s="85">
        <v>199.548</v>
      </c>
      <c r="G96" s="85">
        <v>-166.55</v>
      </c>
      <c r="H96" s="85">
        <v>-459.35899999999998</v>
      </c>
      <c r="I96" s="85">
        <v>-590.69799999999998</v>
      </c>
      <c r="J96" s="32"/>
      <c r="K96" s="85">
        <v>159.733</v>
      </c>
      <c r="L96" s="85">
        <v>51.127000000000002</v>
      </c>
      <c r="M96" s="85">
        <v>50.966999999999999</v>
      </c>
      <c r="N96" s="32">
        <f t="shared" si="214"/>
        <v>-62.278999999999996</v>
      </c>
      <c r="O96" s="85">
        <v>-68.906000000000006</v>
      </c>
      <c r="P96" s="85">
        <v>-115.82</v>
      </c>
      <c r="Q96" s="85">
        <v>-57.796999999999997</v>
      </c>
      <c r="R96" s="32">
        <f t="shared" si="215"/>
        <v>75.972999999999985</v>
      </c>
      <c r="S96" s="85">
        <v>-98.781999999999996</v>
      </c>
      <c r="T96" s="85">
        <v>-103.172</v>
      </c>
      <c r="U96" s="85">
        <v>-86.277000000000001</v>
      </c>
      <c r="V96" s="32">
        <f t="shared" si="216"/>
        <v>-171.12799999999999</v>
      </c>
      <c r="W96" s="85">
        <v>-107.077</v>
      </c>
      <c r="X96" s="85">
        <v>-209.387</v>
      </c>
      <c r="Y96" s="85">
        <v>-200.982</v>
      </c>
      <c r="Z96" s="32">
        <f t="shared" si="217"/>
        <v>-73.251999999999953</v>
      </c>
      <c r="AA96" s="85">
        <v>-163.928</v>
      </c>
      <c r="AB96" s="85">
        <v>-135.755</v>
      </c>
      <c r="AC96" s="85">
        <v>20.539000000000001</v>
      </c>
      <c r="AE96" s="32">
        <f t="shared" si="218"/>
        <v>-29.091000000000008</v>
      </c>
      <c r="AF96" s="32">
        <f t="shared" si="219"/>
        <v>-196.03800000000001</v>
      </c>
      <c r="AG96" s="32">
        <f t="shared" si="220"/>
        <v>-304.80200000000002</v>
      </c>
      <c r="AH96" s="32">
        <f t="shared" si="221"/>
        <v>-166.55</v>
      </c>
      <c r="AI96" s="32">
        <f t="shared" si="222"/>
        <v>-196.42599999999999</v>
      </c>
      <c r="AJ96" s="32">
        <f t="shared" si="223"/>
        <v>-183.77800000000002</v>
      </c>
      <c r="AK96" s="32">
        <f t="shared" si="224"/>
        <v>-212.25800000000001</v>
      </c>
      <c r="AL96" s="32">
        <f t="shared" si="225"/>
        <v>-459.35899999999998</v>
      </c>
      <c r="AM96" s="32">
        <f t="shared" si="226"/>
        <v>-467.654</v>
      </c>
      <c r="AN96" s="32">
        <f t="shared" si="227"/>
        <v>-573.86899999999991</v>
      </c>
      <c r="AO96" s="32">
        <f t="shared" si="228"/>
        <v>-688.57399999999996</v>
      </c>
      <c r="AP96" s="32">
        <f t="shared" si="229"/>
        <v>-590.69799999999998</v>
      </c>
      <c r="AQ96" s="32">
        <f t="shared" si="230"/>
        <v>-647.54899999999998</v>
      </c>
      <c r="AR96" s="32">
        <f t="shared" si="231"/>
        <v>-573.91699999999992</v>
      </c>
      <c r="AS96" s="32">
        <f t="shared" si="232"/>
        <v>-352.39599999999996</v>
      </c>
      <c r="AT96" s="11"/>
      <c r="AU96" s="78">
        <f t="shared" si="213"/>
        <v>-0.48822348796207815</v>
      </c>
    </row>
    <row r="97" spans="2:47" ht="12.75" customHeight="1">
      <c r="B97" s="36" t="s">
        <v>14</v>
      </c>
      <c r="C97" s="85"/>
      <c r="D97" s="85"/>
      <c r="E97" s="85"/>
      <c r="F97" s="85"/>
      <c r="G97" s="85"/>
      <c r="H97" s="85"/>
      <c r="I97" s="85"/>
      <c r="J97" s="32"/>
      <c r="K97" s="85"/>
      <c r="L97" s="85"/>
      <c r="M97" s="85"/>
      <c r="N97" s="32"/>
      <c r="O97" s="85"/>
      <c r="P97" s="85"/>
      <c r="Q97" s="85"/>
      <c r="R97" s="32"/>
      <c r="S97" s="85"/>
      <c r="T97" s="85"/>
      <c r="U97" s="85"/>
      <c r="V97" s="32"/>
      <c r="W97" s="85"/>
      <c r="X97" s="85"/>
      <c r="Y97" s="85"/>
      <c r="Z97" s="32"/>
      <c r="AA97" s="85"/>
      <c r="AB97" s="85"/>
      <c r="AC97" s="85"/>
      <c r="AE97" s="32"/>
      <c r="AF97" s="32"/>
      <c r="AG97" s="32"/>
      <c r="AH97" s="32"/>
      <c r="AI97" s="32"/>
      <c r="AJ97" s="32"/>
      <c r="AK97" s="32"/>
      <c r="AL97" s="32"/>
      <c r="AM97" s="32"/>
      <c r="AN97" s="32"/>
      <c r="AO97" s="32"/>
      <c r="AP97" s="32"/>
      <c r="AQ97" s="32"/>
      <c r="AR97" s="32"/>
      <c r="AS97" s="32"/>
      <c r="AT97" s="61"/>
      <c r="AU97" s="78"/>
    </row>
    <row r="98" spans="2:47" ht="12.75" customHeight="1">
      <c r="B98" s="62" t="s">
        <v>16</v>
      </c>
      <c r="C98" s="85">
        <v>-200.19200000000001</v>
      </c>
      <c r="D98" s="85">
        <v>-252.113</v>
      </c>
      <c r="E98" s="85">
        <v>-187.62299999999999</v>
      </c>
      <c r="F98" s="85">
        <v>-369.68099999999998</v>
      </c>
      <c r="G98" s="85">
        <v>-353.834</v>
      </c>
      <c r="H98" s="85">
        <v>-181.00299999999999</v>
      </c>
      <c r="I98" s="85">
        <v>22.18</v>
      </c>
      <c r="J98" s="32"/>
      <c r="K98" s="85">
        <v>-221.55500000000001</v>
      </c>
      <c r="L98" s="85">
        <v>-52.372999999999998</v>
      </c>
      <c r="M98" s="85">
        <v>-95.144999999999996</v>
      </c>
      <c r="N98" s="32">
        <f t="shared" ref="N98:N102" si="233">SUM(F98-SUM(K98:M98))</f>
        <v>-0.60800000000000409</v>
      </c>
      <c r="O98" s="85">
        <v>41.156999999999996</v>
      </c>
      <c r="P98" s="85">
        <v>123.399</v>
      </c>
      <c r="Q98" s="85">
        <v>-120.071</v>
      </c>
      <c r="R98" s="32">
        <f t="shared" ref="R98:R102" si="234">SUM(G98-SUM(O98:Q98))</f>
        <v>-398.31899999999996</v>
      </c>
      <c r="S98" s="85">
        <v>-88.522000000000006</v>
      </c>
      <c r="T98" s="85">
        <v>-183.04900000000001</v>
      </c>
      <c r="U98" s="85">
        <v>103.76600000000001</v>
      </c>
      <c r="V98" s="32">
        <f t="shared" ref="V98:V102" si="235">SUM(H98-SUM(S98:U98))</f>
        <v>-13.197999999999979</v>
      </c>
      <c r="W98" s="85">
        <v>38.048999999999999</v>
      </c>
      <c r="X98" s="85">
        <v>-28.959</v>
      </c>
      <c r="Y98" s="85">
        <v>54.956000000000003</v>
      </c>
      <c r="Z98" s="32">
        <f t="shared" ref="Z98:Z102" si="236">SUM(I98-SUM(W98:Y98))</f>
        <v>-41.866000000000007</v>
      </c>
      <c r="AA98" s="85">
        <v>-131.36699999999999</v>
      </c>
      <c r="AB98" s="85">
        <v>-176.68299999999999</v>
      </c>
      <c r="AC98" s="85">
        <v>-169.59700000000001</v>
      </c>
      <c r="AE98" s="32">
        <f t="shared" ref="AE98:AS102" si="237">SUM(L98:O98)</f>
        <v>-106.96900000000001</v>
      </c>
      <c r="AF98" s="32">
        <f t="shared" si="237"/>
        <v>68.802999999999997</v>
      </c>
      <c r="AG98" s="32">
        <f t="shared" si="237"/>
        <v>43.876999999999981</v>
      </c>
      <c r="AH98" s="32">
        <f t="shared" si="237"/>
        <v>-353.83399999999995</v>
      </c>
      <c r="AI98" s="32">
        <f t="shared" si="237"/>
        <v>-483.51299999999998</v>
      </c>
      <c r="AJ98" s="32">
        <f t="shared" si="237"/>
        <v>-789.96100000000001</v>
      </c>
      <c r="AK98" s="32">
        <f t="shared" si="237"/>
        <v>-566.12400000000002</v>
      </c>
      <c r="AL98" s="32">
        <f t="shared" si="237"/>
        <v>-181.00299999999999</v>
      </c>
      <c r="AM98" s="32">
        <f t="shared" si="237"/>
        <v>-54.431999999999981</v>
      </c>
      <c r="AN98" s="32">
        <f t="shared" si="237"/>
        <v>99.658000000000015</v>
      </c>
      <c r="AO98" s="32">
        <f t="shared" si="237"/>
        <v>50.848000000000027</v>
      </c>
      <c r="AP98" s="32">
        <f t="shared" si="237"/>
        <v>22.18</v>
      </c>
      <c r="AQ98" s="32">
        <f t="shared" si="237"/>
        <v>-147.23599999999999</v>
      </c>
      <c r="AR98" s="32">
        <f t="shared" si="237"/>
        <v>-294.95999999999998</v>
      </c>
      <c r="AS98" s="32">
        <f t="shared" si="237"/>
        <v>-519.51300000000003</v>
      </c>
      <c r="AT98" s="61"/>
      <c r="AU98" s="78">
        <f t="shared" si="213"/>
        <v>-11.216980018879793</v>
      </c>
    </row>
    <row r="99" spans="2:47" ht="12.75" customHeight="1">
      <c r="B99" s="62" t="s">
        <v>13</v>
      </c>
      <c r="C99" s="85">
        <v>199.19800000000001</v>
      </c>
      <c r="D99" s="85">
        <v>96.063000000000002</v>
      </c>
      <c r="E99" s="85">
        <v>-41.604999999999997</v>
      </c>
      <c r="F99" s="85">
        <v>145.11500000000001</v>
      </c>
      <c r="G99" s="85">
        <v>-158.54300000000001</v>
      </c>
      <c r="H99" s="85">
        <v>93.501999999999995</v>
      </c>
      <c r="I99" s="85">
        <v>121.35299999999999</v>
      </c>
      <c r="J99" s="32"/>
      <c r="K99" s="85">
        <v>-137.31299999999999</v>
      </c>
      <c r="L99" s="85">
        <v>72.313000000000002</v>
      </c>
      <c r="M99" s="85">
        <v>24.835999999999999</v>
      </c>
      <c r="N99" s="32">
        <f t="shared" si="233"/>
        <v>185.279</v>
      </c>
      <c r="O99" s="85">
        <v>-215.44399999999999</v>
      </c>
      <c r="P99" s="85">
        <v>-122.048</v>
      </c>
      <c r="Q99" s="85">
        <v>53.875</v>
      </c>
      <c r="R99" s="32">
        <f t="shared" si="234"/>
        <v>125.07399999999996</v>
      </c>
      <c r="S99" s="85">
        <v>-89.668000000000006</v>
      </c>
      <c r="T99" s="85">
        <v>38.332000000000001</v>
      </c>
      <c r="U99" s="85">
        <v>-68.39</v>
      </c>
      <c r="V99" s="32">
        <f t="shared" si="235"/>
        <v>213.22800000000001</v>
      </c>
      <c r="W99" s="85">
        <v>-145.26499999999999</v>
      </c>
      <c r="X99" s="85">
        <v>-19.358000000000001</v>
      </c>
      <c r="Y99" s="85">
        <v>30.597000000000001</v>
      </c>
      <c r="Z99" s="32">
        <f t="shared" si="236"/>
        <v>255.37899999999996</v>
      </c>
      <c r="AA99" s="85">
        <v>-276.42599999999999</v>
      </c>
      <c r="AB99" s="85">
        <v>11.045999999999999</v>
      </c>
      <c r="AC99" s="85">
        <v>139.45099999999999</v>
      </c>
      <c r="AE99" s="32">
        <f t="shared" si="237"/>
        <v>66.984000000000009</v>
      </c>
      <c r="AF99" s="32">
        <f t="shared" si="237"/>
        <v>-127.37699999999998</v>
      </c>
      <c r="AG99" s="32">
        <f t="shared" si="237"/>
        <v>-98.337999999999994</v>
      </c>
      <c r="AH99" s="32">
        <f t="shared" si="237"/>
        <v>-158.54300000000001</v>
      </c>
      <c r="AI99" s="32">
        <f t="shared" si="237"/>
        <v>-32.767000000000053</v>
      </c>
      <c r="AJ99" s="32">
        <f t="shared" si="237"/>
        <v>127.61299999999994</v>
      </c>
      <c r="AK99" s="32">
        <f t="shared" si="237"/>
        <v>5.3479999999999421</v>
      </c>
      <c r="AL99" s="32">
        <f t="shared" si="237"/>
        <v>93.50200000000001</v>
      </c>
      <c r="AM99" s="32">
        <f t="shared" si="237"/>
        <v>37.90500000000003</v>
      </c>
      <c r="AN99" s="32">
        <f t="shared" si="237"/>
        <v>-19.784999999999965</v>
      </c>
      <c r="AO99" s="32">
        <f t="shared" si="237"/>
        <v>79.202000000000027</v>
      </c>
      <c r="AP99" s="32">
        <f t="shared" si="237"/>
        <v>121.35299999999998</v>
      </c>
      <c r="AQ99" s="32">
        <f t="shared" si="237"/>
        <v>-9.8080000000000496</v>
      </c>
      <c r="AR99" s="32">
        <f t="shared" si="237"/>
        <v>20.595999999999954</v>
      </c>
      <c r="AS99" s="32">
        <f t="shared" si="237"/>
        <v>129.44999999999996</v>
      </c>
      <c r="AT99" s="61"/>
      <c r="AU99" s="78">
        <f t="shared" si="213"/>
        <v>0.63442842352465734</v>
      </c>
    </row>
    <row r="100" spans="2:47" ht="12.75" customHeight="1">
      <c r="B100" s="62" t="s">
        <v>133</v>
      </c>
      <c r="C100" s="85">
        <v>150.422</v>
      </c>
      <c r="D100" s="85">
        <v>157.77799999999999</v>
      </c>
      <c r="E100" s="85">
        <v>198.18299999999999</v>
      </c>
      <c r="F100" s="85">
        <v>180.33799999999999</v>
      </c>
      <c r="G100" s="85">
        <v>-55.512999999999998</v>
      </c>
      <c r="H100" s="85">
        <v>103.565</v>
      </c>
      <c r="I100" s="85">
        <v>191.899</v>
      </c>
      <c r="J100" s="32"/>
      <c r="K100" s="85">
        <v>177.89699999999999</v>
      </c>
      <c r="L100" s="85">
        <v>-171.43</v>
      </c>
      <c r="M100" s="85">
        <v>269.774</v>
      </c>
      <c r="N100" s="32">
        <f t="shared" si="233"/>
        <v>-95.902999999999992</v>
      </c>
      <c r="O100" s="85">
        <v>350.76299999999998</v>
      </c>
      <c r="P100" s="85">
        <v>-238.71899999999999</v>
      </c>
      <c r="Q100" s="85">
        <v>212.072</v>
      </c>
      <c r="R100" s="32">
        <f t="shared" si="234"/>
        <v>-379.62899999999996</v>
      </c>
      <c r="S100" s="85">
        <v>185.29900000000001</v>
      </c>
      <c r="T100" s="85">
        <v>177.83099999999999</v>
      </c>
      <c r="U100" s="85">
        <v>-65.028999999999996</v>
      </c>
      <c r="V100" s="32">
        <f t="shared" si="235"/>
        <v>-194.536</v>
      </c>
      <c r="W100" s="85">
        <v>251.78200000000001</v>
      </c>
      <c r="X100" s="85">
        <v>-114.303</v>
      </c>
      <c r="Y100" s="85">
        <v>179.011</v>
      </c>
      <c r="Z100" s="32">
        <f t="shared" si="236"/>
        <v>-124.59100000000001</v>
      </c>
      <c r="AA100" s="85">
        <v>306.41300000000001</v>
      </c>
      <c r="AB100" s="85">
        <v>-267.23500000000001</v>
      </c>
      <c r="AC100" s="85">
        <v>707.15099999999995</v>
      </c>
      <c r="AE100" s="32">
        <f t="shared" si="237"/>
        <v>353.20399999999995</v>
      </c>
      <c r="AF100" s="32">
        <f t="shared" si="237"/>
        <v>285.91500000000002</v>
      </c>
      <c r="AG100" s="32">
        <f t="shared" si="237"/>
        <v>228.21299999999999</v>
      </c>
      <c r="AH100" s="32">
        <f t="shared" si="237"/>
        <v>-55.512999999999977</v>
      </c>
      <c r="AI100" s="32">
        <f t="shared" si="237"/>
        <v>-220.97699999999995</v>
      </c>
      <c r="AJ100" s="32">
        <f t="shared" si="237"/>
        <v>195.57300000000004</v>
      </c>
      <c r="AK100" s="32">
        <f t="shared" si="237"/>
        <v>-81.527999999999963</v>
      </c>
      <c r="AL100" s="32">
        <f t="shared" si="237"/>
        <v>103.565</v>
      </c>
      <c r="AM100" s="32">
        <f t="shared" si="237"/>
        <v>170.048</v>
      </c>
      <c r="AN100" s="32">
        <f t="shared" si="237"/>
        <v>-122.08599999999998</v>
      </c>
      <c r="AO100" s="32">
        <f t="shared" si="237"/>
        <v>121.95400000000001</v>
      </c>
      <c r="AP100" s="32">
        <f t="shared" si="237"/>
        <v>191.899</v>
      </c>
      <c r="AQ100" s="32">
        <f t="shared" si="237"/>
        <v>246.53</v>
      </c>
      <c r="AR100" s="32">
        <f t="shared" si="237"/>
        <v>93.597999999999956</v>
      </c>
      <c r="AS100" s="32">
        <f t="shared" si="237"/>
        <v>621.73799999999994</v>
      </c>
      <c r="AT100" s="61"/>
      <c r="AU100" s="78">
        <f t="shared" si="213"/>
        <v>4.0981353625137338</v>
      </c>
    </row>
    <row r="101" spans="2:47" ht="12.75" customHeight="1">
      <c r="B101" s="62" t="s">
        <v>110</v>
      </c>
      <c r="C101" s="85">
        <v>142.27699999999999</v>
      </c>
      <c r="D101" s="85">
        <v>163.846</v>
      </c>
      <c r="E101" s="85">
        <v>193.24700000000001</v>
      </c>
      <c r="F101" s="85">
        <v>91.35</v>
      </c>
      <c r="G101" s="85">
        <v>27.356000000000002</v>
      </c>
      <c r="H101" s="85">
        <v>178.708</v>
      </c>
      <c r="I101" s="85">
        <v>77.843999999999994</v>
      </c>
      <c r="J101" s="32"/>
      <c r="K101" s="85">
        <v>22.279</v>
      </c>
      <c r="L101" s="85">
        <v>47.093000000000004</v>
      </c>
      <c r="M101" s="85">
        <v>-4.7320000000000002</v>
      </c>
      <c r="N101" s="32">
        <f t="shared" si="233"/>
        <v>26.709999999999994</v>
      </c>
      <c r="O101" s="85">
        <v>16.742999999999999</v>
      </c>
      <c r="P101" s="85">
        <v>-10.375999999999999</v>
      </c>
      <c r="Q101" s="85">
        <v>-48.42</v>
      </c>
      <c r="R101" s="32">
        <f t="shared" si="234"/>
        <v>69.409000000000006</v>
      </c>
      <c r="S101" s="85">
        <v>-2.39</v>
      </c>
      <c r="T101" s="85">
        <v>49.646999999999998</v>
      </c>
      <c r="U101" s="85">
        <v>-5.7329999999999997</v>
      </c>
      <c r="V101" s="32">
        <f t="shared" si="235"/>
        <v>137.184</v>
      </c>
      <c r="W101" s="85">
        <v>26.515000000000001</v>
      </c>
      <c r="X101" s="85">
        <v>4.2359999999999998</v>
      </c>
      <c r="Y101" s="85">
        <v>39.328000000000003</v>
      </c>
      <c r="Z101" s="32">
        <f t="shared" si="236"/>
        <v>7.7649999999999864</v>
      </c>
      <c r="AA101" s="85">
        <v>88.912999999999997</v>
      </c>
      <c r="AB101" s="85">
        <v>118.63500000000001</v>
      </c>
      <c r="AC101" s="85">
        <v>-3.6859999999999999</v>
      </c>
      <c r="AE101" s="32">
        <f t="shared" si="237"/>
        <v>85.813999999999993</v>
      </c>
      <c r="AF101" s="32">
        <f t="shared" si="237"/>
        <v>28.344999999999992</v>
      </c>
      <c r="AG101" s="32">
        <f t="shared" si="237"/>
        <v>-15.343000000000011</v>
      </c>
      <c r="AH101" s="32">
        <f t="shared" si="237"/>
        <v>27.356000000000002</v>
      </c>
      <c r="AI101" s="32">
        <f t="shared" si="237"/>
        <v>8.2230000000000061</v>
      </c>
      <c r="AJ101" s="32">
        <f t="shared" si="237"/>
        <v>68.246000000000009</v>
      </c>
      <c r="AK101" s="32">
        <f t="shared" si="237"/>
        <v>110.93299999999999</v>
      </c>
      <c r="AL101" s="32">
        <f t="shared" si="237"/>
        <v>178.708</v>
      </c>
      <c r="AM101" s="32">
        <f t="shared" si="237"/>
        <v>207.613</v>
      </c>
      <c r="AN101" s="32">
        <f t="shared" si="237"/>
        <v>162.202</v>
      </c>
      <c r="AO101" s="32">
        <f t="shared" si="237"/>
        <v>207.26300000000001</v>
      </c>
      <c r="AP101" s="32">
        <f t="shared" si="237"/>
        <v>77.843999999999994</v>
      </c>
      <c r="AQ101" s="32">
        <f t="shared" si="237"/>
        <v>140.24199999999999</v>
      </c>
      <c r="AR101" s="32">
        <f t="shared" si="237"/>
        <v>254.64099999999996</v>
      </c>
      <c r="AS101" s="32">
        <f t="shared" si="237"/>
        <v>211.62699999999998</v>
      </c>
      <c r="AT101" s="61"/>
      <c r="AU101" s="78">
        <f t="shared" si="213"/>
        <v>2.1055374089924195E-2</v>
      </c>
    </row>
    <row r="102" spans="2:47" ht="12.75" customHeight="1">
      <c r="B102" s="62" t="s">
        <v>139</v>
      </c>
      <c r="C102" s="85">
        <v>2.0619999999999998</v>
      </c>
      <c r="D102" s="85">
        <v>-122.53100000000001</v>
      </c>
      <c r="E102" s="85">
        <v>-194.07499999999999</v>
      </c>
      <c r="F102" s="85">
        <v>-289.09899999999999</v>
      </c>
      <c r="G102" s="85">
        <v>-217.553</v>
      </c>
      <c r="H102" s="85">
        <v>-310.92</v>
      </c>
      <c r="I102" s="85">
        <v>-446.351</v>
      </c>
      <c r="J102" s="32"/>
      <c r="K102" s="85">
        <v>-61.368000000000002</v>
      </c>
      <c r="L102" s="85">
        <v>-72.543000000000006</v>
      </c>
      <c r="M102" s="85">
        <v>-11.013999999999999</v>
      </c>
      <c r="N102" s="32">
        <f t="shared" si="233"/>
        <v>-144.17399999999998</v>
      </c>
      <c r="O102" s="85">
        <v>-167.93100000000001</v>
      </c>
      <c r="P102" s="85">
        <v>125.04</v>
      </c>
      <c r="Q102" s="85">
        <v>-4.1840000000000002</v>
      </c>
      <c r="R102" s="32">
        <f t="shared" si="234"/>
        <v>-170.47800000000001</v>
      </c>
      <c r="S102" s="85">
        <v>-68.936999999999998</v>
      </c>
      <c r="T102" s="85">
        <v>-117.95</v>
      </c>
      <c r="U102" s="85">
        <v>-40.359000000000002</v>
      </c>
      <c r="V102" s="32">
        <f t="shared" si="235"/>
        <v>-83.674000000000007</v>
      </c>
      <c r="W102" s="85">
        <v>-66.046999999999997</v>
      </c>
      <c r="X102" s="85">
        <v>-88.843000000000004</v>
      </c>
      <c r="Y102" s="85">
        <v>-124.313</v>
      </c>
      <c r="Z102" s="32">
        <f t="shared" si="236"/>
        <v>-167.14800000000002</v>
      </c>
      <c r="AA102" s="85">
        <v>-82.28</v>
      </c>
      <c r="AB102" s="85">
        <v>-370.62400000000002</v>
      </c>
      <c r="AC102" s="85">
        <v>-97.569000000000003</v>
      </c>
      <c r="AE102" s="32">
        <f t="shared" si="237"/>
        <v>-395.66200000000003</v>
      </c>
      <c r="AF102" s="32">
        <f t="shared" si="237"/>
        <v>-198.07900000000001</v>
      </c>
      <c r="AG102" s="32">
        <f t="shared" si="237"/>
        <v>-191.249</v>
      </c>
      <c r="AH102" s="32">
        <f t="shared" si="237"/>
        <v>-217.553</v>
      </c>
      <c r="AI102" s="32">
        <f t="shared" si="237"/>
        <v>-118.559</v>
      </c>
      <c r="AJ102" s="32">
        <f t="shared" si="237"/>
        <v>-361.54899999999998</v>
      </c>
      <c r="AK102" s="32">
        <f t="shared" si="237"/>
        <v>-397.72399999999999</v>
      </c>
      <c r="AL102" s="32">
        <f t="shared" si="237"/>
        <v>-310.92</v>
      </c>
      <c r="AM102" s="32">
        <f t="shared" si="237"/>
        <v>-308.02999999999997</v>
      </c>
      <c r="AN102" s="32">
        <f t="shared" si="237"/>
        <v>-278.923</v>
      </c>
      <c r="AO102" s="32">
        <f t="shared" si="237"/>
        <v>-362.87700000000001</v>
      </c>
      <c r="AP102" s="32">
        <f t="shared" si="237"/>
        <v>-446.351</v>
      </c>
      <c r="AQ102" s="32">
        <f t="shared" si="237"/>
        <v>-462.58400000000006</v>
      </c>
      <c r="AR102" s="32">
        <f t="shared" si="237"/>
        <v>-744.36500000000001</v>
      </c>
      <c r="AS102" s="32">
        <f t="shared" si="237"/>
        <v>-717.62099999999998</v>
      </c>
      <c r="AT102" s="61"/>
      <c r="AU102" s="78">
        <f t="shared" si="213"/>
        <v>0.97758744698616873</v>
      </c>
    </row>
    <row r="103" spans="2:47" ht="12.75" customHeight="1">
      <c r="B103" s="13" t="s">
        <v>62</v>
      </c>
      <c r="C103" s="34">
        <f t="shared" ref="C103:I103" si="238">SUM(C86:C102)</f>
        <v>-2680.4790000000007</v>
      </c>
      <c r="D103" s="34">
        <f t="shared" si="238"/>
        <v>-2887.322000000001</v>
      </c>
      <c r="E103" s="34">
        <f t="shared" si="238"/>
        <v>2427.0769999999998</v>
      </c>
      <c r="F103" s="14">
        <f t="shared" si="238"/>
        <v>392.60999999999757</v>
      </c>
      <c r="G103" s="14">
        <f t="shared" si="238"/>
        <v>2026.2569999999982</v>
      </c>
      <c r="H103" s="14">
        <f t="shared" si="238"/>
        <v>7274.3010000000013</v>
      </c>
      <c r="I103" s="14">
        <f t="shared" si="238"/>
        <v>7361.3640000000014</v>
      </c>
      <c r="K103" s="14">
        <f t="shared" ref="K103:AC103" si="239">SUM(K86:K102)</f>
        <v>777.26599999999996</v>
      </c>
      <c r="L103" s="14">
        <f t="shared" si="239"/>
        <v>-63.761000000000294</v>
      </c>
      <c r="M103" s="14">
        <f t="shared" si="239"/>
        <v>82.378999999999664</v>
      </c>
      <c r="N103" s="14">
        <f t="shared" si="239"/>
        <v>-403.27400000000279</v>
      </c>
      <c r="O103" s="14">
        <f t="shared" si="239"/>
        <v>922.83899999999971</v>
      </c>
      <c r="P103" s="14">
        <f t="shared" si="239"/>
        <v>102.74999999999878</v>
      </c>
      <c r="Q103" s="14">
        <f t="shared" si="239"/>
        <v>556.81000000000017</v>
      </c>
      <c r="R103" s="14">
        <f t="shared" si="239"/>
        <v>443.85800000000012</v>
      </c>
      <c r="S103" s="14">
        <f t="shared" si="239"/>
        <v>2178.7399999999993</v>
      </c>
      <c r="T103" s="14">
        <f t="shared" si="239"/>
        <v>1440.2320000000002</v>
      </c>
      <c r="U103" s="14">
        <f t="shared" si="239"/>
        <v>1992.3150000000007</v>
      </c>
      <c r="V103" s="14">
        <f t="shared" si="239"/>
        <v>1663.0140000000017</v>
      </c>
      <c r="W103" s="14">
        <f t="shared" si="239"/>
        <v>2212.5219999999995</v>
      </c>
      <c r="X103" s="14">
        <f t="shared" si="239"/>
        <v>1290.8469999999998</v>
      </c>
      <c r="Y103" s="14">
        <f t="shared" si="239"/>
        <v>2321.1009999999992</v>
      </c>
      <c r="Z103" s="14">
        <f t="shared" si="239"/>
        <v>1536.8939999999993</v>
      </c>
      <c r="AA103" s="14">
        <f t="shared" si="239"/>
        <v>2789.1989999999996</v>
      </c>
      <c r="AB103" s="14">
        <f t="shared" si="239"/>
        <v>2423.2579999999989</v>
      </c>
      <c r="AC103" s="14">
        <f t="shared" si="239"/>
        <v>2825.1740000000004</v>
      </c>
      <c r="AE103" s="14">
        <f t="shared" ref="AE103:AS103" si="240">SUM(AE86:AE102)</f>
        <v>538.18299999999715</v>
      </c>
      <c r="AF103" s="14">
        <f t="shared" si="240"/>
        <v>704.6939999999986</v>
      </c>
      <c r="AG103" s="14">
        <f t="shared" si="240"/>
        <v>1179.1249999999964</v>
      </c>
      <c r="AH103" s="14">
        <f t="shared" si="240"/>
        <v>2026.2569999999982</v>
      </c>
      <c r="AI103" s="14">
        <f t="shared" si="240"/>
        <v>3282.1579999999985</v>
      </c>
      <c r="AJ103" s="14">
        <f t="shared" si="240"/>
        <v>4619.6400000000012</v>
      </c>
      <c r="AK103" s="14">
        <f t="shared" si="240"/>
        <v>6055.1450000000004</v>
      </c>
      <c r="AL103" s="14">
        <f t="shared" si="240"/>
        <v>7274.3010000000022</v>
      </c>
      <c r="AM103" s="14">
        <f t="shared" si="240"/>
        <v>7308.0830000000014</v>
      </c>
      <c r="AN103" s="14">
        <f t="shared" si="240"/>
        <v>7158.698000000003</v>
      </c>
      <c r="AO103" s="14">
        <f t="shared" si="240"/>
        <v>7487.4840000000022</v>
      </c>
      <c r="AP103" s="14">
        <f t="shared" si="240"/>
        <v>7361.3639999999978</v>
      </c>
      <c r="AQ103" s="14">
        <f t="shared" si="240"/>
        <v>7938.0409999999965</v>
      </c>
      <c r="AR103" s="14">
        <f t="shared" si="240"/>
        <v>9070.4519999999993</v>
      </c>
      <c r="AS103" s="14">
        <f t="shared" si="240"/>
        <v>9574.5249999999978</v>
      </c>
      <c r="AT103" s="43"/>
      <c r="AU103" s="79">
        <f t="shared" si="213"/>
        <v>0.27873729012309001</v>
      </c>
    </row>
    <row r="104" spans="2:47" ht="12.75" customHeight="1">
      <c r="B104" s="55"/>
      <c r="C104" s="63"/>
      <c r="D104" s="63"/>
      <c r="E104" s="63"/>
      <c r="F104" s="63"/>
      <c r="G104" s="63"/>
      <c r="H104" s="63"/>
      <c r="I104" s="63"/>
      <c r="K104" s="63"/>
      <c r="L104" s="63"/>
      <c r="M104" s="63"/>
      <c r="N104" s="63"/>
      <c r="O104" s="63"/>
      <c r="P104" s="63"/>
      <c r="Q104" s="63"/>
      <c r="R104" s="63"/>
      <c r="S104" s="63"/>
      <c r="T104" s="63"/>
      <c r="U104" s="63"/>
      <c r="V104" s="63"/>
      <c r="W104" s="63"/>
      <c r="X104" s="63"/>
      <c r="Y104" s="63"/>
      <c r="Z104" s="63"/>
      <c r="AA104" s="63"/>
      <c r="AB104" s="63"/>
      <c r="AC104" s="63"/>
      <c r="AE104" s="43"/>
      <c r="AF104" s="43"/>
      <c r="AG104" s="43"/>
      <c r="AH104" s="43"/>
      <c r="AI104" s="43"/>
      <c r="AJ104" s="43"/>
      <c r="AK104" s="43"/>
      <c r="AL104" s="43"/>
      <c r="AM104" s="43"/>
      <c r="AN104" s="43"/>
      <c r="AO104" s="43"/>
      <c r="AP104" s="43"/>
      <c r="AQ104" s="43"/>
      <c r="AR104" s="43"/>
      <c r="AS104" s="43"/>
      <c r="AT104" s="43"/>
      <c r="AU104" s="40"/>
    </row>
    <row r="105" spans="2:47" ht="12.75" customHeight="1">
      <c r="B105" s="55" t="s">
        <v>63</v>
      </c>
      <c r="C105" s="61"/>
      <c r="D105" s="61"/>
      <c r="E105" s="60"/>
      <c r="F105" s="60"/>
      <c r="G105" s="60"/>
      <c r="H105" s="60"/>
      <c r="I105" s="60"/>
      <c r="K105" s="85"/>
      <c r="L105" s="85"/>
      <c r="M105" s="85"/>
      <c r="N105" s="32"/>
      <c r="O105" s="85"/>
      <c r="P105" s="85"/>
      <c r="Q105" s="85"/>
      <c r="R105" s="32"/>
      <c r="S105" s="85"/>
      <c r="T105" s="85"/>
      <c r="U105" s="85"/>
      <c r="V105" s="32"/>
      <c r="W105" s="85"/>
      <c r="X105" s="85"/>
      <c r="Y105" s="85"/>
      <c r="Z105" s="32"/>
      <c r="AA105" s="60"/>
      <c r="AB105" s="60"/>
      <c r="AC105" s="60"/>
      <c r="AE105" s="60"/>
      <c r="AF105" s="60"/>
      <c r="AG105" s="60"/>
      <c r="AH105" s="60"/>
      <c r="AI105" s="60"/>
      <c r="AJ105" s="60"/>
      <c r="AK105" s="60"/>
      <c r="AL105" s="60"/>
      <c r="AM105" s="60"/>
      <c r="AN105" s="60"/>
      <c r="AO105" s="60"/>
      <c r="AP105" s="60"/>
      <c r="AQ105" s="60"/>
      <c r="AR105" s="60"/>
      <c r="AS105" s="60"/>
      <c r="AT105" s="61"/>
      <c r="AU105" s="40"/>
    </row>
    <row r="106" spans="2:47" ht="12.75" customHeight="1">
      <c r="B106" s="62" t="s">
        <v>111</v>
      </c>
      <c r="C106" s="85">
        <v>-173.946</v>
      </c>
      <c r="D106" s="85">
        <v>-253.035</v>
      </c>
      <c r="E106" s="85">
        <v>-497.923</v>
      </c>
      <c r="F106" s="85">
        <v>-524.58500000000004</v>
      </c>
      <c r="G106" s="85">
        <v>-407.72899999999998</v>
      </c>
      <c r="H106" s="85">
        <v>-348.55200000000002</v>
      </c>
      <c r="I106" s="85">
        <v>-439.53800000000001</v>
      </c>
      <c r="J106" s="32"/>
      <c r="K106" s="85">
        <v>-81.001000000000005</v>
      </c>
      <c r="L106" s="85">
        <v>-110.27800000000001</v>
      </c>
      <c r="M106" s="85">
        <v>-167.327</v>
      </c>
      <c r="N106" s="32">
        <f t="shared" ref="N106:N110" si="241">SUM(F106-SUM(K106:M106))</f>
        <v>-165.97900000000004</v>
      </c>
      <c r="O106" s="85">
        <v>-121.158</v>
      </c>
      <c r="P106" s="85">
        <v>-90.018000000000001</v>
      </c>
      <c r="Q106" s="85">
        <v>-84.96</v>
      </c>
      <c r="R106" s="32">
        <f t="shared" ref="R106:R110" si="242">SUM(G106-SUM(O106:Q106))</f>
        <v>-111.59300000000002</v>
      </c>
      <c r="S106" s="85">
        <v>-62.018999999999998</v>
      </c>
      <c r="T106" s="85">
        <v>-100.97199999999999</v>
      </c>
      <c r="U106" s="85">
        <v>-103.929</v>
      </c>
      <c r="V106" s="32">
        <f t="shared" ref="V106:V110" si="243">SUM(H106-SUM(S106:U106))</f>
        <v>-81.632000000000062</v>
      </c>
      <c r="W106" s="85">
        <v>-75.713999999999999</v>
      </c>
      <c r="X106" s="85">
        <v>-78.287000000000006</v>
      </c>
      <c r="Y106" s="85">
        <v>-126.863</v>
      </c>
      <c r="Z106" s="32">
        <f t="shared" ref="Z106:Z110" si="244">SUM(I106-SUM(W106:Y106))</f>
        <v>-158.67399999999998</v>
      </c>
      <c r="AA106" s="85">
        <v>-128.27699999999999</v>
      </c>
      <c r="AB106" s="85">
        <v>-155.88900000000001</v>
      </c>
      <c r="AC106" s="85">
        <v>-164.71899999999999</v>
      </c>
      <c r="AD106" s="32"/>
      <c r="AE106" s="32">
        <f t="shared" ref="AE106:AE110" si="245">SUM(L106:O106)</f>
        <v>-564.74200000000008</v>
      </c>
      <c r="AF106" s="32">
        <f t="shared" ref="AF106:AF110" si="246">SUM(M106:P106)</f>
        <v>-544.48200000000008</v>
      </c>
      <c r="AG106" s="32">
        <f t="shared" ref="AG106:AG110" si="247">SUM(N106:Q106)</f>
        <v>-462.11500000000007</v>
      </c>
      <c r="AH106" s="32">
        <f t="shared" ref="AH106:AH110" si="248">SUM(O106:R106)</f>
        <v>-407.72899999999998</v>
      </c>
      <c r="AI106" s="32">
        <f t="shared" ref="AI106:AI110" si="249">SUM(P106:S106)</f>
        <v>-348.59000000000003</v>
      </c>
      <c r="AJ106" s="32">
        <f t="shared" ref="AJ106:AJ110" si="250">SUM(Q106:T106)</f>
        <v>-359.54399999999998</v>
      </c>
      <c r="AK106" s="32">
        <f t="shared" ref="AK106:AK110" si="251">SUM(R106:U106)</f>
        <v>-378.51300000000003</v>
      </c>
      <c r="AL106" s="32">
        <f t="shared" ref="AL106:AL110" si="252">SUM(S106:V106)</f>
        <v>-348.55200000000002</v>
      </c>
      <c r="AM106" s="32">
        <f t="shared" ref="AM106:AM110" si="253">SUM(T106:W106)</f>
        <v>-362.24700000000007</v>
      </c>
      <c r="AN106" s="32">
        <f t="shared" ref="AN106:AN110" si="254">SUM(U106:X106)</f>
        <v>-339.56200000000013</v>
      </c>
      <c r="AO106" s="32">
        <f t="shared" ref="AO106:AO110" si="255">SUM(V106:Y106)</f>
        <v>-362.49600000000009</v>
      </c>
      <c r="AP106" s="32">
        <f t="shared" ref="AP106:AP110" si="256">SUM(W106:Z106)</f>
        <v>-439.53800000000001</v>
      </c>
      <c r="AQ106" s="32">
        <f t="shared" ref="AQ106:AQ110" si="257">SUM(X106:AA106)</f>
        <v>-492.10099999999994</v>
      </c>
      <c r="AR106" s="32">
        <f t="shared" ref="AR106:AR110" si="258">SUM(Y106:AB106)</f>
        <v>-569.70299999999997</v>
      </c>
      <c r="AS106" s="32">
        <f t="shared" ref="AS106:AS110" si="259">SUM(Z106:AC106)</f>
        <v>-607.55899999999997</v>
      </c>
      <c r="AT106" s="61"/>
      <c r="AU106" s="78">
        <f t="shared" ref="AU106:AU121" si="260">SUM(AS106/AO106)-1</f>
        <v>0.67604332185734406</v>
      </c>
    </row>
    <row r="107" spans="2:47" ht="12.75" customHeight="1">
      <c r="B107" s="62" t="s">
        <v>140</v>
      </c>
      <c r="C107" s="85">
        <v>-165.17400000000001</v>
      </c>
      <c r="D107" s="85">
        <v>-134.029</v>
      </c>
      <c r="E107" s="85">
        <v>-7.431</v>
      </c>
      <c r="F107" s="85">
        <v>-26.919</v>
      </c>
      <c r="G107" s="85">
        <v>0</v>
      </c>
      <c r="H107" s="85">
        <v>0</v>
      </c>
      <c r="I107" s="85">
        <v>0</v>
      </c>
      <c r="J107" s="32"/>
      <c r="K107" s="85">
        <v>-4.6150000000000002</v>
      </c>
      <c r="L107" s="85">
        <v>-1</v>
      </c>
      <c r="M107" s="85">
        <v>-21.303999999999998</v>
      </c>
      <c r="N107" s="32">
        <f t="shared" si="241"/>
        <v>-3.5527136788005009E-15</v>
      </c>
      <c r="O107" s="85">
        <v>0</v>
      </c>
      <c r="P107" s="85">
        <v>0</v>
      </c>
      <c r="Q107" s="85">
        <v>0</v>
      </c>
      <c r="R107" s="32">
        <f t="shared" si="242"/>
        <v>0</v>
      </c>
      <c r="S107" s="85">
        <v>0</v>
      </c>
      <c r="T107" s="85">
        <v>0</v>
      </c>
      <c r="U107" s="85">
        <v>0</v>
      </c>
      <c r="V107" s="32">
        <f t="shared" si="243"/>
        <v>0</v>
      </c>
      <c r="W107" s="85">
        <v>0</v>
      </c>
      <c r="X107" s="85">
        <v>0</v>
      </c>
      <c r="Y107" s="85">
        <v>0</v>
      </c>
      <c r="Z107" s="32">
        <f t="shared" si="244"/>
        <v>0</v>
      </c>
      <c r="AA107" s="85">
        <v>0</v>
      </c>
      <c r="AB107" s="85">
        <v>0</v>
      </c>
      <c r="AC107" s="85">
        <v>0</v>
      </c>
      <c r="AD107" s="32"/>
      <c r="AE107" s="32">
        <f t="shared" si="245"/>
        <v>-22.304000000000002</v>
      </c>
      <c r="AF107" s="32">
        <f t="shared" si="246"/>
        <v>-21.304000000000002</v>
      </c>
      <c r="AG107" s="32">
        <f t="shared" si="247"/>
        <v>-3.5527136788005009E-15</v>
      </c>
      <c r="AH107" s="32">
        <f t="shared" si="248"/>
        <v>0</v>
      </c>
      <c r="AI107" s="32">
        <f t="shared" si="249"/>
        <v>0</v>
      </c>
      <c r="AJ107" s="32">
        <f t="shared" si="250"/>
        <v>0</v>
      </c>
      <c r="AK107" s="32">
        <f t="shared" si="251"/>
        <v>0</v>
      </c>
      <c r="AL107" s="32">
        <f t="shared" si="252"/>
        <v>0</v>
      </c>
      <c r="AM107" s="32">
        <f t="shared" si="253"/>
        <v>0</v>
      </c>
      <c r="AN107" s="32">
        <f t="shared" si="254"/>
        <v>0</v>
      </c>
      <c r="AO107" s="32">
        <f t="shared" si="255"/>
        <v>0</v>
      </c>
      <c r="AP107" s="32">
        <f t="shared" si="256"/>
        <v>0</v>
      </c>
      <c r="AQ107" s="32">
        <f t="shared" si="257"/>
        <v>0</v>
      </c>
      <c r="AR107" s="32">
        <f t="shared" si="258"/>
        <v>0</v>
      </c>
      <c r="AS107" s="32">
        <f t="shared" si="259"/>
        <v>0</v>
      </c>
      <c r="AT107" s="61"/>
      <c r="AU107" s="78" t="e">
        <f t="shared" si="260"/>
        <v>#DIV/0!</v>
      </c>
    </row>
    <row r="108" spans="2:47" ht="12.75" customHeight="1">
      <c r="B108" s="62" t="s">
        <v>141</v>
      </c>
      <c r="C108" s="85">
        <v>0</v>
      </c>
      <c r="D108" s="85">
        <v>0</v>
      </c>
      <c r="E108" s="85">
        <v>0</v>
      </c>
      <c r="F108" s="85">
        <v>-788.34900000000005</v>
      </c>
      <c r="G108" s="85">
        <v>-757.38699999999994</v>
      </c>
      <c r="H108" s="85">
        <v>0</v>
      </c>
      <c r="I108" s="85">
        <v>0</v>
      </c>
      <c r="J108" s="32"/>
      <c r="K108" s="85">
        <v>0</v>
      </c>
      <c r="L108" s="85">
        <v>0</v>
      </c>
      <c r="M108" s="85">
        <v>0</v>
      </c>
      <c r="N108" s="32">
        <f t="shared" si="241"/>
        <v>-788.34900000000005</v>
      </c>
      <c r="O108" s="85">
        <v>-124.521</v>
      </c>
      <c r="P108" s="85">
        <v>-68.876000000000005</v>
      </c>
      <c r="Q108" s="85">
        <v>0</v>
      </c>
      <c r="R108" s="32">
        <f t="shared" si="242"/>
        <v>-563.99</v>
      </c>
      <c r="S108" s="85">
        <v>0</v>
      </c>
      <c r="T108" s="85">
        <v>0</v>
      </c>
      <c r="U108" s="85">
        <v>0</v>
      </c>
      <c r="V108" s="32">
        <f t="shared" si="243"/>
        <v>0</v>
      </c>
      <c r="W108" s="85">
        <v>0</v>
      </c>
      <c r="X108" s="85">
        <v>0</v>
      </c>
      <c r="Y108" s="85">
        <v>0</v>
      </c>
      <c r="Z108" s="32">
        <f t="shared" si="244"/>
        <v>0</v>
      </c>
      <c r="AA108" s="85">
        <v>0</v>
      </c>
      <c r="AB108" s="85">
        <v>-36.19</v>
      </c>
      <c r="AC108" s="85">
        <v>36.19</v>
      </c>
      <c r="AD108" s="32"/>
      <c r="AE108" s="32">
        <f t="shared" si="245"/>
        <v>-912.87</v>
      </c>
      <c r="AF108" s="32">
        <f t="shared" si="246"/>
        <v>-981.74599999999998</v>
      </c>
      <c r="AG108" s="32">
        <f t="shared" si="247"/>
        <v>-981.74599999999998</v>
      </c>
      <c r="AH108" s="32">
        <f t="shared" si="248"/>
        <v>-757.38699999999994</v>
      </c>
      <c r="AI108" s="32">
        <f t="shared" si="249"/>
        <v>-632.86599999999999</v>
      </c>
      <c r="AJ108" s="32">
        <f t="shared" si="250"/>
        <v>-563.99</v>
      </c>
      <c r="AK108" s="32">
        <f t="shared" si="251"/>
        <v>-563.99</v>
      </c>
      <c r="AL108" s="32">
        <f t="shared" si="252"/>
        <v>0</v>
      </c>
      <c r="AM108" s="32">
        <f t="shared" si="253"/>
        <v>0</v>
      </c>
      <c r="AN108" s="32">
        <f t="shared" si="254"/>
        <v>0</v>
      </c>
      <c r="AO108" s="32">
        <f t="shared" si="255"/>
        <v>0</v>
      </c>
      <c r="AP108" s="32">
        <f t="shared" si="256"/>
        <v>0</v>
      </c>
      <c r="AQ108" s="32">
        <f t="shared" si="257"/>
        <v>0</v>
      </c>
      <c r="AR108" s="32">
        <f t="shared" si="258"/>
        <v>-36.19</v>
      </c>
      <c r="AS108" s="32">
        <f t="shared" si="259"/>
        <v>0</v>
      </c>
      <c r="AT108" s="61"/>
      <c r="AU108" s="78" t="e">
        <f t="shared" si="260"/>
        <v>#DIV/0!</v>
      </c>
    </row>
    <row r="109" spans="2:47" ht="12.75" customHeight="1">
      <c r="B109" s="62" t="s">
        <v>142</v>
      </c>
      <c r="C109" s="85">
        <v>0</v>
      </c>
      <c r="D109" s="85">
        <v>0</v>
      </c>
      <c r="E109" s="85">
        <v>0</v>
      </c>
      <c r="F109" s="85">
        <v>0</v>
      </c>
      <c r="G109" s="85">
        <v>-911.27599999999995</v>
      </c>
      <c r="H109" s="85">
        <v>-504.86200000000002</v>
      </c>
      <c r="I109" s="85">
        <v>-1742.2460000000001</v>
      </c>
      <c r="J109" s="32"/>
      <c r="K109" s="85">
        <v>0</v>
      </c>
      <c r="L109" s="85">
        <v>0</v>
      </c>
      <c r="M109" s="85">
        <v>0</v>
      </c>
      <c r="N109" s="32">
        <f t="shared" si="241"/>
        <v>0</v>
      </c>
      <c r="O109" s="85">
        <v>0</v>
      </c>
      <c r="P109" s="85">
        <v>0</v>
      </c>
      <c r="Q109" s="85">
        <v>0</v>
      </c>
      <c r="R109" s="32">
        <f t="shared" si="242"/>
        <v>-911.27599999999995</v>
      </c>
      <c r="S109" s="85">
        <v>-201.63399999999999</v>
      </c>
      <c r="T109" s="85">
        <v>-303.22800000000001</v>
      </c>
      <c r="U109" s="85">
        <v>0</v>
      </c>
      <c r="V109" s="32">
        <f t="shared" si="243"/>
        <v>-5.6843418860808015E-14</v>
      </c>
      <c r="W109" s="85">
        <v>0</v>
      </c>
      <c r="X109" s="85">
        <v>0</v>
      </c>
      <c r="Y109" s="85">
        <v>-1742.2460000000001</v>
      </c>
      <c r="Z109" s="32">
        <f t="shared" si="244"/>
        <v>0</v>
      </c>
      <c r="AA109" s="85">
        <v>-156.01499999999999</v>
      </c>
      <c r="AB109" s="85">
        <v>-1.65</v>
      </c>
      <c r="AC109" s="85">
        <v>-3.85</v>
      </c>
      <c r="AD109" s="32"/>
      <c r="AE109" s="32">
        <f t="shared" si="245"/>
        <v>0</v>
      </c>
      <c r="AF109" s="32">
        <f t="shared" si="246"/>
        <v>0</v>
      </c>
      <c r="AG109" s="32">
        <f t="shared" si="247"/>
        <v>0</v>
      </c>
      <c r="AH109" s="32">
        <f t="shared" si="248"/>
        <v>-911.27599999999995</v>
      </c>
      <c r="AI109" s="32">
        <f t="shared" si="249"/>
        <v>-1112.9099999999999</v>
      </c>
      <c r="AJ109" s="32">
        <f t="shared" si="250"/>
        <v>-1416.1379999999999</v>
      </c>
      <c r="AK109" s="32">
        <f t="shared" si="251"/>
        <v>-1416.1379999999999</v>
      </c>
      <c r="AL109" s="32">
        <f t="shared" si="252"/>
        <v>-504.86200000000002</v>
      </c>
      <c r="AM109" s="32">
        <f t="shared" si="253"/>
        <v>-303.22800000000007</v>
      </c>
      <c r="AN109" s="32">
        <f t="shared" si="254"/>
        <v>-5.6843418860808015E-14</v>
      </c>
      <c r="AO109" s="32">
        <f t="shared" si="255"/>
        <v>-1742.2460000000001</v>
      </c>
      <c r="AP109" s="32">
        <f t="shared" si="256"/>
        <v>-1742.2460000000001</v>
      </c>
      <c r="AQ109" s="32">
        <f t="shared" si="257"/>
        <v>-1898.261</v>
      </c>
      <c r="AR109" s="32">
        <f t="shared" si="258"/>
        <v>-1899.9110000000001</v>
      </c>
      <c r="AS109" s="32">
        <f t="shared" si="259"/>
        <v>-161.51499999999999</v>
      </c>
      <c r="AT109" s="61"/>
      <c r="AU109" s="78">
        <f t="shared" si="260"/>
        <v>-0.90729495145920835</v>
      </c>
    </row>
    <row r="110" spans="2:47" ht="12.75" customHeight="1">
      <c r="B110" s="62" t="s">
        <v>143</v>
      </c>
      <c r="C110" s="85">
        <v>0</v>
      </c>
      <c r="D110" s="85">
        <v>0</v>
      </c>
      <c r="E110" s="85">
        <v>0</v>
      </c>
      <c r="F110" s="85">
        <v>0</v>
      </c>
      <c r="G110" s="85">
        <v>0</v>
      </c>
      <c r="H110" s="85">
        <v>1395.165</v>
      </c>
      <c r="I110" s="85">
        <v>0</v>
      </c>
      <c r="J110" s="32"/>
      <c r="K110" s="85">
        <v>0</v>
      </c>
      <c r="L110" s="85">
        <v>0</v>
      </c>
      <c r="M110" s="85">
        <v>0</v>
      </c>
      <c r="N110" s="32">
        <f t="shared" si="241"/>
        <v>0</v>
      </c>
      <c r="O110" s="85">
        <v>0</v>
      </c>
      <c r="P110" s="85">
        <v>0</v>
      </c>
      <c r="Q110" s="85">
        <v>0</v>
      </c>
      <c r="R110" s="32">
        <f t="shared" si="242"/>
        <v>0</v>
      </c>
      <c r="S110" s="85">
        <v>0</v>
      </c>
      <c r="T110" s="85">
        <v>501.93700000000001</v>
      </c>
      <c r="U110" s="85">
        <v>400</v>
      </c>
      <c r="V110" s="32">
        <f t="shared" si="243"/>
        <v>493.22799999999995</v>
      </c>
      <c r="W110" s="85">
        <v>0</v>
      </c>
      <c r="X110" s="85">
        <v>0</v>
      </c>
      <c r="Y110" s="85">
        <v>0</v>
      </c>
      <c r="Z110" s="32">
        <f t="shared" si="244"/>
        <v>0</v>
      </c>
      <c r="AA110" s="85">
        <v>769.95399999999995</v>
      </c>
      <c r="AB110" s="85">
        <v>962.41300000000001</v>
      </c>
      <c r="AC110" s="85">
        <v>176.25</v>
      </c>
      <c r="AD110" s="32"/>
      <c r="AE110" s="32">
        <f t="shared" si="245"/>
        <v>0</v>
      </c>
      <c r="AF110" s="32">
        <f t="shared" si="246"/>
        <v>0</v>
      </c>
      <c r="AG110" s="32">
        <f t="shared" si="247"/>
        <v>0</v>
      </c>
      <c r="AH110" s="32">
        <f t="shared" si="248"/>
        <v>0</v>
      </c>
      <c r="AI110" s="32">
        <f t="shared" si="249"/>
        <v>0</v>
      </c>
      <c r="AJ110" s="32">
        <f t="shared" si="250"/>
        <v>501.93700000000001</v>
      </c>
      <c r="AK110" s="32">
        <f t="shared" si="251"/>
        <v>901.93700000000001</v>
      </c>
      <c r="AL110" s="32">
        <f t="shared" si="252"/>
        <v>1395.165</v>
      </c>
      <c r="AM110" s="32">
        <f t="shared" si="253"/>
        <v>1395.165</v>
      </c>
      <c r="AN110" s="32">
        <f t="shared" si="254"/>
        <v>893.22799999999995</v>
      </c>
      <c r="AO110" s="32">
        <f t="shared" si="255"/>
        <v>493.22799999999995</v>
      </c>
      <c r="AP110" s="32">
        <f t="shared" si="256"/>
        <v>0</v>
      </c>
      <c r="AQ110" s="32">
        <f t="shared" si="257"/>
        <v>769.95399999999995</v>
      </c>
      <c r="AR110" s="32">
        <f t="shared" si="258"/>
        <v>1732.367</v>
      </c>
      <c r="AS110" s="32">
        <f t="shared" si="259"/>
        <v>1908.617</v>
      </c>
      <c r="AT110" s="61"/>
      <c r="AU110" s="78">
        <f t="shared" si="260"/>
        <v>2.8696444646289345</v>
      </c>
    </row>
    <row r="111" spans="2:47" ht="12.75" customHeight="1">
      <c r="B111" s="13" t="s">
        <v>64</v>
      </c>
      <c r="C111" s="14">
        <f t="shared" ref="C111:I111" si="261">SUM(C106:C110)</f>
        <v>-339.12</v>
      </c>
      <c r="D111" s="14">
        <f t="shared" si="261"/>
        <v>-387.06399999999996</v>
      </c>
      <c r="E111" s="14">
        <f t="shared" si="261"/>
        <v>-505.35399999999998</v>
      </c>
      <c r="F111" s="14">
        <f t="shared" si="261"/>
        <v>-1339.8530000000001</v>
      </c>
      <c r="G111" s="14">
        <f t="shared" si="261"/>
        <v>-2076.3919999999998</v>
      </c>
      <c r="H111" s="14">
        <f t="shared" si="261"/>
        <v>541.75099999999998</v>
      </c>
      <c r="I111" s="14">
        <f t="shared" si="261"/>
        <v>-2181.7840000000001</v>
      </c>
      <c r="K111" s="14">
        <f t="shared" ref="K111:AC111" si="262">SUM(K106:K110)</f>
        <v>-85.616</v>
      </c>
      <c r="L111" s="14">
        <f t="shared" si="262"/>
        <v>-111.27800000000001</v>
      </c>
      <c r="M111" s="14">
        <f t="shared" si="262"/>
        <v>-188.631</v>
      </c>
      <c r="N111" s="14">
        <f t="shared" si="262"/>
        <v>-954.32800000000009</v>
      </c>
      <c r="O111" s="14">
        <f t="shared" si="262"/>
        <v>-245.679</v>
      </c>
      <c r="P111" s="14">
        <f t="shared" si="262"/>
        <v>-158.89400000000001</v>
      </c>
      <c r="Q111" s="14">
        <f t="shared" si="262"/>
        <v>-84.96</v>
      </c>
      <c r="R111" s="14">
        <f t="shared" si="262"/>
        <v>-1586.8589999999999</v>
      </c>
      <c r="S111" s="14">
        <f t="shared" si="262"/>
        <v>-263.65299999999996</v>
      </c>
      <c r="T111" s="14">
        <f t="shared" si="262"/>
        <v>97.737000000000023</v>
      </c>
      <c r="U111" s="14">
        <f t="shared" si="262"/>
        <v>296.07100000000003</v>
      </c>
      <c r="V111" s="14">
        <f t="shared" si="262"/>
        <v>411.59599999999983</v>
      </c>
      <c r="W111" s="14">
        <f t="shared" si="262"/>
        <v>-75.713999999999999</v>
      </c>
      <c r="X111" s="14">
        <f t="shared" si="262"/>
        <v>-78.287000000000006</v>
      </c>
      <c r="Y111" s="14">
        <f t="shared" si="262"/>
        <v>-1869.1090000000002</v>
      </c>
      <c r="Z111" s="14">
        <f t="shared" si="262"/>
        <v>-158.67399999999998</v>
      </c>
      <c r="AA111" s="14">
        <f t="shared" si="262"/>
        <v>485.66199999999998</v>
      </c>
      <c r="AB111" s="14">
        <f t="shared" si="262"/>
        <v>768.68399999999997</v>
      </c>
      <c r="AC111" s="14">
        <f t="shared" si="262"/>
        <v>43.871000000000009</v>
      </c>
      <c r="AE111" s="14">
        <f t="shared" ref="AE111:AS111" si="263">SUM(AE106:AE110)</f>
        <v>-1499.9160000000002</v>
      </c>
      <c r="AF111" s="14">
        <f t="shared" si="263"/>
        <v>-1547.5320000000002</v>
      </c>
      <c r="AG111" s="14">
        <f t="shared" si="263"/>
        <v>-1443.8610000000001</v>
      </c>
      <c r="AH111" s="14">
        <f t="shared" si="263"/>
        <v>-2076.3919999999998</v>
      </c>
      <c r="AI111" s="14">
        <f t="shared" si="263"/>
        <v>-2094.366</v>
      </c>
      <c r="AJ111" s="14">
        <f t="shared" si="263"/>
        <v>-1837.7350000000001</v>
      </c>
      <c r="AK111" s="14">
        <f t="shared" si="263"/>
        <v>-1456.7040000000002</v>
      </c>
      <c r="AL111" s="14">
        <f t="shared" si="263"/>
        <v>541.75099999999998</v>
      </c>
      <c r="AM111" s="14">
        <f t="shared" si="263"/>
        <v>729.68999999999983</v>
      </c>
      <c r="AN111" s="14">
        <f t="shared" si="263"/>
        <v>553.66599999999971</v>
      </c>
      <c r="AO111" s="14">
        <f t="shared" si="263"/>
        <v>-1611.5140000000001</v>
      </c>
      <c r="AP111" s="14">
        <f t="shared" si="263"/>
        <v>-2181.7840000000001</v>
      </c>
      <c r="AQ111" s="14">
        <f t="shared" si="263"/>
        <v>-1620.4080000000001</v>
      </c>
      <c r="AR111" s="14">
        <f t="shared" si="263"/>
        <v>-773.43700000000013</v>
      </c>
      <c r="AS111" s="14">
        <f t="shared" si="263"/>
        <v>1139.5430000000001</v>
      </c>
      <c r="AT111" s="43"/>
      <c r="AU111" s="79">
        <f t="shared" si="260"/>
        <v>-1.7071257215264652</v>
      </c>
    </row>
    <row r="112" spans="2:47" ht="5.0999999999999996" customHeight="1">
      <c r="B112" s="54"/>
      <c r="C112" s="63"/>
      <c r="D112" s="63"/>
      <c r="E112" s="63"/>
      <c r="F112" s="63"/>
      <c r="G112" s="63"/>
      <c r="H112" s="63"/>
      <c r="I112" s="63"/>
      <c r="K112" s="63"/>
      <c r="L112" s="63"/>
      <c r="M112" s="63"/>
      <c r="N112" s="63"/>
      <c r="O112" s="63"/>
      <c r="P112" s="63"/>
      <c r="Q112" s="63"/>
      <c r="R112" s="63"/>
      <c r="S112" s="63"/>
      <c r="T112" s="63"/>
      <c r="U112" s="63"/>
      <c r="V112" s="63"/>
      <c r="W112" s="63"/>
      <c r="X112" s="63"/>
      <c r="Y112" s="63"/>
      <c r="Z112" s="63"/>
      <c r="AA112" s="63"/>
      <c r="AB112" s="63"/>
      <c r="AC112" s="63"/>
      <c r="AE112" s="43"/>
      <c r="AF112" s="43"/>
      <c r="AG112" s="43"/>
      <c r="AH112" s="43"/>
      <c r="AI112" s="43"/>
      <c r="AJ112" s="43"/>
      <c r="AK112" s="43"/>
      <c r="AL112" s="43"/>
      <c r="AM112" s="43"/>
      <c r="AN112" s="43"/>
      <c r="AO112" s="43"/>
      <c r="AP112" s="43"/>
      <c r="AQ112" s="43"/>
      <c r="AR112" s="43"/>
      <c r="AS112" s="43"/>
      <c r="AT112" s="43"/>
      <c r="AU112" s="40"/>
    </row>
    <row r="113" spans="2:47" ht="12.75" customHeight="1">
      <c r="B113" s="55" t="s">
        <v>65</v>
      </c>
      <c r="C113" s="65"/>
      <c r="D113" s="65"/>
      <c r="E113" s="65"/>
      <c r="F113" s="65"/>
      <c r="G113" s="65"/>
      <c r="H113" s="65"/>
      <c r="I113" s="65"/>
      <c r="K113" s="65"/>
      <c r="L113" s="65"/>
      <c r="M113" s="65"/>
      <c r="N113" s="65"/>
      <c r="O113" s="65"/>
      <c r="P113" s="65"/>
      <c r="Q113" s="65"/>
      <c r="R113" s="65"/>
      <c r="S113" s="65"/>
      <c r="T113" s="65"/>
      <c r="U113" s="65"/>
      <c r="V113" s="65"/>
      <c r="W113" s="65"/>
      <c r="X113" s="65"/>
      <c r="Y113" s="65"/>
      <c r="Z113" s="65"/>
      <c r="AA113" s="65"/>
      <c r="AB113" s="65"/>
      <c r="AC113" s="65"/>
      <c r="AD113" s="32"/>
      <c r="AE113" s="32"/>
      <c r="AF113" s="32"/>
      <c r="AG113" s="32"/>
      <c r="AH113" s="32"/>
      <c r="AI113" s="32"/>
      <c r="AJ113" s="32"/>
      <c r="AK113" s="32"/>
      <c r="AL113" s="32"/>
      <c r="AM113" s="32"/>
      <c r="AN113" s="32"/>
      <c r="AO113" s="32"/>
      <c r="AP113" s="32"/>
      <c r="AQ113" s="32"/>
      <c r="AR113" s="32"/>
      <c r="AS113" s="32"/>
      <c r="AT113" s="66"/>
      <c r="AU113" s="78"/>
    </row>
    <row r="114" spans="2:47" ht="12.75" customHeight="1">
      <c r="B114" s="87" t="s">
        <v>151</v>
      </c>
      <c r="C114" s="85">
        <v>3961.8519999999999</v>
      </c>
      <c r="D114" s="85">
        <v>4469.3059999999996</v>
      </c>
      <c r="E114" s="85">
        <v>1009.4640000000001</v>
      </c>
      <c r="F114" s="85">
        <v>0</v>
      </c>
      <c r="G114" s="85">
        <v>0</v>
      </c>
      <c r="H114" s="85">
        <v>0</v>
      </c>
      <c r="I114" s="85">
        <v>1794.46</v>
      </c>
      <c r="K114" s="85">
        <v>0</v>
      </c>
      <c r="L114" s="85">
        <v>0</v>
      </c>
      <c r="M114" s="85">
        <v>0</v>
      </c>
      <c r="N114" s="32">
        <f t="shared" ref="N114:N118" si="264">SUM(F114-SUM(K114:M114))</f>
        <v>0</v>
      </c>
      <c r="O114" s="85">
        <v>0</v>
      </c>
      <c r="P114" s="85">
        <v>0</v>
      </c>
      <c r="Q114" s="85">
        <v>0</v>
      </c>
      <c r="R114" s="32">
        <f t="shared" ref="R114:R118" si="265">SUM(G114-SUM(O114:Q114))</f>
        <v>0</v>
      </c>
      <c r="S114" s="85">
        <v>0</v>
      </c>
      <c r="T114" s="85">
        <v>0</v>
      </c>
      <c r="U114" s="85">
        <v>0</v>
      </c>
      <c r="V114" s="32">
        <f t="shared" ref="V114:V118" si="266">SUM(H114-SUM(S114:U114))</f>
        <v>0</v>
      </c>
      <c r="W114" s="85">
        <v>0</v>
      </c>
      <c r="X114" s="85">
        <v>0</v>
      </c>
      <c r="Y114" s="85">
        <v>1794.46</v>
      </c>
      <c r="Z114" s="32">
        <f t="shared" ref="Z114:Z118" si="267">SUM(I114-SUM(W114:Y114))</f>
        <v>0</v>
      </c>
      <c r="AA114" s="85">
        <v>0</v>
      </c>
      <c r="AB114" s="85">
        <v>0</v>
      </c>
      <c r="AC114" s="85">
        <v>0</v>
      </c>
      <c r="AD114" s="32"/>
      <c r="AE114" s="32">
        <f t="shared" ref="AE114:AE120" si="268">SUM(L114:O114)</f>
        <v>0</v>
      </c>
      <c r="AF114" s="32">
        <f t="shared" ref="AF114:AF120" si="269">SUM(M114:P114)</f>
        <v>0</v>
      </c>
      <c r="AG114" s="32">
        <f t="shared" ref="AG114:AG120" si="270">SUM(N114:Q114)</f>
        <v>0</v>
      </c>
      <c r="AH114" s="32">
        <f t="shared" ref="AH114:AH120" si="271">SUM(O114:R114)</f>
        <v>0</v>
      </c>
      <c r="AI114" s="32">
        <f t="shared" ref="AI114:AI120" si="272">SUM(P114:S114)</f>
        <v>0</v>
      </c>
      <c r="AJ114" s="32">
        <f t="shared" ref="AJ114:AJ120" si="273">SUM(Q114:T114)</f>
        <v>0</v>
      </c>
      <c r="AK114" s="32">
        <f t="shared" ref="AK114:AK120" si="274">SUM(R114:U114)</f>
        <v>0</v>
      </c>
      <c r="AL114" s="32">
        <f t="shared" ref="AL114:AL120" si="275">SUM(S114:V114)</f>
        <v>0</v>
      </c>
      <c r="AM114" s="32">
        <f t="shared" ref="AM114:AM120" si="276">SUM(T114:W114)</f>
        <v>0</v>
      </c>
      <c r="AN114" s="32">
        <f t="shared" ref="AN114:AN120" si="277">SUM(U114:X114)</f>
        <v>0</v>
      </c>
      <c r="AO114" s="32">
        <f t="shared" ref="AO114:AO120" si="278">SUM(V114:Y114)</f>
        <v>1794.46</v>
      </c>
      <c r="AP114" s="32">
        <f t="shared" ref="AP114:AP120" si="279">SUM(W114:Z114)</f>
        <v>1794.46</v>
      </c>
      <c r="AQ114" s="32">
        <f t="shared" ref="AQ114:AQ120" si="280">SUM(X114:AA114)</f>
        <v>1794.46</v>
      </c>
      <c r="AR114" s="32">
        <f t="shared" ref="AR114:AR120" si="281">SUM(Y114:AB114)</f>
        <v>1794.46</v>
      </c>
      <c r="AS114" s="32">
        <f t="shared" ref="AS114:AS120" si="282">SUM(Z114:AC114)</f>
        <v>0</v>
      </c>
      <c r="AT114" s="66"/>
      <c r="AU114" s="78">
        <f t="shared" si="260"/>
        <v>-1</v>
      </c>
    </row>
    <row r="115" spans="2:47" ht="12.75" customHeight="1">
      <c r="B115" s="87" t="s">
        <v>152</v>
      </c>
      <c r="C115" s="85">
        <v>-35.871000000000002</v>
      </c>
      <c r="D115" s="85">
        <v>-36.134</v>
      </c>
      <c r="E115" s="85">
        <v>-7.5590000000000002</v>
      </c>
      <c r="F115" s="85">
        <v>0</v>
      </c>
      <c r="G115" s="85">
        <v>0</v>
      </c>
      <c r="H115" s="85">
        <v>0</v>
      </c>
      <c r="I115" s="85">
        <v>0</v>
      </c>
      <c r="K115" s="85">
        <v>0</v>
      </c>
      <c r="L115" s="85">
        <v>0</v>
      </c>
      <c r="M115" s="85">
        <v>0</v>
      </c>
      <c r="N115" s="32">
        <f t="shared" si="264"/>
        <v>0</v>
      </c>
      <c r="O115" s="85">
        <v>0</v>
      </c>
      <c r="P115" s="85">
        <v>0</v>
      </c>
      <c r="Q115" s="85">
        <v>0</v>
      </c>
      <c r="R115" s="32">
        <f t="shared" si="265"/>
        <v>0</v>
      </c>
      <c r="S115" s="85">
        <v>0</v>
      </c>
      <c r="T115" s="85">
        <v>0</v>
      </c>
      <c r="U115" s="85">
        <v>0</v>
      </c>
      <c r="V115" s="32">
        <f t="shared" si="266"/>
        <v>0</v>
      </c>
      <c r="W115" s="85">
        <v>0</v>
      </c>
      <c r="X115" s="85">
        <v>0</v>
      </c>
      <c r="Y115" s="85">
        <v>0</v>
      </c>
      <c r="Z115" s="32">
        <f t="shared" si="267"/>
        <v>0</v>
      </c>
      <c r="AA115" s="85">
        <v>0</v>
      </c>
      <c r="AB115" s="85">
        <v>0</v>
      </c>
      <c r="AC115" s="85">
        <v>0</v>
      </c>
      <c r="AD115" s="32"/>
      <c r="AE115" s="32">
        <f t="shared" si="268"/>
        <v>0</v>
      </c>
      <c r="AF115" s="32">
        <f t="shared" si="269"/>
        <v>0</v>
      </c>
      <c r="AG115" s="32">
        <f t="shared" si="270"/>
        <v>0</v>
      </c>
      <c r="AH115" s="32">
        <f t="shared" si="271"/>
        <v>0</v>
      </c>
      <c r="AI115" s="32">
        <f t="shared" si="272"/>
        <v>0</v>
      </c>
      <c r="AJ115" s="32">
        <f t="shared" si="273"/>
        <v>0</v>
      </c>
      <c r="AK115" s="32">
        <f t="shared" si="274"/>
        <v>0</v>
      </c>
      <c r="AL115" s="32">
        <f t="shared" si="275"/>
        <v>0</v>
      </c>
      <c r="AM115" s="32">
        <f t="shared" si="276"/>
        <v>0</v>
      </c>
      <c r="AN115" s="32">
        <f t="shared" si="277"/>
        <v>0</v>
      </c>
      <c r="AO115" s="32">
        <f t="shared" si="278"/>
        <v>0</v>
      </c>
      <c r="AP115" s="32">
        <f t="shared" si="279"/>
        <v>0</v>
      </c>
      <c r="AQ115" s="32">
        <f t="shared" si="280"/>
        <v>0</v>
      </c>
      <c r="AR115" s="32">
        <f t="shared" si="281"/>
        <v>0</v>
      </c>
      <c r="AS115" s="32">
        <f t="shared" si="282"/>
        <v>0</v>
      </c>
      <c r="AT115" s="66"/>
      <c r="AU115" s="78" t="e">
        <f t="shared" si="260"/>
        <v>#DIV/0!</v>
      </c>
    </row>
    <row r="116" spans="2:47" ht="12.75" customHeight="1">
      <c r="B116" s="87" t="s">
        <v>153</v>
      </c>
      <c r="C116" s="85">
        <v>0</v>
      </c>
      <c r="D116" s="85">
        <v>0</v>
      </c>
      <c r="E116" s="85">
        <v>0</v>
      </c>
      <c r="F116" s="85">
        <v>-500</v>
      </c>
      <c r="G116" s="85">
        <v>-700</v>
      </c>
      <c r="H116" s="85">
        <v>0</v>
      </c>
      <c r="I116" s="85">
        <v>-400</v>
      </c>
      <c r="K116" s="85">
        <v>-500</v>
      </c>
      <c r="L116" s="85">
        <v>0</v>
      </c>
      <c r="M116" s="85">
        <v>0</v>
      </c>
      <c r="N116" s="32">
        <f t="shared" si="264"/>
        <v>0</v>
      </c>
      <c r="O116" s="85">
        <v>-700</v>
      </c>
      <c r="P116" s="85">
        <v>0</v>
      </c>
      <c r="Q116" s="85">
        <v>0</v>
      </c>
      <c r="R116" s="32">
        <f t="shared" si="265"/>
        <v>0</v>
      </c>
      <c r="S116" s="85">
        <v>0</v>
      </c>
      <c r="T116" s="85">
        <v>0</v>
      </c>
      <c r="U116" s="85">
        <v>0</v>
      </c>
      <c r="V116" s="32">
        <f t="shared" si="266"/>
        <v>0</v>
      </c>
      <c r="W116" s="85">
        <v>-400</v>
      </c>
      <c r="X116" s="85">
        <v>0</v>
      </c>
      <c r="Y116" s="85">
        <v>0</v>
      </c>
      <c r="Z116" s="32">
        <f t="shared" si="267"/>
        <v>0</v>
      </c>
      <c r="AA116" s="85">
        <v>-800</v>
      </c>
      <c r="AB116" s="85">
        <v>-1033.45</v>
      </c>
      <c r="AC116" s="85">
        <v>0</v>
      </c>
      <c r="AD116" s="32"/>
      <c r="AE116" s="32">
        <f t="shared" si="268"/>
        <v>-700</v>
      </c>
      <c r="AF116" s="32">
        <f t="shared" si="269"/>
        <v>-700</v>
      </c>
      <c r="AG116" s="32">
        <f t="shared" si="270"/>
        <v>-700</v>
      </c>
      <c r="AH116" s="32">
        <f t="shared" si="271"/>
        <v>-700</v>
      </c>
      <c r="AI116" s="32">
        <f t="shared" si="272"/>
        <v>0</v>
      </c>
      <c r="AJ116" s="32">
        <f t="shared" si="273"/>
        <v>0</v>
      </c>
      <c r="AK116" s="32">
        <f t="shared" si="274"/>
        <v>0</v>
      </c>
      <c r="AL116" s="32">
        <f t="shared" si="275"/>
        <v>0</v>
      </c>
      <c r="AM116" s="32">
        <f t="shared" si="276"/>
        <v>-400</v>
      </c>
      <c r="AN116" s="32">
        <f t="shared" si="277"/>
        <v>-400</v>
      </c>
      <c r="AO116" s="32">
        <f t="shared" si="278"/>
        <v>-400</v>
      </c>
      <c r="AP116" s="32">
        <f t="shared" si="279"/>
        <v>-400</v>
      </c>
      <c r="AQ116" s="32">
        <f t="shared" si="280"/>
        <v>-800</v>
      </c>
      <c r="AR116" s="32">
        <f t="shared" si="281"/>
        <v>-1833.45</v>
      </c>
      <c r="AS116" s="32">
        <f t="shared" si="282"/>
        <v>-1833.45</v>
      </c>
      <c r="AT116" s="66"/>
      <c r="AU116" s="78">
        <f t="shared" si="260"/>
        <v>3.5836250000000005</v>
      </c>
    </row>
    <row r="117" spans="2:47" ht="12.75" customHeight="1">
      <c r="B117" s="87" t="s">
        <v>154</v>
      </c>
      <c r="C117" s="85">
        <v>124.502</v>
      </c>
      <c r="D117" s="85">
        <v>72.489999999999995</v>
      </c>
      <c r="E117" s="85">
        <v>235.40600000000001</v>
      </c>
      <c r="F117" s="85">
        <v>174.41399999999999</v>
      </c>
      <c r="G117" s="85">
        <v>35.746000000000002</v>
      </c>
      <c r="H117" s="85">
        <v>169.99</v>
      </c>
      <c r="I117" s="85">
        <v>832.88699999999994</v>
      </c>
      <c r="K117" s="85">
        <v>48.070999999999998</v>
      </c>
      <c r="L117" s="85">
        <v>19.748999999999999</v>
      </c>
      <c r="M117" s="85">
        <v>18.445</v>
      </c>
      <c r="N117" s="32">
        <f t="shared" si="264"/>
        <v>88.149000000000001</v>
      </c>
      <c r="O117" s="85">
        <v>13.678000000000001</v>
      </c>
      <c r="P117" s="85">
        <v>11.25</v>
      </c>
      <c r="Q117" s="85">
        <v>4.1130000000000004</v>
      </c>
      <c r="R117" s="32">
        <f t="shared" si="265"/>
        <v>6.7050000000000018</v>
      </c>
      <c r="S117" s="85">
        <v>26.027999999999999</v>
      </c>
      <c r="T117" s="85">
        <v>34.716999999999999</v>
      </c>
      <c r="U117" s="85">
        <v>57.817999999999998</v>
      </c>
      <c r="V117" s="32">
        <f t="shared" si="266"/>
        <v>51.427000000000021</v>
      </c>
      <c r="W117" s="85">
        <v>268.88099999999997</v>
      </c>
      <c r="X117" s="85">
        <v>118.75</v>
      </c>
      <c r="Y117" s="85">
        <v>143.244</v>
      </c>
      <c r="Z117" s="32">
        <f t="shared" si="267"/>
        <v>302.01199999999994</v>
      </c>
      <c r="AA117" s="85">
        <v>351.60199999999998</v>
      </c>
      <c r="AB117" s="85">
        <v>169.066</v>
      </c>
      <c r="AC117" s="85">
        <v>70.215000000000003</v>
      </c>
      <c r="AD117" s="32"/>
      <c r="AE117" s="32">
        <f t="shared" si="268"/>
        <v>140.02100000000002</v>
      </c>
      <c r="AF117" s="32">
        <f t="shared" si="269"/>
        <v>131.52199999999999</v>
      </c>
      <c r="AG117" s="32">
        <f t="shared" si="270"/>
        <v>117.19</v>
      </c>
      <c r="AH117" s="32">
        <f t="shared" si="271"/>
        <v>35.746000000000002</v>
      </c>
      <c r="AI117" s="32">
        <f t="shared" si="272"/>
        <v>48.096000000000004</v>
      </c>
      <c r="AJ117" s="32">
        <f t="shared" si="273"/>
        <v>71.563000000000002</v>
      </c>
      <c r="AK117" s="32">
        <f t="shared" si="274"/>
        <v>125.268</v>
      </c>
      <c r="AL117" s="32">
        <f t="shared" si="275"/>
        <v>169.99</v>
      </c>
      <c r="AM117" s="32">
        <f t="shared" si="276"/>
        <v>412.84299999999996</v>
      </c>
      <c r="AN117" s="32">
        <f t="shared" si="277"/>
        <v>496.87599999999998</v>
      </c>
      <c r="AO117" s="32">
        <f t="shared" si="278"/>
        <v>582.30200000000002</v>
      </c>
      <c r="AP117" s="32">
        <f t="shared" si="279"/>
        <v>832.88699999999994</v>
      </c>
      <c r="AQ117" s="32">
        <f t="shared" si="280"/>
        <v>915.60799999999995</v>
      </c>
      <c r="AR117" s="32">
        <f t="shared" si="281"/>
        <v>965.92399999999998</v>
      </c>
      <c r="AS117" s="32">
        <f t="shared" si="282"/>
        <v>892.89499999999998</v>
      </c>
      <c r="AT117" s="66"/>
      <c r="AU117" s="78">
        <f t="shared" si="260"/>
        <v>0.53338817314726716</v>
      </c>
    </row>
    <row r="118" spans="2:47" ht="12.75" customHeight="1">
      <c r="B118" s="87" t="s">
        <v>155</v>
      </c>
      <c r="C118" s="85">
        <v>0</v>
      </c>
      <c r="D118" s="85">
        <v>0</v>
      </c>
      <c r="E118" s="85">
        <v>0</v>
      </c>
      <c r="F118" s="85">
        <v>-600.02200000000005</v>
      </c>
      <c r="G118" s="85">
        <v>0</v>
      </c>
      <c r="H118" s="85">
        <v>-6045.3469999999998</v>
      </c>
      <c r="I118" s="85">
        <v>-6263.7460000000001</v>
      </c>
      <c r="K118" s="85">
        <v>0</v>
      </c>
      <c r="L118" s="85">
        <v>-500.02199999999999</v>
      </c>
      <c r="M118" s="85">
        <v>-100</v>
      </c>
      <c r="N118" s="32">
        <f t="shared" si="264"/>
        <v>-1.1368683772161603E-13</v>
      </c>
      <c r="O118" s="85">
        <v>0</v>
      </c>
      <c r="P118" s="85">
        <v>0</v>
      </c>
      <c r="Q118" s="85">
        <v>0</v>
      </c>
      <c r="R118" s="32">
        <f t="shared" si="265"/>
        <v>0</v>
      </c>
      <c r="S118" s="85">
        <v>-400.101</v>
      </c>
      <c r="T118" s="85">
        <v>-645.14599999999996</v>
      </c>
      <c r="U118" s="85">
        <v>-2500.1</v>
      </c>
      <c r="V118" s="32">
        <f t="shared" si="266"/>
        <v>-2500</v>
      </c>
      <c r="W118" s="85">
        <v>-2000</v>
      </c>
      <c r="X118" s="85">
        <v>-1599.998</v>
      </c>
      <c r="Y118" s="85">
        <v>-1700</v>
      </c>
      <c r="Z118" s="32">
        <f t="shared" si="267"/>
        <v>-963.7480000000005</v>
      </c>
      <c r="AA118" s="85">
        <v>-3536.3960000000002</v>
      </c>
      <c r="AB118" s="85">
        <v>-1654.327</v>
      </c>
      <c r="AC118" s="85">
        <v>-1856.885</v>
      </c>
      <c r="AD118" s="32"/>
      <c r="AE118" s="32">
        <f t="shared" si="268"/>
        <v>-600.02200000000005</v>
      </c>
      <c r="AF118" s="32">
        <f t="shared" si="269"/>
        <v>-100.00000000000011</v>
      </c>
      <c r="AG118" s="32">
        <f t="shared" si="270"/>
        <v>-1.1368683772161603E-13</v>
      </c>
      <c r="AH118" s="32">
        <f t="shared" si="271"/>
        <v>0</v>
      </c>
      <c r="AI118" s="32">
        <f t="shared" si="272"/>
        <v>-400.101</v>
      </c>
      <c r="AJ118" s="32">
        <f t="shared" si="273"/>
        <v>-1045.2469999999998</v>
      </c>
      <c r="AK118" s="32">
        <f t="shared" si="274"/>
        <v>-3545.3469999999998</v>
      </c>
      <c r="AL118" s="32">
        <f t="shared" si="275"/>
        <v>-6045.3469999999998</v>
      </c>
      <c r="AM118" s="32">
        <f t="shared" si="276"/>
        <v>-7645.2460000000001</v>
      </c>
      <c r="AN118" s="32">
        <f t="shared" si="277"/>
        <v>-8600.098</v>
      </c>
      <c r="AO118" s="32">
        <f t="shared" si="278"/>
        <v>-7799.9979999999996</v>
      </c>
      <c r="AP118" s="32">
        <f t="shared" si="279"/>
        <v>-6263.7460000000001</v>
      </c>
      <c r="AQ118" s="32">
        <f t="shared" si="280"/>
        <v>-7800.1420000000016</v>
      </c>
      <c r="AR118" s="32">
        <f t="shared" si="281"/>
        <v>-7854.4710000000005</v>
      </c>
      <c r="AS118" s="32">
        <f t="shared" si="282"/>
        <v>-8011.3560000000007</v>
      </c>
      <c r="AT118" s="66"/>
      <c r="AU118" s="78">
        <f t="shared" si="260"/>
        <v>2.7097186435176113E-2</v>
      </c>
    </row>
    <row r="119" spans="2:47" ht="12.75" customHeight="1">
      <c r="B119" s="87" t="s">
        <v>156</v>
      </c>
      <c r="C119" s="85">
        <v>0</v>
      </c>
      <c r="D119" s="85">
        <v>0</v>
      </c>
      <c r="E119" s="85">
        <v>0</v>
      </c>
      <c r="F119" s="85">
        <v>-224.16800000000001</v>
      </c>
      <c r="G119" s="85">
        <v>0</v>
      </c>
      <c r="H119" s="85">
        <v>0</v>
      </c>
      <c r="I119" s="85">
        <v>-8.2850000000000001</v>
      </c>
      <c r="K119" s="85">
        <v>0</v>
      </c>
      <c r="L119" s="85">
        <v>0</v>
      </c>
      <c r="M119" s="85">
        <v>0</v>
      </c>
      <c r="N119" s="32">
        <f t="shared" ref="N119:N120" si="283">SUM(F119-SUM(K119:M119))</f>
        <v>-224.16800000000001</v>
      </c>
      <c r="O119" s="85">
        <v>0</v>
      </c>
      <c r="P119" s="85">
        <v>0</v>
      </c>
      <c r="Q119" s="85">
        <v>0</v>
      </c>
      <c r="R119" s="32">
        <f t="shared" ref="R119:R120" si="284">SUM(G119-SUM(O119:Q119))</f>
        <v>0</v>
      </c>
      <c r="S119" s="85">
        <v>0</v>
      </c>
      <c r="T119" s="85">
        <v>0</v>
      </c>
      <c r="U119" s="85">
        <v>0</v>
      </c>
      <c r="V119" s="32">
        <f t="shared" ref="V119:V120" si="285">SUM(H119-SUM(S119:U119))</f>
        <v>0</v>
      </c>
      <c r="W119" s="85">
        <v>-1.825</v>
      </c>
      <c r="X119" s="85">
        <v>-1.883</v>
      </c>
      <c r="Y119" s="85">
        <v>-2.024</v>
      </c>
      <c r="Z119" s="32">
        <f t="shared" ref="Z119:Z120" si="286">SUM(I119-SUM(W119:Y119))</f>
        <v>-2.5529999999999999</v>
      </c>
      <c r="AA119" s="85">
        <v>-27.87</v>
      </c>
      <c r="AB119" s="85">
        <v>-6.1139999999999999</v>
      </c>
      <c r="AC119" s="85">
        <v>-6.1959999999999997</v>
      </c>
      <c r="AD119" s="32"/>
      <c r="AE119" s="32">
        <f t="shared" si="268"/>
        <v>-224.16800000000001</v>
      </c>
      <c r="AF119" s="32">
        <f t="shared" si="269"/>
        <v>-224.16800000000001</v>
      </c>
      <c r="AG119" s="32">
        <f t="shared" si="270"/>
        <v>-224.16800000000001</v>
      </c>
      <c r="AH119" s="32">
        <f t="shared" si="271"/>
        <v>0</v>
      </c>
      <c r="AI119" s="32">
        <f t="shared" si="272"/>
        <v>0</v>
      </c>
      <c r="AJ119" s="32">
        <f t="shared" si="273"/>
        <v>0</v>
      </c>
      <c r="AK119" s="32">
        <f t="shared" si="274"/>
        <v>0</v>
      </c>
      <c r="AL119" s="32">
        <f t="shared" si="275"/>
        <v>0</v>
      </c>
      <c r="AM119" s="32">
        <f t="shared" si="276"/>
        <v>-1.825</v>
      </c>
      <c r="AN119" s="32">
        <f t="shared" si="277"/>
        <v>-3.7080000000000002</v>
      </c>
      <c r="AO119" s="32">
        <f t="shared" si="278"/>
        <v>-5.7320000000000002</v>
      </c>
      <c r="AP119" s="32">
        <f t="shared" si="279"/>
        <v>-8.2850000000000001</v>
      </c>
      <c r="AQ119" s="32">
        <f t="shared" si="280"/>
        <v>-34.33</v>
      </c>
      <c r="AR119" s="32">
        <f t="shared" si="281"/>
        <v>-38.561</v>
      </c>
      <c r="AS119" s="32">
        <f t="shared" si="282"/>
        <v>-42.732999999999997</v>
      </c>
      <c r="AT119" s="66"/>
      <c r="AU119" s="78">
        <f t="shared" si="260"/>
        <v>6.4551639916259589</v>
      </c>
    </row>
    <row r="120" spans="2:47" ht="12.75" customHeight="1">
      <c r="B120" s="87" t="s">
        <v>157</v>
      </c>
      <c r="C120" s="85">
        <v>-1.956</v>
      </c>
      <c r="D120" s="85">
        <v>0</v>
      </c>
      <c r="E120" s="85">
        <v>0</v>
      </c>
      <c r="F120" s="85">
        <v>0</v>
      </c>
      <c r="G120" s="85">
        <v>0</v>
      </c>
      <c r="H120" s="85">
        <v>-75.445999999999998</v>
      </c>
      <c r="I120" s="85">
        <v>-29.742999999999999</v>
      </c>
      <c r="K120" s="85">
        <v>0</v>
      </c>
      <c r="L120" s="85">
        <v>0</v>
      </c>
      <c r="M120" s="85">
        <v>0</v>
      </c>
      <c r="N120" s="32">
        <f t="shared" si="283"/>
        <v>0</v>
      </c>
      <c r="O120" s="85">
        <v>0</v>
      </c>
      <c r="P120" s="85">
        <v>0</v>
      </c>
      <c r="Q120" s="85">
        <v>0</v>
      </c>
      <c r="R120" s="32">
        <f t="shared" si="284"/>
        <v>0</v>
      </c>
      <c r="S120" s="85">
        <v>0</v>
      </c>
      <c r="T120" s="85">
        <v>-38.92</v>
      </c>
      <c r="U120" s="85">
        <v>-32.826000000000001</v>
      </c>
      <c r="V120" s="32">
        <f t="shared" si="285"/>
        <v>-3.6999999999999886</v>
      </c>
      <c r="W120" s="85">
        <v>0</v>
      </c>
      <c r="X120" s="85">
        <v>-6.25</v>
      </c>
      <c r="Y120" s="85">
        <v>-9.0839999999999996</v>
      </c>
      <c r="Z120" s="32">
        <f t="shared" si="286"/>
        <v>-14.408999999999999</v>
      </c>
      <c r="AA120" s="85">
        <v>-15.651999999999999</v>
      </c>
      <c r="AB120" s="85">
        <v>21.957000000000001</v>
      </c>
      <c r="AC120" s="85">
        <v>55.837000000000003</v>
      </c>
      <c r="AD120" s="32"/>
      <c r="AE120" s="32">
        <f t="shared" si="268"/>
        <v>0</v>
      </c>
      <c r="AF120" s="32">
        <f t="shared" si="269"/>
        <v>0</v>
      </c>
      <c r="AG120" s="32">
        <f t="shared" si="270"/>
        <v>0</v>
      </c>
      <c r="AH120" s="32">
        <f t="shared" si="271"/>
        <v>0</v>
      </c>
      <c r="AI120" s="32">
        <f t="shared" si="272"/>
        <v>0</v>
      </c>
      <c r="AJ120" s="32">
        <f t="shared" si="273"/>
        <v>-38.92</v>
      </c>
      <c r="AK120" s="32">
        <f t="shared" si="274"/>
        <v>-71.746000000000009</v>
      </c>
      <c r="AL120" s="32">
        <f t="shared" si="275"/>
        <v>-75.445999999999998</v>
      </c>
      <c r="AM120" s="32">
        <f t="shared" si="276"/>
        <v>-75.445999999999998</v>
      </c>
      <c r="AN120" s="32">
        <f t="shared" si="277"/>
        <v>-42.775999999999989</v>
      </c>
      <c r="AO120" s="32">
        <f t="shared" si="278"/>
        <v>-19.033999999999988</v>
      </c>
      <c r="AP120" s="32">
        <f t="shared" si="279"/>
        <v>-29.742999999999999</v>
      </c>
      <c r="AQ120" s="32">
        <f t="shared" si="280"/>
        <v>-45.394999999999996</v>
      </c>
      <c r="AR120" s="32">
        <f t="shared" si="281"/>
        <v>-17.187999999999995</v>
      </c>
      <c r="AS120" s="32">
        <f t="shared" si="282"/>
        <v>47.733000000000004</v>
      </c>
      <c r="AT120" s="66"/>
      <c r="AU120" s="78">
        <f t="shared" si="260"/>
        <v>-3.5077755595250624</v>
      </c>
    </row>
    <row r="121" spans="2:47" ht="12.75" customHeight="1">
      <c r="B121" s="13" t="s">
        <v>66</v>
      </c>
      <c r="C121" s="14">
        <f t="shared" ref="C121:I121" si="287">SUM(C114:C120)</f>
        <v>4048.5269999999996</v>
      </c>
      <c r="D121" s="14">
        <f t="shared" si="287"/>
        <v>4505.6619999999994</v>
      </c>
      <c r="E121" s="14">
        <f t="shared" si="287"/>
        <v>1237.3110000000001</v>
      </c>
      <c r="F121" s="14">
        <f t="shared" si="287"/>
        <v>-1149.7760000000001</v>
      </c>
      <c r="G121" s="14">
        <f t="shared" si="287"/>
        <v>-664.25400000000002</v>
      </c>
      <c r="H121" s="14">
        <f t="shared" si="287"/>
        <v>-5950.8029999999999</v>
      </c>
      <c r="I121" s="14">
        <f t="shared" si="287"/>
        <v>-4074.4270000000001</v>
      </c>
      <c r="K121" s="14">
        <f t="shared" ref="K121:AC121" si="288">SUM(K114:K120)</f>
        <v>-451.92899999999997</v>
      </c>
      <c r="L121" s="14">
        <f t="shared" si="288"/>
        <v>-480.27299999999997</v>
      </c>
      <c r="M121" s="14">
        <f t="shared" si="288"/>
        <v>-81.555000000000007</v>
      </c>
      <c r="N121" s="14">
        <f t="shared" si="288"/>
        <v>-136.01900000000012</v>
      </c>
      <c r="O121" s="14">
        <f t="shared" si="288"/>
        <v>-686.322</v>
      </c>
      <c r="P121" s="14">
        <f t="shared" si="288"/>
        <v>11.25</v>
      </c>
      <c r="Q121" s="14">
        <f t="shared" si="288"/>
        <v>4.1130000000000004</v>
      </c>
      <c r="R121" s="14">
        <f t="shared" si="288"/>
        <v>6.7050000000000018</v>
      </c>
      <c r="S121" s="14">
        <f t="shared" si="288"/>
        <v>-374.07299999999998</v>
      </c>
      <c r="T121" s="14">
        <f t="shared" si="288"/>
        <v>-649.34899999999993</v>
      </c>
      <c r="U121" s="14">
        <f t="shared" si="288"/>
        <v>-2475.1079999999997</v>
      </c>
      <c r="V121" s="14">
        <f t="shared" si="288"/>
        <v>-2452.2729999999997</v>
      </c>
      <c r="W121" s="14">
        <f t="shared" si="288"/>
        <v>-2132.944</v>
      </c>
      <c r="X121" s="14">
        <f t="shared" si="288"/>
        <v>-1489.3810000000001</v>
      </c>
      <c r="Y121" s="14">
        <f t="shared" si="288"/>
        <v>226.59599999999995</v>
      </c>
      <c r="Z121" s="14">
        <f t="shared" si="288"/>
        <v>-678.69800000000055</v>
      </c>
      <c r="AA121" s="14">
        <f t="shared" si="288"/>
        <v>-4028.3160000000003</v>
      </c>
      <c r="AB121" s="14">
        <f t="shared" si="288"/>
        <v>-2502.8680000000004</v>
      </c>
      <c r="AC121" s="14">
        <f t="shared" si="288"/>
        <v>-1737.029</v>
      </c>
      <c r="AE121" s="14">
        <f t="shared" ref="AE121:AS121" si="289">SUM(AE114:AE120)</f>
        <v>-1384.1690000000003</v>
      </c>
      <c r="AF121" s="14">
        <f t="shared" si="289"/>
        <v>-892.64600000000019</v>
      </c>
      <c r="AG121" s="14">
        <f t="shared" si="289"/>
        <v>-806.97800000000007</v>
      </c>
      <c r="AH121" s="14">
        <f t="shared" si="289"/>
        <v>-664.25400000000002</v>
      </c>
      <c r="AI121" s="14">
        <f t="shared" si="289"/>
        <v>-352.005</v>
      </c>
      <c r="AJ121" s="14">
        <f t="shared" si="289"/>
        <v>-1012.6039999999998</v>
      </c>
      <c r="AK121" s="14">
        <f t="shared" si="289"/>
        <v>-3491.8249999999998</v>
      </c>
      <c r="AL121" s="14">
        <f t="shared" si="289"/>
        <v>-5950.8029999999999</v>
      </c>
      <c r="AM121" s="14">
        <f t="shared" si="289"/>
        <v>-7709.674</v>
      </c>
      <c r="AN121" s="14">
        <f t="shared" si="289"/>
        <v>-8549.7060000000001</v>
      </c>
      <c r="AO121" s="14">
        <f t="shared" si="289"/>
        <v>-5848.0019999999986</v>
      </c>
      <c r="AP121" s="14">
        <f t="shared" si="289"/>
        <v>-4074.4270000000001</v>
      </c>
      <c r="AQ121" s="14">
        <f t="shared" si="289"/>
        <v>-5969.7990000000018</v>
      </c>
      <c r="AR121" s="14">
        <f t="shared" si="289"/>
        <v>-6983.2860000000001</v>
      </c>
      <c r="AS121" s="14">
        <f t="shared" si="289"/>
        <v>-8946.9110000000001</v>
      </c>
      <c r="AT121" s="43"/>
      <c r="AU121" s="79">
        <f t="shared" si="260"/>
        <v>0.5299090184989681</v>
      </c>
    </row>
    <row r="122" spans="2:47" ht="5.0999999999999996" customHeight="1">
      <c r="B122" s="8"/>
      <c r="C122" s="67"/>
      <c r="D122" s="67"/>
      <c r="E122" s="67"/>
      <c r="F122" s="67"/>
      <c r="G122" s="67"/>
      <c r="H122" s="67"/>
      <c r="I122" s="67"/>
      <c r="J122" s="32"/>
      <c r="K122" s="67"/>
      <c r="L122" s="67"/>
      <c r="M122" s="67"/>
      <c r="N122" s="67"/>
      <c r="O122" s="67"/>
      <c r="P122" s="67"/>
      <c r="Q122" s="67"/>
      <c r="R122" s="67"/>
      <c r="S122" s="67"/>
      <c r="T122" s="67"/>
      <c r="U122" s="67"/>
      <c r="V122" s="67"/>
      <c r="W122" s="67"/>
      <c r="X122" s="67"/>
      <c r="Y122" s="67"/>
      <c r="Z122" s="67"/>
      <c r="AA122" s="67"/>
      <c r="AB122" s="67"/>
      <c r="AC122" s="67"/>
      <c r="AE122" s="11"/>
      <c r="AF122" s="11"/>
      <c r="AG122" s="11"/>
      <c r="AH122" s="11"/>
      <c r="AI122" s="11"/>
      <c r="AJ122" s="11"/>
      <c r="AK122" s="11"/>
      <c r="AL122" s="11"/>
      <c r="AM122" s="11"/>
      <c r="AN122" s="11"/>
      <c r="AO122" s="11"/>
      <c r="AP122" s="11"/>
      <c r="AQ122" s="11"/>
      <c r="AR122" s="11"/>
      <c r="AS122" s="11"/>
      <c r="AT122" s="11"/>
      <c r="AU122" s="47"/>
    </row>
    <row r="123" spans="2:47" ht="5.0999999999999996" customHeight="1">
      <c r="B123" s="74"/>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11"/>
      <c r="AU123" s="47"/>
    </row>
    <row r="124" spans="2:47">
      <c r="B124" s="95" t="s">
        <v>101</v>
      </c>
      <c r="C124" s="133">
        <v>2822.7950000000001</v>
      </c>
      <c r="D124" s="96">
        <f t="shared" ref="D124:I124" si="290">C131</f>
        <v>3794.4829999999993</v>
      </c>
      <c r="E124" s="96">
        <f t="shared" si="290"/>
        <v>5018.4369999999972</v>
      </c>
      <c r="F124" s="96">
        <f t="shared" si="290"/>
        <v>8205.5499999999975</v>
      </c>
      <c r="G124" s="96">
        <f t="shared" si="290"/>
        <v>6027.8039999999946</v>
      </c>
      <c r="H124" s="96">
        <f t="shared" si="290"/>
        <v>5147.1759999999922</v>
      </c>
      <c r="I124" s="96">
        <f t="shared" si="290"/>
        <v>7116.9129999999941</v>
      </c>
      <c r="J124" s="96"/>
      <c r="K124" s="96">
        <f>E131</f>
        <v>8205.5499999999975</v>
      </c>
      <c r="L124" s="96">
        <f t="shared" ref="L124:AC124" si="291">K131</f>
        <v>8403.7049999999963</v>
      </c>
      <c r="M124" s="96">
        <f t="shared" si="291"/>
        <v>7777.529999999997</v>
      </c>
      <c r="N124" s="96">
        <f t="shared" si="291"/>
        <v>7526.6809999999959</v>
      </c>
      <c r="O124" s="96">
        <f t="shared" si="291"/>
        <v>6027.8039999999937</v>
      </c>
      <c r="P124" s="96">
        <f t="shared" si="291"/>
        <v>6008.9459999999926</v>
      </c>
      <c r="Q124" s="96">
        <f t="shared" si="291"/>
        <v>5819.4489999999914</v>
      </c>
      <c r="R124" s="96">
        <f t="shared" si="291"/>
        <v>6113.7329999999911</v>
      </c>
      <c r="S124" s="96">
        <f t="shared" si="291"/>
        <v>5147.1759999999922</v>
      </c>
      <c r="T124" s="96">
        <f t="shared" si="291"/>
        <v>6714.593999999991</v>
      </c>
      <c r="U124" s="96">
        <f t="shared" si="291"/>
        <v>7662.7879999999914</v>
      </c>
      <c r="V124" s="96">
        <f t="shared" si="291"/>
        <v>7353.2449999999917</v>
      </c>
      <c r="W124" s="96">
        <f t="shared" si="291"/>
        <v>7116.9129999999932</v>
      </c>
      <c r="X124" s="96">
        <f t="shared" si="291"/>
        <v>7024.7659999999923</v>
      </c>
      <c r="Y124" s="96">
        <f t="shared" si="291"/>
        <v>6624.938999999993</v>
      </c>
      <c r="Z124" s="96">
        <f t="shared" si="291"/>
        <v>7457.0249999999915</v>
      </c>
      <c r="AA124" s="96">
        <f t="shared" si="291"/>
        <v>7804.7329999999902</v>
      </c>
      <c r="AB124" s="96">
        <f t="shared" si="291"/>
        <v>7199.847999999989</v>
      </c>
      <c r="AC124" s="96">
        <f t="shared" si="291"/>
        <v>8177.4049999999879</v>
      </c>
      <c r="AD124" s="96"/>
      <c r="AE124" s="96">
        <f t="shared" ref="AE124:AS124" si="292">K131</f>
        <v>8403.7049999999963</v>
      </c>
      <c r="AF124" s="96">
        <f t="shared" si="292"/>
        <v>7777.529999999997</v>
      </c>
      <c r="AG124" s="96">
        <f t="shared" si="292"/>
        <v>7526.6809999999959</v>
      </c>
      <c r="AH124" s="96">
        <f t="shared" si="292"/>
        <v>6027.8039999999937</v>
      </c>
      <c r="AI124" s="96">
        <f t="shared" si="292"/>
        <v>6008.9459999999926</v>
      </c>
      <c r="AJ124" s="96">
        <f t="shared" si="292"/>
        <v>5819.4489999999914</v>
      </c>
      <c r="AK124" s="96">
        <f t="shared" si="292"/>
        <v>6113.7329999999911</v>
      </c>
      <c r="AL124" s="96">
        <f t="shared" si="292"/>
        <v>5147.1759999999922</v>
      </c>
      <c r="AM124" s="96">
        <f t="shared" si="292"/>
        <v>6714.593999999991</v>
      </c>
      <c r="AN124" s="96">
        <f t="shared" si="292"/>
        <v>7662.7879999999914</v>
      </c>
      <c r="AO124" s="96">
        <f t="shared" si="292"/>
        <v>7353.2449999999917</v>
      </c>
      <c r="AP124" s="96">
        <f t="shared" si="292"/>
        <v>7116.9129999999932</v>
      </c>
      <c r="AQ124" s="96">
        <f t="shared" si="292"/>
        <v>7024.7659999999923</v>
      </c>
      <c r="AR124" s="96">
        <f t="shared" si="292"/>
        <v>6624.938999999993</v>
      </c>
      <c r="AS124" s="144">
        <f t="shared" si="292"/>
        <v>7457.0249999999915</v>
      </c>
      <c r="AT124" s="11"/>
      <c r="AU124" s="47"/>
    </row>
    <row r="125" spans="2:47">
      <c r="B125" s="134" t="s">
        <v>164</v>
      </c>
      <c r="C125" s="85">
        <v>0</v>
      </c>
      <c r="D125" s="32">
        <f>-C129</f>
        <v>17.558</v>
      </c>
      <c r="E125" s="32">
        <f>-D129</f>
        <v>25.349</v>
      </c>
      <c r="F125" s="32">
        <f>-E129</f>
        <v>33.32</v>
      </c>
      <c r="G125" s="32">
        <f t="shared" ref="G125:I125" si="293">-F129</f>
        <v>27.306999999999999</v>
      </c>
      <c r="H125" s="32">
        <f t="shared" si="293"/>
        <v>23.405999999999999</v>
      </c>
      <c r="I125" s="32">
        <f t="shared" si="293"/>
        <v>1.6020000000000001</v>
      </c>
      <c r="J125" s="32"/>
      <c r="K125" s="85">
        <f>-E129</f>
        <v>33.32</v>
      </c>
      <c r="L125" s="32">
        <f t="shared" ref="L125:AC125" si="294">-K129</f>
        <v>32.747999999999998</v>
      </c>
      <c r="M125" s="32">
        <f t="shared" si="294"/>
        <v>27.088000000000001</v>
      </c>
      <c r="N125" s="32">
        <f t="shared" si="294"/>
        <v>26.286999999999999</v>
      </c>
      <c r="O125" s="32">
        <f t="shared" si="294"/>
        <v>27.306999999999999</v>
      </c>
      <c r="P125" s="32">
        <f t="shared" si="294"/>
        <v>25.555</v>
      </c>
      <c r="Q125" s="32">
        <f t="shared" si="294"/>
        <v>24.96</v>
      </c>
      <c r="R125" s="32">
        <f t="shared" si="294"/>
        <v>26.581</v>
      </c>
      <c r="S125" s="32">
        <f t="shared" si="294"/>
        <v>23.405999999999999</v>
      </c>
      <c r="T125" s="32">
        <f t="shared" si="294"/>
        <v>23.425000000000001</v>
      </c>
      <c r="U125" s="32">
        <f t="shared" si="294"/>
        <v>3.4769999999999999</v>
      </c>
      <c r="V125" s="32">
        <f t="shared" si="294"/>
        <v>3.5910000000000002</v>
      </c>
      <c r="W125" s="32">
        <f t="shared" si="294"/>
        <v>1.6020000000000001</v>
      </c>
      <c r="X125" s="32">
        <f t="shared" si="294"/>
        <v>1.823</v>
      </c>
      <c r="Y125" s="32">
        <f t="shared" si="294"/>
        <v>2.1059999999999999</v>
      </c>
      <c r="Z125" s="32">
        <f t="shared" si="294"/>
        <v>2.06</v>
      </c>
      <c r="AA125" s="32">
        <f t="shared" si="294"/>
        <v>2.6040000000000001</v>
      </c>
      <c r="AB125" s="32">
        <f t="shared" si="294"/>
        <v>4.18</v>
      </c>
      <c r="AC125" s="32">
        <f t="shared" si="294"/>
        <v>3.1680000000000001</v>
      </c>
      <c r="AD125" s="32"/>
      <c r="AE125" s="32">
        <f t="shared" ref="AE125:AS125" si="295">-K129</f>
        <v>32.747999999999998</v>
      </c>
      <c r="AF125" s="32">
        <f t="shared" si="295"/>
        <v>27.088000000000001</v>
      </c>
      <c r="AG125" s="32">
        <f t="shared" si="295"/>
        <v>26.286999999999999</v>
      </c>
      <c r="AH125" s="32">
        <f t="shared" si="295"/>
        <v>27.306999999999999</v>
      </c>
      <c r="AI125" s="32">
        <f t="shared" si="295"/>
        <v>25.555</v>
      </c>
      <c r="AJ125" s="32">
        <f t="shared" si="295"/>
        <v>24.96</v>
      </c>
      <c r="AK125" s="32">
        <f t="shared" si="295"/>
        <v>26.581</v>
      </c>
      <c r="AL125" s="32">
        <f t="shared" si="295"/>
        <v>23.405999999999999</v>
      </c>
      <c r="AM125" s="32">
        <f t="shared" si="295"/>
        <v>23.425000000000001</v>
      </c>
      <c r="AN125" s="32">
        <f t="shared" si="295"/>
        <v>3.4769999999999999</v>
      </c>
      <c r="AO125" s="32">
        <f t="shared" si="295"/>
        <v>3.5910000000000002</v>
      </c>
      <c r="AP125" s="32">
        <f t="shared" si="295"/>
        <v>1.6020000000000001</v>
      </c>
      <c r="AQ125" s="32">
        <f t="shared" si="295"/>
        <v>1.823</v>
      </c>
      <c r="AR125" s="32">
        <f t="shared" si="295"/>
        <v>2.1059999999999999</v>
      </c>
      <c r="AS125" s="138">
        <f t="shared" si="295"/>
        <v>2.06</v>
      </c>
      <c r="AT125" s="11"/>
      <c r="AU125" s="47"/>
    </row>
    <row r="126" spans="2:47">
      <c r="B126" s="92" t="s">
        <v>81</v>
      </c>
      <c r="C126" s="218">
        <f t="shared" ref="C126:I126" si="296">SUM(C124:C125)</f>
        <v>2822.7950000000001</v>
      </c>
      <c r="D126" s="218">
        <f t="shared" si="296"/>
        <v>3812.0409999999993</v>
      </c>
      <c r="E126" s="218">
        <f t="shared" si="296"/>
        <v>5043.7859999999973</v>
      </c>
      <c r="F126" s="218">
        <f t="shared" si="296"/>
        <v>8238.8699999999972</v>
      </c>
      <c r="G126" s="218">
        <f t="shared" si="296"/>
        <v>6055.1109999999944</v>
      </c>
      <c r="H126" s="218">
        <f t="shared" si="296"/>
        <v>5170.5819999999921</v>
      </c>
      <c r="I126" s="218">
        <f t="shared" si="296"/>
        <v>7118.514999999994</v>
      </c>
      <c r="J126" s="32"/>
      <c r="K126" s="218">
        <f t="shared" ref="K126:AC126" si="297">SUM(K124:K125)</f>
        <v>8238.8699999999972</v>
      </c>
      <c r="L126" s="218">
        <f t="shared" si="297"/>
        <v>8436.4529999999959</v>
      </c>
      <c r="M126" s="218">
        <f t="shared" si="297"/>
        <v>7804.6179999999968</v>
      </c>
      <c r="N126" s="218">
        <f t="shared" si="297"/>
        <v>7552.9679999999962</v>
      </c>
      <c r="O126" s="218">
        <f t="shared" si="297"/>
        <v>6055.1109999999935</v>
      </c>
      <c r="P126" s="218">
        <f t="shared" si="297"/>
        <v>6034.5009999999929</v>
      </c>
      <c r="Q126" s="218">
        <f t="shared" si="297"/>
        <v>5844.4089999999915</v>
      </c>
      <c r="R126" s="218">
        <f t="shared" si="297"/>
        <v>6140.3139999999912</v>
      </c>
      <c r="S126" s="218">
        <f t="shared" si="297"/>
        <v>5170.5819999999921</v>
      </c>
      <c r="T126" s="218">
        <f t="shared" si="297"/>
        <v>6738.0189999999911</v>
      </c>
      <c r="U126" s="218">
        <f t="shared" si="297"/>
        <v>7666.2649999999912</v>
      </c>
      <c r="V126" s="218">
        <f t="shared" si="297"/>
        <v>7356.8359999999921</v>
      </c>
      <c r="W126" s="218">
        <f t="shared" si="297"/>
        <v>7118.5149999999931</v>
      </c>
      <c r="X126" s="218">
        <f t="shared" si="297"/>
        <v>7026.5889999999927</v>
      </c>
      <c r="Y126" s="218">
        <f t="shared" si="297"/>
        <v>6627.0449999999928</v>
      </c>
      <c r="Z126" s="218">
        <f t="shared" si="297"/>
        <v>7459.0849999999919</v>
      </c>
      <c r="AA126" s="218">
        <f t="shared" si="297"/>
        <v>7807.3369999999904</v>
      </c>
      <c r="AB126" s="218">
        <f t="shared" si="297"/>
        <v>7204.0279999999893</v>
      </c>
      <c r="AC126" s="218">
        <f t="shared" si="297"/>
        <v>8180.5729999999876</v>
      </c>
      <c r="AD126" s="32"/>
      <c r="AE126" s="218">
        <f t="shared" ref="AE126:AS126" si="298">SUM(AE124:AE125)</f>
        <v>8436.4529999999959</v>
      </c>
      <c r="AF126" s="218">
        <f t="shared" si="298"/>
        <v>7804.6179999999968</v>
      </c>
      <c r="AG126" s="218">
        <f t="shared" si="298"/>
        <v>7552.9679999999962</v>
      </c>
      <c r="AH126" s="218">
        <f t="shared" si="298"/>
        <v>6055.1109999999935</v>
      </c>
      <c r="AI126" s="218">
        <f t="shared" si="298"/>
        <v>6034.5009999999929</v>
      </c>
      <c r="AJ126" s="218">
        <f t="shared" si="298"/>
        <v>5844.4089999999915</v>
      </c>
      <c r="AK126" s="218">
        <f t="shared" si="298"/>
        <v>6140.3139999999912</v>
      </c>
      <c r="AL126" s="218">
        <f t="shared" si="298"/>
        <v>5170.5819999999921</v>
      </c>
      <c r="AM126" s="218">
        <f t="shared" si="298"/>
        <v>6738.0189999999911</v>
      </c>
      <c r="AN126" s="218">
        <f t="shared" si="298"/>
        <v>7666.2649999999912</v>
      </c>
      <c r="AO126" s="218">
        <f t="shared" si="298"/>
        <v>7356.8359999999921</v>
      </c>
      <c r="AP126" s="218">
        <f t="shared" si="298"/>
        <v>7118.5149999999931</v>
      </c>
      <c r="AQ126" s="218">
        <f t="shared" si="298"/>
        <v>7026.5889999999927</v>
      </c>
      <c r="AR126" s="218">
        <f t="shared" si="298"/>
        <v>6627.0449999999928</v>
      </c>
      <c r="AS126" s="219">
        <f t="shared" si="298"/>
        <v>7459.0849999999919</v>
      </c>
      <c r="AT126" s="11"/>
      <c r="AU126" s="47"/>
    </row>
    <row r="127" spans="2:47" ht="5.0999999999999996" customHeight="1">
      <c r="B127" s="141"/>
      <c r="C127" s="74"/>
      <c r="D127" s="74"/>
      <c r="E127" s="74"/>
      <c r="F127" s="74"/>
      <c r="G127" s="74"/>
      <c r="H127" s="74"/>
      <c r="I127" s="74"/>
      <c r="J127" s="32"/>
      <c r="K127" s="74"/>
      <c r="L127" s="74"/>
      <c r="M127" s="74"/>
      <c r="N127" s="74"/>
      <c r="O127" s="74"/>
      <c r="P127" s="74"/>
      <c r="Q127" s="74"/>
      <c r="R127" s="74"/>
      <c r="S127" s="74"/>
      <c r="T127" s="74"/>
      <c r="U127" s="74"/>
      <c r="V127" s="74"/>
      <c r="W127" s="74"/>
      <c r="X127" s="74"/>
      <c r="Y127" s="74"/>
      <c r="Z127" s="74"/>
      <c r="AA127" s="74"/>
      <c r="AB127" s="74"/>
      <c r="AC127" s="74"/>
      <c r="AD127" s="32"/>
      <c r="AE127" s="74"/>
      <c r="AF127" s="74"/>
      <c r="AG127" s="74"/>
      <c r="AH127" s="74"/>
      <c r="AI127" s="74"/>
      <c r="AJ127" s="74"/>
      <c r="AK127" s="74"/>
      <c r="AL127" s="74"/>
      <c r="AM127" s="74"/>
      <c r="AN127" s="74"/>
      <c r="AO127" s="74"/>
      <c r="AP127" s="74"/>
      <c r="AQ127" s="74"/>
      <c r="AR127" s="74"/>
      <c r="AS127" s="139"/>
      <c r="AT127" s="11"/>
      <c r="AU127" s="47"/>
    </row>
    <row r="128" spans="2:47">
      <c r="B128" s="134" t="s">
        <v>102</v>
      </c>
      <c r="C128" s="85">
        <v>-39.682000000000002</v>
      </c>
      <c r="D128" s="85">
        <v>0.46899999999999997</v>
      </c>
      <c r="E128" s="85">
        <v>36.049999999999997</v>
      </c>
      <c r="F128" s="85">
        <v>-86.74</v>
      </c>
      <c r="G128" s="85">
        <v>-170.14</v>
      </c>
      <c r="H128" s="85">
        <v>82.683999999999997</v>
      </c>
      <c r="I128" s="85">
        <v>-416.33100000000002</v>
      </c>
      <c r="J128" s="32"/>
      <c r="K128" s="85">
        <v>-42.137999999999998</v>
      </c>
      <c r="L128" s="85">
        <v>23.477</v>
      </c>
      <c r="M128" s="85">
        <v>-63.843000000000004</v>
      </c>
      <c r="N128" s="32">
        <f>SUM(F128-SUM(K128:M128))</f>
        <v>-4.23599999999999</v>
      </c>
      <c r="O128" s="85">
        <v>-11.448</v>
      </c>
      <c r="P128" s="85">
        <v>-145.19800000000001</v>
      </c>
      <c r="Q128" s="85">
        <v>-180.05799999999999</v>
      </c>
      <c r="R128" s="32">
        <f>SUM(G128-SUM(O128:Q128))</f>
        <v>166.56400000000002</v>
      </c>
      <c r="S128" s="85">
        <v>26.422999999999998</v>
      </c>
      <c r="T128" s="85">
        <v>39.625999999999998</v>
      </c>
      <c r="U128" s="85">
        <v>-122.70699999999999</v>
      </c>
      <c r="V128" s="32">
        <f>SUM(H128-SUM(S128:U128))</f>
        <v>139.34199999999998</v>
      </c>
      <c r="W128" s="85">
        <v>-95.79</v>
      </c>
      <c r="X128" s="85">
        <v>-122.723</v>
      </c>
      <c r="Y128" s="85">
        <v>153.452</v>
      </c>
      <c r="Z128" s="32">
        <f>SUM(I128-SUM(W128:Y128))</f>
        <v>-351.27</v>
      </c>
      <c r="AA128" s="85">
        <v>150.14599999999999</v>
      </c>
      <c r="AB128" s="85">
        <v>287.471</v>
      </c>
      <c r="AC128" s="85">
        <v>-21.721</v>
      </c>
      <c r="AD128" s="32"/>
      <c r="AE128" s="32">
        <f t="shared" ref="AE128:AS128" si="299">SUM(L128:O128)</f>
        <v>-56.04999999999999</v>
      </c>
      <c r="AF128" s="32">
        <f t="shared" si="299"/>
        <v>-224.72499999999999</v>
      </c>
      <c r="AG128" s="32">
        <f t="shared" si="299"/>
        <v>-340.94</v>
      </c>
      <c r="AH128" s="32">
        <f t="shared" si="299"/>
        <v>-170.14</v>
      </c>
      <c r="AI128" s="32">
        <f t="shared" si="299"/>
        <v>-132.26899999999995</v>
      </c>
      <c r="AJ128" s="32">
        <f t="shared" si="299"/>
        <v>52.555000000000021</v>
      </c>
      <c r="AK128" s="32">
        <f t="shared" si="299"/>
        <v>109.90600000000003</v>
      </c>
      <c r="AL128" s="32">
        <f t="shared" si="299"/>
        <v>82.683999999999983</v>
      </c>
      <c r="AM128" s="32">
        <f t="shared" si="299"/>
        <v>-39.529000000000011</v>
      </c>
      <c r="AN128" s="32">
        <f t="shared" si="299"/>
        <v>-201.87800000000001</v>
      </c>
      <c r="AO128" s="32">
        <f t="shared" si="299"/>
        <v>74.280999999999977</v>
      </c>
      <c r="AP128" s="32">
        <f t="shared" si="299"/>
        <v>-416.33100000000002</v>
      </c>
      <c r="AQ128" s="32">
        <f t="shared" si="299"/>
        <v>-170.39500000000001</v>
      </c>
      <c r="AR128" s="32">
        <f t="shared" si="299"/>
        <v>239.79900000000001</v>
      </c>
      <c r="AS128" s="138">
        <f t="shared" si="299"/>
        <v>64.626000000000005</v>
      </c>
      <c r="AT128" s="11"/>
      <c r="AU128" s="47"/>
    </row>
    <row r="129" spans="2:47">
      <c r="B129" s="134" t="s">
        <v>158</v>
      </c>
      <c r="C129" s="85">
        <v>-17.558</v>
      </c>
      <c r="D129" s="85">
        <f>(-(1863+23486))/1000</f>
        <v>-25.349</v>
      </c>
      <c r="E129" s="85">
        <f>(-(31537+1783))/1000</f>
        <v>-33.32</v>
      </c>
      <c r="F129" s="85">
        <f>(-(3189 +24118 ))/1000</f>
        <v>-27.306999999999999</v>
      </c>
      <c r="G129" s="85">
        <f>(-(19996+3410))/1000</f>
        <v>-23.405999999999999</v>
      </c>
      <c r="H129" s="85">
        <f>(-(1466+136))/1000</f>
        <v>-1.6020000000000001</v>
      </c>
      <c r="I129" s="85">
        <f>(-(2472+132))/1000</f>
        <v>-2.6040000000000001</v>
      </c>
      <c r="J129" s="32"/>
      <c r="K129" s="85">
        <f>(-(30589 +2159))/1000</f>
        <v>-32.747999999999998</v>
      </c>
      <c r="L129" s="85">
        <f>(-(24399  +2689))/1000</f>
        <v>-27.088000000000001</v>
      </c>
      <c r="M129" s="85">
        <f>(-(24307 +1980))/1000</f>
        <v>-26.286999999999999</v>
      </c>
      <c r="N129" s="32">
        <f t="shared" ref="N129" si="300">F129</f>
        <v>-27.306999999999999</v>
      </c>
      <c r="O129" s="85">
        <f>(-(24600+955))/1000</f>
        <v>-25.555</v>
      </c>
      <c r="P129" s="85">
        <f>(-(24056+904))/1000</f>
        <v>-24.96</v>
      </c>
      <c r="Q129" s="85">
        <f>(-(23762+2819))/1000</f>
        <v>-26.581</v>
      </c>
      <c r="R129" s="99">
        <f t="shared" ref="R129" si="301">G129</f>
        <v>-23.405999999999999</v>
      </c>
      <c r="S129" s="85">
        <f>(-(19536+3889))/1000</f>
        <v>-23.425000000000001</v>
      </c>
      <c r="T129" s="85">
        <f>(-(1763+1714))/1000</f>
        <v>-3.4769999999999999</v>
      </c>
      <c r="U129" s="85">
        <f>(-(1933+1658))/1000</f>
        <v>-3.5910000000000002</v>
      </c>
      <c r="V129" s="32">
        <f t="shared" ref="V129" si="302">H129</f>
        <v>-1.6020000000000001</v>
      </c>
      <c r="W129" s="85">
        <f>(-(1690+133))/1000</f>
        <v>-1.823</v>
      </c>
      <c r="X129" s="85">
        <f>(-(1973+133))/1000</f>
        <v>-2.1059999999999999</v>
      </c>
      <c r="Y129" s="85">
        <f>(-(1923+137))/1000</f>
        <v>-2.06</v>
      </c>
      <c r="Z129" s="32">
        <f t="shared" ref="Z129" si="303">I129</f>
        <v>-2.6040000000000001</v>
      </c>
      <c r="AA129" s="85">
        <f>(-(4044+136))/1000</f>
        <v>-4.18</v>
      </c>
      <c r="AB129" s="85">
        <f>(-(3024+144))/1000</f>
        <v>-3.1680000000000001</v>
      </c>
      <c r="AC129" s="85">
        <f>(-(3437+144))/1000</f>
        <v>-3.581</v>
      </c>
      <c r="AD129" s="32"/>
      <c r="AE129" s="32">
        <f t="shared" ref="AE129:AS129" si="304">O129</f>
        <v>-25.555</v>
      </c>
      <c r="AF129" s="32">
        <f t="shared" si="304"/>
        <v>-24.96</v>
      </c>
      <c r="AG129" s="32">
        <f t="shared" si="304"/>
        <v>-26.581</v>
      </c>
      <c r="AH129" s="32">
        <f t="shared" si="304"/>
        <v>-23.405999999999999</v>
      </c>
      <c r="AI129" s="32">
        <f t="shared" si="304"/>
        <v>-23.425000000000001</v>
      </c>
      <c r="AJ129" s="32">
        <f t="shared" si="304"/>
        <v>-3.4769999999999999</v>
      </c>
      <c r="AK129" s="32">
        <f t="shared" si="304"/>
        <v>-3.5910000000000002</v>
      </c>
      <c r="AL129" s="32">
        <f t="shared" si="304"/>
        <v>-1.6020000000000001</v>
      </c>
      <c r="AM129" s="32">
        <f t="shared" si="304"/>
        <v>-1.823</v>
      </c>
      <c r="AN129" s="32">
        <f t="shared" si="304"/>
        <v>-2.1059999999999999</v>
      </c>
      <c r="AO129" s="32">
        <f t="shared" si="304"/>
        <v>-2.06</v>
      </c>
      <c r="AP129" s="32">
        <f t="shared" si="304"/>
        <v>-2.6040000000000001</v>
      </c>
      <c r="AQ129" s="32">
        <f t="shared" si="304"/>
        <v>-4.18</v>
      </c>
      <c r="AR129" s="32">
        <f t="shared" si="304"/>
        <v>-3.1680000000000001</v>
      </c>
      <c r="AS129" s="138">
        <f t="shared" si="304"/>
        <v>-3.581</v>
      </c>
      <c r="AT129" s="11"/>
      <c r="AU129" s="47"/>
    </row>
    <row r="130" spans="2:47">
      <c r="B130" s="134" t="s">
        <v>70</v>
      </c>
      <c r="C130" s="32">
        <f t="shared" ref="C130:I130" si="305">+C121+C111+C103</f>
        <v>1028.927999999999</v>
      </c>
      <c r="D130" s="32">
        <f t="shared" si="305"/>
        <v>1231.275999999998</v>
      </c>
      <c r="E130" s="32">
        <f t="shared" si="305"/>
        <v>3159.0339999999997</v>
      </c>
      <c r="F130" s="32">
        <f t="shared" si="305"/>
        <v>-2097.0190000000025</v>
      </c>
      <c r="G130" s="32">
        <f t="shared" si="305"/>
        <v>-714.38900000000149</v>
      </c>
      <c r="H130" s="32">
        <f t="shared" si="305"/>
        <v>1865.2490000000016</v>
      </c>
      <c r="I130" s="32">
        <f t="shared" si="305"/>
        <v>1105.1530000000012</v>
      </c>
      <c r="J130" s="32"/>
      <c r="K130" s="32">
        <f t="shared" ref="K130:AC130" si="306">+K121+K111+K103</f>
        <v>239.721</v>
      </c>
      <c r="L130" s="32">
        <f t="shared" si="306"/>
        <v>-655.31200000000024</v>
      </c>
      <c r="M130" s="32">
        <f t="shared" si="306"/>
        <v>-187.80700000000036</v>
      </c>
      <c r="N130" s="32">
        <f t="shared" si="306"/>
        <v>-1493.6210000000031</v>
      </c>
      <c r="O130" s="32">
        <f t="shared" si="306"/>
        <v>-9.1620000000002619</v>
      </c>
      <c r="P130" s="32">
        <f t="shared" si="306"/>
        <v>-44.894000000001228</v>
      </c>
      <c r="Q130" s="32">
        <f t="shared" si="306"/>
        <v>475.96300000000019</v>
      </c>
      <c r="R130" s="32">
        <f t="shared" si="306"/>
        <v>-1136.2959999999998</v>
      </c>
      <c r="S130" s="32">
        <f t="shared" si="306"/>
        <v>1541.0139999999994</v>
      </c>
      <c r="T130" s="32">
        <f t="shared" si="306"/>
        <v>888.62000000000035</v>
      </c>
      <c r="U130" s="32">
        <f t="shared" si="306"/>
        <v>-186.72199999999907</v>
      </c>
      <c r="V130" s="32">
        <f t="shared" si="306"/>
        <v>-377.66299999999819</v>
      </c>
      <c r="W130" s="32">
        <f t="shared" si="306"/>
        <v>3.863999999999578</v>
      </c>
      <c r="X130" s="32">
        <f t="shared" si="306"/>
        <v>-276.82100000000037</v>
      </c>
      <c r="Y130" s="32">
        <f t="shared" si="306"/>
        <v>678.58799999999906</v>
      </c>
      <c r="Z130" s="32">
        <f t="shared" si="306"/>
        <v>699.5219999999988</v>
      </c>
      <c r="AA130" s="32">
        <f t="shared" si="306"/>
        <v>-753.45500000000084</v>
      </c>
      <c r="AB130" s="32">
        <f t="shared" si="306"/>
        <v>689.07399999999848</v>
      </c>
      <c r="AC130" s="32">
        <f t="shared" si="306"/>
        <v>1132.0160000000005</v>
      </c>
      <c r="AD130" s="32"/>
      <c r="AE130" s="32">
        <f t="shared" ref="AE130:AS130" si="307">SUM(L130:O130)</f>
        <v>-2345.9020000000037</v>
      </c>
      <c r="AF130" s="32">
        <f t="shared" si="307"/>
        <v>-1735.4840000000049</v>
      </c>
      <c r="AG130" s="32">
        <f t="shared" si="307"/>
        <v>-1071.7140000000043</v>
      </c>
      <c r="AH130" s="32">
        <f t="shared" si="307"/>
        <v>-714.38900000000115</v>
      </c>
      <c r="AI130" s="32">
        <f t="shared" si="307"/>
        <v>835.78699999999856</v>
      </c>
      <c r="AJ130" s="32">
        <f t="shared" si="307"/>
        <v>1769.3010000000002</v>
      </c>
      <c r="AK130" s="32">
        <f t="shared" si="307"/>
        <v>1106.6160000000009</v>
      </c>
      <c r="AL130" s="32">
        <f t="shared" si="307"/>
        <v>1865.249000000003</v>
      </c>
      <c r="AM130" s="32">
        <f t="shared" si="307"/>
        <v>328.09900000000266</v>
      </c>
      <c r="AN130" s="32">
        <f t="shared" si="307"/>
        <v>-837.34199999999805</v>
      </c>
      <c r="AO130" s="32">
        <f t="shared" si="307"/>
        <v>27.968000000000075</v>
      </c>
      <c r="AP130" s="32">
        <f t="shared" si="307"/>
        <v>1105.1529999999971</v>
      </c>
      <c r="AQ130" s="32">
        <f t="shared" si="307"/>
        <v>347.83399999999665</v>
      </c>
      <c r="AR130" s="32">
        <f t="shared" si="307"/>
        <v>1313.7289999999955</v>
      </c>
      <c r="AS130" s="138">
        <f t="shared" si="307"/>
        <v>1767.156999999997</v>
      </c>
      <c r="AT130" s="11"/>
      <c r="AU130" s="47"/>
    </row>
    <row r="131" spans="2:47">
      <c r="B131" s="92" t="s">
        <v>82</v>
      </c>
      <c r="C131" s="218">
        <f t="shared" ref="C131:I131" si="308">SUM(C126:C130)</f>
        <v>3794.4829999999993</v>
      </c>
      <c r="D131" s="218">
        <f t="shared" si="308"/>
        <v>5018.4369999999972</v>
      </c>
      <c r="E131" s="218">
        <f t="shared" si="308"/>
        <v>8205.5499999999975</v>
      </c>
      <c r="F131" s="218">
        <f t="shared" si="308"/>
        <v>6027.8039999999946</v>
      </c>
      <c r="G131" s="218">
        <f t="shared" si="308"/>
        <v>5147.1759999999922</v>
      </c>
      <c r="H131" s="218">
        <f t="shared" si="308"/>
        <v>7116.9129999999941</v>
      </c>
      <c r="I131" s="218">
        <f t="shared" si="308"/>
        <v>7804.7329999999947</v>
      </c>
      <c r="J131" s="32"/>
      <c r="K131" s="218">
        <f t="shared" ref="K131:AS131" si="309">SUM(K126:K130)</f>
        <v>8403.7049999999963</v>
      </c>
      <c r="L131" s="218">
        <f t="shared" si="309"/>
        <v>7777.529999999997</v>
      </c>
      <c r="M131" s="218">
        <f t="shared" si="309"/>
        <v>7526.6809999999959</v>
      </c>
      <c r="N131" s="218">
        <f t="shared" si="309"/>
        <v>6027.8039999999937</v>
      </c>
      <c r="O131" s="218">
        <f t="shared" si="309"/>
        <v>6008.9459999999926</v>
      </c>
      <c r="P131" s="218">
        <f t="shared" si="309"/>
        <v>5819.4489999999914</v>
      </c>
      <c r="Q131" s="218">
        <f t="shared" si="309"/>
        <v>6113.7329999999911</v>
      </c>
      <c r="R131" s="218">
        <f t="shared" si="309"/>
        <v>5147.1759999999922</v>
      </c>
      <c r="S131" s="218">
        <f t="shared" si="309"/>
        <v>6714.593999999991</v>
      </c>
      <c r="T131" s="218">
        <f t="shared" si="309"/>
        <v>7662.7879999999914</v>
      </c>
      <c r="U131" s="218">
        <f t="shared" si="309"/>
        <v>7353.2449999999917</v>
      </c>
      <c r="V131" s="218">
        <f t="shared" si="309"/>
        <v>7116.9129999999932</v>
      </c>
      <c r="W131" s="218">
        <f t="shared" si="309"/>
        <v>7024.7659999999923</v>
      </c>
      <c r="X131" s="218">
        <f t="shared" si="309"/>
        <v>6624.938999999993</v>
      </c>
      <c r="Y131" s="218">
        <f t="shared" si="309"/>
        <v>7457.0249999999915</v>
      </c>
      <c r="Z131" s="218">
        <f t="shared" si="309"/>
        <v>7804.7329999999902</v>
      </c>
      <c r="AA131" s="218">
        <f t="shared" si="309"/>
        <v>7199.847999999989</v>
      </c>
      <c r="AB131" s="218">
        <f t="shared" si="309"/>
        <v>8177.4049999999879</v>
      </c>
      <c r="AC131" s="218">
        <f t="shared" si="309"/>
        <v>9287.2869999999893</v>
      </c>
      <c r="AD131" s="32"/>
      <c r="AE131" s="218">
        <f t="shared" ref="AE131:AG131" si="310">SUM(AE126:AE130)</f>
        <v>6008.9459999999926</v>
      </c>
      <c r="AF131" s="218">
        <f t="shared" si="310"/>
        <v>5819.4489999999914</v>
      </c>
      <c r="AG131" s="218">
        <f t="shared" si="310"/>
        <v>6113.732999999992</v>
      </c>
      <c r="AH131" s="218">
        <f t="shared" ref="AH131:AS131" si="311">SUM(AH126:AH130)</f>
        <v>5147.1759999999922</v>
      </c>
      <c r="AI131" s="218">
        <f t="shared" si="311"/>
        <v>6714.593999999991</v>
      </c>
      <c r="AJ131" s="218">
        <f t="shared" si="311"/>
        <v>7662.7879999999923</v>
      </c>
      <c r="AK131" s="218">
        <f t="shared" si="311"/>
        <v>7353.2449999999917</v>
      </c>
      <c r="AL131" s="218">
        <f t="shared" si="311"/>
        <v>7116.912999999995</v>
      </c>
      <c r="AM131" s="218">
        <f t="shared" si="311"/>
        <v>7024.7659999999933</v>
      </c>
      <c r="AN131" s="218">
        <f t="shared" si="311"/>
        <v>6624.9389999999939</v>
      </c>
      <c r="AO131" s="218">
        <f t="shared" si="311"/>
        <v>7457.0249999999915</v>
      </c>
      <c r="AP131" s="218">
        <f t="shared" si="311"/>
        <v>7804.7329999999893</v>
      </c>
      <c r="AQ131" s="218">
        <f t="shared" si="311"/>
        <v>7199.847999999989</v>
      </c>
      <c r="AR131" s="218">
        <f t="shared" si="311"/>
        <v>8177.4049999999888</v>
      </c>
      <c r="AS131" s="219">
        <f t="shared" si="311"/>
        <v>9287.2869999999893</v>
      </c>
      <c r="AT131" s="11"/>
      <c r="AU131" s="47"/>
    </row>
    <row r="132" spans="2:47" ht="5.0999999999999996" customHeight="1">
      <c r="B132" s="93"/>
      <c r="C132" s="67"/>
      <c r="D132" s="67"/>
      <c r="E132" s="67"/>
      <c r="F132" s="67"/>
      <c r="G132" s="67"/>
      <c r="H132" s="67"/>
      <c r="I132" s="67"/>
      <c r="J132" s="32"/>
      <c r="K132" s="67"/>
      <c r="L132" s="67"/>
      <c r="M132" s="67"/>
      <c r="N132" s="67"/>
      <c r="O132" s="67"/>
      <c r="P132" s="67"/>
      <c r="Q132" s="67"/>
      <c r="R132" s="67"/>
      <c r="S132" s="67"/>
      <c r="T132" s="67"/>
      <c r="U132" s="67"/>
      <c r="V132" s="67"/>
      <c r="W132" s="67"/>
      <c r="X132" s="67"/>
      <c r="Y132" s="67"/>
      <c r="Z132" s="67"/>
      <c r="AA132" s="67"/>
      <c r="AB132" s="67"/>
      <c r="AC132" s="67"/>
      <c r="AE132" s="11"/>
      <c r="AF132" s="11"/>
      <c r="AG132" s="11"/>
      <c r="AH132" s="11"/>
      <c r="AI132" s="11"/>
      <c r="AJ132" s="11"/>
      <c r="AK132" s="11"/>
      <c r="AL132" s="11"/>
      <c r="AM132" s="11"/>
      <c r="AN132" s="11"/>
      <c r="AO132" s="11"/>
      <c r="AP132" s="11"/>
      <c r="AQ132" s="11"/>
      <c r="AR132" s="11"/>
      <c r="AS132" s="94"/>
      <c r="AT132" s="11"/>
      <c r="AU132" s="47"/>
    </row>
    <row r="133" spans="2:47">
      <c r="B133" s="142" t="s">
        <v>117</v>
      </c>
      <c r="C133" s="90">
        <f>ROUND(C131-C46,-0.1)</f>
        <v>0</v>
      </c>
      <c r="D133" s="90">
        <f t="shared" ref="D133:I133" si="312">ROUND(D131-D46,-0.1)</f>
        <v>0</v>
      </c>
      <c r="E133" s="90">
        <f t="shared" si="312"/>
        <v>0</v>
      </c>
      <c r="F133" s="90">
        <f t="shared" si="312"/>
        <v>0</v>
      </c>
      <c r="G133" s="90">
        <f t="shared" si="312"/>
        <v>0</v>
      </c>
      <c r="H133" s="90">
        <f t="shared" si="312"/>
        <v>0</v>
      </c>
      <c r="I133" s="90">
        <f t="shared" si="312"/>
        <v>0</v>
      </c>
      <c r="J133" s="91"/>
      <c r="K133" s="90">
        <f t="shared" ref="K133:AC133" si="313">K131-K46</f>
        <v>0</v>
      </c>
      <c r="L133" s="90">
        <f t="shared" si="313"/>
        <v>0</v>
      </c>
      <c r="M133" s="90">
        <f t="shared" si="313"/>
        <v>0</v>
      </c>
      <c r="N133" s="90">
        <f t="shared" si="313"/>
        <v>0</v>
      </c>
      <c r="O133" s="90">
        <f t="shared" ref="O133:AO133" si="314">ROUND(O131-O46,-0.1)</f>
        <v>0</v>
      </c>
      <c r="P133" s="90">
        <f t="shared" si="314"/>
        <v>0</v>
      </c>
      <c r="Q133" s="90">
        <f t="shared" si="314"/>
        <v>0</v>
      </c>
      <c r="R133" s="90">
        <f t="shared" si="314"/>
        <v>0</v>
      </c>
      <c r="S133" s="90">
        <f t="shared" si="314"/>
        <v>0</v>
      </c>
      <c r="T133" s="90">
        <f t="shared" si="314"/>
        <v>0</v>
      </c>
      <c r="U133" s="90">
        <f t="shared" si="314"/>
        <v>0</v>
      </c>
      <c r="V133" s="90">
        <f t="shared" si="314"/>
        <v>0</v>
      </c>
      <c r="W133" s="90">
        <f t="shared" si="314"/>
        <v>0</v>
      </c>
      <c r="X133" s="90">
        <f t="shared" si="314"/>
        <v>0</v>
      </c>
      <c r="Y133" s="90">
        <f t="shared" si="314"/>
        <v>0</v>
      </c>
      <c r="Z133" s="90">
        <f t="shared" si="314"/>
        <v>0</v>
      </c>
      <c r="AA133" s="90">
        <f t="shared" si="314"/>
        <v>0</v>
      </c>
      <c r="AB133" s="90">
        <f t="shared" si="314"/>
        <v>0</v>
      </c>
      <c r="AC133" s="90">
        <f t="shared" si="314"/>
        <v>0</v>
      </c>
      <c r="AD133" s="90"/>
      <c r="AE133" s="90">
        <f t="shared" si="314"/>
        <v>0</v>
      </c>
      <c r="AF133" s="90">
        <f t="shared" si="314"/>
        <v>0</v>
      </c>
      <c r="AG133" s="90">
        <f t="shared" si="314"/>
        <v>0</v>
      </c>
      <c r="AH133" s="90">
        <f t="shared" si="314"/>
        <v>0</v>
      </c>
      <c r="AI133" s="90">
        <f t="shared" si="314"/>
        <v>0</v>
      </c>
      <c r="AJ133" s="90">
        <f t="shared" si="314"/>
        <v>0</v>
      </c>
      <c r="AK133" s="90">
        <f t="shared" si="314"/>
        <v>0</v>
      </c>
      <c r="AL133" s="90">
        <f t="shared" si="314"/>
        <v>0</v>
      </c>
      <c r="AM133" s="90">
        <f t="shared" si="314"/>
        <v>0</v>
      </c>
      <c r="AN133" s="90">
        <f t="shared" si="314"/>
        <v>0</v>
      </c>
      <c r="AO133" s="90">
        <f t="shared" si="314"/>
        <v>0</v>
      </c>
      <c r="AP133" s="90">
        <f t="shared" ref="AE133:AS133" si="315">AP131-AP46</f>
        <v>-1.0913936421275139E-11</v>
      </c>
      <c r="AQ133" s="90">
        <f t="shared" si="315"/>
        <v>-1.0913936421275139E-11</v>
      </c>
      <c r="AR133" s="90">
        <f t="shared" si="315"/>
        <v>-1.0913936421275139E-11</v>
      </c>
      <c r="AS133" s="140">
        <f t="shared" si="315"/>
        <v>0</v>
      </c>
      <c r="AT133" s="11"/>
      <c r="AU133" s="47"/>
    </row>
    <row r="134" spans="2:47" ht="5.0999999999999996" customHeight="1">
      <c r="B134" s="8"/>
      <c r="C134" s="67"/>
      <c r="D134" s="67"/>
      <c r="E134" s="67"/>
      <c r="F134" s="67"/>
      <c r="G134" s="67"/>
      <c r="H134" s="67"/>
      <c r="I134" s="67"/>
      <c r="J134" s="32"/>
      <c r="K134" s="67"/>
      <c r="L134" s="67"/>
      <c r="M134" s="67"/>
      <c r="N134" s="67"/>
      <c r="O134" s="67"/>
      <c r="P134" s="67"/>
      <c r="Q134" s="67"/>
      <c r="R134" s="67"/>
      <c r="S134" s="67"/>
      <c r="T134" s="67"/>
      <c r="U134" s="67"/>
      <c r="V134" s="67"/>
      <c r="W134" s="67"/>
      <c r="X134" s="67"/>
      <c r="Y134" s="67"/>
      <c r="Z134" s="67"/>
      <c r="AA134" s="67"/>
      <c r="AB134" s="67"/>
      <c r="AC134" s="67"/>
      <c r="AE134" s="11"/>
      <c r="AF134" s="11"/>
      <c r="AG134" s="11"/>
      <c r="AH134" s="11"/>
      <c r="AI134" s="11"/>
      <c r="AJ134" s="11"/>
      <c r="AK134" s="11"/>
      <c r="AL134" s="11"/>
      <c r="AM134" s="11"/>
      <c r="AN134" s="11"/>
      <c r="AO134" s="11"/>
      <c r="AP134" s="11"/>
      <c r="AQ134" s="11"/>
      <c r="AR134" s="11"/>
      <c r="AS134" s="11"/>
      <c r="AT134" s="11"/>
      <c r="AU134" s="47"/>
    </row>
    <row r="135" spans="2:47" ht="12.75" customHeight="1">
      <c r="B135" s="75" t="s">
        <v>71</v>
      </c>
      <c r="C135" s="64"/>
      <c r="D135" s="64"/>
      <c r="E135" s="64"/>
      <c r="F135" s="64"/>
      <c r="G135" s="64"/>
      <c r="H135" s="64"/>
      <c r="I135" s="64"/>
      <c r="J135" s="11"/>
      <c r="K135" s="64"/>
      <c r="L135" s="64"/>
      <c r="M135" s="64"/>
      <c r="N135" s="64"/>
      <c r="O135" s="64"/>
      <c r="P135" s="64"/>
      <c r="Q135" s="64"/>
      <c r="R135" s="64"/>
      <c r="S135" s="64"/>
      <c r="T135" s="64"/>
      <c r="U135" s="64"/>
      <c r="V135" s="64"/>
      <c r="W135" s="64"/>
      <c r="X135" s="64"/>
      <c r="Y135" s="64"/>
      <c r="Z135" s="64"/>
      <c r="AA135" s="85"/>
      <c r="AB135" s="64"/>
      <c r="AC135" s="64"/>
      <c r="AE135" s="64"/>
      <c r="AF135" s="64"/>
      <c r="AG135" s="64"/>
      <c r="AH135" s="64"/>
      <c r="AI135" s="64"/>
      <c r="AJ135" s="64"/>
      <c r="AK135" s="64"/>
      <c r="AL135" s="64"/>
      <c r="AM135" s="64"/>
      <c r="AN135" s="64"/>
      <c r="AO135" s="64"/>
      <c r="AP135" s="64"/>
      <c r="AQ135" s="64"/>
      <c r="AR135" s="64"/>
      <c r="AS135" s="64"/>
      <c r="AT135" s="68"/>
      <c r="AU135" s="47"/>
    </row>
    <row r="136" spans="2:47" ht="12.75" customHeight="1">
      <c r="B136" s="8" t="s">
        <v>162</v>
      </c>
      <c r="C136" s="85">
        <v>131.06899999999999</v>
      </c>
      <c r="D136" s="85">
        <v>400.65800000000002</v>
      </c>
      <c r="E136" s="85">
        <v>291.58199999999999</v>
      </c>
      <c r="F136" s="85">
        <v>509.26499999999999</v>
      </c>
      <c r="G136" s="85">
        <v>811.72</v>
      </c>
      <c r="H136" s="85">
        <v>1154.973</v>
      </c>
      <c r="I136" s="85">
        <v>1641.53</v>
      </c>
      <c r="J136" s="11"/>
      <c r="K136" s="64">
        <f>$F$136/4</f>
        <v>127.31625</v>
      </c>
      <c r="L136" s="64">
        <f t="shared" ref="L136:M137" si="316">$F$136/4</f>
        <v>127.31625</v>
      </c>
      <c r="M136" s="64">
        <f t="shared" si="316"/>
        <v>127.31625</v>
      </c>
      <c r="N136" s="32">
        <f t="shared" ref="N136" si="317">SUM(F136-SUM(K136:M136))</f>
        <v>127.31624999999997</v>
      </c>
      <c r="O136" s="64">
        <f>$G$136/4</f>
        <v>202.93</v>
      </c>
      <c r="P136" s="64">
        <f t="shared" ref="P136:Q136" si="318">$G$136/4</f>
        <v>202.93</v>
      </c>
      <c r="Q136" s="64">
        <f t="shared" si="318"/>
        <v>202.93</v>
      </c>
      <c r="R136" s="32">
        <f t="shared" ref="R136" si="319">SUM(G136-SUM(O136:Q136))</f>
        <v>202.93000000000006</v>
      </c>
      <c r="S136" s="64">
        <f>$H$136/4</f>
        <v>288.74324999999999</v>
      </c>
      <c r="T136" s="64">
        <f t="shared" ref="T136:U136" si="320">$H$136/4</f>
        <v>288.74324999999999</v>
      </c>
      <c r="U136" s="64">
        <f t="shared" si="320"/>
        <v>288.74324999999999</v>
      </c>
      <c r="V136" s="32">
        <f t="shared" ref="V136" si="321">SUM(H136-SUM(S136:U136))</f>
        <v>288.74324999999999</v>
      </c>
      <c r="W136" s="64">
        <f>$I$136/4</f>
        <v>410.38249999999999</v>
      </c>
      <c r="X136" s="64">
        <f t="shared" ref="X136:Y136" si="322">$I$136/4</f>
        <v>410.38249999999999</v>
      </c>
      <c r="Y136" s="64">
        <f t="shared" si="322"/>
        <v>410.38249999999999</v>
      </c>
      <c r="Z136" s="32">
        <f t="shared" ref="Z136" si="323">SUM(I136-SUM(W136:Y136))</f>
        <v>410.38249999999994</v>
      </c>
      <c r="AA136" s="32">
        <f>Z136</f>
        <v>410.38249999999994</v>
      </c>
      <c r="AB136" s="32">
        <f t="shared" ref="AB136:AC136" si="324">AA136</f>
        <v>410.38249999999994</v>
      </c>
      <c r="AC136" s="32">
        <f t="shared" si="324"/>
        <v>410.38249999999994</v>
      </c>
      <c r="AE136" s="32">
        <f t="shared" ref="AE136" si="325">SUM(L136:O136)</f>
        <v>584.87874999999997</v>
      </c>
      <c r="AF136" s="32">
        <f t="shared" ref="AF136" si="326">SUM(M136:P136)</f>
        <v>660.49250000000006</v>
      </c>
      <c r="AG136" s="32">
        <f t="shared" ref="AG136" si="327">SUM(N136:Q136)</f>
        <v>736.10625000000005</v>
      </c>
      <c r="AH136" s="32">
        <f t="shared" ref="AH136" si="328">SUM(O136:R136)</f>
        <v>811.72</v>
      </c>
      <c r="AI136" s="32">
        <f t="shared" ref="AI136" si="329">SUM(P136:S136)</f>
        <v>897.53325000000007</v>
      </c>
      <c r="AJ136" s="32">
        <f t="shared" ref="AJ136" si="330">SUM(Q136:T136)</f>
        <v>983.34650000000011</v>
      </c>
      <c r="AK136" s="32">
        <f t="shared" ref="AK136" si="331">SUM(R136:U136)</f>
        <v>1069.15975</v>
      </c>
      <c r="AL136" s="32">
        <f t="shared" ref="AL136" si="332">SUM(S136:V136)</f>
        <v>1154.973</v>
      </c>
      <c r="AM136" s="32">
        <f t="shared" ref="AM136" si="333">SUM(T136:W136)</f>
        <v>1276.6122499999999</v>
      </c>
      <c r="AN136" s="32">
        <f t="shared" ref="AN136" si="334">SUM(U136:X136)</f>
        <v>1398.2514999999999</v>
      </c>
      <c r="AO136" s="32">
        <f t="shared" ref="AO136" si="335">SUM(V136:Y136)</f>
        <v>1519.8907499999998</v>
      </c>
      <c r="AP136" s="32">
        <f t="shared" ref="AP136" si="336">SUM(W136:Z136)</f>
        <v>1641.53</v>
      </c>
      <c r="AQ136" s="32">
        <f t="shared" ref="AQ136" si="337">SUM(X136:AA136)</f>
        <v>1641.53</v>
      </c>
      <c r="AR136" s="32">
        <f t="shared" ref="AR136" si="338">SUM(Y136:AB136)</f>
        <v>1641.5299999999997</v>
      </c>
      <c r="AS136" s="32">
        <f t="shared" ref="AS136" si="339">SUM(Z136:AC136)</f>
        <v>1641.5299999999997</v>
      </c>
      <c r="AT136" s="68"/>
      <c r="AU136" s="47"/>
    </row>
    <row r="137" spans="2:47" ht="12.75" customHeight="1">
      <c r="B137" s="8" t="s">
        <v>163</v>
      </c>
      <c r="C137" s="85">
        <v>375.83100000000002</v>
      </c>
      <c r="D137" s="85">
        <v>599.13199999999995</v>
      </c>
      <c r="E137" s="85">
        <v>762.904</v>
      </c>
      <c r="F137" s="85">
        <v>763.43200000000002</v>
      </c>
      <c r="G137" s="85">
        <v>701.69299999999998</v>
      </c>
      <c r="H137" s="85">
        <v>684.50400000000002</v>
      </c>
      <c r="I137" s="85">
        <v>674.50199999999995</v>
      </c>
      <c r="J137" s="32"/>
      <c r="K137" s="64">
        <f t="shared" ref="K137" si="340">$F$136/4</f>
        <v>127.31625</v>
      </c>
      <c r="L137" s="64">
        <f t="shared" si="316"/>
        <v>127.31625</v>
      </c>
      <c r="M137" s="64">
        <f t="shared" si="316"/>
        <v>127.31625</v>
      </c>
      <c r="N137" s="32">
        <f>SUM(F137-SUM(K137:M137))</f>
        <v>381.48325</v>
      </c>
      <c r="O137" s="64">
        <f>$G$137/4</f>
        <v>175.42325</v>
      </c>
      <c r="P137" s="64">
        <f t="shared" ref="P137:Q137" si="341">$G$137/4</f>
        <v>175.42325</v>
      </c>
      <c r="Q137" s="64">
        <f t="shared" si="341"/>
        <v>175.42325</v>
      </c>
      <c r="R137" s="32">
        <f>SUM(G137-SUM(O137:Q137))</f>
        <v>175.42325000000005</v>
      </c>
      <c r="S137" s="64">
        <f>$H$137/4</f>
        <v>171.126</v>
      </c>
      <c r="T137" s="64">
        <f t="shared" ref="T137:U137" si="342">$H$137/4</f>
        <v>171.126</v>
      </c>
      <c r="U137" s="64">
        <f t="shared" si="342"/>
        <v>171.126</v>
      </c>
      <c r="V137" s="32">
        <f>SUM(H137-SUM(S137:U137))</f>
        <v>171.12599999999998</v>
      </c>
      <c r="W137" s="64">
        <f>$I$137/4</f>
        <v>168.62549999999999</v>
      </c>
      <c r="X137" s="64">
        <f t="shared" ref="X137:Y137" si="343">$I$137/4</f>
        <v>168.62549999999999</v>
      </c>
      <c r="Y137" s="64">
        <f t="shared" si="343"/>
        <v>168.62549999999999</v>
      </c>
      <c r="Z137" s="32">
        <f>SUM(I137-SUM(W137:Y137))</f>
        <v>168.62549999999999</v>
      </c>
      <c r="AA137" s="32">
        <f t="shared" ref="AA137:AC137" si="344">Z137</f>
        <v>168.62549999999999</v>
      </c>
      <c r="AB137" s="32">
        <f t="shared" si="344"/>
        <v>168.62549999999999</v>
      </c>
      <c r="AC137" s="32">
        <f t="shared" si="344"/>
        <v>168.62549999999999</v>
      </c>
      <c r="AD137" s="32"/>
      <c r="AE137" s="32">
        <f>SUM(L137:O137)</f>
        <v>811.53899999999999</v>
      </c>
      <c r="AF137" s="32">
        <f>SUM(M137:P137)</f>
        <v>859.64599999999996</v>
      </c>
      <c r="AG137" s="32">
        <f>SUM(N137:Q137)</f>
        <v>907.75300000000016</v>
      </c>
      <c r="AH137" s="32">
        <f>SUM(O137:R137)</f>
        <v>701.69299999999998</v>
      </c>
      <c r="AI137" s="32">
        <f>SUM(P137:S137)</f>
        <v>697.39575000000002</v>
      </c>
      <c r="AJ137" s="32">
        <f t="shared" ref="AJ137:AS137" si="345">SUM(Q137:T137)</f>
        <v>693.09850000000006</v>
      </c>
      <c r="AK137" s="32">
        <f t="shared" si="345"/>
        <v>688.80124999999998</v>
      </c>
      <c r="AL137" s="32">
        <f t="shared" si="345"/>
        <v>684.50400000000002</v>
      </c>
      <c r="AM137" s="32">
        <f t="shared" si="345"/>
        <v>682.00349999999992</v>
      </c>
      <c r="AN137" s="32">
        <f t="shared" si="345"/>
        <v>679.50299999999993</v>
      </c>
      <c r="AO137" s="32">
        <f t="shared" si="345"/>
        <v>677.00249999999994</v>
      </c>
      <c r="AP137" s="32">
        <f t="shared" si="345"/>
        <v>674.50199999999995</v>
      </c>
      <c r="AQ137" s="32">
        <f t="shared" si="345"/>
        <v>674.50199999999995</v>
      </c>
      <c r="AR137" s="32">
        <f t="shared" si="345"/>
        <v>674.50199999999995</v>
      </c>
      <c r="AS137" s="32">
        <f t="shared" si="345"/>
        <v>674.50199999999995</v>
      </c>
      <c r="AT137" s="11"/>
      <c r="AU137" s="47"/>
    </row>
    <row r="138" spans="2:47" ht="5.0999999999999996" customHeight="1" thickBot="1">
      <c r="B138" s="76"/>
      <c r="C138" s="77"/>
      <c r="D138" s="77"/>
      <c r="E138" s="77"/>
      <c r="F138" s="77"/>
      <c r="G138" s="77"/>
      <c r="H138" s="77"/>
      <c r="I138" s="77"/>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U138" s="47"/>
    </row>
    <row r="139" spans="2:47" ht="12.75" customHeight="1">
      <c r="B139" s="160"/>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0"/>
      <c r="AK139" s="160"/>
      <c r="AL139" s="160"/>
      <c r="AM139" s="160"/>
      <c r="AN139" s="160"/>
      <c r="AO139" s="160"/>
      <c r="AP139" s="160"/>
      <c r="AQ139" s="160"/>
      <c r="AR139" s="160"/>
      <c r="AS139" s="132"/>
      <c r="AU139" s="47"/>
    </row>
    <row r="140" spans="2:47" ht="12.75" customHeight="1">
      <c r="B140" s="55"/>
      <c r="C140" s="69"/>
      <c r="D140" s="69"/>
      <c r="E140" s="69"/>
      <c r="F140" s="69"/>
      <c r="G140" s="69"/>
      <c r="H140" s="69"/>
      <c r="I140" s="69"/>
    </row>
    <row r="141" spans="2:47" ht="12.75" customHeight="1">
      <c r="C141" s="58"/>
      <c r="D141" s="58"/>
      <c r="E141" s="58"/>
      <c r="F141" s="85"/>
      <c r="G141" s="58"/>
      <c r="H141" s="85"/>
      <c r="I141" s="58"/>
    </row>
    <row r="142" spans="2:47" ht="12.75" customHeight="1">
      <c r="C142" s="58"/>
      <c r="D142" s="58"/>
      <c r="E142" s="58"/>
      <c r="F142" s="58"/>
      <c r="G142" s="58"/>
      <c r="H142" s="58"/>
      <c r="I142" s="58"/>
    </row>
    <row r="143" spans="2:47" ht="12.75" customHeight="1">
      <c r="C143" s="58"/>
      <c r="D143" s="58"/>
      <c r="E143" s="58"/>
      <c r="F143" s="58"/>
      <c r="G143" s="58"/>
      <c r="H143" s="58"/>
      <c r="I143" s="58"/>
    </row>
    <row r="144" spans="2:47" ht="12.75" customHeight="1">
      <c r="C144" s="58"/>
      <c r="D144" s="58"/>
      <c r="E144" s="58"/>
      <c r="F144" s="58"/>
      <c r="G144" s="58"/>
      <c r="H144" s="58"/>
      <c r="I144" s="58"/>
    </row>
    <row r="145" spans="3:24" ht="12.75" customHeight="1">
      <c r="C145" s="58"/>
      <c r="D145" s="58"/>
      <c r="E145" s="58"/>
      <c r="F145" s="58"/>
      <c r="G145" s="58"/>
      <c r="H145" s="58"/>
      <c r="I145" s="58"/>
      <c r="K145" s="89"/>
      <c r="L145" s="89"/>
      <c r="M145" s="89"/>
      <c r="N145" s="89"/>
      <c r="O145" s="89"/>
      <c r="P145" s="89"/>
      <c r="Q145" s="89"/>
      <c r="R145" s="89"/>
      <c r="S145" s="89"/>
      <c r="T145" s="89"/>
      <c r="U145" s="89"/>
      <c r="V145" s="89"/>
      <c r="W145" s="89"/>
      <c r="X145" s="89"/>
    </row>
    <row r="146" spans="3:24" ht="12.75" customHeight="1">
      <c r="C146" s="58"/>
      <c r="D146" s="58"/>
      <c r="E146" s="58"/>
      <c r="F146" s="58"/>
      <c r="G146" s="58"/>
      <c r="H146" s="58"/>
      <c r="I146" s="58"/>
    </row>
    <row r="147" spans="3:24" ht="12.75" customHeight="1">
      <c r="C147" s="58"/>
      <c r="D147" s="58"/>
      <c r="E147" s="58"/>
      <c r="F147" s="58"/>
      <c r="G147" s="58"/>
      <c r="H147" s="58"/>
      <c r="I147" s="58"/>
      <c r="K147" s="89"/>
      <c r="L147" s="89"/>
      <c r="M147" s="89"/>
      <c r="N147" s="89"/>
      <c r="O147" s="89"/>
      <c r="P147" s="89"/>
      <c r="Q147" s="89"/>
      <c r="R147" s="89"/>
      <c r="S147" s="89"/>
      <c r="T147" s="89"/>
      <c r="U147" s="89"/>
      <c r="V147" s="89"/>
      <c r="W147" s="89"/>
      <c r="X147" s="89"/>
    </row>
    <row r="148" spans="3:24">
      <c r="K148" s="89"/>
      <c r="L148" s="89"/>
      <c r="M148" s="89"/>
      <c r="N148" s="89"/>
      <c r="O148" s="89"/>
      <c r="P148" s="89"/>
      <c r="Q148" s="89"/>
      <c r="R148" s="89"/>
      <c r="S148" s="89"/>
      <c r="T148" s="89"/>
      <c r="U148" s="89"/>
      <c r="V148" s="89"/>
      <c r="W148" s="89"/>
      <c r="X148" s="89"/>
    </row>
    <row r="149" spans="3:24">
      <c r="K149" s="89"/>
      <c r="L149" s="89"/>
      <c r="M149" s="89"/>
      <c r="N149" s="89"/>
      <c r="O149" s="89"/>
      <c r="P149" s="89"/>
      <c r="Q149" s="89"/>
      <c r="R149" s="89"/>
      <c r="S149" s="89"/>
      <c r="T149" s="89"/>
      <c r="U149" s="89"/>
      <c r="V149" s="89"/>
      <c r="W149" s="89"/>
      <c r="X149" s="89"/>
    </row>
    <row r="151" spans="3:24">
      <c r="K151" s="89"/>
      <c r="L151" s="89"/>
      <c r="M151" s="89"/>
      <c r="N151" s="89"/>
      <c r="O151" s="89"/>
      <c r="P151" s="89"/>
      <c r="Q151" s="89"/>
      <c r="R151" s="89"/>
      <c r="S151" s="89"/>
      <c r="T151" s="89"/>
      <c r="U151" s="89"/>
      <c r="V151" s="89"/>
      <c r="W151" s="89"/>
      <c r="X151" s="89"/>
    </row>
    <row r="152" spans="3:24">
      <c r="K152" s="89"/>
      <c r="L152" s="89"/>
      <c r="M152" s="89"/>
      <c r="N152" s="89"/>
      <c r="O152" s="89"/>
      <c r="P152" s="89"/>
      <c r="Q152" s="89"/>
      <c r="R152" s="89"/>
      <c r="S152" s="89"/>
      <c r="T152" s="89"/>
      <c r="U152" s="89"/>
      <c r="V152" s="89"/>
      <c r="W152" s="89"/>
      <c r="X152" s="89"/>
    </row>
  </sheetData>
  <mergeCells count="4">
    <mergeCell ref="B139:AR139"/>
    <mergeCell ref="AU6:AU8"/>
    <mergeCell ref="AU41:AU43"/>
    <mergeCell ref="AU81:AU83"/>
  </mergeCells>
  <dataValidations disablePrompts="1"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R17:AR18 AR33 J49 AE23:AP24 V106:V110 AE28:AP30" formulaRange="1"/>
    <ignoredError sqref="C17:I18 C23:I24 C28:I30 C32:I34 K17:AC18 K22:AC24 K32:AC34 K28:AC30 AU104:AU105 AU112 AS103:AU103 AS113:AU115 AS112:AT112 AS106:AU111 AS104:AT105" evalError="1"/>
    <ignoredError sqref="K87:R88 AE128:AS129 Z14 N14 V14 R1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M25"/>
  <sheetViews>
    <sheetView showGridLines="0" topLeftCell="B1" zoomScaleNormal="100" workbookViewId="0">
      <selection activeCell="I26" sqref="I26"/>
    </sheetView>
  </sheetViews>
  <sheetFormatPr defaultRowHeight="12" outlineLevelCol="2"/>
  <cols>
    <col min="1" max="1" width="1.5" style="8" customWidth="1"/>
    <col min="2" max="2" width="46.5" style="8" bestFit="1" customWidth="1"/>
    <col min="3" max="5" width="8.625" style="8" customWidth="1" outlineLevel="2"/>
    <col min="6" max="6" width="8.625" style="8" customWidth="1" outlineLevel="1"/>
    <col min="7" max="9" width="8.625" style="8" bestFit="1" customWidth="1"/>
    <col min="10" max="10" width="1.5" style="8" customWidth="1"/>
    <col min="11" max="13" width="7.875" style="8" customWidth="1" outlineLevel="1"/>
    <col min="14" max="14" width="8.75" style="8" customWidth="1" outlineLevel="1"/>
    <col min="15" max="17" width="8" style="8" customWidth="1" outlineLevel="1"/>
    <col min="18" max="18" width="8.75" style="8" customWidth="1" outlineLevel="1"/>
    <col min="19" max="19" width="8.5" style="8" customWidth="1"/>
    <col min="20" max="20" width="8.25" style="8" bestFit="1" customWidth="1"/>
    <col min="21" max="21" width="8.5" style="8" bestFit="1" customWidth="1"/>
    <col min="22" max="25" width="9.125" style="8" bestFit="1" customWidth="1"/>
    <col min="26" max="26" width="1.5" style="8" customWidth="1"/>
    <col min="27" max="32" width="8.75" style="8" hidden="1" customWidth="1" outlineLevel="1"/>
    <col min="33" max="33" width="8.75" style="8" bestFit="1" customWidth="1" collapsed="1"/>
    <col min="34" max="36" width="8.75" style="8" hidden="1" customWidth="1" outlineLevel="1"/>
    <col min="37" max="37" width="8.75" style="8" bestFit="1" customWidth="1" collapsed="1"/>
    <col min="38" max="38" width="1.5" style="8" customWidth="1"/>
    <col min="39" max="39" width="9.875" style="8" bestFit="1" customWidth="1"/>
    <col min="40" max="16384" width="9" style="8"/>
  </cols>
  <sheetData>
    <row r="2" spans="1:39" s="5" customFormat="1" ht="12.75" customHeight="1">
      <c r="B2" s="1" t="s">
        <v>126</v>
      </c>
      <c r="C2" s="2" t="s">
        <v>0</v>
      </c>
      <c r="D2" s="2"/>
      <c r="E2" s="2"/>
      <c r="F2" s="2"/>
      <c r="G2" s="2" t="s">
        <v>0</v>
      </c>
      <c r="H2" s="2"/>
      <c r="I2" s="2"/>
      <c r="J2" s="3"/>
      <c r="K2" s="2" t="s">
        <v>1</v>
      </c>
      <c r="L2" s="2"/>
      <c r="M2" s="2"/>
      <c r="N2" s="2"/>
      <c r="O2" s="2"/>
      <c r="P2" s="2"/>
      <c r="Q2" s="2"/>
      <c r="R2" s="2"/>
      <c r="S2" s="2" t="s">
        <v>1</v>
      </c>
      <c r="T2" s="2" t="s">
        <v>1</v>
      </c>
      <c r="U2" s="2"/>
      <c r="V2" s="2"/>
      <c r="W2" s="2"/>
      <c r="X2" s="2"/>
      <c r="Y2" s="2"/>
      <c r="Z2" s="3"/>
      <c r="AA2" s="2" t="s">
        <v>10</v>
      </c>
      <c r="AB2" s="2"/>
      <c r="AC2" s="2"/>
      <c r="AD2" s="2"/>
      <c r="AE2" s="2" t="s">
        <v>10</v>
      </c>
      <c r="AF2" s="2"/>
      <c r="AG2" s="2" t="s">
        <v>10</v>
      </c>
      <c r="AH2" s="2"/>
      <c r="AI2" s="2"/>
      <c r="AJ2" s="2"/>
      <c r="AK2" s="2"/>
      <c r="AL2" s="3"/>
      <c r="AM2" s="161" t="s">
        <v>26</v>
      </c>
    </row>
    <row r="3" spans="1:39" s="5" customFormat="1" ht="12.75" customHeight="1">
      <c r="B3" s="6" t="s">
        <v>77</v>
      </c>
      <c r="C3" s="7">
        <f>'Historical Financials'!C7</f>
        <v>2018</v>
      </c>
      <c r="D3" s="7">
        <f>'Historical Financials'!D7</f>
        <v>2019</v>
      </c>
      <c r="E3" s="7">
        <f>'Historical Financials'!E7</f>
        <v>2020</v>
      </c>
      <c r="F3" s="7">
        <f>'Historical Financials'!F7</f>
        <v>2021</v>
      </c>
      <c r="G3" s="7">
        <f>'Historical Financials'!G7</f>
        <v>2022</v>
      </c>
      <c r="H3" s="7">
        <f>'Historical Financials'!H7</f>
        <v>2023</v>
      </c>
      <c r="I3" s="7">
        <f>'Historical Financials'!I7</f>
        <v>2024</v>
      </c>
      <c r="J3" s="3"/>
      <c r="K3" s="7" t="str">
        <f>'Historical Financials'!O7</f>
        <v>1Q22</v>
      </c>
      <c r="L3" s="7" t="str">
        <f>'Historical Financials'!P7</f>
        <v>2Q22</v>
      </c>
      <c r="M3" s="7" t="str">
        <f>'Historical Financials'!Q7</f>
        <v>3Q22</v>
      </c>
      <c r="N3" s="7" t="str">
        <f>'Historical Financials'!R7</f>
        <v>4Q22</v>
      </c>
      <c r="O3" s="7" t="str">
        <f>'Historical Financials'!S7</f>
        <v>1Q23</v>
      </c>
      <c r="P3" s="7" t="str">
        <f>'Historical Financials'!T7</f>
        <v>2Q23</v>
      </c>
      <c r="Q3" s="7" t="str">
        <f>'Historical Financials'!U7</f>
        <v>3Q23</v>
      </c>
      <c r="R3" s="7" t="str">
        <f>'Historical Financials'!V7</f>
        <v>4Q23</v>
      </c>
      <c r="S3" s="7" t="str">
        <f>'Historical Financials'!W7</f>
        <v>1Q24</v>
      </c>
      <c r="T3" s="7" t="str">
        <f>'Historical Financials'!X7</f>
        <v>2Q24</v>
      </c>
      <c r="U3" s="7" t="str">
        <f>'Historical Financials'!Y7</f>
        <v>3Q24</v>
      </c>
      <c r="V3" s="7" t="str">
        <f>'Historical Financials'!Z7</f>
        <v>4Q24</v>
      </c>
      <c r="W3" s="7" t="str">
        <f>'Historical Financials'!AA7</f>
        <v>1Q25</v>
      </c>
      <c r="X3" s="7" t="str">
        <f>'Historical Financials'!AB7</f>
        <v>2Q25</v>
      </c>
      <c r="Y3" s="7" t="str">
        <f>'Historical Financials'!AC7</f>
        <v>3Q25</v>
      </c>
      <c r="Z3" s="4"/>
      <c r="AA3" s="4" t="str">
        <f t="shared" ref="AA3:AJ4" si="0">O3</f>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Y3</f>
        <v>3Q25</v>
      </c>
      <c r="AL3" s="3"/>
      <c r="AM3" s="161"/>
    </row>
    <row r="4" spans="1:39" s="5" customFormat="1" ht="12.75" customHeight="1">
      <c r="B4" s="6" t="s">
        <v>170</v>
      </c>
      <c r="C4" s="3">
        <f>'Historical Financials'!C8</f>
        <v>43465</v>
      </c>
      <c r="D4" s="3">
        <f>'Historical Financials'!D8</f>
        <v>43830</v>
      </c>
      <c r="E4" s="3">
        <f>'Historical Financials'!E8</f>
        <v>44196</v>
      </c>
      <c r="F4" s="3">
        <f>'Historical Financials'!F8</f>
        <v>44561</v>
      </c>
      <c r="G4" s="3">
        <f>'Historical Financials'!G8</f>
        <v>44926</v>
      </c>
      <c r="H4" s="3">
        <f>'Historical Financials'!H8</f>
        <v>45291</v>
      </c>
      <c r="I4" s="3">
        <f>'Historical Financials'!I8</f>
        <v>45657</v>
      </c>
      <c r="J4" s="3"/>
      <c r="K4" s="3">
        <f>'Historical Financials'!O8</f>
        <v>44651</v>
      </c>
      <c r="L4" s="3">
        <f>'Historical Financials'!P8</f>
        <v>44742</v>
      </c>
      <c r="M4" s="3">
        <f>'Historical Financials'!Q8</f>
        <v>44834</v>
      </c>
      <c r="N4" s="3">
        <f>'Historical Financials'!R8</f>
        <v>44926</v>
      </c>
      <c r="O4" s="3">
        <f>'Historical Financials'!S8</f>
        <v>45016</v>
      </c>
      <c r="P4" s="3">
        <f>'Historical Financials'!T8</f>
        <v>45107</v>
      </c>
      <c r="Q4" s="3">
        <f>'Historical Financials'!U8</f>
        <v>45199</v>
      </c>
      <c r="R4" s="3">
        <f>'Historical Financials'!V8</f>
        <v>45291</v>
      </c>
      <c r="S4" s="3">
        <f>'Historical Financials'!W8</f>
        <v>45382</v>
      </c>
      <c r="T4" s="3">
        <f>'Historical Financials'!X8</f>
        <v>45473</v>
      </c>
      <c r="U4" s="3">
        <f>'Historical Financials'!Y8</f>
        <v>45565</v>
      </c>
      <c r="V4" s="3">
        <f>'Historical Financials'!Z8</f>
        <v>45657</v>
      </c>
      <c r="W4" s="3">
        <f>'Historical Financials'!AA8</f>
        <v>45747</v>
      </c>
      <c r="X4" s="3">
        <f>'Historical Financials'!AB8</f>
        <v>45838</v>
      </c>
      <c r="Y4" s="3">
        <f>'Historical Financials'!AC8</f>
        <v>45930</v>
      </c>
      <c r="Z4" s="3"/>
      <c r="AA4" s="3">
        <f t="shared" si="0"/>
        <v>45016</v>
      </c>
      <c r="AB4" s="3">
        <f t="shared" si="0"/>
        <v>45107</v>
      </c>
      <c r="AC4" s="3">
        <f t="shared" si="0"/>
        <v>45199</v>
      </c>
      <c r="AD4" s="3">
        <f t="shared" si="0"/>
        <v>45291</v>
      </c>
      <c r="AE4" s="3">
        <f t="shared" si="0"/>
        <v>45382</v>
      </c>
      <c r="AF4" s="3">
        <f t="shared" si="0"/>
        <v>45473</v>
      </c>
      <c r="AG4" s="3">
        <f t="shared" si="0"/>
        <v>45565</v>
      </c>
      <c r="AH4" s="3">
        <f t="shared" si="0"/>
        <v>45657</v>
      </c>
      <c r="AI4" s="3">
        <f t="shared" si="0"/>
        <v>45747</v>
      </c>
      <c r="AJ4" s="3">
        <f t="shared" si="0"/>
        <v>45838</v>
      </c>
      <c r="AK4" s="3">
        <f>Y4</f>
        <v>45930</v>
      </c>
      <c r="AL4" s="3"/>
      <c r="AM4" s="161"/>
    </row>
    <row r="5" spans="1:39" ht="5.0999999999999996" customHeight="1"/>
    <row r="6" spans="1:39">
      <c r="A6" s="36" t="s">
        <v>19</v>
      </c>
      <c r="B6" s="1" t="s">
        <v>113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ht="5.0999999999999996" customHeight="1"/>
    <row r="8" spans="1:39" ht="12.75" customHeight="1">
      <c r="A8" s="83"/>
      <c r="B8" s="81" t="s">
        <v>112</v>
      </c>
      <c r="C8" s="25"/>
      <c r="D8" s="25"/>
      <c r="E8" s="10"/>
      <c r="F8" s="10"/>
      <c r="G8" s="10"/>
      <c r="H8" s="10"/>
      <c r="I8" s="10"/>
      <c r="J8" s="10"/>
      <c r="K8" s="10"/>
      <c r="L8" s="10"/>
      <c r="M8" s="10"/>
      <c r="N8" s="10"/>
      <c r="O8" s="10"/>
      <c r="P8" s="10"/>
      <c r="Q8" s="10"/>
      <c r="R8" s="10"/>
      <c r="S8" s="10"/>
      <c r="T8" s="10"/>
      <c r="U8" s="10"/>
      <c r="V8" s="10"/>
      <c r="W8" s="10"/>
      <c r="X8" s="10"/>
      <c r="Y8" s="10"/>
      <c r="Z8" s="5"/>
      <c r="AA8" s="11"/>
      <c r="AB8" s="11"/>
      <c r="AC8" s="11"/>
      <c r="AD8" s="11"/>
      <c r="AE8" s="11"/>
      <c r="AF8" s="11"/>
      <c r="AG8" s="11"/>
      <c r="AH8" s="11"/>
      <c r="AI8" s="11"/>
      <c r="AJ8" s="11"/>
      <c r="AM8" s="12"/>
    </row>
    <row r="9" spans="1:39" ht="12.75" customHeight="1">
      <c r="B9" s="9" t="s">
        <v>165</v>
      </c>
      <c r="C9" s="84">
        <v>8281.5319999999992</v>
      </c>
      <c r="D9" s="84">
        <v>10051.208000000001</v>
      </c>
      <c r="E9" s="84">
        <v>11455.396000000001</v>
      </c>
      <c r="F9" s="84">
        <v>12972.1</v>
      </c>
      <c r="G9" s="84">
        <v>14084.643</v>
      </c>
      <c r="H9" s="84">
        <v>14873.782999999999</v>
      </c>
      <c r="I9" s="84">
        <v>17359.368999999999</v>
      </c>
      <c r="J9" s="84"/>
      <c r="K9" s="84">
        <v>3350.424</v>
      </c>
      <c r="L9" s="84">
        <v>3537.8629999999998</v>
      </c>
      <c r="M9" s="84">
        <v>3601.5650000000001</v>
      </c>
      <c r="N9" s="126">
        <f t="shared" ref="N9:N13" si="1">SUM(G9-SUM(K9:M9))</f>
        <v>3594.7909999999993</v>
      </c>
      <c r="O9" s="84">
        <v>3608.645</v>
      </c>
      <c r="P9" s="84">
        <v>3599.4479999999999</v>
      </c>
      <c r="Q9" s="84">
        <v>3735.1329999999998</v>
      </c>
      <c r="R9" s="126">
        <f t="shared" ref="R9:R13" si="2">SUM(H9-SUM(O9:Q9))</f>
        <v>3930.5570000000007</v>
      </c>
      <c r="S9" s="84">
        <v>4224.3149999999996</v>
      </c>
      <c r="T9" s="84">
        <v>4295.5600000000004</v>
      </c>
      <c r="U9" s="84">
        <v>4322.4759999999997</v>
      </c>
      <c r="V9" s="126">
        <f t="shared" ref="V9:V13" si="3">SUM(I9-SUM(S9:U9))</f>
        <v>4517.018</v>
      </c>
      <c r="W9" s="84">
        <v>4617.098</v>
      </c>
      <c r="X9" s="84">
        <v>4929.0029999999997</v>
      </c>
      <c r="Y9" s="84">
        <v>5071.7809999999999</v>
      </c>
      <c r="Z9" s="11"/>
      <c r="AA9" s="11">
        <f t="shared" ref="AA9:AF9" si="4">SUM(L9:O9)</f>
        <v>14342.864</v>
      </c>
      <c r="AB9" s="11">
        <f t="shared" si="4"/>
        <v>14404.449000000001</v>
      </c>
      <c r="AC9" s="11">
        <f t="shared" si="4"/>
        <v>14538.017</v>
      </c>
      <c r="AD9" s="11">
        <f t="shared" si="4"/>
        <v>14873.782999999999</v>
      </c>
      <c r="AE9" s="11">
        <f t="shared" si="4"/>
        <v>15489.453000000001</v>
      </c>
      <c r="AF9" s="11">
        <f t="shared" si="4"/>
        <v>16185.565000000002</v>
      </c>
      <c r="AG9" s="126">
        <f t="shared" ref="AG9:AK10" si="5">SUM(R9:U9)</f>
        <v>16772.907999999999</v>
      </c>
      <c r="AH9" s="126">
        <f t="shared" si="5"/>
        <v>17359.368999999999</v>
      </c>
      <c r="AI9" s="126">
        <f t="shared" si="5"/>
        <v>17752.152000000002</v>
      </c>
      <c r="AJ9" s="126">
        <f t="shared" si="5"/>
        <v>18385.594999999998</v>
      </c>
      <c r="AK9" s="126">
        <f t="shared" si="5"/>
        <v>19134.899999999998</v>
      </c>
      <c r="AM9" s="12">
        <f>SUM(AK9/AG9)-1</f>
        <v>0.14082185390869606</v>
      </c>
    </row>
    <row r="10" spans="1:39" ht="12.75" customHeight="1">
      <c r="B10" s="9" t="s">
        <v>166</v>
      </c>
      <c r="C10" s="84">
        <v>3963.7069999999999</v>
      </c>
      <c r="D10" s="84">
        <v>5543.067</v>
      </c>
      <c r="E10" s="84">
        <v>7772.2520000000004</v>
      </c>
      <c r="F10" s="84">
        <v>9699.8189999999995</v>
      </c>
      <c r="G10" s="84">
        <v>9745.0149999999994</v>
      </c>
      <c r="H10" s="84">
        <v>10556.486999999999</v>
      </c>
      <c r="I10" s="84">
        <v>12387.035</v>
      </c>
      <c r="J10" s="84"/>
      <c r="K10" s="84">
        <v>2561.8310000000001</v>
      </c>
      <c r="L10" s="84">
        <v>2457.2350000000001</v>
      </c>
      <c r="M10" s="84">
        <v>2375.8139999999999</v>
      </c>
      <c r="N10" s="126">
        <f t="shared" si="1"/>
        <v>2350.1349999999984</v>
      </c>
      <c r="O10" s="84">
        <v>2517.6410000000001</v>
      </c>
      <c r="P10" s="84">
        <v>2562.17</v>
      </c>
      <c r="Q10" s="84">
        <v>2693.1460000000002</v>
      </c>
      <c r="R10" s="126">
        <f t="shared" si="2"/>
        <v>2783.5299999999988</v>
      </c>
      <c r="S10" s="84">
        <v>2958.1930000000002</v>
      </c>
      <c r="T10" s="84">
        <v>3007.7719999999999</v>
      </c>
      <c r="U10" s="84">
        <v>3133.4659999999999</v>
      </c>
      <c r="V10" s="126">
        <f t="shared" si="3"/>
        <v>3287.6039999999994</v>
      </c>
      <c r="W10" s="84">
        <v>3404.6759999999999</v>
      </c>
      <c r="X10" s="84">
        <v>3538.1750000000002</v>
      </c>
      <c r="Y10" s="84">
        <v>3699.0520000000001</v>
      </c>
      <c r="Z10" s="11"/>
      <c r="AA10" s="11"/>
      <c r="AB10" s="11"/>
      <c r="AC10" s="11"/>
      <c r="AD10" s="11"/>
      <c r="AE10" s="11"/>
      <c r="AF10" s="11"/>
      <c r="AG10" s="126">
        <f t="shared" si="5"/>
        <v>11882.960999999999</v>
      </c>
      <c r="AH10" s="126">
        <f t="shared" si="5"/>
        <v>12387.035</v>
      </c>
      <c r="AI10" s="126">
        <f t="shared" si="5"/>
        <v>12833.517999999998</v>
      </c>
      <c r="AJ10" s="126">
        <f t="shared" si="5"/>
        <v>13363.920999999998</v>
      </c>
      <c r="AK10" s="126">
        <f t="shared" si="5"/>
        <v>13929.506999999998</v>
      </c>
      <c r="AM10" s="12">
        <f>SUM(AK10/AG10)-1</f>
        <v>0.17222525597786609</v>
      </c>
    </row>
    <row r="11" spans="1:39" ht="12.75" customHeight="1">
      <c r="B11" s="9" t="s">
        <v>167</v>
      </c>
      <c r="C11" s="84">
        <v>2237.6970000000001</v>
      </c>
      <c r="D11" s="84">
        <v>2795.4340000000002</v>
      </c>
      <c r="E11" s="84">
        <v>3156.7269999999999</v>
      </c>
      <c r="F11" s="84">
        <v>3576.9760000000001</v>
      </c>
      <c r="G11" s="84">
        <v>4069.973</v>
      </c>
      <c r="H11" s="84">
        <v>4446.4610000000002</v>
      </c>
      <c r="I11" s="84">
        <v>4839.8159999999998</v>
      </c>
      <c r="J11" s="84"/>
      <c r="K11" s="84">
        <v>998.94799999999998</v>
      </c>
      <c r="L11" s="84">
        <v>1030.2339999999999</v>
      </c>
      <c r="M11" s="84">
        <v>1023.9450000000001</v>
      </c>
      <c r="N11" s="126">
        <f t="shared" si="1"/>
        <v>1016.846</v>
      </c>
      <c r="O11" s="84">
        <v>1070.192</v>
      </c>
      <c r="P11" s="84">
        <v>1077.4349999999999</v>
      </c>
      <c r="Q11" s="84">
        <v>1142.8109999999999</v>
      </c>
      <c r="R11" s="126">
        <f t="shared" si="2"/>
        <v>1156.0230000000001</v>
      </c>
      <c r="S11" s="84">
        <v>1165.008</v>
      </c>
      <c r="T11" s="84">
        <v>1204.145</v>
      </c>
      <c r="U11" s="84">
        <v>1240.8920000000001</v>
      </c>
      <c r="V11" s="126">
        <f t="shared" si="3"/>
        <v>1229.7709999999997</v>
      </c>
      <c r="W11" s="84">
        <v>1261.934</v>
      </c>
      <c r="X11" s="84">
        <v>1306.7349999999999</v>
      </c>
      <c r="Y11" s="84">
        <v>1370.913</v>
      </c>
      <c r="Z11" s="11"/>
      <c r="AA11" s="11"/>
      <c r="AB11" s="11"/>
      <c r="AC11" s="11"/>
      <c r="AD11" s="11"/>
      <c r="AE11" s="11"/>
      <c r="AF11" s="11"/>
      <c r="AG11" s="126">
        <f t="shared" ref="AG11:AG13" si="6">SUM(R11:U11)</f>
        <v>4766.0680000000002</v>
      </c>
      <c r="AH11" s="126">
        <f t="shared" ref="AH11:AH13" si="7">SUM(S11:V11)</f>
        <v>4839.8159999999998</v>
      </c>
      <c r="AI11" s="126">
        <f t="shared" ref="AI11:AI13" si="8">SUM(T11:W11)</f>
        <v>4936.7420000000002</v>
      </c>
      <c r="AJ11" s="126">
        <f t="shared" ref="AJ11:AJ13" si="9">SUM(U11:X11)</f>
        <v>5039.3319999999994</v>
      </c>
      <c r="AK11" s="126">
        <f t="shared" ref="AK11:AK13" si="10">SUM(V11:Y11)</f>
        <v>5169.3529999999992</v>
      </c>
      <c r="AM11" s="12">
        <f t="shared" ref="AM11:AM13" si="11">SUM(AK11/AG11)-1</f>
        <v>8.4615872035396666E-2</v>
      </c>
    </row>
    <row r="12" spans="1:39" ht="12.75" customHeight="1">
      <c r="B12" s="9" t="s">
        <v>168</v>
      </c>
      <c r="C12" s="84">
        <v>945.81600000000003</v>
      </c>
      <c r="D12" s="84">
        <v>1469.521</v>
      </c>
      <c r="E12" s="84">
        <v>2372.3000000000002</v>
      </c>
      <c r="F12" s="84">
        <v>3266.6010000000001</v>
      </c>
      <c r="G12" s="84">
        <v>3570.221</v>
      </c>
      <c r="H12" s="84">
        <v>3763.7269999999999</v>
      </c>
      <c r="I12" s="84">
        <v>4414.7460000000001</v>
      </c>
      <c r="J12" s="84"/>
      <c r="K12" s="84">
        <v>916.75400000000002</v>
      </c>
      <c r="L12" s="84">
        <v>907.71900000000005</v>
      </c>
      <c r="M12" s="84">
        <v>889.03700000000003</v>
      </c>
      <c r="N12" s="126">
        <f t="shared" si="1"/>
        <v>856.71099999999979</v>
      </c>
      <c r="O12" s="84">
        <v>933.52300000000002</v>
      </c>
      <c r="P12" s="84">
        <v>919.27300000000002</v>
      </c>
      <c r="Q12" s="84">
        <v>948.21600000000001</v>
      </c>
      <c r="R12" s="126">
        <f t="shared" si="2"/>
        <v>962.71499999999969</v>
      </c>
      <c r="S12" s="84">
        <v>1022.924</v>
      </c>
      <c r="T12" s="84">
        <v>1051.8330000000001</v>
      </c>
      <c r="U12" s="84">
        <v>1127.8689999999999</v>
      </c>
      <c r="V12" s="126">
        <f t="shared" si="3"/>
        <v>1212.1199999999999</v>
      </c>
      <c r="W12" s="84">
        <v>1259.0930000000001</v>
      </c>
      <c r="X12" s="84">
        <v>1305.2529999999999</v>
      </c>
      <c r="Y12" s="84">
        <v>1368.5609999999999</v>
      </c>
      <c r="Z12" s="11"/>
      <c r="AA12" s="11"/>
      <c r="AB12" s="11"/>
      <c r="AC12" s="11"/>
      <c r="AD12" s="11"/>
      <c r="AE12" s="11"/>
      <c r="AF12" s="11"/>
      <c r="AG12" s="126">
        <f t="shared" si="6"/>
        <v>4165.3409999999994</v>
      </c>
      <c r="AH12" s="126">
        <f t="shared" si="7"/>
        <v>4414.7460000000001</v>
      </c>
      <c r="AI12" s="126">
        <f t="shared" si="8"/>
        <v>4650.915</v>
      </c>
      <c r="AJ12" s="126">
        <f t="shared" si="9"/>
        <v>4904.3349999999991</v>
      </c>
      <c r="AK12" s="126">
        <f t="shared" si="10"/>
        <v>5145.0269999999991</v>
      </c>
      <c r="AM12" s="12">
        <f t="shared" si="11"/>
        <v>0.23519947106371353</v>
      </c>
    </row>
    <row r="13" spans="1:39" ht="12.75" customHeight="1">
      <c r="B13" s="9" t="s">
        <v>169</v>
      </c>
      <c r="C13" s="84">
        <v>365.589</v>
      </c>
      <c r="D13" s="84">
        <v>297.21699999999998</v>
      </c>
      <c r="E13" s="84">
        <v>239.381</v>
      </c>
      <c r="F13" s="84">
        <v>182.34800000000001</v>
      </c>
      <c r="G13" s="84">
        <v>145.69800000000001</v>
      </c>
      <c r="H13" s="84">
        <v>82.838999999999999</v>
      </c>
      <c r="I13" s="84">
        <v>0</v>
      </c>
      <c r="J13" s="84"/>
      <c r="K13" s="84">
        <v>39.81</v>
      </c>
      <c r="L13" s="84">
        <v>37.090000000000003</v>
      </c>
      <c r="M13" s="84">
        <v>35.228000000000002</v>
      </c>
      <c r="N13" s="126">
        <f t="shared" si="1"/>
        <v>33.569999999999993</v>
      </c>
      <c r="O13" s="84">
        <v>31.501999999999999</v>
      </c>
      <c r="P13" s="84">
        <v>28.975000000000001</v>
      </c>
      <c r="Q13" s="84">
        <v>22.361999999999998</v>
      </c>
      <c r="R13" s="126">
        <f t="shared" si="2"/>
        <v>0</v>
      </c>
      <c r="S13" s="84">
        <v>0</v>
      </c>
      <c r="T13" s="84">
        <v>0</v>
      </c>
      <c r="U13" s="84">
        <v>0</v>
      </c>
      <c r="V13" s="126">
        <f t="shared" si="3"/>
        <v>0</v>
      </c>
      <c r="W13" s="84">
        <v>0</v>
      </c>
      <c r="X13" s="84">
        <v>0</v>
      </c>
      <c r="Y13" s="84">
        <v>0</v>
      </c>
      <c r="Z13" s="11"/>
      <c r="AA13" s="11"/>
      <c r="AB13" s="11"/>
      <c r="AC13" s="11"/>
      <c r="AD13" s="11"/>
      <c r="AE13" s="11"/>
      <c r="AF13" s="11"/>
      <c r="AG13" s="126">
        <f t="shared" si="6"/>
        <v>0</v>
      </c>
      <c r="AH13" s="126">
        <f t="shared" si="7"/>
        <v>0</v>
      </c>
      <c r="AI13" s="126">
        <f t="shared" si="8"/>
        <v>0</v>
      </c>
      <c r="AJ13" s="126">
        <f t="shared" si="9"/>
        <v>0</v>
      </c>
      <c r="AK13" s="126">
        <f t="shared" si="10"/>
        <v>0</v>
      </c>
      <c r="AM13" s="12" t="e">
        <f t="shared" si="11"/>
        <v>#DIV/0!</v>
      </c>
    </row>
    <row r="14" spans="1:39" ht="12.75" customHeight="1">
      <c r="B14" s="13" t="s">
        <v>78</v>
      </c>
      <c r="C14" s="34">
        <f t="shared" ref="C14:I14" si="12">SUM(C9:C13)</f>
        <v>15794.341</v>
      </c>
      <c r="D14" s="34">
        <f t="shared" si="12"/>
        <v>20156.447000000004</v>
      </c>
      <c r="E14" s="34">
        <f t="shared" si="12"/>
        <v>24996.056</v>
      </c>
      <c r="F14" s="34">
        <f t="shared" si="12"/>
        <v>29697.844000000001</v>
      </c>
      <c r="G14" s="34">
        <f t="shared" si="12"/>
        <v>31615.550000000003</v>
      </c>
      <c r="H14" s="34">
        <f t="shared" si="12"/>
        <v>33723.296999999999</v>
      </c>
      <c r="I14" s="34">
        <f t="shared" si="12"/>
        <v>39000.966</v>
      </c>
      <c r="J14" s="11"/>
      <c r="K14" s="34">
        <f t="shared" ref="K14:Y14" si="13">SUM(K9:K13)</f>
        <v>7867.7670000000007</v>
      </c>
      <c r="L14" s="34">
        <f t="shared" si="13"/>
        <v>7970.1410000000005</v>
      </c>
      <c r="M14" s="34">
        <f t="shared" si="13"/>
        <v>7925.5889999999999</v>
      </c>
      <c r="N14" s="34">
        <f t="shared" si="13"/>
        <v>7852.0529999999962</v>
      </c>
      <c r="O14" s="34">
        <f t="shared" si="13"/>
        <v>8161.5030000000006</v>
      </c>
      <c r="P14" s="34">
        <f t="shared" si="13"/>
        <v>8187.3010000000004</v>
      </c>
      <c r="Q14" s="34">
        <f t="shared" si="13"/>
        <v>8541.6679999999997</v>
      </c>
      <c r="R14" s="34">
        <f t="shared" si="13"/>
        <v>8832.8249999999989</v>
      </c>
      <c r="S14" s="34">
        <f t="shared" si="13"/>
        <v>9370.4399999999987</v>
      </c>
      <c r="T14" s="34">
        <f t="shared" si="13"/>
        <v>9559.3100000000013</v>
      </c>
      <c r="U14" s="34">
        <f t="shared" si="13"/>
        <v>9824.7029999999995</v>
      </c>
      <c r="V14" s="34">
        <f t="shared" si="13"/>
        <v>10246.512999999999</v>
      </c>
      <c r="W14" s="34">
        <f t="shared" si="13"/>
        <v>10542.800999999999</v>
      </c>
      <c r="X14" s="34">
        <f t="shared" si="13"/>
        <v>11079.166000000001</v>
      </c>
      <c r="Y14" s="34">
        <f t="shared" si="13"/>
        <v>11510.307000000001</v>
      </c>
      <c r="Z14" s="5"/>
      <c r="AA14" s="34">
        <f t="shared" ref="AA14:AK14" si="14">SUM(AA9:AA13)</f>
        <v>14342.864</v>
      </c>
      <c r="AB14" s="34">
        <f t="shared" si="14"/>
        <v>14404.449000000001</v>
      </c>
      <c r="AC14" s="34">
        <f t="shared" si="14"/>
        <v>14538.017</v>
      </c>
      <c r="AD14" s="34">
        <f t="shared" si="14"/>
        <v>14873.782999999999</v>
      </c>
      <c r="AE14" s="34">
        <f t="shared" si="14"/>
        <v>15489.453000000001</v>
      </c>
      <c r="AF14" s="34">
        <f t="shared" si="14"/>
        <v>16185.565000000002</v>
      </c>
      <c r="AG14" s="34">
        <f t="shared" si="14"/>
        <v>37587.277999999998</v>
      </c>
      <c r="AH14" s="34">
        <f t="shared" si="14"/>
        <v>39000.966</v>
      </c>
      <c r="AI14" s="34">
        <f t="shared" si="14"/>
        <v>40173.326999999997</v>
      </c>
      <c r="AJ14" s="34">
        <f t="shared" si="14"/>
        <v>41693.182999999997</v>
      </c>
      <c r="AK14" s="34">
        <f t="shared" si="14"/>
        <v>43378.786999999997</v>
      </c>
      <c r="AM14" s="15">
        <f>SUM(AK14/AG14)-1</f>
        <v>0.15408162836372452</v>
      </c>
    </row>
    <row r="15" spans="1:39">
      <c r="B15" s="135" t="s">
        <v>114</v>
      </c>
      <c r="C15" s="82">
        <f>+C14-'Historical Financials'!C11</f>
        <v>0</v>
      </c>
      <c r="D15" s="82">
        <f>+D14-'Historical Financials'!D11</f>
        <v>0</v>
      </c>
      <c r="E15" s="82">
        <f>+E14-'Historical Financials'!E11</f>
        <v>0</v>
      </c>
      <c r="F15" s="82">
        <f>+F14-'Historical Financials'!F11</f>
        <v>0</v>
      </c>
      <c r="G15" s="82">
        <f>+G14-'Historical Financials'!G11</f>
        <v>0</v>
      </c>
      <c r="H15" s="82">
        <f>+H14-'Historical Financials'!H11</f>
        <v>0</v>
      </c>
      <c r="I15" s="82">
        <f>+I14-'Historical Financials'!I11</f>
        <v>0</v>
      </c>
      <c r="J15" s="11"/>
      <c r="K15" s="82">
        <f>K14-'Historical Financials'!O11</f>
        <v>0</v>
      </c>
      <c r="L15" s="82">
        <f>L14-'Historical Financials'!P11</f>
        <v>0</v>
      </c>
      <c r="M15" s="82">
        <f>M14-'Historical Financials'!Q11</f>
        <v>0</v>
      </c>
      <c r="N15" s="82">
        <f>N14-'Historical Financials'!R11</f>
        <v>0</v>
      </c>
      <c r="O15" s="82">
        <f>O14-'Historical Financials'!S11</f>
        <v>0</v>
      </c>
      <c r="P15" s="82">
        <f>P14-'Historical Financials'!T11</f>
        <v>0</v>
      </c>
      <c r="Q15" s="82">
        <f>Q14-'Historical Financials'!U11</f>
        <v>0</v>
      </c>
      <c r="R15" s="82">
        <f>R14-'Historical Financials'!V11</f>
        <v>0</v>
      </c>
      <c r="S15" s="82">
        <f>S14-'Historical Financials'!W11</f>
        <v>0</v>
      </c>
      <c r="T15" s="82">
        <f>T14-'Historical Financials'!X11</f>
        <v>0</v>
      </c>
      <c r="U15" s="82">
        <f>U14-'Historical Financials'!Y11</f>
        <v>0</v>
      </c>
      <c r="V15" s="82">
        <f>V14-'Historical Financials'!Z11</f>
        <v>0</v>
      </c>
      <c r="W15" s="82">
        <f>W14-'Historical Financials'!AA11</f>
        <v>0</v>
      </c>
      <c r="X15" s="82">
        <f>X14-'Historical Financials'!AB11</f>
        <v>0</v>
      </c>
      <c r="Y15" s="82">
        <f>Y14-'Historical Financials'!AC11</f>
        <v>0</v>
      </c>
      <c r="Z15" s="82"/>
      <c r="AA15" s="82">
        <f>+AA14-'Historical Financials'!AI11</f>
        <v>-17566.421999999999</v>
      </c>
      <c r="AB15" s="82">
        <f>+AB14-'Historical Financials'!AJ11</f>
        <v>-17721.996999999999</v>
      </c>
      <c r="AC15" s="82">
        <f>+AC14-'Historical Financials'!AK11</f>
        <v>-18204.508000000002</v>
      </c>
      <c r="AD15" s="82">
        <f>+AD14-'Historical Financials'!AL11</f>
        <v>-18849.513999999999</v>
      </c>
      <c r="AE15" s="82">
        <f>+AE14-'Historical Financials'!AM11</f>
        <v>-19442.780999999995</v>
      </c>
      <c r="AF15" s="82">
        <f>+AF14-'Historical Financials'!AN11</f>
        <v>-20118.677999999993</v>
      </c>
      <c r="AG15" s="82">
        <f>+AG14-'Historical Financials'!AO11</f>
        <v>0</v>
      </c>
      <c r="AH15" s="82">
        <f>+AH14-'Historical Financials'!AP11</f>
        <v>0</v>
      </c>
      <c r="AI15" s="82">
        <f>+AI14-'Historical Financials'!AQ11</f>
        <v>0</v>
      </c>
      <c r="AJ15" s="82">
        <f>+AJ14-'Historical Financials'!AR11</f>
        <v>0</v>
      </c>
      <c r="AK15" s="82">
        <f>AK14-'Historical Financials'!AS11</f>
        <v>0</v>
      </c>
    </row>
    <row r="16" spans="1:39" ht="5.0999999999999996" customHeight="1">
      <c r="B16" s="18"/>
      <c r="C16" s="18"/>
      <c r="D16" s="18"/>
      <c r="E16" s="19"/>
      <c r="F16" s="19"/>
      <c r="G16" s="19"/>
      <c r="H16" s="19"/>
      <c r="I16" s="19"/>
      <c r="J16" s="20"/>
      <c r="K16" s="21"/>
      <c r="L16" s="21"/>
      <c r="M16" s="21"/>
      <c r="N16" s="22"/>
      <c r="O16" s="21"/>
      <c r="P16" s="21"/>
      <c r="Q16" s="21"/>
      <c r="R16" s="22"/>
      <c r="S16" s="21"/>
      <c r="T16" s="21"/>
      <c r="U16" s="21"/>
      <c r="V16" s="21"/>
      <c r="W16" s="21"/>
      <c r="X16" s="21"/>
      <c r="Y16" s="21"/>
      <c r="Z16" s="20"/>
      <c r="AA16" s="20"/>
      <c r="AB16" s="20"/>
      <c r="AC16" s="20"/>
      <c r="AD16" s="20"/>
      <c r="AE16" s="20"/>
      <c r="AF16" s="20"/>
      <c r="AG16" s="20"/>
      <c r="AH16" s="20"/>
      <c r="AI16" s="20"/>
      <c r="AJ16" s="20"/>
      <c r="AK16" s="20"/>
    </row>
    <row r="25" spans="3:3">
      <c r="C25" s="84"/>
    </row>
  </sheetData>
  <mergeCells count="1">
    <mergeCell ref="AM2:AM4"/>
  </mergeCells>
  <dataValidations disablePrompts="1"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ignoredErrors>
    <ignoredError sqref="AM9:AM13"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M84"/>
  <sheetViews>
    <sheetView showGridLines="0" zoomScaleNormal="100" workbookViewId="0">
      <selection activeCell="F26" sqref="F26"/>
    </sheetView>
  </sheetViews>
  <sheetFormatPr defaultRowHeight="12" outlineLevelCol="2"/>
  <cols>
    <col min="1" max="1" width="1.5" style="8" customWidth="1"/>
    <col min="2" max="2" width="41.625" style="8" customWidth="1"/>
    <col min="3" max="4" width="8.625" style="8" customWidth="1" outlineLevel="1"/>
    <col min="5" max="5" width="9" style="8" bestFit="1" customWidth="1"/>
    <col min="6" max="6" width="9.25" style="8" bestFit="1" customWidth="1"/>
    <col min="7" max="7" width="9" style="8"/>
    <col min="8" max="8" width="1.5" style="8" customWidth="1"/>
    <col min="9" max="11" width="8" style="8" customWidth="1" outlineLevel="2"/>
    <col min="12" max="12" width="8.625" style="8" customWidth="1" outlineLevel="2"/>
    <col min="13" max="14" width="8" style="8" customWidth="1" outlineLevel="1"/>
    <col min="15" max="18" width="8.875" style="8" customWidth="1" outlineLevel="1"/>
    <col min="19" max="23" width="8.875" style="8" bestFit="1" customWidth="1"/>
    <col min="24" max="24" width="1.625" style="8" customWidth="1"/>
    <col min="25" max="25" width="9" style="8" hidden="1" customWidth="1" outlineLevel="1"/>
    <col min="26" max="26" width="8.625" style="8" hidden="1" customWidth="1" outlineLevel="1"/>
    <col min="27" max="27" width="8.5" style="8" hidden="1" customWidth="1" outlineLevel="1"/>
    <col min="28" max="29" width="8.25" style="8" hidden="1" customWidth="1" outlineLevel="1"/>
    <col min="30" max="30" width="9.25" style="8" hidden="1" customWidth="1" outlineLevel="1"/>
    <col min="31" max="31" width="9.75" style="8" hidden="1" customWidth="1" outlineLevel="1"/>
    <col min="32" max="32" width="9" style="8" hidden="1" customWidth="1" outlineLevel="1"/>
    <col min="33" max="33" width="9" style="8" customWidth="1" collapsed="1"/>
    <col min="34" max="35" width="9" style="8" hidden="1" customWidth="1" outlineLevel="1"/>
    <col min="36" max="36" width="8.5" style="8" hidden="1" customWidth="1" outlineLevel="1"/>
    <col min="37" max="37" width="8.5" style="8" bestFit="1" customWidth="1" collapsed="1"/>
    <col min="38" max="38" width="1.5" style="8" customWidth="1"/>
    <col min="39" max="39" width="9.375" style="131" bestFit="1" customWidth="1"/>
    <col min="40" max="16384" width="9" style="8"/>
  </cols>
  <sheetData>
    <row r="2" spans="2:39" s="5" customFormat="1" ht="12.75" customHeight="1">
      <c r="B2" s="1" t="str">
        <f>'Historical Financials'!B2</f>
        <v>Netflix, Inc. (NASDAQ: NFLX)</v>
      </c>
      <c r="C2" s="2" t="s">
        <v>0</v>
      </c>
      <c r="D2" s="2"/>
      <c r="E2" s="2" t="s">
        <v>0</v>
      </c>
      <c r="F2" s="2"/>
      <c r="G2" s="2"/>
      <c r="H2" s="3"/>
      <c r="I2" s="2" t="s">
        <v>1</v>
      </c>
      <c r="J2" s="2"/>
      <c r="K2" s="2"/>
      <c r="L2" s="2"/>
      <c r="M2" s="2" t="s">
        <v>1</v>
      </c>
      <c r="N2" s="2"/>
      <c r="O2" s="2"/>
      <c r="P2" s="2"/>
      <c r="Q2" s="2"/>
      <c r="R2" s="2"/>
      <c r="S2" s="2" t="s">
        <v>1</v>
      </c>
      <c r="T2" s="2"/>
      <c r="U2" s="2"/>
      <c r="V2" s="2"/>
      <c r="W2" s="2"/>
      <c r="X2" s="3"/>
      <c r="Y2" s="2" t="s">
        <v>10</v>
      </c>
      <c r="Z2" s="2"/>
      <c r="AA2" s="2"/>
      <c r="AB2" s="2"/>
      <c r="AC2" s="2"/>
      <c r="AD2" s="2"/>
      <c r="AE2" s="2"/>
      <c r="AF2" s="2" t="s">
        <v>10</v>
      </c>
      <c r="AG2" s="2" t="s">
        <v>10</v>
      </c>
      <c r="AH2" s="2"/>
      <c r="AI2" s="2"/>
      <c r="AJ2" s="2"/>
      <c r="AK2" s="2"/>
      <c r="AL2" s="3"/>
      <c r="AM2" s="164" t="s">
        <v>26</v>
      </c>
    </row>
    <row r="3" spans="2:39" s="5" customFormat="1" ht="12.75" customHeight="1">
      <c r="B3" s="6" t="s">
        <v>27</v>
      </c>
      <c r="C3" s="7">
        <f>'Historical Financials'!E7</f>
        <v>2020</v>
      </c>
      <c r="D3" s="7">
        <f>'Historical Financials'!F7</f>
        <v>2021</v>
      </c>
      <c r="E3" s="7">
        <f>'Historical Financials'!G7</f>
        <v>2022</v>
      </c>
      <c r="F3" s="7">
        <f>'Historical Financials'!H7</f>
        <v>2023</v>
      </c>
      <c r="G3" s="7">
        <f>'Historical Financials'!I7</f>
        <v>2024</v>
      </c>
      <c r="H3" s="3"/>
      <c r="I3" s="7" t="str">
        <f>'Historical Financials'!O7</f>
        <v>1Q22</v>
      </c>
      <c r="J3" s="7" t="str">
        <f>'Historical Financials'!P7</f>
        <v>2Q22</v>
      </c>
      <c r="K3" s="7" t="str">
        <f>'Historical Financials'!Q7</f>
        <v>3Q22</v>
      </c>
      <c r="L3" s="7" t="str">
        <f>'Historical Financials'!R7</f>
        <v>4Q22</v>
      </c>
      <c r="M3" s="7" t="str">
        <f>'Historical Financials'!S7</f>
        <v>1Q23</v>
      </c>
      <c r="N3" s="7" t="str">
        <f>'Historical Financials'!T7</f>
        <v>2Q23</v>
      </c>
      <c r="O3" s="7" t="str">
        <f>'Historical Financials'!U7</f>
        <v>3Q23</v>
      </c>
      <c r="P3" s="7" t="str">
        <f>'Historical Financials'!V7</f>
        <v>4Q23</v>
      </c>
      <c r="Q3" s="7" t="str">
        <f>'Historical Financials'!W7</f>
        <v>1Q24</v>
      </c>
      <c r="R3" s="7" t="str">
        <f>'Historical Financials'!X7</f>
        <v>2Q24</v>
      </c>
      <c r="S3" s="7" t="str">
        <f>'Historical Financials'!Y7</f>
        <v>3Q24</v>
      </c>
      <c r="T3" s="7" t="str">
        <f>'Historical Financials'!Z7</f>
        <v>4Q24</v>
      </c>
      <c r="U3" s="7" t="str">
        <f>'Historical Financials'!AA7</f>
        <v>1Q25</v>
      </c>
      <c r="V3" s="7" t="str">
        <f>'Historical Financials'!AB7</f>
        <v>2Q25</v>
      </c>
      <c r="W3" s="7" t="str">
        <f>'Historical Financials'!AC7</f>
        <v>3Q25</v>
      </c>
      <c r="X3" s="3"/>
      <c r="Y3" s="4" t="str">
        <f t="shared" ref="Y3:AK4" si="0">K3</f>
        <v>3Q22</v>
      </c>
      <c r="Z3" s="4" t="str">
        <f t="shared" si="0"/>
        <v>4Q22</v>
      </c>
      <c r="AA3" s="4" t="str">
        <f t="shared" si="0"/>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 t="shared" si="0"/>
        <v>3Q25</v>
      </c>
      <c r="AL3" s="3"/>
      <c r="AM3" s="164"/>
    </row>
    <row r="4" spans="2:39" s="5" customFormat="1" ht="12.75" customHeight="1">
      <c r="B4" s="6" t="s">
        <v>84</v>
      </c>
      <c r="C4" s="3">
        <f>'Historical Financials'!E8</f>
        <v>44196</v>
      </c>
      <c r="D4" s="3">
        <f>'Historical Financials'!F8</f>
        <v>44561</v>
      </c>
      <c r="E4" s="3">
        <f>'Historical Financials'!G8</f>
        <v>44926</v>
      </c>
      <c r="F4" s="3">
        <f>'Historical Financials'!H8</f>
        <v>45291</v>
      </c>
      <c r="G4" s="3">
        <f>'Historical Financials'!I8</f>
        <v>45657</v>
      </c>
      <c r="H4" s="3"/>
      <c r="I4" s="3">
        <f>'Historical Financials'!O8</f>
        <v>44651</v>
      </c>
      <c r="J4" s="3">
        <f>'Historical Financials'!P8</f>
        <v>44742</v>
      </c>
      <c r="K4" s="3">
        <f>'Historical Financials'!Q8</f>
        <v>44834</v>
      </c>
      <c r="L4" s="3">
        <f>'Historical Financials'!R8</f>
        <v>44926</v>
      </c>
      <c r="M4" s="3">
        <f>'Historical Financials'!S8</f>
        <v>45016</v>
      </c>
      <c r="N4" s="3">
        <f>'Historical Financials'!T8</f>
        <v>45107</v>
      </c>
      <c r="O4" s="3">
        <f>'Historical Financials'!U8</f>
        <v>45199</v>
      </c>
      <c r="P4" s="3">
        <f>'Historical Financials'!V8</f>
        <v>45291</v>
      </c>
      <c r="Q4" s="3">
        <f>'Historical Financials'!W8</f>
        <v>45382</v>
      </c>
      <c r="R4" s="3">
        <f>'Historical Financials'!X8</f>
        <v>45473</v>
      </c>
      <c r="S4" s="3">
        <f>'Historical Financials'!Y8</f>
        <v>45565</v>
      </c>
      <c r="T4" s="3">
        <f>'Historical Financials'!Z8</f>
        <v>45657</v>
      </c>
      <c r="U4" s="3">
        <f>'Historical Financials'!AA8</f>
        <v>45747</v>
      </c>
      <c r="V4" s="3">
        <f>'Historical Financials'!AB8</f>
        <v>45838</v>
      </c>
      <c r="W4" s="3">
        <f>'Historical Financials'!AC8</f>
        <v>45930</v>
      </c>
      <c r="X4" s="3"/>
      <c r="Y4" s="3">
        <f t="shared" si="0"/>
        <v>44834</v>
      </c>
      <c r="Z4" s="3">
        <f t="shared" si="0"/>
        <v>44926</v>
      </c>
      <c r="AA4" s="3">
        <f t="shared" si="0"/>
        <v>45016</v>
      </c>
      <c r="AB4" s="3">
        <f t="shared" si="0"/>
        <v>45107</v>
      </c>
      <c r="AC4" s="3">
        <f t="shared" si="0"/>
        <v>45199</v>
      </c>
      <c r="AD4" s="3">
        <f t="shared" si="0"/>
        <v>45291</v>
      </c>
      <c r="AE4" s="3">
        <f t="shared" si="0"/>
        <v>45382</v>
      </c>
      <c r="AF4" s="3">
        <f t="shared" si="0"/>
        <v>45473</v>
      </c>
      <c r="AG4" s="3">
        <f t="shared" si="0"/>
        <v>45565</v>
      </c>
      <c r="AH4" s="3">
        <f t="shared" si="0"/>
        <v>45657</v>
      </c>
      <c r="AI4" s="3">
        <f t="shared" si="0"/>
        <v>45747</v>
      </c>
      <c r="AJ4" s="3">
        <f t="shared" si="0"/>
        <v>45838</v>
      </c>
      <c r="AK4" s="3">
        <f t="shared" si="0"/>
        <v>45930</v>
      </c>
      <c r="AL4" s="3"/>
      <c r="AM4" s="164"/>
    </row>
    <row r="5" spans="2:39" ht="5.0999999999999996" customHeight="1">
      <c r="AM5" s="127"/>
    </row>
    <row r="6" spans="2:39" ht="12.75" customHeight="1">
      <c r="B6" s="9" t="str">
        <f>'Revenue Drivers'!B9</f>
        <v>UCAN Revenue</v>
      </c>
      <c r="C6" s="97">
        <f>('Revenue Drivers'!E9)</f>
        <v>11455.396000000001</v>
      </c>
      <c r="D6" s="97">
        <f>('Revenue Drivers'!F9)</f>
        <v>12972.1</v>
      </c>
      <c r="E6" s="97">
        <f>('Revenue Drivers'!G9)</f>
        <v>14084.643</v>
      </c>
      <c r="F6" s="97">
        <f>('Revenue Drivers'!H9)</f>
        <v>14873.782999999999</v>
      </c>
      <c r="G6" s="97">
        <f>('Revenue Drivers'!I9)</f>
        <v>17359.368999999999</v>
      </c>
      <c r="H6" s="10"/>
      <c r="I6" s="97">
        <f>('Revenue Drivers'!K9)</f>
        <v>3350.424</v>
      </c>
      <c r="J6" s="97">
        <f>('Revenue Drivers'!L9)</f>
        <v>3537.8629999999998</v>
      </c>
      <c r="K6" s="97">
        <f>('Revenue Drivers'!M9)</f>
        <v>3601.5650000000001</v>
      </c>
      <c r="L6" s="97">
        <f>('Revenue Drivers'!N9)</f>
        <v>3594.7909999999993</v>
      </c>
      <c r="M6" s="97">
        <f>('Revenue Drivers'!O9)</f>
        <v>3608.645</v>
      </c>
      <c r="N6" s="97">
        <f>('Revenue Drivers'!P9)</f>
        <v>3599.4479999999999</v>
      </c>
      <c r="O6" s="97">
        <f>('Revenue Drivers'!Q9)</f>
        <v>3735.1329999999998</v>
      </c>
      <c r="P6" s="97">
        <f>('Revenue Drivers'!R9)</f>
        <v>3930.5570000000007</v>
      </c>
      <c r="Q6" s="97">
        <f>('Revenue Drivers'!S9)</f>
        <v>4224.3149999999996</v>
      </c>
      <c r="R6" s="97">
        <f>('Revenue Drivers'!T9)</f>
        <v>4295.5600000000004</v>
      </c>
      <c r="S6" s="97">
        <f>('Revenue Drivers'!U9)</f>
        <v>4322.4759999999997</v>
      </c>
      <c r="T6" s="97">
        <f>('Revenue Drivers'!V9)</f>
        <v>4517.018</v>
      </c>
      <c r="U6" s="97">
        <f>('Revenue Drivers'!W9)</f>
        <v>4617.098</v>
      </c>
      <c r="V6" s="97">
        <f>('Revenue Drivers'!X9)</f>
        <v>4929.0029999999997</v>
      </c>
      <c r="W6" s="97">
        <f>('Revenue Drivers'!Y9)</f>
        <v>5071.7809999999999</v>
      </c>
      <c r="X6" s="5"/>
      <c r="Y6" s="10">
        <f t="shared" ref="Y6:AK6" si="1">SUM(H6:K6)</f>
        <v>10489.852000000001</v>
      </c>
      <c r="Z6" s="10">
        <f t="shared" si="1"/>
        <v>14084.643</v>
      </c>
      <c r="AA6" s="10">
        <f t="shared" si="1"/>
        <v>14342.864</v>
      </c>
      <c r="AB6" s="10">
        <f t="shared" si="1"/>
        <v>14404.449000000001</v>
      </c>
      <c r="AC6" s="10">
        <f t="shared" si="1"/>
        <v>14538.017</v>
      </c>
      <c r="AD6" s="10">
        <f t="shared" si="1"/>
        <v>14873.782999999999</v>
      </c>
      <c r="AE6" s="10">
        <f t="shared" si="1"/>
        <v>15489.453000000001</v>
      </c>
      <c r="AF6" s="10">
        <f t="shared" si="1"/>
        <v>16185.565000000002</v>
      </c>
      <c r="AG6" s="146">
        <f t="shared" si="1"/>
        <v>16772.907999999999</v>
      </c>
      <c r="AH6" s="146">
        <f t="shared" si="1"/>
        <v>17359.368999999999</v>
      </c>
      <c r="AI6" s="146">
        <f t="shared" si="1"/>
        <v>17752.152000000002</v>
      </c>
      <c r="AJ6" s="146">
        <f t="shared" si="1"/>
        <v>18385.594999999998</v>
      </c>
      <c r="AK6" s="146">
        <f t="shared" si="1"/>
        <v>19134.899999999998</v>
      </c>
      <c r="AM6" s="128">
        <f t="shared" ref="AM6:AM11" si="2">SUM(AK6/AG6)-1</f>
        <v>0.14082185390869606</v>
      </c>
    </row>
    <row r="7" spans="2:39" ht="12.75" customHeight="1">
      <c r="B7" s="9" t="str">
        <f>'Revenue Drivers'!B10</f>
        <v>EMEA Revenue</v>
      </c>
      <c r="C7" s="97">
        <f>('Revenue Drivers'!E10)</f>
        <v>7772.2520000000004</v>
      </c>
      <c r="D7" s="97">
        <f>('Revenue Drivers'!F10)</f>
        <v>9699.8189999999995</v>
      </c>
      <c r="E7" s="97">
        <f>('Revenue Drivers'!G10)</f>
        <v>9745.0149999999994</v>
      </c>
      <c r="F7" s="97">
        <f>('Revenue Drivers'!H10)</f>
        <v>10556.486999999999</v>
      </c>
      <c r="G7" s="97">
        <f>('Revenue Drivers'!I10)</f>
        <v>12387.035</v>
      </c>
      <c r="H7" s="10"/>
      <c r="I7" s="97">
        <f>('Revenue Drivers'!K10)</f>
        <v>2561.8310000000001</v>
      </c>
      <c r="J7" s="97">
        <f>('Revenue Drivers'!L10)</f>
        <v>2457.2350000000001</v>
      </c>
      <c r="K7" s="97">
        <f>('Revenue Drivers'!M10)</f>
        <v>2375.8139999999999</v>
      </c>
      <c r="L7" s="97">
        <f>('Revenue Drivers'!N10)</f>
        <v>2350.1349999999984</v>
      </c>
      <c r="M7" s="97">
        <f>('Revenue Drivers'!O10)</f>
        <v>2517.6410000000001</v>
      </c>
      <c r="N7" s="97">
        <f>('Revenue Drivers'!P10)</f>
        <v>2562.17</v>
      </c>
      <c r="O7" s="97">
        <f>('Revenue Drivers'!Q10)</f>
        <v>2693.1460000000002</v>
      </c>
      <c r="P7" s="97">
        <f>('Revenue Drivers'!R10)</f>
        <v>2783.5299999999988</v>
      </c>
      <c r="Q7" s="97">
        <f>('Revenue Drivers'!S10)</f>
        <v>2958.1930000000002</v>
      </c>
      <c r="R7" s="97">
        <f>('Revenue Drivers'!T10)</f>
        <v>3007.7719999999999</v>
      </c>
      <c r="S7" s="97">
        <f>('Revenue Drivers'!U10)</f>
        <v>3133.4659999999999</v>
      </c>
      <c r="T7" s="97">
        <f>('Revenue Drivers'!V10)</f>
        <v>3287.6039999999994</v>
      </c>
      <c r="U7" s="97">
        <f>('Revenue Drivers'!W10)</f>
        <v>3404.6759999999999</v>
      </c>
      <c r="V7" s="97">
        <f>('Revenue Drivers'!X10)</f>
        <v>3538.1750000000002</v>
      </c>
      <c r="W7" s="97">
        <f>('Revenue Drivers'!Y10)</f>
        <v>3699.0520000000001</v>
      </c>
      <c r="X7" s="5"/>
      <c r="Y7" s="10"/>
      <c r="Z7" s="10"/>
      <c r="AA7" s="10"/>
      <c r="AB7" s="10"/>
      <c r="AC7" s="10"/>
      <c r="AD7" s="10"/>
      <c r="AE7" s="10"/>
      <c r="AF7" s="10"/>
      <c r="AG7" s="146">
        <f t="shared" ref="AG7:AK9" si="3">SUM(P7:S7)</f>
        <v>11882.960999999999</v>
      </c>
      <c r="AH7" s="146">
        <f t="shared" si="3"/>
        <v>12387.035</v>
      </c>
      <c r="AI7" s="146">
        <f t="shared" si="3"/>
        <v>12833.517999999998</v>
      </c>
      <c r="AJ7" s="146">
        <f t="shared" si="3"/>
        <v>13363.920999999998</v>
      </c>
      <c r="AK7" s="146">
        <f t="shared" si="3"/>
        <v>13929.506999999998</v>
      </c>
      <c r="AM7" s="128">
        <f t="shared" si="2"/>
        <v>0.17222525597786609</v>
      </c>
    </row>
    <row r="8" spans="2:39" ht="12.75" customHeight="1">
      <c r="B8" s="9" t="str">
        <f>'Revenue Drivers'!B11</f>
        <v>LATAM Revenue</v>
      </c>
      <c r="C8" s="97">
        <f>('Revenue Drivers'!E11)</f>
        <v>3156.7269999999999</v>
      </c>
      <c r="D8" s="97">
        <f>('Revenue Drivers'!F11)</f>
        <v>3576.9760000000001</v>
      </c>
      <c r="E8" s="97">
        <f>('Revenue Drivers'!G11)</f>
        <v>4069.973</v>
      </c>
      <c r="F8" s="97">
        <f>('Revenue Drivers'!H11)</f>
        <v>4446.4610000000002</v>
      </c>
      <c r="G8" s="97">
        <f>('Revenue Drivers'!I11)</f>
        <v>4839.8159999999998</v>
      </c>
      <c r="H8" s="10"/>
      <c r="I8" s="97">
        <f>('Revenue Drivers'!K11)</f>
        <v>998.94799999999998</v>
      </c>
      <c r="J8" s="97">
        <f>('Revenue Drivers'!L11)</f>
        <v>1030.2339999999999</v>
      </c>
      <c r="K8" s="97">
        <f>('Revenue Drivers'!M11)</f>
        <v>1023.9450000000001</v>
      </c>
      <c r="L8" s="97">
        <f>('Revenue Drivers'!N11)</f>
        <v>1016.846</v>
      </c>
      <c r="M8" s="97">
        <f>('Revenue Drivers'!O11)</f>
        <v>1070.192</v>
      </c>
      <c r="N8" s="97">
        <f>('Revenue Drivers'!P11)</f>
        <v>1077.4349999999999</v>
      </c>
      <c r="O8" s="97">
        <f>('Revenue Drivers'!Q11)</f>
        <v>1142.8109999999999</v>
      </c>
      <c r="P8" s="97">
        <f>('Revenue Drivers'!R11)</f>
        <v>1156.0230000000001</v>
      </c>
      <c r="Q8" s="97">
        <f>('Revenue Drivers'!S11)</f>
        <v>1165.008</v>
      </c>
      <c r="R8" s="97">
        <f>('Revenue Drivers'!T11)</f>
        <v>1204.145</v>
      </c>
      <c r="S8" s="97">
        <f>('Revenue Drivers'!U11)</f>
        <v>1240.8920000000001</v>
      </c>
      <c r="T8" s="97">
        <f>('Revenue Drivers'!V11)</f>
        <v>1229.7709999999997</v>
      </c>
      <c r="U8" s="97">
        <f>('Revenue Drivers'!W11)</f>
        <v>1261.934</v>
      </c>
      <c r="V8" s="97">
        <f>('Revenue Drivers'!X11)</f>
        <v>1306.7349999999999</v>
      </c>
      <c r="W8" s="97">
        <f>('Revenue Drivers'!Y11)</f>
        <v>1370.913</v>
      </c>
      <c r="X8" s="5"/>
      <c r="Y8" s="10"/>
      <c r="Z8" s="10"/>
      <c r="AA8" s="10"/>
      <c r="AB8" s="10"/>
      <c r="AC8" s="10"/>
      <c r="AD8" s="10"/>
      <c r="AE8" s="10"/>
      <c r="AF8" s="10"/>
      <c r="AG8" s="146">
        <f t="shared" si="3"/>
        <v>4766.0680000000002</v>
      </c>
      <c r="AH8" s="146">
        <f t="shared" si="3"/>
        <v>4839.8159999999998</v>
      </c>
      <c r="AI8" s="146">
        <f t="shared" si="3"/>
        <v>4936.7420000000002</v>
      </c>
      <c r="AJ8" s="146">
        <f t="shared" si="3"/>
        <v>5039.3319999999994</v>
      </c>
      <c r="AK8" s="146">
        <f t="shared" si="3"/>
        <v>5169.3529999999992</v>
      </c>
      <c r="AM8" s="128">
        <f t="shared" si="2"/>
        <v>8.4615872035396666E-2</v>
      </c>
    </row>
    <row r="9" spans="2:39" ht="12.75" customHeight="1">
      <c r="B9" s="9" t="str">
        <f>'Revenue Drivers'!B12</f>
        <v>APAC Revenue</v>
      </c>
      <c r="C9" s="97">
        <f>('Revenue Drivers'!E12)</f>
        <v>2372.3000000000002</v>
      </c>
      <c r="D9" s="97">
        <f>('Revenue Drivers'!F12)</f>
        <v>3266.6010000000001</v>
      </c>
      <c r="E9" s="97">
        <f>('Revenue Drivers'!G12)</f>
        <v>3570.221</v>
      </c>
      <c r="F9" s="97">
        <f>('Revenue Drivers'!H12)</f>
        <v>3763.7269999999999</v>
      </c>
      <c r="G9" s="97">
        <f>('Revenue Drivers'!I12)</f>
        <v>4414.7460000000001</v>
      </c>
      <c r="H9" s="10"/>
      <c r="I9" s="97">
        <f>('Revenue Drivers'!K12)</f>
        <v>916.75400000000002</v>
      </c>
      <c r="J9" s="97">
        <f>('Revenue Drivers'!L12)</f>
        <v>907.71900000000005</v>
      </c>
      <c r="K9" s="97">
        <f>('Revenue Drivers'!M12)</f>
        <v>889.03700000000003</v>
      </c>
      <c r="L9" s="97">
        <f>('Revenue Drivers'!N12)</f>
        <v>856.71099999999979</v>
      </c>
      <c r="M9" s="97">
        <f>('Revenue Drivers'!O12)</f>
        <v>933.52300000000002</v>
      </c>
      <c r="N9" s="97">
        <f>('Revenue Drivers'!P12)</f>
        <v>919.27300000000002</v>
      </c>
      <c r="O9" s="97">
        <f>('Revenue Drivers'!Q12)</f>
        <v>948.21600000000001</v>
      </c>
      <c r="P9" s="97">
        <f>('Revenue Drivers'!R12)</f>
        <v>962.71499999999969</v>
      </c>
      <c r="Q9" s="97">
        <f>('Revenue Drivers'!S12)</f>
        <v>1022.924</v>
      </c>
      <c r="R9" s="97">
        <f>('Revenue Drivers'!T12)</f>
        <v>1051.8330000000001</v>
      </c>
      <c r="S9" s="97">
        <f>('Revenue Drivers'!U12)</f>
        <v>1127.8689999999999</v>
      </c>
      <c r="T9" s="97">
        <f>('Revenue Drivers'!V12)</f>
        <v>1212.1199999999999</v>
      </c>
      <c r="U9" s="97">
        <f>('Revenue Drivers'!W12)</f>
        <v>1259.0930000000001</v>
      </c>
      <c r="V9" s="97">
        <f>('Revenue Drivers'!X12)</f>
        <v>1305.2529999999999</v>
      </c>
      <c r="W9" s="97">
        <f>('Revenue Drivers'!Y12)</f>
        <v>1368.5609999999999</v>
      </c>
      <c r="X9" s="5"/>
      <c r="Y9" s="10"/>
      <c r="Z9" s="10"/>
      <c r="AA9" s="10"/>
      <c r="AB9" s="10"/>
      <c r="AC9" s="10"/>
      <c r="AD9" s="10"/>
      <c r="AE9" s="10"/>
      <c r="AF9" s="10"/>
      <c r="AG9" s="146">
        <f t="shared" si="3"/>
        <v>4165.3409999999994</v>
      </c>
      <c r="AH9" s="146">
        <f t="shared" si="3"/>
        <v>4414.7460000000001</v>
      </c>
      <c r="AI9" s="146">
        <f t="shared" si="3"/>
        <v>4650.915</v>
      </c>
      <c r="AJ9" s="146">
        <f t="shared" si="3"/>
        <v>4904.3349999999991</v>
      </c>
      <c r="AK9" s="146">
        <f t="shared" si="3"/>
        <v>5145.0269999999991</v>
      </c>
      <c r="AM9" s="128">
        <f t="shared" si="2"/>
        <v>0.23519947106371353</v>
      </c>
    </row>
    <row r="10" spans="2:39" ht="12.75" customHeight="1">
      <c r="B10" s="9" t="str">
        <f>'Revenue Drivers'!B13</f>
        <v>Domestic DVD Revenue</v>
      </c>
      <c r="C10" s="97">
        <f>('Revenue Drivers'!E13)</f>
        <v>239.381</v>
      </c>
      <c r="D10" s="97">
        <f>('Revenue Drivers'!F13)</f>
        <v>182.34800000000001</v>
      </c>
      <c r="E10" s="97">
        <f>('Revenue Drivers'!G13)</f>
        <v>145.69800000000001</v>
      </c>
      <c r="F10" s="97">
        <f>('Revenue Drivers'!H13)</f>
        <v>82.838999999999999</v>
      </c>
      <c r="G10" s="97">
        <f>('Revenue Drivers'!I13)</f>
        <v>0</v>
      </c>
      <c r="H10" s="10"/>
      <c r="I10" s="97">
        <f>('Revenue Drivers'!K13)</f>
        <v>39.81</v>
      </c>
      <c r="J10" s="97">
        <f>('Revenue Drivers'!L13)</f>
        <v>37.090000000000003</v>
      </c>
      <c r="K10" s="97">
        <f>('Revenue Drivers'!M13)</f>
        <v>35.228000000000002</v>
      </c>
      <c r="L10" s="97">
        <f>('Revenue Drivers'!N13)</f>
        <v>33.569999999999993</v>
      </c>
      <c r="M10" s="97">
        <f>('Revenue Drivers'!O13)</f>
        <v>31.501999999999999</v>
      </c>
      <c r="N10" s="97">
        <f>('Revenue Drivers'!P13)</f>
        <v>28.975000000000001</v>
      </c>
      <c r="O10" s="97">
        <f>('Revenue Drivers'!Q13)</f>
        <v>22.361999999999998</v>
      </c>
      <c r="P10" s="97">
        <f>('Revenue Drivers'!R13)</f>
        <v>0</v>
      </c>
      <c r="Q10" s="97">
        <f>('Revenue Drivers'!S13)</f>
        <v>0</v>
      </c>
      <c r="R10" s="97">
        <f>('Revenue Drivers'!T13)</f>
        <v>0</v>
      </c>
      <c r="S10" s="97">
        <f>('Revenue Drivers'!U13)</f>
        <v>0</v>
      </c>
      <c r="T10" s="97">
        <f>('Revenue Drivers'!V13)</f>
        <v>0</v>
      </c>
      <c r="U10" s="97">
        <f>('Revenue Drivers'!W13)</f>
        <v>0</v>
      </c>
      <c r="V10" s="97">
        <f>('Revenue Drivers'!X13)</f>
        <v>0</v>
      </c>
      <c r="W10" s="97">
        <f>('Revenue Drivers'!Y13)</f>
        <v>0</v>
      </c>
      <c r="X10" s="5"/>
      <c r="Y10" s="10"/>
      <c r="Z10" s="10"/>
      <c r="AA10" s="10"/>
      <c r="AB10" s="10"/>
      <c r="AC10" s="10"/>
      <c r="AD10" s="10"/>
      <c r="AE10" s="10"/>
      <c r="AF10" s="10"/>
      <c r="AG10" s="146">
        <f t="shared" ref="AG10" si="4">SUM(P10:S10)</f>
        <v>0</v>
      </c>
      <c r="AH10" s="146">
        <f t="shared" ref="AH10" si="5">SUM(Q10:T10)</f>
        <v>0</v>
      </c>
      <c r="AI10" s="146">
        <f t="shared" ref="AI10" si="6">SUM(R10:U10)</f>
        <v>0</v>
      </c>
      <c r="AJ10" s="146">
        <f t="shared" ref="AJ10" si="7">SUM(S10:V10)</f>
        <v>0</v>
      </c>
      <c r="AK10" s="146">
        <f t="shared" ref="AK10" si="8">SUM(T10:W10)</f>
        <v>0</v>
      </c>
      <c r="AM10" s="128" t="e">
        <f t="shared" si="2"/>
        <v>#DIV/0!</v>
      </c>
    </row>
    <row r="11" spans="2:39" ht="12.75" customHeight="1">
      <c r="B11" s="13" t="s">
        <v>12</v>
      </c>
      <c r="C11" s="14">
        <f>SUM(C6:C10)</f>
        <v>24996.056</v>
      </c>
      <c r="D11" s="14">
        <f t="shared" ref="D11:G11" si="9">SUM(D6:D10)</f>
        <v>29697.844000000001</v>
      </c>
      <c r="E11" s="14">
        <f t="shared" si="9"/>
        <v>31615.550000000003</v>
      </c>
      <c r="F11" s="14">
        <f t="shared" si="9"/>
        <v>33723.296999999999</v>
      </c>
      <c r="G11" s="14">
        <f t="shared" si="9"/>
        <v>39000.966</v>
      </c>
      <c r="H11" s="10"/>
      <c r="I11" s="14">
        <f t="shared" ref="I11" si="10">SUM(I6:I10)</f>
        <v>7867.7670000000007</v>
      </c>
      <c r="J11" s="14">
        <f t="shared" ref="J11" si="11">SUM(J6:J10)</f>
        <v>7970.1410000000005</v>
      </c>
      <c r="K11" s="14">
        <f t="shared" ref="K11" si="12">SUM(K6:K10)</f>
        <v>7925.5889999999999</v>
      </c>
      <c r="L11" s="14">
        <f t="shared" ref="L11" si="13">SUM(L6:L10)</f>
        <v>7852.0529999999962</v>
      </c>
      <c r="M11" s="14">
        <f t="shared" ref="M11" si="14">SUM(M6:M10)</f>
        <v>8161.5030000000006</v>
      </c>
      <c r="N11" s="14">
        <f t="shared" ref="N11" si="15">SUM(N6:N10)</f>
        <v>8187.3010000000004</v>
      </c>
      <c r="O11" s="14">
        <f t="shared" ref="O11" si="16">SUM(O6:O10)</f>
        <v>8541.6679999999997</v>
      </c>
      <c r="P11" s="14">
        <f t="shared" ref="P11" si="17">SUM(P6:P10)</f>
        <v>8832.8249999999989</v>
      </c>
      <c r="Q11" s="14">
        <f t="shared" ref="Q11" si="18">SUM(Q6:Q10)</f>
        <v>9370.4399999999987</v>
      </c>
      <c r="R11" s="14">
        <f t="shared" ref="R11" si="19">SUM(R6:R10)</f>
        <v>9559.3100000000013</v>
      </c>
      <c r="S11" s="14">
        <f t="shared" ref="S11" si="20">SUM(S6:S10)</f>
        <v>9824.7029999999995</v>
      </c>
      <c r="T11" s="14">
        <f t="shared" ref="T11" si="21">SUM(T6:T10)</f>
        <v>10246.512999999999</v>
      </c>
      <c r="U11" s="14">
        <f t="shared" ref="U11" si="22">SUM(U6:U10)</f>
        <v>10542.800999999999</v>
      </c>
      <c r="V11" s="14">
        <f t="shared" ref="V11" si="23">SUM(V6:V10)</f>
        <v>11079.166000000001</v>
      </c>
      <c r="W11" s="14">
        <f t="shared" ref="W11" si="24">SUM(W6:W10)</f>
        <v>11510.307000000001</v>
      </c>
      <c r="X11" s="5"/>
      <c r="Y11" s="14">
        <f t="shared" ref="Y11" si="25">SUM(Y6:Y10)</f>
        <v>10489.852000000001</v>
      </c>
      <c r="Z11" s="14">
        <f t="shared" ref="Z11" si="26">SUM(Z6:Z10)</f>
        <v>14084.643</v>
      </c>
      <c r="AA11" s="14">
        <f t="shared" ref="AA11" si="27">SUM(AA6:AA10)</f>
        <v>14342.864</v>
      </c>
      <c r="AB11" s="14">
        <f t="shared" ref="AB11" si="28">SUM(AB6:AB10)</f>
        <v>14404.449000000001</v>
      </c>
      <c r="AC11" s="14">
        <f t="shared" ref="AC11" si="29">SUM(AC6:AC10)</f>
        <v>14538.017</v>
      </c>
      <c r="AD11" s="14">
        <f t="shared" ref="AD11" si="30">SUM(AD6:AD10)</f>
        <v>14873.782999999999</v>
      </c>
      <c r="AE11" s="14">
        <f t="shared" ref="AE11" si="31">SUM(AE6:AE10)</f>
        <v>15489.453000000001</v>
      </c>
      <c r="AF11" s="14">
        <f t="shared" ref="AF11" si="32">SUM(AF6:AF10)</f>
        <v>16185.565000000002</v>
      </c>
      <c r="AG11" s="14">
        <f t="shared" ref="AG11" si="33">SUM(AG6:AG10)</f>
        <v>37587.277999999998</v>
      </c>
      <c r="AH11" s="14">
        <f t="shared" ref="AH11" si="34">SUM(AH6:AH10)</f>
        <v>39000.966</v>
      </c>
      <c r="AI11" s="14">
        <f t="shared" ref="AI11" si="35">SUM(AI6:AI10)</f>
        <v>40173.326999999997</v>
      </c>
      <c r="AJ11" s="14">
        <f t="shared" ref="AJ11" si="36">SUM(AJ6:AJ10)</f>
        <v>41693.182999999997</v>
      </c>
      <c r="AK11" s="14">
        <f t="shared" ref="AK11" si="37">SUM(AK6:AK10)</f>
        <v>43378.786999999997</v>
      </c>
      <c r="AM11" s="129">
        <f t="shared" si="2"/>
        <v>0.15408162836372452</v>
      </c>
    </row>
    <row r="12" spans="2:39" ht="12.75" customHeight="1">
      <c r="B12" s="16" t="s">
        <v>34</v>
      </c>
      <c r="C12" s="217"/>
      <c r="D12" s="17">
        <f>SUM(D11/C11)-1</f>
        <v>0.18810119484449861</v>
      </c>
      <c r="E12" s="17">
        <f>SUM(E11/D11)-1</f>
        <v>6.4573913176997122E-2</v>
      </c>
      <c r="F12" s="17">
        <f>SUM(F11/E11)-1</f>
        <v>6.6668047843545297E-2</v>
      </c>
      <c r="G12" s="17">
        <f>SUM(G11/F11)-1</f>
        <v>0.15649919994477424</v>
      </c>
      <c r="H12" s="11"/>
      <c r="I12" s="217"/>
      <c r="J12" s="217"/>
      <c r="K12" s="217"/>
      <c r="L12" s="217"/>
      <c r="M12" s="17">
        <f>SUM(M11/I11)-1</f>
        <v>3.7334100005757653E-2</v>
      </c>
      <c r="N12" s="17">
        <f t="shared" ref="N12:W12" si="38">SUM(N11/J11)-1</f>
        <v>2.7246694882813172E-2</v>
      </c>
      <c r="O12" s="17">
        <f t="shared" si="38"/>
        <v>7.773289783257753E-2</v>
      </c>
      <c r="P12" s="17">
        <f t="shared" si="38"/>
        <v>0.12490644166563869</v>
      </c>
      <c r="Q12" s="17">
        <f t="shared" si="38"/>
        <v>0.14812676047536799</v>
      </c>
      <c r="R12" s="17">
        <f t="shared" si="38"/>
        <v>0.16757769135396394</v>
      </c>
      <c r="S12" s="17">
        <f t="shared" si="38"/>
        <v>0.15020895216250496</v>
      </c>
      <c r="T12" s="17">
        <f t="shared" si="38"/>
        <v>0.16004936133117087</v>
      </c>
      <c r="U12" s="17">
        <f t="shared" si="38"/>
        <v>0.12511269481475806</v>
      </c>
      <c r="V12" s="17">
        <f t="shared" si="38"/>
        <v>0.15899222851858541</v>
      </c>
      <c r="W12" s="17">
        <f t="shared" si="38"/>
        <v>0.17156793442000251</v>
      </c>
      <c r="X12" s="5"/>
      <c r="Y12" s="117"/>
      <c r="Z12" s="117"/>
      <c r="AA12" s="117"/>
      <c r="AB12" s="117"/>
      <c r="AC12" s="17">
        <f t="shared" ref="AC12:AK12" si="39">SUM(AC11/Y11)-1</f>
        <v>0.38591249905146419</v>
      </c>
      <c r="AD12" s="17">
        <f t="shared" si="39"/>
        <v>5.6028399157862951E-2</v>
      </c>
      <c r="AE12" s="17">
        <f t="shared" si="39"/>
        <v>7.9941425924417997E-2</v>
      </c>
      <c r="AF12" s="17">
        <f t="shared" si="39"/>
        <v>0.12365040828705087</v>
      </c>
      <c r="AG12" s="17">
        <f t="shared" si="39"/>
        <v>1.5854473825419242</v>
      </c>
      <c r="AH12" s="17">
        <f t="shared" si="39"/>
        <v>1.6221282104223249</v>
      </c>
      <c r="AI12" s="17">
        <f t="shared" si="39"/>
        <v>1.5935923624933683</v>
      </c>
      <c r="AJ12" s="17">
        <f t="shared" si="39"/>
        <v>1.5759485689872421</v>
      </c>
      <c r="AK12" s="17">
        <f t="shared" si="39"/>
        <v>0.15408162836372452</v>
      </c>
      <c r="AM12" s="130">
        <f>SUM(AK12-AG12)*10000</f>
        <v>-14313.657541781997</v>
      </c>
    </row>
    <row r="13" spans="2:39" ht="12.75" customHeight="1">
      <c r="B13" s="16" t="s">
        <v>35</v>
      </c>
      <c r="C13" s="17" t="s">
        <v>36</v>
      </c>
      <c r="D13" s="17" t="s">
        <v>36</v>
      </c>
      <c r="E13" s="17" t="s">
        <v>36</v>
      </c>
      <c r="F13" s="17" t="s">
        <v>36</v>
      </c>
      <c r="G13" s="17" t="s">
        <v>36</v>
      </c>
      <c r="H13" s="11"/>
      <c r="I13" s="217"/>
      <c r="J13" s="17">
        <f>SUM(J11/I11)-1</f>
        <v>1.3011824066472721E-2</v>
      </c>
      <c r="K13" s="17">
        <f t="shared" ref="K13:W13" si="40">SUM(K11/J11)-1</f>
        <v>-5.5898634666564639E-3</v>
      </c>
      <c r="L13" s="17">
        <f t="shared" si="40"/>
        <v>-9.278300956560237E-3</v>
      </c>
      <c r="M13" s="17">
        <f t="shared" si="40"/>
        <v>3.9410075301326231E-2</v>
      </c>
      <c r="N13" s="17">
        <f t="shared" si="40"/>
        <v>3.1609373910663763E-3</v>
      </c>
      <c r="O13" s="17">
        <f t="shared" si="40"/>
        <v>4.3282517645314211E-2</v>
      </c>
      <c r="P13" s="17">
        <f t="shared" si="40"/>
        <v>3.4086667849885899E-2</v>
      </c>
      <c r="Q13" s="17">
        <f t="shared" si="40"/>
        <v>6.0865578113457497E-2</v>
      </c>
      <c r="R13" s="17">
        <f t="shared" si="40"/>
        <v>2.0155937181178585E-2</v>
      </c>
      <c r="S13" s="17">
        <f t="shared" si="40"/>
        <v>2.7762777857397447E-2</v>
      </c>
      <c r="T13" s="17">
        <f t="shared" si="40"/>
        <v>4.293361336215451E-2</v>
      </c>
      <c r="U13" s="17">
        <f t="shared" si="40"/>
        <v>2.8915983417968638E-2</v>
      </c>
      <c r="V13" s="17">
        <f t="shared" si="40"/>
        <v>5.0874999917005059E-2</v>
      </c>
      <c r="W13" s="17">
        <f t="shared" si="40"/>
        <v>3.8914571728593916E-2</v>
      </c>
      <c r="X13" s="5"/>
      <c r="Y13" s="17" t="s">
        <v>36</v>
      </c>
      <c r="Z13" s="17" t="s">
        <v>36</v>
      </c>
      <c r="AA13" s="17" t="s">
        <v>36</v>
      </c>
      <c r="AB13" s="17" t="s">
        <v>36</v>
      </c>
      <c r="AC13" s="17" t="s">
        <v>36</v>
      </c>
      <c r="AD13" s="17" t="s">
        <v>36</v>
      </c>
      <c r="AE13" s="17" t="s">
        <v>36</v>
      </c>
      <c r="AF13" s="17" t="s">
        <v>36</v>
      </c>
      <c r="AG13" s="17" t="s">
        <v>36</v>
      </c>
      <c r="AH13" s="17" t="s">
        <v>36</v>
      </c>
      <c r="AI13" s="17" t="s">
        <v>36</v>
      </c>
      <c r="AJ13" s="17" t="s">
        <v>36</v>
      </c>
      <c r="AK13" s="17" t="s">
        <v>36</v>
      </c>
      <c r="AM13" s="127"/>
    </row>
    <row r="14" spans="2:39" ht="5.0999999999999996" customHeight="1">
      <c r="B14" s="18"/>
      <c r="C14" s="97"/>
      <c r="D14" s="19"/>
      <c r="E14" s="19"/>
      <c r="F14" s="19"/>
      <c r="G14" s="19"/>
      <c r="H14" s="20"/>
      <c r="I14" s="21"/>
      <c r="J14" s="21"/>
      <c r="K14" s="21"/>
      <c r="L14" s="22"/>
      <c r="M14" s="21"/>
      <c r="N14" s="21"/>
      <c r="O14" s="21"/>
      <c r="P14" s="22"/>
      <c r="Q14" s="21"/>
      <c r="R14" s="21"/>
      <c r="S14" s="21"/>
      <c r="T14" s="21"/>
      <c r="U14" s="21"/>
      <c r="V14" s="21"/>
      <c r="W14" s="21"/>
      <c r="X14" s="20"/>
      <c r="Y14" s="20"/>
      <c r="Z14" s="20"/>
      <c r="AA14" s="20"/>
      <c r="AB14" s="20"/>
      <c r="AC14" s="20"/>
      <c r="AD14" s="20"/>
      <c r="AE14" s="20"/>
      <c r="AF14" s="20"/>
      <c r="AG14" s="20"/>
      <c r="AH14" s="20"/>
      <c r="AI14" s="20"/>
      <c r="AJ14" s="20"/>
      <c r="AK14" s="20"/>
      <c r="AM14" s="127"/>
    </row>
    <row r="15" spans="2:39" ht="12.75" customHeight="1">
      <c r="B15" s="23" t="s">
        <v>171</v>
      </c>
      <c r="C15" s="97">
        <f>('Historical Financials'!E13)</f>
        <v>-10806.912</v>
      </c>
      <c r="D15" s="97">
        <f>('Historical Financials'!F13)</f>
        <v>-12230.367</v>
      </c>
      <c r="E15" s="97">
        <f>('Historical Financials'!G13)</f>
        <v>-14026.132</v>
      </c>
      <c r="F15" s="97">
        <f>('Historical Financials'!H13)</f>
        <v>-14197.437</v>
      </c>
      <c r="G15" s="97">
        <f>('Historical Financials'!I13)</f>
        <v>-15301.517</v>
      </c>
      <c r="H15" s="10"/>
      <c r="I15" s="97">
        <f>('Historical Financials'!O13)</f>
        <v>-3166.3649999999998</v>
      </c>
      <c r="J15" s="97">
        <f>('Historical Financials'!P13)</f>
        <v>-3261.348</v>
      </c>
      <c r="K15" s="97">
        <f>('Historical Financials'!Q13)</f>
        <v>-3653.5920000000001</v>
      </c>
      <c r="L15" s="97">
        <f>('Historical Financials'!R13)</f>
        <v>-3944.8269999999993</v>
      </c>
      <c r="M15" s="97">
        <f>('Historical Financials'!S13)</f>
        <v>-3459.9839999999999</v>
      </c>
      <c r="N15" s="97">
        <f>('Historical Financials'!T13)</f>
        <v>-3410.0210000000002</v>
      </c>
      <c r="O15" s="97">
        <f>('Historical Financials'!U13)</f>
        <v>-3573.3530000000001</v>
      </c>
      <c r="P15" s="97">
        <f>('Historical Financials'!V13)</f>
        <v>-3754.0789999999997</v>
      </c>
      <c r="Q15" s="97">
        <f>('Historical Financials'!W13)</f>
        <v>-3670.8049999999998</v>
      </c>
      <c r="R15" s="97">
        <f>('Historical Financials'!X13)</f>
        <v>-3769.69</v>
      </c>
      <c r="S15" s="97">
        <f>('Historical Financials'!Y13)</f>
        <v>-3699.5210000000002</v>
      </c>
      <c r="T15" s="97">
        <f>('Historical Financials'!Z13)</f>
        <v>-4161.5010000000002</v>
      </c>
      <c r="U15" s="97">
        <f>('Historical Financials'!AA13)</f>
        <v>-3823.1120000000001</v>
      </c>
      <c r="V15" s="97">
        <f>('Historical Financials'!AB13)</f>
        <v>-3832.0740000000001</v>
      </c>
      <c r="W15" s="97">
        <f>('Historical Financials'!AC13)</f>
        <v>-4002.7440000000001</v>
      </c>
      <c r="X15" s="5"/>
      <c r="Y15" s="10">
        <f t="shared" ref="Y15:AK15" si="41">SUM(H15:K15)</f>
        <v>-10081.305</v>
      </c>
      <c r="Z15" s="10">
        <f t="shared" si="41"/>
        <v>-14026.132</v>
      </c>
      <c r="AA15" s="10">
        <f t="shared" si="41"/>
        <v>-14319.751</v>
      </c>
      <c r="AB15" s="10">
        <f t="shared" si="41"/>
        <v>-14468.424000000001</v>
      </c>
      <c r="AC15" s="10">
        <f t="shared" si="41"/>
        <v>-14388.185000000001</v>
      </c>
      <c r="AD15" s="10">
        <f t="shared" si="41"/>
        <v>-14197.437</v>
      </c>
      <c r="AE15" s="10">
        <f t="shared" si="41"/>
        <v>-14408.258</v>
      </c>
      <c r="AF15" s="10">
        <f t="shared" si="41"/>
        <v>-14767.927</v>
      </c>
      <c r="AG15" s="146">
        <f t="shared" si="41"/>
        <v>-14894.095000000001</v>
      </c>
      <c r="AH15" s="146">
        <f t="shared" si="41"/>
        <v>-15301.517</v>
      </c>
      <c r="AI15" s="146">
        <f t="shared" si="41"/>
        <v>-15453.824000000001</v>
      </c>
      <c r="AJ15" s="146">
        <f t="shared" si="41"/>
        <v>-15516.208000000002</v>
      </c>
      <c r="AK15" s="146">
        <f t="shared" si="41"/>
        <v>-15819.431</v>
      </c>
      <c r="AM15" s="128">
        <f>SUM(AK15/AG15)-1</f>
        <v>6.2127709001453146E-2</v>
      </c>
    </row>
    <row r="16" spans="2:39" ht="12.75" customHeight="1">
      <c r="B16" s="23" t="s">
        <v>172</v>
      </c>
      <c r="C16" s="97">
        <f>('Historical Financials'!E14)</f>
        <v>-4469.4069999999992</v>
      </c>
      <c r="D16" s="97">
        <f>('Historical Financials'!F14)</f>
        <v>-5102.3160000000007</v>
      </c>
      <c r="E16" s="97">
        <f>('Historical Financials'!G14)</f>
        <v>-5142.1530000000002</v>
      </c>
      <c r="F16" s="97">
        <f>('Historical Financials'!H14)</f>
        <v>-5517.9309999999987</v>
      </c>
      <c r="G16" s="97">
        <f>('Historical Financials'!I14)</f>
        <v>-5736.9470000000001</v>
      </c>
      <c r="H16" s="10"/>
      <c r="I16" s="97">
        <f>('Historical Financials'!O14)</f>
        <v>-1118.3400000000001</v>
      </c>
      <c r="J16" s="97">
        <f>('Historical Financials'!P14)</f>
        <v>-1429.4070000000002</v>
      </c>
      <c r="K16" s="97">
        <f>('Historical Financials'!Q14)</f>
        <v>-1135.0729999999999</v>
      </c>
      <c r="L16" s="97">
        <f>('Historical Financials'!R14)</f>
        <v>-1459.3330000000005</v>
      </c>
      <c r="M16" s="97">
        <f>('Historical Financials'!S14)</f>
        <v>-1343.6410000000001</v>
      </c>
      <c r="N16" s="97">
        <f>('Historical Financials'!T14)</f>
        <v>-1263.4490000000001</v>
      </c>
      <c r="O16" s="97">
        <f>('Historical Financials'!U14)</f>
        <v>-1357.4349999999995</v>
      </c>
      <c r="P16" s="97">
        <f>('Historical Financials'!V14)</f>
        <v>-1553.4059999999972</v>
      </c>
      <c r="Q16" s="97">
        <f>('Historical Financials'!W14)</f>
        <v>-1306.2680000000005</v>
      </c>
      <c r="R16" s="97">
        <f>('Historical Financials'!X14)</f>
        <v>-1404.453</v>
      </c>
      <c r="S16" s="97">
        <f>('Historical Financials'!Y14)</f>
        <v>-1420.3629999999998</v>
      </c>
      <c r="T16" s="97">
        <f>('Historical Financials'!Z14)</f>
        <v>-1605.8629999999994</v>
      </c>
      <c r="U16" s="97">
        <f>('Historical Financials'!AA14)</f>
        <v>-1440.0349999999999</v>
      </c>
      <c r="V16" s="97">
        <f>('Historical Financials'!AB14)</f>
        <v>-1493.2369999999996</v>
      </c>
      <c r="W16" s="97">
        <f>('Historical Financials'!AC14)</f>
        <v>-2161.5059999999999</v>
      </c>
      <c r="X16" s="5"/>
      <c r="Y16" s="10"/>
      <c r="Z16" s="10"/>
      <c r="AA16" s="10"/>
      <c r="AB16" s="10"/>
      <c r="AC16" s="10"/>
      <c r="AD16" s="10"/>
      <c r="AE16" s="10"/>
      <c r="AF16" s="10"/>
      <c r="AG16" s="146">
        <f t="shared" ref="AG16" si="42">SUM(P16:S16)</f>
        <v>-5684.489999999998</v>
      </c>
      <c r="AH16" s="146">
        <f t="shared" ref="AH16" si="43">SUM(Q16:T16)</f>
        <v>-5736.9470000000001</v>
      </c>
      <c r="AI16" s="146">
        <f t="shared" ref="AI16" si="44">SUM(R16:U16)</f>
        <v>-5870.713999999999</v>
      </c>
      <c r="AJ16" s="146">
        <f t="shared" ref="AJ16" si="45">SUM(S16:V16)</f>
        <v>-5959.4979999999978</v>
      </c>
      <c r="AK16" s="146">
        <f t="shared" ref="AK16" si="46">SUM(T16:W16)</f>
        <v>-6700.6409999999978</v>
      </c>
      <c r="AM16" s="128"/>
    </row>
    <row r="17" spans="2:39" ht="12.75" customHeight="1">
      <c r="B17" s="25" t="s">
        <v>24</v>
      </c>
      <c r="C17" s="26">
        <f>SUM(C11+SUM(C15:C16))</f>
        <v>9719.737000000001</v>
      </c>
      <c r="D17" s="26">
        <f t="shared" ref="D17:G17" si="47">SUM(D11+SUM(D15:D16))</f>
        <v>12365.161</v>
      </c>
      <c r="E17" s="26">
        <f t="shared" si="47"/>
        <v>12447.265000000003</v>
      </c>
      <c r="F17" s="26">
        <f t="shared" si="47"/>
        <v>14007.929</v>
      </c>
      <c r="G17" s="26">
        <f t="shared" si="47"/>
        <v>17962.502</v>
      </c>
      <c r="H17" s="5"/>
      <c r="I17" s="26">
        <f t="shared" ref="I17" si="48">SUM(I11+SUM(I15:I16))</f>
        <v>3583.0620000000008</v>
      </c>
      <c r="J17" s="26">
        <f t="shared" ref="J17" si="49">SUM(J11+SUM(J15:J16))</f>
        <v>3279.3860000000004</v>
      </c>
      <c r="K17" s="26">
        <f t="shared" ref="K17" si="50">SUM(K11+SUM(K15:K16))</f>
        <v>3136.924</v>
      </c>
      <c r="L17" s="26">
        <f t="shared" ref="L17" si="51">SUM(L11+SUM(L15:L16))</f>
        <v>2447.8929999999964</v>
      </c>
      <c r="M17" s="26">
        <f t="shared" ref="M17" si="52">SUM(M11+SUM(M15:M16))</f>
        <v>3357.8780000000006</v>
      </c>
      <c r="N17" s="26">
        <f t="shared" ref="N17" si="53">SUM(N11+SUM(N15:N16))</f>
        <v>3513.8310000000001</v>
      </c>
      <c r="O17" s="26">
        <f t="shared" ref="O17" si="54">SUM(O11+SUM(O15:O16))</f>
        <v>3610.88</v>
      </c>
      <c r="P17" s="26">
        <f t="shared" ref="P17" si="55">SUM(P11+SUM(P15:P16))</f>
        <v>3525.340000000002</v>
      </c>
      <c r="Q17" s="26">
        <f t="shared" ref="Q17" si="56">SUM(Q11+SUM(Q15:Q16))</f>
        <v>4393.3669999999984</v>
      </c>
      <c r="R17" s="26">
        <f t="shared" ref="R17" si="57">SUM(R11+SUM(R15:R16))</f>
        <v>4385.1670000000013</v>
      </c>
      <c r="S17" s="26">
        <f t="shared" ref="S17" si="58">SUM(S11+SUM(S15:S16))</f>
        <v>4704.8189999999995</v>
      </c>
      <c r="T17" s="26">
        <f t="shared" ref="T17" si="59">SUM(T11+SUM(T15:T16))</f>
        <v>4479.1489999999994</v>
      </c>
      <c r="U17" s="26">
        <f t="shared" ref="U17" si="60">SUM(U11+SUM(U15:U16))</f>
        <v>5279.6539999999995</v>
      </c>
      <c r="V17" s="26">
        <f t="shared" ref="V17" si="61">SUM(V11+SUM(V15:V16))</f>
        <v>5753.8550000000014</v>
      </c>
      <c r="W17" s="26">
        <f t="shared" ref="W17" si="62">SUM(W11+SUM(W15:W16))</f>
        <v>5346.0570000000007</v>
      </c>
      <c r="X17" s="5"/>
      <c r="Y17" s="26">
        <f t="shared" ref="Y17" si="63">SUM(Y11+SUM(Y15:Y16))</f>
        <v>408.54700000000048</v>
      </c>
      <c r="Z17" s="26">
        <f t="shared" ref="Z17" si="64">SUM(Z11+SUM(Z15:Z16))</f>
        <v>58.511000000000422</v>
      </c>
      <c r="AA17" s="26">
        <f t="shared" ref="AA17" si="65">SUM(AA11+SUM(AA15:AA16))</f>
        <v>23.112999999999374</v>
      </c>
      <c r="AB17" s="26">
        <f t="shared" ref="AB17" si="66">SUM(AB11+SUM(AB15:AB16))</f>
        <v>-63.975000000000364</v>
      </c>
      <c r="AC17" s="26">
        <f t="shared" ref="AC17" si="67">SUM(AC11+SUM(AC15:AC16))</f>
        <v>149.83199999999852</v>
      </c>
      <c r="AD17" s="26">
        <f t="shared" ref="AD17" si="68">SUM(AD11+SUM(AD15:AD16))</f>
        <v>676.34599999999955</v>
      </c>
      <c r="AE17" s="26">
        <f t="shared" ref="AE17" si="69">SUM(AE11+SUM(AE15:AE16))</f>
        <v>1081.1950000000015</v>
      </c>
      <c r="AF17" s="26">
        <f t="shared" ref="AF17" si="70">SUM(AF11+SUM(AF15:AF16))</f>
        <v>1417.6380000000026</v>
      </c>
      <c r="AG17" s="26">
        <f t="shared" ref="AG17" si="71">SUM(AG11+SUM(AG15:AG16))</f>
        <v>17008.692999999999</v>
      </c>
      <c r="AH17" s="26">
        <f t="shared" ref="AH17" si="72">SUM(AH11+SUM(AH15:AH16))</f>
        <v>17962.502</v>
      </c>
      <c r="AI17" s="26">
        <f t="shared" ref="AI17" si="73">SUM(AI11+SUM(AI15:AI16))</f>
        <v>18848.788999999997</v>
      </c>
      <c r="AJ17" s="26">
        <f t="shared" ref="AJ17" si="74">SUM(AJ11+SUM(AJ15:AJ16))</f>
        <v>20217.476999999999</v>
      </c>
      <c r="AK17" s="26">
        <f t="shared" ref="AK17" si="75">SUM(AK11+SUM(AK15:AK16))</f>
        <v>20858.714999999997</v>
      </c>
      <c r="AM17" s="129">
        <f>SUM(AK17/AG17)-1</f>
        <v>0.22635613447782243</v>
      </c>
    </row>
    <row r="18" spans="2:39" ht="12.75" customHeight="1">
      <c r="B18" s="16" t="s">
        <v>37</v>
      </c>
      <c r="C18" s="17">
        <f>C17/C11</f>
        <v>0.38885082510616881</v>
      </c>
      <c r="D18" s="17">
        <f>D17/D11</f>
        <v>0.41636561226464791</v>
      </c>
      <c r="E18" s="17">
        <f>E17/E11</f>
        <v>0.39370705238403259</v>
      </c>
      <c r="F18" s="17">
        <f>F17/F11</f>
        <v>0.41537839553469524</v>
      </c>
      <c r="G18" s="17">
        <f>G17/G11</f>
        <v>0.46056556650417324</v>
      </c>
      <c r="H18" s="27"/>
      <c r="I18" s="17">
        <f t="shared" ref="I18:V18" si="76">I17/I11</f>
        <v>0.45541028350229495</v>
      </c>
      <c r="J18" s="17">
        <f t="shared" si="76"/>
        <v>0.41145896917005609</v>
      </c>
      <c r="K18" s="17">
        <f t="shared" si="76"/>
        <v>0.39579695591078468</v>
      </c>
      <c r="L18" s="17">
        <f t="shared" si="76"/>
        <v>0.31175197110870206</v>
      </c>
      <c r="M18" s="17">
        <f t="shared" si="76"/>
        <v>0.41142887529417072</v>
      </c>
      <c r="N18" s="17">
        <f t="shared" si="76"/>
        <v>0.42918062985591954</v>
      </c>
      <c r="O18" s="17">
        <f t="shared" si="76"/>
        <v>0.42273710474347637</v>
      </c>
      <c r="P18" s="17">
        <f t="shared" si="76"/>
        <v>0.39911806245453774</v>
      </c>
      <c r="Q18" s="17">
        <f t="shared" si="76"/>
        <v>0.46885386385271116</v>
      </c>
      <c r="R18" s="17">
        <f t="shared" si="76"/>
        <v>0.45873258634775949</v>
      </c>
      <c r="S18" s="17">
        <f t="shared" si="76"/>
        <v>0.47887646069301021</v>
      </c>
      <c r="T18" s="17">
        <f t="shared" si="76"/>
        <v>0.43713885884885911</v>
      </c>
      <c r="U18" s="17">
        <f t="shared" si="76"/>
        <v>0.50078285647239285</v>
      </c>
      <c r="V18" s="17">
        <f t="shared" si="76"/>
        <v>0.51934008390162223</v>
      </c>
      <c r="W18" s="17">
        <f>W17/W11</f>
        <v>0.4644582459877048</v>
      </c>
      <c r="X18" s="28"/>
      <c r="Y18" s="17">
        <f t="shared" ref="Y18:AI18" si="77">Y17/Y11</f>
        <v>3.894687932680084E-2</v>
      </c>
      <c r="Z18" s="17">
        <f t="shared" si="77"/>
        <v>4.1542408991126307E-3</v>
      </c>
      <c r="AA18" s="17">
        <f t="shared" si="77"/>
        <v>1.6114633730055152E-3</v>
      </c>
      <c r="AB18" s="17">
        <f t="shared" si="77"/>
        <v>-4.4413361455200653E-3</v>
      </c>
      <c r="AC18" s="17">
        <f t="shared" si="77"/>
        <v>1.0306219892300203E-2</v>
      </c>
      <c r="AD18" s="17">
        <f t="shared" si="77"/>
        <v>4.5472358982244096E-2</v>
      </c>
      <c r="AE18" s="17">
        <f t="shared" si="77"/>
        <v>6.9802013021376633E-2</v>
      </c>
      <c r="AF18" s="17">
        <f t="shared" si="77"/>
        <v>8.7586562470942625E-2</v>
      </c>
      <c r="AG18" s="17">
        <f t="shared" si="77"/>
        <v>0.45251196428749113</v>
      </c>
      <c r="AH18" s="17">
        <f t="shared" si="77"/>
        <v>0.46056556650417324</v>
      </c>
      <c r="AI18" s="17">
        <f t="shared" si="77"/>
        <v>0.46918665710708995</v>
      </c>
      <c r="AJ18" s="17">
        <f>AJ17/AJ11</f>
        <v>0.48491085461141215</v>
      </c>
      <c r="AK18" s="17">
        <f>AK17/AK11</f>
        <v>0.48085058256700441</v>
      </c>
      <c r="AM18" s="130">
        <f>SUM(AK18-AG18)*10000</f>
        <v>283.38618279513281</v>
      </c>
    </row>
    <row r="19" spans="2:39" ht="5.0999999999999996" customHeight="1">
      <c r="B19" s="29"/>
      <c r="C19" s="30"/>
      <c r="D19" s="30"/>
      <c r="E19" s="30"/>
      <c r="F19" s="30"/>
      <c r="G19" s="30"/>
      <c r="H19" s="30"/>
      <c r="I19" s="30"/>
      <c r="J19" s="30"/>
      <c r="K19" s="30"/>
      <c r="L19" s="30"/>
      <c r="M19" s="30"/>
      <c r="N19" s="30"/>
      <c r="O19" s="30"/>
      <c r="P19" s="30"/>
      <c r="Q19" s="30"/>
      <c r="R19" s="30"/>
      <c r="S19" s="30"/>
      <c r="T19" s="30"/>
      <c r="U19" s="30"/>
      <c r="V19" s="30"/>
      <c r="W19" s="30"/>
      <c r="X19" s="5"/>
      <c r="Y19" s="30"/>
      <c r="Z19" s="30"/>
      <c r="AA19" s="30"/>
      <c r="AB19" s="30"/>
      <c r="AC19" s="30"/>
      <c r="AD19" s="30"/>
      <c r="AE19" s="30"/>
      <c r="AF19" s="30"/>
      <c r="AG19" s="30"/>
      <c r="AH19" s="30"/>
      <c r="AI19" s="30"/>
      <c r="AJ19" s="30"/>
      <c r="AK19" s="30"/>
      <c r="AM19" s="127"/>
    </row>
    <row r="20" spans="2:39" ht="12.75" customHeight="1">
      <c r="B20" s="23" t="s">
        <v>173</v>
      </c>
      <c r="C20" s="145">
        <f>('Historical Financials'!E19)</f>
        <v>-2228.3620000000001</v>
      </c>
      <c r="D20" s="145">
        <f>('Historical Financials'!F19)</f>
        <v>-2545.1460000000002</v>
      </c>
      <c r="E20" s="145">
        <f>('Historical Financials'!G19)</f>
        <v>-2530.502</v>
      </c>
      <c r="F20" s="145">
        <f>('Historical Financials'!H19)</f>
        <v>-2657.8829999999998</v>
      </c>
      <c r="G20" s="145">
        <f>('Historical Financials'!I19)</f>
        <v>-2917.5540000000001</v>
      </c>
      <c r="H20" s="97"/>
      <c r="I20" s="145">
        <f>('Historical Financials'!O19)</f>
        <v>-555.97799999999995</v>
      </c>
      <c r="J20" s="145">
        <f>('Historical Financials'!P19)</f>
        <v>-574.96</v>
      </c>
      <c r="K20" s="145">
        <f>('Historical Financials'!Q19)</f>
        <v>-567.95399999999995</v>
      </c>
      <c r="L20" s="145">
        <f>('Historical Financials'!R19)</f>
        <v>-831.6099999999999</v>
      </c>
      <c r="M20" s="145">
        <f>('Historical Financials'!S19)</f>
        <v>-555.36199999999997</v>
      </c>
      <c r="N20" s="145">
        <f>('Historical Financials'!T19)</f>
        <v>-627.16800000000001</v>
      </c>
      <c r="O20" s="145">
        <f>('Historical Financials'!U19)</f>
        <v>-558.73599999999999</v>
      </c>
      <c r="P20" s="145">
        <f>('Historical Financials'!V19)</f>
        <v>-916.61699999999973</v>
      </c>
      <c r="Q20" s="145">
        <f>('Historical Financials'!W19)</f>
        <v>-654.34</v>
      </c>
      <c r="R20" s="145">
        <f>('Historical Financials'!X19)</f>
        <v>-644.08399999999995</v>
      </c>
      <c r="S20" s="145">
        <f>('Historical Financials'!Y19)</f>
        <v>-642.92600000000004</v>
      </c>
      <c r="T20" s="145">
        <f>('Historical Financials'!Z19)</f>
        <v>-976.20400000000018</v>
      </c>
      <c r="U20" s="145">
        <f>('Historical Financials'!AA19)</f>
        <v>-688.37</v>
      </c>
      <c r="V20" s="145">
        <f>('Historical Financials'!AB19)</f>
        <v>-713.26499999999999</v>
      </c>
      <c r="W20" s="145">
        <f>('Historical Financials'!AC19)</f>
        <v>-786.29499999999996</v>
      </c>
      <c r="X20" s="5"/>
      <c r="Y20" s="10">
        <f t="shared" ref="Y20:AK22" si="78">SUM(H20:K20)</f>
        <v>-1698.8920000000001</v>
      </c>
      <c r="Z20" s="10">
        <f t="shared" si="78"/>
        <v>-2530.502</v>
      </c>
      <c r="AA20" s="10">
        <f t="shared" si="78"/>
        <v>-2529.886</v>
      </c>
      <c r="AB20" s="10">
        <f t="shared" si="78"/>
        <v>-2582.0940000000001</v>
      </c>
      <c r="AC20" s="10">
        <f t="shared" si="78"/>
        <v>-2572.8759999999997</v>
      </c>
      <c r="AD20" s="10">
        <f t="shared" si="78"/>
        <v>-2657.8829999999998</v>
      </c>
      <c r="AE20" s="10">
        <f t="shared" si="78"/>
        <v>-2756.8609999999999</v>
      </c>
      <c r="AF20" s="10">
        <f t="shared" si="78"/>
        <v>-2773.7769999999996</v>
      </c>
      <c r="AG20" s="146">
        <f t="shared" si="78"/>
        <v>-2857.9669999999996</v>
      </c>
      <c r="AH20" s="146">
        <f t="shared" si="78"/>
        <v>-2917.5540000000001</v>
      </c>
      <c r="AI20" s="146">
        <f t="shared" si="78"/>
        <v>-2951.5839999999998</v>
      </c>
      <c r="AJ20" s="146">
        <f t="shared" si="78"/>
        <v>-3020.7649999999999</v>
      </c>
      <c r="AK20" s="146">
        <f t="shared" si="78"/>
        <v>-3164.134</v>
      </c>
      <c r="AM20" s="128">
        <f>SUM(AK20/AG20)-1</f>
        <v>0.10712754905847421</v>
      </c>
    </row>
    <row r="21" spans="2:39" ht="12.75" customHeight="1">
      <c r="B21" s="23" t="s">
        <v>174</v>
      </c>
      <c r="C21" s="145">
        <f>('Historical Financials'!E20)</f>
        <v>-1829.6</v>
      </c>
      <c r="D21" s="145">
        <f>('Historical Financials'!F20)</f>
        <v>-2273.8850000000002</v>
      </c>
      <c r="E21" s="145">
        <f>('Historical Financials'!G20)</f>
        <v>-2711.0410000000002</v>
      </c>
      <c r="F21" s="145">
        <f>('Historical Financials'!H20)</f>
        <v>-2675.7579999999998</v>
      </c>
      <c r="G21" s="145">
        <f>('Historical Financials'!I20)</f>
        <v>-2925.2950000000001</v>
      </c>
      <c r="H21" s="97"/>
      <c r="I21" s="145">
        <f>('Historical Financials'!O20)</f>
        <v>-657.53</v>
      </c>
      <c r="J21" s="145">
        <f>('Historical Financials'!P20)</f>
        <v>-716.846</v>
      </c>
      <c r="K21" s="145">
        <f>('Historical Financials'!Q20)</f>
        <v>-662.73900000000003</v>
      </c>
      <c r="L21" s="145">
        <f>('Historical Financials'!R20)</f>
        <v>-673.92600000000016</v>
      </c>
      <c r="M21" s="145">
        <f>('Historical Financials'!S20)</f>
        <v>-687.27499999999998</v>
      </c>
      <c r="N21" s="145">
        <f>('Historical Financials'!T20)</f>
        <v>-657.98299999999995</v>
      </c>
      <c r="O21" s="145">
        <f>('Historical Financials'!U20)</f>
        <v>-657.15899999999999</v>
      </c>
      <c r="P21" s="145">
        <f>('Historical Financials'!V20)</f>
        <v>-673.34099999999989</v>
      </c>
      <c r="Q21" s="145">
        <f>('Historical Financials'!W20)</f>
        <v>-702.47299999999996</v>
      </c>
      <c r="R21" s="145">
        <f>('Historical Financials'!X20)</f>
        <v>-711.25400000000002</v>
      </c>
      <c r="S21" s="145">
        <f>('Historical Financials'!Y20)</f>
        <v>-735.06299999999999</v>
      </c>
      <c r="T21" s="145">
        <f>('Historical Financials'!Z20)</f>
        <v>-776.50500000000011</v>
      </c>
      <c r="U21" s="145">
        <f>('Historical Financials'!AA20)</f>
        <v>-822.82299999999998</v>
      </c>
      <c r="V21" s="145">
        <f>('Historical Financials'!AB20)</f>
        <v>-824.68299999999999</v>
      </c>
      <c r="W21" s="145">
        <f>('Historical Financials'!AC20)</f>
        <v>-853.58399999999995</v>
      </c>
      <c r="X21" s="5"/>
      <c r="Y21" s="10">
        <f t="shared" si="78"/>
        <v>-2037.115</v>
      </c>
      <c r="Z21" s="10">
        <f t="shared" si="78"/>
        <v>-2711.0410000000002</v>
      </c>
      <c r="AA21" s="10">
        <f t="shared" si="78"/>
        <v>-2740.7860000000005</v>
      </c>
      <c r="AB21" s="10">
        <f t="shared" si="78"/>
        <v>-2681.9229999999998</v>
      </c>
      <c r="AC21" s="10">
        <f t="shared" si="78"/>
        <v>-2676.3429999999998</v>
      </c>
      <c r="AD21" s="10">
        <f t="shared" si="78"/>
        <v>-2675.7579999999998</v>
      </c>
      <c r="AE21" s="10">
        <f t="shared" si="78"/>
        <v>-2690.9559999999997</v>
      </c>
      <c r="AF21" s="10">
        <f t="shared" si="78"/>
        <v>-2744.2269999999999</v>
      </c>
      <c r="AG21" s="146">
        <f t="shared" si="78"/>
        <v>-2822.1309999999999</v>
      </c>
      <c r="AH21" s="146">
        <f t="shared" si="78"/>
        <v>-2925.2950000000001</v>
      </c>
      <c r="AI21" s="146">
        <f t="shared" si="78"/>
        <v>-3045.645</v>
      </c>
      <c r="AJ21" s="146">
        <f t="shared" si="78"/>
        <v>-3159.0740000000001</v>
      </c>
      <c r="AK21" s="146">
        <f t="shared" si="78"/>
        <v>-3277.5949999999998</v>
      </c>
      <c r="AM21" s="128">
        <f>SUM(AK21/AG21)-1</f>
        <v>0.16139009847523034</v>
      </c>
    </row>
    <row r="22" spans="2:39" ht="12.75" customHeight="1">
      <c r="B22" s="23" t="s">
        <v>118</v>
      </c>
      <c r="C22" s="145">
        <f>('Historical Financials'!E21)</f>
        <v>-1076.4860000000001</v>
      </c>
      <c r="D22" s="145">
        <f>('Historical Financials'!F21)</f>
        <v>-1351.6210000000001</v>
      </c>
      <c r="E22" s="145">
        <f>('Historical Financials'!G21)</f>
        <v>-1572.8910000000001</v>
      </c>
      <c r="F22" s="145">
        <f>('Historical Financials'!H21)</f>
        <v>-1720.2850000000001</v>
      </c>
      <c r="G22" s="145">
        <f>('Historical Financials'!I21)</f>
        <v>-1702.039</v>
      </c>
      <c r="H22" s="97"/>
      <c r="I22" s="145">
        <f>('Historical Financials'!O21)</f>
        <v>-397.928</v>
      </c>
      <c r="J22" s="145">
        <f>('Historical Financials'!P21)</f>
        <v>-409.29700000000003</v>
      </c>
      <c r="K22" s="145">
        <f>('Historical Financials'!Q21)</f>
        <v>-373.21300000000002</v>
      </c>
      <c r="L22" s="145">
        <f>('Historical Financials'!R21)</f>
        <v>-392.45299999999997</v>
      </c>
      <c r="M22" s="145">
        <f>('Historical Financials'!S21)</f>
        <v>-400.92399999999998</v>
      </c>
      <c r="N22" s="145">
        <f>('Historical Financials'!T21)</f>
        <v>-401.49700000000001</v>
      </c>
      <c r="O22" s="145">
        <f>('Historical Financials'!U21)</f>
        <v>-478.59100000000001</v>
      </c>
      <c r="P22" s="145">
        <f>('Historical Financials'!V21)</f>
        <v>-439.27299999999991</v>
      </c>
      <c r="Q22" s="145">
        <f>('Historical Financials'!W21)</f>
        <v>-404.02</v>
      </c>
      <c r="R22" s="145">
        <f>('Historical Financials'!X21)</f>
        <v>-426.99200000000002</v>
      </c>
      <c r="S22" s="145">
        <f>('Historical Financials'!Y21)</f>
        <v>-417.35300000000001</v>
      </c>
      <c r="T22" s="145">
        <f>('Historical Financials'!Z21)</f>
        <v>-453.67399999999998</v>
      </c>
      <c r="U22" s="145">
        <f>('Historical Financials'!AA21)</f>
        <v>-421.46199999999999</v>
      </c>
      <c r="V22" s="145">
        <f>('Historical Financials'!AB21)</f>
        <v>-441.21300000000002</v>
      </c>
      <c r="W22" s="145">
        <f>('Historical Financials'!AC21)</f>
        <v>-457.93099999999998</v>
      </c>
      <c r="X22" s="5"/>
      <c r="Y22" s="10">
        <f t="shared" si="78"/>
        <v>-1180.4380000000001</v>
      </c>
      <c r="Z22" s="10">
        <f t="shared" si="78"/>
        <v>-1572.8910000000001</v>
      </c>
      <c r="AA22" s="10">
        <f t="shared" si="78"/>
        <v>-1575.8869999999999</v>
      </c>
      <c r="AB22" s="10">
        <f t="shared" si="78"/>
        <v>-1568.087</v>
      </c>
      <c r="AC22" s="10">
        <f t="shared" si="78"/>
        <v>-1673.4650000000001</v>
      </c>
      <c r="AD22" s="10">
        <f t="shared" si="78"/>
        <v>-1720.2850000000001</v>
      </c>
      <c r="AE22" s="10">
        <f t="shared" si="78"/>
        <v>-1723.3809999999999</v>
      </c>
      <c r="AF22" s="10">
        <f t="shared" si="78"/>
        <v>-1748.876</v>
      </c>
      <c r="AG22" s="146">
        <f t="shared" si="78"/>
        <v>-1687.6379999999999</v>
      </c>
      <c r="AH22" s="146">
        <f t="shared" si="78"/>
        <v>-1702.039</v>
      </c>
      <c r="AI22" s="146">
        <f t="shared" si="78"/>
        <v>-1719.481</v>
      </c>
      <c r="AJ22" s="146">
        <f t="shared" si="78"/>
        <v>-1733.702</v>
      </c>
      <c r="AK22" s="146">
        <f t="shared" si="78"/>
        <v>-1774.28</v>
      </c>
      <c r="AM22" s="128">
        <f>SUM(AK22/AG22)-1</f>
        <v>5.1339209000982544E-2</v>
      </c>
    </row>
    <row r="23" spans="2:39" ht="12.75" customHeight="1">
      <c r="B23" s="13" t="s">
        <v>38</v>
      </c>
      <c r="C23" s="14">
        <f>SUM(C17+SUM(C20:C22))</f>
        <v>4585.2890000000007</v>
      </c>
      <c r="D23" s="14">
        <f>SUM(D17+SUM(D20:D22))</f>
        <v>6194.5089999999991</v>
      </c>
      <c r="E23" s="14">
        <f>SUM(E17+SUM(E20:E22))</f>
        <v>5632.8310000000038</v>
      </c>
      <c r="F23" s="14">
        <f>SUM(F17+SUM(F20:F22))</f>
        <v>6954.0030000000006</v>
      </c>
      <c r="G23" s="14">
        <f>SUM(G17+SUM(G20:G22))</f>
        <v>10417.614000000001</v>
      </c>
      <c r="H23" s="11"/>
      <c r="I23" s="14">
        <f t="shared" ref="I23:W23" si="79">SUM(I17+SUM(I20:I22))</f>
        <v>1971.6260000000011</v>
      </c>
      <c r="J23" s="14">
        <f t="shared" si="79"/>
        <v>1578.2830000000004</v>
      </c>
      <c r="K23" s="14">
        <f t="shared" si="79"/>
        <v>1533.018</v>
      </c>
      <c r="L23" s="14">
        <f t="shared" si="79"/>
        <v>549.90399999999636</v>
      </c>
      <c r="M23" s="14">
        <f t="shared" si="79"/>
        <v>1714.3170000000007</v>
      </c>
      <c r="N23" s="14">
        <f t="shared" si="79"/>
        <v>1827.1830000000002</v>
      </c>
      <c r="O23" s="14">
        <f t="shared" si="79"/>
        <v>1916.3940000000002</v>
      </c>
      <c r="P23" s="14">
        <f t="shared" si="79"/>
        <v>1496.1090000000024</v>
      </c>
      <c r="Q23" s="14">
        <f t="shared" si="79"/>
        <v>2632.5339999999983</v>
      </c>
      <c r="R23" s="14">
        <f t="shared" si="79"/>
        <v>2602.8370000000014</v>
      </c>
      <c r="S23" s="14">
        <f t="shared" si="79"/>
        <v>2909.4769999999994</v>
      </c>
      <c r="T23" s="14">
        <f t="shared" si="79"/>
        <v>2272.7659999999992</v>
      </c>
      <c r="U23" s="14">
        <f t="shared" si="79"/>
        <v>3346.9989999999998</v>
      </c>
      <c r="V23" s="14">
        <f t="shared" si="79"/>
        <v>3774.6940000000013</v>
      </c>
      <c r="W23" s="14">
        <f t="shared" si="79"/>
        <v>3248.2470000000008</v>
      </c>
      <c r="X23" s="5"/>
      <c r="Y23" s="14">
        <f t="shared" ref="Y23:AK23" si="80">SUM(Y17+SUM(Y20:Y22))</f>
        <v>-4507.8979999999992</v>
      </c>
      <c r="Z23" s="14">
        <f t="shared" si="80"/>
        <v>-6755.9229999999989</v>
      </c>
      <c r="AA23" s="14">
        <f t="shared" si="80"/>
        <v>-6823.4460000000008</v>
      </c>
      <c r="AB23" s="14">
        <f t="shared" si="80"/>
        <v>-6896.0789999999997</v>
      </c>
      <c r="AC23" s="14">
        <f t="shared" si="80"/>
        <v>-6772.8520000000008</v>
      </c>
      <c r="AD23" s="14">
        <f t="shared" si="80"/>
        <v>-6377.58</v>
      </c>
      <c r="AE23" s="14">
        <f t="shared" si="80"/>
        <v>-6090.002999999997</v>
      </c>
      <c r="AF23" s="14">
        <f t="shared" si="80"/>
        <v>-5849.2419999999966</v>
      </c>
      <c r="AG23" s="14">
        <f t="shared" si="80"/>
        <v>9640.9569999999985</v>
      </c>
      <c r="AH23" s="14">
        <f t="shared" si="80"/>
        <v>10417.614000000001</v>
      </c>
      <c r="AI23" s="14">
        <f t="shared" si="80"/>
        <v>11132.078999999998</v>
      </c>
      <c r="AJ23" s="14">
        <f t="shared" si="80"/>
        <v>12303.935999999998</v>
      </c>
      <c r="AK23" s="14">
        <f t="shared" si="80"/>
        <v>12642.705999999996</v>
      </c>
      <c r="AM23" s="129">
        <f>SUM(AK23/AG23)-1</f>
        <v>0.31135384173998482</v>
      </c>
    </row>
    <row r="24" spans="2:39" ht="12.75" customHeight="1">
      <c r="B24" s="16" t="s">
        <v>39</v>
      </c>
      <c r="C24" s="17">
        <f>C23/C11</f>
        <v>0.18344049957321271</v>
      </c>
      <c r="D24" s="17">
        <f>D23/D11</f>
        <v>0.20858446828665403</v>
      </c>
      <c r="E24" s="17">
        <f>E23/E11</f>
        <v>0.17816647187855353</v>
      </c>
      <c r="F24" s="17">
        <f>F23/F11</f>
        <v>0.20620768485358951</v>
      </c>
      <c r="G24" s="17">
        <f>G23/G11</f>
        <v>0.26711169154117881</v>
      </c>
      <c r="H24" s="27"/>
      <c r="I24" s="17">
        <f t="shared" ref="I24:W24" si="81">I23/I11</f>
        <v>0.25059537223204514</v>
      </c>
      <c r="J24" s="17">
        <f t="shared" si="81"/>
        <v>0.19802447660587189</v>
      </c>
      <c r="K24" s="17">
        <f t="shared" si="81"/>
        <v>0.19342638130743342</v>
      </c>
      <c r="L24" s="17">
        <f t="shared" si="81"/>
        <v>7.0033149292292929E-2</v>
      </c>
      <c r="M24" s="17">
        <f t="shared" si="81"/>
        <v>0.21004917844176502</v>
      </c>
      <c r="N24" s="17">
        <f t="shared" si="81"/>
        <v>0.2231728136048742</v>
      </c>
      <c r="O24" s="17">
        <f t="shared" si="81"/>
        <v>0.22435828692943818</v>
      </c>
      <c r="P24" s="17">
        <f t="shared" si="81"/>
        <v>0.16938057756153921</v>
      </c>
      <c r="Q24" s="17">
        <f t="shared" si="81"/>
        <v>0.28094027601692118</v>
      </c>
      <c r="R24" s="17">
        <f t="shared" si="81"/>
        <v>0.27228293673915804</v>
      </c>
      <c r="S24" s="17">
        <f t="shared" si="81"/>
        <v>0.29613892654057833</v>
      </c>
      <c r="T24" s="17">
        <f t="shared" si="81"/>
        <v>0.2218087265394578</v>
      </c>
      <c r="U24" s="17">
        <f t="shared" si="81"/>
        <v>0.31746772039043514</v>
      </c>
      <c r="V24" s="17">
        <f t="shared" si="81"/>
        <v>0.34070199868834899</v>
      </c>
      <c r="W24" s="17">
        <f t="shared" si="81"/>
        <v>0.28220333306487833</v>
      </c>
      <c r="X24" s="28"/>
      <c r="Y24" s="17">
        <f t="shared" ref="Y24:AK24" si="82">Y23/Y11</f>
        <v>-0.42973895151237584</v>
      </c>
      <c r="Z24" s="17">
        <f t="shared" si="82"/>
        <v>-0.47966590278504034</v>
      </c>
      <c r="AA24" s="17">
        <f t="shared" si="82"/>
        <v>-0.47573803948778998</v>
      </c>
      <c r="AB24" s="17">
        <f t="shared" si="82"/>
        <v>-0.47874646229092133</v>
      </c>
      <c r="AC24" s="17">
        <f t="shared" si="82"/>
        <v>-0.46587178980462057</v>
      </c>
      <c r="AD24" s="17">
        <f t="shared" si="82"/>
        <v>-0.42877995463561625</v>
      </c>
      <c r="AE24" s="17">
        <f t="shared" si="82"/>
        <v>-0.3931709531640657</v>
      </c>
      <c r="AF24" s="17">
        <f t="shared" si="82"/>
        <v>-0.36138633405753806</v>
      </c>
      <c r="AG24" s="17">
        <f t="shared" si="82"/>
        <v>0.25649521628035954</v>
      </c>
      <c r="AH24" s="17">
        <f t="shared" si="82"/>
        <v>0.26711169154117881</v>
      </c>
      <c r="AI24" s="17">
        <f t="shared" si="82"/>
        <v>0.27710124680487624</v>
      </c>
      <c r="AJ24" s="17">
        <f t="shared" si="82"/>
        <v>0.29510666048212242</v>
      </c>
      <c r="AK24" s="17">
        <f t="shared" si="82"/>
        <v>0.2914490439762642</v>
      </c>
      <c r="AM24" s="130">
        <f>SUM(AK24-AG24)*10000</f>
        <v>349.53827695904658</v>
      </c>
    </row>
    <row r="25" spans="2:39" ht="5.0999999999999996" customHeight="1">
      <c r="AM25" s="127"/>
    </row>
    <row r="26" spans="2:39" ht="12.75" customHeight="1">
      <c r="B26" s="31" t="s">
        <v>175</v>
      </c>
      <c r="C26" s="145">
        <f>('Historical Financials'!E92)</f>
        <v>115.71</v>
      </c>
      <c r="D26" s="145">
        <f>('Historical Financials'!F92)</f>
        <v>208.41200000000001</v>
      </c>
      <c r="E26" s="145">
        <f>('Historical Financials'!G92)</f>
        <v>336.68200000000002</v>
      </c>
      <c r="F26" s="145">
        <f>('Historical Financials'!H92)</f>
        <v>356.947</v>
      </c>
      <c r="G26" s="145">
        <f>('Historical Financials'!I92)</f>
        <v>328.91399999999999</v>
      </c>
      <c r="I26" s="145">
        <f>('Historical Financials'!O92)</f>
        <v>74.602000000000004</v>
      </c>
      <c r="J26" s="145">
        <f>('Historical Financials'!P92)</f>
        <v>83.504999999999995</v>
      </c>
      <c r="K26" s="145">
        <f>('Historical Financials'!Q92)</f>
        <v>85.188000000000002</v>
      </c>
      <c r="L26" s="145">
        <f>('Historical Financials'!R92)</f>
        <v>93.387</v>
      </c>
      <c r="M26" s="145">
        <f>('Historical Financials'!S92)</f>
        <v>90.334999999999994</v>
      </c>
      <c r="N26" s="145">
        <f>('Historical Financials'!T92)</f>
        <v>89.385000000000005</v>
      </c>
      <c r="O26" s="145">
        <f>('Historical Financials'!U92)</f>
        <v>90.66</v>
      </c>
      <c r="P26" s="145">
        <f>('Historical Financials'!V92)</f>
        <v>86.567000000000007</v>
      </c>
      <c r="Q26" s="145">
        <f>('Historical Financials'!W92)</f>
        <v>87.233999999999995</v>
      </c>
      <c r="R26" s="145">
        <f>('Historical Financials'!X92)</f>
        <v>81.227000000000004</v>
      </c>
      <c r="S26" s="145">
        <f>('Historical Financials'!Y92)</f>
        <v>80.914000000000001</v>
      </c>
      <c r="T26" s="145">
        <f>('Historical Financials'!Z92)</f>
        <v>79.538999999999987</v>
      </c>
      <c r="U26" s="145">
        <f>('Historical Financials'!AA92)</f>
        <v>80.066999999999993</v>
      </c>
      <c r="V26" s="145">
        <f>('Historical Financials'!AB92)</f>
        <v>80.013000000000005</v>
      </c>
      <c r="W26" s="145">
        <f>('Historical Financials'!AC92)</f>
        <v>87.325999999999993</v>
      </c>
      <c r="Y26" s="10">
        <f t="shared" ref="Y26:AK26" si="83">SUM(H26:K26)</f>
        <v>243.29500000000002</v>
      </c>
      <c r="Z26" s="10">
        <f t="shared" si="83"/>
        <v>336.68200000000002</v>
      </c>
      <c r="AA26" s="10">
        <f t="shared" si="83"/>
        <v>352.41499999999996</v>
      </c>
      <c r="AB26" s="10">
        <f t="shared" si="83"/>
        <v>358.29499999999996</v>
      </c>
      <c r="AC26" s="10">
        <f t="shared" si="83"/>
        <v>363.76699999999994</v>
      </c>
      <c r="AD26" s="10">
        <f t="shared" si="83"/>
        <v>356.947</v>
      </c>
      <c r="AE26" s="10">
        <f t="shared" si="83"/>
        <v>353.846</v>
      </c>
      <c r="AF26" s="10">
        <f t="shared" si="83"/>
        <v>345.68799999999999</v>
      </c>
      <c r="AG26" s="10">
        <f t="shared" si="83"/>
        <v>335.94200000000001</v>
      </c>
      <c r="AH26" s="10">
        <f t="shared" si="83"/>
        <v>328.91399999999999</v>
      </c>
      <c r="AI26" s="10">
        <f t="shared" si="83"/>
        <v>321.74700000000001</v>
      </c>
      <c r="AJ26" s="10">
        <f t="shared" si="83"/>
        <v>320.53300000000002</v>
      </c>
      <c r="AK26" s="10">
        <f t="shared" si="83"/>
        <v>326.94499999999999</v>
      </c>
      <c r="AM26" s="128">
        <f>SUM(AK26/AG26)-1</f>
        <v>-2.6781408695548681E-2</v>
      </c>
    </row>
    <row r="27" spans="2:39" ht="12.75" customHeight="1">
      <c r="B27" s="31" t="s">
        <v>176</v>
      </c>
      <c r="C27" s="153">
        <f>-C15</f>
        <v>10806.912</v>
      </c>
      <c r="D27" s="153">
        <f t="shared" ref="D27:AK27" si="84">-D15</f>
        <v>12230.367</v>
      </c>
      <c r="E27" s="153">
        <f t="shared" si="84"/>
        <v>14026.132</v>
      </c>
      <c r="F27" s="153">
        <f t="shared" si="84"/>
        <v>14197.437</v>
      </c>
      <c r="G27" s="153">
        <f t="shared" si="84"/>
        <v>15301.517</v>
      </c>
      <c r="I27" s="153">
        <f t="shared" si="84"/>
        <v>3166.3649999999998</v>
      </c>
      <c r="J27" s="153">
        <f t="shared" si="84"/>
        <v>3261.348</v>
      </c>
      <c r="K27" s="153">
        <f t="shared" si="84"/>
        <v>3653.5920000000001</v>
      </c>
      <c r="L27" s="153">
        <f t="shared" si="84"/>
        <v>3944.8269999999993</v>
      </c>
      <c r="M27" s="153">
        <f t="shared" si="84"/>
        <v>3459.9839999999999</v>
      </c>
      <c r="N27" s="153">
        <f t="shared" si="84"/>
        <v>3410.0210000000002</v>
      </c>
      <c r="O27" s="153">
        <f t="shared" si="84"/>
        <v>3573.3530000000001</v>
      </c>
      <c r="P27" s="153">
        <f t="shared" si="84"/>
        <v>3754.0789999999997</v>
      </c>
      <c r="Q27" s="153">
        <f t="shared" si="84"/>
        <v>3670.8049999999998</v>
      </c>
      <c r="R27" s="153">
        <f t="shared" si="84"/>
        <v>3769.69</v>
      </c>
      <c r="S27" s="153">
        <f t="shared" si="84"/>
        <v>3699.5210000000002</v>
      </c>
      <c r="T27" s="153">
        <f t="shared" si="84"/>
        <v>4161.5010000000002</v>
      </c>
      <c r="U27" s="153">
        <f t="shared" si="84"/>
        <v>3823.1120000000001</v>
      </c>
      <c r="V27" s="153">
        <f t="shared" si="84"/>
        <v>3832.0740000000001</v>
      </c>
      <c r="W27" s="153">
        <f t="shared" si="84"/>
        <v>4002.7440000000001</v>
      </c>
      <c r="X27" s="153"/>
      <c r="Y27" s="153">
        <f t="shared" si="84"/>
        <v>10081.305</v>
      </c>
      <c r="Z27" s="153">
        <f t="shared" si="84"/>
        <v>14026.132</v>
      </c>
      <c r="AA27" s="153">
        <f t="shared" si="84"/>
        <v>14319.751</v>
      </c>
      <c r="AB27" s="153">
        <f t="shared" si="84"/>
        <v>14468.424000000001</v>
      </c>
      <c r="AC27" s="153">
        <f t="shared" si="84"/>
        <v>14388.185000000001</v>
      </c>
      <c r="AD27" s="153">
        <f t="shared" si="84"/>
        <v>14197.437</v>
      </c>
      <c r="AE27" s="153">
        <f t="shared" si="84"/>
        <v>14408.258</v>
      </c>
      <c r="AF27" s="153">
        <f t="shared" si="84"/>
        <v>14767.927</v>
      </c>
      <c r="AG27" s="153">
        <f t="shared" si="84"/>
        <v>14894.095000000001</v>
      </c>
      <c r="AH27" s="153">
        <f t="shared" si="84"/>
        <v>15301.517</v>
      </c>
      <c r="AI27" s="153">
        <f t="shared" si="84"/>
        <v>15453.824000000001</v>
      </c>
      <c r="AJ27" s="153">
        <f t="shared" si="84"/>
        <v>15516.208000000002</v>
      </c>
      <c r="AK27" s="153">
        <f t="shared" si="84"/>
        <v>15819.431</v>
      </c>
      <c r="AM27" s="128"/>
    </row>
    <row r="28" spans="2:39" ht="12.75" customHeight="1">
      <c r="B28" s="25" t="s">
        <v>11</v>
      </c>
      <c r="C28" s="26">
        <f>SUM(C23+SUM(C26:C27))</f>
        <v>15507.911</v>
      </c>
      <c r="D28" s="26">
        <f t="shared" ref="D28:G28" si="85">SUM(D23+SUM(D26:D27))</f>
        <v>18633.288</v>
      </c>
      <c r="E28" s="26">
        <f t="shared" si="85"/>
        <v>19995.645000000004</v>
      </c>
      <c r="F28" s="26">
        <f t="shared" si="85"/>
        <v>21508.387000000002</v>
      </c>
      <c r="G28" s="26">
        <f t="shared" si="85"/>
        <v>26048.045000000002</v>
      </c>
      <c r="I28" s="26">
        <f t="shared" ref="I28" si="86">SUM(I23+SUM(I26:I27))</f>
        <v>5212.5930000000008</v>
      </c>
      <c r="J28" s="26">
        <f t="shared" ref="J28" si="87">SUM(J23+SUM(J26:J27))</f>
        <v>4923.1360000000004</v>
      </c>
      <c r="K28" s="26">
        <f t="shared" ref="K28" si="88">SUM(K23+SUM(K26:K27))</f>
        <v>5271.7980000000007</v>
      </c>
      <c r="L28" s="26">
        <f t="shared" ref="L28" si="89">SUM(L23+SUM(L26:L27))</f>
        <v>4588.1179999999958</v>
      </c>
      <c r="M28" s="26">
        <f t="shared" ref="M28" si="90">SUM(M23+SUM(M26:M27))</f>
        <v>5264.6360000000004</v>
      </c>
      <c r="N28" s="26">
        <f t="shared" ref="N28" si="91">SUM(N23+SUM(N26:N27))</f>
        <v>5326.5890000000009</v>
      </c>
      <c r="O28" s="26">
        <f t="shared" ref="O28" si="92">SUM(O23+SUM(O26:O27))</f>
        <v>5580.4070000000002</v>
      </c>
      <c r="P28" s="26">
        <f t="shared" ref="P28" si="93">SUM(P23+SUM(P26:P27))</f>
        <v>5336.7550000000019</v>
      </c>
      <c r="Q28" s="26">
        <f t="shared" ref="Q28" si="94">SUM(Q23+SUM(Q26:Q27))</f>
        <v>6390.5729999999985</v>
      </c>
      <c r="R28" s="26">
        <f t="shared" ref="R28" si="95">SUM(R23+SUM(R26:R27))</f>
        <v>6453.7540000000008</v>
      </c>
      <c r="S28" s="26">
        <f t="shared" ref="S28" si="96">SUM(S23+SUM(S26:S27))</f>
        <v>6689.9120000000003</v>
      </c>
      <c r="T28" s="26">
        <f t="shared" ref="T28" si="97">SUM(T23+SUM(T26:T27))</f>
        <v>6513.8059999999987</v>
      </c>
      <c r="U28" s="26">
        <f t="shared" ref="U28" si="98">SUM(U23+SUM(U26:U27))</f>
        <v>7250.1779999999999</v>
      </c>
      <c r="V28" s="26">
        <f t="shared" ref="V28" si="99">SUM(V23+SUM(V26:V27))</f>
        <v>7686.7810000000009</v>
      </c>
      <c r="W28" s="26">
        <f t="shared" ref="W28" si="100">SUM(W23+SUM(W26:W27))</f>
        <v>7338.3170000000009</v>
      </c>
      <c r="Y28" s="26">
        <f t="shared" ref="Y28" si="101">SUM(Y23+SUM(Y26:Y27))</f>
        <v>5816.7020000000011</v>
      </c>
      <c r="Z28" s="26">
        <f t="shared" ref="Z28" si="102">SUM(Z23+SUM(Z26:Z27))</f>
        <v>7606.8910000000014</v>
      </c>
      <c r="AA28" s="26">
        <f t="shared" ref="AA28" si="103">SUM(AA23+SUM(AA26:AA27))</f>
        <v>7848.72</v>
      </c>
      <c r="AB28" s="26">
        <f t="shared" ref="AB28" si="104">SUM(AB23+SUM(AB26:AB27))</f>
        <v>7930.6400000000012</v>
      </c>
      <c r="AC28" s="26">
        <f t="shared" ref="AC28" si="105">SUM(AC23+SUM(AC26:AC27))</f>
        <v>7979.1</v>
      </c>
      <c r="AD28" s="26">
        <f t="shared" ref="AD28" si="106">SUM(AD23+SUM(AD26:AD27))</f>
        <v>8176.8040000000001</v>
      </c>
      <c r="AE28" s="26">
        <f t="shared" ref="AE28" si="107">SUM(AE23+SUM(AE26:AE27))</f>
        <v>8672.1010000000024</v>
      </c>
      <c r="AF28" s="26">
        <f t="shared" ref="AF28" si="108">SUM(AF23+SUM(AF26:AF27))</f>
        <v>9264.3730000000032</v>
      </c>
      <c r="AG28" s="26">
        <f t="shared" ref="AG28" si="109">SUM(AG23+SUM(AG26:AG27))</f>
        <v>24870.993999999999</v>
      </c>
      <c r="AH28" s="26">
        <f t="shared" ref="AH28" si="110">SUM(AH23+SUM(AH26:AH27))</f>
        <v>26048.045000000002</v>
      </c>
      <c r="AI28" s="26">
        <f t="shared" ref="AI28" si="111">SUM(AI23+SUM(AI26:AI27))</f>
        <v>26907.649999999998</v>
      </c>
      <c r="AJ28" s="26">
        <f t="shared" ref="AJ28" si="112">SUM(AJ23+SUM(AJ26:AJ27))</f>
        <v>28140.677</v>
      </c>
      <c r="AK28" s="26">
        <f t="shared" ref="AK28" si="113">SUM(AK23+SUM(AK26:AK27))</f>
        <v>28789.081999999995</v>
      </c>
      <c r="AM28" s="129">
        <f>SUM(AK28/AG28)-1</f>
        <v>0.15753644586943305</v>
      </c>
    </row>
    <row r="29" spans="2:39" ht="12.75" customHeight="1">
      <c r="B29" s="16" t="s">
        <v>40</v>
      </c>
      <c r="C29" s="17">
        <f>C28/C11</f>
        <v>0.62041431656258095</v>
      </c>
      <c r="D29" s="17">
        <f>D28/D11</f>
        <v>0.6274289810398358</v>
      </c>
      <c r="E29" s="17">
        <f>E28/E11</f>
        <v>0.63246234843297056</v>
      </c>
      <c r="F29" s="17">
        <f>F28/F11</f>
        <v>0.63779016031558255</v>
      </c>
      <c r="G29" s="17">
        <f>G28/G11</f>
        <v>0.66788204681904551</v>
      </c>
      <c r="I29" s="17">
        <f t="shared" ref="I29:W29" si="114">I28/I11</f>
        <v>0.66252508494468643</v>
      </c>
      <c r="J29" s="17">
        <f t="shared" si="114"/>
        <v>0.6176974786267897</v>
      </c>
      <c r="K29" s="17">
        <f t="shared" si="114"/>
        <v>0.66516166811072353</v>
      </c>
      <c r="L29" s="17">
        <f t="shared" si="114"/>
        <v>0.58432081393235602</v>
      </c>
      <c r="M29" s="17">
        <f t="shared" si="114"/>
        <v>0.64505716655375855</v>
      </c>
      <c r="N29" s="17">
        <f t="shared" si="114"/>
        <v>0.65059156857675082</v>
      </c>
      <c r="O29" s="17">
        <f t="shared" si="114"/>
        <v>0.65331583948240557</v>
      </c>
      <c r="P29" s="17">
        <f t="shared" si="114"/>
        <v>0.60419571314953058</v>
      </c>
      <c r="Q29" s="17">
        <f t="shared" si="114"/>
        <v>0.68199284131801707</v>
      </c>
      <c r="R29" s="17">
        <f t="shared" si="114"/>
        <v>0.67512759812162171</v>
      </c>
      <c r="S29" s="17">
        <f t="shared" si="114"/>
        <v>0.68092765755870688</v>
      </c>
      <c r="T29" s="17">
        <f t="shared" si="114"/>
        <v>0.63570953357498294</v>
      </c>
      <c r="U29" s="17">
        <f t="shared" si="114"/>
        <v>0.68768992225121206</v>
      </c>
      <c r="V29" s="17">
        <f t="shared" si="114"/>
        <v>0.69380502106385988</v>
      </c>
      <c r="W29" s="17">
        <f t="shared" si="114"/>
        <v>0.63754311679089015</v>
      </c>
      <c r="Y29" s="17">
        <f t="shared" ref="Y29:AK29" si="115">Y28/Y11</f>
        <v>0.55450753737993641</v>
      </c>
      <c r="Z29" s="17">
        <f t="shared" si="115"/>
        <v>0.54008404756868889</v>
      </c>
      <c r="AA29" s="17">
        <f t="shared" si="115"/>
        <v>0.54722125232450092</v>
      </c>
      <c r="AB29" s="17">
        <f t="shared" si="115"/>
        <v>0.55056878607435811</v>
      </c>
      <c r="AC29" s="17">
        <f t="shared" si="115"/>
        <v>0.5488437659689076</v>
      </c>
      <c r="AD29" s="17">
        <f t="shared" si="115"/>
        <v>0.54974608678908388</v>
      </c>
      <c r="AE29" s="17">
        <f t="shared" si="115"/>
        <v>0.55987135246157504</v>
      </c>
      <c r="AF29" s="17">
        <f t="shared" si="115"/>
        <v>0.57238489975481255</v>
      </c>
      <c r="AG29" s="17">
        <f t="shared" si="115"/>
        <v>0.66168648871035562</v>
      </c>
      <c r="AH29" s="17">
        <f t="shared" si="115"/>
        <v>0.66788204681904551</v>
      </c>
      <c r="AI29" s="17">
        <f t="shared" si="115"/>
        <v>0.66978893732152178</v>
      </c>
      <c r="AJ29" s="17">
        <f t="shared" si="115"/>
        <v>0.6749467173086785</v>
      </c>
      <c r="AK29" s="17">
        <f t="shared" si="115"/>
        <v>0.66366728972850253</v>
      </c>
      <c r="AM29" s="130">
        <f>SUM(AK29-AG29)*10000</f>
        <v>19.808010181469051</v>
      </c>
    </row>
    <row r="30" spans="2:39" ht="5.0999999999999996" customHeight="1">
      <c r="AM30" s="127"/>
    </row>
    <row r="31" spans="2:39" ht="12.75" customHeight="1">
      <c r="B31" s="31" t="s">
        <v>41</v>
      </c>
      <c r="C31" s="145">
        <f>('Historical Financials'!E93)</f>
        <v>415.18</v>
      </c>
      <c r="D31" s="145">
        <f>('Historical Financials'!F93)</f>
        <v>403.22</v>
      </c>
      <c r="E31" s="145">
        <f>('Historical Financials'!G93)</f>
        <v>575.452</v>
      </c>
      <c r="F31" s="145">
        <f>('Historical Financials'!H93)</f>
        <v>339.36799999999999</v>
      </c>
      <c r="G31" s="145">
        <f>('Historical Financials'!I93)</f>
        <v>272.58800000000002</v>
      </c>
      <c r="I31" s="145">
        <f>('Historical Financials'!O93)</f>
        <v>119.209</v>
      </c>
      <c r="J31" s="145">
        <f>('Historical Financials'!P93)</f>
        <v>150.392</v>
      </c>
      <c r="K31" s="145">
        <f>('Historical Financials'!Q93)</f>
        <v>152.06200000000001</v>
      </c>
      <c r="L31" s="145">
        <f>('Historical Financials'!R93)</f>
        <v>153.78899999999999</v>
      </c>
      <c r="M31" s="145">
        <f>('Historical Financials'!S93)</f>
        <v>99.099000000000004</v>
      </c>
      <c r="N31" s="145">
        <f>('Historical Financials'!T93)</f>
        <v>78.03</v>
      </c>
      <c r="O31" s="145">
        <f>('Historical Financials'!U93)</f>
        <v>79.72</v>
      </c>
      <c r="P31" s="145">
        <f>('Historical Financials'!V93)</f>
        <v>82.518999999999949</v>
      </c>
      <c r="Q31" s="145">
        <f>('Historical Financials'!W93)</f>
        <v>76.344999999999999</v>
      </c>
      <c r="R31" s="145">
        <f>('Historical Financials'!X93)</f>
        <v>68.766000000000005</v>
      </c>
      <c r="S31" s="145">
        <f>('Historical Financials'!Y93)</f>
        <v>65.650000000000006</v>
      </c>
      <c r="T31" s="145">
        <f>('Historical Financials'!Z93)</f>
        <v>61.827000000000027</v>
      </c>
      <c r="U31" s="145">
        <f>('Historical Financials'!AA93)</f>
        <v>71.977000000000004</v>
      </c>
      <c r="V31" s="145">
        <f>('Historical Financials'!AB93)</f>
        <v>80.861999999999995</v>
      </c>
      <c r="W31" s="145">
        <f>('Historical Financials'!AC93)</f>
        <v>80.986000000000004</v>
      </c>
      <c r="Y31" s="10">
        <f t="shared" ref="Y31:AK31" si="116">SUM(H31:K31)</f>
        <v>421.66300000000001</v>
      </c>
      <c r="Z31" s="10">
        <f t="shared" si="116"/>
        <v>575.452</v>
      </c>
      <c r="AA31" s="10">
        <f t="shared" si="116"/>
        <v>555.34199999999998</v>
      </c>
      <c r="AB31" s="10">
        <f t="shared" si="116"/>
        <v>482.98</v>
      </c>
      <c r="AC31" s="10">
        <f t="shared" si="116"/>
        <v>410.63800000000003</v>
      </c>
      <c r="AD31" s="10">
        <f t="shared" si="116"/>
        <v>339.36799999999999</v>
      </c>
      <c r="AE31" s="10">
        <f t="shared" si="116"/>
        <v>316.61399999999992</v>
      </c>
      <c r="AF31" s="10">
        <f t="shared" si="116"/>
        <v>307.34999999999997</v>
      </c>
      <c r="AG31" s="146">
        <f t="shared" si="116"/>
        <v>293.27999999999997</v>
      </c>
      <c r="AH31" s="146">
        <f t="shared" si="116"/>
        <v>272.58800000000002</v>
      </c>
      <c r="AI31" s="146">
        <f t="shared" si="116"/>
        <v>268.22000000000003</v>
      </c>
      <c r="AJ31" s="146">
        <f t="shared" si="116"/>
        <v>280.31600000000003</v>
      </c>
      <c r="AK31" s="146">
        <f t="shared" si="116"/>
        <v>295.65200000000004</v>
      </c>
      <c r="AM31" s="128">
        <f>SUM(AK31/AG31)-1</f>
        <v>8.0878341516641417E-3</v>
      </c>
    </row>
    <row r="32" spans="2:39" ht="12.75" customHeight="1">
      <c r="B32" s="13" t="s">
        <v>42</v>
      </c>
      <c r="C32" s="14">
        <f>+SUM(C28+SUM(C31:C31))</f>
        <v>15923.091</v>
      </c>
      <c r="D32" s="14">
        <f>+SUM(D28+SUM(D31:D31))</f>
        <v>19036.508000000002</v>
      </c>
      <c r="E32" s="14">
        <f>+SUM(E28+SUM(E31:E31))</f>
        <v>20571.097000000005</v>
      </c>
      <c r="F32" s="14">
        <f>+SUM(F28+SUM(F31:F31))</f>
        <v>21847.755000000001</v>
      </c>
      <c r="G32" s="14">
        <f>+SUM(G28+SUM(G31:G31))</f>
        <v>26320.633000000002</v>
      </c>
      <c r="H32" s="11"/>
      <c r="I32" s="14">
        <f t="shared" ref="I32:W32" si="117">+SUM(I28+SUM(I31:I31))</f>
        <v>5331.8020000000006</v>
      </c>
      <c r="J32" s="14">
        <f t="shared" si="117"/>
        <v>5073.5280000000002</v>
      </c>
      <c r="K32" s="14">
        <f t="shared" si="117"/>
        <v>5423.8600000000006</v>
      </c>
      <c r="L32" s="14">
        <f t="shared" si="117"/>
        <v>4741.9069999999956</v>
      </c>
      <c r="M32" s="14">
        <f t="shared" si="117"/>
        <v>5363.7350000000006</v>
      </c>
      <c r="N32" s="14">
        <f t="shared" si="117"/>
        <v>5404.6190000000006</v>
      </c>
      <c r="O32" s="14">
        <f t="shared" si="117"/>
        <v>5660.1270000000004</v>
      </c>
      <c r="P32" s="14">
        <f t="shared" si="117"/>
        <v>5419.2740000000022</v>
      </c>
      <c r="Q32" s="14">
        <f t="shared" si="117"/>
        <v>6466.9179999999988</v>
      </c>
      <c r="R32" s="14">
        <f t="shared" si="117"/>
        <v>6522.52</v>
      </c>
      <c r="S32" s="14">
        <f t="shared" si="117"/>
        <v>6755.5619999999999</v>
      </c>
      <c r="T32" s="14">
        <f t="shared" si="117"/>
        <v>6575.6329999999989</v>
      </c>
      <c r="U32" s="14">
        <f t="shared" si="117"/>
        <v>7322.1549999999997</v>
      </c>
      <c r="V32" s="14">
        <f t="shared" si="117"/>
        <v>7767.6430000000009</v>
      </c>
      <c r="W32" s="14">
        <f t="shared" si="117"/>
        <v>7419.3030000000008</v>
      </c>
      <c r="Y32" s="14">
        <f t="shared" ref="Y32:AK32" si="118">+SUM(Y28+SUM(Y31:Y31))</f>
        <v>6238.3650000000016</v>
      </c>
      <c r="Z32" s="14">
        <f t="shared" si="118"/>
        <v>8182.3430000000017</v>
      </c>
      <c r="AA32" s="14">
        <f t="shared" si="118"/>
        <v>8404.0619999999999</v>
      </c>
      <c r="AB32" s="14">
        <f t="shared" si="118"/>
        <v>8413.6200000000008</v>
      </c>
      <c r="AC32" s="14">
        <f t="shared" si="118"/>
        <v>8389.7380000000012</v>
      </c>
      <c r="AD32" s="14">
        <f t="shared" si="118"/>
        <v>8516.1720000000005</v>
      </c>
      <c r="AE32" s="14">
        <f t="shared" si="118"/>
        <v>8988.715000000002</v>
      </c>
      <c r="AF32" s="14">
        <f t="shared" si="118"/>
        <v>9571.7230000000036</v>
      </c>
      <c r="AG32" s="14">
        <f t="shared" si="118"/>
        <v>25164.273999999998</v>
      </c>
      <c r="AH32" s="14">
        <f t="shared" si="118"/>
        <v>26320.633000000002</v>
      </c>
      <c r="AI32" s="14">
        <f t="shared" si="118"/>
        <v>27175.87</v>
      </c>
      <c r="AJ32" s="14">
        <f t="shared" si="118"/>
        <v>28420.992999999999</v>
      </c>
      <c r="AK32" s="14">
        <f t="shared" si="118"/>
        <v>29084.733999999997</v>
      </c>
      <c r="AM32" s="129">
        <f>SUM(AK32/AG32)-1</f>
        <v>0.15579467939349256</v>
      </c>
    </row>
    <row r="33" spans="2:39" ht="12.75" customHeight="1">
      <c r="B33" s="16" t="s">
        <v>43</v>
      </c>
      <c r="C33" s="17">
        <f>C32/C11</f>
        <v>0.63702413692784177</v>
      </c>
      <c r="D33" s="17">
        <f>D32/D11</f>
        <v>0.6410063976361382</v>
      </c>
      <c r="E33" s="17">
        <f>E32/E11</f>
        <v>0.65066389798690849</v>
      </c>
      <c r="F33" s="17">
        <f>F32/F11</f>
        <v>0.64785347055479192</v>
      </c>
      <c r="G33" s="17">
        <f>G32/G11</f>
        <v>0.67487130959781871</v>
      </c>
      <c r="I33" s="17">
        <f t="shared" ref="I33:W33" si="119">I32/I11</f>
        <v>0.67767665209201033</v>
      </c>
      <c r="J33" s="17">
        <f t="shared" si="119"/>
        <v>0.63656690640730196</v>
      </c>
      <c r="K33" s="17">
        <f t="shared" si="119"/>
        <v>0.68434787622724325</v>
      </c>
      <c r="L33" s="17">
        <f t="shared" si="119"/>
        <v>0.60390664708962072</v>
      </c>
      <c r="M33" s="17">
        <f t="shared" si="119"/>
        <v>0.65719941535278492</v>
      </c>
      <c r="N33" s="17">
        <f t="shared" si="119"/>
        <v>0.66012218190097083</v>
      </c>
      <c r="O33" s="17">
        <f t="shared" si="119"/>
        <v>0.66264891119626756</v>
      </c>
      <c r="P33" s="17">
        <f t="shared" si="119"/>
        <v>0.61353802435800586</v>
      </c>
      <c r="Q33" s="17">
        <f t="shared" si="119"/>
        <v>0.69014027089442964</v>
      </c>
      <c r="R33" s="17">
        <f t="shared" si="119"/>
        <v>0.68232121356039288</v>
      </c>
      <c r="S33" s="17">
        <f t="shared" si="119"/>
        <v>0.68760979339528128</v>
      </c>
      <c r="T33" s="17">
        <f t="shared" si="119"/>
        <v>0.64174348873611931</v>
      </c>
      <c r="U33" s="17">
        <f t="shared" si="119"/>
        <v>0.69451704532789726</v>
      </c>
      <c r="V33" s="17">
        <f t="shared" si="119"/>
        <v>0.70110358487272417</v>
      </c>
      <c r="W33" s="17">
        <f t="shared" si="119"/>
        <v>0.64457907160947148</v>
      </c>
      <c r="Y33" s="17">
        <f t="shared" ref="Y33:AK33" si="120">Y32/Y11</f>
        <v>0.59470476799863348</v>
      </c>
      <c r="Z33" s="17">
        <f t="shared" si="120"/>
        <v>0.58094074517898686</v>
      </c>
      <c r="AA33" s="17">
        <f t="shared" si="120"/>
        <v>0.58594029755842347</v>
      </c>
      <c r="AB33" s="17">
        <f t="shared" si="120"/>
        <v>0.58409870450442081</v>
      </c>
      <c r="AC33" s="17">
        <f t="shared" si="120"/>
        <v>0.5770895714319223</v>
      </c>
      <c r="AD33" s="17">
        <f t="shared" si="120"/>
        <v>0.57256260898790856</v>
      </c>
      <c r="AE33" s="17">
        <f t="shared" si="120"/>
        <v>0.58031197099084142</v>
      </c>
      <c r="AF33" s="17">
        <f t="shared" si="120"/>
        <v>0.5913740422407251</v>
      </c>
      <c r="AG33" s="17">
        <f t="shared" si="120"/>
        <v>0.66948912874191102</v>
      </c>
      <c r="AH33" s="17">
        <f t="shared" si="120"/>
        <v>0.67487130959781871</v>
      </c>
      <c r="AI33" s="17">
        <f t="shared" si="120"/>
        <v>0.67646550657853155</v>
      </c>
      <c r="AJ33" s="17">
        <f t="shared" si="120"/>
        <v>0.68167002265094512</v>
      </c>
      <c r="AK33" s="17">
        <f t="shared" si="120"/>
        <v>0.67048287910862969</v>
      </c>
      <c r="AM33" s="130">
        <f>SUM(AK33-AG33)*10000</f>
        <v>9.937503667186709</v>
      </c>
    </row>
    <row r="34" spans="2:39" ht="5.0999999999999996" customHeight="1">
      <c r="AM34" s="127"/>
    </row>
    <row r="35" spans="2:39" ht="12.75" customHeight="1">
      <c r="B35" s="23" t="s">
        <v>44</v>
      </c>
      <c r="C35" s="145">
        <f>('Historical Financials'!E106)</f>
        <v>-497.923</v>
      </c>
      <c r="D35" s="145">
        <f>('Historical Financials'!F106)</f>
        <v>-524.58500000000004</v>
      </c>
      <c r="E35" s="145">
        <f>('Historical Financials'!G106)</f>
        <v>-407.72899999999998</v>
      </c>
      <c r="F35" s="145">
        <f>('Historical Financials'!H106)</f>
        <v>-348.55200000000002</v>
      </c>
      <c r="G35" s="145">
        <f>('Historical Financials'!I106)</f>
        <v>-439.53800000000001</v>
      </c>
      <c r="I35" s="145">
        <f>('Historical Financials'!O106)</f>
        <v>-121.158</v>
      </c>
      <c r="J35" s="145">
        <f>('Historical Financials'!P106)</f>
        <v>-90.018000000000001</v>
      </c>
      <c r="K35" s="145">
        <f>('Historical Financials'!Q106)</f>
        <v>-84.96</v>
      </c>
      <c r="L35" s="145">
        <f>('Historical Financials'!R106)</f>
        <v>-111.59300000000002</v>
      </c>
      <c r="M35" s="145">
        <f>('Historical Financials'!S106)</f>
        <v>-62.018999999999998</v>
      </c>
      <c r="N35" s="145">
        <f>('Historical Financials'!T106)</f>
        <v>-100.97199999999999</v>
      </c>
      <c r="O35" s="145">
        <f>('Historical Financials'!U106)</f>
        <v>-103.929</v>
      </c>
      <c r="P35" s="145">
        <f>('Historical Financials'!V106)</f>
        <v>-81.632000000000062</v>
      </c>
      <c r="Q35" s="145">
        <f>('Historical Financials'!W106)</f>
        <v>-75.713999999999999</v>
      </c>
      <c r="R35" s="145">
        <f>('Historical Financials'!X106)</f>
        <v>-78.287000000000006</v>
      </c>
      <c r="S35" s="145">
        <f>('Historical Financials'!Y106)</f>
        <v>-126.863</v>
      </c>
      <c r="T35" s="145">
        <f>('Historical Financials'!Z106)</f>
        <v>-158.67399999999998</v>
      </c>
      <c r="U35" s="145">
        <f>('Historical Financials'!AA106)</f>
        <v>-128.27699999999999</v>
      </c>
      <c r="V35" s="145">
        <f>('Historical Financials'!AB106)</f>
        <v>-155.88900000000001</v>
      </c>
      <c r="W35" s="145">
        <f>('Historical Financials'!AC106)</f>
        <v>-164.71899999999999</v>
      </c>
      <c r="Y35" s="10">
        <f t="shared" ref="Y35:AK38" si="121">SUM(H35:K35)</f>
        <v>-296.13599999999997</v>
      </c>
      <c r="Z35" s="10">
        <f t="shared" si="121"/>
        <v>-407.72899999999998</v>
      </c>
      <c r="AA35" s="10">
        <f t="shared" si="121"/>
        <v>-348.59000000000003</v>
      </c>
      <c r="AB35" s="10">
        <f t="shared" si="121"/>
        <v>-359.54399999999998</v>
      </c>
      <c r="AC35" s="10">
        <f t="shared" si="121"/>
        <v>-378.51300000000003</v>
      </c>
      <c r="AD35" s="10">
        <f t="shared" si="121"/>
        <v>-348.55200000000002</v>
      </c>
      <c r="AE35" s="10">
        <f t="shared" si="121"/>
        <v>-362.24700000000007</v>
      </c>
      <c r="AF35" s="10">
        <f t="shared" si="121"/>
        <v>-339.56200000000013</v>
      </c>
      <c r="AG35" s="146">
        <f t="shared" si="121"/>
        <v>-362.49600000000009</v>
      </c>
      <c r="AH35" s="146">
        <f t="shared" si="121"/>
        <v>-439.53800000000001</v>
      </c>
      <c r="AI35" s="146">
        <f t="shared" si="121"/>
        <v>-492.10099999999994</v>
      </c>
      <c r="AJ35" s="146">
        <f t="shared" si="121"/>
        <v>-569.70299999999997</v>
      </c>
      <c r="AK35" s="146">
        <f t="shared" si="121"/>
        <v>-607.55899999999997</v>
      </c>
      <c r="AM35" s="128">
        <f>SUM(AK35/AG35)-1</f>
        <v>0.67604332185734406</v>
      </c>
    </row>
    <row r="36" spans="2:39" ht="12.75" customHeight="1">
      <c r="B36" s="23" t="s">
        <v>45</v>
      </c>
      <c r="C36" s="145">
        <f>-('Historical Financials'!E136)</f>
        <v>-291.58199999999999</v>
      </c>
      <c r="D36" s="145">
        <f>-('Historical Financials'!F136)</f>
        <v>-509.26499999999999</v>
      </c>
      <c r="E36" s="145">
        <f>-('Historical Financials'!G136)</f>
        <v>-811.72</v>
      </c>
      <c r="F36" s="145">
        <f>-('Historical Financials'!H136)</f>
        <v>-1154.973</v>
      </c>
      <c r="G36" s="145">
        <f>-('Historical Financials'!I136)</f>
        <v>-1641.53</v>
      </c>
      <c r="I36" s="145">
        <f>('Historical Financials'!O31)</f>
        <v>-382.245</v>
      </c>
      <c r="J36" s="145">
        <f>('Historical Financials'!P31)</f>
        <v>-182.10300000000001</v>
      </c>
      <c r="K36" s="145">
        <f>('Historical Financials'!Q31)</f>
        <v>-223.60499999999999</v>
      </c>
      <c r="L36" s="145">
        <f>('Historical Financials'!R31)</f>
        <v>15.947999999999979</v>
      </c>
      <c r="M36" s="145">
        <f>('Historical Financials'!S31)</f>
        <v>-163.75399999999999</v>
      </c>
      <c r="N36" s="145">
        <f>('Historical Financials'!T31)</f>
        <v>-191.72200000000001</v>
      </c>
      <c r="O36" s="145">
        <f>('Historical Financials'!U31)</f>
        <v>-231.62700000000001</v>
      </c>
      <c r="P36" s="145">
        <f>('Historical Financials'!V31)</f>
        <v>-210.3119999999999</v>
      </c>
      <c r="Q36" s="145">
        <f>('Historical Financials'!W31)</f>
        <v>-282.37</v>
      </c>
      <c r="R36" s="145">
        <f>('Historical Financials'!X31)</f>
        <v>-366.55</v>
      </c>
      <c r="S36" s="145">
        <f>('Historical Financials'!Y31)</f>
        <v>-339.44499999999999</v>
      </c>
      <c r="T36" s="145">
        <f>('Historical Financials'!Z31)</f>
        <v>-265.66100000000006</v>
      </c>
      <c r="U36" s="145">
        <f>('Historical Financials'!AA31)</f>
        <v>-323.375</v>
      </c>
      <c r="V36" s="145">
        <f>('Historical Financials'!AB31)</f>
        <v>-506.262</v>
      </c>
      <c r="W36" s="145">
        <f>('Historical Financials'!AC31)</f>
        <v>-562.49400000000003</v>
      </c>
      <c r="Y36" s="10">
        <f t="shared" si="121"/>
        <v>-787.95299999999997</v>
      </c>
      <c r="Z36" s="10">
        <f t="shared" si="121"/>
        <v>-772.005</v>
      </c>
      <c r="AA36" s="10">
        <f t="shared" si="121"/>
        <v>-553.51400000000001</v>
      </c>
      <c r="AB36" s="10">
        <f t="shared" si="121"/>
        <v>-563.13300000000004</v>
      </c>
      <c r="AC36" s="10">
        <f t="shared" si="121"/>
        <v>-571.15499999999997</v>
      </c>
      <c r="AD36" s="10">
        <f t="shared" si="121"/>
        <v>-797.41499999999996</v>
      </c>
      <c r="AE36" s="10">
        <f t="shared" si="121"/>
        <v>-916.03099999999995</v>
      </c>
      <c r="AF36" s="10">
        <f t="shared" si="121"/>
        <v>-1090.8589999999999</v>
      </c>
      <c r="AG36" s="146">
        <f t="shared" si="121"/>
        <v>-1198.6769999999999</v>
      </c>
      <c r="AH36" s="146">
        <f t="shared" si="121"/>
        <v>-1254.0260000000001</v>
      </c>
      <c r="AI36" s="146">
        <f t="shared" si="121"/>
        <v>-1295.0309999999999</v>
      </c>
      <c r="AJ36" s="146">
        <f t="shared" si="121"/>
        <v>-1434.7429999999999</v>
      </c>
      <c r="AK36" s="146">
        <f t="shared" si="121"/>
        <v>-1657.7919999999999</v>
      </c>
      <c r="AM36" s="128">
        <f>SUM(AK36/AG36)-1</f>
        <v>0.38301811080049086</v>
      </c>
    </row>
    <row r="37" spans="2:39" ht="12.75" customHeight="1">
      <c r="B37" s="23" t="s">
        <v>83</v>
      </c>
      <c r="C37" s="145">
        <f>-('Historical Financials'!E137)</f>
        <v>-762.904</v>
      </c>
      <c r="D37" s="145">
        <f>-('Historical Financials'!F137)</f>
        <v>-763.43200000000002</v>
      </c>
      <c r="E37" s="145">
        <f>-('Historical Financials'!G137)</f>
        <v>-701.69299999999998</v>
      </c>
      <c r="F37" s="145">
        <f>-('Historical Financials'!H137)</f>
        <v>-684.50400000000002</v>
      </c>
      <c r="G37" s="145">
        <f>-('Historical Financials'!I137)</f>
        <v>-674.50199999999995</v>
      </c>
      <c r="I37" s="145">
        <f>('Historical Financials'!O26)</f>
        <v>-187.57900000000001</v>
      </c>
      <c r="J37" s="145">
        <f>('Historical Financials'!P26)</f>
        <v>-175.45500000000001</v>
      </c>
      <c r="K37" s="145">
        <f>('Historical Financials'!Q26)</f>
        <v>-172.57499999999999</v>
      </c>
      <c r="L37" s="145">
        <f>('Historical Financials'!R26)</f>
        <v>-170.60300000000007</v>
      </c>
      <c r="M37" s="145">
        <f>('Historical Financials'!S26)</f>
        <v>-174.239</v>
      </c>
      <c r="N37" s="145">
        <f>('Historical Financials'!T26)</f>
        <v>-174.81200000000001</v>
      </c>
      <c r="O37" s="145">
        <f>('Historical Financials'!U26)</f>
        <v>-175.56299999999999</v>
      </c>
      <c r="P37" s="145">
        <f>('Historical Financials'!V26)</f>
        <v>-175.21199999999999</v>
      </c>
      <c r="Q37" s="145">
        <f>('Historical Financials'!W26)</f>
        <v>-173.31399999999999</v>
      </c>
      <c r="R37" s="145">
        <f>('Historical Financials'!X26)</f>
        <v>-167.98599999999999</v>
      </c>
      <c r="S37" s="145">
        <f>('Historical Financials'!Y26)</f>
        <v>-184.83</v>
      </c>
      <c r="T37" s="145">
        <f>('Historical Financials'!Z26)</f>
        <v>-192.60299999999995</v>
      </c>
      <c r="U37" s="145">
        <f>('Historical Financials'!AA26)</f>
        <v>-184.172</v>
      </c>
      <c r="V37" s="145">
        <f>('Historical Financials'!AB26)</f>
        <v>-182.649</v>
      </c>
      <c r="W37" s="145">
        <f>('Historical Financials'!AC26)</f>
        <v>-175.29400000000001</v>
      </c>
      <c r="Y37" s="10">
        <f t="shared" si="121"/>
        <v>-535.60899999999992</v>
      </c>
      <c r="Z37" s="10">
        <f t="shared" si="121"/>
        <v>-706.21199999999999</v>
      </c>
      <c r="AA37" s="10">
        <f t="shared" si="121"/>
        <v>-692.87200000000007</v>
      </c>
      <c r="AB37" s="10">
        <f t="shared" si="121"/>
        <v>-692.22900000000004</v>
      </c>
      <c r="AC37" s="10">
        <f t="shared" si="121"/>
        <v>-695.2170000000001</v>
      </c>
      <c r="AD37" s="10">
        <f t="shared" si="121"/>
        <v>-699.82600000000002</v>
      </c>
      <c r="AE37" s="10">
        <f t="shared" si="121"/>
        <v>-698.90099999999995</v>
      </c>
      <c r="AF37" s="10">
        <f t="shared" si="121"/>
        <v>-692.07499999999993</v>
      </c>
      <c r="AG37" s="146">
        <f t="shared" si="121"/>
        <v>-701.34199999999998</v>
      </c>
      <c r="AH37" s="146">
        <f t="shared" si="121"/>
        <v>-718.73299999999995</v>
      </c>
      <c r="AI37" s="146">
        <f t="shared" si="121"/>
        <v>-729.59100000000001</v>
      </c>
      <c r="AJ37" s="146">
        <f t="shared" si="121"/>
        <v>-744.25400000000002</v>
      </c>
      <c r="AK37" s="146">
        <f t="shared" si="121"/>
        <v>-734.71799999999996</v>
      </c>
      <c r="AM37" s="128">
        <f>SUM(AK37/AG37)-1</f>
        <v>4.7588765538068456E-2</v>
      </c>
    </row>
    <row r="38" spans="2:39" ht="12.75" customHeight="1">
      <c r="B38" s="23" t="s">
        <v>46</v>
      </c>
      <c r="C38" s="145">
        <f>SUM('Historical Financials'!E98:E102)</f>
        <v>-31.872999999999962</v>
      </c>
      <c r="D38" s="145">
        <f>SUM('Historical Financials'!F98:F102)</f>
        <v>-241.97699999999998</v>
      </c>
      <c r="E38" s="145">
        <f>SUM('Historical Financials'!G98:G102)</f>
        <v>-758.08699999999999</v>
      </c>
      <c r="F38" s="145">
        <f>SUM('Historical Financials'!H98:H102)</f>
        <v>-116.14800000000002</v>
      </c>
      <c r="G38" s="145">
        <f>SUM('Historical Financials'!I98:I102)</f>
        <v>-33.074999999999989</v>
      </c>
      <c r="I38" s="145">
        <f>SUM('Historical Financials'!O98:O102)</f>
        <v>25.287999999999982</v>
      </c>
      <c r="J38" s="145">
        <f>SUM('Historical Financials'!P98:P102)</f>
        <v>-122.70399999999999</v>
      </c>
      <c r="K38" s="145">
        <f>SUM('Historical Financials'!Q98:Q102)</f>
        <v>93.272000000000006</v>
      </c>
      <c r="L38" s="145">
        <f>SUM('Historical Financials'!R98:R102)</f>
        <v>-753.94299999999998</v>
      </c>
      <c r="M38" s="145">
        <f>SUM('Historical Financials'!S98:S102)</f>
        <v>-64.217999999999989</v>
      </c>
      <c r="N38" s="145">
        <f>SUM('Historical Financials'!T98:T102)</f>
        <v>-35.189000000000036</v>
      </c>
      <c r="O38" s="145">
        <f>SUM('Historical Financials'!U98:U102)</f>
        <v>-75.74499999999999</v>
      </c>
      <c r="P38" s="145">
        <f>SUM('Historical Financials'!V98:V102)</f>
        <v>59.004000000000019</v>
      </c>
      <c r="Q38" s="145">
        <f>SUM('Historical Financials'!W98:W102)</f>
        <v>105.03400000000002</v>
      </c>
      <c r="R38" s="145">
        <f>SUM('Historical Financials'!X98:X102)</f>
        <v>-247.22700000000003</v>
      </c>
      <c r="S38" s="145">
        <f>SUM('Historical Financials'!Y98:Y102)</f>
        <v>179.57899999999995</v>
      </c>
      <c r="T38" s="145">
        <f>SUM('Historical Financials'!Z98:Z102)</f>
        <v>-70.461000000000098</v>
      </c>
      <c r="U38" s="145">
        <f>SUM('Historical Financials'!AA98:AA102)</f>
        <v>-94.747</v>
      </c>
      <c r="V38" s="145">
        <f>SUM('Historical Financials'!AB98:AB102)</f>
        <v>-684.8610000000001</v>
      </c>
      <c r="W38" s="145">
        <f>SUM('Historical Financials'!AC98:AC102)</f>
        <v>575.74999999999989</v>
      </c>
      <c r="Y38" s="10">
        <f t="shared" si="121"/>
        <v>-4.1440000000000055</v>
      </c>
      <c r="Z38" s="10">
        <f t="shared" si="121"/>
        <v>-758.08699999999999</v>
      </c>
      <c r="AA38" s="10">
        <f t="shared" si="121"/>
        <v>-847.59299999999996</v>
      </c>
      <c r="AB38" s="10">
        <f t="shared" si="121"/>
        <v>-760.07799999999997</v>
      </c>
      <c r="AC38" s="10">
        <f t="shared" si="121"/>
        <v>-929.09500000000003</v>
      </c>
      <c r="AD38" s="10">
        <f t="shared" si="121"/>
        <v>-116.148</v>
      </c>
      <c r="AE38" s="10">
        <f t="shared" si="121"/>
        <v>53.104000000000013</v>
      </c>
      <c r="AF38" s="10">
        <f t="shared" si="121"/>
        <v>-158.93399999999997</v>
      </c>
      <c r="AG38" s="146">
        <f t="shared" si="121"/>
        <v>96.389999999999958</v>
      </c>
      <c r="AH38" s="146">
        <f t="shared" si="121"/>
        <v>-33.075000000000159</v>
      </c>
      <c r="AI38" s="146">
        <f t="shared" si="121"/>
        <v>-232.85600000000017</v>
      </c>
      <c r="AJ38" s="146">
        <f t="shared" si="121"/>
        <v>-670.49000000000024</v>
      </c>
      <c r="AK38" s="146">
        <f t="shared" si="121"/>
        <v>-274.3190000000003</v>
      </c>
      <c r="AM38" s="128">
        <f>SUM(AK38/AG38)-1</f>
        <v>-3.8459280008299661</v>
      </c>
    </row>
    <row r="39" spans="2:39" ht="12.75" customHeight="1">
      <c r="B39" s="13" t="s">
        <v>47</v>
      </c>
      <c r="C39" s="14">
        <f>SUM(C32+SUM(C35:C38))</f>
        <v>14338.809000000001</v>
      </c>
      <c r="D39" s="14">
        <f>SUM(D32+SUM(D35:D38))</f>
        <v>16997.249000000003</v>
      </c>
      <c r="E39" s="14">
        <f>SUM(E32+SUM(E35:E38))</f>
        <v>17891.868000000006</v>
      </c>
      <c r="F39" s="14">
        <f>SUM(F32+SUM(F35:F38))</f>
        <v>19543.578000000001</v>
      </c>
      <c r="G39" s="14">
        <f>SUM(G32+SUM(G35:G38))</f>
        <v>23531.988000000001</v>
      </c>
      <c r="I39" s="14">
        <f t="shared" ref="I39:V39" si="122">SUM(I32+SUM(I35:I38))</f>
        <v>4666.1080000000002</v>
      </c>
      <c r="J39" s="14">
        <f t="shared" si="122"/>
        <v>4503.2480000000005</v>
      </c>
      <c r="K39" s="14">
        <f t="shared" si="122"/>
        <v>5035.9920000000002</v>
      </c>
      <c r="L39" s="14">
        <f t="shared" si="122"/>
        <v>3721.7159999999958</v>
      </c>
      <c r="M39" s="14">
        <f t="shared" si="122"/>
        <v>4899.505000000001</v>
      </c>
      <c r="N39" s="14">
        <f t="shared" si="122"/>
        <v>4901.9240000000009</v>
      </c>
      <c r="O39" s="14">
        <f t="shared" si="122"/>
        <v>5073.2630000000008</v>
      </c>
      <c r="P39" s="14">
        <f t="shared" si="122"/>
        <v>5011.1220000000021</v>
      </c>
      <c r="Q39" s="14">
        <f t="shared" si="122"/>
        <v>6040.5539999999983</v>
      </c>
      <c r="R39" s="14">
        <f t="shared" si="122"/>
        <v>5662.47</v>
      </c>
      <c r="S39" s="14">
        <f t="shared" si="122"/>
        <v>6284.0029999999997</v>
      </c>
      <c r="T39" s="14">
        <f t="shared" si="122"/>
        <v>5888.2339999999986</v>
      </c>
      <c r="U39" s="14">
        <f t="shared" si="122"/>
        <v>6591.5839999999998</v>
      </c>
      <c r="V39" s="14">
        <f t="shared" si="122"/>
        <v>6237.9820000000009</v>
      </c>
      <c r="W39" s="14">
        <f>SUM(W32+SUM(W35:W38))</f>
        <v>7092.5460000000003</v>
      </c>
      <c r="Y39" s="14">
        <f t="shared" ref="Y39:AI39" si="123">SUM(Y32+SUM(Y35:Y38))</f>
        <v>4614.523000000002</v>
      </c>
      <c r="Z39" s="14">
        <f t="shared" si="123"/>
        <v>5538.3100000000013</v>
      </c>
      <c r="AA39" s="14">
        <f t="shared" si="123"/>
        <v>5961.4930000000004</v>
      </c>
      <c r="AB39" s="14">
        <f t="shared" si="123"/>
        <v>6038.6360000000004</v>
      </c>
      <c r="AC39" s="14">
        <f t="shared" si="123"/>
        <v>5815.7580000000007</v>
      </c>
      <c r="AD39" s="14">
        <f t="shared" si="123"/>
        <v>6554.2310000000007</v>
      </c>
      <c r="AE39" s="14">
        <f t="shared" si="123"/>
        <v>7064.6400000000021</v>
      </c>
      <c r="AF39" s="14">
        <f t="shared" si="123"/>
        <v>7290.2930000000033</v>
      </c>
      <c r="AG39" s="14">
        <f t="shared" si="123"/>
        <v>22998.148999999998</v>
      </c>
      <c r="AH39" s="14">
        <f t="shared" si="123"/>
        <v>23875.261000000002</v>
      </c>
      <c r="AI39" s="14">
        <f t="shared" si="123"/>
        <v>24426.290999999997</v>
      </c>
      <c r="AJ39" s="14">
        <f>SUM(AJ32+SUM(AJ35:AJ38))</f>
        <v>25001.803</v>
      </c>
      <c r="AK39" s="14">
        <f>SUM(AK32+SUM(AK35:AK38))</f>
        <v>25810.345999999998</v>
      </c>
      <c r="AM39" s="129">
        <f>SUM(AK39/AG39)-1</f>
        <v>0.12227927560604979</v>
      </c>
    </row>
    <row r="40" spans="2:39" ht="5.0999999999999996" customHeight="1"/>
    <row r="41" spans="2:39" ht="12.75" customHeight="1">
      <c r="B41" s="31" t="s">
        <v>177</v>
      </c>
      <c r="C41" s="145">
        <f>SUM('Historical Financials'!E109:E110)</f>
        <v>0</v>
      </c>
      <c r="D41" s="145">
        <f>SUM('Historical Financials'!F109:F110)</f>
        <v>0</v>
      </c>
      <c r="E41" s="145">
        <f>SUM('Historical Financials'!G109:G110)</f>
        <v>-911.27599999999995</v>
      </c>
      <c r="F41" s="145">
        <f>SUM('Historical Financials'!H109:H110)</f>
        <v>890.30299999999988</v>
      </c>
      <c r="G41" s="145">
        <f>SUM('Historical Financials'!I109:I110)</f>
        <v>-1742.2460000000001</v>
      </c>
      <c r="H41" s="32"/>
      <c r="I41" s="145">
        <f>SUM('Historical Financials'!O109:O110)</f>
        <v>0</v>
      </c>
      <c r="J41" s="145">
        <f>SUM('Historical Financials'!P109:P110)</f>
        <v>0</v>
      </c>
      <c r="K41" s="145">
        <f>SUM('Historical Financials'!Q109:Q110)</f>
        <v>0</v>
      </c>
      <c r="L41" s="145">
        <f>SUM('Historical Financials'!R109:R110)</f>
        <v>-911.27599999999995</v>
      </c>
      <c r="M41" s="145">
        <f>SUM('Historical Financials'!S109:S110)</f>
        <v>-201.63399999999999</v>
      </c>
      <c r="N41" s="145">
        <f>SUM('Historical Financials'!T109:T110)</f>
        <v>198.709</v>
      </c>
      <c r="O41" s="145">
        <f>SUM('Historical Financials'!U109:U110)</f>
        <v>400</v>
      </c>
      <c r="P41" s="145">
        <f>SUM('Historical Financials'!V109:V110)</f>
        <v>493.22799999999989</v>
      </c>
      <c r="Q41" s="145">
        <f>SUM('Historical Financials'!W109:W110)</f>
        <v>0</v>
      </c>
      <c r="R41" s="145">
        <f>SUM('Historical Financials'!X109:X110)</f>
        <v>0</v>
      </c>
      <c r="S41" s="145">
        <f>SUM('Historical Financials'!Y109:Y110)</f>
        <v>-1742.2460000000001</v>
      </c>
      <c r="T41" s="145">
        <f>SUM('Historical Financials'!Z109:Z110)</f>
        <v>0</v>
      </c>
      <c r="U41" s="145">
        <f>SUM('Historical Financials'!AA109:AA110)</f>
        <v>613.93899999999996</v>
      </c>
      <c r="V41" s="145">
        <f>SUM('Historical Financials'!AB109:AB110)</f>
        <v>960.76300000000003</v>
      </c>
      <c r="W41" s="145">
        <f>SUM('Historical Financials'!AC109:AC110)</f>
        <v>172.4</v>
      </c>
      <c r="Y41" s="10">
        <f t="shared" ref="Y41:AK42" si="124">SUM(H41:K41)</f>
        <v>0</v>
      </c>
      <c r="Z41" s="10">
        <f t="shared" si="124"/>
        <v>-911.27599999999995</v>
      </c>
      <c r="AA41" s="10">
        <f t="shared" si="124"/>
        <v>-1112.9099999999999</v>
      </c>
      <c r="AB41" s="10">
        <f t="shared" si="124"/>
        <v>-914.20099999999979</v>
      </c>
      <c r="AC41" s="10">
        <f t="shared" si="124"/>
        <v>-514.20099999999979</v>
      </c>
      <c r="AD41" s="10">
        <f t="shared" si="124"/>
        <v>890.30299999999988</v>
      </c>
      <c r="AE41" s="10">
        <f t="shared" si="124"/>
        <v>1091.9369999999999</v>
      </c>
      <c r="AF41" s="10">
        <f t="shared" si="124"/>
        <v>893.22799999999984</v>
      </c>
      <c r="AG41" s="146">
        <f t="shared" si="124"/>
        <v>-1249.0180000000003</v>
      </c>
      <c r="AH41" s="146">
        <f t="shared" si="124"/>
        <v>-1742.2460000000001</v>
      </c>
      <c r="AI41" s="146">
        <f t="shared" si="124"/>
        <v>-1128.3070000000002</v>
      </c>
      <c r="AJ41" s="146">
        <f t="shared" si="124"/>
        <v>-167.54400000000021</v>
      </c>
      <c r="AK41" s="146">
        <f t="shared" si="124"/>
        <v>1747.1020000000001</v>
      </c>
    </row>
    <row r="42" spans="2:39" ht="12.75" customHeight="1">
      <c r="B42" s="31" t="s">
        <v>120</v>
      </c>
      <c r="C42" s="145">
        <f>('Historical Financials'!E108)</f>
        <v>0</v>
      </c>
      <c r="D42" s="145">
        <f>('Historical Financials'!F108)</f>
        <v>-788.34900000000005</v>
      </c>
      <c r="E42" s="145">
        <f>('Historical Financials'!G108)</f>
        <v>-757.38699999999994</v>
      </c>
      <c r="F42" s="145">
        <f>('Historical Financials'!H108)</f>
        <v>0</v>
      </c>
      <c r="G42" s="145">
        <f>('Historical Financials'!I108)</f>
        <v>0</v>
      </c>
      <c r="H42" s="32"/>
      <c r="I42" s="145">
        <f>('Historical Financials'!O108)</f>
        <v>-124.521</v>
      </c>
      <c r="J42" s="145">
        <f>('Historical Financials'!P108)</f>
        <v>-68.876000000000005</v>
      </c>
      <c r="K42" s="145">
        <f>('Historical Financials'!Q108)</f>
        <v>0</v>
      </c>
      <c r="L42" s="145">
        <f>('Historical Financials'!R108)</f>
        <v>-563.99</v>
      </c>
      <c r="M42" s="145">
        <f>('Historical Financials'!S108)</f>
        <v>0</v>
      </c>
      <c r="N42" s="145">
        <f>('Historical Financials'!T108)</f>
        <v>0</v>
      </c>
      <c r="O42" s="145">
        <f>('Historical Financials'!U108)</f>
        <v>0</v>
      </c>
      <c r="P42" s="145">
        <f>('Historical Financials'!V108)</f>
        <v>0</v>
      </c>
      <c r="Q42" s="145">
        <f>('Historical Financials'!W108)</f>
        <v>0</v>
      </c>
      <c r="R42" s="145">
        <f>('Historical Financials'!X108)</f>
        <v>0</v>
      </c>
      <c r="S42" s="145">
        <f>('Historical Financials'!Y108)</f>
        <v>0</v>
      </c>
      <c r="T42" s="145">
        <f>('Historical Financials'!Z108)</f>
        <v>0</v>
      </c>
      <c r="U42" s="145">
        <f>('Historical Financials'!AA108)</f>
        <v>0</v>
      </c>
      <c r="V42" s="145">
        <f>('Historical Financials'!AB108)</f>
        <v>-36.19</v>
      </c>
      <c r="W42" s="145">
        <f>('Historical Financials'!AC108)</f>
        <v>36.19</v>
      </c>
      <c r="Y42" s="10">
        <f t="shared" si="124"/>
        <v>-193.39699999999999</v>
      </c>
      <c r="Z42" s="10">
        <f t="shared" si="124"/>
        <v>-757.38699999999994</v>
      </c>
      <c r="AA42" s="10">
        <f t="shared" si="124"/>
        <v>-632.86599999999999</v>
      </c>
      <c r="AB42" s="10">
        <f t="shared" si="124"/>
        <v>-563.99</v>
      </c>
      <c r="AC42" s="10">
        <f t="shared" si="124"/>
        <v>-563.99</v>
      </c>
      <c r="AD42" s="10">
        <f t="shared" si="124"/>
        <v>0</v>
      </c>
      <c r="AE42" s="10">
        <f t="shared" si="124"/>
        <v>0</v>
      </c>
      <c r="AF42" s="10">
        <f t="shared" si="124"/>
        <v>0</v>
      </c>
      <c r="AG42" s="146">
        <f t="shared" si="124"/>
        <v>0</v>
      </c>
      <c r="AH42" s="146">
        <f t="shared" si="124"/>
        <v>0</v>
      </c>
      <c r="AI42" s="146">
        <f t="shared" si="124"/>
        <v>0</v>
      </c>
      <c r="AJ42" s="146">
        <f t="shared" si="124"/>
        <v>-36.19</v>
      </c>
      <c r="AK42" s="146">
        <f t="shared" si="124"/>
        <v>0</v>
      </c>
    </row>
    <row r="43" spans="2:39" ht="12.75" customHeight="1">
      <c r="B43" s="31" t="s">
        <v>178</v>
      </c>
      <c r="C43" s="145">
        <f>SUM('Historical Financials'!E117:E118)</f>
        <v>235.40600000000001</v>
      </c>
      <c r="D43" s="145">
        <f>SUM('Historical Financials'!F117:F118)</f>
        <v>-425.60800000000006</v>
      </c>
      <c r="E43" s="145">
        <f>SUM('Historical Financials'!G117:G118)</f>
        <v>35.746000000000002</v>
      </c>
      <c r="F43" s="145">
        <f>SUM('Historical Financials'!H117:H118)</f>
        <v>-5875.357</v>
      </c>
      <c r="G43" s="145">
        <f>SUM('Historical Financials'!I117:I118)</f>
        <v>-5430.8590000000004</v>
      </c>
      <c r="H43" s="32"/>
      <c r="I43" s="145">
        <f>SUM('Historical Financials'!O117:O118)</f>
        <v>13.678000000000001</v>
      </c>
      <c r="J43" s="145">
        <f>SUM('Historical Financials'!P117:P118)</f>
        <v>11.25</v>
      </c>
      <c r="K43" s="145">
        <f>SUM('Historical Financials'!Q117:Q118)</f>
        <v>4.1130000000000004</v>
      </c>
      <c r="L43" s="145">
        <f>SUM('Historical Financials'!R117:R118)</f>
        <v>6.7050000000000018</v>
      </c>
      <c r="M43" s="145">
        <f>SUM('Historical Financials'!S117:S118)</f>
        <v>-374.07299999999998</v>
      </c>
      <c r="N43" s="145">
        <f>SUM('Historical Financials'!T117:T118)</f>
        <v>-610.42899999999997</v>
      </c>
      <c r="O43" s="145">
        <f>SUM('Historical Financials'!U117:U118)</f>
        <v>-2442.2819999999997</v>
      </c>
      <c r="P43" s="145">
        <f>SUM('Historical Financials'!V117:V118)</f>
        <v>-2448.5729999999999</v>
      </c>
      <c r="Q43" s="145">
        <f>SUM('Historical Financials'!W117:W118)</f>
        <v>-1731.1190000000001</v>
      </c>
      <c r="R43" s="145">
        <f>SUM('Historical Financials'!X117:X118)</f>
        <v>-1481.248</v>
      </c>
      <c r="S43" s="145">
        <f>SUM('Historical Financials'!Y117:Y118)</f>
        <v>-1556.7560000000001</v>
      </c>
      <c r="T43" s="145">
        <f>SUM('Historical Financials'!Z117:Z118)</f>
        <v>-661.73600000000056</v>
      </c>
      <c r="U43" s="145">
        <f>SUM('Historical Financials'!AA117:AA118)</f>
        <v>-3184.7940000000003</v>
      </c>
      <c r="V43" s="145">
        <f>SUM('Historical Financials'!AB117:AB118)</f>
        <v>-1485.261</v>
      </c>
      <c r="W43" s="145">
        <f>SUM('Historical Financials'!AC117:AC118)</f>
        <v>-1786.67</v>
      </c>
      <c r="Y43" s="10"/>
      <c r="Z43" s="10"/>
      <c r="AA43" s="10"/>
      <c r="AB43" s="10"/>
      <c r="AC43" s="10"/>
      <c r="AD43" s="10"/>
      <c r="AE43" s="10"/>
      <c r="AF43" s="10"/>
      <c r="AG43" s="146">
        <f t="shared" ref="AG43:AK44" si="125">SUM(P43:S43)</f>
        <v>-7217.6960000000008</v>
      </c>
      <c r="AH43" s="146">
        <f t="shared" si="125"/>
        <v>-5430.8590000000013</v>
      </c>
      <c r="AI43" s="146">
        <f t="shared" si="125"/>
        <v>-6884.5340000000015</v>
      </c>
      <c r="AJ43" s="146">
        <f t="shared" si="125"/>
        <v>-6888.5470000000005</v>
      </c>
      <c r="AK43" s="146">
        <f t="shared" si="125"/>
        <v>-7118.4610000000011</v>
      </c>
    </row>
    <row r="44" spans="2:39" ht="12.75" customHeight="1">
      <c r="B44" s="31" t="s">
        <v>179</v>
      </c>
      <c r="C44" s="145">
        <f>SUM('Historical Financials'!E114:E116)</f>
        <v>1001.9050000000001</v>
      </c>
      <c r="D44" s="145">
        <f>SUM('Historical Financials'!F114:F116)</f>
        <v>-500</v>
      </c>
      <c r="E44" s="145">
        <f>SUM('Historical Financials'!G114:G116)</f>
        <v>-700</v>
      </c>
      <c r="F44" s="145">
        <f>SUM('Historical Financials'!H114:H116)</f>
        <v>0</v>
      </c>
      <c r="G44" s="145">
        <f>SUM('Historical Financials'!I114:I116)</f>
        <v>1394.46</v>
      </c>
      <c r="H44" s="32"/>
      <c r="I44" s="145">
        <f>SUM('Historical Financials'!O114:O116)</f>
        <v>-700</v>
      </c>
      <c r="J44" s="145">
        <f>SUM('Historical Financials'!P114:P116)</f>
        <v>0</v>
      </c>
      <c r="K44" s="145">
        <f>SUM('Historical Financials'!Q114:Q116)</f>
        <v>0</v>
      </c>
      <c r="L44" s="145">
        <f>SUM('Historical Financials'!R114:R116)</f>
        <v>0</v>
      </c>
      <c r="M44" s="145">
        <f>SUM('Historical Financials'!S114:S116)</f>
        <v>0</v>
      </c>
      <c r="N44" s="145">
        <f>SUM('Historical Financials'!T114:T116)</f>
        <v>0</v>
      </c>
      <c r="O44" s="145">
        <f>SUM('Historical Financials'!U114:U116)</f>
        <v>0</v>
      </c>
      <c r="P44" s="145">
        <f>SUM('Historical Financials'!V114:V116)</f>
        <v>0</v>
      </c>
      <c r="Q44" s="145">
        <f>SUM('Historical Financials'!W114:W116)</f>
        <v>-400</v>
      </c>
      <c r="R44" s="145">
        <f>SUM('Historical Financials'!X114:X116)</f>
        <v>0</v>
      </c>
      <c r="S44" s="145">
        <f>SUM('Historical Financials'!Y114:Y116)</f>
        <v>1794.46</v>
      </c>
      <c r="T44" s="145">
        <f>SUM('Historical Financials'!Z114:Z116)</f>
        <v>0</v>
      </c>
      <c r="U44" s="145">
        <f>SUM('Historical Financials'!AA114:AA116)</f>
        <v>-800</v>
      </c>
      <c r="V44" s="145">
        <f>SUM('Historical Financials'!AB114:AB116)</f>
        <v>-1033.45</v>
      </c>
      <c r="W44" s="145">
        <f>SUM('Historical Financials'!AC114:AC116)</f>
        <v>0</v>
      </c>
      <c r="Y44" s="10"/>
      <c r="Z44" s="10"/>
      <c r="AA44" s="10"/>
      <c r="AB44" s="10"/>
      <c r="AC44" s="10"/>
      <c r="AD44" s="10"/>
      <c r="AE44" s="10"/>
      <c r="AF44" s="10"/>
      <c r="AG44" s="146">
        <f t="shared" si="125"/>
        <v>1394.46</v>
      </c>
      <c r="AH44" s="146">
        <f t="shared" si="125"/>
        <v>1394.46</v>
      </c>
      <c r="AI44" s="146">
        <f t="shared" si="125"/>
        <v>994.46</v>
      </c>
      <c r="AJ44" s="146">
        <f t="shared" si="125"/>
        <v>-38.990000000000009</v>
      </c>
      <c r="AK44" s="146">
        <f t="shared" si="125"/>
        <v>-1833.45</v>
      </c>
    </row>
    <row r="45" spans="2:39" ht="12.75" customHeight="1">
      <c r="B45" s="31" t="s">
        <v>180</v>
      </c>
      <c r="C45" s="145">
        <f>SUM('Historical Financials'!E89:E90)</f>
        <v>-12536.717000000001</v>
      </c>
      <c r="D45" s="145">
        <f>SUM('Historical Financials'!F89:F90)</f>
        <v>-17469.304</v>
      </c>
      <c r="E45" s="145">
        <f>SUM('Historical Financials'!G89:G90)</f>
        <v>-16659.727999999999</v>
      </c>
      <c r="F45" s="145">
        <f>SUM('Historical Financials'!H89:H90)</f>
        <v>-13140.305</v>
      </c>
      <c r="G45" s="145">
        <f>SUM('Historical Financials'!I89:I90)</f>
        <v>-17002.752</v>
      </c>
      <c r="H45" s="32"/>
      <c r="I45" s="145">
        <f>SUM('Historical Financials'!O89:O90)</f>
        <v>-3931.3130000000001</v>
      </c>
      <c r="J45" s="145">
        <f>SUM('Historical Financials'!P89:P90)</f>
        <v>-4495.7830000000004</v>
      </c>
      <c r="K45" s="145">
        <f>SUM('Historical Financials'!Q89:Q90)</f>
        <v>-4521.8040000000001</v>
      </c>
      <c r="L45" s="145">
        <f>SUM('Historical Financials'!R89:R90)</f>
        <v>-3710.8279999999991</v>
      </c>
      <c r="M45" s="145">
        <f>SUM('Historical Financials'!S89:S90)</f>
        <v>-2813.4570000000003</v>
      </c>
      <c r="N45" s="145">
        <f>SUM('Historical Financials'!T89:T90)</f>
        <v>-3636.8879999999999</v>
      </c>
      <c r="O45" s="145">
        <f>SUM('Historical Financials'!U89:U90)</f>
        <v>-3209.828</v>
      </c>
      <c r="P45" s="145">
        <f>SUM('Historical Financials'!V89:V90)</f>
        <v>-3480.1319999999987</v>
      </c>
      <c r="Q45" s="145">
        <f>SUM('Historical Financials'!W89:W90)</f>
        <v>-3918.4079999999999</v>
      </c>
      <c r="R45" s="145">
        <f>SUM('Historical Financials'!X89:X90)</f>
        <v>-4415.424</v>
      </c>
      <c r="S45" s="145">
        <f>SUM('Historical Financials'!Y89:Y90)</f>
        <v>-4099.9809999999998</v>
      </c>
      <c r="T45" s="145">
        <f>SUM('Historical Financials'!Z89:Z90)</f>
        <v>-4568.9390000000003</v>
      </c>
      <c r="U45" s="145">
        <f>SUM('Historical Financials'!AA89:AA90)</f>
        <v>-3960.9100000000003</v>
      </c>
      <c r="V45" s="145">
        <f>SUM('Historical Financials'!AB89:AB90)</f>
        <v>-4049.8650000000002</v>
      </c>
      <c r="W45" s="145">
        <f>SUM('Historical Financials'!AC89:AC90)</f>
        <v>-4629.6730000000007</v>
      </c>
      <c r="Y45" s="10"/>
      <c r="Z45" s="10"/>
      <c r="AA45" s="10"/>
      <c r="AB45" s="10"/>
      <c r="AC45" s="10"/>
      <c r="AD45" s="10"/>
      <c r="AE45" s="10"/>
      <c r="AF45" s="10">
        <f t="shared" ref="AF45:AK47" si="126">SUM(O45:R45)</f>
        <v>-15023.791999999998</v>
      </c>
      <c r="AG45" s="146">
        <f t="shared" si="126"/>
        <v>-15913.945</v>
      </c>
      <c r="AH45" s="146">
        <f t="shared" si="126"/>
        <v>-17002.752</v>
      </c>
      <c r="AI45" s="146">
        <f t="shared" si="126"/>
        <v>-17045.254000000001</v>
      </c>
      <c r="AJ45" s="146">
        <f t="shared" si="126"/>
        <v>-16679.695</v>
      </c>
      <c r="AK45" s="146">
        <f t="shared" si="126"/>
        <v>-17209.387000000002</v>
      </c>
    </row>
    <row r="46" spans="2:39" ht="12.75" customHeight="1">
      <c r="B46" s="31" t="s">
        <v>181</v>
      </c>
      <c r="C46" s="145">
        <f>SUM('Historical Financials'!E119:E120)</f>
        <v>0</v>
      </c>
      <c r="D46" s="145">
        <f>SUM('Historical Financials'!F119:F120)</f>
        <v>-224.16800000000001</v>
      </c>
      <c r="E46" s="145">
        <f>SUM('Historical Financials'!G119:G120)</f>
        <v>0</v>
      </c>
      <c r="F46" s="145">
        <f>SUM('Historical Financials'!H119:H120)</f>
        <v>-75.445999999999998</v>
      </c>
      <c r="G46" s="145">
        <f>SUM('Historical Financials'!I119:I120)</f>
        <v>-38.027999999999999</v>
      </c>
      <c r="H46" s="32"/>
      <c r="I46" s="145">
        <f>SUM('Historical Financials'!O119:O120)</f>
        <v>0</v>
      </c>
      <c r="J46" s="145">
        <f>SUM('Historical Financials'!P119:P120)</f>
        <v>0</v>
      </c>
      <c r="K46" s="145">
        <f>SUM('Historical Financials'!Q119:Q120)</f>
        <v>0</v>
      </c>
      <c r="L46" s="145">
        <f>SUM('Historical Financials'!R119:R120)</f>
        <v>0</v>
      </c>
      <c r="M46" s="145">
        <f>SUM('Historical Financials'!S119:S120)</f>
        <v>0</v>
      </c>
      <c r="N46" s="145">
        <f>SUM('Historical Financials'!T119:T120)</f>
        <v>-38.92</v>
      </c>
      <c r="O46" s="145">
        <f>SUM('Historical Financials'!U119:U120)</f>
        <v>-32.826000000000001</v>
      </c>
      <c r="P46" s="145">
        <f>SUM('Historical Financials'!V119:V120)</f>
        <v>-3.6999999999999886</v>
      </c>
      <c r="Q46" s="145">
        <f>SUM('Historical Financials'!W119:W120)</f>
        <v>-1.825</v>
      </c>
      <c r="R46" s="145">
        <f>SUM('Historical Financials'!X119:X120)</f>
        <v>-8.1329999999999991</v>
      </c>
      <c r="S46" s="145">
        <f>SUM('Historical Financials'!Y119:Y120)</f>
        <v>-11.108000000000001</v>
      </c>
      <c r="T46" s="145">
        <f>SUM('Historical Financials'!Z119:Z120)</f>
        <v>-16.962</v>
      </c>
      <c r="U46" s="145">
        <f>SUM('Historical Financials'!AA119:AA120)</f>
        <v>-43.521999999999998</v>
      </c>
      <c r="V46" s="145">
        <f>SUM('Historical Financials'!AB119:AB120)</f>
        <v>15.843</v>
      </c>
      <c r="W46" s="145">
        <f>SUM('Historical Financials'!AC119:AC120)</f>
        <v>49.641000000000005</v>
      </c>
      <c r="Y46" s="10"/>
      <c r="Z46" s="10"/>
      <c r="AA46" s="10"/>
      <c r="AB46" s="10"/>
      <c r="AC46" s="10"/>
      <c r="AD46" s="10"/>
      <c r="AE46" s="10"/>
      <c r="AF46" s="10"/>
      <c r="AG46" s="146">
        <f>SUM(P46:S46)</f>
        <v>-24.765999999999988</v>
      </c>
      <c r="AH46" s="146">
        <f>SUM(Q46:T46)</f>
        <v>-38.027999999999999</v>
      </c>
      <c r="AI46" s="146">
        <f>SUM(R46:U46)</f>
        <v>-79.724999999999994</v>
      </c>
      <c r="AJ46" s="146">
        <f>SUM(S46:V46)</f>
        <v>-55.748999999999995</v>
      </c>
      <c r="AK46" s="146">
        <f>SUM(T46:W46)</f>
        <v>5.0000000000000142</v>
      </c>
    </row>
    <row r="47" spans="2:39" ht="12.75" customHeight="1">
      <c r="B47" s="31" t="s">
        <v>79</v>
      </c>
      <c r="C47" s="98"/>
      <c r="D47" s="98">
        <f>SUM(D52-C52)-SUM(D39:D45)</f>
        <v>8.2659999999978027</v>
      </c>
      <c r="E47" s="98">
        <f>SUM(E52-D52)-SUM(E39:E45)</f>
        <v>220.1489999999967</v>
      </c>
      <c r="F47" s="98">
        <f>SUM(F52-E52)-SUM(F39:F45)</f>
        <v>551.51799999999821</v>
      </c>
      <c r="G47" s="98">
        <f>SUM(G52-F52)-SUM(G39:G46)</f>
        <v>-24.742999999999711</v>
      </c>
      <c r="H47" s="32"/>
      <c r="I47" s="98">
        <f>SUM(I52-D52)-SUM(I39:I46)</f>
        <v>57.1899999999996</v>
      </c>
      <c r="J47" s="98">
        <f t="shared" ref="J47:W47" si="127">SUM(J52-I52)-SUM(J39:J46)</f>
        <v>-139.33600000000024</v>
      </c>
      <c r="K47" s="98">
        <f t="shared" si="127"/>
        <v>-224.01699999999983</v>
      </c>
      <c r="L47" s="98">
        <f t="shared" si="127"/>
        <v>491.11600000000317</v>
      </c>
      <c r="M47" s="98">
        <f t="shared" si="127"/>
        <v>57.076999999999316</v>
      </c>
      <c r="N47" s="98">
        <f t="shared" si="127"/>
        <v>133.79799999999875</v>
      </c>
      <c r="O47" s="98">
        <f t="shared" si="127"/>
        <v>-97.870000000000829</v>
      </c>
      <c r="P47" s="98">
        <f t="shared" si="127"/>
        <v>191.72299999999603</v>
      </c>
      <c r="Q47" s="98">
        <f t="shared" si="127"/>
        <v>-81.348999999997702</v>
      </c>
      <c r="R47" s="98">
        <f t="shared" si="127"/>
        <v>-157.49199999999908</v>
      </c>
      <c r="S47" s="98">
        <f t="shared" si="127"/>
        <v>163.71399999999971</v>
      </c>
      <c r="T47" s="98">
        <f t="shared" si="127"/>
        <v>-292.88899999999694</v>
      </c>
      <c r="U47" s="98">
        <f t="shared" si="127"/>
        <v>178.81800000000032</v>
      </c>
      <c r="V47" s="98">
        <f t="shared" si="127"/>
        <v>367.73499999999819</v>
      </c>
      <c r="W47" s="98">
        <f t="shared" si="127"/>
        <v>175.4480000000018</v>
      </c>
      <c r="Y47" s="10">
        <f t="shared" ref="Y47:AE47" si="128">SUM(H47:K47)</f>
        <v>-306.16300000000047</v>
      </c>
      <c r="Z47" s="10">
        <f t="shared" si="128"/>
        <v>184.9530000000027</v>
      </c>
      <c r="AA47" s="10">
        <f t="shared" si="128"/>
        <v>184.84000000000242</v>
      </c>
      <c r="AB47" s="10">
        <f t="shared" si="128"/>
        <v>457.97400000000141</v>
      </c>
      <c r="AC47" s="10">
        <f t="shared" si="128"/>
        <v>584.12100000000044</v>
      </c>
      <c r="AD47" s="10">
        <f t="shared" si="128"/>
        <v>284.72799999999324</v>
      </c>
      <c r="AE47" s="10">
        <f t="shared" si="128"/>
        <v>146.30199999999627</v>
      </c>
      <c r="AF47" s="10">
        <f t="shared" si="126"/>
        <v>-144.98800000000159</v>
      </c>
      <c r="AG47" s="146">
        <f t="shared" si="126"/>
        <v>116.59599999999897</v>
      </c>
      <c r="AH47" s="146">
        <f t="shared" si="126"/>
        <v>-368.01599999999399</v>
      </c>
      <c r="AI47" s="146">
        <f t="shared" si="126"/>
        <v>-107.84899999999595</v>
      </c>
      <c r="AJ47" s="146">
        <f t="shared" si="126"/>
        <v>417.37800000000129</v>
      </c>
      <c r="AK47" s="146">
        <f t="shared" si="126"/>
        <v>429.11200000000338</v>
      </c>
    </row>
    <row r="48" spans="2:39" ht="12.75" customHeight="1">
      <c r="B48" s="13" t="s">
        <v>48</v>
      </c>
      <c r="C48" s="14">
        <f>SUM(C39+SUM(C41:C47))</f>
        <v>3039.4030000000002</v>
      </c>
      <c r="D48" s="14">
        <f>SUM(D39+SUM(D41:D47))</f>
        <v>-2401.913999999997</v>
      </c>
      <c r="E48" s="14">
        <f>SUM(E39+SUM(E41:E47))</f>
        <v>-880.62799999999697</v>
      </c>
      <c r="F48" s="14">
        <f>SUM(F39+SUM(F41:F47))</f>
        <v>1894.2909999999974</v>
      </c>
      <c r="G48" s="14">
        <f>SUM(G39+SUM(G41:G47))</f>
        <v>687.82000000000335</v>
      </c>
      <c r="I48" s="14">
        <f t="shared" ref="I48:W48" si="129">SUM(I39+SUM(I41:I47))</f>
        <v>-18.858000000000175</v>
      </c>
      <c r="J48" s="14">
        <f t="shared" si="129"/>
        <v>-189.4970000000003</v>
      </c>
      <c r="K48" s="14">
        <f t="shared" si="129"/>
        <v>294.28400000000056</v>
      </c>
      <c r="L48" s="14">
        <f t="shared" si="129"/>
        <v>-966.55699999999979</v>
      </c>
      <c r="M48" s="14">
        <f t="shared" si="129"/>
        <v>1567.4180000000001</v>
      </c>
      <c r="N48" s="14">
        <f t="shared" si="129"/>
        <v>948.19399999999996</v>
      </c>
      <c r="O48" s="14">
        <f t="shared" si="129"/>
        <v>-309.54299999999967</v>
      </c>
      <c r="P48" s="14">
        <f t="shared" si="129"/>
        <v>-236.33200000000033</v>
      </c>
      <c r="Q48" s="14">
        <f t="shared" si="129"/>
        <v>-92.146999999999025</v>
      </c>
      <c r="R48" s="14">
        <f t="shared" si="129"/>
        <v>-399.82699999999932</v>
      </c>
      <c r="S48" s="14">
        <f t="shared" si="129"/>
        <v>832.08599999999933</v>
      </c>
      <c r="T48" s="14">
        <f t="shared" si="129"/>
        <v>347.70800000000054</v>
      </c>
      <c r="U48" s="14">
        <f t="shared" si="129"/>
        <v>-604.88500000000113</v>
      </c>
      <c r="V48" s="14">
        <f t="shared" si="129"/>
        <v>977.55699999999797</v>
      </c>
      <c r="W48" s="14">
        <f t="shared" si="129"/>
        <v>1109.8820000000014</v>
      </c>
      <c r="Y48" s="14">
        <f t="shared" ref="Y48:AK48" si="130">SUM(Y39+SUM(Y41:Y47))</f>
        <v>4114.9630000000016</v>
      </c>
      <c r="Z48" s="14">
        <f t="shared" si="130"/>
        <v>4054.600000000004</v>
      </c>
      <c r="AA48" s="14">
        <f t="shared" si="130"/>
        <v>4400.5570000000025</v>
      </c>
      <c r="AB48" s="14">
        <f t="shared" si="130"/>
        <v>5018.4190000000017</v>
      </c>
      <c r="AC48" s="14">
        <f t="shared" si="130"/>
        <v>5321.688000000001</v>
      </c>
      <c r="AD48" s="14">
        <f t="shared" si="130"/>
        <v>7729.2619999999933</v>
      </c>
      <c r="AE48" s="14">
        <f t="shared" si="130"/>
        <v>8302.878999999999</v>
      </c>
      <c r="AF48" s="14">
        <f t="shared" si="130"/>
        <v>-6985.2589999999964</v>
      </c>
      <c r="AG48" s="14">
        <f t="shared" si="130"/>
        <v>103.7799999999952</v>
      </c>
      <c r="AH48" s="14">
        <f t="shared" si="130"/>
        <v>687.82000000001062</v>
      </c>
      <c r="AI48" s="14">
        <f t="shared" si="130"/>
        <v>175.08200000000215</v>
      </c>
      <c r="AJ48" s="14">
        <f t="shared" si="130"/>
        <v>1552.4660000000003</v>
      </c>
      <c r="AK48" s="14">
        <f t="shared" si="130"/>
        <v>1830.2619999999988</v>
      </c>
    </row>
    <row r="49" spans="1:37" ht="5.0999999999999996" customHeight="1"/>
    <row r="50" spans="1:37" ht="12.75" customHeight="1">
      <c r="A50" s="5"/>
      <c r="B50" s="33" t="s">
        <v>49</v>
      </c>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row>
    <row r="51" spans="1:37" ht="5.0999999999999996" customHeight="1"/>
    <row r="52" spans="1:37" ht="12.75" customHeight="1">
      <c r="B52" s="8" t="s">
        <v>50</v>
      </c>
      <c r="C52" s="97">
        <f>('Historical Financials'!E46)</f>
        <v>8205.5499999999993</v>
      </c>
      <c r="D52" s="97">
        <f>('Historical Financials'!F46)</f>
        <v>6027.8040000000001</v>
      </c>
      <c r="E52" s="97">
        <f>('Historical Financials'!G46)</f>
        <v>5147.1760000000004</v>
      </c>
      <c r="F52" s="97">
        <f>('Historical Financials'!H46)</f>
        <v>7116.9129999999996</v>
      </c>
      <c r="G52" s="97">
        <f>('Historical Financials'!I46)</f>
        <v>7804.7330000000002</v>
      </c>
      <c r="H52" s="32"/>
      <c r="I52" s="97">
        <f>('Historical Financials'!O46)</f>
        <v>6008.9459999999999</v>
      </c>
      <c r="J52" s="97">
        <f>('Historical Financials'!P46)</f>
        <v>5819.4489999999996</v>
      </c>
      <c r="K52" s="97">
        <f>('Historical Financials'!Q46)</f>
        <v>6113.7330000000002</v>
      </c>
      <c r="L52" s="97">
        <f>('Historical Financials'!R46)</f>
        <v>5147.1760000000004</v>
      </c>
      <c r="M52" s="97">
        <f>('Historical Financials'!S46)</f>
        <v>6714.5940000000001</v>
      </c>
      <c r="N52" s="97">
        <f>('Historical Financials'!T46)</f>
        <v>7662.7879999999996</v>
      </c>
      <c r="O52" s="97">
        <f>('Historical Financials'!U46)</f>
        <v>7353.2449999999999</v>
      </c>
      <c r="P52" s="97">
        <f>('Historical Financials'!V46)</f>
        <v>7116.9129999999996</v>
      </c>
      <c r="Q52" s="97">
        <f>('Historical Financials'!W46)</f>
        <v>7024.7659999999996</v>
      </c>
      <c r="R52" s="97">
        <f>('Historical Financials'!X46)</f>
        <v>6624.9390000000003</v>
      </c>
      <c r="S52" s="97">
        <f>('Historical Financials'!Y46)</f>
        <v>7457.0249999999996</v>
      </c>
      <c r="T52" s="97">
        <f>('Historical Financials'!Z46)</f>
        <v>7804.7330000000002</v>
      </c>
      <c r="U52" s="97">
        <f>('Historical Financials'!AA46)</f>
        <v>7199.848</v>
      </c>
      <c r="V52" s="97">
        <f>('Historical Financials'!AB46)</f>
        <v>8177.4049999999997</v>
      </c>
      <c r="W52" s="97">
        <f>('Historical Financials'!AC46)</f>
        <v>9287.2870000000003</v>
      </c>
      <c r="Y52" s="10">
        <f t="shared" ref="Y52:AK52" si="131">K52</f>
        <v>6113.7330000000002</v>
      </c>
      <c r="Z52" s="10">
        <f t="shared" si="131"/>
        <v>5147.1760000000004</v>
      </c>
      <c r="AA52" s="10">
        <f t="shared" si="131"/>
        <v>6714.5940000000001</v>
      </c>
      <c r="AB52" s="10">
        <f t="shared" si="131"/>
        <v>7662.7879999999996</v>
      </c>
      <c r="AC52" s="10">
        <f t="shared" si="131"/>
        <v>7353.2449999999999</v>
      </c>
      <c r="AD52" s="10">
        <f t="shared" si="131"/>
        <v>7116.9129999999996</v>
      </c>
      <c r="AE52" s="10">
        <f t="shared" si="131"/>
        <v>7024.7659999999996</v>
      </c>
      <c r="AF52" s="10">
        <f t="shared" si="131"/>
        <v>6624.9390000000003</v>
      </c>
      <c r="AG52" s="10">
        <f t="shared" si="131"/>
        <v>7457.0249999999996</v>
      </c>
      <c r="AH52" s="10">
        <f t="shared" si="131"/>
        <v>7804.7330000000002</v>
      </c>
      <c r="AI52" s="10">
        <f t="shared" si="131"/>
        <v>7199.848</v>
      </c>
      <c r="AJ52" s="10">
        <f t="shared" si="131"/>
        <v>8177.4049999999997</v>
      </c>
      <c r="AK52" s="10">
        <f t="shared" si="131"/>
        <v>9287.2870000000003</v>
      </c>
    </row>
    <row r="53" spans="1:37" ht="12.75" customHeight="1">
      <c r="B53" s="8" t="s">
        <v>119</v>
      </c>
      <c r="C53" s="97">
        <f>('Historical Financials'!E48)</f>
        <v>0</v>
      </c>
      <c r="D53" s="97">
        <f>('Historical Financials'!F48)</f>
        <v>0</v>
      </c>
      <c r="E53" s="97">
        <f>('Historical Financials'!G48)</f>
        <v>911.27599999999995</v>
      </c>
      <c r="F53" s="97">
        <f>('Historical Financials'!H48)</f>
        <v>20.972999999999999</v>
      </c>
      <c r="G53" s="97">
        <f>('Historical Financials'!I48)</f>
        <v>1779.0060000000001</v>
      </c>
      <c r="H53" s="32"/>
      <c r="I53" s="97">
        <f>('Historical Financials'!O48)</f>
        <v>0</v>
      </c>
      <c r="J53" s="97">
        <f>('Historical Financials'!P48)</f>
        <v>0</v>
      </c>
      <c r="K53" s="97">
        <f>('Historical Financials'!Q48)</f>
        <v>0</v>
      </c>
      <c r="L53" s="97">
        <f>('Historical Financials'!R48)</f>
        <v>911.27599999999995</v>
      </c>
      <c r="M53" s="97">
        <f>('Historical Financials'!S48)</f>
        <v>1112.9100000000001</v>
      </c>
      <c r="N53" s="97">
        <f>('Historical Financials'!T48)</f>
        <v>914.20100000000002</v>
      </c>
      <c r="O53" s="97">
        <f>('Historical Financials'!U48)</f>
        <v>514.20100000000002</v>
      </c>
      <c r="P53" s="97">
        <f>('Historical Financials'!V48)</f>
        <v>20.972999999999999</v>
      </c>
      <c r="Q53" s="97">
        <f>('Historical Financials'!W48)</f>
        <v>20.972999999999999</v>
      </c>
      <c r="R53" s="97">
        <f>('Historical Financials'!X48)</f>
        <v>30.972999999999999</v>
      </c>
      <c r="S53" s="97">
        <f>('Historical Financials'!Y48)</f>
        <v>1766.902</v>
      </c>
      <c r="T53" s="97">
        <f>('Historical Financials'!Z48)</f>
        <v>1779.0060000000001</v>
      </c>
      <c r="U53" s="97">
        <f>('Historical Financials'!AA48)</f>
        <v>1171.1420000000001</v>
      </c>
      <c r="V53" s="97">
        <f>('Historical Financials'!AB48)</f>
        <v>213.11500000000001</v>
      </c>
      <c r="W53" s="97">
        <f>('Historical Financials'!AC48)</f>
        <v>37.104999999999997</v>
      </c>
      <c r="Y53" s="10"/>
      <c r="Z53" s="10"/>
      <c r="AA53" s="10"/>
      <c r="AB53" s="10"/>
      <c r="AC53" s="10"/>
      <c r="AD53" s="10"/>
      <c r="AE53" s="10"/>
      <c r="AF53" s="10"/>
      <c r="AG53" s="10">
        <f t="shared" ref="AG53:AK54" si="132">S53</f>
        <v>1766.902</v>
      </c>
      <c r="AH53" s="10">
        <f t="shared" si="132"/>
        <v>1779.0060000000001</v>
      </c>
      <c r="AI53" s="10">
        <f t="shared" si="132"/>
        <v>1171.1420000000001</v>
      </c>
      <c r="AJ53" s="10">
        <f t="shared" si="132"/>
        <v>213.11500000000001</v>
      </c>
      <c r="AK53" s="10">
        <f t="shared" si="132"/>
        <v>37.104999999999997</v>
      </c>
    </row>
    <row r="54" spans="1:37" ht="12.75" customHeight="1">
      <c r="B54" s="31" t="s">
        <v>210</v>
      </c>
      <c r="C54" s="84">
        <v>750</v>
      </c>
      <c r="D54" s="84">
        <v>1000</v>
      </c>
      <c r="E54" s="84">
        <v>1000</v>
      </c>
      <c r="F54" s="84">
        <v>1000</v>
      </c>
      <c r="G54" s="84">
        <v>3000</v>
      </c>
      <c r="H54" s="97"/>
      <c r="I54" s="84">
        <v>1000</v>
      </c>
      <c r="J54" s="84">
        <v>1000</v>
      </c>
      <c r="K54" s="84">
        <v>1000</v>
      </c>
      <c r="L54" s="10">
        <f>E54</f>
        <v>1000</v>
      </c>
      <c r="M54" s="84">
        <v>1000</v>
      </c>
      <c r="N54" s="84">
        <v>1000</v>
      </c>
      <c r="O54" s="84">
        <v>1000</v>
      </c>
      <c r="P54" s="10">
        <f>F54</f>
        <v>1000</v>
      </c>
      <c r="Q54" s="84">
        <v>3000</v>
      </c>
      <c r="R54" s="84">
        <v>3000</v>
      </c>
      <c r="S54" s="84">
        <v>3000</v>
      </c>
      <c r="T54" s="10">
        <f>G54</f>
        <v>3000</v>
      </c>
      <c r="U54" s="84">
        <v>3000</v>
      </c>
      <c r="V54" s="84">
        <v>3000</v>
      </c>
      <c r="W54" s="84">
        <v>3000</v>
      </c>
      <c r="Y54" s="10"/>
      <c r="Z54" s="10"/>
      <c r="AA54" s="10"/>
      <c r="AB54" s="10"/>
      <c r="AC54" s="10"/>
      <c r="AD54" s="10"/>
      <c r="AE54" s="10"/>
      <c r="AF54" s="10"/>
      <c r="AG54" s="10">
        <f t="shared" si="132"/>
        <v>3000</v>
      </c>
      <c r="AH54" s="10">
        <f t="shared" si="132"/>
        <v>3000</v>
      </c>
      <c r="AI54" s="10">
        <f t="shared" si="132"/>
        <v>3000</v>
      </c>
      <c r="AJ54" s="10">
        <f t="shared" si="132"/>
        <v>3000</v>
      </c>
      <c r="AK54" s="10">
        <f t="shared" si="132"/>
        <v>3000</v>
      </c>
    </row>
    <row r="55" spans="1:37" ht="12.75" customHeight="1">
      <c r="B55" s="13" t="s">
        <v>51</v>
      </c>
      <c r="C55" s="14">
        <f>SUM(C52:C54)</f>
        <v>8955.5499999999993</v>
      </c>
      <c r="D55" s="14">
        <f>SUM(D52:D54)</f>
        <v>7027.8040000000001</v>
      </c>
      <c r="E55" s="14">
        <f>SUM(E52:E54)</f>
        <v>7058.4520000000002</v>
      </c>
      <c r="F55" s="14">
        <f>SUM(F52:F54)</f>
        <v>8137.8859999999995</v>
      </c>
      <c r="G55" s="14">
        <f>SUM(G52:G54)</f>
        <v>12583.739</v>
      </c>
      <c r="H55" s="32"/>
      <c r="I55" s="14">
        <f t="shared" ref="I55:W55" si="133">SUM(I52:I54)</f>
        <v>7008.9459999999999</v>
      </c>
      <c r="J55" s="14">
        <f t="shared" si="133"/>
        <v>6819.4489999999996</v>
      </c>
      <c r="K55" s="14">
        <f t="shared" si="133"/>
        <v>7113.7330000000002</v>
      </c>
      <c r="L55" s="14">
        <f t="shared" si="133"/>
        <v>7058.4520000000002</v>
      </c>
      <c r="M55" s="14">
        <f t="shared" si="133"/>
        <v>8827.5040000000008</v>
      </c>
      <c r="N55" s="14">
        <f t="shared" si="133"/>
        <v>9576.9889999999996</v>
      </c>
      <c r="O55" s="14">
        <f t="shared" si="133"/>
        <v>8867.4459999999999</v>
      </c>
      <c r="P55" s="14">
        <f t="shared" si="133"/>
        <v>8137.8859999999995</v>
      </c>
      <c r="Q55" s="14">
        <f t="shared" si="133"/>
        <v>10045.739</v>
      </c>
      <c r="R55" s="14">
        <f t="shared" si="133"/>
        <v>9655.9120000000003</v>
      </c>
      <c r="S55" s="14">
        <f t="shared" si="133"/>
        <v>12223.927</v>
      </c>
      <c r="T55" s="14">
        <f t="shared" si="133"/>
        <v>12583.739</v>
      </c>
      <c r="U55" s="14">
        <f t="shared" si="133"/>
        <v>11370.99</v>
      </c>
      <c r="V55" s="14">
        <f t="shared" si="133"/>
        <v>11390.52</v>
      </c>
      <c r="W55" s="14">
        <f t="shared" si="133"/>
        <v>12324.392</v>
      </c>
      <c r="Y55" s="14">
        <f t="shared" ref="Y55:AF55" si="134">SUM(Y52:Y52)</f>
        <v>6113.7330000000002</v>
      </c>
      <c r="Z55" s="14">
        <f t="shared" si="134"/>
        <v>5147.1760000000004</v>
      </c>
      <c r="AA55" s="14">
        <f t="shared" si="134"/>
        <v>6714.5940000000001</v>
      </c>
      <c r="AB55" s="14">
        <f t="shared" si="134"/>
        <v>7662.7879999999996</v>
      </c>
      <c r="AC55" s="14">
        <f t="shared" si="134"/>
        <v>7353.2449999999999</v>
      </c>
      <c r="AD55" s="14">
        <f t="shared" si="134"/>
        <v>7116.9129999999996</v>
      </c>
      <c r="AE55" s="14">
        <f t="shared" si="134"/>
        <v>7024.7659999999996</v>
      </c>
      <c r="AF55" s="14">
        <f t="shared" si="134"/>
        <v>6624.9390000000003</v>
      </c>
      <c r="AG55" s="14">
        <f>SUM(AG52:AG54)</f>
        <v>12223.927</v>
      </c>
      <c r="AH55" s="14">
        <f>SUM(AH52:AH54)</f>
        <v>12583.739</v>
      </c>
      <c r="AI55" s="14">
        <f>SUM(AI52:AI54)</f>
        <v>11370.99</v>
      </c>
      <c r="AJ55" s="14">
        <f>SUM(AJ52:AJ54)</f>
        <v>11390.52</v>
      </c>
      <c r="AK55" s="14">
        <f>SUM(AK52:AK54)</f>
        <v>12324.392</v>
      </c>
    </row>
    <row r="56" spans="1:37" ht="5.0999999999999996" customHeight="1"/>
    <row r="57" spans="1:37" ht="12.75" customHeight="1">
      <c r="B57" s="35" t="s">
        <v>52</v>
      </c>
    </row>
    <row r="58" spans="1:37" ht="12.75" customHeight="1">
      <c r="B58" s="8" t="s">
        <v>212</v>
      </c>
      <c r="C58" s="97">
        <f>('Historical Financials'!E53)</f>
        <v>960.18299999999999</v>
      </c>
      <c r="D58" s="97">
        <f>('Historical Financials'!F53)</f>
        <v>1323.453</v>
      </c>
      <c r="E58" s="97">
        <f>('Historical Financials'!G53)</f>
        <v>1398.2570000000001</v>
      </c>
      <c r="F58" s="97">
        <f>('Historical Financials'!H53)</f>
        <v>1491.444</v>
      </c>
      <c r="G58" s="97">
        <f>('Historical Financials'!I53)</f>
        <v>1593.7560000000001</v>
      </c>
      <c r="I58" s="97">
        <f>('Historical Financials'!O53)</f>
        <v>1383.7629999999999</v>
      </c>
      <c r="J58" s="97">
        <f>('Historical Financials'!P53)</f>
        <v>1361.92</v>
      </c>
      <c r="K58" s="97">
        <f>('Historical Financials'!Q53)</f>
        <v>1372.7539999999999</v>
      </c>
      <c r="L58" s="97">
        <f>('Historical Financials'!R53)</f>
        <v>1398.2570000000001</v>
      </c>
      <c r="M58" s="97">
        <f>('Historical Financials'!S53)</f>
        <v>1413.0940000000001</v>
      </c>
      <c r="N58" s="97">
        <f>('Historical Financials'!T53)</f>
        <v>1471.9680000000001</v>
      </c>
      <c r="O58" s="97">
        <f>('Historical Financials'!U53)</f>
        <v>1498.3910000000001</v>
      </c>
      <c r="P58" s="97">
        <f>('Historical Financials'!V53)</f>
        <v>1491.444</v>
      </c>
      <c r="Q58" s="97">
        <f>('Historical Financials'!W53)</f>
        <v>1501.1679999999999</v>
      </c>
      <c r="R58" s="97">
        <f>('Historical Financials'!X53)</f>
        <v>1510.9580000000001</v>
      </c>
      <c r="S58" s="97">
        <f>('Historical Financials'!Y53)</f>
        <v>1568.212</v>
      </c>
      <c r="T58" s="97">
        <f>('Historical Financials'!Z53)</f>
        <v>1593.7560000000001</v>
      </c>
      <c r="U58" s="97">
        <f>('Historical Financials'!AA53)</f>
        <v>1644.346</v>
      </c>
      <c r="V58" s="97">
        <f>('Historical Financials'!AB53)</f>
        <v>1743.566</v>
      </c>
      <c r="W58" s="97">
        <f>('Historical Financials'!AC53)</f>
        <v>1837.8889999999999</v>
      </c>
      <c r="X58" s="10"/>
      <c r="Y58" s="10">
        <f t="shared" ref="Y58:AI63" si="135">K58</f>
        <v>1372.7539999999999</v>
      </c>
      <c r="Z58" s="10">
        <f t="shared" si="135"/>
        <v>1398.2570000000001</v>
      </c>
      <c r="AA58" s="10">
        <f t="shared" si="135"/>
        <v>1413.0940000000001</v>
      </c>
      <c r="AB58" s="10">
        <f t="shared" si="135"/>
        <v>1471.9680000000001</v>
      </c>
      <c r="AC58" s="10">
        <f t="shared" si="135"/>
        <v>1498.3910000000001</v>
      </c>
      <c r="AD58" s="10">
        <f t="shared" si="135"/>
        <v>1491.444</v>
      </c>
      <c r="AE58" s="10">
        <f t="shared" si="135"/>
        <v>1501.1679999999999</v>
      </c>
      <c r="AF58" s="10">
        <f t="shared" si="135"/>
        <v>1510.9580000000001</v>
      </c>
      <c r="AG58" s="10">
        <f t="shared" si="135"/>
        <v>1568.212</v>
      </c>
      <c r="AH58" s="10">
        <f t="shared" si="135"/>
        <v>1593.7560000000001</v>
      </c>
      <c r="AI58" s="10">
        <f t="shared" si="135"/>
        <v>1644.346</v>
      </c>
      <c r="AJ58" s="10">
        <f t="shared" ref="AJ58:AK63" si="136">V58</f>
        <v>1743.566</v>
      </c>
      <c r="AK58" s="10">
        <f t="shared" si="136"/>
        <v>1837.8889999999999</v>
      </c>
    </row>
    <row r="59" spans="1:37" ht="12.75" customHeight="1">
      <c r="B59" s="8" t="s">
        <v>182</v>
      </c>
      <c r="C59" s="97">
        <f>('Historical Financials'!E58)</f>
        <v>4429.5360000000001</v>
      </c>
      <c r="D59" s="97">
        <f>('Historical Financials'!F58)</f>
        <v>4292.9669999999996</v>
      </c>
      <c r="E59" s="97">
        <f>('Historical Financials'!G58)</f>
        <v>4480.1499999999996</v>
      </c>
      <c r="F59" s="97">
        <f>('Historical Financials'!H58)</f>
        <v>4466.47</v>
      </c>
      <c r="G59" s="97">
        <f>('Historical Financials'!I58)</f>
        <v>4393.6809999999996</v>
      </c>
      <c r="H59" s="97"/>
      <c r="I59" s="97">
        <f>('Historical Financials'!O58)</f>
        <v>4066.2890000000002</v>
      </c>
      <c r="J59" s="97">
        <f>('Historical Financials'!P58)</f>
        <v>4174.9660000000003</v>
      </c>
      <c r="K59" s="97">
        <f>('Historical Financials'!Q58)</f>
        <v>4225.8900000000003</v>
      </c>
      <c r="L59" s="97">
        <f>('Historical Financials'!R58)</f>
        <v>4480.1499999999996</v>
      </c>
      <c r="M59" s="97">
        <f>('Historical Financials'!S58)</f>
        <v>4344.58</v>
      </c>
      <c r="N59" s="97">
        <f>('Historical Financials'!T58)</f>
        <v>4440.4120000000003</v>
      </c>
      <c r="O59" s="97">
        <f>('Historical Financials'!U58)</f>
        <v>4259.5820000000003</v>
      </c>
      <c r="P59" s="97">
        <f>('Historical Financials'!V58)</f>
        <v>4466.47</v>
      </c>
      <c r="Q59" s="97">
        <f>('Historical Financials'!W58)</f>
        <v>4436.0209999999997</v>
      </c>
      <c r="R59" s="97">
        <f>('Historical Financials'!X58)</f>
        <v>4391.4369999999999</v>
      </c>
      <c r="S59" s="97">
        <f>('Historical Financials'!Y58)</f>
        <v>4489.9709999999995</v>
      </c>
      <c r="T59" s="97">
        <f>('Historical Financials'!Z58)</f>
        <v>4393.6809999999996</v>
      </c>
      <c r="U59" s="97">
        <f>('Historical Financials'!AA58)</f>
        <v>4128.9049999999997</v>
      </c>
      <c r="V59" s="97">
        <f>('Historical Financials'!AB58)</f>
        <v>4091.77</v>
      </c>
      <c r="W59" s="97">
        <f>('Historical Financials'!AC58)</f>
        <v>4102.6400000000003</v>
      </c>
      <c r="Y59" s="10">
        <f t="shared" si="135"/>
        <v>4225.8900000000003</v>
      </c>
      <c r="Z59" s="10">
        <f t="shared" si="135"/>
        <v>4480.1499999999996</v>
      </c>
      <c r="AA59" s="10">
        <f t="shared" si="135"/>
        <v>4344.58</v>
      </c>
      <c r="AB59" s="10">
        <f t="shared" si="135"/>
        <v>4440.4120000000003</v>
      </c>
      <c r="AC59" s="10">
        <f t="shared" si="135"/>
        <v>4259.5820000000003</v>
      </c>
      <c r="AD59" s="10">
        <f t="shared" si="135"/>
        <v>4466.47</v>
      </c>
      <c r="AE59" s="10">
        <f t="shared" si="135"/>
        <v>4436.0209999999997</v>
      </c>
      <c r="AF59" s="10">
        <f t="shared" si="135"/>
        <v>4391.4369999999999</v>
      </c>
      <c r="AG59" s="10">
        <f t="shared" si="135"/>
        <v>4489.9709999999995</v>
      </c>
      <c r="AH59" s="10">
        <f t="shared" si="135"/>
        <v>4393.6809999999996</v>
      </c>
      <c r="AI59" s="10">
        <f t="shared" si="135"/>
        <v>4128.9049999999997</v>
      </c>
      <c r="AJ59" s="10">
        <f t="shared" si="136"/>
        <v>4091.77</v>
      </c>
      <c r="AK59" s="10">
        <f t="shared" si="136"/>
        <v>4102.6400000000003</v>
      </c>
    </row>
    <row r="60" spans="1:37" ht="12.75" customHeight="1">
      <c r="B60" s="8" t="s">
        <v>53</v>
      </c>
      <c r="C60" s="97">
        <f>('Historical Financials'!E59)</f>
        <v>656.18299999999999</v>
      </c>
      <c r="D60" s="97">
        <f>('Historical Financials'!F59)</f>
        <v>837.48299999999995</v>
      </c>
      <c r="E60" s="97">
        <f>('Historical Financials'!G59)</f>
        <v>671.51300000000003</v>
      </c>
      <c r="F60" s="97">
        <f>('Historical Financials'!H59)</f>
        <v>747.41200000000003</v>
      </c>
      <c r="G60" s="97">
        <f>('Historical Financials'!I59)</f>
        <v>899.90899999999999</v>
      </c>
      <c r="H60" s="97"/>
      <c r="I60" s="97">
        <f>('Historical Financials'!O59)</f>
        <v>617.202</v>
      </c>
      <c r="J60" s="97">
        <f>('Historical Financials'!P59)</f>
        <v>504.27800000000002</v>
      </c>
      <c r="K60" s="97">
        <f>('Historical Financials'!Q59)</f>
        <v>560.15599999999995</v>
      </c>
      <c r="L60" s="97">
        <f>('Historical Financials'!R59)</f>
        <v>671.51300000000003</v>
      </c>
      <c r="M60" s="97">
        <f>('Historical Financials'!S59)</f>
        <v>591.98699999999997</v>
      </c>
      <c r="N60" s="97">
        <f>('Historical Financials'!T59)</f>
        <v>615.37400000000002</v>
      </c>
      <c r="O60" s="97">
        <f>('Historical Financials'!U59)</f>
        <v>534.42899999999997</v>
      </c>
      <c r="P60" s="97">
        <f>('Historical Financials'!V59)</f>
        <v>747.41200000000003</v>
      </c>
      <c r="Q60" s="97">
        <f>('Historical Financials'!W59)</f>
        <v>607.34799999999996</v>
      </c>
      <c r="R60" s="97">
        <f>('Historical Financials'!X59)</f>
        <v>598.55700000000002</v>
      </c>
      <c r="S60" s="97">
        <f>('Historical Financials'!Y59)</f>
        <v>641.95299999999997</v>
      </c>
      <c r="T60" s="97">
        <f>('Historical Financials'!Z59)</f>
        <v>899.90899999999999</v>
      </c>
      <c r="U60" s="97">
        <f>('Historical Financials'!AA59)</f>
        <v>614.48900000000003</v>
      </c>
      <c r="V60" s="97">
        <f>('Historical Financials'!AB59)</f>
        <v>632.71799999999996</v>
      </c>
      <c r="W60" s="97">
        <f>('Historical Financials'!AC59)</f>
        <v>793.23299999999995</v>
      </c>
      <c r="Y60" s="10"/>
      <c r="Z60" s="10"/>
      <c r="AA60" s="10"/>
      <c r="AB60" s="10"/>
      <c r="AC60" s="10"/>
      <c r="AD60" s="10"/>
      <c r="AE60" s="10"/>
      <c r="AF60" s="10"/>
      <c r="AG60" s="10">
        <f t="shared" ref="AG60:AG61" si="137">S60</f>
        <v>641.95299999999997</v>
      </c>
      <c r="AH60" s="10">
        <f t="shared" ref="AH60:AH61" si="138">T60</f>
        <v>899.90899999999999</v>
      </c>
      <c r="AI60" s="10">
        <f t="shared" ref="AI60:AI61" si="139">U60</f>
        <v>614.48900000000003</v>
      </c>
      <c r="AJ60" s="10">
        <f t="shared" ref="AJ60:AJ61" si="140">V60</f>
        <v>632.71799999999996</v>
      </c>
      <c r="AK60" s="10">
        <f t="shared" ref="AK60:AK61" si="141">W60</f>
        <v>793.23299999999995</v>
      </c>
    </row>
    <row r="61" spans="1:37" ht="12.75" customHeight="1">
      <c r="B61" s="8" t="s">
        <v>183</v>
      </c>
      <c r="C61" s="97">
        <f>('Historical Financials'!E61)</f>
        <v>1117.992</v>
      </c>
      <c r="D61" s="97">
        <f>('Historical Financials'!F61)</f>
        <v>1209.3420000000001</v>
      </c>
      <c r="E61" s="97">
        <f>('Historical Financials'!G61)</f>
        <v>1264.6610000000001</v>
      </c>
      <c r="F61" s="97">
        <f>('Historical Financials'!H61)</f>
        <v>1442.9690000000001</v>
      </c>
      <c r="G61" s="97">
        <f>('Historical Financials'!I61)</f>
        <v>1520.8130000000001</v>
      </c>
      <c r="H61" s="97"/>
      <c r="I61" s="97">
        <f>('Historical Financials'!O61)</f>
        <v>1239.048</v>
      </c>
      <c r="J61" s="97">
        <f>('Historical Financials'!P61)</f>
        <v>1224.7429999999999</v>
      </c>
      <c r="K61" s="97">
        <f>('Historical Financials'!Q61)</f>
        <v>1176.3230000000001</v>
      </c>
      <c r="L61" s="97">
        <f>('Historical Financials'!R61)</f>
        <v>1264.6610000000001</v>
      </c>
      <c r="M61" s="97">
        <f>('Historical Financials'!S61)</f>
        <v>1262.271</v>
      </c>
      <c r="N61" s="97">
        <f>('Historical Financials'!T61)</f>
        <v>1311.9179999999999</v>
      </c>
      <c r="O61" s="97">
        <f>('Historical Financials'!U61)</f>
        <v>1306.1849999999999</v>
      </c>
      <c r="P61" s="97">
        <f>('Historical Financials'!V61)</f>
        <v>1442.9690000000001</v>
      </c>
      <c r="Q61" s="97">
        <f>('Historical Financials'!W61)</f>
        <v>1469.4839999999999</v>
      </c>
      <c r="R61" s="97">
        <f>('Historical Financials'!X61)</f>
        <v>1473.72</v>
      </c>
      <c r="S61" s="97">
        <f>('Historical Financials'!Y61)</f>
        <v>1513.048</v>
      </c>
      <c r="T61" s="97">
        <f>('Historical Financials'!Z61)</f>
        <v>1520.8130000000001</v>
      </c>
      <c r="U61" s="97">
        <f>('Historical Financials'!AA61)</f>
        <v>1609.7260000000001</v>
      </c>
      <c r="V61" s="97">
        <f>('Historical Financials'!AB61)</f>
        <v>1728.3610000000001</v>
      </c>
      <c r="W61" s="97">
        <f>('Historical Financials'!AC61)</f>
        <v>1724.675</v>
      </c>
      <c r="Y61" s="10"/>
      <c r="Z61" s="10"/>
      <c r="AA61" s="10"/>
      <c r="AB61" s="10"/>
      <c r="AC61" s="10"/>
      <c r="AD61" s="10"/>
      <c r="AE61" s="10"/>
      <c r="AF61" s="10"/>
      <c r="AG61" s="10">
        <f t="shared" si="137"/>
        <v>1513.048</v>
      </c>
      <c r="AH61" s="10">
        <f t="shared" si="138"/>
        <v>1520.8130000000001</v>
      </c>
      <c r="AI61" s="10">
        <f t="shared" si="139"/>
        <v>1609.7260000000001</v>
      </c>
      <c r="AJ61" s="10">
        <f t="shared" si="140"/>
        <v>1728.3610000000001</v>
      </c>
      <c r="AK61" s="10">
        <f t="shared" si="141"/>
        <v>1724.675</v>
      </c>
    </row>
    <row r="62" spans="1:37" ht="12.75" customHeight="1">
      <c r="B62" s="8" t="s">
        <v>54</v>
      </c>
      <c r="C62" s="97">
        <f>('Historical Financials'!E63)</f>
        <v>7805.7849999999999</v>
      </c>
      <c r="D62" s="97">
        <f>('Historical Financials'!F63)</f>
        <v>8488.9660000000003</v>
      </c>
      <c r="E62" s="97">
        <f>('Historical Financials'!G63)</f>
        <v>7930.9740000000002</v>
      </c>
      <c r="F62" s="97">
        <f>('Historical Financials'!H63)</f>
        <v>8860.6550000000007</v>
      </c>
      <c r="G62" s="97">
        <f>('Historical Financials'!I63)</f>
        <v>10755.4</v>
      </c>
      <c r="H62" s="97"/>
      <c r="I62" s="97">
        <f>('Historical Financials'!O63)</f>
        <v>7739.6559999999999</v>
      </c>
      <c r="J62" s="97">
        <f>('Historical Financials'!P63)</f>
        <v>7500.0220000000008</v>
      </c>
      <c r="K62" s="97">
        <f>('Historical Financials'!Q63)</f>
        <v>7765.9240000000009</v>
      </c>
      <c r="L62" s="97">
        <f>('Historical Financials'!R63)</f>
        <v>7930.9740000000002</v>
      </c>
      <c r="M62" s="97">
        <f>('Historical Financials'!S63)</f>
        <v>8316.07</v>
      </c>
      <c r="N62" s="97">
        <f>('Historical Financials'!T63)</f>
        <v>8675.8050000000003</v>
      </c>
      <c r="O62" s="97">
        <f>('Historical Financials'!U63)</f>
        <v>8338.7179999999989</v>
      </c>
      <c r="P62" s="97">
        <f>('Historical Financials'!V63)</f>
        <v>8860.6550000000007</v>
      </c>
      <c r="Q62" s="97">
        <f>('Historical Financials'!W63)</f>
        <v>9289.2169999999987</v>
      </c>
      <c r="R62" s="97">
        <f>('Historical Financials'!X63)</f>
        <v>10139.998999999998</v>
      </c>
      <c r="S62" s="97">
        <f>('Historical Financials'!Y63)</f>
        <v>10707.126</v>
      </c>
      <c r="T62" s="97">
        <f>('Historical Financials'!Z63)</f>
        <v>10755.4</v>
      </c>
      <c r="U62" s="97">
        <f>('Historical Financials'!AA63)</f>
        <v>9718.5190000000002</v>
      </c>
      <c r="V62" s="97">
        <f>('Historical Financials'!AB63)</f>
        <v>8942.3350000000009</v>
      </c>
      <c r="W62" s="97">
        <f>('Historical Financials'!AC63)</f>
        <v>9731.8590000000004</v>
      </c>
      <c r="Y62" s="10">
        <f t="shared" si="135"/>
        <v>7765.9240000000009</v>
      </c>
      <c r="Z62" s="10">
        <f t="shared" si="135"/>
        <v>7930.9740000000002</v>
      </c>
      <c r="AA62" s="10">
        <f t="shared" si="135"/>
        <v>8316.07</v>
      </c>
      <c r="AB62" s="10">
        <f t="shared" si="135"/>
        <v>8675.8050000000003</v>
      </c>
      <c r="AC62" s="10">
        <f t="shared" si="135"/>
        <v>8338.7179999999989</v>
      </c>
      <c r="AD62" s="10">
        <f t="shared" si="135"/>
        <v>8860.6550000000007</v>
      </c>
      <c r="AE62" s="10">
        <f t="shared" si="135"/>
        <v>9289.2169999999987</v>
      </c>
      <c r="AF62" s="10">
        <f t="shared" si="135"/>
        <v>10139.998999999998</v>
      </c>
      <c r="AG62" s="10">
        <f t="shared" si="135"/>
        <v>10707.126</v>
      </c>
      <c r="AH62" s="10">
        <f t="shared" si="135"/>
        <v>10755.4</v>
      </c>
      <c r="AI62" s="10">
        <f t="shared" si="135"/>
        <v>9718.5190000000002</v>
      </c>
      <c r="AJ62" s="10">
        <f t="shared" si="136"/>
        <v>8942.3350000000009</v>
      </c>
      <c r="AK62" s="10">
        <f t="shared" si="136"/>
        <v>9731.8590000000004</v>
      </c>
    </row>
    <row r="63" spans="1:37" ht="12.75" customHeight="1">
      <c r="B63" s="8" t="s">
        <v>18</v>
      </c>
      <c r="C63" s="97">
        <f>('Historical Financials'!E69)</f>
        <v>28215.118999999999</v>
      </c>
      <c r="D63" s="97">
        <f>('Historical Financials'!F69)</f>
        <v>28735.415000000001</v>
      </c>
      <c r="E63" s="97">
        <f>('Historical Financials'!G69)</f>
        <v>27817.366999999998</v>
      </c>
      <c r="F63" s="97">
        <f>('Historical Financials'!H69)</f>
        <v>28143.679000000004</v>
      </c>
      <c r="G63" s="97">
        <f>('Historical Financials'!I69)</f>
        <v>28886.807000000001</v>
      </c>
      <c r="H63" s="97"/>
      <c r="I63" s="97">
        <f>('Historical Financials'!O69)</f>
        <v>27786.864999999998</v>
      </c>
      <c r="J63" s="97">
        <f>('Historical Financials'!P69)</f>
        <v>27274.960999999999</v>
      </c>
      <c r="K63" s="97">
        <f>('Historical Financials'!Q69)</f>
        <v>27034.046000000002</v>
      </c>
      <c r="L63" s="97">
        <f>('Historical Financials'!R69)</f>
        <v>27817.366999999998</v>
      </c>
      <c r="M63" s="97">
        <f>('Historical Financials'!S69)</f>
        <v>27662.148999999998</v>
      </c>
      <c r="N63" s="97">
        <f>('Historical Financials'!T69)</f>
        <v>27985.258000000002</v>
      </c>
      <c r="O63" s="97">
        <f>('Historical Financials'!U69)</f>
        <v>27394.159</v>
      </c>
      <c r="P63" s="97">
        <f>('Historical Financials'!V69)</f>
        <v>28143.679000000004</v>
      </c>
      <c r="Q63" s="97">
        <f>('Historical Financials'!W69)</f>
        <v>27462.311000000002</v>
      </c>
      <c r="R63" s="97">
        <f>('Historical Financials'!X69)</f>
        <v>26986.201999999997</v>
      </c>
      <c r="S63" s="97">
        <f>('Historical Financials'!Y69)</f>
        <v>29561.108</v>
      </c>
      <c r="T63" s="97">
        <f>('Historical Financials'!Z69)</f>
        <v>28886.807000000001</v>
      </c>
      <c r="U63" s="97">
        <f>('Historical Financials'!AA69)</f>
        <v>28059.571</v>
      </c>
      <c r="V63" s="97">
        <f>('Historical Financials'!AB69)</f>
        <v>28147.764999999999</v>
      </c>
      <c r="W63" s="97">
        <f>('Historical Financials'!AC69)</f>
        <v>28980.799999999999</v>
      </c>
      <c r="Y63" s="10">
        <f t="shared" si="135"/>
        <v>27034.046000000002</v>
      </c>
      <c r="Z63" s="10">
        <f t="shared" si="135"/>
        <v>27817.366999999998</v>
      </c>
      <c r="AA63" s="10">
        <f t="shared" si="135"/>
        <v>27662.148999999998</v>
      </c>
      <c r="AB63" s="10">
        <f t="shared" si="135"/>
        <v>27985.258000000002</v>
      </c>
      <c r="AC63" s="10">
        <f t="shared" si="135"/>
        <v>27394.159</v>
      </c>
      <c r="AD63" s="10">
        <f t="shared" si="135"/>
        <v>28143.679000000004</v>
      </c>
      <c r="AE63" s="10">
        <f t="shared" si="135"/>
        <v>27462.311000000002</v>
      </c>
      <c r="AF63" s="10">
        <f t="shared" si="135"/>
        <v>26986.201999999997</v>
      </c>
      <c r="AG63" s="10">
        <f t="shared" si="135"/>
        <v>29561.108</v>
      </c>
      <c r="AH63" s="10">
        <f t="shared" si="135"/>
        <v>28886.807000000001</v>
      </c>
      <c r="AI63" s="10">
        <f t="shared" si="135"/>
        <v>28059.571</v>
      </c>
      <c r="AJ63" s="10">
        <f t="shared" si="136"/>
        <v>28147.764999999999</v>
      </c>
      <c r="AK63" s="10">
        <f t="shared" si="136"/>
        <v>28980.799999999999</v>
      </c>
    </row>
    <row r="64" spans="1:37" ht="5.0999999999999996" customHeight="1">
      <c r="G64" s="10"/>
    </row>
    <row r="65" spans="1:37">
      <c r="B65" s="35" t="s">
        <v>195</v>
      </c>
      <c r="G65" s="10"/>
    </row>
    <row r="66" spans="1:37">
      <c r="B66" s="8" t="s">
        <v>196</v>
      </c>
      <c r="C66" s="97">
        <f>('Historical Financials'!E62)</f>
        <v>499.87799999999999</v>
      </c>
      <c r="D66" s="97">
        <f>('Historical Financials'!F62)</f>
        <v>699.82299999999998</v>
      </c>
      <c r="E66" s="97">
        <f>('Historical Financials'!G62)</f>
        <v>0</v>
      </c>
      <c r="F66" s="97">
        <f>('Historical Financials'!H62)</f>
        <v>399.84399999999999</v>
      </c>
      <c r="G66" s="97">
        <f>('Historical Financials'!I62)</f>
        <v>1784.453</v>
      </c>
      <c r="I66" s="97">
        <f>('Historical Financials'!O62)</f>
        <v>0</v>
      </c>
      <c r="J66" s="97">
        <f>('Historical Financials'!P62)</f>
        <v>0</v>
      </c>
      <c r="K66" s="97">
        <f>('Historical Financials'!Q62)</f>
        <v>0</v>
      </c>
      <c r="L66" s="97">
        <f>('Historical Financials'!R62)</f>
        <v>0</v>
      </c>
      <c r="M66" s="97">
        <f>('Historical Financials'!S62)</f>
        <v>399.16300000000001</v>
      </c>
      <c r="N66" s="97">
        <f>('Historical Financials'!T62)</f>
        <v>399.387</v>
      </c>
      <c r="O66" s="97">
        <f>('Historical Financials'!U62)</f>
        <v>399.61399999999998</v>
      </c>
      <c r="P66" s="97">
        <f>('Historical Financials'!V62)</f>
        <v>399.84399999999999</v>
      </c>
      <c r="Q66" s="97">
        <f>('Historical Financials'!W62)</f>
        <v>798.93600000000004</v>
      </c>
      <c r="R66" s="97">
        <f>('Historical Financials'!X62)</f>
        <v>1800.0409999999999</v>
      </c>
      <c r="S66" s="97">
        <f>('Historical Financials'!Y62)</f>
        <v>1820.396</v>
      </c>
      <c r="T66" s="97">
        <f>('Historical Financials'!Z62)</f>
        <v>1784.453</v>
      </c>
      <c r="U66" s="97">
        <f>('Historical Financials'!AA62)</f>
        <v>1005.881</v>
      </c>
      <c r="V66" s="97">
        <f>('Historical Financials'!AB62)</f>
        <v>0</v>
      </c>
      <c r="W66" s="97">
        <f>('Historical Financials'!AC62)</f>
        <v>0</v>
      </c>
      <c r="AG66" s="10">
        <f t="shared" ref="AG66:AG67" si="142">S66</f>
        <v>1820.396</v>
      </c>
      <c r="AH66" s="10">
        <f t="shared" ref="AH66:AH67" si="143">T66</f>
        <v>1784.453</v>
      </c>
      <c r="AI66" s="10">
        <f t="shared" ref="AI66:AI67" si="144">U66</f>
        <v>1005.881</v>
      </c>
      <c r="AJ66" s="10">
        <f t="shared" ref="AJ66:AJ67" si="145">V66</f>
        <v>0</v>
      </c>
      <c r="AK66" s="10">
        <f t="shared" ref="AK66:AK67" si="146">W66</f>
        <v>0</v>
      </c>
    </row>
    <row r="67" spans="1:37">
      <c r="B67" s="8" t="s">
        <v>197</v>
      </c>
      <c r="C67" s="97">
        <f>('Historical Financials'!E67)</f>
        <v>15809.094999999999</v>
      </c>
      <c r="D67" s="97">
        <f>('Historical Financials'!F67)</f>
        <v>14693.072</v>
      </c>
      <c r="E67" s="97">
        <f>('Historical Financials'!G67)</f>
        <v>14353.075999999999</v>
      </c>
      <c r="F67" s="97">
        <f>('Historical Financials'!H67)</f>
        <v>14143.416999999999</v>
      </c>
      <c r="G67" s="97">
        <f>('Historical Financials'!I67)</f>
        <v>13798.351000000001</v>
      </c>
      <c r="I67" s="97">
        <f>('Historical Financials'!O67)</f>
        <v>14534.561</v>
      </c>
      <c r="J67" s="97">
        <f>('Historical Financials'!P67)</f>
        <v>14233.303</v>
      </c>
      <c r="K67" s="97">
        <f>('Historical Financials'!Q67)</f>
        <v>13888.117</v>
      </c>
      <c r="L67" s="97">
        <f>('Historical Financials'!R67)</f>
        <v>14353.075999999999</v>
      </c>
      <c r="M67" s="97">
        <f>('Historical Financials'!S67)</f>
        <v>14037.965</v>
      </c>
      <c r="N67" s="97">
        <f>('Historical Financials'!T67)</f>
        <v>14070.151</v>
      </c>
      <c r="O67" s="97">
        <f>('Historical Financials'!U67)</f>
        <v>13900.754000000001</v>
      </c>
      <c r="P67" s="97">
        <f>('Historical Financials'!V67)</f>
        <v>14143.416999999999</v>
      </c>
      <c r="Q67" s="97">
        <f>('Historical Financials'!W67)</f>
        <v>13217.038</v>
      </c>
      <c r="R67" s="97">
        <f>('Historical Financials'!X67)</f>
        <v>12180.023999999999</v>
      </c>
      <c r="S67" s="97">
        <f>('Historical Financials'!Y67)</f>
        <v>14160.932000000001</v>
      </c>
      <c r="T67" s="97">
        <f>('Historical Financials'!Z67)</f>
        <v>13798.351000000001</v>
      </c>
      <c r="U67" s="97">
        <f>('Historical Financials'!AA67)</f>
        <v>14011.037</v>
      </c>
      <c r="V67" s="97">
        <f>('Historical Financials'!AB67)</f>
        <v>14453.206</v>
      </c>
      <c r="W67" s="97">
        <f>('Historical Financials'!AC67)</f>
        <v>14463.02</v>
      </c>
      <c r="AG67" s="10">
        <f t="shared" si="142"/>
        <v>14160.932000000001</v>
      </c>
      <c r="AH67" s="10">
        <f t="shared" si="143"/>
        <v>13798.351000000001</v>
      </c>
      <c r="AI67" s="10">
        <f t="shared" si="144"/>
        <v>14011.037</v>
      </c>
      <c r="AJ67" s="10">
        <f t="shared" si="145"/>
        <v>14453.206</v>
      </c>
      <c r="AK67" s="10">
        <f t="shared" si="146"/>
        <v>14463.02</v>
      </c>
    </row>
    <row r="68" spans="1:37">
      <c r="G68" s="10"/>
    </row>
    <row r="69" spans="1:37">
      <c r="B69" s="31" t="s">
        <v>211</v>
      </c>
      <c r="C69" s="84">
        <v>0</v>
      </c>
      <c r="D69" s="84">
        <v>0</v>
      </c>
      <c r="E69" s="84">
        <v>0</v>
      </c>
      <c r="F69" s="84">
        <v>0</v>
      </c>
      <c r="G69" s="84">
        <v>0</v>
      </c>
      <c r="I69" s="84">
        <v>0</v>
      </c>
      <c r="J69" s="84">
        <v>0</v>
      </c>
      <c r="K69" s="84">
        <v>0</v>
      </c>
      <c r="L69" s="10">
        <f>E69</f>
        <v>0</v>
      </c>
      <c r="M69" s="84">
        <v>0</v>
      </c>
      <c r="N69" s="84">
        <v>0</v>
      </c>
      <c r="O69" s="84">
        <v>0</v>
      </c>
      <c r="P69" s="10">
        <f>F69</f>
        <v>0</v>
      </c>
      <c r="Q69" s="84">
        <v>0</v>
      </c>
      <c r="R69" s="84">
        <v>0</v>
      </c>
      <c r="S69" s="84">
        <v>0</v>
      </c>
      <c r="T69" s="10">
        <f>G69</f>
        <v>0</v>
      </c>
      <c r="U69" s="84">
        <v>0</v>
      </c>
      <c r="V69" s="84">
        <v>0</v>
      </c>
      <c r="W69" s="84">
        <v>0</v>
      </c>
      <c r="Y69" s="10">
        <f t="shared" ref="Y69" si="147">K69</f>
        <v>0</v>
      </c>
      <c r="Z69" s="10">
        <f t="shared" ref="Z69" si="148">L69</f>
        <v>0</v>
      </c>
      <c r="AA69" s="10">
        <f t="shared" ref="AA69" si="149">M69</f>
        <v>0</v>
      </c>
      <c r="AB69" s="10">
        <f t="shared" ref="AB69" si="150">N69</f>
        <v>0</v>
      </c>
      <c r="AC69" s="10">
        <f t="shared" ref="AC69" si="151">O69</f>
        <v>0</v>
      </c>
      <c r="AD69" s="10">
        <f t="shared" ref="AD69" si="152">P69</f>
        <v>0</v>
      </c>
      <c r="AE69" s="10">
        <f t="shared" ref="AE69" si="153">Q69</f>
        <v>0</v>
      </c>
      <c r="AF69" s="10">
        <f t="shared" ref="AF69" si="154">R69</f>
        <v>0</v>
      </c>
      <c r="AG69" s="10">
        <f t="shared" ref="AG69" si="155">S69</f>
        <v>0</v>
      </c>
      <c r="AH69" s="10">
        <f t="shared" ref="AH69" si="156">T69</f>
        <v>0</v>
      </c>
      <c r="AI69" s="10">
        <f t="shared" ref="AI69" si="157">U69</f>
        <v>0</v>
      </c>
      <c r="AJ69" s="10">
        <f t="shared" ref="AJ69" si="158">V69</f>
        <v>0</v>
      </c>
      <c r="AK69" s="10">
        <f t="shared" ref="AK69" si="159">W69</f>
        <v>0</v>
      </c>
    </row>
    <row r="70" spans="1:37" ht="12.75" customHeight="1">
      <c r="B70" s="31" t="s">
        <v>200</v>
      </c>
      <c r="C70" s="97">
        <f>'Debt Schedule'!C25</f>
        <v>16416</v>
      </c>
      <c r="D70" s="97">
        <f>'Debt Schedule'!D25</f>
        <v>15485</v>
      </c>
      <c r="E70" s="97">
        <f>'Debt Schedule'!E25</f>
        <v>14432</v>
      </c>
      <c r="F70" s="97">
        <f>'Debt Schedule'!F25</f>
        <v>14608</v>
      </c>
      <c r="G70" s="97">
        <f>'Debt Schedule'!G25</f>
        <v>15653</v>
      </c>
      <c r="I70" s="97">
        <f>'Debt Schedule'!I25</f>
        <v>14623</v>
      </c>
      <c r="J70" s="97">
        <f>'Debt Schedule'!J25</f>
        <v>14318</v>
      </c>
      <c r="K70" s="97">
        <f>'Debt Schedule'!K25</f>
        <v>13970</v>
      </c>
      <c r="L70" s="97">
        <f>'Debt Schedule'!L25</f>
        <v>14432</v>
      </c>
      <c r="M70" s="97">
        <f>'Debt Schedule'!M25</f>
        <v>14513</v>
      </c>
      <c r="N70" s="97">
        <f>'Debt Schedule'!N25</f>
        <v>14542</v>
      </c>
      <c r="O70" s="97">
        <f>'Debt Schedule'!O25</f>
        <v>14368</v>
      </c>
      <c r="P70" s="97">
        <f>'Debt Schedule'!P25</f>
        <v>14608</v>
      </c>
      <c r="Q70" s="97">
        <f>'Debt Schedule'!Q25</f>
        <v>14077</v>
      </c>
      <c r="R70" s="97">
        <f>'Debt Schedule'!R25</f>
        <v>14038</v>
      </c>
      <c r="S70" s="97">
        <f>'Debt Schedule'!S25</f>
        <v>16055</v>
      </c>
      <c r="T70" s="97">
        <f>'Debt Schedule'!T25</f>
        <v>15653</v>
      </c>
      <c r="U70" s="97">
        <f>'Debt Schedule'!U25</f>
        <v>15084</v>
      </c>
      <c r="V70" s="97">
        <f>'Debt Schedule'!V25</f>
        <v>14515</v>
      </c>
      <c r="W70" s="97">
        <f>'Debt Schedule'!W25</f>
        <v>14523</v>
      </c>
      <c r="Y70" s="10">
        <f t="shared" ref="Y70:AK70" si="160">K70</f>
        <v>13970</v>
      </c>
      <c r="Z70" s="10">
        <f t="shared" si="160"/>
        <v>14432</v>
      </c>
      <c r="AA70" s="10">
        <f t="shared" si="160"/>
        <v>14513</v>
      </c>
      <c r="AB70" s="10">
        <f t="shared" si="160"/>
        <v>14542</v>
      </c>
      <c r="AC70" s="10">
        <f t="shared" si="160"/>
        <v>14368</v>
      </c>
      <c r="AD70" s="10">
        <f t="shared" si="160"/>
        <v>14608</v>
      </c>
      <c r="AE70" s="10">
        <f t="shared" si="160"/>
        <v>14077</v>
      </c>
      <c r="AF70" s="10">
        <f t="shared" si="160"/>
        <v>14038</v>
      </c>
      <c r="AG70" s="10">
        <f t="shared" si="160"/>
        <v>16055</v>
      </c>
      <c r="AH70" s="10">
        <f t="shared" si="160"/>
        <v>15653</v>
      </c>
      <c r="AI70" s="10">
        <f t="shared" si="160"/>
        <v>15084</v>
      </c>
      <c r="AJ70" s="10">
        <f t="shared" si="160"/>
        <v>14515</v>
      </c>
      <c r="AK70" s="10">
        <f t="shared" si="160"/>
        <v>14523</v>
      </c>
    </row>
    <row r="71" spans="1:37" ht="12.75" customHeight="1">
      <c r="B71" s="13" t="s">
        <v>25</v>
      </c>
      <c r="C71" s="14">
        <f>SUM(C70:C70)</f>
        <v>16416</v>
      </c>
      <c r="D71" s="14">
        <f>SUM(D70:D70)</f>
        <v>15485</v>
      </c>
      <c r="E71" s="14">
        <f>SUM(E70:E70)</f>
        <v>14432</v>
      </c>
      <c r="F71" s="14">
        <f>SUM(F70:F70)</f>
        <v>14608</v>
      </c>
      <c r="G71" s="14">
        <f>SUM(G70:G70)</f>
        <v>15653</v>
      </c>
      <c r="I71" s="14">
        <f t="shared" ref="I71:W71" si="161">SUM(I70:I70)</f>
        <v>14623</v>
      </c>
      <c r="J71" s="14">
        <f t="shared" si="161"/>
        <v>14318</v>
      </c>
      <c r="K71" s="14">
        <f t="shared" si="161"/>
        <v>13970</v>
      </c>
      <c r="L71" s="14">
        <f t="shared" si="161"/>
        <v>14432</v>
      </c>
      <c r="M71" s="14">
        <f t="shared" si="161"/>
        <v>14513</v>
      </c>
      <c r="N71" s="14">
        <f t="shared" si="161"/>
        <v>14542</v>
      </c>
      <c r="O71" s="14">
        <f t="shared" si="161"/>
        <v>14368</v>
      </c>
      <c r="P71" s="14">
        <f t="shared" si="161"/>
        <v>14608</v>
      </c>
      <c r="Q71" s="14">
        <f t="shared" si="161"/>
        <v>14077</v>
      </c>
      <c r="R71" s="14">
        <f t="shared" si="161"/>
        <v>14038</v>
      </c>
      <c r="S71" s="14">
        <f t="shared" si="161"/>
        <v>16055</v>
      </c>
      <c r="T71" s="14">
        <f t="shared" si="161"/>
        <v>15653</v>
      </c>
      <c r="U71" s="14">
        <f t="shared" si="161"/>
        <v>15084</v>
      </c>
      <c r="V71" s="14">
        <f t="shared" si="161"/>
        <v>14515</v>
      </c>
      <c r="W71" s="14">
        <f t="shared" si="161"/>
        <v>14523</v>
      </c>
      <c r="Y71" s="14">
        <f t="shared" ref="Y71:AK71" si="162">SUM(Y70:Y70)</f>
        <v>13970</v>
      </c>
      <c r="Z71" s="14">
        <f t="shared" si="162"/>
        <v>14432</v>
      </c>
      <c r="AA71" s="14">
        <f t="shared" si="162"/>
        <v>14513</v>
      </c>
      <c r="AB71" s="14">
        <f t="shared" si="162"/>
        <v>14542</v>
      </c>
      <c r="AC71" s="14">
        <f t="shared" si="162"/>
        <v>14368</v>
      </c>
      <c r="AD71" s="14">
        <f t="shared" si="162"/>
        <v>14608</v>
      </c>
      <c r="AE71" s="14">
        <f t="shared" si="162"/>
        <v>14077</v>
      </c>
      <c r="AF71" s="14">
        <f t="shared" si="162"/>
        <v>14038</v>
      </c>
      <c r="AG71" s="14">
        <f t="shared" si="162"/>
        <v>16055</v>
      </c>
      <c r="AH71" s="14">
        <f t="shared" si="162"/>
        <v>15653</v>
      </c>
      <c r="AI71" s="14">
        <f t="shared" si="162"/>
        <v>15084</v>
      </c>
      <c r="AJ71" s="14">
        <f t="shared" si="162"/>
        <v>14515</v>
      </c>
      <c r="AK71" s="14">
        <f t="shared" si="162"/>
        <v>14523</v>
      </c>
    </row>
    <row r="72" spans="1:37" ht="5.0999999999999996" customHeight="1"/>
    <row r="73" spans="1:37" ht="12.75" customHeight="1">
      <c r="B73" s="8" t="s">
        <v>55</v>
      </c>
      <c r="C73" s="145">
        <f>('Historical Financials'!E75)</f>
        <v>11065.24</v>
      </c>
      <c r="D73" s="145">
        <f>('Historical Financials'!F75)</f>
        <v>15849.248</v>
      </c>
      <c r="E73" s="145">
        <f>('Historical Financials'!G75)</f>
        <v>20777.400999999998</v>
      </c>
      <c r="F73" s="145">
        <f>('Historical Financials'!H75)</f>
        <v>20588.312999999998</v>
      </c>
      <c r="G73" s="145">
        <f>('Historical Financials'!I75)</f>
        <v>24743.567000000003</v>
      </c>
      <c r="I73" s="145">
        <f>('Historical Financials'!O75)</f>
        <v>17544.039000000001</v>
      </c>
      <c r="J73" s="145">
        <f>('Historical Financials'!P75)</f>
        <v>19075.974000000002</v>
      </c>
      <c r="K73" s="145">
        <f>('Historical Financials'!Q75)</f>
        <v>20528.141</v>
      </c>
      <c r="L73" s="145">
        <f>('Historical Financials'!R75)</f>
        <v>20777.400999999998</v>
      </c>
      <c r="M73" s="145">
        <f>('Historical Financials'!S75)</f>
        <v>21828.196</v>
      </c>
      <c r="N73" s="145">
        <f>('Historical Financials'!T75)</f>
        <v>22832.215</v>
      </c>
      <c r="O73" s="145">
        <f>('Historical Financials'!U75)</f>
        <v>22107.627</v>
      </c>
      <c r="P73" s="145">
        <f>('Historical Financials'!V75)</f>
        <v>20588.312999999998</v>
      </c>
      <c r="Q73" s="145">
        <f>('Historical Financials'!W75)</f>
        <v>21365.41</v>
      </c>
      <c r="R73" s="145">
        <f>('Historical Financials'!X75)</f>
        <v>22112.692999999999</v>
      </c>
      <c r="S73" s="145">
        <f>('Historical Financials'!Y75)</f>
        <v>22720.736000000001</v>
      </c>
      <c r="T73" s="145">
        <f>('Historical Financials'!Z75)</f>
        <v>24743.567000000003</v>
      </c>
      <c r="U73" s="145">
        <f>('Historical Financials'!AA75)</f>
        <v>24028.072999999997</v>
      </c>
      <c r="V73" s="145">
        <f>('Historical Financials'!AB75)</f>
        <v>24951.898999999998</v>
      </c>
      <c r="W73" s="145">
        <f>('Historical Financials'!AC75)</f>
        <v>25954.035000000003</v>
      </c>
      <c r="Y73" s="10">
        <f t="shared" ref="Y73:AK73" si="163">K73</f>
        <v>20528.141</v>
      </c>
      <c r="Z73" s="10">
        <f t="shared" si="163"/>
        <v>20777.400999999998</v>
      </c>
      <c r="AA73" s="10">
        <f t="shared" si="163"/>
        <v>21828.196</v>
      </c>
      <c r="AB73" s="10">
        <f t="shared" si="163"/>
        <v>22832.215</v>
      </c>
      <c r="AC73" s="10">
        <f t="shared" si="163"/>
        <v>22107.627</v>
      </c>
      <c r="AD73" s="10">
        <f t="shared" si="163"/>
        <v>20588.312999999998</v>
      </c>
      <c r="AE73" s="10">
        <f t="shared" si="163"/>
        <v>21365.41</v>
      </c>
      <c r="AF73" s="10">
        <f t="shared" si="163"/>
        <v>22112.692999999999</v>
      </c>
      <c r="AG73" s="146">
        <f t="shared" si="163"/>
        <v>22720.736000000001</v>
      </c>
      <c r="AH73" s="146">
        <f t="shared" si="163"/>
        <v>24743.567000000003</v>
      </c>
      <c r="AI73" s="146">
        <f t="shared" si="163"/>
        <v>24028.072999999997</v>
      </c>
      <c r="AJ73" s="146">
        <f t="shared" si="163"/>
        <v>24951.898999999998</v>
      </c>
      <c r="AK73" s="146">
        <f t="shared" si="163"/>
        <v>25954.035000000003</v>
      </c>
    </row>
    <row r="74" spans="1:37" ht="12.75" customHeight="1">
      <c r="B74" s="13" t="s">
        <v>56</v>
      </c>
      <c r="C74" s="14">
        <f>SUM(C71:C73)</f>
        <v>27481.239999999998</v>
      </c>
      <c r="D74" s="14">
        <f>SUM(D71:D73)</f>
        <v>31334.248</v>
      </c>
      <c r="E74" s="14">
        <f>SUM(E71:E73)</f>
        <v>35209.400999999998</v>
      </c>
      <c r="F74" s="14">
        <f>SUM(F71:F73)</f>
        <v>35196.312999999995</v>
      </c>
      <c r="G74" s="14">
        <f>SUM(G71:G73)</f>
        <v>40396.567000000003</v>
      </c>
      <c r="I74" s="14">
        <f t="shared" ref="I74:R74" si="164">SUM(I71:I73)</f>
        <v>32167.039000000001</v>
      </c>
      <c r="J74" s="14">
        <f t="shared" si="164"/>
        <v>33393.974000000002</v>
      </c>
      <c r="K74" s="14">
        <f t="shared" si="164"/>
        <v>34498.141000000003</v>
      </c>
      <c r="L74" s="14">
        <f t="shared" si="164"/>
        <v>35209.400999999998</v>
      </c>
      <c r="M74" s="14">
        <f t="shared" si="164"/>
        <v>36341.195999999996</v>
      </c>
      <c r="N74" s="14">
        <f t="shared" si="164"/>
        <v>37374.214999999997</v>
      </c>
      <c r="O74" s="14">
        <f t="shared" si="164"/>
        <v>36475.627</v>
      </c>
      <c r="P74" s="14">
        <f t="shared" si="164"/>
        <v>35196.312999999995</v>
      </c>
      <c r="Q74" s="14">
        <f t="shared" si="164"/>
        <v>35442.410000000003</v>
      </c>
      <c r="R74" s="14">
        <f t="shared" si="164"/>
        <v>36150.692999999999</v>
      </c>
      <c r="S74" s="14">
        <f>SUM(S71:S73)</f>
        <v>38775.736000000004</v>
      </c>
      <c r="T74" s="14">
        <f>SUM(T71:T73)</f>
        <v>40396.567000000003</v>
      </c>
      <c r="U74" s="14">
        <f>SUM(U71:U73)</f>
        <v>39112.072999999997</v>
      </c>
      <c r="V74" s="14">
        <f>SUM(V71:V73)</f>
        <v>39466.898999999998</v>
      </c>
      <c r="W74" s="14">
        <f>SUM(W71:W73)</f>
        <v>40477.035000000003</v>
      </c>
      <c r="Y74" s="14">
        <f t="shared" ref="Y74:AI74" si="165">SUM(Y71:Y73)</f>
        <v>34498.141000000003</v>
      </c>
      <c r="Z74" s="14">
        <f t="shared" si="165"/>
        <v>35209.400999999998</v>
      </c>
      <c r="AA74" s="14">
        <f t="shared" si="165"/>
        <v>36341.195999999996</v>
      </c>
      <c r="AB74" s="14">
        <f t="shared" si="165"/>
        <v>37374.214999999997</v>
      </c>
      <c r="AC74" s="14">
        <f t="shared" si="165"/>
        <v>36475.627</v>
      </c>
      <c r="AD74" s="14">
        <f t="shared" si="165"/>
        <v>35196.312999999995</v>
      </c>
      <c r="AE74" s="14">
        <f t="shared" si="165"/>
        <v>35442.410000000003</v>
      </c>
      <c r="AF74" s="14">
        <f t="shared" si="165"/>
        <v>36150.692999999999</v>
      </c>
      <c r="AG74" s="14">
        <f t="shared" si="165"/>
        <v>38775.736000000004</v>
      </c>
      <c r="AH74" s="14">
        <f t="shared" si="165"/>
        <v>40396.567000000003</v>
      </c>
      <c r="AI74" s="14">
        <f t="shared" si="165"/>
        <v>39112.072999999997</v>
      </c>
      <c r="AJ74" s="14">
        <f>SUM(AJ71:AJ73)</f>
        <v>39466.898999999998</v>
      </c>
      <c r="AK74" s="14">
        <f>SUM(AK71:AK73)</f>
        <v>40477.035000000003</v>
      </c>
    </row>
    <row r="75" spans="1:37" ht="5.0999999999999996" customHeight="1"/>
    <row r="76" spans="1:37" ht="12.75" customHeight="1">
      <c r="A76" s="5"/>
      <c r="B76" s="33" t="s">
        <v>80</v>
      </c>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row>
    <row r="77" spans="1:37" ht="5.0999999999999996" customHeight="1"/>
    <row r="78" spans="1:37" ht="12.75" customHeight="1">
      <c r="B78" s="31" t="s">
        <v>121</v>
      </c>
      <c r="C78" s="86">
        <f>C71/C32</f>
        <v>1.0309556103146054</v>
      </c>
      <c r="D78" s="86">
        <f>D71/D32</f>
        <v>0.81343700220649706</v>
      </c>
      <c r="E78" s="86">
        <f>E71/E32</f>
        <v>0.70156686344923636</v>
      </c>
      <c r="F78" s="86">
        <f>F71/F32</f>
        <v>0.66862705115468379</v>
      </c>
      <c r="G78" s="86">
        <f>G71/G32</f>
        <v>0.59470454225018066</v>
      </c>
      <c r="I78" s="37"/>
      <c r="J78" s="37"/>
      <c r="K78" s="37"/>
      <c r="L78" s="86">
        <f t="shared" ref="L78:W78" si="166">SUM(L71/SUM(I32:L32))</f>
        <v>0.70156686344923669</v>
      </c>
      <c r="M78" s="86">
        <f t="shared" si="166"/>
        <v>0.70441095314621205</v>
      </c>
      <c r="N78" s="86">
        <f t="shared" si="166"/>
        <v>0.69465539059414061</v>
      </c>
      <c r="O78" s="86">
        <f t="shared" si="166"/>
        <v>0.67868382950751782</v>
      </c>
      <c r="P78" s="86">
        <f t="shared" si="166"/>
        <v>0.66862705115468379</v>
      </c>
      <c r="Q78" s="86">
        <f t="shared" si="166"/>
        <v>0.61335183773316793</v>
      </c>
      <c r="R78" s="86">
        <f t="shared" si="166"/>
        <v>0.58324375346895629</v>
      </c>
      <c r="S78" s="86">
        <f t="shared" si="166"/>
        <v>0.63800767707425221</v>
      </c>
      <c r="T78" s="86">
        <f t="shared" si="166"/>
        <v>0.59470454225018077</v>
      </c>
      <c r="U78" s="86">
        <f t="shared" si="166"/>
        <v>0.55505122743080537</v>
      </c>
      <c r="V78" s="86">
        <f t="shared" si="166"/>
        <v>0.51071403451666875</v>
      </c>
      <c r="W78" s="86">
        <f t="shared" si="166"/>
        <v>0.49933411802906635</v>
      </c>
      <c r="X78" s="86"/>
      <c r="Y78" s="86">
        <f t="shared" ref="Y78:AK78" si="167">Y71/Y32</f>
        <v>2.239368808974787</v>
      </c>
      <c r="Z78" s="86">
        <f t="shared" si="167"/>
        <v>1.7637979732700031</v>
      </c>
      <c r="AA78" s="86">
        <f t="shared" si="167"/>
        <v>1.7269030142804753</v>
      </c>
      <c r="AB78" s="86">
        <f t="shared" si="167"/>
        <v>1.7283880184748062</v>
      </c>
      <c r="AC78" s="86">
        <f t="shared" si="167"/>
        <v>1.712568378178198</v>
      </c>
      <c r="AD78" s="86">
        <f t="shared" si="167"/>
        <v>1.715324678740636</v>
      </c>
      <c r="AE78" s="86">
        <f t="shared" si="167"/>
        <v>1.5660747948955993</v>
      </c>
      <c r="AF78" s="86">
        <f t="shared" si="167"/>
        <v>1.4666116016938637</v>
      </c>
      <c r="AG78" s="86">
        <f t="shared" si="167"/>
        <v>0.63800767707425221</v>
      </c>
      <c r="AH78" s="86">
        <f t="shared" si="167"/>
        <v>0.59470454225018066</v>
      </c>
      <c r="AI78" s="86">
        <f t="shared" si="167"/>
        <v>0.55505122743080537</v>
      </c>
      <c r="AJ78" s="86">
        <f t="shared" si="167"/>
        <v>0.51071403451666875</v>
      </c>
      <c r="AK78" s="86">
        <f t="shared" si="167"/>
        <v>0.49933411802906646</v>
      </c>
    </row>
    <row r="79" spans="1:37" ht="12.75" customHeight="1">
      <c r="B79" s="31" t="s">
        <v>122</v>
      </c>
      <c r="C79" s="86">
        <f>SUM(C71-C52)/C32</f>
        <v>0.51563166975557706</v>
      </c>
      <c r="D79" s="86">
        <f>SUM(D71-D52)/D32</f>
        <v>0.49679258401803517</v>
      </c>
      <c r="E79" s="86">
        <f>SUM(E71-E52)/E32</f>
        <v>0.45135288604200341</v>
      </c>
      <c r="F79" s="86">
        <f>SUM(F71-F52)/F32</f>
        <v>0.34287673950939124</v>
      </c>
      <c r="G79" s="86">
        <f>SUM(G71-G52)/G32</f>
        <v>0.29817926491357555</v>
      </c>
      <c r="I79" s="37"/>
      <c r="J79" s="37"/>
      <c r="K79" s="37"/>
      <c r="L79" s="86">
        <f t="shared" ref="L79:W79" si="168">SUM(L71-L52)/SUM(I32:L32)</f>
        <v>0.45135288604200358</v>
      </c>
      <c r="M79" s="86">
        <f t="shared" si="168"/>
        <v>0.37850772434928265</v>
      </c>
      <c r="N79" s="86">
        <f t="shared" si="168"/>
        <v>0.3286124122431508</v>
      </c>
      <c r="O79" s="86">
        <f t="shared" si="168"/>
        <v>0.33134749348949111</v>
      </c>
      <c r="P79" s="86">
        <f t="shared" si="168"/>
        <v>0.34287673950939124</v>
      </c>
      <c r="Q79" s="86">
        <f t="shared" si="168"/>
        <v>0.30727432578136893</v>
      </c>
      <c r="R79" s="86">
        <f t="shared" si="168"/>
        <v>0.30799412468544907</v>
      </c>
      <c r="S79" s="86">
        <f t="shared" si="168"/>
        <v>0.34167387463671717</v>
      </c>
      <c r="T79" s="86">
        <f t="shared" si="168"/>
        <v>0.2981792649135756</v>
      </c>
      <c r="U79" s="86">
        <f t="shared" si="168"/>
        <v>0.29011590061330145</v>
      </c>
      <c r="V79" s="86">
        <f t="shared" si="168"/>
        <v>0.22298992156959471</v>
      </c>
      <c r="W79" s="86">
        <f t="shared" si="168"/>
        <v>0.18001584611363472</v>
      </c>
      <c r="X79" s="86"/>
      <c r="Y79" s="86">
        <f t="shared" ref="Y79:AK79" si="169">SUM(Y71-Y52)/Y32</f>
        <v>1.259347120599708</v>
      </c>
      <c r="Z79" s="86">
        <f t="shared" si="169"/>
        <v>1.1347390350172315</v>
      </c>
      <c r="AA79" s="86">
        <f t="shared" si="169"/>
        <v>0.9279329448069279</v>
      </c>
      <c r="AB79" s="86">
        <f t="shared" si="169"/>
        <v>0.81762808398762954</v>
      </c>
      <c r="AC79" s="86">
        <f t="shared" si="169"/>
        <v>0.83611133029422358</v>
      </c>
      <c r="AD79" s="86">
        <f t="shared" si="169"/>
        <v>0.87963077777198484</v>
      </c>
      <c r="AE79" s="86">
        <f t="shared" si="169"/>
        <v>0.78456531328449053</v>
      </c>
      <c r="AF79" s="86">
        <f t="shared" si="169"/>
        <v>0.7744750866693485</v>
      </c>
      <c r="AG79" s="86">
        <f t="shared" si="169"/>
        <v>0.34167387463671717</v>
      </c>
      <c r="AH79" s="86">
        <f t="shared" si="169"/>
        <v>0.29817926491357555</v>
      </c>
      <c r="AI79" s="86">
        <f t="shared" si="169"/>
        <v>0.29011590061330145</v>
      </c>
      <c r="AJ79" s="86">
        <f t="shared" si="169"/>
        <v>0.22298992156959471</v>
      </c>
      <c r="AK79" s="86">
        <f t="shared" si="169"/>
        <v>0.18001584611363475</v>
      </c>
    </row>
    <row r="80" spans="1:37" ht="12.75" customHeight="1">
      <c r="B80" s="31" t="s">
        <v>123</v>
      </c>
      <c r="C80" s="86">
        <f>C32/-C37</f>
        <v>20.871683724295586</v>
      </c>
      <c r="D80" s="86">
        <f>D32/-D37</f>
        <v>24.93543367320207</v>
      </c>
      <c r="E80" s="86">
        <f>E32/-E37</f>
        <v>29.31637767513714</v>
      </c>
      <c r="F80" s="86">
        <f>F32/-F37</f>
        <v>31.917644016689458</v>
      </c>
      <c r="G80" s="86">
        <f>G32/-G37</f>
        <v>39.022320171029889</v>
      </c>
      <c r="I80" s="37"/>
      <c r="J80" s="37"/>
      <c r="K80" s="37"/>
      <c r="L80" s="86" cm="1">
        <f t="array" ref="L80">SUM(I32:L32)/SUM(-I37:L37)</f>
        <v>29.128784274410513</v>
      </c>
      <c r="M80" s="86" cm="1">
        <f t="array" ref="M80">SUM(J32:M32)/SUM(-J37:M37)</f>
        <v>29.735694327379367</v>
      </c>
      <c r="N80" s="86" cm="1">
        <f t="array" ref="N80">SUM(K32:N32)/SUM(-K37:N37)</f>
        <v>30.241612241035838</v>
      </c>
      <c r="O80" s="86" cm="1">
        <f t="array" ref="O80">SUM(L32:O32)/SUM(-L37:O37)</f>
        <v>30.451482055243176</v>
      </c>
      <c r="P80" s="86" cm="1">
        <f t="array" ref="P80">SUM(M32:P32)/SUM(-M37:P37)</f>
        <v>31.218838682758285</v>
      </c>
      <c r="Q80" s="86" cm="1">
        <f t="array" ref="Q80">SUM(N32:Q32)/SUM(-N37:Q37)</f>
        <v>32.83861090483488</v>
      </c>
      <c r="R80" s="86" cm="1">
        <f t="array" ref="R80">SUM(O32:R32)/SUM(-O37:R37)</f>
        <v>34.777789979409746</v>
      </c>
      <c r="S80" s="86" cm="1">
        <f t="array" ref="S80">SUM(P32:S32)/SUM(-P37:S37)</f>
        <v>35.880175435094429</v>
      </c>
      <c r="T80" s="86" cm="1">
        <f t="array" ref="T80">SUM(Q32:T32)/SUM(-Q37:T37)</f>
        <v>36.620877293793384</v>
      </c>
      <c r="U80" s="86" cm="1">
        <f t="array" ref="U80">SUM(R32:U32)/SUM(-R37:U37)</f>
        <v>37.248088312492889</v>
      </c>
      <c r="V80" s="86" cm="1">
        <f t="array" ref="V80">SUM(S32:V32)/SUM(-S37:V37)</f>
        <v>38.18722237300706</v>
      </c>
      <c r="W80" s="86" cm="1">
        <f t="array" ref="W80">SUM(T32:W32)/SUM(-T37:W37)</f>
        <v>39.586254862409795</v>
      </c>
      <c r="X80" s="86"/>
      <c r="Y80" s="86">
        <f t="shared" ref="Y80:AK80" si="170">Y32/-Y37</f>
        <v>11.647237070325559</v>
      </c>
      <c r="Z80" s="86">
        <f t="shared" si="170"/>
        <v>11.586241808408809</v>
      </c>
      <c r="AA80" s="86">
        <f t="shared" si="170"/>
        <v>12.129313928113705</v>
      </c>
      <c r="AB80" s="86">
        <f t="shared" si="170"/>
        <v>12.154388215460491</v>
      </c>
      <c r="AC80" s="86">
        <f t="shared" si="170"/>
        <v>12.067797536596487</v>
      </c>
      <c r="AD80" s="86">
        <f t="shared" si="170"/>
        <v>12.168984861951399</v>
      </c>
      <c r="AE80" s="86">
        <f t="shared" si="170"/>
        <v>12.861213533819528</v>
      </c>
      <c r="AF80" s="86">
        <f t="shared" si="170"/>
        <v>13.830470685980572</v>
      </c>
      <c r="AG80" s="86">
        <f t="shared" si="170"/>
        <v>35.880175435094429</v>
      </c>
      <c r="AH80" s="86">
        <f t="shared" si="170"/>
        <v>36.620877293793392</v>
      </c>
      <c r="AI80" s="86">
        <f t="shared" si="170"/>
        <v>37.248088312492889</v>
      </c>
      <c r="AJ80" s="86">
        <f t="shared" si="170"/>
        <v>38.18722237300706</v>
      </c>
      <c r="AK80" s="86">
        <f t="shared" si="170"/>
        <v>39.586254862409795</v>
      </c>
    </row>
    <row r="81" spans="2:37" ht="12.75" customHeight="1">
      <c r="B81" s="31" t="s">
        <v>124</v>
      </c>
      <c r="C81" s="86" cm="1">
        <f t="array" ref="C81">SUM(C32+C35)/SUM(-C36:C37)</f>
        <v>14.62813920715875</v>
      </c>
      <c r="D81" s="86" cm="1">
        <f t="array" ref="D81">SUM(D32+D35)/SUM(-D36:D37)</f>
        <v>14.545428330545292</v>
      </c>
      <c r="E81" s="86" cm="1">
        <f t="array" ref="E81">SUM(E32+E35)/SUM(-E36:E37)</f>
        <v>13.323110082971407</v>
      </c>
      <c r="F81" s="86" cm="1">
        <f t="array" ref="F81">SUM(F32+F35)/SUM(-F36:F37)</f>
        <v>11.687671550119955</v>
      </c>
      <c r="G81" s="86" cm="1">
        <f t="array" ref="G81">SUM(G32+G35)/SUM(-G36:G37)</f>
        <v>11.174757084530784</v>
      </c>
      <c r="I81" s="37"/>
      <c r="J81" s="37"/>
      <c r="K81" s="37"/>
      <c r="L81" s="86" cm="1">
        <f t="array" ref="L81">SUM(I32:L32+I35:L35)/SUM(-I36:L37)</f>
        <v>13.640330208622952</v>
      </c>
      <c r="M81" s="86" cm="1">
        <f t="array" ref="M81">SUM(J32:M32+J35:M35)/SUM(-J36:M37)</f>
        <v>16.250535548377464</v>
      </c>
      <c r="N81" s="86" cm="1">
        <f t="array" ref="N81">SUM(K32:N32+K35:N35)/SUM(-K36:N37)</f>
        <v>16.389357810735067</v>
      </c>
      <c r="O81" s="86" cm="1">
        <f t="array" ref="O81">SUM(L32:O32+L35:O35)/SUM(-L36:O37)</f>
        <v>16.418457609612336</v>
      </c>
      <c r="P81" s="86" cm="1">
        <f t="array" ref="P81">SUM(M32:P32+M35:P35)/SUM(-M36:P37)</f>
        <v>14.359213379809932</v>
      </c>
      <c r="Q81" s="86" cm="1">
        <f t="array" ref="Q81">SUM(N32:Q32+N35:Q35)/SUM(-N36:Q37)</f>
        <v>13.987394515682395</v>
      </c>
      <c r="R81" s="86" cm="1">
        <f t="array" ref="R81">SUM(O32:R32+O35:R35)/SUM(-O36:R37)</f>
        <v>13.309116882621566</v>
      </c>
      <c r="S81" s="86" cm="1">
        <f t="array" ref="S81">SUM(P32:S32+P35:S35)/SUM(-P36:S37)</f>
        <v>13.053436834052714</v>
      </c>
      <c r="T81" s="86" cm="1">
        <f t="array" ref="T81">SUM(Q32:T32+Q35:T35)/SUM(-Q36:T37)</f>
        <v>13.119238082299965</v>
      </c>
      <c r="U81" s="86" cm="1">
        <f t="array" ref="U81">SUM(R32:U32+R35:U35)/SUM(-R36:U37)</f>
        <v>13.179630074157053</v>
      </c>
      <c r="V81" s="86" cm="1">
        <f t="array" ref="V81">SUM(S32:V32+S35:V35)/SUM(-S36:V37)</f>
        <v>12.781701856404576</v>
      </c>
      <c r="W81" s="86" cm="1">
        <f t="array" ref="W81">SUM(T32:W32+T35:W35)/SUM(-T36:W37)</f>
        <v>11.902635725660501</v>
      </c>
      <c r="X81" s="86"/>
      <c r="Y81" s="86" cm="1">
        <f t="array" ref="Y81">SUM(Y32+Y35)/SUM(-Y36:Y37)</f>
        <v>4.4895735900547171</v>
      </c>
      <c r="Z81" s="86" cm="1">
        <f t="array" ref="Z81">SUM(Z32+Z35)/SUM(-Z36:Z37)</f>
        <v>5.2594537879080008</v>
      </c>
      <c r="AA81" s="86" cm="1">
        <f t="array" ref="AA81">SUM(AA32+AA35)/SUM(-AA36:AA37)</f>
        <v>6.4630636095078087</v>
      </c>
      <c r="AB81" s="86" cm="1">
        <f t="array" ref="AB81">SUM(AB32+AB35)/SUM(-AB36:AB37)</f>
        <v>6.4157398423721608</v>
      </c>
      <c r="AC81" s="86" cm="1">
        <f t="array" ref="AC81">SUM(AC32+AC35)/SUM(-AC36:AC37)</f>
        <v>6.3261229717650114</v>
      </c>
      <c r="AD81" s="86" cm="1">
        <f t="array" ref="AD81">SUM(AD32+AD35)/SUM(-AD36:AD37)</f>
        <v>5.4551137725990682</v>
      </c>
      <c r="AE81" s="86" cm="1">
        <f t="array" ref="AE81">SUM(AE32+AE35)/SUM(-AE36:AE37)</f>
        <v>5.3416911671822733</v>
      </c>
      <c r="AF81" s="86" cm="1">
        <f t="array" ref="AF81">SUM(AF32+AF35)/SUM(-AF36:AF37)</f>
        <v>5.1780722113101243</v>
      </c>
      <c r="AG81" s="86" cm="1">
        <f t="array" ref="AG81">SUM(AG32+AG35)/SUM(-AG36:AG37)</f>
        <v>13.053436834052713</v>
      </c>
      <c r="AH81" s="86" cm="1">
        <f t="array" ref="AH81">SUM(AH32+AH35)/SUM(-AH36:AH37)</f>
        <v>13.119238082299967</v>
      </c>
      <c r="AI81" s="86" cm="1">
        <f t="array" ref="AI81">SUM(AI32+AI35)/SUM(-AI36:AI37)</f>
        <v>13.179630074157053</v>
      </c>
      <c r="AJ81" s="86" cm="1">
        <f t="array" ref="AJ81">SUM(AJ32+AJ35)/SUM(-AJ36:AJ37)</f>
        <v>12.781701856404574</v>
      </c>
      <c r="AK81" s="86" cm="1">
        <f t="array" ref="AK81">SUM(AK32+AK35)/SUM(-AK36:AK37)</f>
        <v>11.902635725660499</v>
      </c>
    </row>
    <row r="82" spans="2:37" ht="12.75" customHeight="1">
      <c r="B82" s="31" t="s">
        <v>125</v>
      </c>
      <c r="C82" s="86" cm="1">
        <f t="array" ref="C82">SUM(C32)/SUM(-C35:C37)</f>
        <v>10.257020540334409</v>
      </c>
      <c r="D82" s="86" cm="1">
        <f t="array" ref="D82">SUM(D32)/SUM(-D35:D37)</f>
        <v>10.591831443257098</v>
      </c>
      <c r="E82" s="86" cm="1">
        <f t="array" ref="E82">SUM(E32)/SUM(-E35:E37)</f>
        <v>10.707744143847776</v>
      </c>
      <c r="F82" s="86" cm="1">
        <f t="array" ref="F82">SUM(F32)/SUM(-F35:F37)</f>
        <v>9.9851304530241602</v>
      </c>
      <c r="G82" s="86" cm="1">
        <f t="array" ref="G82">SUM(G32)/SUM(-G35:G37)</f>
        <v>9.5517925510874342</v>
      </c>
      <c r="I82" s="37"/>
      <c r="J82" s="37"/>
      <c r="K82" s="37"/>
      <c r="L82" s="86" cm="1">
        <f t="array" ref="L82">SUM(I32:L32)/SUM(-I35:L37)</f>
        <v>10.907574766191608</v>
      </c>
      <c r="M82" s="86" cm="1">
        <f t="array" ref="M82">SUM(J32:M32)/SUM(-J35:M37)</f>
        <v>12.917454557309952</v>
      </c>
      <c r="N82" s="86" cm="1">
        <f t="array" ref="N82">SUM(K32:N32)/SUM(-K35:N37)</f>
        <v>12.963058530960936</v>
      </c>
      <c r="O82" s="86" cm="1">
        <f t="array" ref="O82">SUM(L32:O32)/SUM(-L35:O37)</f>
        <v>12.870436535076918</v>
      </c>
      <c r="P82" s="86" cm="1">
        <f t="array" ref="P82">SUM(M32:P32)/SUM(-M35:P37)</f>
        <v>11.83651417033221</v>
      </c>
      <c r="Q82" s="86" cm="1">
        <f t="array" ref="Q82">SUM(N32:Q32)/SUM(-N35:Q37)</f>
        <v>11.607921184677767</v>
      </c>
      <c r="R82" s="86" cm="1">
        <f t="array" ref="R82">SUM(O32:R32)/SUM(-O35:R37)</f>
        <v>11.339874845464962</v>
      </c>
      <c r="S82" s="86" cm="1">
        <f t="array" ref="S82">SUM(P32:S32)/SUM(-P35:S37)</f>
        <v>11.122257311001253</v>
      </c>
      <c r="T82" s="86" cm="1">
        <f t="array" ref="T82">SUM(Q32:T32)/SUM(-Q35:T37)</f>
        <v>10.911025052056193</v>
      </c>
      <c r="U82" s="86" cm="1">
        <f t="array" ref="U82">SUM(R32:U32)/SUM(-R35:U37)</f>
        <v>10.79811723419701</v>
      </c>
      <c r="V82" s="86" cm="1">
        <f t="array" ref="V82">SUM(S32:V32)/SUM(-S35:V37)</f>
        <v>10.339794448284644</v>
      </c>
      <c r="W82" s="86" cm="1">
        <f t="array" ref="W82">SUM(T32:W32)/SUM(-T35:W37)</f>
        <v>9.6946883555011567</v>
      </c>
      <c r="X82" s="86"/>
      <c r="Y82" s="86" cm="1">
        <f t="array" ref="Y82">SUM(Y32)/SUM(-Y35:Y37)</f>
        <v>3.8515605995685629</v>
      </c>
      <c r="Z82" s="86" cm="1">
        <f t="array" ref="Z82">SUM(Z32)/SUM(-Z35:Z37)</f>
        <v>4.338588167423671</v>
      </c>
      <c r="AA82" s="86" cm="1">
        <f t="array" ref="AA82">SUM(AA32)/SUM(-AA35:AA37)</f>
        <v>5.2690836727323793</v>
      </c>
      <c r="AB82" s="86" cm="1">
        <f t="array" ref="AB82">SUM(AB32)/SUM(-AB35:AB37)</f>
        <v>5.2099750697563829</v>
      </c>
      <c r="AC82" s="86" cm="1">
        <f t="array" ref="AC82">SUM(AC32)/SUM(-AC35:AC37)</f>
        <v>5.1005012508473238</v>
      </c>
      <c r="AD82" s="86" cm="1">
        <f t="array" ref="AD82">SUM(AD32)/SUM(-AD35:AD37)</f>
        <v>4.613828311191992</v>
      </c>
      <c r="AE82" s="86" cm="1">
        <f t="array" ref="AE82">SUM(AE32)/SUM(-AE35:AE37)</f>
        <v>4.5462322834705411</v>
      </c>
      <c r="AF82" s="86" cm="1">
        <f t="array" ref="AF82">SUM(AF32)/SUM(-AF35:AF37)</f>
        <v>4.5096541995838875</v>
      </c>
      <c r="AG82" s="86" cm="1">
        <f t="array" ref="AG82">SUM(AG32)/SUM(-AG35:AG37)</f>
        <v>11.122257311001253</v>
      </c>
      <c r="AH82" s="86" cm="1">
        <f t="array" ref="AH82">SUM(AH32)/SUM(-AH35:AH37)</f>
        <v>10.911025052056194</v>
      </c>
      <c r="AI82" s="86" cm="1">
        <f t="array" ref="AI82">SUM(AI32)/SUM(-AI35:AI37)</f>
        <v>10.79811723419701</v>
      </c>
      <c r="AJ82" s="86" cm="1">
        <f t="array" ref="AJ82">SUM(AJ32)/SUM(-AJ35:AJ37)</f>
        <v>10.339794448284644</v>
      </c>
      <c r="AK82" s="86" cm="1">
        <f t="array" ref="AK82">SUM(AK32)/SUM(-AK35:AK37)</f>
        <v>9.6946883555011567</v>
      </c>
    </row>
    <row r="83" spans="2:37" ht="12.75" customHeight="1">
      <c r="B83" s="8" t="s">
        <v>57</v>
      </c>
      <c r="C83" s="86">
        <f>C74/C71</f>
        <v>1.6740521442495127</v>
      </c>
      <c r="D83" s="86">
        <f>D74/D71</f>
        <v>2.0235226348078785</v>
      </c>
      <c r="E83" s="86">
        <f>E74/E71</f>
        <v>2.4396757899113082</v>
      </c>
      <c r="F83" s="86">
        <f>F74/F71</f>
        <v>2.4093861582694411</v>
      </c>
      <c r="G83" s="86">
        <f>G74/G71</f>
        <v>2.5807555740113717</v>
      </c>
      <c r="I83" s="37"/>
      <c r="J83" s="37"/>
      <c r="K83" s="37"/>
      <c r="L83" s="86">
        <f t="shared" ref="L83:V83" si="171">L74/L71</f>
        <v>2.4396757899113082</v>
      </c>
      <c r="M83" s="86">
        <f t="shared" si="171"/>
        <v>2.5040443740095086</v>
      </c>
      <c r="N83" s="86">
        <f t="shared" si="171"/>
        <v>2.5700876770733045</v>
      </c>
      <c r="O83" s="86">
        <f t="shared" si="171"/>
        <v>2.5386711442093541</v>
      </c>
      <c r="P83" s="86">
        <f t="shared" si="171"/>
        <v>2.4093861582694411</v>
      </c>
      <c r="Q83" s="86">
        <f t="shared" si="171"/>
        <v>2.5177530723875829</v>
      </c>
      <c r="R83" s="86">
        <f t="shared" si="171"/>
        <v>2.5752025217267418</v>
      </c>
      <c r="S83" s="86">
        <f t="shared" si="171"/>
        <v>2.4151813142323268</v>
      </c>
      <c r="T83" s="86">
        <f t="shared" si="171"/>
        <v>2.5807555740113717</v>
      </c>
      <c r="U83" s="86">
        <f t="shared" si="171"/>
        <v>2.5929510076902678</v>
      </c>
      <c r="V83" s="86">
        <f t="shared" si="171"/>
        <v>2.7190423010678608</v>
      </c>
      <c r="W83" s="86">
        <f>W74/W71</f>
        <v>2.7870987399297666</v>
      </c>
      <c r="X83" s="86"/>
      <c r="Y83" s="86">
        <f t="shared" ref="Y83:AI83" si="172">Y74/Y71</f>
        <v>2.4694445955619186</v>
      </c>
      <c r="Z83" s="86">
        <f t="shared" si="172"/>
        <v>2.4396757899113082</v>
      </c>
      <c r="AA83" s="86">
        <f t="shared" si="172"/>
        <v>2.5040443740095086</v>
      </c>
      <c r="AB83" s="86">
        <f t="shared" si="172"/>
        <v>2.5700876770733045</v>
      </c>
      <c r="AC83" s="86">
        <f t="shared" si="172"/>
        <v>2.5386711442093541</v>
      </c>
      <c r="AD83" s="86">
        <f t="shared" si="172"/>
        <v>2.4093861582694411</v>
      </c>
      <c r="AE83" s="86">
        <f t="shared" si="172"/>
        <v>2.5177530723875829</v>
      </c>
      <c r="AF83" s="86">
        <f t="shared" si="172"/>
        <v>2.5752025217267418</v>
      </c>
      <c r="AG83" s="86">
        <f t="shared" si="172"/>
        <v>2.4151813142323268</v>
      </c>
      <c r="AH83" s="86">
        <f t="shared" si="172"/>
        <v>2.5807555740113717</v>
      </c>
      <c r="AI83" s="86">
        <f t="shared" si="172"/>
        <v>2.5929510076902678</v>
      </c>
      <c r="AJ83" s="86">
        <f>AJ74/AJ71</f>
        <v>2.7190423010678608</v>
      </c>
      <c r="AK83" s="86">
        <f>AK74/AK71</f>
        <v>2.7870987399297666</v>
      </c>
    </row>
    <row r="84" spans="2:37" ht="5.0999999999999996" customHeight="1" thickBot="1">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row>
  </sheetData>
  <mergeCells count="1">
    <mergeCell ref="AM2:AM4"/>
  </mergeCells>
  <dataValidations disablePrompts="1"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C39:V40 AL40:AM40 H35:H37 AL42:AM42 AL38 AL39 H38 AL41:AM41 H41 H42 C41:G41 C43:H46 C42:G42 I41:W46" formulaRange="1"/>
    <ignoredError sqref="C78:AK83 D14:AK14 C24:AK25 H15 X15:AK15 C18:AK19 H20:H23 X20:AK22 C29:AK30 H26 X26:AK26 C32:AK33 H31 AM28:AM39 X31:AK31 AM10:AM15 H17 AM17:AM26 H28 D12:H12 M12:AK12 D13:H13 J13:AK13" evalError="1"/>
    <ignoredError sqref="AG45:AK4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0B09-DABA-4E42-BC67-93960B9C5A6B}">
  <sheetPr>
    <tabColor theme="4" tint="-0.249977111117893"/>
  </sheetPr>
  <dimension ref="B2:AK27"/>
  <sheetViews>
    <sheetView showGridLines="0" zoomScale="115" zoomScaleNormal="115" workbookViewId="0">
      <selection activeCell="E17" sqref="E17"/>
    </sheetView>
  </sheetViews>
  <sheetFormatPr defaultRowHeight="12" outlineLevelCol="2"/>
  <cols>
    <col min="1" max="1" width="1.625" style="8" customWidth="1"/>
    <col min="2" max="2" width="28.625" style="8" bestFit="1" customWidth="1"/>
    <col min="3" max="4" width="8.625" style="8" customWidth="1" outlineLevel="1"/>
    <col min="5" max="7" width="8.625" style="8" bestFit="1" customWidth="1"/>
    <col min="8" max="8" width="1.625" style="8" customWidth="1"/>
    <col min="9" max="11" width="7.875" style="8" hidden="1" customWidth="1" outlineLevel="2"/>
    <col min="12" max="12" width="8.625" style="8" hidden="1" customWidth="1" outlineLevel="2"/>
    <col min="13" max="13" width="7.875" style="8" customWidth="1" outlineLevel="1" collapsed="1"/>
    <col min="14" max="15" width="7.875" style="8" customWidth="1" outlineLevel="1"/>
    <col min="16" max="16" width="8.625" style="8" customWidth="1" outlineLevel="1"/>
    <col min="17" max="18" width="7.875" style="8" customWidth="1" outlineLevel="1"/>
    <col min="19" max="19" width="7.875" style="8" bestFit="1" customWidth="1"/>
    <col min="20" max="20" width="8.625" style="8" bestFit="1" customWidth="1"/>
    <col min="21" max="23" width="7.875" style="8" bestFit="1" customWidth="1"/>
    <col min="24" max="24" width="1.625" style="8" customWidth="1"/>
    <col min="25" max="25" width="7.875" style="8" hidden="1" customWidth="1" outlineLevel="1"/>
    <col min="26" max="26" width="8.625" style="8" hidden="1" customWidth="1" outlineLevel="1"/>
    <col min="27" max="29" width="7.875" style="8" hidden="1" customWidth="1" outlineLevel="1"/>
    <col min="30" max="30" width="8.625" style="8" hidden="1" customWidth="1" outlineLevel="1"/>
    <col min="31" max="32" width="7.875" style="8" hidden="1" customWidth="1" outlineLevel="1"/>
    <col min="33" max="33" width="7.875" style="8" bestFit="1" customWidth="1" collapsed="1"/>
    <col min="34" max="34" width="8.625" style="8" hidden="1" customWidth="1" outlineLevel="1"/>
    <col min="35" max="36" width="7.875" style="8" hidden="1" customWidth="1" outlineLevel="1"/>
    <col min="37" max="37" width="7.875" style="8" bestFit="1" customWidth="1" collapsed="1"/>
    <col min="38" max="16384" width="9" style="8"/>
  </cols>
  <sheetData>
    <row r="2" spans="2:37">
      <c r="B2" s="149" t="str">
        <f>'Historical Financials'!B2</f>
        <v>Netflix, Inc. (NASDAQ: NFLX)</v>
      </c>
      <c r="C2" s="147" t="s">
        <v>0</v>
      </c>
      <c r="D2" s="147"/>
      <c r="E2" s="147" t="s">
        <v>0</v>
      </c>
      <c r="F2" s="147"/>
      <c r="G2" s="147"/>
      <c r="H2" s="148"/>
      <c r="I2" s="147" t="s">
        <v>1</v>
      </c>
      <c r="J2" s="147"/>
      <c r="K2" s="147"/>
      <c r="L2" s="147"/>
      <c r="M2" s="147" t="s">
        <v>1</v>
      </c>
      <c r="N2" s="147"/>
      <c r="O2" s="147"/>
      <c r="P2" s="147"/>
      <c r="Q2" s="147"/>
      <c r="R2" s="147"/>
      <c r="S2" s="147" t="s">
        <v>1</v>
      </c>
      <c r="T2" s="147"/>
      <c r="U2" s="147"/>
      <c r="V2" s="147"/>
      <c r="W2" s="147"/>
      <c r="X2" s="148"/>
      <c r="Y2" s="147" t="s">
        <v>10</v>
      </c>
      <c r="Z2" s="147"/>
      <c r="AA2" s="147"/>
      <c r="AB2" s="147"/>
      <c r="AC2" s="147"/>
      <c r="AD2" s="147"/>
      <c r="AE2" s="147"/>
      <c r="AF2" s="147" t="s">
        <v>10</v>
      </c>
      <c r="AG2" s="147" t="s">
        <v>10</v>
      </c>
      <c r="AH2" s="147"/>
      <c r="AI2" s="147"/>
      <c r="AJ2" s="147"/>
      <c r="AK2" s="147"/>
    </row>
    <row r="3" spans="2:37">
      <c r="B3" s="150" t="s">
        <v>201</v>
      </c>
      <c r="C3" s="154">
        <f>'Historical Financials'!E7</f>
        <v>2020</v>
      </c>
      <c r="D3" s="154">
        <f>'Historical Financials'!F7</f>
        <v>2021</v>
      </c>
      <c r="E3" s="154">
        <f>'Historical Financials'!G7</f>
        <v>2022</v>
      </c>
      <c r="F3" s="154">
        <f>'Historical Financials'!H7</f>
        <v>2023</v>
      </c>
      <c r="G3" s="154">
        <f>'Historical Financials'!I7</f>
        <v>2024</v>
      </c>
      <c r="H3" s="148"/>
      <c r="I3" s="154" t="str">
        <f>'Historical Financials'!O7</f>
        <v>1Q22</v>
      </c>
      <c r="J3" s="154" t="str">
        <f>'Historical Financials'!P7</f>
        <v>2Q22</v>
      </c>
      <c r="K3" s="154" t="str">
        <f>'Historical Financials'!Q7</f>
        <v>3Q22</v>
      </c>
      <c r="L3" s="154" t="str">
        <f>'Historical Financials'!R7</f>
        <v>4Q22</v>
      </c>
      <c r="M3" s="154" t="str">
        <f>'Historical Financials'!S7</f>
        <v>1Q23</v>
      </c>
      <c r="N3" s="154" t="str">
        <f>'Historical Financials'!T7</f>
        <v>2Q23</v>
      </c>
      <c r="O3" s="154" t="str">
        <f>'Historical Financials'!U7</f>
        <v>3Q23</v>
      </c>
      <c r="P3" s="154" t="str">
        <f>'Historical Financials'!V7</f>
        <v>4Q23</v>
      </c>
      <c r="Q3" s="154" t="str">
        <f>'Historical Financials'!W7</f>
        <v>1Q24</v>
      </c>
      <c r="R3" s="154" t="str">
        <f>'Historical Financials'!X7</f>
        <v>2Q24</v>
      </c>
      <c r="S3" s="154" t="str">
        <f>'Historical Financials'!Y7</f>
        <v>3Q24</v>
      </c>
      <c r="T3" s="154" t="str">
        <f>'Historical Financials'!Z7</f>
        <v>4Q24</v>
      </c>
      <c r="U3" s="154" t="str">
        <f>'Historical Financials'!AA7</f>
        <v>1Q25</v>
      </c>
      <c r="V3" s="154" t="str">
        <f>'Historical Financials'!AB7</f>
        <v>2Q25</v>
      </c>
      <c r="W3" s="154" t="str">
        <f>'Historical Financials'!AC7</f>
        <v>3Q25</v>
      </c>
      <c r="X3" s="148"/>
      <c r="Y3" s="155" t="str">
        <f t="shared" ref="Y3:AK4" si="0">K3</f>
        <v>3Q22</v>
      </c>
      <c r="Z3" s="155" t="str">
        <f t="shared" si="0"/>
        <v>4Q22</v>
      </c>
      <c r="AA3" s="155" t="str">
        <f t="shared" si="0"/>
        <v>1Q23</v>
      </c>
      <c r="AB3" s="155" t="str">
        <f t="shared" si="0"/>
        <v>2Q23</v>
      </c>
      <c r="AC3" s="155" t="str">
        <f t="shared" si="0"/>
        <v>3Q23</v>
      </c>
      <c r="AD3" s="155" t="str">
        <f t="shared" si="0"/>
        <v>4Q23</v>
      </c>
      <c r="AE3" s="155" t="str">
        <f t="shared" si="0"/>
        <v>1Q24</v>
      </c>
      <c r="AF3" s="155" t="str">
        <f t="shared" si="0"/>
        <v>2Q24</v>
      </c>
      <c r="AG3" s="155" t="str">
        <f t="shared" si="0"/>
        <v>3Q24</v>
      </c>
      <c r="AH3" s="155" t="str">
        <f t="shared" si="0"/>
        <v>4Q24</v>
      </c>
      <c r="AI3" s="155" t="str">
        <f t="shared" si="0"/>
        <v>1Q25</v>
      </c>
      <c r="AJ3" s="155" t="str">
        <f t="shared" si="0"/>
        <v>2Q25</v>
      </c>
      <c r="AK3" s="155" t="str">
        <f t="shared" si="0"/>
        <v>3Q25</v>
      </c>
    </row>
    <row r="4" spans="2:37">
      <c r="B4" s="150" t="s">
        <v>198</v>
      </c>
      <c r="C4" s="148">
        <f>'Historical Financials'!E8</f>
        <v>44196</v>
      </c>
      <c r="D4" s="148">
        <f>'Historical Financials'!F8</f>
        <v>44561</v>
      </c>
      <c r="E4" s="148">
        <f>'Historical Financials'!G8</f>
        <v>44926</v>
      </c>
      <c r="F4" s="148">
        <f>'Historical Financials'!H8</f>
        <v>45291</v>
      </c>
      <c r="G4" s="148">
        <f>'Historical Financials'!I8</f>
        <v>45657</v>
      </c>
      <c r="H4" s="148"/>
      <c r="I4" s="148">
        <f>'Historical Financials'!O8</f>
        <v>44651</v>
      </c>
      <c r="J4" s="148">
        <f>'Historical Financials'!P8</f>
        <v>44742</v>
      </c>
      <c r="K4" s="148">
        <f>'Historical Financials'!Q8</f>
        <v>44834</v>
      </c>
      <c r="L4" s="148">
        <f>'Historical Financials'!R8</f>
        <v>44926</v>
      </c>
      <c r="M4" s="148">
        <f>'Historical Financials'!S8</f>
        <v>45016</v>
      </c>
      <c r="N4" s="148">
        <f>'Historical Financials'!T8</f>
        <v>45107</v>
      </c>
      <c r="O4" s="148">
        <f>'Historical Financials'!U8</f>
        <v>45199</v>
      </c>
      <c r="P4" s="148">
        <f>'Historical Financials'!V8</f>
        <v>45291</v>
      </c>
      <c r="Q4" s="148">
        <f>'Historical Financials'!W8</f>
        <v>45382</v>
      </c>
      <c r="R4" s="148">
        <f>'Historical Financials'!X8</f>
        <v>45473</v>
      </c>
      <c r="S4" s="148">
        <f>'Historical Financials'!Y8</f>
        <v>45565</v>
      </c>
      <c r="T4" s="148">
        <f>'Historical Financials'!Z8</f>
        <v>45657</v>
      </c>
      <c r="U4" s="148">
        <f>'Historical Financials'!AA8</f>
        <v>45747</v>
      </c>
      <c r="V4" s="148">
        <f>'Historical Financials'!AB8</f>
        <v>45838</v>
      </c>
      <c r="W4" s="148">
        <f>'Historical Financials'!AC8</f>
        <v>45930</v>
      </c>
      <c r="X4" s="148"/>
      <c r="Y4" s="148">
        <f t="shared" si="0"/>
        <v>44834</v>
      </c>
      <c r="Z4" s="148">
        <f t="shared" si="0"/>
        <v>44926</v>
      </c>
      <c r="AA4" s="148">
        <f t="shared" si="0"/>
        <v>45016</v>
      </c>
      <c r="AB4" s="148">
        <f t="shared" si="0"/>
        <v>45107</v>
      </c>
      <c r="AC4" s="148">
        <f t="shared" si="0"/>
        <v>45199</v>
      </c>
      <c r="AD4" s="148">
        <f t="shared" si="0"/>
        <v>45291</v>
      </c>
      <c r="AE4" s="148">
        <f t="shared" si="0"/>
        <v>45382</v>
      </c>
      <c r="AF4" s="148">
        <f t="shared" si="0"/>
        <v>45473</v>
      </c>
      <c r="AG4" s="148">
        <f t="shared" si="0"/>
        <v>45565</v>
      </c>
      <c r="AH4" s="148">
        <f t="shared" si="0"/>
        <v>45657</v>
      </c>
      <c r="AI4" s="148">
        <f t="shared" si="0"/>
        <v>45747</v>
      </c>
      <c r="AJ4" s="148">
        <f t="shared" si="0"/>
        <v>45838</v>
      </c>
      <c r="AK4" s="148">
        <f t="shared" si="0"/>
        <v>45930</v>
      </c>
    </row>
    <row r="5" spans="2:37" ht="5.0999999999999996" customHeight="1"/>
    <row r="6" spans="2:37">
      <c r="B6" s="35" t="s">
        <v>199</v>
      </c>
    </row>
    <row r="7" spans="2:37">
      <c r="B7" s="157" t="s">
        <v>203</v>
      </c>
      <c r="C7" s="156">
        <v>500</v>
      </c>
      <c r="D7" s="156">
        <v>0</v>
      </c>
      <c r="E7" s="156">
        <v>0</v>
      </c>
      <c r="F7" s="156">
        <v>0</v>
      </c>
      <c r="G7" s="156">
        <v>0</v>
      </c>
      <c r="I7" s="156">
        <v>0</v>
      </c>
      <c r="J7" s="156">
        <v>0</v>
      </c>
      <c r="K7" s="156">
        <v>0</v>
      </c>
      <c r="L7" s="146">
        <f>E7</f>
        <v>0</v>
      </c>
      <c r="M7" s="156">
        <v>0</v>
      </c>
      <c r="N7" s="156">
        <v>0</v>
      </c>
      <c r="O7" s="156">
        <v>0</v>
      </c>
      <c r="P7" s="146">
        <f>F7</f>
        <v>0</v>
      </c>
      <c r="Q7" s="156">
        <v>0</v>
      </c>
      <c r="R7" s="156">
        <v>0</v>
      </c>
      <c r="S7" s="156">
        <v>0</v>
      </c>
      <c r="T7" s="146">
        <f>G7</f>
        <v>0</v>
      </c>
      <c r="U7" s="156">
        <v>0</v>
      </c>
      <c r="V7" s="156">
        <v>0</v>
      </c>
      <c r="W7" s="156">
        <v>0</v>
      </c>
      <c r="Y7" s="146">
        <f t="shared" ref="Y7" si="1">K7</f>
        <v>0</v>
      </c>
      <c r="Z7" s="146">
        <f t="shared" ref="Z7" si="2">L7</f>
        <v>0</v>
      </c>
      <c r="AA7" s="146">
        <f t="shared" ref="AA7" si="3">M7</f>
        <v>0</v>
      </c>
      <c r="AB7" s="146">
        <f t="shared" ref="AB7" si="4">N7</f>
        <v>0</v>
      </c>
      <c r="AC7" s="146">
        <f t="shared" ref="AC7" si="5">O7</f>
        <v>0</v>
      </c>
      <c r="AD7" s="146">
        <f t="shared" ref="AD7" si="6">P7</f>
        <v>0</v>
      </c>
      <c r="AE7" s="146">
        <f t="shared" ref="AE7" si="7">Q7</f>
        <v>0</v>
      </c>
      <c r="AF7" s="146">
        <f t="shared" ref="AF7" si="8">R7</f>
        <v>0</v>
      </c>
      <c r="AG7" s="146">
        <f t="shared" ref="AG7" si="9">S7</f>
        <v>0</v>
      </c>
      <c r="AH7" s="146">
        <f t="shared" ref="AH7" si="10">T7</f>
        <v>0</v>
      </c>
      <c r="AI7" s="146">
        <f t="shared" ref="AI7" si="11">U7</f>
        <v>0</v>
      </c>
      <c r="AJ7" s="146">
        <f t="shared" ref="AJ7" si="12">V7</f>
        <v>0</v>
      </c>
      <c r="AK7" s="146">
        <f t="shared" ref="AK7" si="13">W7</f>
        <v>0</v>
      </c>
    </row>
    <row r="8" spans="2:37">
      <c r="B8" s="157" t="s">
        <v>202</v>
      </c>
      <c r="C8" s="156">
        <v>700</v>
      </c>
      <c r="D8" s="156">
        <v>700</v>
      </c>
      <c r="E8" s="156">
        <v>0</v>
      </c>
      <c r="F8" s="156">
        <v>0</v>
      </c>
      <c r="G8" s="156">
        <v>0</v>
      </c>
      <c r="I8" s="156">
        <v>0</v>
      </c>
      <c r="J8" s="156">
        <v>0</v>
      </c>
      <c r="K8" s="156">
        <v>0</v>
      </c>
      <c r="L8" s="146">
        <f t="shared" ref="L8:L24" si="14">E8</f>
        <v>0</v>
      </c>
      <c r="M8" s="156">
        <v>0</v>
      </c>
      <c r="N8" s="156">
        <v>0</v>
      </c>
      <c r="O8" s="156">
        <v>0</v>
      </c>
      <c r="P8" s="146">
        <f>F8</f>
        <v>0</v>
      </c>
      <c r="Q8" s="156">
        <v>0</v>
      </c>
      <c r="R8" s="156">
        <v>0</v>
      </c>
      <c r="S8" s="156">
        <v>0</v>
      </c>
      <c r="T8" s="146">
        <f>G8</f>
        <v>0</v>
      </c>
      <c r="U8" s="156">
        <v>0</v>
      </c>
      <c r="V8" s="156">
        <v>0</v>
      </c>
      <c r="W8" s="156">
        <v>0</v>
      </c>
      <c r="Y8" s="146">
        <f t="shared" ref="Y8" si="15">K8</f>
        <v>0</v>
      </c>
      <c r="Z8" s="146">
        <f t="shared" ref="Z8" si="16">L8</f>
        <v>0</v>
      </c>
      <c r="AA8" s="146">
        <f t="shared" ref="AA8" si="17">M8</f>
        <v>0</v>
      </c>
      <c r="AB8" s="146">
        <f t="shared" ref="AB8" si="18">N8</f>
        <v>0</v>
      </c>
      <c r="AC8" s="146">
        <f t="shared" ref="AC8" si="19">O8</f>
        <v>0</v>
      </c>
      <c r="AD8" s="146">
        <f t="shared" ref="AD8" si="20">P8</f>
        <v>0</v>
      </c>
      <c r="AE8" s="146">
        <f t="shared" ref="AE8" si="21">Q8</f>
        <v>0</v>
      </c>
      <c r="AF8" s="146">
        <f t="shared" ref="AF8" si="22">R8</f>
        <v>0</v>
      </c>
      <c r="AG8" s="146">
        <f t="shared" ref="AG8" si="23">S8</f>
        <v>0</v>
      </c>
      <c r="AH8" s="146">
        <f t="shared" ref="AH8" si="24">T8</f>
        <v>0</v>
      </c>
      <c r="AI8" s="146">
        <f t="shared" ref="AI8" si="25">U8</f>
        <v>0</v>
      </c>
      <c r="AJ8" s="146">
        <f t="shared" ref="AJ8" si="26">V8</f>
        <v>0</v>
      </c>
      <c r="AK8" s="146">
        <f t="shared" ref="AK8" si="27">W8</f>
        <v>0</v>
      </c>
    </row>
    <row r="9" spans="2:37">
      <c r="B9" s="157" t="s">
        <v>184</v>
      </c>
      <c r="C9" s="156">
        <v>400</v>
      </c>
      <c r="D9" s="156">
        <v>400</v>
      </c>
      <c r="E9" s="156">
        <v>400</v>
      </c>
      <c r="F9" s="156">
        <v>400</v>
      </c>
      <c r="G9" s="156">
        <v>0</v>
      </c>
      <c r="I9" s="156">
        <v>400</v>
      </c>
      <c r="J9" s="156">
        <v>400</v>
      </c>
      <c r="K9" s="156">
        <v>400</v>
      </c>
      <c r="L9" s="146">
        <f t="shared" si="14"/>
        <v>400</v>
      </c>
      <c r="M9" s="156">
        <v>400</v>
      </c>
      <c r="N9" s="156">
        <v>400</v>
      </c>
      <c r="O9" s="156">
        <v>400</v>
      </c>
      <c r="P9" s="146">
        <f>F9</f>
        <v>400</v>
      </c>
      <c r="Q9" s="156">
        <v>0</v>
      </c>
      <c r="R9" s="156">
        <v>0</v>
      </c>
      <c r="S9" s="156">
        <v>0</v>
      </c>
      <c r="T9" s="146">
        <f>G9</f>
        <v>0</v>
      </c>
      <c r="U9" s="156">
        <v>0</v>
      </c>
      <c r="V9" s="156">
        <v>0</v>
      </c>
      <c r="W9" s="156">
        <v>0</v>
      </c>
      <c r="Y9" s="146">
        <f t="shared" ref="Y9:Y24" si="28">K9</f>
        <v>400</v>
      </c>
      <c r="Z9" s="146">
        <f t="shared" ref="Z9:Z24" si="29">L9</f>
        <v>400</v>
      </c>
      <c r="AA9" s="146">
        <f t="shared" ref="AA9:AA24" si="30">M9</f>
        <v>400</v>
      </c>
      <c r="AB9" s="146">
        <f t="shared" ref="AB9:AB24" si="31">N9</f>
        <v>400</v>
      </c>
      <c r="AC9" s="146">
        <f t="shared" ref="AC9:AC24" si="32">O9</f>
        <v>400</v>
      </c>
      <c r="AD9" s="146">
        <f t="shared" ref="AD9:AD24" si="33">P9</f>
        <v>400</v>
      </c>
      <c r="AE9" s="146">
        <f t="shared" ref="AE9:AE24" si="34">Q9</f>
        <v>0</v>
      </c>
      <c r="AF9" s="146">
        <f t="shared" ref="AF9:AF24" si="35">R9</f>
        <v>0</v>
      </c>
      <c r="AG9" s="146">
        <f t="shared" ref="AG9:AG24" si="36">S9</f>
        <v>0</v>
      </c>
      <c r="AH9" s="146">
        <f t="shared" ref="AH9:AH24" si="37">T9</f>
        <v>0</v>
      </c>
      <c r="AI9" s="146">
        <f t="shared" ref="AI9:AI24" si="38">U9</f>
        <v>0</v>
      </c>
      <c r="AJ9" s="146">
        <f t="shared" ref="AJ9:AJ24" si="39">V9</f>
        <v>0</v>
      </c>
      <c r="AK9" s="146">
        <f t="shared" ref="AK9:AK23" si="40">W9</f>
        <v>0</v>
      </c>
    </row>
    <row r="10" spans="2:37">
      <c r="B10" s="157" t="s">
        <v>185</v>
      </c>
      <c r="C10" s="156">
        <v>800</v>
      </c>
      <c r="D10" s="156">
        <v>800</v>
      </c>
      <c r="E10" s="156">
        <v>800</v>
      </c>
      <c r="F10" s="156">
        <v>800</v>
      </c>
      <c r="G10" s="156">
        <v>800</v>
      </c>
      <c r="I10" s="156">
        <v>800</v>
      </c>
      <c r="J10" s="156">
        <v>800</v>
      </c>
      <c r="K10" s="156">
        <v>800</v>
      </c>
      <c r="L10" s="146">
        <f t="shared" si="14"/>
        <v>800</v>
      </c>
      <c r="M10" s="156">
        <v>800</v>
      </c>
      <c r="N10" s="156">
        <v>800</v>
      </c>
      <c r="O10" s="156">
        <v>800</v>
      </c>
      <c r="P10" s="146">
        <f t="shared" ref="P10:P24" si="41">F10</f>
        <v>800</v>
      </c>
      <c r="Q10" s="156">
        <v>800</v>
      </c>
      <c r="R10" s="156">
        <v>800</v>
      </c>
      <c r="S10" s="156">
        <v>800</v>
      </c>
      <c r="T10" s="146">
        <f t="shared" ref="T10:T24" si="42">G10</f>
        <v>800</v>
      </c>
      <c r="U10" s="156">
        <v>0</v>
      </c>
      <c r="V10" s="156">
        <v>0</v>
      </c>
      <c r="W10" s="156">
        <v>0</v>
      </c>
      <c r="Y10" s="146">
        <f t="shared" si="28"/>
        <v>800</v>
      </c>
      <c r="Z10" s="146">
        <f t="shared" si="29"/>
        <v>800</v>
      </c>
      <c r="AA10" s="146">
        <f t="shared" si="30"/>
        <v>800</v>
      </c>
      <c r="AB10" s="146">
        <f t="shared" si="31"/>
        <v>800</v>
      </c>
      <c r="AC10" s="146">
        <f t="shared" si="32"/>
        <v>800</v>
      </c>
      <c r="AD10" s="146">
        <f t="shared" si="33"/>
        <v>800</v>
      </c>
      <c r="AE10" s="146">
        <f t="shared" si="34"/>
        <v>800</v>
      </c>
      <c r="AF10" s="146">
        <f t="shared" si="35"/>
        <v>800</v>
      </c>
      <c r="AG10" s="146">
        <f t="shared" si="36"/>
        <v>800</v>
      </c>
      <c r="AH10" s="146">
        <f t="shared" si="37"/>
        <v>800</v>
      </c>
      <c r="AI10" s="146">
        <f t="shared" si="38"/>
        <v>0</v>
      </c>
      <c r="AJ10" s="146">
        <f t="shared" si="39"/>
        <v>0</v>
      </c>
      <c r="AK10" s="146">
        <f t="shared" si="40"/>
        <v>0</v>
      </c>
    </row>
    <row r="11" spans="2:37" ht="14.25">
      <c r="B11" s="157" t="s">
        <v>204</v>
      </c>
      <c r="C11" s="156">
        <v>574</v>
      </c>
      <c r="D11" s="156">
        <v>535</v>
      </c>
      <c r="E11" s="156">
        <v>503</v>
      </c>
      <c r="F11" s="156">
        <v>519</v>
      </c>
      <c r="G11" s="156">
        <v>487</v>
      </c>
      <c r="I11" s="156">
        <v>520</v>
      </c>
      <c r="J11" s="156">
        <v>492</v>
      </c>
      <c r="K11" s="156">
        <v>460</v>
      </c>
      <c r="L11" s="146">
        <f t="shared" si="14"/>
        <v>503</v>
      </c>
      <c r="M11" s="156">
        <v>510</v>
      </c>
      <c r="N11" s="156">
        <v>513</v>
      </c>
      <c r="O11" s="156">
        <v>497</v>
      </c>
      <c r="P11" s="146">
        <f t="shared" si="41"/>
        <v>519</v>
      </c>
      <c r="Q11" s="156">
        <v>507</v>
      </c>
      <c r="R11" s="156">
        <v>503</v>
      </c>
      <c r="S11" s="156">
        <v>523</v>
      </c>
      <c r="T11" s="146">
        <f t="shared" si="42"/>
        <v>487</v>
      </c>
      <c r="U11" s="156">
        <v>508</v>
      </c>
      <c r="V11" s="156">
        <v>0</v>
      </c>
      <c r="W11" s="156">
        <v>0</v>
      </c>
      <c r="Y11" s="146">
        <f t="shared" si="28"/>
        <v>460</v>
      </c>
      <c r="Z11" s="146">
        <f t="shared" si="29"/>
        <v>503</v>
      </c>
      <c r="AA11" s="146">
        <f t="shared" si="30"/>
        <v>510</v>
      </c>
      <c r="AB11" s="146">
        <f t="shared" si="31"/>
        <v>513</v>
      </c>
      <c r="AC11" s="146">
        <f t="shared" si="32"/>
        <v>497</v>
      </c>
      <c r="AD11" s="146">
        <f t="shared" si="33"/>
        <v>519</v>
      </c>
      <c r="AE11" s="146">
        <f t="shared" si="34"/>
        <v>507</v>
      </c>
      <c r="AF11" s="146">
        <f t="shared" si="35"/>
        <v>503</v>
      </c>
      <c r="AG11" s="146">
        <f t="shared" si="36"/>
        <v>523</v>
      </c>
      <c r="AH11" s="146">
        <f t="shared" si="37"/>
        <v>487</v>
      </c>
      <c r="AI11" s="146">
        <f t="shared" si="38"/>
        <v>508</v>
      </c>
      <c r="AJ11" s="146">
        <f t="shared" si="39"/>
        <v>0</v>
      </c>
      <c r="AK11" s="146">
        <f t="shared" si="40"/>
        <v>0</v>
      </c>
    </row>
    <row r="12" spans="2:37">
      <c r="B12" s="157" t="s">
        <v>186</v>
      </c>
      <c r="C12" s="156">
        <v>500</v>
      </c>
      <c r="D12" s="156">
        <v>500</v>
      </c>
      <c r="E12" s="156">
        <v>500</v>
      </c>
      <c r="F12" s="156">
        <v>500</v>
      </c>
      <c r="G12" s="156">
        <v>500</v>
      </c>
      <c r="I12" s="156">
        <v>500</v>
      </c>
      <c r="J12" s="156">
        <v>500</v>
      </c>
      <c r="K12" s="156">
        <v>500</v>
      </c>
      <c r="L12" s="146">
        <f t="shared" si="14"/>
        <v>500</v>
      </c>
      <c r="M12" s="156">
        <v>500</v>
      </c>
      <c r="N12" s="156">
        <v>500</v>
      </c>
      <c r="O12" s="156">
        <v>500</v>
      </c>
      <c r="P12" s="146">
        <f t="shared" si="41"/>
        <v>500</v>
      </c>
      <c r="Q12" s="156">
        <v>500</v>
      </c>
      <c r="R12" s="156">
        <v>500</v>
      </c>
      <c r="S12" s="156">
        <v>500</v>
      </c>
      <c r="T12" s="146">
        <f t="shared" si="42"/>
        <v>500</v>
      </c>
      <c r="U12" s="156">
        <v>500</v>
      </c>
      <c r="V12" s="156">
        <v>0</v>
      </c>
      <c r="W12" s="156">
        <v>0</v>
      </c>
      <c r="Y12" s="146">
        <f t="shared" si="28"/>
        <v>500</v>
      </c>
      <c r="Z12" s="146">
        <f t="shared" si="29"/>
        <v>500</v>
      </c>
      <c r="AA12" s="146">
        <f t="shared" si="30"/>
        <v>500</v>
      </c>
      <c r="AB12" s="146">
        <f t="shared" si="31"/>
        <v>500</v>
      </c>
      <c r="AC12" s="146">
        <f t="shared" si="32"/>
        <v>500</v>
      </c>
      <c r="AD12" s="146">
        <f t="shared" si="33"/>
        <v>500</v>
      </c>
      <c r="AE12" s="146">
        <f t="shared" si="34"/>
        <v>500</v>
      </c>
      <c r="AF12" s="146">
        <f t="shared" si="35"/>
        <v>500</v>
      </c>
      <c r="AG12" s="146">
        <f t="shared" si="36"/>
        <v>500</v>
      </c>
      <c r="AH12" s="146">
        <f t="shared" si="37"/>
        <v>500</v>
      </c>
      <c r="AI12" s="146">
        <f t="shared" si="38"/>
        <v>500</v>
      </c>
      <c r="AJ12" s="146">
        <f t="shared" si="39"/>
        <v>0</v>
      </c>
      <c r="AK12" s="146">
        <f t="shared" si="40"/>
        <v>0</v>
      </c>
    </row>
    <row r="13" spans="2:37">
      <c r="B13" s="157" t="s">
        <v>187</v>
      </c>
      <c r="C13" s="156">
        <v>1000</v>
      </c>
      <c r="D13" s="156">
        <v>1000</v>
      </c>
      <c r="E13" s="156">
        <v>1000</v>
      </c>
      <c r="F13" s="156">
        <v>1000</v>
      </c>
      <c r="G13" s="156">
        <v>1000</v>
      </c>
      <c r="I13" s="156">
        <v>1000</v>
      </c>
      <c r="J13" s="156">
        <v>1000</v>
      </c>
      <c r="K13" s="156">
        <v>1000</v>
      </c>
      <c r="L13" s="146">
        <f t="shared" si="14"/>
        <v>1000</v>
      </c>
      <c r="M13" s="156">
        <v>1000</v>
      </c>
      <c r="N13" s="156">
        <v>1000</v>
      </c>
      <c r="O13" s="156">
        <v>1000</v>
      </c>
      <c r="P13" s="146">
        <f t="shared" si="41"/>
        <v>1000</v>
      </c>
      <c r="Q13" s="156">
        <v>1000</v>
      </c>
      <c r="R13" s="156">
        <v>1000</v>
      </c>
      <c r="S13" s="156">
        <v>1000</v>
      </c>
      <c r="T13" s="146">
        <f t="shared" si="42"/>
        <v>1000</v>
      </c>
      <c r="U13" s="156">
        <v>1000</v>
      </c>
      <c r="V13" s="156">
        <v>1000</v>
      </c>
      <c r="W13" s="156">
        <v>1000</v>
      </c>
      <c r="Y13" s="146">
        <f t="shared" si="28"/>
        <v>1000</v>
      </c>
      <c r="Z13" s="146">
        <f t="shared" si="29"/>
        <v>1000</v>
      </c>
      <c r="AA13" s="146">
        <f t="shared" si="30"/>
        <v>1000</v>
      </c>
      <c r="AB13" s="146">
        <f t="shared" si="31"/>
        <v>1000</v>
      </c>
      <c r="AC13" s="146">
        <f t="shared" si="32"/>
        <v>1000</v>
      </c>
      <c r="AD13" s="146">
        <f t="shared" si="33"/>
        <v>1000</v>
      </c>
      <c r="AE13" s="146">
        <f t="shared" si="34"/>
        <v>1000</v>
      </c>
      <c r="AF13" s="146">
        <f t="shared" si="35"/>
        <v>1000</v>
      </c>
      <c r="AG13" s="146">
        <f t="shared" si="36"/>
        <v>1000</v>
      </c>
      <c r="AH13" s="146">
        <f t="shared" si="37"/>
        <v>1000</v>
      </c>
      <c r="AI13" s="146">
        <f t="shared" si="38"/>
        <v>1000</v>
      </c>
      <c r="AJ13" s="146">
        <f t="shared" si="39"/>
        <v>1000</v>
      </c>
      <c r="AK13" s="146">
        <f t="shared" si="40"/>
        <v>1000</v>
      </c>
    </row>
    <row r="14" spans="2:37" ht="14.25">
      <c r="B14" s="157" t="s">
        <v>205</v>
      </c>
      <c r="C14" s="156">
        <v>1588</v>
      </c>
      <c r="D14" s="156">
        <v>1480</v>
      </c>
      <c r="E14" s="156">
        <v>1391</v>
      </c>
      <c r="F14" s="156">
        <v>1434</v>
      </c>
      <c r="G14" s="156">
        <v>1346</v>
      </c>
      <c r="I14" s="156">
        <v>1439</v>
      </c>
      <c r="J14" s="156">
        <v>1362</v>
      </c>
      <c r="K14" s="156">
        <v>1275</v>
      </c>
      <c r="L14" s="146">
        <f t="shared" si="14"/>
        <v>1391</v>
      </c>
      <c r="M14" s="156">
        <v>1412</v>
      </c>
      <c r="N14" s="156">
        <v>1419</v>
      </c>
      <c r="O14" s="156">
        <v>1375</v>
      </c>
      <c r="P14" s="146">
        <f t="shared" si="41"/>
        <v>1434</v>
      </c>
      <c r="Q14" s="156">
        <v>1401</v>
      </c>
      <c r="R14" s="156">
        <v>1394</v>
      </c>
      <c r="S14" s="156">
        <v>1446</v>
      </c>
      <c r="T14" s="146">
        <f t="shared" si="42"/>
        <v>1346</v>
      </c>
      <c r="U14" s="156">
        <v>1404</v>
      </c>
      <c r="V14" s="156">
        <v>1525</v>
      </c>
      <c r="W14" s="156">
        <v>1528</v>
      </c>
      <c r="Y14" s="146">
        <f t="shared" si="28"/>
        <v>1275</v>
      </c>
      <c r="Z14" s="146">
        <f t="shared" si="29"/>
        <v>1391</v>
      </c>
      <c r="AA14" s="146">
        <f t="shared" si="30"/>
        <v>1412</v>
      </c>
      <c r="AB14" s="146">
        <f t="shared" si="31"/>
        <v>1419</v>
      </c>
      <c r="AC14" s="146">
        <f t="shared" si="32"/>
        <v>1375</v>
      </c>
      <c r="AD14" s="146">
        <f t="shared" si="33"/>
        <v>1434</v>
      </c>
      <c r="AE14" s="146">
        <f t="shared" si="34"/>
        <v>1401</v>
      </c>
      <c r="AF14" s="146">
        <f t="shared" si="35"/>
        <v>1394</v>
      </c>
      <c r="AG14" s="146">
        <f t="shared" si="36"/>
        <v>1446</v>
      </c>
      <c r="AH14" s="146">
        <f t="shared" si="37"/>
        <v>1346</v>
      </c>
      <c r="AI14" s="146">
        <f t="shared" si="38"/>
        <v>1404</v>
      </c>
      <c r="AJ14" s="146">
        <f t="shared" si="39"/>
        <v>1525</v>
      </c>
      <c r="AK14" s="146">
        <f t="shared" si="40"/>
        <v>1528</v>
      </c>
    </row>
    <row r="15" spans="2:37">
      <c r="B15" s="157" t="s">
        <v>192</v>
      </c>
      <c r="C15" s="156">
        <v>1600</v>
      </c>
      <c r="D15" s="156">
        <v>1600</v>
      </c>
      <c r="E15" s="156">
        <v>1600</v>
      </c>
      <c r="F15" s="156">
        <v>1600</v>
      </c>
      <c r="G15" s="156">
        <v>1600</v>
      </c>
      <c r="I15" s="156">
        <v>1600</v>
      </c>
      <c r="J15" s="156">
        <v>1600</v>
      </c>
      <c r="K15" s="156">
        <v>1600</v>
      </c>
      <c r="L15" s="146">
        <f t="shared" si="14"/>
        <v>1600</v>
      </c>
      <c r="M15" s="156">
        <v>1600</v>
      </c>
      <c r="N15" s="156">
        <v>1600</v>
      </c>
      <c r="O15" s="156">
        <v>1600</v>
      </c>
      <c r="P15" s="146">
        <f t="shared" si="41"/>
        <v>1600</v>
      </c>
      <c r="Q15" s="156">
        <v>1600</v>
      </c>
      <c r="R15" s="156">
        <v>1600</v>
      </c>
      <c r="S15" s="156">
        <v>1600</v>
      </c>
      <c r="T15" s="146">
        <f t="shared" si="42"/>
        <v>1600</v>
      </c>
      <c r="U15" s="156">
        <v>1600</v>
      </c>
      <c r="V15" s="156">
        <v>1600</v>
      </c>
      <c r="W15" s="156">
        <v>1600</v>
      </c>
      <c r="Y15" s="146">
        <f t="shared" si="28"/>
        <v>1600</v>
      </c>
      <c r="Z15" s="146">
        <f t="shared" si="29"/>
        <v>1600</v>
      </c>
      <c r="AA15" s="146">
        <f t="shared" si="30"/>
        <v>1600</v>
      </c>
      <c r="AB15" s="146">
        <f t="shared" si="31"/>
        <v>1600</v>
      </c>
      <c r="AC15" s="146">
        <f t="shared" si="32"/>
        <v>1600</v>
      </c>
      <c r="AD15" s="146">
        <f t="shared" si="33"/>
        <v>1600</v>
      </c>
      <c r="AE15" s="146">
        <f t="shared" si="34"/>
        <v>1600</v>
      </c>
      <c r="AF15" s="146">
        <f t="shared" si="35"/>
        <v>1600</v>
      </c>
      <c r="AG15" s="146">
        <f t="shared" si="36"/>
        <v>1600</v>
      </c>
      <c r="AH15" s="146">
        <f t="shared" si="37"/>
        <v>1600</v>
      </c>
      <c r="AI15" s="146">
        <f t="shared" si="38"/>
        <v>1600</v>
      </c>
      <c r="AJ15" s="146">
        <f t="shared" si="39"/>
        <v>1600</v>
      </c>
      <c r="AK15" s="146">
        <f t="shared" si="40"/>
        <v>1600</v>
      </c>
    </row>
    <row r="16" spans="2:37">
      <c r="B16" s="157" t="s">
        <v>191</v>
      </c>
      <c r="C16" s="156">
        <v>1900</v>
      </c>
      <c r="D16" s="156">
        <v>1900</v>
      </c>
      <c r="E16" s="156">
        <v>1900</v>
      </c>
      <c r="F16" s="156">
        <v>1900</v>
      </c>
      <c r="G16" s="156">
        <v>1900</v>
      </c>
      <c r="I16" s="156">
        <v>1900</v>
      </c>
      <c r="J16" s="156">
        <v>1900</v>
      </c>
      <c r="K16" s="156">
        <v>1900</v>
      </c>
      <c r="L16" s="146">
        <f t="shared" si="14"/>
        <v>1900</v>
      </c>
      <c r="M16" s="156">
        <v>1900</v>
      </c>
      <c r="N16" s="156">
        <v>1900</v>
      </c>
      <c r="O16" s="156">
        <v>1900</v>
      </c>
      <c r="P16" s="146">
        <f t="shared" si="41"/>
        <v>1900</v>
      </c>
      <c r="Q16" s="156">
        <v>1900</v>
      </c>
      <c r="R16" s="156">
        <v>1900</v>
      </c>
      <c r="S16" s="156">
        <v>1900</v>
      </c>
      <c r="T16" s="146">
        <f t="shared" si="42"/>
        <v>1900</v>
      </c>
      <c r="U16" s="156">
        <v>1900</v>
      </c>
      <c r="V16" s="156">
        <v>1900</v>
      </c>
      <c r="W16" s="156">
        <v>1900</v>
      </c>
      <c r="Y16" s="146">
        <f t="shared" si="28"/>
        <v>1900</v>
      </c>
      <c r="Z16" s="146">
        <f t="shared" si="29"/>
        <v>1900</v>
      </c>
      <c r="AA16" s="146">
        <f t="shared" si="30"/>
        <v>1900</v>
      </c>
      <c r="AB16" s="146">
        <f t="shared" si="31"/>
        <v>1900</v>
      </c>
      <c r="AC16" s="146">
        <f t="shared" si="32"/>
        <v>1900</v>
      </c>
      <c r="AD16" s="146">
        <f t="shared" si="33"/>
        <v>1900</v>
      </c>
      <c r="AE16" s="146">
        <f t="shared" si="34"/>
        <v>1900</v>
      </c>
      <c r="AF16" s="146">
        <f t="shared" si="35"/>
        <v>1900</v>
      </c>
      <c r="AG16" s="146">
        <f t="shared" si="36"/>
        <v>1900</v>
      </c>
      <c r="AH16" s="146">
        <f t="shared" si="37"/>
        <v>1900</v>
      </c>
      <c r="AI16" s="146">
        <f t="shared" si="38"/>
        <v>1900</v>
      </c>
      <c r="AJ16" s="146">
        <f t="shared" si="39"/>
        <v>1900</v>
      </c>
      <c r="AK16" s="146">
        <f t="shared" si="40"/>
        <v>1900</v>
      </c>
    </row>
    <row r="17" spans="2:37" ht="14.25">
      <c r="B17" s="157" t="s">
        <v>206</v>
      </c>
      <c r="C17" s="156">
        <v>1344</v>
      </c>
      <c r="D17" s="156">
        <v>1252</v>
      </c>
      <c r="E17" s="156">
        <v>1177</v>
      </c>
      <c r="F17" s="156">
        <v>1215</v>
      </c>
      <c r="G17" s="156">
        <v>1139</v>
      </c>
      <c r="I17" s="156">
        <v>1218</v>
      </c>
      <c r="J17" s="156">
        <v>1153</v>
      </c>
      <c r="K17" s="156">
        <v>1079</v>
      </c>
      <c r="L17" s="146">
        <f t="shared" si="14"/>
        <v>1177</v>
      </c>
      <c r="M17" s="156">
        <v>1194</v>
      </c>
      <c r="N17" s="156">
        <v>1200</v>
      </c>
      <c r="O17" s="156">
        <v>1163</v>
      </c>
      <c r="P17" s="146">
        <f t="shared" si="41"/>
        <v>1215</v>
      </c>
      <c r="Q17" s="156">
        <v>1187</v>
      </c>
      <c r="R17" s="156">
        <v>1178</v>
      </c>
      <c r="S17" s="156">
        <v>1225</v>
      </c>
      <c r="T17" s="146">
        <f t="shared" si="42"/>
        <v>1139</v>
      </c>
      <c r="U17" s="156">
        <v>1188</v>
      </c>
      <c r="V17" s="156">
        <v>1291</v>
      </c>
      <c r="W17" s="156">
        <v>1293</v>
      </c>
      <c r="Y17" s="146">
        <f t="shared" si="28"/>
        <v>1079</v>
      </c>
      <c r="Z17" s="146">
        <f t="shared" si="29"/>
        <v>1177</v>
      </c>
      <c r="AA17" s="146">
        <f t="shared" si="30"/>
        <v>1194</v>
      </c>
      <c r="AB17" s="146">
        <f t="shared" si="31"/>
        <v>1200</v>
      </c>
      <c r="AC17" s="146">
        <f t="shared" si="32"/>
        <v>1163</v>
      </c>
      <c r="AD17" s="146">
        <f t="shared" si="33"/>
        <v>1215</v>
      </c>
      <c r="AE17" s="146">
        <f t="shared" si="34"/>
        <v>1187</v>
      </c>
      <c r="AF17" s="146">
        <f t="shared" si="35"/>
        <v>1178</v>
      </c>
      <c r="AG17" s="146">
        <f t="shared" si="36"/>
        <v>1225</v>
      </c>
      <c r="AH17" s="146">
        <f t="shared" si="37"/>
        <v>1139</v>
      </c>
      <c r="AI17" s="146">
        <f t="shared" si="38"/>
        <v>1188</v>
      </c>
      <c r="AJ17" s="146">
        <f t="shared" si="39"/>
        <v>1291</v>
      </c>
      <c r="AK17" s="146">
        <f t="shared" si="40"/>
        <v>1293</v>
      </c>
    </row>
    <row r="18" spans="2:37">
      <c r="B18" s="157" t="s">
        <v>190</v>
      </c>
      <c r="C18" s="156">
        <v>800</v>
      </c>
      <c r="D18" s="156">
        <v>800</v>
      </c>
      <c r="E18" s="156">
        <v>800</v>
      </c>
      <c r="F18" s="156">
        <v>800</v>
      </c>
      <c r="G18" s="156">
        <v>800</v>
      </c>
      <c r="I18" s="156">
        <v>800</v>
      </c>
      <c r="J18" s="156">
        <v>800</v>
      </c>
      <c r="K18" s="156">
        <v>800</v>
      </c>
      <c r="L18" s="146">
        <f t="shared" si="14"/>
        <v>800</v>
      </c>
      <c r="M18" s="156">
        <v>800</v>
      </c>
      <c r="N18" s="156">
        <v>800</v>
      </c>
      <c r="O18" s="156">
        <v>800</v>
      </c>
      <c r="P18" s="146">
        <f t="shared" si="41"/>
        <v>800</v>
      </c>
      <c r="Q18" s="156">
        <v>800</v>
      </c>
      <c r="R18" s="156">
        <v>800</v>
      </c>
      <c r="S18" s="156">
        <v>800</v>
      </c>
      <c r="T18" s="146">
        <f t="shared" si="42"/>
        <v>800</v>
      </c>
      <c r="U18" s="156">
        <v>800</v>
      </c>
      <c r="V18" s="156">
        <v>800</v>
      </c>
      <c r="W18" s="156">
        <v>800</v>
      </c>
      <c r="Y18" s="146">
        <f t="shared" si="28"/>
        <v>800</v>
      </c>
      <c r="Z18" s="146">
        <f t="shared" si="29"/>
        <v>800</v>
      </c>
      <c r="AA18" s="146">
        <f t="shared" si="30"/>
        <v>800</v>
      </c>
      <c r="AB18" s="146">
        <f t="shared" si="31"/>
        <v>800</v>
      </c>
      <c r="AC18" s="146">
        <f t="shared" si="32"/>
        <v>800</v>
      </c>
      <c r="AD18" s="146">
        <f t="shared" si="33"/>
        <v>800</v>
      </c>
      <c r="AE18" s="146">
        <f t="shared" si="34"/>
        <v>800</v>
      </c>
      <c r="AF18" s="146">
        <f t="shared" si="35"/>
        <v>800</v>
      </c>
      <c r="AG18" s="146">
        <f t="shared" si="36"/>
        <v>800</v>
      </c>
      <c r="AH18" s="146">
        <f t="shared" si="37"/>
        <v>800</v>
      </c>
      <c r="AI18" s="146">
        <f t="shared" si="38"/>
        <v>800</v>
      </c>
      <c r="AJ18" s="146">
        <f t="shared" si="39"/>
        <v>800</v>
      </c>
      <c r="AK18" s="146">
        <f t="shared" si="40"/>
        <v>800</v>
      </c>
    </row>
    <row r="19" spans="2:37" ht="14.25">
      <c r="B19" s="157" t="s">
        <v>207</v>
      </c>
      <c r="C19" s="156">
        <v>1466</v>
      </c>
      <c r="D19" s="156">
        <v>1366</v>
      </c>
      <c r="E19" s="156">
        <v>1284</v>
      </c>
      <c r="F19" s="156">
        <v>1325</v>
      </c>
      <c r="G19" s="156">
        <v>1242</v>
      </c>
      <c r="I19" s="156">
        <v>1328</v>
      </c>
      <c r="J19" s="156">
        <v>1258</v>
      </c>
      <c r="K19" s="156">
        <v>1177</v>
      </c>
      <c r="L19" s="146">
        <f t="shared" si="14"/>
        <v>1284</v>
      </c>
      <c r="M19" s="156">
        <v>1303</v>
      </c>
      <c r="N19" s="156">
        <v>1310</v>
      </c>
      <c r="O19" s="156">
        <v>1269</v>
      </c>
      <c r="P19" s="146">
        <f t="shared" si="41"/>
        <v>1325</v>
      </c>
      <c r="Q19" s="156">
        <v>1295</v>
      </c>
      <c r="R19" s="156">
        <v>1285</v>
      </c>
      <c r="S19" s="156">
        <v>1336</v>
      </c>
      <c r="T19" s="146">
        <f t="shared" si="42"/>
        <v>1242</v>
      </c>
      <c r="U19" s="156">
        <v>1296</v>
      </c>
      <c r="V19" s="156">
        <v>1408</v>
      </c>
      <c r="W19" s="156">
        <v>1410</v>
      </c>
      <c r="Y19" s="146">
        <f t="shared" si="28"/>
        <v>1177</v>
      </c>
      <c r="Z19" s="146">
        <f t="shared" si="29"/>
        <v>1284</v>
      </c>
      <c r="AA19" s="146">
        <f t="shared" si="30"/>
        <v>1303</v>
      </c>
      <c r="AB19" s="146">
        <f t="shared" si="31"/>
        <v>1310</v>
      </c>
      <c r="AC19" s="146">
        <f t="shared" si="32"/>
        <v>1269</v>
      </c>
      <c r="AD19" s="146">
        <f t="shared" si="33"/>
        <v>1325</v>
      </c>
      <c r="AE19" s="146">
        <f t="shared" si="34"/>
        <v>1295</v>
      </c>
      <c r="AF19" s="146">
        <f t="shared" si="35"/>
        <v>1285</v>
      </c>
      <c r="AG19" s="146">
        <f t="shared" si="36"/>
        <v>1336</v>
      </c>
      <c r="AH19" s="146">
        <f t="shared" si="37"/>
        <v>1242</v>
      </c>
      <c r="AI19" s="146">
        <f t="shared" si="38"/>
        <v>1296</v>
      </c>
      <c r="AJ19" s="146">
        <f t="shared" si="39"/>
        <v>1408</v>
      </c>
      <c r="AK19" s="146">
        <f t="shared" si="40"/>
        <v>1410</v>
      </c>
    </row>
    <row r="20" spans="2:37">
      <c r="B20" s="157" t="s">
        <v>194</v>
      </c>
      <c r="C20" s="156">
        <v>900</v>
      </c>
      <c r="D20" s="156">
        <v>900</v>
      </c>
      <c r="E20" s="156">
        <v>900</v>
      </c>
      <c r="F20" s="156">
        <v>900</v>
      </c>
      <c r="G20" s="156">
        <v>900</v>
      </c>
      <c r="I20" s="156">
        <v>900</v>
      </c>
      <c r="J20" s="156">
        <v>900</v>
      </c>
      <c r="K20" s="156">
        <v>900</v>
      </c>
      <c r="L20" s="146">
        <f t="shared" si="14"/>
        <v>900</v>
      </c>
      <c r="M20" s="156">
        <v>900</v>
      </c>
      <c r="N20" s="156">
        <v>900</v>
      </c>
      <c r="O20" s="156">
        <v>900</v>
      </c>
      <c r="P20" s="146">
        <f t="shared" si="41"/>
        <v>900</v>
      </c>
      <c r="Q20" s="156">
        <v>900</v>
      </c>
      <c r="R20" s="156">
        <v>900</v>
      </c>
      <c r="S20" s="156">
        <v>900</v>
      </c>
      <c r="T20" s="146">
        <f t="shared" si="42"/>
        <v>900</v>
      </c>
      <c r="U20" s="156">
        <v>900</v>
      </c>
      <c r="V20" s="156">
        <v>900</v>
      </c>
      <c r="W20" s="156">
        <v>900</v>
      </c>
      <c r="Y20" s="146">
        <f t="shared" si="28"/>
        <v>900</v>
      </c>
      <c r="Z20" s="146">
        <f t="shared" si="29"/>
        <v>900</v>
      </c>
      <c r="AA20" s="146">
        <f t="shared" si="30"/>
        <v>900</v>
      </c>
      <c r="AB20" s="146">
        <f t="shared" si="31"/>
        <v>900</v>
      </c>
      <c r="AC20" s="146">
        <f t="shared" si="32"/>
        <v>900</v>
      </c>
      <c r="AD20" s="146">
        <f t="shared" si="33"/>
        <v>900</v>
      </c>
      <c r="AE20" s="146">
        <f t="shared" si="34"/>
        <v>900</v>
      </c>
      <c r="AF20" s="146">
        <f t="shared" si="35"/>
        <v>900</v>
      </c>
      <c r="AG20" s="146">
        <f t="shared" si="36"/>
        <v>900</v>
      </c>
      <c r="AH20" s="146">
        <f t="shared" si="37"/>
        <v>900</v>
      </c>
      <c r="AI20" s="146">
        <f t="shared" si="38"/>
        <v>900</v>
      </c>
      <c r="AJ20" s="146">
        <f t="shared" si="39"/>
        <v>900</v>
      </c>
      <c r="AK20" s="146">
        <f t="shared" si="40"/>
        <v>900</v>
      </c>
    </row>
    <row r="21" spans="2:37" ht="14.25">
      <c r="B21" s="157" t="s">
        <v>208</v>
      </c>
      <c r="C21" s="156">
        <v>1344</v>
      </c>
      <c r="D21" s="156">
        <v>1252</v>
      </c>
      <c r="E21" s="156">
        <v>1177</v>
      </c>
      <c r="F21" s="156">
        <v>1215</v>
      </c>
      <c r="G21" s="156">
        <v>1139</v>
      </c>
      <c r="I21" s="156">
        <v>1218</v>
      </c>
      <c r="J21" s="156">
        <v>1153</v>
      </c>
      <c r="K21" s="156">
        <v>1079</v>
      </c>
      <c r="L21" s="146">
        <f t="shared" si="14"/>
        <v>1177</v>
      </c>
      <c r="M21" s="156">
        <v>1194</v>
      </c>
      <c r="N21" s="156">
        <v>1200</v>
      </c>
      <c r="O21" s="156">
        <v>1164</v>
      </c>
      <c r="P21" s="146">
        <f t="shared" si="41"/>
        <v>1215</v>
      </c>
      <c r="Q21" s="156">
        <v>1187</v>
      </c>
      <c r="R21" s="156">
        <v>1178</v>
      </c>
      <c r="S21" s="156">
        <v>1225</v>
      </c>
      <c r="T21" s="146">
        <f t="shared" si="42"/>
        <v>1139</v>
      </c>
      <c r="U21" s="156">
        <v>1188</v>
      </c>
      <c r="V21" s="156">
        <v>1291</v>
      </c>
      <c r="W21" s="156">
        <v>1292</v>
      </c>
      <c r="Y21" s="146">
        <f t="shared" si="28"/>
        <v>1079</v>
      </c>
      <c r="Z21" s="146">
        <f t="shared" si="29"/>
        <v>1177</v>
      </c>
      <c r="AA21" s="146">
        <f t="shared" si="30"/>
        <v>1194</v>
      </c>
      <c r="AB21" s="146">
        <f t="shared" si="31"/>
        <v>1200</v>
      </c>
      <c r="AC21" s="146">
        <f t="shared" si="32"/>
        <v>1164</v>
      </c>
      <c r="AD21" s="146">
        <f t="shared" si="33"/>
        <v>1215</v>
      </c>
      <c r="AE21" s="146">
        <f t="shared" si="34"/>
        <v>1187</v>
      </c>
      <c r="AF21" s="146">
        <f t="shared" si="35"/>
        <v>1178</v>
      </c>
      <c r="AG21" s="146">
        <f t="shared" si="36"/>
        <v>1225</v>
      </c>
      <c r="AH21" s="146">
        <f t="shared" si="37"/>
        <v>1139</v>
      </c>
      <c r="AI21" s="146">
        <f t="shared" si="38"/>
        <v>1188</v>
      </c>
      <c r="AJ21" s="146">
        <f t="shared" si="39"/>
        <v>1291</v>
      </c>
      <c r="AK21" s="146">
        <f t="shared" si="40"/>
        <v>1292</v>
      </c>
    </row>
    <row r="22" spans="2:37">
      <c r="B22" s="157" t="s">
        <v>193</v>
      </c>
      <c r="C22" s="156">
        <v>1000</v>
      </c>
      <c r="D22" s="156">
        <v>1000</v>
      </c>
      <c r="E22" s="156">
        <v>1000</v>
      </c>
      <c r="F22" s="156">
        <v>1000</v>
      </c>
      <c r="G22" s="156">
        <v>1000</v>
      </c>
      <c r="I22" s="156">
        <v>1000</v>
      </c>
      <c r="J22" s="156">
        <v>1000</v>
      </c>
      <c r="K22" s="156">
        <v>1000</v>
      </c>
      <c r="L22" s="146">
        <f t="shared" si="14"/>
        <v>1000</v>
      </c>
      <c r="M22" s="156">
        <v>1000</v>
      </c>
      <c r="N22" s="156">
        <v>1000</v>
      </c>
      <c r="O22" s="156">
        <v>1000</v>
      </c>
      <c r="P22" s="146">
        <f t="shared" si="41"/>
        <v>1000</v>
      </c>
      <c r="Q22" s="156">
        <v>1000</v>
      </c>
      <c r="R22" s="156">
        <v>1000</v>
      </c>
      <c r="S22" s="156">
        <v>1000</v>
      </c>
      <c r="T22" s="146">
        <f t="shared" si="42"/>
        <v>1000</v>
      </c>
      <c r="U22" s="156">
        <v>1000</v>
      </c>
      <c r="V22" s="156">
        <v>1000</v>
      </c>
      <c r="W22" s="156">
        <v>1000</v>
      </c>
      <c r="Y22" s="146">
        <f t="shared" si="28"/>
        <v>1000</v>
      </c>
      <c r="Z22" s="146">
        <f t="shared" si="29"/>
        <v>1000</v>
      </c>
      <c r="AA22" s="146">
        <f t="shared" si="30"/>
        <v>1000</v>
      </c>
      <c r="AB22" s="146">
        <f t="shared" si="31"/>
        <v>1000</v>
      </c>
      <c r="AC22" s="146">
        <f t="shared" si="32"/>
        <v>1000</v>
      </c>
      <c r="AD22" s="146">
        <f t="shared" si="33"/>
        <v>1000</v>
      </c>
      <c r="AE22" s="146">
        <f t="shared" si="34"/>
        <v>1000</v>
      </c>
      <c r="AF22" s="146">
        <f t="shared" si="35"/>
        <v>1000</v>
      </c>
      <c r="AG22" s="146">
        <f t="shared" si="36"/>
        <v>1000</v>
      </c>
      <c r="AH22" s="146">
        <f t="shared" si="37"/>
        <v>1000</v>
      </c>
      <c r="AI22" s="146">
        <f t="shared" si="38"/>
        <v>1000</v>
      </c>
      <c r="AJ22" s="146">
        <f t="shared" si="39"/>
        <v>1000</v>
      </c>
      <c r="AK22" s="146">
        <f t="shared" si="40"/>
        <v>1000</v>
      </c>
    </row>
    <row r="23" spans="2:37">
      <c r="B23" s="157" t="s">
        <v>189</v>
      </c>
      <c r="C23" s="156">
        <v>0</v>
      </c>
      <c r="D23" s="156">
        <v>0</v>
      </c>
      <c r="E23" s="156">
        <v>0</v>
      </c>
      <c r="F23" s="156">
        <v>0</v>
      </c>
      <c r="G23" s="156">
        <v>1000</v>
      </c>
      <c r="I23" s="156">
        <v>0</v>
      </c>
      <c r="J23" s="156">
        <v>0</v>
      </c>
      <c r="K23" s="156">
        <v>0</v>
      </c>
      <c r="L23" s="146">
        <f t="shared" si="14"/>
        <v>0</v>
      </c>
      <c r="M23" s="156">
        <v>0</v>
      </c>
      <c r="N23" s="156">
        <v>0</v>
      </c>
      <c r="O23" s="156">
        <v>0</v>
      </c>
      <c r="P23" s="146">
        <f t="shared" si="41"/>
        <v>0</v>
      </c>
      <c r="Q23" s="156">
        <v>0</v>
      </c>
      <c r="R23" s="156">
        <v>0</v>
      </c>
      <c r="S23" s="156">
        <v>1000</v>
      </c>
      <c r="T23" s="146">
        <f t="shared" si="42"/>
        <v>1000</v>
      </c>
      <c r="U23" s="156">
        <v>1000</v>
      </c>
      <c r="V23" s="156">
        <v>1000</v>
      </c>
      <c r="W23" s="156">
        <v>1000</v>
      </c>
      <c r="Y23" s="146">
        <f t="shared" si="28"/>
        <v>0</v>
      </c>
      <c r="Z23" s="146">
        <f t="shared" si="29"/>
        <v>0</v>
      </c>
      <c r="AA23" s="146">
        <f t="shared" si="30"/>
        <v>0</v>
      </c>
      <c r="AB23" s="146">
        <f t="shared" si="31"/>
        <v>0</v>
      </c>
      <c r="AC23" s="146">
        <f t="shared" si="32"/>
        <v>0</v>
      </c>
      <c r="AD23" s="146">
        <f t="shared" si="33"/>
        <v>0</v>
      </c>
      <c r="AE23" s="146">
        <f t="shared" si="34"/>
        <v>0</v>
      </c>
      <c r="AF23" s="146">
        <f t="shared" si="35"/>
        <v>0</v>
      </c>
      <c r="AG23" s="146">
        <f t="shared" si="36"/>
        <v>1000</v>
      </c>
      <c r="AH23" s="146">
        <f t="shared" si="37"/>
        <v>1000</v>
      </c>
      <c r="AI23" s="146">
        <f t="shared" si="38"/>
        <v>1000</v>
      </c>
      <c r="AJ23" s="146">
        <f t="shared" si="39"/>
        <v>1000</v>
      </c>
      <c r="AK23" s="146">
        <f t="shared" si="40"/>
        <v>1000</v>
      </c>
    </row>
    <row r="24" spans="2:37">
      <c r="B24" s="157" t="s">
        <v>188</v>
      </c>
      <c r="C24" s="156">
        <v>0</v>
      </c>
      <c r="D24" s="156">
        <v>0</v>
      </c>
      <c r="E24" s="156">
        <v>0</v>
      </c>
      <c r="F24" s="156">
        <v>0</v>
      </c>
      <c r="G24" s="156">
        <v>800</v>
      </c>
      <c r="I24" s="156">
        <v>0</v>
      </c>
      <c r="J24" s="156">
        <v>0</v>
      </c>
      <c r="K24" s="156">
        <v>0</v>
      </c>
      <c r="L24" s="146">
        <f t="shared" si="14"/>
        <v>0</v>
      </c>
      <c r="M24" s="156">
        <v>0</v>
      </c>
      <c r="N24" s="156">
        <v>0</v>
      </c>
      <c r="O24" s="156">
        <v>0</v>
      </c>
      <c r="P24" s="146">
        <f t="shared" si="41"/>
        <v>0</v>
      </c>
      <c r="Q24" s="156">
        <v>0</v>
      </c>
      <c r="R24" s="156">
        <v>0</v>
      </c>
      <c r="S24" s="156">
        <v>800</v>
      </c>
      <c r="T24" s="146">
        <f t="shared" si="42"/>
        <v>800</v>
      </c>
      <c r="U24" s="156">
        <v>800</v>
      </c>
      <c r="V24" s="156">
        <v>800</v>
      </c>
      <c r="W24" s="156">
        <v>800</v>
      </c>
      <c r="Y24" s="146">
        <f t="shared" si="28"/>
        <v>0</v>
      </c>
      <c r="Z24" s="146">
        <f t="shared" si="29"/>
        <v>0</v>
      </c>
      <c r="AA24" s="146">
        <f t="shared" si="30"/>
        <v>0</v>
      </c>
      <c r="AB24" s="146">
        <f t="shared" si="31"/>
        <v>0</v>
      </c>
      <c r="AC24" s="146">
        <f t="shared" si="32"/>
        <v>0</v>
      </c>
      <c r="AD24" s="146">
        <f t="shared" si="33"/>
        <v>0</v>
      </c>
      <c r="AE24" s="146">
        <f t="shared" si="34"/>
        <v>0</v>
      </c>
      <c r="AF24" s="146">
        <f t="shared" si="35"/>
        <v>0</v>
      </c>
      <c r="AG24" s="146">
        <f t="shared" si="36"/>
        <v>800</v>
      </c>
      <c r="AH24" s="146">
        <f t="shared" si="37"/>
        <v>800</v>
      </c>
      <c r="AI24" s="146">
        <f t="shared" si="38"/>
        <v>800</v>
      </c>
      <c r="AJ24" s="146">
        <f t="shared" si="39"/>
        <v>800</v>
      </c>
      <c r="AK24" s="146">
        <f>W24</f>
        <v>800</v>
      </c>
    </row>
    <row r="25" spans="2:37">
      <c r="B25" s="13" t="s">
        <v>25</v>
      </c>
      <c r="C25" s="14">
        <f>SUM(C7:C24)</f>
        <v>16416</v>
      </c>
      <c r="D25" s="14">
        <f t="shared" ref="D25:G25" si="43">SUM(D7:D24)</f>
        <v>15485</v>
      </c>
      <c r="E25" s="14">
        <f t="shared" si="43"/>
        <v>14432</v>
      </c>
      <c r="F25" s="14">
        <f t="shared" si="43"/>
        <v>14608</v>
      </c>
      <c r="G25" s="14">
        <f t="shared" si="43"/>
        <v>15653</v>
      </c>
      <c r="I25" s="14">
        <f t="shared" ref="I25" si="44">SUM(I7:I24)</f>
        <v>14623</v>
      </c>
      <c r="J25" s="14">
        <f t="shared" ref="J25" si="45">SUM(J7:J24)</f>
        <v>14318</v>
      </c>
      <c r="K25" s="14">
        <f t="shared" ref="K25" si="46">SUM(K7:K24)</f>
        <v>13970</v>
      </c>
      <c r="L25" s="14">
        <f t="shared" ref="L25" si="47">SUM(L7:L24)</f>
        <v>14432</v>
      </c>
      <c r="M25" s="14">
        <f t="shared" ref="M25" si="48">SUM(M7:M24)</f>
        <v>14513</v>
      </c>
      <c r="N25" s="14">
        <f t="shared" ref="N25" si="49">SUM(N7:N24)</f>
        <v>14542</v>
      </c>
      <c r="O25" s="14">
        <f t="shared" ref="O25" si="50">SUM(O7:O24)</f>
        <v>14368</v>
      </c>
      <c r="P25" s="14">
        <f t="shared" ref="P25" si="51">SUM(P7:P24)</f>
        <v>14608</v>
      </c>
      <c r="Q25" s="14">
        <f t="shared" ref="Q25" si="52">SUM(Q7:Q24)</f>
        <v>14077</v>
      </c>
      <c r="R25" s="14">
        <f t="shared" ref="R25" si="53">SUM(R7:R24)</f>
        <v>14038</v>
      </c>
      <c r="S25" s="14">
        <f t="shared" ref="S25" si="54">SUM(S7:S24)</f>
        <v>16055</v>
      </c>
      <c r="T25" s="14">
        <f t="shared" ref="T25" si="55">SUM(T7:T24)</f>
        <v>15653</v>
      </c>
      <c r="U25" s="14">
        <f t="shared" ref="U25" si="56">SUM(U7:U24)</f>
        <v>15084</v>
      </c>
      <c r="V25" s="14">
        <f t="shared" ref="V25" si="57">SUM(V7:V24)</f>
        <v>14515</v>
      </c>
      <c r="W25" s="14">
        <f t="shared" ref="W25" si="58">SUM(W7:W24)</f>
        <v>14523</v>
      </c>
      <c r="Y25" s="14">
        <f t="shared" ref="Y25" si="59">SUM(Y7:Y24)</f>
        <v>13970</v>
      </c>
      <c r="Z25" s="14">
        <f t="shared" ref="Z25" si="60">SUM(Z7:Z24)</f>
        <v>14432</v>
      </c>
      <c r="AA25" s="14">
        <f t="shared" ref="AA25" si="61">SUM(AA7:AA24)</f>
        <v>14513</v>
      </c>
      <c r="AB25" s="14">
        <f t="shared" ref="AB25" si="62">SUM(AB7:AB24)</f>
        <v>14542</v>
      </c>
      <c r="AC25" s="14">
        <f t="shared" ref="AC25" si="63">SUM(AC7:AC24)</f>
        <v>14368</v>
      </c>
      <c r="AD25" s="14">
        <f t="shared" ref="AD25" si="64">SUM(AD7:AD24)</f>
        <v>14608</v>
      </c>
      <c r="AE25" s="14">
        <f t="shared" ref="AE25" si="65">SUM(AE7:AE24)</f>
        <v>14077</v>
      </c>
      <c r="AF25" s="14">
        <f t="shared" ref="AF25" si="66">SUM(AF7:AF24)</f>
        <v>14038</v>
      </c>
      <c r="AG25" s="14">
        <f t="shared" ref="AG25" si="67">SUM(AG7:AG24)</f>
        <v>16055</v>
      </c>
      <c r="AH25" s="14">
        <f t="shared" ref="AH25" si="68">SUM(AH7:AH24)</f>
        <v>15653</v>
      </c>
      <c r="AI25" s="14">
        <f t="shared" ref="AI25" si="69">SUM(AI7:AI24)</f>
        <v>15084</v>
      </c>
      <c r="AJ25" s="14">
        <f t="shared" ref="AJ25" si="70">SUM(AJ7:AJ24)</f>
        <v>14515</v>
      </c>
      <c r="AK25" s="14">
        <f t="shared" ref="AK25" si="71">SUM(AK7:AK24)</f>
        <v>14523</v>
      </c>
    </row>
    <row r="26" spans="2:37" ht="5.0999999999999996" customHeight="1" thickBot="1">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row>
    <row r="27" spans="2:37" ht="19.5" customHeight="1">
      <c r="B27" s="165" t="s">
        <v>209</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row>
  </sheetData>
  <mergeCells count="1">
    <mergeCell ref="B27:AK27"/>
  </mergeCells>
  <pageMargins left="0.7" right="0.7" top="0.75" bottom="0.75" header="0.3" footer="0.3"/>
  <ignoredErrors>
    <ignoredError sqref="E8:G24"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DECD-9D0C-4797-A01B-356F2A4DBA31}">
  <dimension ref="B2:R101"/>
  <sheetViews>
    <sheetView showGridLines="0" zoomScale="115" zoomScaleNormal="115" workbookViewId="0">
      <selection activeCell="J1" sqref="J1"/>
    </sheetView>
  </sheetViews>
  <sheetFormatPr defaultRowHeight="14.25" outlineLevelCol="1"/>
  <cols>
    <col min="1" max="1" width="1.625" customWidth="1"/>
    <col min="2" max="2" width="31.75" bestFit="1" customWidth="1"/>
    <col min="3" max="3" width="9.125" bestFit="1" customWidth="1"/>
    <col min="4" max="4" width="10.375" bestFit="1" customWidth="1"/>
    <col min="5" max="5" width="8.25" bestFit="1" customWidth="1"/>
    <col min="6" max="8" width="7.875" bestFit="1" customWidth="1"/>
    <col min="9" max="9" width="7.875" customWidth="1" outlineLevel="1"/>
    <col min="10" max="15" width="7.875" bestFit="1" customWidth="1"/>
    <col min="16" max="16" width="7.875" customWidth="1" outlineLevel="1"/>
    <col min="17" max="17" width="15.5" bestFit="1" customWidth="1"/>
  </cols>
  <sheetData>
    <row r="2" spans="2:16">
      <c r="B2" s="149" t="str">
        <f>'Historical Financials'!B2</f>
        <v>Netflix, Inc. (NASDAQ: NFLX)</v>
      </c>
      <c r="C2" s="220"/>
      <c r="D2" s="220"/>
      <c r="E2" s="220"/>
      <c r="F2" s="220"/>
      <c r="G2" s="220"/>
      <c r="H2" s="220"/>
      <c r="I2" s="220"/>
      <c r="J2" s="220"/>
      <c r="K2" s="220"/>
      <c r="L2" s="220"/>
      <c r="M2" s="220"/>
      <c r="N2" s="220"/>
      <c r="O2" s="220"/>
      <c r="P2" s="220"/>
    </row>
    <row r="3" spans="2:16">
      <c r="B3" s="150" t="s">
        <v>366</v>
      </c>
      <c r="C3" s="220"/>
      <c r="D3" s="220"/>
      <c r="E3" s="220"/>
      <c r="F3" s="220"/>
      <c r="G3" s="220"/>
      <c r="H3" s="220"/>
      <c r="I3" s="220"/>
      <c r="J3" s="220"/>
      <c r="K3" s="220"/>
      <c r="L3" s="220"/>
      <c r="M3" s="220"/>
      <c r="N3" s="220"/>
      <c r="O3" s="220"/>
      <c r="P3" s="220"/>
    </row>
    <row r="4" spans="2:16">
      <c r="B4" s="150" t="s">
        <v>198</v>
      </c>
      <c r="C4" s="148"/>
      <c r="D4" s="148"/>
      <c r="E4" s="148"/>
      <c r="F4" s="148"/>
      <c r="G4" s="148"/>
      <c r="H4" s="148"/>
      <c r="I4" s="148"/>
      <c r="J4" s="148"/>
      <c r="K4" s="148"/>
      <c r="L4" s="148"/>
      <c r="M4" s="148"/>
      <c r="N4" s="148"/>
      <c r="O4" s="148"/>
      <c r="P4" s="148"/>
    </row>
    <row r="5" spans="2:16" ht="5.0999999999999996" customHeight="1"/>
    <row r="6" spans="2:16">
      <c r="B6" s="221" t="s">
        <v>367</v>
      </c>
      <c r="C6" s="222"/>
      <c r="D6" s="223" t="s">
        <v>281</v>
      </c>
    </row>
    <row r="7" spans="2:16" ht="5.0999999999999996" customHeight="1"/>
    <row r="8" spans="2:16">
      <c r="B8" s="149" t="s">
        <v>365</v>
      </c>
      <c r="C8" s="147" t="s">
        <v>368</v>
      </c>
      <c r="D8" s="147"/>
      <c r="E8" s="147"/>
      <c r="F8" s="147"/>
      <c r="G8" s="147"/>
      <c r="H8" s="147"/>
      <c r="I8" s="147" t="s">
        <v>369</v>
      </c>
      <c r="J8" s="147" t="s">
        <v>370</v>
      </c>
      <c r="K8" s="147"/>
      <c r="L8" s="147"/>
      <c r="M8" s="147"/>
      <c r="N8" s="147"/>
      <c r="O8" s="147"/>
      <c r="P8" s="147" t="s">
        <v>369</v>
      </c>
    </row>
    <row r="9" spans="2:16">
      <c r="B9" s="150" t="s">
        <v>366</v>
      </c>
      <c r="C9" s="220">
        <f>'[1]3 Statement Model'!C16</f>
        <v>2020</v>
      </c>
      <c r="D9" s="220">
        <f>'[1]3 Statement Model'!D16</f>
        <v>2021</v>
      </c>
      <c r="E9" s="220">
        <f>'[1]3 Statement Model'!E16</f>
        <v>2022</v>
      </c>
      <c r="F9" s="220">
        <f>'[1]3 Statement Model'!F16</f>
        <v>2023</v>
      </c>
      <c r="G9" s="220">
        <f>'[1]3 Statement Model'!G16</f>
        <v>2024</v>
      </c>
      <c r="H9" s="220">
        <f>'[1]3 Statement Model'!H16</f>
        <v>2025</v>
      </c>
      <c r="I9" s="220" t="s">
        <v>371</v>
      </c>
      <c r="J9" s="224">
        <f>'[1]3 Statement Model'!L16</f>
        <v>2026</v>
      </c>
      <c r="K9" s="224">
        <f>'[1]3 Statement Model'!M16</f>
        <v>2027</v>
      </c>
      <c r="L9" s="224">
        <f>'[1]3 Statement Model'!N16</f>
        <v>2028</v>
      </c>
      <c r="M9" s="224">
        <f>'[1]3 Statement Model'!O16</f>
        <v>2029</v>
      </c>
      <c r="N9" s="224">
        <f>'[1]3 Statement Model'!P16</f>
        <v>2030</v>
      </c>
      <c r="O9" s="224">
        <f>'[1]3 Statement Model'!Q16</f>
        <v>2031</v>
      </c>
      <c r="P9" s="220" t="s">
        <v>372</v>
      </c>
    </row>
    <row r="10" spans="2:16">
      <c r="B10" s="150" t="s">
        <v>198</v>
      </c>
      <c r="C10" s="148">
        <f>'[1]3 Statement Model'!C17</f>
        <v>44104</v>
      </c>
      <c r="D10" s="148">
        <f>'[1]3 Statement Model'!D17</f>
        <v>44469</v>
      </c>
      <c r="E10" s="148">
        <f>'[1]3 Statement Model'!E17</f>
        <v>44834</v>
      </c>
      <c r="F10" s="148">
        <f>'[1]3 Statement Model'!F17</f>
        <v>45192</v>
      </c>
      <c r="G10" s="148">
        <f>'[1]3 Statement Model'!G17</f>
        <v>45559</v>
      </c>
      <c r="H10" s="148">
        <f>'[1]3 Statement Model'!H17</f>
        <v>45927</v>
      </c>
      <c r="I10" s="148">
        <f>H10</f>
        <v>45927</v>
      </c>
      <c r="J10" s="148">
        <f>'[1]3 Statement Model'!L17</f>
        <v>46295</v>
      </c>
      <c r="K10" s="148">
        <f>'[1]3 Statement Model'!M17</f>
        <v>46660</v>
      </c>
      <c r="L10" s="148">
        <f>'[1]3 Statement Model'!N17</f>
        <v>47026</v>
      </c>
      <c r="M10" s="148">
        <f>'[1]3 Statement Model'!O17</f>
        <v>47391</v>
      </c>
      <c r="N10" s="148">
        <f>'[1]3 Statement Model'!P17</f>
        <v>47756</v>
      </c>
      <c r="O10" s="148">
        <f>'[1]3 Statement Model'!Q17</f>
        <v>48121</v>
      </c>
      <c r="P10" s="148">
        <f>O10</f>
        <v>48121</v>
      </c>
    </row>
    <row r="11" spans="2:16" ht="5.0999999999999996" customHeight="1"/>
    <row r="12" spans="2:16">
      <c r="B12" s="8" t="s">
        <v>311</v>
      </c>
      <c r="C12" s="145"/>
      <c r="D12" s="145"/>
      <c r="E12" s="145"/>
      <c r="F12" s="145"/>
      <c r="G12" s="145"/>
      <c r="H12" s="145"/>
      <c r="I12" s="225" t="e">
        <f t="shared" ref="I12:I17" si="0">((H12/C12)^(1/COUNT(D12:H12))-1)</f>
        <v>#DIV/0!</v>
      </c>
      <c r="J12" s="153">
        <f t="shared" ref="J12:O12" ca="1" si="1">(J27*J35)/1000</f>
        <v>0</v>
      </c>
      <c r="K12" s="153">
        <f t="shared" ca="1" si="1"/>
        <v>0</v>
      </c>
      <c r="L12" s="153">
        <f t="shared" ca="1" si="1"/>
        <v>0</v>
      </c>
      <c r="M12" s="153">
        <f t="shared" ca="1" si="1"/>
        <v>0</v>
      </c>
      <c r="N12" s="153">
        <f t="shared" ca="1" si="1"/>
        <v>0</v>
      </c>
      <c r="O12" s="153">
        <f t="shared" ca="1" si="1"/>
        <v>0</v>
      </c>
      <c r="P12" s="225" t="e">
        <f t="shared" ref="P12:P17" ca="1" si="2">((O12/J12)^(1/COUNT(K12:O12))-1)</f>
        <v>#DIV/0!</v>
      </c>
    </row>
    <row r="13" spans="2:16">
      <c r="B13" s="8" t="s">
        <v>312</v>
      </c>
      <c r="C13" s="145"/>
      <c r="D13" s="145"/>
      <c r="E13" s="145"/>
      <c r="F13" s="145"/>
      <c r="G13" s="145"/>
      <c r="H13" s="145"/>
      <c r="I13" s="225" t="e">
        <f t="shared" si="0"/>
        <v>#DIV/0!</v>
      </c>
      <c r="J13" s="153">
        <f ca="1">(J29*J37)/1000</f>
        <v>0</v>
      </c>
      <c r="K13" s="153">
        <f t="shared" ref="K13:O13" ca="1" si="3">(K29*K37)/1000</f>
        <v>0</v>
      </c>
      <c r="L13" s="153">
        <f t="shared" ca="1" si="3"/>
        <v>0</v>
      </c>
      <c r="M13" s="153">
        <f t="shared" ca="1" si="3"/>
        <v>0</v>
      </c>
      <c r="N13" s="153">
        <f t="shared" ca="1" si="3"/>
        <v>0</v>
      </c>
      <c r="O13" s="153">
        <f t="shared" ca="1" si="3"/>
        <v>0</v>
      </c>
      <c r="P13" s="225" t="e">
        <f t="shared" ca="1" si="2"/>
        <v>#DIV/0!</v>
      </c>
    </row>
    <row r="14" spans="2:16">
      <c r="B14" s="8" t="s">
        <v>314</v>
      </c>
      <c r="C14" s="145"/>
      <c r="D14" s="145"/>
      <c r="E14" s="145"/>
      <c r="F14" s="145"/>
      <c r="G14" s="145"/>
      <c r="H14" s="145"/>
      <c r="I14" s="225" t="e">
        <f t="shared" si="0"/>
        <v>#DIV/0!</v>
      </c>
      <c r="J14" s="153">
        <f ca="1">(J28*J36)/1000</f>
        <v>0</v>
      </c>
      <c r="K14" s="153">
        <f t="shared" ref="K14:O14" ca="1" si="4">(K28*K36)/1000</f>
        <v>0</v>
      </c>
      <c r="L14" s="153">
        <f t="shared" ca="1" si="4"/>
        <v>0</v>
      </c>
      <c r="M14" s="153">
        <f t="shared" ca="1" si="4"/>
        <v>0</v>
      </c>
      <c r="N14" s="153">
        <f t="shared" ca="1" si="4"/>
        <v>0</v>
      </c>
      <c r="O14" s="153">
        <f t="shared" ca="1" si="4"/>
        <v>0</v>
      </c>
      <c r="P14" s="225" t="e">
        <f t="shared" ca="1" si="2"/>
        <v>#DIV/0!</v>
      </c>
    </row>
    <row r="15" spans="2:16">
      <c r="B15" s="8" t="s">
        <v>316</v>
      </c>
      <c r="C15" s="145"/>
      <c r="D15" s="145"/>
      <c r="E15" s="145"/>
      <c r="F15" s="145"/>
      <c r="G15" s="145"/>
      <c r="H15" s="145"/>
      <c r="I15" s="225" t="e">
        <f t="shared" si="0"/>
        <v>#DIV/0!</v>
      </c>
      <c r="J15" s="153">
        <f t="shared" ref="J15:O16" ca="1" si="5">J53</f>
        <v>0</v>
      </c>
      <c r="K15" s="153">
        <f t="shared" ca="1" si="5"/>
        <v>0</v>
      </c>
      <c r="L15" s="153">
        <f t="shared" ca="1" si="5"/>
        <v>0</v>
      </c>
      <c r="M15" s="153">
        <f t="shared" ca="1" si="5"/>
        <v>0</v>
      </c>
      <c r="N15" s="153">
        <f t="shared" ca="1" si="5"/>
        <v>0</v>
      </c>
      <c r="O15" s="153">
        <f t="shared" ca="1" si="5"/>
        <v>0</v>
      </c>
      <c r="P15" s="225" t="e">
        <f t="shared" ca="1" si="2"/>
        <v>#DIV/0!</v>
      </c>
    </row>
    <row r="16" spans="2:16">
      <c r="B16" s="8" t="s">
        <v>373</v>
      </c>
      <c r="C16" s="145"/>
      <c r="D16" s="145"/>
      <c r="E16" s="145"/>
      <c r="F16" s="145"/>
      <c r="G16" s="145"/>
      <c r="H16" s="145"/>
      <c r="I16" s="225" t="e">
        <f t="shared" si="0"/>
        <v>#DIV/0!</v>
      </c>
      <c r="J16" s="153">
        <f t="shared" ca="1" si="5"/>
        <v>0</v>
      </c>
      <c r="K16" s="153">
        <f t="shared" ca="1" si="5"/>
        <v>0</v>
      </c>
      <c r="L16" s="153">
        <f t="shared" ca="1" si="5"/>
        <v>0</v>
      </c>
      <c r="M16" s="153">
        <f t="shared" ca="1" si="5"/>
        <v>0</v>
      </c>
      <c r="N16" s="153">
        <f t="shared" ca="1" si="5"/>
        <v>0</v>
      </c>
      <c r="O16" s="153">
        <f t="shared" ca="1" si="5"/>
        <v>0</v>
      </c>
      <c r="P16" s="225" t="e">
        <f t="shared" ca="1" si="2"/>
        <v>#DIV/0!</v>
      </c>
    </row>
    <row r="17" spans="2:16">
      <c r="B17" s="13" t="s">
        <v>374</v>
      </c>
      <c r="C17" s="14">
        <f>SUM(C12:C16)</f>
        <v>0</v>
      </c>
      <c r="D17" s="14">
        <f t="shared" ref="D17:H17" si="6">SUM(D12:D16)</f>
        <v>0</v>
      </c>
      <c r="E17" s="14">
        <f t="shared" si="6"/>
        <v>0</v>
      </c>
      <c r="F17" s="14">
        <f t="shared" si="6"/>
        <v>0</v>
      </c>
      <c r="G17" s="14">
        <f t="shared" si="6"/>
        <v>0</v>
      </c>
      <c r="H17" s="14">
        <f t="shared" si="6"/>
        <v>0</v>
      </c>
      <c r="I17" s="226" t="e">
        <f t="shared" si="0"/>
        <v>#DIV/0!</v>
      </c>
      <c r="J17" s="14">
        <f t="shared" ref="J17:O17" ca="1" si="7">SUM(J12:J16)</f>
        <v>0</v>
      </c>
      <c r="K17" s="14">
        <f t="shared" ca="1" si="7"/>
        <v>0</v>
      </c>
      <c r="L17" s="14">
        <f t="shared" ca="1" si="7"/>
        <v>0</v>
      </c>
      <c r="M17" s="14">
        <f t="shared" ca="1" si="7"/>
        <v>0</v>
      </c>
      <c r="N17" s="14">
        <f t="shared" ca="1" si="7"/>
        <v>0</v>
      </c>
      <c r="O17" s="14">
        <f t="shared" ca="1" si="7"/>
        <v>0</v>
      </c>
      <c r="P17" s="226" t="e">
        <f t="shared" ca="1" si="2"/>
        <v>#DIV/0!</v>
      </c>
    </row>
    <row r="18" spans="2:16" ht="5.0999999999999996" customHeight="1">
      <c r="B18" s="8"/>
      <c r="C18" s="8"/>
      <c r="D18" s="8"/>
      <c r="E18" s="8"/>
      <c r="F18" s="8"/>
      <c r="G18" s="8"/>
      <c r="H18" s="8"/>
      <c r="I18" s="8"/>
    </row>
    <row r="19" spans="2:16">
      <c r="B19" s="227" t="s">
        <v>375</v>
      </c>
      <c r="C19" s="228"/>
      <c r="D19" s="229"/>
      <c r="E19" s="229"/>
      <c r="F19" s="229"/>
      <c r="G19" s="229"/>
      <c r="H19" s="229"/>
      <c r="I19" s="229"/>
      <c r="J19" s="230"/>
      <c r="K19" s="230"/>
      <c r="L19" s="230"/>
      <c r="M19" s="230"/>
      <c r="N19" s="230"/>
      <c r="O19" s="231"/>
    </row>
    <row r="20" spans="2:16">
      <c r="B20" s="232" t="s">
        <v>12</v>
      </c>
      <c r="C20" s="233" t="s">
        <v>36</v>
      </c>
      <c r="D20" s="234" t="e">
        <f>SUM(D17/C17)-1</f>
        <v>#DIV/0!</v>
      </c>
      <c r="E20" s="234" t="e">
        <f>SUM(E17/D17)-1</f>
        <v>#DIV/0!</v>
      </c>
      <c r="F20" s="234" t="e">
        <f>SUM(F17/E17)-1</f>
        <v>#DIV/0!</v>
      </c>
      <c r="G20" s="234" t="e">
        <f>SUM(G17/F17)-1</f>
        <v>#DIV/0!</v>
      </c>
      <c r="H20" s="234" t="e">
        <f>SUM(H17/G17)-1</f>
        <v>#DIV/0!</v>
      </c>
      <c r="I20" s="8"/>
      <c r="J20" s="234" t="e">
        <f ca="1">SUM(J17/H17)-1</f>
        <v>#DIV/0!</v>
      </c>
      <c r="K20" s="234" t="e">
        <f ca="1">SUM(K17/J17)-1</f>
        <v>#DIV/0!</v>
      </c>
      <c r="L20" s="234" t="e">
        <f ca="1">SUM(L17/K17)-1</f>
        <v>#DIV/0!</v>
      </c>
      <c r="M20" s="234" t="e">
        <f ca="1">SUM(M17/L17)-1</f>
        <v>#DIV/0!</v>
      </c>
      <c r="N20" s="234" t="e">
        <f ca="1">SUM(N17/M17)-1</f>
        <v>#DIV/0!</v>
      </c>
      <c r="O20" s="235" t="e">
        <f ca="1">SUM(O17/N17)-1</f>
        <v>#DIV/0!</v>
      </c>
    </row>
    <row r="21" spans="2:16">
      <c r="B21" s="232" t="str">
        <f>B12&amp;"(%)"</f>
        <v>iPhone Revenue(%)</v>
      </c>
      <c r="C21" s="233" t="s">
        <v>36</v>
      </c>
      <c r="D21" s="234" t="e">
        <f t="shared" ref="D21:H25" si="8">SUM(D12/C12)-1</f>
        <v>#DIV/0!</v>
      </c>
      <c r="E21" s="234" t="e">
        <f t="shared" si="8"/>
        <v>#DIV/0!</v>
      </c>
      <c r="F21" s="234" t="e">
        <f t="shared" si="8"/>
        <v>#DIV/0!</v>
      </c>
      <c r="G21" s="234" t="e">
        <f t="shared" si="8"/>
        <v>#DIV/0!</v>
      </c>
      <c r="H21" s="234" t="e">
        <f t="shared" si="8"/>
        <v>#DIV/0!</v>
      </c>
      <c r="I21" s="8"/>
      <c r="J21" s="234" t="e">
        <f ca="1">SUM(J12/H12)-1</f>
        <v>#DIV/0!</v>
      </c>
      <c r="K21" s="234" t="e">
        <f t="shared" ref="K21:O25" ca="1" si="9">SUM(K12/J12)-1</f>
        <v>#DIV/0!</v>
      </c>
      <c r="L21" s="234" t="e">
        <f t="shared" ca="1" si="9"/>
        <v>#DIV/0!</v>
      </c>
      <c r="M21" s="234" t="e">
        <f t="shared" ca="1" si="9"/>
        <v>#DIV/0!</v>
      </c>
      <c r="N21" s="234" t="e">
        <f t="shared" ca="1" si="9"/>
        <v>#DIV/0!</v>
      </c>
      <c r="O21" s="235" t="e">
        <f t="shared" ca="1" si="9"/>
        <v>#DIV/0!</v>
      </c>
    </row>
    <row r="22" spans="2:16">
      <c r="B22" s="232" t="str">
        <f>B13&amp;"(%)"</f>
        <v>Mac Revenue(%)</v>
      </c>
      <c r="C22" s="233" t="s">
        <v>36</v>
      </c>
      <c r="D22" s="234" t="e">
        <f t="shared" si="8"/>
        <v>#DIV/0!</v>
      </c>
      <c r="E22" s="234" t="e">
        <f t="shared" si="8"/>
        <v>#DIV/0!</v>
      </c>
      <c r="F22" s="234" t="e">
        <f t="shared" si="8"/>
        <v>#DIV/0!</v>
      </c>
      <c r="G22" s="234" t="e">
        <f t="shared" si="8"/>
        <v>#DIV/0!</v>
      </c>
      <c r="H22" s="234" t="e">
        <f t="shared" si="8"/>
        <v>#DIV/0!</v>
      </c>
      <c r="I22" s="8"/>
      <c r="J22" s="234" t="e">
        <f ca="1">SUM(J13/H13)-1</f>
        <v>#DIV/0!</v>
      </c>
      <c r="K22" s="234" t="e">
        <f t="shared" ca="1" si="9"/>
        <v>#DIV/0!</v>
      </c>
      <c r="L22" s="234" t="e">
        <f t="shared" ca="1" si="9"/>
        <v>#DIV/0!</v>
      </c>
      <c r="M22" s="234" t="e">
        <f t="shared" ca="1" si="9"/>
        <v>#DIV/0!</v>
      </c>
      <c r="N22" s="234" t="e">
        <f t="shared" ca="1" si="9"/>
        <v>#DIV/0!</v>
      </c>
      <c r="O22" s="235" t="e">
        <f t="shared" ca="1" si="9"/>
        <v>#DIV/0!</v>
      </c>
    </row>
    <row r="23" spans="2:16">
      <c r="B23" s="232" t="str">
        <f>B14&amp;"(%)"</f>
        <v>iPad Revenue(%)</v>
      </c>
      <c r="C23" s="233" t="s">
        <v>36</v>
      </c>
      <c r="D23" s="234" t="e">
        <f t="shared" si="8"/>
        <v>#DIV/0!</v>
      </c>
      <c r="E23" s="234" t="e">
        <f t="shared" si="8"/>
        <v>#DIV/0!</v>
      </c>
      <c r="F23" s="234" t="e">
        <f t="shared" si="8"/>
        <v>#DIV/0!</v>
      </c>
      <c r="G23" s="234" t="e">
        <f t="shared" si="8"/>
        <v>#DIV/0!</v>
      </c>
      <c r="H23" s="234" t="e">
        <f t="shared" si="8"/>
        <v>#DIV/0!</v>
      </c>
      <c r="I23" s="8"/>
      <c r="J23" s="234" t="e">
        <f ca="1">SUM(J14/H14)-1</f>
        <v>#DIV/0!</v>
      </c>
      <c r="K23" s="234" t="e">
        <f t="shared" ca="1" si="9"/>
        <v>#DIV/0!</v>
      </c>
      <c r="L23" s="234" t="e">
        <f t="shared" ca="1" si="9"/>
        <v>#DIV/0!</v>
      </c>
      <c r="M23" s="234" t="e">
        <f t="shared" ca="1" si="9"/>
        <v>#DIV/0!</v>
      </c>
      <c r="N23" s="234" t="e">
        <f t="shared" ca="1" si="9"/>
        <v>#DIV/0!</v>
      </c>
      <c r="O23" s="235" t="e">
        <f t="shared" ca="1" si="9"/>
        <v>#DIV/0!</v>
      </c>
    </row>
    <row r="24" spans="2:16">
      <c r="B24" s="232" t="str">
        <f>B15&amp;"(%)"</f>
        <v>Services Revenue(%)</v>
      </c>
      <c r="C24" s="233" t="s">
        <v>36</v>
      </c>
      <c r="D24" s="234" t="e">
        <f t="shared" si="8"/>
        <v>#DIV/0!</v>
      </c>
      <c r="E24" s="234" t="e">
        <f t="shared" si="8"/>
        <v>#DIV/0!</v>
      </c>
      <c r="F24" s="234" t="e">
        <f t="shared" si="8"/>
        <v>#DIV/0!</v>
      </c>
      <c r="G24" s="234" t="e">
        <f t="shared" si="8"/>
        <v>#DIV/0!</v>
      </c>
      <c r="H24" s="234" t="e">
        <f t="shared" si="8"/>
        <v>#DIV/0!</v>
      </c>
      <c r="I24" s="8"/>
      <c r="J24" s="234" t="e">
        <f ca="1">SUM(J15/H15)-1</f>
        <v>#DIV/0!</v>
      </c>
      <c r="K24" s="234" t="e">
        <f t="shared" ca="1" si="9"/>
        <v>#DIV/0!</v>
      </c>
      <c r="L24" s="234" t="e">
        <f t="shared" ca="1" si="9"/>
        <v>#DIV/0!</v>
      </c>
      <c r="M24" s="234" t="e">
        <f t="shared" ca="1" si="9"/>
        <v>#DIV/0!</v>
      </c>
      <c r="N24" s="234" t="e">
        <f t="shared" ca="1" si="9"/>
        <v>#DIV/0!</v>
      </c>
      <c r="O24" s="235" t="e">
        <f t="shared" ca="1" si="9"/>
        <v>#DIV/0!</v>
      </c>
    </row>
    <row r="25" spans="2:16">
      <c r="B25" s="232" t="str">
        <f>B16&amp;"(%)"</f>
        <v>Wearables, Home, and Accessories Revenue(%)</v>
      </c>
      <c r="C25" s="233" t="s">
        <v>36</v>
      </c>
      <c r="D25" s="234" t="e">
        <f t="shared" si="8"/>
        <v>#DIV/0!</v>
      </c>
      <c r="E25" s="234" t="e">
        <f t="shared" si="8"/>
        <v>#DIV/0!</v>
      </c>
      <c r="F25" s="234" t="e">
        <f t="shared" si="8"/>
        <v>#DIV/0!</v>
      </c>
      <c r="G25" s="234" t="e">
        <f t="shared" si="8"/>
        <v>#DIV/0!</v>
      </c>
      <c r="H25" s="234" t="e">
        <f t="shared" si="8"/>
        <v>#DIV/0!</v>
      </c>
      <c r="I25" s="8"/>
      <c r="J25" s="234" t="e">
        <f ca="1">SUM(J16/H16)-1</f>
        <v>#DIV/0!</v>
      </c>
      <c r="K25" s="234" t="e">
        <f t="shared" ca="1" si="9"/>
        <v>#DIV/0!</v>
      </c>
      <c r="L25" s="234" t="e">
        <f t="shared" ca="1" si="9"/>
        <v>#DIV/0!</v>
      </c>
      <c r="M25" s="234" t="e">
        <f t="shared" ca="1" si="9"/>
        <v>#DIV/0!</v>
      </c>
      <c r="N25" s="234" t="e">
        <f t="shared" ca="1" si="9"/>
        <v>#DIV/0!</v>
      </c>
      <c r="O25" s="235" t="e">
        <f t="shared" ca="1" si="9"/>
        <v>#DIV/0!</v>
      </c>
    </row>
    <row r="26" spans="2:16">
      <c r="B26" s="236" t="s">
        <v>319</v>
      </c>
      <c r="C26" s="8"/>
      <c r="D26" s="8"/>
      <c r="E26" s="8"/>
      <c r="F26" s="8"/>
      <c r="G26" s="8"/>
      <c r="H26" s="8"/>
      <c r="I26" s="8"/>
      <c r="O26" s="237"/>
    </row>
    <row r="27" spans="2:16">
      <c r="B27" s="232" t="s">
        <v>376</v>
      </c>
      <c r="C27" s="238"/>
      <c r="D27" s="238"/>
      <c r="E27" s="238"/>
      <c r="F27" s="238"/>
      <c r="G27" s="238"/>
      <c r="H27" s="238"/>
      <c r="I27" s="8"/>
      <c r="J27" s="239">
        <f t="shared" ref="J27:O27" ca="1" si="10">J48</f>
        <v>0</v>
      </c>
      <c r="K27" s="239">
        <f t="shared" ca="1" si="10"/>
        <v>0</v>
      </c>
      <c r="L27" s="239">
        <f t="shared" ca="1" si="10"/>
        <v>0</v>
      </c>
      <c r="M27" s="239">
        <f t="shared" ca="1" si="10"/>
        <v>0</v>
      </c>
      <c r="N27" s="239">
        <f t="shared" ca="1" si="10"/>
        <v>0</v>
      </c>
      <c r="O27" s="240">
        <f t="shared" ca="1" si="10"/>
        <v>0</v>
      </c>
    </row>
    <row r="28" spans="2:16">
      <c r="B28" s="232" t="s">
        <v>377</v>
      </c>
      <c r="C28" s="238"/>
      <c r="D28" s="238"/>
      <c r="E28" s="238"/>
      <c r="F28" s="238"/>
      <c r="G28" s="238"/>
      <c r="H28" s="238"/>
      <c r="I28" s="8"/>
      <c r="J28" s="239">
        <f t="shared" ref="J28:O28" ca="1" si="11">J50</f>
        <v>0</v>
      </c>
      <c r="K28" s="239">
        <f t="shared" ca="1" si="11"/>
        <v>0</v>
      </c>
      <c r="L28" s="239">
        <f t="shared" ca="1" si="11"/>
        <v>0</v>
      </c>
      <c r="M28" s="239">
        <f t="shared" ca="1" si="11"/>
        <v>0</v>
      </c>
      <c r="N28" s="239">
        <f t="shared" ca="1" si="11"/>
        <v>0</v>
      </c>
      <c r="O28" s="240">
        <f t="shared" ca="1" si="11"/>
        <v>0</v>
      </c>
    </row>
    <row r="29" spans="2:16">
      <c r="B29" s="232" t="s">
        <v>378</v>
      </c>
      <c r="C29" s="238"/>
      <c r="D29" s="238"/>
      <c r="E29" s="238"/>
      <c r="F29" s="238"/>
      <c r="G29" s="238"/>
      <c r="H29" s="238"/>
      <c r="I29" s="8"/>
      <c r="J29" s="239">
        <f t="shared" ref="J29:O29" ca="1" si="12">J52</f>
        <v>0</v>
      </c>
      <c r="K29" s="239">
        <f t="shared" ca="1" si="12"/>
        <v>0</v>
      </c>
      <c r="L29" s="239">
        <f t="shared" ca="1" si="12"/>
        <v>0</v>
      </c>
      <c r="M29" s="239">
        <f t="shared" ca="1" si="12"/>
        <v>0</v>
      </c>
      <c r="N29" s="239">
        <f t="shared" ca="1" si="12"/>
        <v>0</v>
      </c>
      <c r="O29" s="240">
        <f t="shared" ca="1" si="12"/>
        <v>0</v>
      </c>
    </row>
    <row r="30" spans="2:16">
      <c r="B30" s="236" t="s">
        <v>379</v>
      </c>
      <c r="C30" s="238"/>
      <c r="D30" s="238"/>
      <c r="E30" s="238"/>
      <c r="F30" s="238"/>
      <c r="G30" s="238"/>
      <c r="H30" s="238"/>
      <c r="I30" s="8"/>
      <c r="J30" s="239"/>
      <c r="K30" s="239"/>
      <c r="L30" s="239"/>
      <c r="M30" s="239"/>
      <c r="N30" s="239"/>
      <c r="O30" s="240"/>
    </row>
    <row r="31" spans="2:16">
      <c r="B31" s="232" t="s">
        <v>376</v>
      </c>
      <c r="C31" s="233" t="s">
        <v>36</v>
      </c>
      <c r="D31" s="234" t="e">
        <f>SUM(D27/C27)-1</f>
        <v>#DIV/0!</v>
      </c>
      <c r="E31" s="234" t="e">
        <f t="shared" ref="E31:H31" si="13">SUM(E27/D27)-1</f>
        <v>#DIV/0!</v>
      </c>
      <c r="F31" s="234" t="e">
        <f t="shared" si="13"/>
        <v>#DIV/0!</v>
      </c>
      <c r="G31" s="234" t="e">
        <f t="shared" si="13"/>
        <v>#DIV/0!</v>
      </c>
      <c r="H31" s="234" t="e">
        <f t="shared" si="13"/>
        <v>#DIV/0!</v>
      </c>
      <c r="I31" s="8"/>
      <c r="J31" s="234" t="e">
        <f ca="1">SUM(J27/H27)-1</f>
        <v>#DIV/0!</v>
      </c>
      <c r="K31" s="234" t="e">
        <f t="shared" ref="K31:O33" ca="1" si="14">SUM(K27/J27)-1</f>
        <v>#DIV/0!</v>
      </c>
      <c r="L31" s="234" t="e">
        <f t="shared" ca="1" si="14"/>
        <v>#DIV/0!</v>
      </c>
      <c r="M31" s="234" t="e">
        <f t="shared" ca="1" si="14"/>
        <v>#DIV/0!</v>
      </c>
      <c r="N31" s="234" t="e">
        <f t="shared" ca="1" si="14"/>
        <v>#DIV/0!</v>
      </c>
      <c r="O31" s="235" t="e">
        <f t="shared" ca="1" si="14"/>
        <v>#DIV/0!</v>
      </c>
    </row>
    <row r="32" spans="2:16">
      <c r="B32" s="232" t="s">
        <v>377</v>
      </c>
      <c r="C32" s="233" t="s">
        <v>36</v>
      </c>
      <c r="D32" s="234" t="e">
        <f t="shared" ref="D32:H33" si="15">SUM(D28/C28)-1</f>
        <v>#DIV/0!</v>
      </c>
      <c r="E32" s="234" t="e">
        <f t="shared" si="15"/>
        <v>#DIV/0!</v>
      </c>
      <c r="F32" s="234" t="e">
        <f t="shared" si="15"/>
        <v>#DIV/0!</v>
      </c>
      <c r="G32" s="234" t="e">
        <f t="shared" si="15"/>
        <v>#DIV/0!</v>
      </c>
      <c r="H32" s="234" t="e">
        <f t="shared" si="15"/>
        <v>#DIV/0!</v>
      </c>
      <c r="I32" s="8"/>
      <c r="J32" s="234" t="e">
        <f ca="1">SUM(J28/H28)-1</f>
        <v>#DIV/0!</v>
      </c>
      <c r="K32" s="234" t="e">
        <f t="shared" ca="1" si="14"/>
        <v>#DIV/0!</v>
      </c>
      <c r="L32" s="234" t="e">
        <f t="shared" ca="1" si="14"/>
        <v>#DIV/0!</v>
      </c>
      <c r="M32" s="234" t="e">
        <f t="shared" ca="1" si="14"/>
        <v>#DIV/0!</v>
      </c>
      <c r="N32" s="234" t="e">
        <f t="shared" ca="1" si="14"/>
        <v>#DIV/0!</v>
      </c>
      <c r="O32" s="235" t="e">
        <f t="shared" ca="1" si="14"/>
        <v>#DIV/0!</v>
      </c>
    </row>
    <row r="33" spans="2:18">
      <c r="B33" s="232" t="s">
        <v>378</v>
      </c>
      <c r="C33" s="233" t="s">
        <v>36</v>
      </c>
      <c r="D33" s="234" t="e">
        <f t="shared" si="15"/>
        <v>#DIV/0!</v>
      </c>
      <c r="E33" s="234" t="e">
        <f t="shared" si="15"/>
        <v>#DIV/0!</v>
      </c>
      <c r="F33" s="234" t="e">
        <f t="shared" si="15"/>
        <v>#DIV/0!</v>
      </c>
      <c r="G33" s="234" t="e">
        <f t="shared" si="15"/>
        <v>#DIV/0!</v>
      </c>
      <c r="H33" s="234" t="e">
        <f t="shared" si="15"/>
        <v>#DIV/0!</v>
      </c>
      <c r="I33" s="8"/>
      <c r="J33" s="234" t="e">
        <f ca="1">SUM(J29/H29)-1</f>
        <v>#DIV/0!</v>
      </c>
      <c r="K33" s="234" t="e">
        <f t="shared" ca="1" si="14"/>
        <v>#DIV/0!</v>
      </c>
      <c r="L33" s="234" t="e">
        <f t="shared" ca="1" si="14"/>
        <v>#DIV/0!</v>
      </c>
      <c r="M33" s="234" t="e">
        <f t="shared" ca="1" si="14"/>
        <v>#DIV/0!</v>
      </c>
      <c r="N33" s="234" t="e">
        <f t="shared" ca="1" si="14"/>
        <v>#DIV/0!</v>
      </c>
      <c r="O33" s="235" t="e">
        <f t="shared" ca="1" si="14"/>
        <v>#DIV/0!</v>
      </c>
    </row>
    <row r="34" spans="2:18">
      <c r="B34" s="236" t="s">
        <v>380</v>
      </c>
      <c r="C34" s="8"/>
      <c r="D34" s="8"/>
      <c r="E34" s="8"/>
      <c r="F34" s="8"/>
      <c r="G34" s="8"/>
      <c r="H34" s="8"/>
      <c r="I34" s="8"/>
      <c r="O34" s="237"/>
    </row>
    <row r="35" spans="2:18">
      <c r="B35" s="232" t="s">
        <v>376</v>
      </c>
      <c r="C35" s="241"/>
      <c r="D35" s="241"/>
      <c r="E35" s="241"/>
      <c r="F35" s="241"/>
      <c r="G35" s="241"/>
      <c r="H35" s="241"/>
      <c r="I35" s="8"/>
      <c r="J35" s="242">
        <f t="shared" ref="J35:O35" ca="1" si="16">J47</f>
        <v>0</v>
      </c>
      <c r="K35" s="242">
        <f t="shared" ca="1" si="16"/>
        <v>0</v>
      </c>
      <c r="L35" s="242">
        <f t="shared" ca="1" si="16"/>
        <v>0</v>
      </c>
      <c r="M35" s="242">
        <f t="shared" ca="1" si="16"/>
        <v>0</v>
      </c>
      <c r="N35" s="242">
        <f t="shared" ca="1" si="16"/>
        <v>0</v>
      </c>
      <c r="O35" s="243">
        <f t="shared" ca="1" si="16"/>
        <v>0</v>
      </c>
    </row>
    <row r="36" spans="2:18">
      <c r="B36" s="232" t="s">
        <v>377</v>
      </c>
      <c r="C36" s="241"/>
      <c r="D36" s="241"/>
      <c r="E36" s="241"/>
      <c r="F36" s="241"/>
      <c r="G36" s="241"/>
      <c r="H36" s="241"/>
      <c r="I36" s="8"/>
      <c r="J36" s="242">
        <f t="shared" ref="J36:O36" ca="1" si="17">J49</f>
        <v>0</v>
      </c>
      <c r="K36" s="242">
        <f t="shared" ca="1" si="17"/>
        <v>0</v>
      </c>
      <c r="L36" s="242">
        <f t="shared" ca="1" si="17"/>
        <v>0</v>
      </c>
      <c r="M36" s="242">
        <f t="shared" ca="1" si="17"/>
        <v>0</v>
      </c>
      <c r="N36" s="242">
        <f t="shared" ca="1" si="17"/>
        <v>0</v>
      </c>
      <c r="O36" s="243">
        <f t="shared" ca="1" si="17"/>
        <v>0</v>
      </c>
    </row>
    <row r="37" spans="2:18">
      <c r="B37" s="232" t="s">
        <v>378</v>
      </c>
      <c r="C37" s="241"/>
      <c r="D37" s="241"/>
      <c r="E37" s="241"/>
      <c r="F37" s="241"/>
      <c r="G37" s="241"/>
      <c r="H37" s="241"/>
      <c r="I37" s="8"/>
      <c r="J37" s="242">
        <f t="shared" ref="J37:O37" ca="1" si="18">J51</f>
        <v>0</v>
      </c>
      <c r="K37" s="242">
        <f t="shared" ca="1" si="18"/>
        <v>0</v>
      </c>
      <c r="L37" s="242">
        <f t="shared" ca="1" si="18"/>
        <v>0</v>
      </c>
      <c r="M37" s="242">
        <f t="shared" ca="1" si="18"/>
        <v>0</v>
      </c>
      <c r="N37" s="242">
        <f t="shared" ca="1" si="18"/>
        <v>0</v>
      </c>
      <c r="O37" s="243">
        <f t="shared" ca="1" si="18"/>
        <v>0</v>
      </c>
    </row>
    <row r="38" spans="2:18">
      <c r="B38" s="236" t="s">
        <v>381</v>
      </c>
      <c r="C38" s="241"/>
      <c r="D38" s="241"/>
      <c r="E38" s="241"/>
      <c r="F38" s="241"/>
      <c r="G38" s="241"/>
      <c r="H38" s="241"/>
      <c r="I38" s="8"/>
      <c r="J38" s="242"/>
      <c r="K38" s="242"/>
      <c r="L38" s="242"/>
      <c r="M38" s="242"/>
      <c r="N38" s="242"/>
      <c r="O38" s="243"/>
    </row>
    <row r="39" spans="2:18">
      <c r="B39" s="232" t="s">
        <v>376</v>
      </c>
      <c r="C39" s="233" t="s">
        <v>36</v>
      </c>
      <c r="D39" s="234" t="e">
        <f>SUM(D35/C35)-1</f>
        <v>#DIV/0!</v>
      </c>
      <c r="E39" s="234" t="e">
        <f t="shared" ref="E39:H39" si="19">SUM(E35/D35)-1</f>
        <v>#DIV/0!</v>
      </c>
      <c r="F39" s="234" t="e">
        <f t="shared" si="19"/>
        <v>#DIV/0!</v>
      </c>
      <c r="G39" s="234" t="e">
        <f t="shared" si="19"/>
        <v>#DIV/0!</v>
      </c>
      <c r="H39" s="234" t="e">
        <f t="shared" si="19"/>
        <v>#DIV/0!</v>
      </c>
      <c r="I39" s="8"/>
      <c r="J39" s="234" t="e">
        <f ca="1">SUM(J35/H35)-1</f>
        <v>#DIV/0!</v>
      </c>
      <c r="K39" s="234" t="e">
        <f t="shared" ref="K39:O41" ca="1" si="20">SUM(K35/J35)-1</f>
        <v>#DIV/0!</v>
      </c>
      <c r="L39" s="234" t="e">
        <f t="shared" ca="1" si="20"/>
        <v>#DIV/0!</v>
      </c>
      <c r="M39" s="234" t="e">
        <f t="shared" ca="1" si="20"/>
        <v>#DIV/0!</v>
      </c>
      <c r="N39" s="234" t="e">
        <f t="shared" ca="1" si="20"/>
        <v>#DIV/0!</v>
      </c>
      <c r="O39" s="235" t="e">
        <f t="shared" ca="1" si="20"/>
        <v>#DIV/0!</v>
      </c>
    </row>
    <row r="40" spans="2:18">
      <c r="B40" s="232" t="s">
        <v>377</v>
      </c>
      <c r="C40" s="233" t="s">
        <v>36</v>
      </c>
      <c r="D40" s="234" t="e">
        <f t="shared" ref="D40:H41" si="21">SUM(D36/C36)-1</f>
        <v>#DIV/0!</v>
      </c>
      <c r="E40" s="234" t="e">
        <f t="shared" si="21"/>
        <v>#DIV/0!</v>
      </c>
      <c r="F40" s="234" t="e">
        <f t="shared" si="21"/>
        <v>#DIV/0!</v>
      </c>
      <c r="G40" s="234" t="e">
        <f t="shared" si="21"/>
        <v>#DIV/0!</v>
      </c>
      <c r="H40" s="234" t="e">
        <f t="shared" si="21"/>
        <v>#DIV/0!</v>
      </c>
      <c r="I40" s="8"/>
      <c r="J40" s="234" t="e">
        <f ca="1">SUM(J36/H36)-1</f>
        <v>#DIV/0!</v>
      </c>
      <c r="K40" s="234" t="e">
        <f t="shared" ca="1" si="20"/>
        <v>#DIV/0!</v>
      </c>
      <c r="L40" s="234" t="e">
        <f t="shared" ca="1" si="20"/>
        <v>#DIV/0!</v>
      </c>
      <c r="M40" s="234" t="e">
        <f t="shared" ca="1" si="20"/>
        <v>#DIV/0!</v>
      </c>
      <c r="N40" s="234" t="e">
        <f t="shared" ca="1" si="20"/>
        <v>#DIV/0!</v>
      </c>
      <c r="O40" s="235" t="e">
        <f t="shared" ca="1" si="20"/>
        <v>#DIV/0!</v>
      </c>
    </row>
    <row r="41" spans="2:18">
      <c r="B41" s="244" t="s">
        <v>378</v>
      </c>
      <c r="C41" s="245" t="s">
        <v>36</v>
      </c>
      <c r="D41" s="246" t="e">
        <f t="shared" si="21"/>
        <v>#DIV/0!</v>
      </c>
      <c r="E41" s="246" t="e">
        <f t="shared" si="21"/>
        <v>#DIV/0!</v>
      </c>
      <c r="F41" s="246" t="e">
        <f t="shared" si="21"/>
        <v>#DIV/0!</v>
      </c>
      <c r="G41" s="246" t="e">
        <f t="shared" si="21"/>
        <v>#DIV/0!</v>
      </c>
      <c r="H41" s="246" t="e">
        <f t="shared" si="21"/>
        <v>#DIV/0!</v>
      </c>
      <c r="I41" s="247"/>
      <c r="J41" s="246" t="e">
        <f ca="1">SUM(J37/H37)-1</f>
        <v>#DIV/0!</v>
      </c>
      <c r="K41" s="246" t="e">
        <f t="shared" ca="1" si="20"/>
        <v>#DIV/0!</v>
      </c>
      <c r="L41" s="246" t="e">
        <f ca="1">SUM(L37/K37)-1</f>
        <v>#DIV/0!</v>
      </c>
      <c r="M41" s="246" t="e">
        <f t="shared" ca="1" si="20"/>
        <v>#DIV/0!</v>
      </c>
      <c r="N41" s="246" t="e">
        <f t="shared" ca="1" si="20"/>
        <v>#DIV/0!</v>
      </c>
      <c r="O41" s="248" t="e">
        <f t="shared" ca="1" si="20"/>
        <v>#DIV/0!</v>
      </c>
    </row>
    <row r="43" spans="2:18">
      <c r="B43" s="249" t="s">
        <v>382</v>
      </c>
      <c r="C43" s="249"/>
      <c r="D43" s="249"/>
      <c r="E43" s="249"/>
      <c r="F43" s="249"/>
      <c r="G43" s="249"/>
      <c r="H43" s="249"/>
      <c r="I43" s="249"/>
      <c r="J43" s="249"/>
      <c r="K43" s="249"/>
      <c r="L43" s="249"/>
      <c r="M43" s="249"/>
      <c r="N43" s="249"/>
      <c r="O43" s="249"/>
    </row>
    <row r="44" spans="2:18" ht="5.0999999999999996" customHeight="1" thickBot="1">
      <c r="B44" s="8"/>
      <c r="C44" s="8"/>
      <c r="D44" s="8"/>
      <c r="I44" s="8"/>
      <c r="J44" s="8"/>
      <c r="K44" s="8"/>
      <c r="L44" s="8"/>
      <c r="M44" s="8"/>
      <c r="N44" s="8"/>
      <c r="O44" s="8"/>
      <c r="P44" s="8"/>
      <c r="Q44" s="8"/>
      <c r="R44" s="8"/>
    </row>
    <row r="45" spans="2:18" ht="15" thickBot="1">
      <c r="B45" s="8" t="s">
        <v>383</v>
      </c>
      <c r="C45" s="250" t="str">
        <f>D6</f>
        <v>Base case</v>
      </c>
      <c r="D45" s="8"/>
      <c r="I45" s="251" t="s">
        <v>384</v>
      </c>
      <c r="J45" s="252">
        <f>'[1]3 Statement Model'!L16</f>
        <v>2026</v>
      </c>
      <c r="K45" s="252">
        <f>'[1]3 Statement Model'!M16</f>
        <v>2027</v>
      </c>
      <c r="L45" s="252">
        <f>'[1]3 Statement Model'!N16</f>
        <v>2028</v>
      </c>
      <c r="M45" s="252">
        <f>'[1]3 Statement Model'!O16</f>
        <v>2029</v>
      </c>
      <c r="N45" s="252">
        <f>'[1]3 Statement Model'!P16</f>
        <v>2030</v>
      </c>
      <c r="O45" s="252">
        <f>'[1]3 Statement Model'!Q16</f>
        <v>2031</v>
      </c>
    </row>
    <row r="46" spans="2:18">
      <c r="B46" s="8"/>
      <c r="C46" s="8"/>
      <c r="D46" s="8"/>
      <c r="I46" s="253" t="s">
        <v>385</v>
      </c>
      <c r="J46" s="254">
        <f>'[1]3 Statement Model'!L17</f>
        <v>46295</v>
      </c>
      <c r="K46" s="254">
        <f>'[1]3 Statement Model'!M17</f>
        <v>46660</v>
      </c>
      <c r="L46" s="254">
        <f>'[1]3 Statement Model'!N17</f>
        <v>47026</v>
      </c>
      <c r="M46" s="254">
        <f>'[1]3 Statement Model'!O17</f>
        <v>47391</v>
      </c>
      <c r="N46" s="254">
        <f>'[1]3 Statement Model'!P17</f>
        <v>47756</v>
      </c>
      <c r="O46" s="254">
        <f>'[1]3 Statement Model'!Q17</f>
        <v>48121</v>
      </c>
    </row>
    <row r="47" spans="2:18">
      <c r="B47" s="255" t="s">
        <v>322</v>
      </c>
      <c r="C47" s="256"/>
      <c r="D47" s="256"/>
      <c r="E47" s="257"/>
      <c r="F47" s="257"/>
      <c r="G47" s="257"/>
      <c r="H47" s="257"/>
      <c r="I47" s="258" t="str">
        <f t="shared" ref="I47:O57" ca="1" si="22">OFFSET(I$58,MATCH($B47,$B$58:$B$101,0)+MATCH($C$45,$B$59:$B$61,0)-1,0)</f>
        <v>NM</v>
      </c>
      <c r="J47" s="259">
        <f t="shared" ca="1" si="22"/>
        <v>0</v>
      </c>
      <c r="K47" s="259">
        <f t="shared" ca="1" si="22"/>
        <v>0</v>
      </c>
      <c r="L47" s="259">
        <f t="shared" ca="1" si="22"/>
        <v>0</v>
      </c>
      <c r="M47" s="259">
        <f t="shared" ca="1" si="22"/>
        <v>0</v>
      </c>
      <c r="N47" s="259">
        <f t="shared" ca="1" si="22"/>
        <v>0</v>
      </c>
      <c r="O47" s="259">
        <f t="shared" ca="1" si="22"/>
        <v>0</v>
      </c>
    </row>
    <row r="48" spans="2:18">
      <c r="B48" s="260" t="s">
        <v>321</v>
      </c>
      <c r="C48" s="256"/>
      <c r="D48" s="256"/>
      <c r="E48" s="257"/>
      <c r="F48" s="257"/>
      <c r="G48" s="257"/>
      <c r="H48" s="257"/>
      <c r="I48" s="261" t="str">
        <f t="shared" ca="1" si="22"/>
        <v>NM</v>
      </c>
      <c r="J48" s="262">
        <f t="shared" ca="1" si="22"/>
        <v>0</v>
      </c>
      <c r="K48" s="262">
        <f t="shared" ca="1" si="22"/>
        <v>0</v>
      </c>
      <c r="L48" s="262">
        <f t="shared" ca="1" si="22"/>
        <v>0</v>
      </c>
      <c r="M48" s="262">
        <f t="shared" ca="1" si="22"/>
        <v>0</v>
      </c>
      <c r="N48" s="262">
        <f t="shared" ca="1" si="22"/>
        <v>0</v>
      </c>
      <c r="O48" s="262">
        <f t="shared" ca="1" si="22"/>
        <v>0</v>
      </c>
    </row>
    <row r="49" spans="2:18">
      <c r="B49" s="255" t="s">
        <v>324</v>
      </c>
      <c r="C49" s="256"/>
      <c r="D49" s="256"/>
      <c r="E49" s="257"/>
      <c r="F49" s="257"/>
      <c r="G49" s="257"/>
      <c r="H49" s="257"/>
      <c r="I49" s="258" t="str">
        <f t="shared" ca="1" si="22"/>
        <v>NM</v>
      </c>
      <c r="J49" s="259">
        <f t="shared" ca="1" si="22"/>
        <v>0</v>
      </c>
      <c r="K49" s="259">
        <f t="shared" ca="1" si="22"/>
        <v>0</v>
      </c>
      <c r="L49" s="259">
        <f t="shared" ca="1" si="22"/>
        <v>0</v>
      </c>
      <c r="M49" s="259">
        <f t="shared" ca="1" si="22"/>
        <v>0</v>
      </c>
      <c r="N49" s="259">
        <f t="shared" ca="1" si="22"/>
        <v>0</v>
      </c>
      <c r="O49" s="259">
        <f t="shared" ca="1" si="22"/>
        <v>0</v>
      </c>
    </row>
    <row r="50" spans="2:18">
      <c r="B50" s="260" t="s">
        <v>323</v>
      </c>
      <c r="C50" s="256"/>
      <c r="D50" s="256"/>
      <c r="E50" s="257"/>
      <c r="F50" s="257"/>
      <c r="G50" s="257"/>
      <c r="H50" s="257"/>
      <c r="I50" s="261" t="str">
        <f t="shared" ca="1" si="22"/>
        <v>NM</v>
      </c>
      <c r="J50" s="262">
        <f t="shared" ca="1" si="22"/>
        <v>0</v>
      </c>
      <c r="K50" s="262">
        <f t="shared" ca="1" si="22"/>
        <v>0</v>
      </c>
      <c r="L50" s="262">
        <f t="shared" ca="1" si="22"/>
        <v>0</v>
      </c>
      <c r="M50" s="262">
        <f t="shared" ca="1" si="22"/>
        <v>0</v>
      </c>
      <c r="N50" s="262">
        <f t="shared" ca="1" si="22"/>
        <v>0</v>
      </c>
      <c r="O50" s="262">
        <f t="shared" ca="1" si="22"/>
        <v>0</v>
      </c>
    </row>
    <row r="51" spans="2:18">
      <c r="B51" s="255" t="s">
        <v>326</v>
      </c>
      <c r="C51" s="256"/>
      <c r="D51" s="256"/>
      <c r="E51" s="257"/>
      <c r="F51" s="257"/>
      <c r="G51" s="257"/>
      <c r="H51" s="257"/>
      <c r="I51" s="258" t="str">
        <f t="shared" ca="1" si="22"/>
        <v>NM</v>
      </c>
      <c r="J51" s="259">
        <f t="shared" ca="1" si="22"/>
        <v>0</v>
      </c>
      <c r="K51" s="259">
        <f t="shared" ca="1" si="22"/>
        <v>0</v>
      </c>
      <c r="L51" s="259">
        <f t="shared" ca="1" si="22"/>
        <v>0</v>
      </c>
      <c r="M51" s="259">
        <f t="shared" ca="1" si="22"/>
        <v>0</v>
      </c>
      <c r="N51" s="259">
        <f t="shared" ca="1" si="22"/>
        <v>0</v>
      </c>
      <c r="O51" s="259">
        <f t="shared" ca="1" si="22"/>
        <v>0</v>
      </c>
    </row>
    <row r="52" spans="2:18">
      <c r="B52" s="260" t="s">
        <v>325</v>
      </c>
      <c r="C52" s="256"/>
      <c r="D52" s="256"/>
      <c r="E52" s="257"/>
      <c r="F52" s="257"/>
      <c r="G52" s="257"/>
      <c r="H52" s="257"/>
      <c r="I52" s="261" t="str">
        <f t="shared" ca="1" si="22"/>
        <v>NM</v>
      </c>
      <c r="J52" s="262">
        <f t="shared" ca="1" si="22"/>
        <v>0</v>
      </c>
      <c r="K52" s="262">
        <f t="shared" ca="1" si="22"/>
        <v>0</v>
      </c>
      <c r="L52" s="262">
        <f t="shared" ca="1" si="22"/>
        <v>0</v>
      </c>
      <c r="M52" s="262">
        <f t="shared" ca="1" si="22"/>
        <v>0</v>
      </c>
      <c r="N52" s="262">
        <f t="shared" ca="1" si="22"/>
        <v>0</v>
      </c>
      <c r="O52" s="262">
        <f t="shared" ca="1" si="22"/>
        <v>0</v>
      </c>
    </row>
    <row r="53" spans="2:18">
      <c r="B53" s="255" t="s">
        <v>316</v>
      </c>
      <c r="C53" s="256"/>
      <c r="D53" s="256"/>
      <c r="E53" s="257"/>
      <c r="F53" s="257"/>
      <c r="G53" s="257"/>
      <c r="H53" s="257"/>
      <c r="I53" s="263" t="str">
        <f t="shared" ca="1" si="22"/>
        <v>NM</v>
      </c>
      <c r="J53" s="262">
        <f t="shared" ca="1" si="22"/>
        <v>0</v>
      </c>
      <c r="K53" s="262">
        <f t="shared" ca="1" si="22"/>
        <v>0</v>
      </c>
      <c r="L53" s="262">
        <f t="shared" ca="1" si="22"/>
        <v>0</v>
      </c>
      <c r="M53" s="262">
        <f t="shared" ca="1" si="22"/>
        <v>0</v>
      </c>
      <c r="N53" s="262">
        <f t="shared" ca="1" si="22"/>
        <v>0</v>
      </c>
      <c r="O53" s="262">
        <f t="shared" ca="1" si="22"/>
        <v>0</v>
      </c>
    </row>
    <row r="54" spans="2:18">
      <c r="B54" s="255" t="s">
        <v>373</v>
      </c>
      <c r="C54" s="256"/>
      <c r="D54" s="256"/>
      <c r="E54" s="257"/>
      <c r="F54" s="257"/>
      <c r="G54" s="257"/>
      <c r="H54" s="257"/>
      <c r="I54" s="263" t="str">
        <f t="shared" ca="1" si="22"/>
        <v>NM</v>
      </c>
      <c r="J54" s="262">
        <f t="shared" ca="1" si="22"/>
        <v>0</v>
      </c>
      <c r="K54" s="262">
        <f t="shared" ca="1" si="22"/>
        <v>0</v>
      </c>
      <c r="L54" s="262">
        <f t="shared" ca="1" si="22"/>
        <v>0</v>
      </c>
      <c r="M54" s="262">
        <f t="shared" ca="1" si="22"/>
        <v>0</v>
      </c>
      <c r="N54" s="262">
        <f t="shared" ca="1" si="22"/>
        <v>0</v>
      </c>
      <c r="O54" s="262">
        <f t="shared" ca="1" si="22"/>
        <v>0</v>
      </c>
    </row>
    <row r="55" spans="2:18">
      <c r="B55" s="255" t="s">
        <v>386</v>
      </c>
      <c r="C55" s="256"/>
      <c r="D55" s="256"/>
      <c r="E55" s="257"/>
      <c r="F55" s="257"/>
      <c r="G55" s="257"/>
      <c r="H55" s="257"/>
      <c r="I55" s="263" t="str">
        <f t="shared" ca="1" si="22"/>
        <v>NM</v>
      </c>
      <c r="J55" s="264">
        <f t="shared" ca="1" si="22"/>
        <v>0</v>
      </c>
      <c r="K55" s="264">
        <f t="shared" ca="1" si="22"/>
        <v>0</v>
      </c>
      <c r="L55" s="264">
        <f t="shared" ca="1" si="22"/>
        <v>0</v>
      </c>
      <c r="M55" s="264">
        <f t="shared" ca="1" si="22"/>
        <v>0</v>
      </c>
      <c r="N55" s="264">
        <f t="shared" ca="1" si="22"/>
        <v>0</v>
      </c>
      <c r="O55" s="264">
        <f t="shared" ca="1" si="22"/>
        <v>0</v>
      </c>
    </row>
    <row r="56" spans="2:18">
      <c r="B56" s="255" t="s">
        <v>387</v>
      </c>
      <c r="C56" s="256"/>
      <c r="D56" s="256"/>
      <c r="E56" s="257"/>
      <c r="F56" s="257"/>
      <c r="G56" s="257"/>
      <c r="H56" s="257"/>
      <c r="I56" s="265" t="str">
        <f t="shared" ca="1" si="22"/>
        <v>NM</v>
      </c>
      <c r="J56" s="264">
        <f t="shared" ca="1" si="22"/>
        <v>0</v>
      </c>
      <c r="K56" s="264">
        <f t="shared" ca="1" si="22"/>
        <v>0</v>
      </c>
      <c r="L56" s="264">
        <f t="shared" ca="1" si="22"/>
        <v>0</v>
      </c>
      <c r="M56" s="264">
        <f t="shared" ca="1" si="22"/>
        <v>0</v>
      </c>
      <c r="N56" s="264">
        <f t="shared" ca="1" si="22"/>
        <v>0</v>
      </c>
      <c r="O56" s="264">
        <f t="shared" ca="1" si="22"/>
        <v>0</v>
      </c>
    </row>
    <row r="57" spans="2:18">
      <c r="B57" s="255" t="s">
        <v>388</v>
      </c>
      <c r="C57" s="256"/>
      <c r="D57" s="256"/>
      <c r="E57" s="257"/>
      <c r="F57" s="257"/>
      <c r="G57" s="257"/>
      <c r="H57" s="257"/>
      <c r="I57" s="265" t="str">
        <f t="shared" ca="1" si="22"/>
        <v>NM</v>
      </c>
      <c r="J57" s="264">
        <f t="shared" ca="1" si="22"/>
        <v>0</v>
      </c>
      <c r="K57" s="264">
        <f t="shared" ca="1" si="22"/>
        <v>0</v>
      </c>
      <c r="L57" s="264">
        <f t="shared" ca="1" si="22"/>
        <v>0</v>
      </c>
      <c r="M57" s="264">
        <f t="shared" ca="1" si="22"/>
        <v>0</v>
      </c>
      <c r="N57" s="264">
        <f t="shared" ca="1" si="22"/>
        <v>0</v>
      </c>
      <c r="O57" s="264">
        <f t="shared" ca="1" si="22"/>
        <v>0</v>
      </c>
    </row>
    <row r="58" spans="2:18">
      <c r="B58" s="266" t="s">
        <v>322</v>
      </c>
      <c r="C58" s="8"/>
      <c r="D58" s="8"/>
      <c r="I58" s="267"/>
      <c r="J58" s="8"/>
      <c r="K58" s="8"/>
      <c r="L58" s="8"/>
      <c r="M58" s="8"/>
      <c r="N58" s="8"/>
      <c r="O58" s="8"/>
    </row>
    <row r="59" spans="2:18">
      <c r="B59" s="268" t="s">
        <v>389</v>
      </c>
      <c r="C59" s="8"/>
      <c r="D59" s="8"/>
      <c r="I59" s="269">
        <v>100</v>
      </c>
      <c r="J59" s="270">
        <f t="shared" ref="J59:O59" si="23">J60+$I$59</f>
        <v>100</v>
      </c>
      <c r="K59" s="270">
        <f t="shared" si="23"/>
        <v>100</v>
      </c>
      <c r="L59" s="270">
        <f t="shared" si="23"/>
        <v>100</v>
      </c>
      <c r="M59" s="270">
        <f t="shared" si="23"/>
        <v>100</v>
      </c>
      <c r="N59" s="270">
        <f t="shared" si="23"/>
        <v>100</v>
      </c>
      <c r="O59" s="270">
        <f t="shared" si="23"/>
        <v>100</v>
      </c>
      <c r="R59" s="271"/>
    </row>
    <row r="60" spans="2:18">
      <c r="B60" s="272" t="s">
        <v>281</v>
      </c>
      <c r="C60" s="273"/>
      <c r="D60" s="273"/>
      <c r="E60" s="273"/>
      <c r="F60" s="273"/>
      <c r="G60" s="273"/>
      <c r="H60" s="273"/>
      <c r="I60" s="274" t="s">
        <v>390</v>
      </c>
      <c r="J60" s="275"/>
      <c r="K60" s="275"/>
      <c r="L60" s="275"/>
      <c r="M60" s="275"/>
      <c r="N60" s="275"/>
      <c r="O60" s="276"/>
      <c r="P60" s="8" t="s">
        <v>391</v>
      </c>
    </row>
    <row r="61" spans="2:18">
      <c r="B61" s="268" t="s">
        <v>392</v>
      </c>
      <c r="C61" s="8"/>
      <c r="D61" s="8"/>
      <c r="I61" s="269">
        <v>-100</v>
      </c>
      <c r="J61" s="270">
        <f t="shared" ref="J61:O61" si="24">J60+$I$61</f>
        <v>-100</v>
      </c>
      <c r="K61" s="270">
        <f t="shared" si="24"/>
        <v>-100</v>
      </c>
      <c r="L61" s="270">
        <f t="shared" si="24"/>
        <v>-100</v>
      </c>
      <c r="M61" s="270">
        <f t="shared" si="24"/>
        <v>-100</v>
      </c>
      <c r="N61" s="270">
        <f t="shared" si="24"/>
        <v>-100</v>
      </c>
      <c r="O61" s="270">
        <f t="shared" si="24"/>
        <v>-100</v>
      </c>
    </row>
    <row r="62" spans="2:18">
      <c r="B62" s="266" t="s">
        <v>321</v>
      </c>
      <c r="C62" s="8"/>
      <c r="D62" s="8"/>
      <c r="I62" s="277"/>
      <c r="J62" s="278"/>
      <c r="K62" s="278"/>
      <c r="L62" s="278"/>
      <c r="M62" s="278"/>
      <c r="N62" s="278"/>
      <c r="O62" s="278"/>
    </row>
    <row r="63" spans="2:18">
      <c r="B63" s="268" t="s">
        <v>389</v>
      </c>
      <c r="C63" s="8"/>
      <c r="D63" s="8"/>
      <c r="I63" s="279">
        <v>15000</v>
      </c>
      <c r="J63" s="280">
        <f t="shared" ref="J63:O63" si="25">J64+$I$63</f>
        <v>15000</v>
      </c>
      <c r="K63" s="280">
        <f t="shared" si="25"/>
        <v>15000</v>
      </c>
      <c r="L63" s="280">
        <f t="shared" si="25"/>
        <v>15000</v>
      </c>
      <c r="M63" s="280">
        <f t="shared" si="25"/>
        <v>15000</v>
      </c>
      <c r="N63" s="280">
        <f t="shared" si="25"/>
        <v>15000</v>
      </c>
      <c r="O63" s="280">
        <f t="shared" si="25"/>
        <v>15000</v>
      </c>
    </row>
    <row r="64" spans="2:18">
      <c r="B64" s="272" t="s">
        <v>281</v>
      </c>
      <c r="C64" s="273"/>
      <c r="D64" s="273"/>
      <c r="E64" s="273"/>
      <c r="F64" s="273"/>
      <c r="G64" s="273"/>
      <c r="H64" s="273"/>
      <c r="I64" s="274" t="s">
        <v>390</v>
      </c>
      <c r="J64" s="281"/>
      <c r="K64" s="281"/>
      <c r="L64" s="281"/>
      <c r="M64" s="281"/>
      <c r="N64" s="281"/>
      <c r="O64" s="282"/>
      <c r="P64" s="8" t="s">
        <v>393</v>
      </c>
    </row>
    <row r="65" spans="2:16">
      <c r="B65" s="268" t="s">
        <v>392</v>
      </c>
      <c r="C65" s="8"/>
      <c r="D65" s="8"/>
      <c r="I65" s="279">
        <v>-15000</v>
      </c>
      <c r="J65" s="280">
        <f t="shared" ref="J65:O65" si="26">J64+$I$65</f>
        <v>-15000</v>
      </c>
      <c r="K65" s="280">
        <f t="shared" si="26"/>
        <v>-15000</v>
      </c>
      <c r="L65" s="280">
        <f t="shared" si="26"/>
        <v>-15000</v>
      </c>
      <c r="M65" s="280">
        <f t="shared" si="26"/>
        <v>-15000</v>
      </c>
      <c r="N65" s="280">
        <f t="shared" si="26"/>
        <v>-15000</v>
      </c>
      <c r="O65" s="280">
        <f t="shared" si="26"/>
        <v>-15000</v>
      </c>
    </row>
    <row r="66" spans="2:16">
      <c r="B66" s="266" t="s">
        <v>324</v>
      </c>
      <c r="C66" s="8"/>
      <c r="D66" s="8"/>
      <c r="I66" s="267"/>
      <c r="J66" s="8"/>
      <c r="K66" s="8"/>
      <c r="L66" s="8"/>
      <c r="M66" s="8"/>
      <c r="N66" s="8"/>
      <c r="O66" s="8"/>
    </row>
    <row r="67" spans="2:16">
      <c r="B67" s="268" t="s">
        <v>389</v>
      </c>
      <c r="C67" s="8"/>
      <c r="D67" s="8"/>
      <c r="I67" s="269">
        <v>100</v>
      </c>
      <c r="J67" s="270">
        <f t="shared" ref="J67:O67" si="27">J68+$I$67</f>
        <v>100</v>
      </c>
      <c r="K67" s="270">
        <f t="shared" si="27"/>
        <v>100</v>
      </c>
      <c r="L67" s="270">
        <f t="shared" si="27"/>
        <v>100</v>
      </c>
      <c r="M67" s="270">
        <f t="shared" si="27"/>
        <v>100</v>
      </c>
      <c r="N67" s="270">
        <f t="shared" si="27"/>
        <v>100</v>
      </c>
      <c r="O67" s="270">
        <f t="shared" si="27"/>
        <v>100</v>
      </c>
    </row>
    <row r="68" spans="2:16">
      <c r="B68" s="272" t="s">
        <v>281</v>
      </c>
      <c r="C68" s="273"/>
      <c r="D68" s="273"/>
      <c r="E68" s="273"/>
      <c r="F68" s="273"/>
      <c r="G68" s="273"/>
      <c r="H68" s="273"/>
      <c r="I68" s="274" t="s">
        <v>390</v>
      </c>
      <c r="J68" s="275"/>
      <c r="K68" s="275"/>
      <c r="L68" s="275"/>
      <c r="M68" s="275"/>
      <c r="N68" s="275"/>
      <c r="O68" s="276"/>
      <c r="P68" s="8" t="s">
        <v>393</v>
      </c>
    </row>
    <row r="69" spans="2:16">
      <c r="B69" s="268" t="s">
        <v>392</v>
      </c>
      <c r="C69" s="8"/>
      <c r="D69" s="8"/>
      <c r="I69" s="269">
        <v>-100</v>
      </c>
      <c r="J69" s="270">
        <f t="shared" ref="J69:O69" si="28">J68+$I$69</f>
        <v>-100</v>
      </c>
      <c r="K69" s="270">
        <f t="shared" si="28"/>
        <v>-100</v>
      </c>
      <c r="L69" s="270">
        <f t="shared" si="28"/>
        <v>-100</v>
      </c>
      <c r="M69" s="270">
        <f t="shared" si="28"/>
        <v>-100</v>
      </c>
      <c r="N69" s="270">
        <f t="shared" si="28"/>
        <v>-100</v>
      </c>
      <c r="O69" s="270">
        <f t="shared" si="28"/>
        <v>-100</v>
      </c>
    </row>
    <row r="70" spans="2:16">
      <c r="B70" s="266" t="s">
        <v>323</v>
      </c>
      <c r="C70" s="8"/>
      <c r="D70" s="8"/>
      <c r="I70" s="277"/>
      <c r="J70" s="278"/>
      <c r="K70" s="278"/>
      <c r="L70" s="278"/>
      <c r="M70" s="278"/>
      <c r="N70" s="278"/>
      <c r="O70" s="278"/>
    </row>
    <row r="71" spans="2:16">
      <c r="B71" s="268" t="s">
        <v>389</v>
      </c>
      <c r="C71" s="8"/>
      <c r="D71" s="8"/>
      <c r="I71" s="279">
        <v>6000</v>
      </c>
      <c r="J71" s="280">
        <f t="shared" ref="J71:O71" si="29">J72+$I$71</f>
        <v>6000</v>
      </c>
      <c r="K71" s="280">
        <f t="shared" si="29"/>
        <v>6000</v>
      </c>
      <c r="L71" s="280">
        <f t="shared" si="29"/>
        <v>6000</v>
      </c>
      <c r="M71" s="280">
        <f t="shared" si="29"/>
        <v>6000</v>
      </c>
      <c r="N71" s="280">
        <f t="shared" si="29"/>
        <v>6000</v>
      </c>
      <c r="O71" s="280">
        <f t="shared" si="29"/>
        <v>6000</v>
      </c>
    </row>
    <row r="72" spans="2:16">
      <c r="B72" s="272" t="s">
        <v>281</v>
      </c>
      <c r="C72" s="273"/>
      <c r="D72" s="273"/>
      <c r="E72" s="273"/>
      <c r="F72" s="273"/>
      <c r="G72" s="273"/>
      <c r="H72" s="273"/>
      <c r="I72" s="274" t="s">
        <v>390</v>
      </c>
      <c r="J72" s="281"/>
      <c r="K72" s="281"/>
      <c r="L72" s="281"/>
      <c r="M72" s="281"/>
      <c r="N72" s="281"/>
      <c r="O72" s="282"/>
      <c r="P72" s="8" t="s">
        <v>393</v>
      </c>
    </row>
    <row r="73" spans="2:16">
      <c r="B73" s="268" t="s">
        <v>392</v>
      </c>
      <c r="C73" s="8"/>
      <c r="D73" s="8"/>
      <c r="I73" s="279">
        <v>-6000</v>
      </c>
      <c r="J73" s="280">
        <f t="shared" ref="J73:O73" si="30">J72+$I$73</f>
        <v>-6000</v>
      </c>
      <c r="K73" s="280">
        <f t="shared" si="30"/>
        <v>-6000</v>
      </c>
      <c r="L73" s="280">
        <f t="shared" si="30"/>
        <v>-6000</v>
      </c>
      <c r="M73" s="280">
        <f t="shared" si="30"/>
        <v>-6000</v>
      </c>
      <c r="N73" s="280">
        <f t="shared" si="30"/>
        <v>-6000</v>
      </c>
      <c r="O73" s="280">
        <f t="shared" si="30"/>
        <v>-6000</v>
      </c>
    </row>
    <row r="74" spans="2:16">
      <c r="B74" s="266" t="s">
        <v>326</v>
      </c>
      <c r="C74" s="8"/>
      <c r="D74" s="8"/>
      <c r="I74" s="283"/>
      <c r="J74" s="284"/>
      <c r="K74" s="284"/>
      <c r="L74" s="284"/>
      <c r="M74" s="284"/>
      <c r="N74" s="284"/>
      <c r="O74" s="284"/>
    </row>
    <row r="75" spans="2:16">
      <c r="B75" s="268" t="s">
        <v>389</v>
      </c>
      <c r="C75" s="8"/>
      <c r="D75" s="8"/>
      <c r="I75" s="269">
        <v>200</v>
      </c>
      <c r="J75" s="270">
        <f t="shared" ref="J75:O75" si="31">J76+$I$75</f>
        <v>200</v>
      </c>
      <c r="K75" s="270">
        <f t="shared" si="31"/>
        <v>200</v>
      </c>
      <c r="L75" s="270">
        <f t="shared" si="31"/>
        <v>200</v>
      </c>
      <c r="M75" s="270">
        <f t="shared" si="31"/>
        <v>200</v>
      </c>
      <c r="N75" s="270">
        <f t="shared" si="31"/>
        <v>200</v>
      </c>
      <c r="O75" s="270">
        <f t="shared" si="31"/>
        <v>200</v>
      </c>
    </row>
    <row r="76" spans="2:16">
      <c r="B76" s="272" t="s">
        <v>281</v>
      </c>
      <c r="C76" s="273"/>
      <c r="D76" s="273"/>
      <c r="E76" s="273"/>
      <c r="F76" s="273"/>
      <c r="G76" s="273"/>
      <c r="H76" s="273"/>
      <c r="I76" s="274" t="s">
        <v>390</v>
      </c>
      <c r="J76" s="275"/>
      <c r="K76" s="275"/>
      <c r="L76" s="275"/>
      <c r="M76" s="275"/>
      <c r="N76" s="275"/>
      <c r="O76" s="276"/>
      <c r="P76" s="8" t="s">
        <v>393</v>
      </c>
    </row>
    <row r="77" spans="2:16">
      <c r="B77" s="268" t="s">
        <v>392</v>
      </c>
      <c r="C77" s="8"/>
      <c r="D77" s="8"/>
      <c r="I77" s="269">
        <v>-200</v>
      </c>
      <c r="J77" s="270">
        <f t="shared" ref="J77:O77" si="32">J76+$I$77</f>
        <v>-200</v>
      </c>
      <c r="K77" s="270">
        <f t="shared" si="32"/>
        <v>-200</v>
      </c>
      <c r="L77" s="270">
        <f t="shared" si="32"/>
        <v>-200</v>
      </c>
      <c r="M77" s="270">
        <f t="shared" si="32"/>
        <v>-200</v>
      </c>
      <c r="N77" s="270">
        <f t="shared" si="32"/>
        <v>-200</v>
      </c>
      <c r="O77" s="270">
        <f t="shared" si="32"/>
        <v>-200</v>
      </c>
    </row>
    <row r="78" spans="2:16">
      <c r="B78" s="266" t="s">
        <v>325</v>
      </c>
      <c r="C78" s="8"/>
      <c r="D78" s="8"/>
      <c r="I78" s="283"/>
      <c r="J78" s="284"/>
      <c r="K78" s="284"/>
      <c r="L78" s="284"/>
      <c r="M78" s="284"/>
      <c r="N78" s="284"/>
      <c r="O78" s="284"/>
    </row>
    <row r="79" spans="2:16">
      <c r="B79" s="268" t="s">
        <v>389</v>
      </c>
      <c r="C79" s="8"/>
      <c r="D79" s="8"/>
      <c r="I79" s="279">
        <v>500</v>
      </c>
      <c r="J79" s="280">
        <f t="shared" ref="J79:O79" si="33">J80+$I$79</f>
        <v>500</v>
      </c>
      <c r="K79" s="280">
        <f t="shared" si="33"/>
        <v>500</v>
      </c>
      <c r="L79" s="280">
        <f t="shared" si="33"/>
        <v>500</v>
      </c>
      <c r="M79" s="280">
        <f t="shared" si="33"/>
        <v>500</v>
      </c>
      <c r="N79" s="280">
        <f t="shared" si="33"/>
        <v>500</v>
      </c>
      <c r="O79" s="280">
        <f t="shared" si="33"/>
        <v>500</v>
      </c>
    </row>
    <row r="80" spans="2:16">
      <c r="B80" s="272" t="s">
        <v>281</v>
      </c>
      <c r="C80" s="273"/>
      <c r="D80" s="273"/>
      <c r="E80" s="273"/>
      <c r="F80" s="273"/>
      <c r="G80" s="273"/>
      <c r="H80" s="273"/>
      <c r="I80" s="274" t="s">
        <v>390</v>
      </c>
      <c r="J80" s="281"/>
      <c r="K80" s="281"/>
      <c r="L80" s="281"/>
      <c r="M80" s="281"/>
      <c r="N80" s="281"/>
      <c r="O80" s="282"/>
      <c r="P80" s="8" t="s">
        <v>394</v>
      </c>
    </row>
    <row r="81" spans="2:16">
      <c r="B81" s="268" t="s">
        <v>392</v>
      </c>
      <c r="C81" s="8"/>
      <c r="D81" s="8"/>
      <c r="I81" s="279">
        <v>-500</v>
      </c>
      <c r="J81" s="280">
        <f t="shared" ref="J81:O81" si="34">J80+$I$81</f>
        <v>-500</v>
      </c>
      <c r="K81" s="280">
        <f t="shared" si="34"/>
        <v>-500</v>
      </c>
      <c r="L81" s="280">
        <f t="shared" si="34"/>
        <v>-500</v>
      </c>
      <c r="M81" s="280">
        <f t="shared" si="34"/>
        <v>-500</v>
      </c>
      <c r="N81" s="280">
        <f t="shared" si="34"/>
        <v>-500</v>
      </c>
      <c r="O81" s="280">
        <f t="shared" si="34"/>
        <v>-500</v>
      </c>
    </row>
    <row r="82" spans="2:16">
      <c r="B82" s="266" t="s">
        <v>316</v>
      </c>
      <c r="C82" s="8"/>
      <c r="D82" s="8"/>
      <c r="I82" s="283"/>
      <c r="J82" s="284"/>
      <c r="K82" s="284"/>
      <c r="L82" s="284"/>
      <c r="M82" s="284"/>
      <c r="N82" s="284"/>
      <c r="O82" s="284"/>
    </row>
    <row r="83" spans="2:16">
      <c r="B83" s="268" t="s">
        <v>389</v>
      </c>
      <c r="C83" s="8"/>
      <c r="D83" s="8"/>
      <c r="I83" s="285">
        <v>0.05</v>
      </c>
      <c r="J83" s="280">
        <f t="shared" ref="J83:O83" si="35">SUM(J84*$I$83)+J84</f>
        <v>0</v>
      </c>
      <c r="K83" s="280">
        <f t="shared" si="35"/>
        <v>0</v>
      </c>
      <c r="L83" s="280">
        <f t="shared" si="35"/>
        <v>0</v>
      </c>
      <c r="M83" s="280">
        <f t="shared" si="35"/>
        <v>0</v>
      </c>
      <c r="N83" s="280">
        <f t="shared" si="35"/>
        <v>0</v>
      </c>
      <c r="O83" s="280">
        <f t="shared" si="35"/>
        <v>0</v>
      </c>
    </row>
    <row r="84" spans="2:16">
      <c r="B84" s="272" t="s">
        <v>281</v>
      </c>
      <c r="C84" s="273"/>
      <c r="D84" s="273"/>
      <c r="E84" s="273"/>
      <c r="F84" s="273"/>
      <c r="G84" s="273"/>
      <c r="H84" s="273"/>
      <c r="I84" s="274" t="s">
        <v>390</v>
      </c>
      <c r="J84" s="281"/>
      <c r="K84" s="281"/>
      <c r="L84" s="281"/>
      <c r="M84" s="281"/>
      <c r="N84" s="281"/>
      <c r="O84" s="282"/>
      <c r="P84" s="8" t="s">
        <v>394</v>
      </c>
    </row>
    <row r="85" spans="2:16">
      <c r="B85" s="268" t="s">
        <v>392</v>
      </c>
      <c r="C85" s="8"/>
      <c r="D85" s="8"/>
      <c r="I85" s="286">
        <v>-0.05</v>
      </c>
      <c r="J85" s="280">
        <f t="shared" ref="J85:O85" si="36">SUM(J84*$I$85)+J84</f>
        <v>0</v>
      </c>
      <c r="K85" s="280">
        <f t="shared" si="36"/>
        <v>0</v>
      </c>
      <c r="L85" s="280">
        <f t="shared" si="36"/>
        <v>0</v>
      </c>
      <c r="M85" s="280">
        <f t="shared" si="36"/>
        <v>0</v>
      </c>
      <c r="N85" s="280">
        <f t="shared" si="36"/>
        <v>0</v>
      </c>
      <c r="O85" s="280">
        <f t="shared" si="36"/>
        <v>0</v>
      </c>
    </row>
    <row r="86" spans="2:16">
      <c r="B86" s="266" t="s">
        <v>373</v>
      </c>
      <c r="C86" s="8"/>
      <c r="D86" s="8"/>
      <c r="I86" s="283"/>
      <c r="J86" s="284"/>
      <c r="K86" s="284"/>
      <c r="L86" s="284"/>
      <c r="M86" s="284"/>
      <c r="N86" s="284"/>
      <c r="O86" s="284"/>
    </row>
    <row r="87" spans="2:16">
      <c r="B87" s="268" t="s">
        <v>389</v>
      </c>
      <c r="C87" s="8"/>
      <c r="D87" s="8"/>
      <c r="I87" s="285">
        <v>0.05</v>
      </c>
      <c r="J87" s="280">
        <f t="shared" ref="J87:O87" si="37">SUM(J88*$I$87)+J88</f>
        <v>0</v>
      </c>
      <c r="K87" s="280">
        <f t="shared" si="37"/>
        <v>0</v>
      </c>
      <c r="L87" s="280">
        <f t="shared" si="37"/>
        <v>0</v>
      </c>
      <c r="M87" s="280">
        <f t="shared" si="37"/>
        <v>0</v>
      </c>
      <c r="N87" s="280">
        <f t="shared" si="37"/>
        <v>0</v>
      </c>
      <c r="O87" s="280">
        <f t="shared" si="37"/>
        <v>0</v>
      </c>
    </row>
    <row r="88" spans="2:16">
      <c r="B88" s="272" t="s">
        <v>281</v>
      </c>
      <c r="C88" s="273"/>
      <c r="D88" s="273"/>
      <c r="E88" s="273"/>
      <c r="F88" s="273"/>
      <c r="G88" s="273"/>
      <c r="H88" s="273"/>
      <c r="I88" s="274" t="s">
        <v>390</v>
      </c>
      <c r="J88" s="281"/>
      <c r="K88" s="281"/>
      <c r="L88" s="281"/>
      <c r="M88" s="281"/>
      <c r="N88" s="281"/>
      <c r="O88" s="282"/>
      <c r="P88" s="8" t="s">
        <v>391</v>
      </c>
    </row>
    <row r="89" spans="2:16">
      <c r="B89" s="268" t="s">
        <v>392</v>
      </c>
      <c r="C89" s="8"/>
      <c r="D89" s="8"/>
      <c r="I89" s="286">
        <v>-0.05</v>
      </c>
      <c r="J89" s="280">
        <f t="shared" ref="J89:O89" si="38">SUM(J88*$I$89)+J88</f>
        <v>0</v>
      </c>
      <c r="K89" s="280">
        <f t="shared" si="38"/>
        <v>0</v>
      </c>
      <c r="L89" s="280">
        <f t="shared" si="38"/>
        <v>0</v>
      </c>
      <c r="M89" s="280">
        <f t="shared" si="38"/>
        <v>0</v>
      </c>
      <c r="N89" s="280">
        <f t="shared" si="38"/>
        <v>0</v>
      </c>
      <c r="O89" s="280">
        <f t="shared" si="38"/>
        <v>0</v>
      </c>
    </row>
    <row r="90" spans="2:16">
      <c r="B90" s="266" t="s">
        <v>395</v>
      </c>
      <c r="C90" s="8"/>
      <c r="D90" s="8"/>
      <c r="I90" s="287"/>
      <c r="J90" s="288"/>
      <c r="K90" s="288"/>
      <c r="L90" s="288"/>
      <c r="M90" s="288"/>
      <c r="N90" s="288"/>
      <c r="O90" s="288"/>
    </row>
    <row r="91" spans="2:16">
      <c r="B91" s="268" t="s">
        <v>389</v>
      </c>
      <c r="C91" s="8"/>
      <c r="D91" s="8"/>
      <c r="I91" s="289">
        <v>0.01</v>
      </c>
      <c r="J91" s="290">
        <f t="shared" ref="J91:O91" si="39">J92+$I$91</f>
        <v>0.01</v>
      </c>
      <c r="K91" s="290">
        <f t="shared" si="39"/>
        <v>0.01</v>
      </c>
      <c r="L91" s="290">
        <f t="shared" si="39"/>
        <v>0.01</v>
      </c>
      <c r="M91" s="290">
        <f t="shared" si="39"/>
        <v>0.01</v>
      </c>
      <c r="N91" s="290">
        <f t="shared" si="39"/>
        <v>0.01</v>
      </c>
      <c r="O91" s="290">
        <f t="shared" si="39"/>
        <v>0.01</v>
      </c>
    </row>
    <row r="92" spans="2:16">
      <c r="B92" s="272" t="s">
        <v>281</v>
      </c>
      <c r="C92" s="291"/>
      <c r="D92" s="291"/>
      <c r="E92" s="291"/>
      <c r="F92" s="291"/>
      <c r="G92" s="291"/>
      <c r="H92" s="291"/>
      <c r="I92" s="274" t="s">
        <v>390</v>
      </c>
      <c r="J92" s="292"/>
      <c r="K92" s="292"/>
      <c r="L92" s="292"/>
      <c r="M92" s="292"/>
      <c r="N92" s="292"/>
      <c r="O92" s="293"/>
      <c r="P92" s="8" t="s">
        <v>393</v>
      </c>
    </row>
    <row r="93" spans="2:16">
      <c r="B93" s="268" t="s">
        <v>392</v>
      </c>
      <c r="C93" s="8"/>
      <c r="D93" s="8"/>
      <c r="I93" s="289">
        <v>-0.01</v>
      </c>
      <c r="J93" s="290">
        <f t="shared" ref="J93:O93" si="40">J92+$I$93</f>
        <v>-0.01</v>
      </c>
      <c r="K93" s="290">
        <f t="shared" si="40"/>
        <v>-0.01</v>
      </c>
      <c r="L93" s="290">
        <f t="shared" si="40"/>
        <v>-0.01</v>
      </c>
      <c r="M93" s="290">
        <f t="shared" si="40"/>
        <v>-0.01</v>
      </c>
      <c r="N93" s="290">
        <f t="shared" si="40"/>
        <v>-0.01</v>
      </c>
      <c r="O93" s="290">
        <f t="shared" si="40"/>
        <v>-0.01</v>
      </c>
    </row>
    <row r="94" spans="2:16">
      <c r="B94" s="266" t="s">
        <v>387</v>
      </c>
      <c r="C94" s="8"/>
      <c r="D94" s="8"/>
      <c r="I94" s="287"/>
      <c r="J94" s="294"/>
      <c r="K94" s="294"/>
      <c r="L94" s="294"/>
      <c r="M94" s="294"/>
      <c r="N94" s="294"/>
      <c r="O94" s="294"/>
    </row>
    <row r="95" spans="2:16">
      <c r="B95" s="268" t="s">
        <v>389</v>
      </c>
      <c r="C95" s="8"/>
      <c r="D95" s="8"/>
      <c r="I95" s="289">
        <v>-0.01</v>
      </c>
      <c r="J95" s="290">
        <f t="shared" ref="J95:O95" si="41">J96+$I$95</f>
        <v>-0.01</v>
      </c>
      <c r="K95" s="290">
        <f t="shared" si="41"/>
        <v>-0.01</v>
      </c>
      <c r="L95" s="290">
        <f t="shared" si="41"/>
        <v>-0.01</v>
      </c>
      <c r="M95" s="290">
        <f t="shared" si="41"/>
        <v>-0.01</v>
      </c>
      <c r="N95" s="290">
        <f t="shared" si="41"/>
        <v>-0.01</v>
      </c>
      <c r="O95" s="290">
        <f t="shared" si="41"/>
        <v>-0.01</v>
      </c>
    </row>
    <row r="96" spans="2:16">
      <c r="B96" s="272" t="s">
        <v>281</v>
      </c>
      <c r="C96" s="291"/>
      <c r="D96" s="291"/>
      <c r="E96" s="291"/>
      <c r="F96" s="291"/>
      <c r="G96" s="291"/>
      <c r="H96" s="291"/>
      <c r="I96" s="274" t="s">
        <v>390</v>
      </c>
      <c r="J96" s="292"/>
      <c r="K96" s="292"/>
      <c r="L96" s="292"/>
      <c r="M96" s="292"/>
      <c r="N96" s="292"/>
      <c r="O96" s="293"/>
      <c r="P96" s="8" t="s">
        <v>393</v>
      </c>
    </row>
    <row r="97" spans="2:16">
      <c r="B97" s="268" t="s">
        <v>392</v>
      </c>
      <c r="C97" s="8"/>
      <c r="D97" s="8"/>
      <c r="I97" s="289">
        <v>0.01</v>
      </c>
      <c r="J97" s="290">
        <f t="shared" ref="J97:O97" si="42">J96+$I$97</f>
        <v>0.01</v>
      </c>
      <c r="K97" s="290">
        <f t="shared" si="42"/>
        <v>0.01</v>
      </c>
      <c r="L97" s="290">
        <f t="shared" si="42"/>
        <v>0.01</v>
      </c>
      <c r="M97" s="290">
        <f t="shared" si="42"/>
        <v>0.01</v>
      </c>
      <c r="N97" s="290">
        <f t="shared" si="42"/>
        <v>0.01</v>
      </c>
      <c r="O97" s="290">
        <f t="shared" si="42"/>
        <v>0.01</v>
      </c>
    </row>
    <row r="98" spans="2:16">
      <c r="B98" s="266" t="s">
        <v>388</v>
      </c>
      <c r="C98" s="8"/>
      <c r="D98" s="8"/>
      <c r="I98" s="287"/>
      <c r="J98" s="294"/>
      <c r="K98" s="294"/>
      <c r="L98" s="294"/>
      <c r="M98" s="294"/>
      <c r="N98" s="294"/>
      <c r="O98" s="294"/>
    </row>
    <row r="99" spans="2:16">
      <c r="B99" s="268" t="s">
        <v>389</v>
      </c>
      <c r="C99" s="8"/>
      <c r="D99" s="8"/>
      <c r="I99" s="289">
        <v>-0.01</v>
      </c>
      <c r="J99" s="290">
        <f t="shared" ref="J99:O99" si="43">J100+$I$99</f>
        <v>-0.01</v>
      </c>
      <c r="K99" s="290">
        <f t="shared" si="43"/>
        <v>-0.01</v>
      </c>
      <c r="L99" s="290">
        <f t="shared" si="43"/>
        <v>-0.01</v>
      </c>
      <c r="M99" s="290">
        <f t="shared" si="43"/>
        <v>-0.01</v>
      </c>
      <c r="N99" s="290">
        <f t="shared" si="43"/>
        <v>-0.01</v>
      </c>
      <c r="O99" s="290">
        <f t="shared" si="43"/>
        <v>-0.01</v>
      </c>
    </row>
    <row r="100" spans="2:16">
      <c r="B100" s="272" t="s">
        <v>281</v>
      </c>
      <c r="C100" s="291"/>
      <c r="D100" s="291"/>
      <c r="E100" s="291"/>
      <c r="F100" s="291"/>
      <c r="G100" s="291"/>
      <c r="H100" s="291"/>
      <c r="I100" s="274" t="s">
        <v>390</v>
      </c>
      <c r="J100" s="292"/>
      <c r="K100" s="292"/>
      <c r="L100" s="292"/>
      <c r="M100" s="292"/>
      <c r="N100" s="292"/>
      <c r="O100" s="293"/>
      <c r="P100" s="8" t="s">
        <v>393</v>
      </c>
    </row>
    <row r="101" spans="2:16" ht="15" thickBot="1">
      <c r="B101" s="268" t="s">
        <v>392</v>
      </c>
      <c r="C101" s="8"/>
      <c r="D101" s="8"/>
      <c r="I101" s="295">
        <v>0.01</v>
      </c>
      <c r="J101" s="290">
        <f t="shared" ref="J101:O101" si="44">J100+$I$101</f>
        <v>0.01</v>
      </c>
      <c r="K101" s="290">
        <f t="shared" si="44"/>
        <v>0.01</v>
      </c>
      <c r="L101" s="290">
        <f t="shared" si="44"/>
        <v>0.01</v>
      </c>
      <c r="M101" s="290">
        <f t="shared" si="44"/>
        <v>0.01</v>
      </c>
      <c r="N101" s="290">
        <f t="shared" si="44"/>
        <v>0.01</v>
      </c>
      <c r="O101" s="290">
        <f t="shared" si="44"/>
        <v>0.01</v>
      </c>
    </row>
  </sheetData>
  <conditionalFormatting sqref="B57">
    <cfRule type="expression" dxfId="1" priority="1">
      <formula>#REF!=$C57</formula>
    </cfRule>
  </conditionalFormatting>
  <dataValidations count="1">
    <dataValidation type="list" allowBlank="1" showInputMessage="1" showErrorMessage="1" sqref="D6" xr:uid="{F7A1F62C-2983-4CCF-9B8A-49AB4C49657D}">
      <formula1>$B$59:$B$61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7E27-29DF-4F53-8BCA-37AAEAF59FE1}">
  <dimension ref="A2:T228"/>
  <sheetViews>
    <sheetView showGridLines="0" zoomScale="130" zoomScaleNormal="130" workbookViewId="0">
      <selection activeCell="B3" sqref="B3"/>
    </sheetView>
  </sheetViews>
  <sheetFormatPr defaultRowHeight="12" outlineLevelRow="1" outlineLevelCol="1"/>
  <cols>
    <col min="1" max="1" width="1.625" style="8" customWidth="1"/>
    <col min="2" max="2" width="31.75" style="8" bestFit="1" customWidth="1"/>
    <col min="3" max="3" width="10.875" style="8" bestFit="1" customWidth="1"/>
    <col min="4" max="8" width="8.625" style="8" bestFit="1" customWidth="1"/>
    <col min="9" max="9" width="2" style="8" hidden="1" customWidth="1" outlineLevel="1"/>
    <col min="10" max="10" width="8.875" style="8" hidden="1" customWidth="1" outlineLevel="1"/>
    <col min="11" max="11" width="1.125" style="8" hidden="1" customWidth="1" outlineLevel="1"/>
    <col min="12" max="12" width="9.125" style="8" bestFit="1" customWidth="1" collapsed="1"/>
    <col min="13" max="17" width="8.625" style="8" bestFit="1" customWidth="1"/>
    <col min="18" max="18" width="1.625" style="8" hidden="1" customWidth="1" outlineLevel="1"/>
    <col min="19" max="19" width="8.625" style="8" hidden="1" customWidth="1" outlineLevel="1"/>
    <col min="20" max="20" width="14.75" style="8" bestFit="1" customWidth="1" collapsed="1"/>
    <col min="21" max="25" width="7.875" style="8" bestFit="1" customWidth="1"/>
    <col min="26" max="16384" width="9" style="8"/>
  </cols>
  <sheetData>
    <row r="2" spans="2:19">
      <c r="B2" s="1" t="str">
        <f>'Historical Financials'!B2</f>
        <v>Netflix, Inc. (NASDAQ: NFLX)</v>
      </c>
      <c r="C2" s="1"/>
      <c r="D2" s="1"/>
      <c r="E2" s="1"/>
      <c r="F2" s="1"/>
      <c r="G2" s="1"/>
      <c r="H2" s="1"/>
      <c r="I2" s="1"/>
      <c r="J2" s="1"/>
      <c r="K2" s="1"/>
      <c r="L2" s="1"/>
      <c r="M2" s="1"/>
      <c r="N2" s="1"/>
      <c r="O2" s="1"/>
      <c r="P2" s="1"/>
      <c r="Q2" s="1"/>
      <c r="R2" s="1"/>
      <c r="S2" s="1"/>
    </row>
    <row r="3" spans="2:19">
      <c r="B3" s="6" t="s">
        <v>396</v>
      </c>
      <c r="C3" s="1"/>
      <c r="D3" s="1"/>
      <c r="E3" s="1"/>
      <c r="F3" s="1"/>
      <c r="G3" s="1"/>
      <c r="H3" s="1"/>
      <c r="I3" s="1"/>
      <c r="J3" s="1"/>
      <c r="K3" s="1"/>
      <c r="L3" s="1"/>
      <c r="M3" s="1"/>
      <c r="N3" s="1"/>
      <c r="O3" s="1"/>
      <c r="P3" s="1"/>
      <c r="Q3" s="1"/>
      <c r="R3" s="1"/>
      <c r="S3" s="1"/>
    </row>
    <row r="4" spans="2:19">
      <c r="B4" s="6" t="s">
        <v>84</v>
      </c>
      <c r="C4" s="6"/>
      <c r="D4" s="6"/>
      <c r="E4" s="6"/>
      <c r="F4" s="6"/>
      <c r="G4" s="6"/>
      <c r="H4" s="6"/>
      <c r="I4" s="6"/>
      <c r="J4" s="6"/>
      <c r="K4" s="6"/>
      <c r="L4" s="6"/>
      <c r="M4" s="6"/>
      <c r="N4" s="6"/>
      <c r="O4" s="6"/>
      <c r="P4" s="6"/>
      <c r="Q4" s="6"/>
      <c r="R4" s="6"/>
      <c r="S4" s="6"/>
    </row>
    <row r="5" spans="2:19" ht="5.0999999999999996" customHeight="1"/>
    <row r="6" spans="2:19">
      <c r="B6" s="296" t="s">
        <v>397</v>
      </c>
      <c r="C6" s="297"/>
      <c r="D6" s="298"/>
      <c r="E6" s="298"/>
      <c r="F6" s="298"/>
      <c r="G6" s="298"/>
      <c r="H6" s="298"/>
      <c r="I6" s="298"/>
      <c r="J6" s="298"/>
      <c r="K6" s="298"/>
      <c r="L6" s="298"/>
      <c r="M6" s="298"/>
      <c r="N6" s="299"/>
      <c r="O6" s="299"/>
      <c r="P6" s="299"/>
      <c r="Q6" s="300"/>
      <c r="R6" s="299"/>
      <c r="S6" s="301"/>
    </row>
    <row r="7" spans="2:19">
      <c r="B7" s="302" t="s">
        <v>398</v>
      </c>
      <c r="C7" s="303"/>
      <c r="Q7" s="304"/>
      <c r="S7" s="304"/>
    </row>
    <row r="8" spans="2:19">
      <c r="B8" s="305" t="s">
        <v>399</v>
      </c>
      <c r="C8" s="306">
        <v>0</v>
      </c>
      <c r="Q8" s="304"/>
      <c r="S8" s="304"/>
    </row>
    <row r="9" spans="2:19">
      <c r="B9" s="305" t="s">
        <v>400</v>
      </c>
      <c r="C9" s="307"/>
      <c r="Q9" s="304"/>
      <c r="S9" s="304"/>
    </row>
    <row r="10" spans="2:19">
      <c r="B10" s="305" t="s">
        <v>401</v>
      </c>
      <c r="C10" s="308"/>
      <c r="Q10" s="304"/>
      <c r="S10" s="304"/>
    </row>
    <row r="11" spans="2:19">
      <c r="B11" s="302" t="s">
        <v>402</v>
      </c>
      <c r="C11" s="309"/>
      <c r="Q11" s="304"/>
      <c r="S11" s="304"/>
    </row>
    <row r="12" spans="2:19">
      <c r="B12" s="302" t="s">
        <v>403</v>
      </c>
      <c r="C12" s="310" t="str">
        <f>'[2]Revenue Projections &amp; Cases'!D6</f>
        <v>Base case</v>
      </c>
      <c r="H12" s="10"/>
      <c r="Q12" s="304"/>
      <c r="S12" s="304"/>
    </row>
    <row r="13" spans="2:19">
      <c r="B13" s="311" t="s">
        <v>404</v>
      </c>
      <c r="C13" s="312"/>
      <c r="D13" s="313"/>
      <c r="E13" s="313"/>
      <c r="F13" s="313"/>
      <c r="G13" s="313"/>
      <c r="H13" s="313"/>
      <c r="I13" s="313"/>
      <c r="J13" s="313"/>
      <c r="K13" s="313"/>
      <c r="L13" s="313"/>
      <c r="M13" s="313"/>
      <c r="N13" s="313"/>
      <c r="O13" s="313"/>
      <c r="P13" s="313"/>
      <c r="Q13" s="314"/>
      <c r="R13" s="313"/>
      <c r="S13" s="314"/>
    </row>
    <row r="14" spans="2:19" ht="5.0999999999999996" customHeight="1"/>
    <row r="15" spans="2:19">
      <c r="B15" s="1" t="s">
        <v>85</v>
      </c>
      <c r="C15" s="2" t="s">
        <v>368</v>
      </c>
      <c r="D15" s="2"/>
      <c r="E15" s="2"/>
      <c r="F15" s="2"/>
      <c r="G15" s="2"/>
      <c r="H15" s="2"/>
      <c r="I15" s="1"/>
      <c r="J15" s="2" t="s">
        <v>369</v>
      </c>
      <c r="K15" s="1"/>
      <c r="L15" s="2" t="s">
        <v>370</v>
      </c>
      <c r="M15" s="147"/>
      <c r="N15" s="147"/>
      <c r="O15" s="147"/>
      <c r="P15" s="147"/>
      <c r="Q15" s="2"/>
      <c r="R15" s="103"/>
      <c r="S15" s="2" t="s">
        <v>369</v>
      </c>
    </row>
    <row r="16" spans="2:19">
      <c r="B16" s="6" t="s">
        <v>405</v>
      </c>
      <c r="C16" s="220">
        <f>'[2]Historical Financials'!G7</f>
        <v>2020</v>
      </c>
      <c r="D16" s="220">
        <f>'[2]Historical Financials'!H7</f>
        <v>2021</v>
      </c>
      <c r="E16" s="220">
        <f>'[2]Historical Financials'!I7</f>
        <v>2022</v>
      </c>
      <c r="F16" s="220">
        <f>'[2]Historical Financials'!J7</f>
        <v>2023</v>
      </c>
      <c r="G16" s="220">
        <f>'[2]Historical Financials'!K7</f>
        <v>2024</v>
      </c>
      <c r="H16" s="220">
        <f>'[2]Historical Financials'!L7</f>
        <v>2025</v>
      </c>
      <c r="I16" s="6"/>
      <c r="J16" s="315" t="s">
        <v>371</v>
      </c>
      <c r="K16" s="6"/>
      <c r="L16" s="224">
        <f>H16+1</f>
        <v>2026</v>
      </c>
      <c r="M16" s="224">
        <f>+L16+1</f>
        <v>2027</v>
      </c>
      <c r="N16" s="224">
        <f>+M16+1</f>
        <v>2028</v>
      </c>
      <c r="O16" s="224">
        <f>+N16+1</f>
        <v>2029</v>
      </c>
      <c r="P16" s="224">
        <f>+O16+1</f>
        <v>2030</v>
      </c>
      <c r="Q16" s="224">
        <f>+P16+1</f>
        <v>2031</v>
      </c>
      <c r="R16" s="315"/>
      <c r="S16" s="315" t="s">
        <v>372</v>
      </c>
    </row>
    <row r="17" spans="2:20">
      <c r="B17" s="6" t="s">
        <v>406</v>
      </c>
      <c r="C17" s="148">
        <f>'[2]Historical Financials'!G8</f>
        <v>44104</v>
      </c>
      <c r="D17" s="148">
        <f>'[2]Historical Financials'!H8</f>
        <v>44469</v>
      </c>
      <c r="E17" s="148">
        <f>'[2]Historical Financials'!I8</f>
        <v>44834</v>
      </c>
      <c r="F17" s="148">
        <f>'[2]Historical Financials'!J8</f>
        <v>45192</v>
      </c>
      <c r="G17" s="148">
        <f>'[2]Historical Financials'!K8</f>
        <v>45559</v>
      </c>
      <c r="H17" s="148">
        <f>'[2]Historical Financials'!L8</f>
        <v>45927</v>
      </c>
      <c r="I17" s="6"/>
      <c r="J17" s="3">
        <f>H17</f>
        <v>45927</v>
      </c>
      <c r="K17" s="6"/>
      <c r="L17" s="148">
        <f>EOMONTH(H17,12)</f>
        <v>46295</v>
      </c>
      <c r="M17" s="148">
        <f>EOMONTH(L17,12)</f>
        <v>46660</v>
      </c>
      <c r="N17" s="148">
        <f>EOMONTH(M17,12)</f>
        <v>47026</v>
      </c>
      <c r="O17" s="148">
        <f>EOMONTH(N17,12)</f>
        <v>47391</v>
      </c>
      <c r="P17" s="148">
        <f>EOMONTH(O17,12)</f>
        <v>47756</v>
      </c>
      <c r="Q17" s="148">
        <f>EOMONTH(P17,12)</f>
        <v>48121</v>
      </c>
      <c r="R17" s="3"/>
      <c r="S17" s="3">
        <f>Q17</f>
        <v>48121</v>
      </c>
    </row>
    <row r="18" spans="2:20" ht="5.0999999999999996" customHeight="1"/>
    <row r="19" spans="2:20">
      <c r="B19" s="8" t="str">
        <f>'[2]Revenue Drivers'!B9</f>
        <v>iPhone Revenue</v>
      </c>
      <c r="C19" s="316"/>
      <c r="D19" s="316"/>
      <c r="E19" s="316"/>
      <c r="F19" s="316"/>
      <c r="G19" s="316"/>
      <c r="H19" s="316"/>
      <c r="J19" s="225"/>
      <c r="L19" s="316"/>
      <c r="M19" s="316"/>
      <c r="N19" s="316"/>
      <c r="O19" s="316"/>
      <c r="P19" s="316"/>
      <c r="Q19" s="316"/>
      <c r="S19" s="225" t="e">
        <f>((Q19/L19)^(1/COUNT(M19:Q19))-1)</f>
        <v>#DIV/0!</v>
      </c>
      <c r="T19" s="8" t="s">
        <v>407</v>
      </c>
    </row>
    <row r="20" spans="2:20">
      <c r="B20" s="8" t="str">
        <f>'[2]Revenue Drivers'!B10</f>
        <v>Mac Revenue</v>
      </c>
      <c r="C20" s="316"/>
      <c r="D20" s="316"/>
      <c r="E20" s="316"/>
      <c r="F20" s="316"/>
      <c r="G20" s="316"/>
      <c r="H20" s="316"/>
      <c r="J20" s="225"/>
      <c r="L20" s="316"/>
      <c r="M20" s="316"/>
      <c r="N20" s="316"/>
      <c r="O20" s="316"/>
      <c r="P20" s="316"/>
      <c r="Q20" s="316"/>
      <c r="S20" s="225" t="e">
        <f t="shared" ref="S20:S24" si="0">((Q20/L20)^(1/COUNT(M20:Q20))-1)</f>
        <v>#DIV/0!</v>
      </c>
      <c r="T20" s="8" t="s">
        <v>407</v>
      </c>
    </row>
    <row r="21" spans="2:20">
      <c r="B21" s="8" t="str">
        <f>'[2]Revenue Drivers'!B11</f>
        <v>iPad Revenue</v>
      </c>
      <c r="C21" s="316"/>
      <c r="D21" s="316"/>
      <c r="E21" s="316"/>
      <c r="F21" s="316"/>
      <c r="G21" s="316"/>
      <c r="H21" s="316"/>
      <c r="J21" s="225"/>
      <c r="L21" s="316"/>
      <c r="M21" s="316"/>
      <c r="N21" s="316"/>
      <c r="O21" s="316"/>
      <c r="P21" s="316"/>
      <c r="Q21" s="316"/>
      <c r="S21" s="225" t="e">
        <f t="shared" si="0"/>
        <v>#DIV/0!</v>
      </c>
      <c r="T21" s="8" t="s">
        <v>407</v>
      </c>
    </row>
    <row r="22" spans="2:20">
      <c r="B22" s="8" t="str">
        <f>'[2]Revenue Drivers'!B12</f>
        <v>Services Revenue</v>
      </c>
      <c r="C22" s="316"/>
      <c r="D22" s="316"/>
      <c r="E22" s="316"/>
      <c r="F22" s="316"/>
      <c r="G22" s="316"/>
      <c r="H22" s="316"/>
      <c r="J22" s="225"/>
      <c r="L22" s="316"/>
      <c r="M22" s="316"/>
      <c r="N22" s="316"/>
      <c r="O22" s="316"/>
      <c r="P22" s="316"/>
      <c r="Q22" s="316"/>
      <c r="S22" s="225" t="e">
        <f t="shared" si="0"/>
        <v>#DIV/0!</v>
      </c>
      <c r="T22" s="8" t="s">
        <v>407</v>
      </c>
    </row>
    <row r="23" spans="2:20">
      <c r="B23" s="8" t="str">
        <f>'[2]Revenue Drivers'!B13</f>
        <v>Wearables, Home, and Accessories Revenue</v>
      </c>
      <c r="C23" s="316"/>
      <c r="D23" s="316"/>
      <c r="E23" s="316"/>
      <c r="F23" s="316"/>
      <c r="G23" s="316"/>
      <c r="H23" s="316"/>
      <c r="J23" s="225"/>
      <c r="L23" s="316"/>
      <c r="M23" s="316"/>
      <c r="N23" s="316"/>
      <c r="O23" s="316"/>
      <c r="P23" s="316"/>
      <c r="Q23" s="316"/>
      <c r="S23" s="225" t="e">
        <f t="shared" si="0"/>
        <v>#DIV/0!</v>
      </c>
      <c r="T23" s="8" t="s">
        <v>407</v>
      </c>
    </row>
    <row r="24" spans="2:20">
      <c r="B24" s="317" t="s">
        <v>12</v>
      </c>
      <c r="C24" s="318">
        <f t="shared" ref="C24:H24" si="1">SUM(C19:C23)</f>
        <v>0</v>
      </c>
      <c r="D24" s="318">
        <f t="shared" si="1"/>
        <v>0</v>
      </c>
      <c r="E24" s="318">
        <f t="shared" si="1"/>
        <v>0</v>
      </c>
      <c r="F24" s="318">
        <f t="shared" si="1"/>
        <v>0</v>
      </c>
      <c r="G24" s="318">
        <f t="shared" si="1"/>
        <v>0</v>
      </c>
      <c r="H24" s="318">
        <f t="shared" si="1"/>
        <v>0</v>
      </c>
      <c r="J24" s="226" t="e">
        <f t="shared" ref="J19:J24" si="2">((H24/C24)^(1/COUNT(D24:H24))-1)</f>
        <v>#DIV/0!</v>
      </c>
      <c r="L24" s="318">
        <f t="shared" ref="L24:Q24" si="3">SUM(L19:L23)</f>
        <v>0</v>
      </c>
      <c r="M24" s="318">
        <f t="shared" si="3"/>
        <v>0</v>
      </c>
      <c r="N24" s="318">
        <f t="shared" si="3"/>
        <v>0</v>
      </c>
      <c r="O24" s="318">
        <f t="shared" si="3"/>
        <v>0</v>
      </c>
      <c r="P24" s="318">
        <f t="shared" si="3"/>
        <v>0</v>
      </c>
      <c r="Q24" s="318">
        <f t="shared" si="3"/>
        <v>0</v>
      </c>
      <c r="S24" s="226" t="e">
        <f t="shared" si="0"/>
        <v>#DIV/0!</v>
      </c>
    </row>
    <row r="25" spans="2:20" ht="5.0999999999999996" customHeight="1">
      <c r="C25" s="316"/>
      <c r="D25" s="316"/>
      <c r="E25" s="316"/>
      <c r="F25" s="316"/>
      <c r="G25" s="316"/>
      <c r="H25" s="316"/>
      <c r="J25" s="225"/>
      <c r="L25" s="319"/>
      <c r="M25" s="319"/>
      <c r="N25" s="319"/>
      <c r="O25" s="319"/>
      <c r="P25" s="319"/>
      <c r="Q25" s="319"/>
      <c r="S25" s="225"/>
    </row>
    <row r="26" spans="2:20">
      <c r="B26" s="8" t="s">
        <v>408</v>
      </c>
      <c r="C26" s="316"/>
      <c r="D26" s="316"/>
      <c r="E26" s="316"/>
      <c r="F26" s="316"/>
      <c r="G26" s="316"/>
      <c r="H26" s="316"/>
      <c r="J26" s="225" t="e">
        <f>((H26/C26)^(1/COUNT(D26:H26))-1)</f>
        <v>#DIV/0!</v>
      </c>
      <c r="L26" s="319">
        <f>L27-L24</f>
        <v>0</v>
      </c>
      <c r="M26" s="319">
        <f t="shared" ref="M26:Q26" si="4">M27-M24</f>
        <v>0</v>
      </c>
      <c r="N26" s="319">
        <f t="shared" si="4"/>
        <v>0</v>
      </c>
      <c r="O26" s="319">
        <f t="shared" si="4"/>
        <v>0</v>
      </c>
      <c r="P26" s="319">
        <f t="shared" si="4"/>
        <v>0</v>
      </c>
      <c r="Q26" s="319">
        <f t="shared" si="4"/>
        <v>0</v>
      </c>
      <c r="S26" s="225" t="e">
        <f>((Q26/L26)^(1/COUNT(M26:Q26))-1)</f>
        <v>#DIV/0!</v>
      </c>
    </row>
    <row r="27" spans="2:20">
      <c r="B27" s="36" t="s">
        <v>24</v>
      </c>
      <c r="C27" s="318">
        <f>+C26+C24</f>
        <v>0</v>
      </c>
      <c r="D27" s="318">
        <f t="shared" ref="D27:H27" si="5">+D26+D24</f>
        <v>0</v>
      </c>
      <c r="E27" s="318">
        <f t="shared" si="5"/>
        <v>0</v>
      </c>
      <c r="F27" s="318">
        <f t="shared" si="5"/>
        <v>0</v>
      </c>
      <c r="G27" s="318">
        <f t="shared" si="5"/>
        <v>0</v>
      </c>
      <c r="H27" s="318">
        <f t="shared" si="5"/>
        <v>0</v>
      </c>
      <c r="J27" s="226" t="e">
        <f>((H27/C27)^(1/COUNT(D27:H27))-1)</f>
        <v>#DIV/0!</v>
      </c>
      <c r="L27" s="318">
        <f>L58*L24</f>
        <v>0</v>
      </c>
      <c r="M27" s="318">
        <f t="shared" ref="M27:Q27" si="6">M58*M24</f>
        <v>0</v>
      </c>
      <c r="N27" s="318">
        <f t="shared" si="6"/>
        <v>0</v>
      </c>
      <c r="O27" s="318">
        <f t="shared" si="6"/>
        <v>0</v>
      </c>
      <c r="P27" s="318">
        <f t="shared" si="6"/>
        <v>0</v>
      </c>
      <c r="Q27" s="318">
        <f t="shared" si="6"/>
        <v>0</v>
      </c>
      <c r="S27" s="226" t="e">
        <f t="shared" ref="S27" si="7">((Q27/L27)^(1/COUNT(M27:Q27))-1)</f>
        <v>#DIV/0!</v>
      </c>
    </row>
    <row r="28" spans="2:20" ht="5.0999999999999996" customHeight="1">
      <c r="C28" s="320"/>
      <c r="D28" s="320"/>
      <c r="E28" s="320"/>
      <c r="F28" s="320"/>
      <c r="G28" s="320"/>
      <c r="H28" s="320"/>
      <c r="L28" s="320"/>
      <c r="M28" s="320"/>
      <c r="N28" s="320"/>
      <c r="O28" s="320"/>
      <c r="P28" s="320"/>
      <c r="Q28" s="320"/>
      <c r="S28" s="225"/>
    </row>
    <row r="29" spans="2:20">
      <c r="B29" s="8" t="s">
        <v>409</v>
      </c>
      <c r="C29" s="316"/>
      <c r="D29" s="316"/>
      <c r="E29" s="316"/>
      <c r="F29" s="316"/>
      <c r="G29" s="316"/>
      <c r="H29" s="316"/>
      <c r="J29" s="225" t="e">
        <f t="shared" ref="J29:J42" si="8">((H29/C29)^(1/COUNT(D29:H29))-1)</f>
        <v>#DIV/0!</v>
      </c>
      <c r="L29" s="319">
        <f t="shared" ref="L29:Q29" si="9">-(L24*L70)</f>
        <v>0</v>
      </c>
      <c r="M29" s="319">
        <f t="shared" si="9"/>
        <v>0</v>
      </c>
      <c r="N29" s="319">
        <f t="shared" si="9"/>
        <v>0</v>
      </c>
      <c r="O29" s="319">
        <f t="shared" si="9"/>
        <v>0</v>
      </c>
      <c r="P29" s="319">
        <f t="shared" si="9"/>
        <v>0</v>
      </c>
      <c r="Q29" s="319">
        <f t="shared" si="9"/>
        <v>0</v>
      </c>
      <c r="S29" s="225" t="e">
        <f t="shared" ref="S29:S45" si="10">((Q29/L29)^(1/COUNT(M29:Q29))-1)</f>
        <v>#DIV/0!</v>
      </c>
    </row>
    <row r="30" spans="2:20">
      <c r="B30" s="8" t="s">
        <v>410</v>
      </c>
      <c r="C30" s="316"/>
      <c r="D30" s="316"/>
      <c r="E30" s="316"/>
      <c r="F30" s="316"/>
      <c r="G30" s="316"/>
      <c r="H30" s="316"/>
      <c r="J30" s="225" t="e">
        <f t="shared" si="8"/>
        <v>#DIV/0!</v>
      </c>
      <c r="L30" s="319">
        <f t="shared" ref="L30:Q30" si="11">-(L24*L71)</f>
        <v>0</v>
      </c>
      <c r="M30" s="319">
        <f t="shared" si="11"/>
        <v>0</v>
      </c>
      <c r="N30" s="319">
        <f t="shared" si="11"/>
        <v>0</v>
      </c>
      <c r="O30" s="319">
        <f t="shared" si="11"/>
        <v>0</v>
      </c>
      <c r="P30" s="319">
        <f t="shared" si="11"/>
        <v>0</v>
      </c>
      <c r="Q30" s="319">
        <f t="shared" si="11"/>
        <v>0</v>
      </c>
      <c r="S30" s="225" t="e">
        <f t="shared" si="10"/>
        <v>#DIV/0!</v>
      </c>
    </row>
    <row r="31" spans="2:20">
      <c r="B31" s="36" t="s">
        <v>411</v>
      </c>
      <c r="C31" s="318">
        <f t="shared" ref="C31:H31" si="12">SUM(C29:C30)+C27</f>
        <v>0</v>
      </c>
      <c r="D31" s="318">
        <f t="shared" si="12"/>
        <v>0</v>
      </c>
      <c r="E31" s="318">
        <f t="shared" si="12"/>
        <v>0</v>
      </c>
      <c r="F31" s="318">
        <f t="shared" si="12"/>
        <v>0</v>
      </c>
      <c r="G31" s="318">
        <f t="shared" si="12"/>
        <v>0</v>
      </c>
      <c r="H31" s="318">
        <f t="shared" si="12"/>
        <v>0</v>
      </c>
      <c r="J31" s="226" t="e">
        <f t="shared" si="8"/>
        <v>#DIV/0!</v>
      </c>
      <c r="L31" s="318">
        <f t="shared" ref="L31:Q31" si="13">SUM(L29:L30)+L27</f>
        <v>0</v>
      </c>
      <c r="M31" s="318">
        <f t="shared" si="13"/>
        <v>0</v>
      </c>
      <c r="N31" s="318">
        <f t="shared" si="13"/>
        <v>0</v>
      </c>
      <c r="O31" s="318">
        <f t="shared" si="13"/>
        <v>0</v>
      </c>
      <c r="P31" s="318">
        <f t="shared" si="13"/>
        <v>0</v>
      </c>
      <c r="Q31" s="318">
        <f t="shared" si="13"/>
        <v>0</v>
      </c>
      <c r="S31" s="226" t="e">
        <f t="shared" si="10"/>
        <v>#DIV/0!</v>
      </c>
    </row>
    <row r="32" spans="2:20" ht="5.0999999999999996" customHeight="1"/>
    <row r="33" spans="2:20">
      <c r="B33" s="8" t="s">
        <v>104</v>
      </c>
      <c r="C33" s="321"/>
      <c r="D33" s="321"/>
      <c r="E33" s="321"/>
      <c r="F33" s="321"/>
      <c r="G33" s="321"/>
      <c r="H33" s="321"/>
      <c r="J33" s="225" t="e">
        <f t="shared" si="8"/>
        <v>#DIV/0!</v>
      </c>
      <c r="L33" s="322">
        <f>L207</f>
        <v>0</v>
      </c>
      <c r="M33" s="10">
        <f t="shared" ref="M33:Q33" si="14">M207</f>
        <v>0</v>
      </c>
      <c r="N33" s="10">
        <f t="shared" si="14"/>
        <v>0</v>
      </c>
      <c r="O33" s="10">
        <f t="shared" si="14"/>
        <v>0</v>
      </c>
      <c r="P33" s="10">
        <f t="shared" si="14"/>
        <v>0</v>
      </c>
      <c r="Q33" s="10">
        <f t="shared" si="14"/>
        <v>0</v>
      </c>
      <c r="S33" s="225" t="e">
        <f t="shared" si="10"/>
        <v>#DIV/0!</v>
      </c>
      <c r="T33" s="8" t="s">
        <v>412</v>
      </c>
    </row>
    <row r="34" spans="2:20">
      <c r="B34" s="8" t="s">
        <v>90</v>
      </c>
      <c r="C34" s="321"/>
      <c r="D34" s="321"/>
      <c r="E34" s="321"/>
      <c r="F34" s="321"/>
      <c r="G34" s="321"/>
      <c r="H34" s="321"/>
      <c r="J34" s="225" t="e">
        <f t="shared" si="8"/>
        <v>#DIV/0!</v>
      </c>
      <c r="L34" s="10" t="e">
        <f>-L193</f>
        <v>#DIV/0!</v>
      </c>
      <c r="M34" s="10" t="e">
        <f t="shared" ref="M34:Q34" si="15">-M193</f>
        <v>#DIV/0!</v>
      </c>
      <c r="N34" s="10" t="e">
        <f t="shared" si="15"/>
        <v>#DIV/0!</v>
      </c>
      <c r="O34" s="10" t="e">
        <f t="shared" si="15"/>
        <v>#DIV/0!</v>
      </c>
      <c r="P34" s="10" t="e">
        <f t="shared" si="15"/>
        <v>#DIV/0!</v>
      </c>
      <c r="Q34" s="10" t="e">
        <f t="shared" si="15"/>
        <v>#DIV/0!</v>
      </c>
      <c r="S34" s="225" t="e">
        <f t="shared" si="10"/>
        <v>#DIV/0!</v>
      </c>
      <c r="T34" s="8" t="s">
        <v>413</v>
      </c>
    </row>
    <row r="35" spans="2:20">
      <c r="B35" s="8" t="s">
        <v>414</v>
      </c>
      <c r="C35" s="321"/>
      <c r="D35" s="321"/>
      <c r="E35" s="321"/>
      <c r="F35" s="321"/>
      <c r="G35" s="321"/>
      <c r="H35" s="321"/>
      <c r="J35" s="225" t="e">
        <f t="shared" si="8"/>
        <v>#DIV/0!</v>
      </c>
      <c r="L35" s="10" t="e">
        <f>AVERAGE(F35:H35)</f>
        <v>#DIV/0!</v>
      </c>
      <c r="M35" s="10" t="e">
        <f>L35</f>
        <v>#DIV/0!</v>
      </c>
      <c r="N35" s="10" t="e">
        <f>M35</f>
        <v>#DIV/0!</v>
      </c>
      <c r="O35" s="10" t="e">
        <f>N35</f>
        <v>#DIV/0!</v>
      </c>
      <c r="P35" s="10" t="e">
        <f>O35</f>
        <v>#DIV/0!</v>
      </c>
      <c r="Q35" s="10" t="e">
        <f>P35</f>
        <v>#DIV/0!</v>
      </c>
      <c r="S35" s="225" t="e">
        <f t="shared" si="10"/>
        <v>#DIV/0!</v>
      </c>
      <c r="T35" s="8" t="s">
        <v>415</v>
      </c>
    </row>
    <row r="36" spans="2:20">
      <c r="B36" s="36" t="s">
        <v>416</v>
      </c>
      <c r="C36" s="318">
        <f t="shared" ref="C36:H36" si="16">SUM(C33:C35)+C31</f>
        <v>0</v>
      </c>
      <c r="D36" s="318">
        <f t="shared" si="16"/>
        <v>0</v>
      </c>
      <c r="E36" s="318">
        <f t="shared" si="16"/>
        <v>0</v>
      </c>
      <c r="F36" s="318">
        <f t="shared" si="16"/>
        <v>0</v>
      </c>
      <c r="G36" s="318">
        <f t="shared" si="16"/>
        <v>0</v>
      </c>
      <c r="H36" s="318">
        <f t="shared" si="16"/>
        <v>0</v>
      </c>
      <c r="J36" s="226" t="e">
        <f t="shared" si="8"/>
        <v>#DIV/0!</v>
      </c>
      <c r="L36" s="318" t="e">
        <f t="shared" ref="L36:Q36" si="17">SUM(L33:L35)+L31</f>
        <v>#DIV/0!</v>
      </c>
      <c r="M36" s="318" t="e">
        <f t="shared" si="17"/>
        <v>#DIV/0!</v>
      </c>
      <c r="N36" s="318" t="e">
        <f t="shared" si="17"/>
        <v>#DIV/0!</v>
      </c>
      <c r="O36" s="318" t="e">
        <f t="shared" si="17"/>
        <v>#DIV/0!</v>
      </c>
      <c r="P36" s="318" t="e">
        <f t="shared" si="17"/>
        <v>#DIV/0!</v>
      </c>
      <c r="Q36" s="318" t="e">
        <f t="shared" si="17"/>
        <v>#DIV/0!</v>
      </c>
      <c r="S36" s="226" t="e">
        <f t="shared" si="10"/>
        <v>#DIV/0!</v>
      </c>
    </row>
    <row r="37" spans="2:20" ht="5.0999999999999996" customHeight="1">
      <c r="B37" s="36"/>
      <c r="C37" s="36"/>
      <c r="D37" s="36"/>
      <c r="E37" s="36"/>
      <c r="F37" s="36"/>
      <c r="G37" s="36"/>
      <c r="H37" s="36"/>
      <c r="I37" s="36"/>
      <c r="J37" s="36"/>
      <c r="K37" s="36"/>
      <c r="L37" s="36"/>
      <c r="M37" s="36"/>
      <c r="N37" s="36"/>
      <c r="O37" s="36"/>
      <c r="P37" s="36"/>
      <c r="Q37" s="36"/>
      <c r="S37" s="323"/>
    </row>
    <row r="38" spans="2:20">
      <c r="B38" s="8" t="s">
        <v>417</v>
      </c>
      <c r="C38" s="316"/>
      <c r="D38" s="316"/>
      <c r="E38" s="316"/>
      <c r="F38" s="316"/>
      <c r="G38" s="316"/>
      <c r="H38" s="316"/>
      <c r="J38" s="225" t="e">
        <f t="shared" si="8"/>
        <v>#DIV/0!</v>
      </c>
      <c r="L38" s="319" t="e">
        <f t="shared" ref="L38:Q38" si="18">-(L36*L60)</f>
        <v>#DIV/0!</v>
      </c>
      <c r="M38" s="319" t="e">
        <f t="shared" si="18"/>
        <v>#DIV/0!</v>
      </c>
      <c r="N38" s="319" t="e">
        <f t="shared" si="18"/>
        <v>#DIV/0!</v>
      </c>
      <c r="O38" s="319" t="e">
        <f t="shared" si="18"/>
        <v>#DIV/0!</v>
      </c>
      <c r="P38" s="319" t="e">
        <f t="shared" si="18"/>
        <v>#DIV/0!</v>
      </c>
      <c r="Q38" s="319" t="e">
        <f t="shared" si="18"/>
        <v>#DIV/0!</v>
      </c>
      <c r="S38" s="225" t="e">
        <f t="shared" si="10"/>
        <v>#DIV/0!</v>
      </c>
    </row>
    <row r="39" spans="2:20">
      <c r="B39" s="36" t="s">
        <v>418</v>
      </c>
      <c r="C39" s="318">
        <f t="shared" ref="C39:H39" si="19">+C36+C38</f>
        <v>0</v>
      </c>
      <c r="D39" s="318">
        <f t="shared" si="19"/>
        <v>0</v>
      </c>
      <c r="E39" s="318">
        <f t="shared" si="19"/>
        <v>0</v>
      </c>
      <c r="F39" s="318">
        <f t="shared" si="19"/>
        <v>0</v>
      </c>
      <c r="G39" s="318">
        <f t="shared" si="19"/>
        <v>0</v>
      </c>
      <c r="H39" s="318">
        <f t="shared" si="19"/>
        <v>0</v>
      </c>
      <c r="J39" s="226" t="e">
        <f t="shared" si="8"/>
        <v>#DIV/0!</v>
      </c>
      <c r="L39" s="318" t="e">
        <f t="shared" ref="L39:Q39" si="20">+L36+L38</f>
        <v>#DIV/0!</v>
      </c>
      <c r="M39" s="318" t="e">
        <f t="shared" si="20"/>
        <v>#DIV/0!</v>
      </c>
      <c r="N39" s="318" t="e">
        <f t="shared" si="20"/>
        <v>#DIV/0!</v>
      </c>
      <c r="O39" s="318" t="e">
        <f t="shared" si="20"/>
        <v>#DIV/0!</v>
      </c>
      <c r="P39" s="318" t="e">
        <f t="shared" si="20"/>
        <v>#DIV/0!</v>
      </c>
      <c r="Q39" s="318" t="e">
        <f t="shared" si="20"/>
        <v>#DIV/0!</v>
      </c>
      <c r="S39" s="226" t="e">
        <f t="shared" si="10"/>
        <v>#DIV/0!</v>
      </c>
    </row>
    <row r="40" spans="2:20" ht="5.0999999999999996" customHeight="1">
      <c r="B40" s="36"/>
      <c r="C40" s="324"/>
      <c r="D40" s="324"/>
      <c r="E40" s="324"/>
      <c r="F40" s="324"/>
      <c r="G40" s="324"/>
      <c r="H40" s="324"/>
      <c r="I40" s="36"/>
      <c r="J40" s="36"/>
      <c r="K40" s="36"/>
      <c r="L40" s="324"/>
      <c r="M40" s="324"/>
      <c r="N40" s="324"/>
      <c r="O40" s="324"/>
      <c r="P40" s="324"/>
      <c r="Q40" s="324"/>
      <c r="S40" s="325"/>
    </row>
    <row r="41" spans="2:20">
      <c r="B41" s="8" t="s">
        <v>419</v>
      </c>
      <c r="C41" s="316"/>
      <c r="D41" s="316"/>
      <c r="E41" s="316"/>
      <c r="F41" s="316"/>
      <c r="G41" s="316"/>
      <c r="H41" s="316"/>
      <c r="J41" s="225" t="e">
        <f t="shared" si="8"/>
        <v>#DIV/0!</v>
      </c>
      <c r="L41" s="319" t="e">
        <f>L163</f>
        <v>#DIV/0!</v>
      </c>
      <c r="M41" s="319" t="e">
        <f t="shared" ref="M41:Q41" si="21">M163</f>
        <v>#DIV/0!</v>
      </c>
      <c r="N41" s="319" t="e">
        <f t="shared" si="21"/>
        <v>#DIV/0!</v>
      </c>
      <c r="O41" s="319" t="e">
        <f t="shared" si="21"/>
        <v>#DIV/0!</v>
      </c>
      <c r="P41" s="319" t="e">
        <f t="shared" si="21"/>
        <v>#DIV/0!</v>
      </c>
      <c r="Q41" s="319" t="e">
        <f t="shared" si="21"/>
        <v>#DIV/0!</v>
      </c>
      <c r="S41" s="225" t="e">
        <f t="shared" si="10"/>
        <v>#DIV/0!</v>
      </c>
      <c r="T41" s="8" t="s">
        <v>420</v>
      </c>
    </row>
    <row r="42" spans="2:20">
      <c r="B42" s="36" t="s">
        <v>11</v>
      </c>
      <c r="C42" s="318">
        <f t="shared" ref="C42:H42" si="22">+C31+C41</f>
        <v>0</v>
      </c>
      <c r="D42" s="318">
        <f t="shared" si="22"/>
        <v>0</v>
      </c>
      <c r="E42" s="318">
        <f t="shared" si="22"/>
        <v>0</v>
      </c>
      <c r="F42" s="318">
        <f t="shared" si="22"/>
        <v>0</v>
      </c>
      <c r="G42" s="318">
        <f t="shared" si="22"/>
        <v>0</v>
      </c>
      <c r="H42" s="318">
        <f t="shared" si="22"/>
        <v>0</v>
      </c>
      <c r="J42" s="226" t="e">
        <f t="shared" si="8"/>
        <v>#DIV/0!</v>
      </c>
      <c r="L42" s="318" t="e">
        <f t="shared" ref="L42:Q42" si="23">+L31+L41</f>
        <v>#DIV/0!</v>
      </c>
      <c r="M42" s="318" t="e">
        <f t="shared" si="23"/>
        <v>#DIV/0!</v>
      </c>
      <c r="N42" s="318" t="e">
        <f t="shared" si="23"/>
        <v>#DIV/0!</v>
      </c>
      <c r="O42" s="318" t="e">
        <f t="shared" si="23"/>
        <v>#DIV/0!</v>
      </c>
      <c r="P42" s="318" t="e">
        <f t="shared" si="23"/>
        <v>#DIV/0!</v>
      </c>
      <c r="Q42" s="318" t="e">
        <f t="shared" si="23"/>
        <v>#DIV/0!</v>
      </c>
      <c r="S42" s="226" t="e">
        <f t="shared" si="10"/>
        <v>#DIV/0!</v>
      </c>
    </row>
    <row r="43" spans="2:20" ht="5.0999999999999996" customHeight="1">
      <c r="B43" s="36"/>
      <c r="C43" s="324"/>
      <c r="D43" s="324"/>
      <c r="E43" s="324"/>
      <c r="F43" s="324"/>
      <c r="G43" s="324"/>
      <c r="H43" s="324"/>
      <c r="I43" s="36"/>
      <c r="J43" s="226"/>
      <c r="K43" s="36"/>
      <c r="L43" s="324"/>
      <c r="M43" s="324"/>
      <c r="N43" s="324"/>
      <c r="O43" s="324"/>
      <c r="P43" s="324"/>
      <c r="Q43" s="324"/>
      <c r="S43" s="226"/>
    </row>
    <row r="44" spans="2:20">
      <c r="B44" s="8" t="s">
        <v>421</v>
      </c>
      <c r="C44" s="316"/>
      <c r="D44" s="316"/>
      <c r="E44" s="316"/>
      <c r="F44" s="316"/>
      <c r="G44" s="316"/>
      <c r="H44" s="316"/>
      <c r="J44" s="225" t="e">
        <f>((H44/C44)^(1/COUNT(D44:H44))-1)</f>
        <v>#DIV/0!</v>
      </c>
      <c r="L44" s="319">
        <f>(L50*H44)+H44</f>
        <v>0</v>
      </c>
      <c r="M44" s="319">
        <f>(M50*L44)+L44</f>
        <v>0</v>
      </c>
      <c r="N44" s="319">
        <f t="shared" ref="N44:Q44" si="24">(N50*M44)+M44</f>
        <v>0</v>
      </c>
      <c r="O44" s="319">
        <f t="shared" si="24"/>
        <v>0</v>
      </c>
      <c r="P44" s="319">
        <f t="shared" si="24"/>
        <v>0</v>
      </c>
      <c r="Q44" s="319">
        <f t="shared" si="24"/>
        <v>0</v>
      </c>
      <c r="S44" s="225" t="e">
        <f t="shared" si="10"/>
        <v>#DIV/0!</v>
      </c>
      <c r="T44" s="8" t="s">
        <v>422</v>
      </c>
    </row>
    <row r="45" spans="2:20">
      <c r="B45" s="36" t="s">
        <v>42</v>
      </c>
      <c r="C45" s="318">
        <f t="shared" ref="C45:G45" si="25">+C42+C44</f>
        <v>0</v>
      </c>
      <c r="D45" s="318">
        <f t="shared" si="25"/>
        <v>0</v>
      </c>
      <c r="E45" s="318">
        <f t="shared" si="25"/>
        <v>0</v>
      </c>
      <c r="F45" s="318">
        <f t="shared" si="25"/>
        <v>0</v>
      </c>
      <c r="G45" s="318">
        <f t="shared" si="25"/>
        <v>0</v>
      </c>
      <c r="H45" s="318">
        <f>+H42+H44</f>
        <v>0</v>
      </c>
      <c r="J45" s="226" t="e">
        <f>((H45/C45)^(1/COUNT(D45:H45))-1)</f>
        <v>#DIV/0!</v>
      </c>
      <c r="L45" s="318" t="e">
        <f t="shared" ref="L45:Q45" si="26">+L42+L44</f>
        <v>#DIV/0!</v>
      </c>
      <c r="M45" s="318" t="e">
        <f t="shared" si="26"/>
        <v>#DIV/0!</v>
      </c>
      <c r="N45" s="318" t="e">
        <f t="shared" si="26"/>
        <v>#DIV/0!</v>
      </c>
      <c r="O45" s="318" t="e">
        <f t="shared" si="26"/>
        <v>#DIV/0!</v>
      </c>
      <c r="P45" s="318" t="e">
        <f t="shared" si="26"/>
        <v>#DIV/0!</v>
      </c>
      <c r="Q45" s="318" t="e">
        <f t="shared" si="26"/>
        <v>#DIV/0!</v>
      </c>
      <c r="S45" s="226" t="e">
        <f t="shared" si="10"/>
        <v>#DIV/0!</v>
      </c>
    </row>
    <row r="46" spans="2:20" ht="5.0999999999999996" customHeight="1"/>
    <row r="47" spans="2:20">
      <c r="B47" s="326" t="s">
        <v>423</v>
      </c>
      <c r="C47" s="327"/>
      <c r="D47" s="327"/>
      <c r="E47" s="327"/>
      <c r="F47" s="327"/>
      <c r="G47" s="327"/>
      <c r="H47" s="327"/>
      <c r="I47" s="327"/>
      <c r="J47" s="327"/>
      <c r="K47" s="327"/>
      <c r="L47" s="327"/>
      <c r="M47" s="327"/>
      <c r="N47" s="327"/>
      <c r="O47" s="327"/>
      <c r="P47" s="327"/>
      <c r="Q47" s="327"/>
    </row>
    <row r="48" spans="2:20" ht="5.0999999999999996" customHeight="1">
      <c r="B48" s="328"/>
      <c r="Q48" s="304"/>
    </row>
    <row r="49" spans="2:20">
      <c r="B49" s="329" t="s">
        <v>424</v>
      </c>
      <c r="Q49" s="304"/>
    </row>
    <row r="50" spans="2:20">
      <c r="B50" s="330" t="s">
        <v>425</v>
      </c>
      <c r="C50" s="331" t="s">
        <v>36</v>
      </c>
      <c r="D50" s="331" t="e">
        <f>SUM(D24/C24)-1</f>
        <v>#DIV/0!</v>
      </c>
      <c r="E50" s="331" t="e">
        <f>SUM(E24/D24)-1</f>
        <v>#DIV/0!</v>
      </c>
      <c r="F50" s="331" t="e">
        <f>SUM(F24/E24)-1</f>
        <v>#DIV/0!</v>
      </c>
      <c r="G50" s="331" t="e">
        <f>SUM(G24/F24)-1</f>
        <v>#DIV/0!</v>
      </c>
      <c r="H50" s="331" t="e">
        <f>SUM(H24/G24)-1</f>
        <v>#DIV/0!</v>
      </c>
      <c r="L50" s="332"/>
      <c r="M50" s="332"/>
      <c r="N50" s="332"/>
      <c r="O50" s="332"/>
      <c r="P50" s="332"/>
      <c r="Q50" s="333"/>
      <c r="T50" s="8" t="s">
        <v>407</v>
      </c>
    </row>
    <row r="51" spans="2:20">
      <c r="B51" s="334" t="str">
        <f>B19</f>
        <v>iPhone Revenue</v>
      </c>
      <c r="C51" s="331" t="s">
        <v>36</v>
      </c>
      <c r="D51" s="331" t="e">
        <f>SUM(D19/C19)-1</f>
        <v>#DIV/0!</v>
      </c>
      <c r="E51" s="331" t="e">
        <f>SUM(E19/D19)-1</f>
        <v>#DIV/0!</v>
      </c>
      <c r="F51" s="331" t="e">
        <f>SUM(F19/E19)-1</f>
        <v>#DIV/0!</v>
      </c>
      <c r="G51" s="331" t="e">
        <f>SUM(G19/F19)-1</f>
        <v>#DIV/0!</v>
      </c>
      <c r="H51" s="331" t="e">
        <f>SUM(H19/G19)-1</f>
        <v>#DIV/0!</v>
      </c>
      <c r="L51" s="332"/>
      <c r="M51" s="332"/>
      <c r="N51" s="332"/>
      <c r="O51" s="332"/>
      <c r="P51" s="332"/>
      <c r="Q51" s="333"/>
      <c r="T51" s="8" t="s">
        <v>407</v>
      </c>
    </row>
    <row r="52" spans="2:20">
      <c r="B52" s="334" t="str">
        <f t="shared" ref="B52:B55" si="27">B20</f>
        <v>Mac Revenue</v>
      </c>
      <c r="C52" s="331" t="s">
        <v>36</v>
      </c>
      <c r="D52" s="331" t="e">
        <f t="shared" ref="D52:H55" si="28">SUM(D20/C20)-1</f>
        <v>#DIV/0!</v>
      </c>
      <c r="E52" s="331" t="e">
        <f t="shared" si="28"/>
        <v>#DIV/0!</v>
      </c>
      <c r="F52" s="331" t="e">
        <f t="shared" si="28"/>
        <v>#DIV/0!</v>
      </c>
      <c r="G52" s="331" t="e">
        <f t="shared" si="28"/>
        <v>#DIV/0!</v>
      </c>
      <c r="H52" s="331" t="e">
        <f t="shared" si="28"/>
        <v>#DIV/0!</v>
      </c>
      <c r="L52" s="332"/>
      <c r="M52" s="332"/>
      <c r="N52" s="332"/>
      <c r="O52" s="332"/>
      <c r="P52" s="332"/>
      <c r="Q52" s="333"/>
      <c r="T52" s="8" t="s">
        <v>407</v>
      </c>
    </row>
    <row r="53" spans="2:20">
      <c r="B53" s="334" t="str">
        <f t="shared" si="27"/>
        <v>iPad Revenue</v>
      </c>
      <c r="C53" s="331" t="s">
        <v>36</v>
      </c>
      <c r="D53" s="331" t="e">
        <f t="shared" si="28"/>
        <v>#DIV/0!</v>
      </c>
      <c r="E53" s="331" t="e">
        <f t="shared" si="28"/>
        <v>#DIV/0!</v>
      </c>
      <c r="F53" s="331" t="e">
        <f t="shared" si="28"/>
        <v>#DIV/0!</v>
      </c>
      <c r="G53" s="331" t="e">
        <f t="shared" si="28"/>
        <v>#DIV/0!</v>
      </c>
      <c r="H53" s="331" t="e">
        <f t="shared" si="28"/>
        <v>#DIV/0!</v>
      </c>
      <c r="L53" s="332"/>
      <c r="M53" s="332"/>
      <c r="N53" s="332"/>
      <c r="O53" s="332"/>
      <c r="P53" s="332"/>
      <c r="Q53" s="333"/>
      <c r="T53" s="8" t="s">
        <v>407</v>
      </c>
    </row>
    <row r="54" spans="2:20">
      <c r="B54" s="334" t="str">
        <f t="shared" si="27"/>
        <v>Services Revenue</v>
      </c>
      <c r="C54" s="331" t="s">
        <v>36</v>
      </c>
      <c r="D54" s="331" t="e">
        <f t="shared" si="28"/>
        <v>#DIV/0!</v>
      </c>
      <c r="E54" s="331" t="e">
        <f t="shared" si="28"/>
        <v>#DIV/0!</v>
      </c>
      <c r="F54" s="331" t="e">
        <f t="shared" si="28"/>
        <v>#DIV/0!</v>
      </c>
      <c r="G54" s="331" t="e">
        <f t="shared" si="28"/>
        <v>#DIV/0!</v>
      </c>
      <c r="H54" s="331" t="e">
        <f t="shared" si="28"/>
        <v>#DIV/0!</v>
      </c>
      <c r="L54" s="332"/>
      <c r="M54" s="332"/>
      <c r="N54" s="332"/>
      <c r="O54" s="332"/>
      <c r="P54" s="332"/>
      <c r="Q54" s="333"/>
      <c r="T54" s="8" t="s">
        <v>407</v>
      </c>
    </row>
    <row r="55" spans="2:20">
      <c r="B55" s="334" t="str">
        <f t="shared" si="27"/>
        <v>Wearables, Home, and Accessories Revenue</v>
      </c>
      <c r="C55" s="331" t="s">
        <v>36</v>
      </c>
      <c r="D55" s="331" t="e">
        <f t="shared" si="28"/>
        <v>#DIV/0!</v>
      </c>
      <c r="E55" s="331" t="e">
        <f t="shared" si="28"/>
        <v>#DIV/0!</v>
      </c>
      <c r="F55" s="331" t="e">
        <f t="shared" si="28"/>
        <v>#DIV/0!</v>
      </c>
      <c r="G55" s="331" t="e">
        <f t="shared" si="28"/>
        <v>#DIV/0!</v>
      </c>
      <c r="H55" s="331" t="e">
        <f t="shared" si="28"/>
        <v>#DIV/0!</v>
      </c>
      <c r="L55" s="332"/>
      <c r="M55" s="332"/>
      <c r="N55" s="332"/>
      <c r="O55" s="332"/>
      <c r="P55" s="332"/>
      <c r="Q55" s="333"/>
      <c r="T55" s="8" t="s">
        <v>407</v>
      </c>
    </row>
    <row r="56" spans="2:20" ht="5.0999999999999996" customHeight="1">
      <c r="B56" s="329"/>
      <c r="Q56" s="304"/>
    </row>
    <row r="57" spans="2:20">
      <c r="B57" s="329" t="s">
        <v>426</v>
      </c>
      <c r="Q57" s="304"/>
    </row>
    <row r="58" spans="2:20">
      <c r="B58" s="334" t="s">
        <v>427</v>
      </c>
      <c r="C58" s="331" t="e">
        <f>C27/C24</f>
        <v>#DIV/0!</v>
      </c>
      <c r="D58" s="331" t="e">
        <f t="shared" ref="D58:H58" si="29">D27/D24</f>
        <v>#DIV/0!</v>
      </c>
      <c r="E58" s="331" t="e">
        <f t="shared" si="29"/>
        <v>#DIV/0!</v>
      </c>
      <c r="F58" s="331" t="e">
        <f t="shared" si="29"/>
        <v>#DIV/0!</v>
      </c>
      <c r="G58" s="331" t="e">
        <f t="shared" si="29"/>
        <v>#DIV/0!</v>
      </c>
      <c r="H58" s="331" t="e">
        <f t="shared" si="29"/>
        <v>#DIV/0!</v>
      </c>
      <c r="L58" s="332"/>
      <c r="M58" s="332"/>
      <c r="N58" s="332"/>
      <c r="O58" s="332"/>
      <c r="P58" s="332"/>
      <c r="Q58" s="333"/>
      <c r="T58" s="8" t="s">
        <v>407</v>
      </c>
    </row>
    <row r="59" spans="2:20">
      <c r="B59" s="334" t="s">
        <v>428</v>
      </c>
      <c r="C59" s="331" t="e">
        <f>C31/C24</f>
        <v>#DIV/0!</v>
      </c>
      <c r="D59" s="331" t="e">
        <f t="shared" ref="D59:H59" si="30">D31/D24</f>
        <v>#DIV/0!</v>
      </c>
      <c r="E59" s="331" t="e">
        <f t="shared" si="30"/>
        <v>#DIV/0!</v>
      </c>
      <c r="F59" s="331" t="e">
        <f t="shared" si="30"/>
        <v>#DIV/0!</v>
      </c>
      <c r="G59" s="331" t="e">
        <f t="shared" si="30"/>
        <v>#DIV/0!</v>
      </c>
      <c r="H59" s="331" t="e">
        <f t="shared" si="30"/>
        <v>#DIV/0!</v>
      </c>
      <c r="L59" s="332"/>
      <c r="M59" s="332"/>
      <c r="N59" s="332"/>
      <c r="O59" s="332"/>
      <c r="P59" s="332"/>
      <c r="Q59" s="333"/>
      <c r="T59" s="8" t="s">
        <v>429</v>
      </c>
    </row>
    <row r="60" spans="2:20">
      <c r="B60" s="334" t="s">
        <v>430</v>
      </c>
      <c r="C60" s="331" t="e">
        <f>-C38/C36</f>
        <v>#DIV/0!</v>
      </c>
      <c r="D60" s="331" t="e">
        <f t="shared" ref="D60:H60" si="31">-D38/D36</f>
        <v>#DIV/0!</v>
      </c>
      <c r="E60" s="331" t="e">
        <f t="shared" si="31"/>
        <v>#DIV/0!</v>
      </c>
      <c r="F60" s="331" t="e">
        <f t="shared" si="31"/>
        <v>#DIV/0!</v>
      </c>
      <c r="G60" s="331" t="e">
        <f t="shared" si="31"/>
        <v>#DIV/0!</v>
      </c>
      <c r="H60" s="331" t="e">
        <f t="shared" si="31"/>
        <v>#DIV/0!</v>
      </c>
      <c r="L60" s="332"/>
      <c r="M60" s="332"/>
      <c r="N60" s="332"/>
      <c r="O60" s="332"/>
      <c r="P60" s="332"/>
      <c r="Q60" s="333"/>
      <c r="T60" s="8" t="s">
        <v>429</v>
      </c>
    </row>
    <row r="61" spans="2:20">
      <c r="B61" s="334" t="s">
        <v>431</v>
      </c>
      <c r="C61" s="331" t="e">
        <f>C42/C24</f>
        <v>#DIV/0!</v>
      </c>
      <c r="D61" s="331" t="e">
        <f t="shared" ref="D61:H61" si="32">D42/D24</f>
        <v>#DIV/0!</v>
      </c>
      <c r="E61" s="331" t="e">
        <f t="shared" si="32"/>
        <v>#DIV/0!</v>
      </c>
      <c r="F61" s="331" t="e">
        <f t="shared" si="32"/>
        <v>#DIV/0!</v>
      </c>
      <c r="G61" s="331" t="e">
        <f t="shared" si="32"/>
        <v>#DIV/0!</v>
      </c>
      <c r="H61" s="331" t="e">
        <f t="shared" si="32"/>
        <v>#DIV/0!</v>
      </c>
      <c r="L61" s="331" t="e">
        <f t="shared" ref="L61:Q61" si="33">L42/L24</f>
        <v>#DIV/0!</v>
      </c>
      <c r="M61" s="331" t="e">
        <f t="shared" si="33"/>
        <v>#DIV/0!</v>
      </c>
      <c r="N61" s="331" t="e">
        <f t="shared" si="33"/>
        <v>#DIV/0!</v>
      </c>
      <c r="O61" s="331" t="e">
        <f t="shared" si="33"/>
        <v>#DIV/0!</v>
      </c>
      <c r="P61" s="331" t="e">
        <f t="shared" si="33"/>
        <v>#DIV/0!</v>
      </c>
      <c r="Q61" s="335" t="e">
        <f t="shared" si="33"/>
        <v>#DIV/0!</v>
      </c>
    </row>
    <row r="62" spans="2:20">
      <c r="B62" s="334" t="s">
        <v>432</v>
      </c>
      <c r="C62" s="331" t="e">
        <f>C45/C24</f>
        <v>#DIV/0!</v>
      </c>
      <c r="D62" s="331" t="e">
        <f t="shared" ref="D62:H62" si="34">D45/D24</f>
        <v>#DIV/0!</v>
      </c>
      <c r="E62" s="331" t="e">
        <f t="shared" si="34"/>
        <v>#DIV/0!</v>
      </c>
      <c r="F62" s="331" t="e">
        <f t="shared" si="34"/>
        <v>#DIV/0!</v>
      </c>
      <c r="G62" s="331" t="e">
        <f t="shared" si="34"/>
        <v>#DIV/0!</v>
      </c>
      <c r="H62" s="331" t="e">
        <f t="shared" si="34"/>
        <v>#DIV/0!</v>
      </c>
      <c r="L62" s="331" t="e">
        <f t="shared" ref="L62:Q62" si="35">L45/L24</f>
        <v>#DIV/0!</v>
      </c>
      <c r="M62" s="331" t="e">
        <f t="shared" si="35"/>
        <v>#DIV/0!</v>
      </c>
      <c r="N62" s="331" t="e">
        <f t="shared" si="35"/>
        <v>#DIV/0!</v>
      </c>
      <c r="O62" s="331" t="e">
        <f t="shared" si="35"/>
        <v>#DIV/0!</v>
      </c>
      <c r="P62" s="331" t="e">
        <f t="shared" si="35"/>
        <v>#DIV/0!</v>
      </c>
      <c r="Q62" s="335" t="e">
        <f t="shared" si="35"/>
        <v>#DIV/0!</v>
      </c>
    </row>
    <row r="63" spans="2:20" ht="5.0999999999999996" customHeight="1">
      <c r="B63" s="334"/>
      <c r="C63" s="331"/>
      <c r="D63" s="331"/>
      <c r="E63" s="331"/>
      <c r="F63" s="331"/>
      <c r="G63" s="331"/>
      <c r="H63" s="331"/>
      <c r="Q63" s="304"/>
    </row>
    <row r="64" spans="2:20">
      <c r="B64" s="329" t="s">
        <v>433</v>
      </c>
      <c r="Q64" s="304"/>
    </row>
    <row r="65" spans="1:20">
      <c r="B65" s="334" t="s">
        <v>434</v>
      </c>
      <c r="C65" s="331" t="s">
        <v>36</v>
      </c>
      <c r="D65" s="331" t="e">
        <f>SUM(D26/C26)-1</f>
        <v>#DIV/0!</v>
      </c>
      <c r="E65" s="331" t="e">
        <f t="shared" ref="E65:H65" si="36">SUM(E26/D26)-1</f>
        <v>#DIV/0!</v>
      </c>
      <c r="F65" s="331" t="e">
        <f t="shared" si="36"/>
        <v>#DIV/0!</v>
      </c>
      <c r="G65" s="331" t="e">
        <f t="shared" si="36"/>
        <v>#DIV/0!</v>
      </c>
      <c r="H65" s="331" t="e">
        <f t="shared" si="36"/>
        <v>#DIV/0!</v>
      </c>
      <c r="L65" s="331" t="e">
        <f>SUM(L26/H26)-1</f>
        <v>#DIV/0!</v>
      </c>
      <c r="M65" s="331" t="e">
        <f>SUM(M26/L26)-1</f>
        <v>#DIV/0!</v>
      </c>
      <c r="N65" s="331" t="e">
        <f t="shared" ref="N65:Q65" si="37">SUM(N26/M26)-1</f>
        <v>#DIV/0!</v>
      </c>
      <c r="O65" s="331" t="e">
        <f t="shared" si="37"/>
        <v>#DIV/0!</v>
      </c>
      <c r="P65" s="331" t="e">
        <f t="shared" si="37"/>
        <v>#DIV/0!</v>
      </c>
      <c r="Q65" s="335" t="e">
        <f t="shared" si="37"/>
        <v>#DIV/0!</v>
      </c>
    </row>
    <row r="66" spans="1:20">
      <c r="B66" s="334" t="s">
        <v>435</v>
      </c>
      <c r="C66" s="331" t="s">
        <v>36</v>
      </c>
      <c r="D66" s="331" t="e">
        <f>SUM(D29/C29)-1</f>
        <v>#DIV/0!</v>
      </c>
      <c r="E66" s="331" t="e">
        <f t="shared" ref="E66:H67" si="38">SUM(E29/D29)-1</f>
        <v>#DIV/0!</v>
      </c>
      <c r="F66" s="331" t="e">
        <f t="shared" si="38"/>
        <v>#DIV/0!</v>
      </c>
      <c r="G66" s="331" t="e">
        <f t="shared" si="38"/>
        <v>#DIV/0!</v>
      </c>
      <c r="H66" s="331" t="e">
        <f t="shared" si="38"/>
        <v>#DIV/0!</v>
      </c>
      <c r="L66" s="331" t="e">
        <f>SUM(L29/H29)-1</f>
        <v>#DIV/0!</v>
      </c>
      <c r="M66" s="331" t="e">
        <f>SUM(M29/L29)-1</f>
        <v>#DIV/0!</v>
      </c>
      <c r="N66" s="331" t="e">
        <f t="shared" ref="N66:Q66" si="39">SUM(N29/M29)-1</f>
        <v>#DIV/0!</v>
      </c>
      <c r="O66" s="331" t="e">
        <f t="shared" si="39"/>
        <v>#DIV/0!</v>
      </c>
      <c r="P66" s="331" t="e">
        <f t="shared" si="39"/>
        <v>#DIV/0!</v>
      </c>
      <c r="Q66" s="335" t="e">
        <f t="shared" si="39"/>
        <v>#DIV/0!</v>
      </c>
    </row>
    <row r="67" spans="1:20">
      <c r="B67" s="334" t="s">
        <v>436</v>
      </c>
      <c r="C67" s="331" t="s">
        <v>36</v>
      </c>
      <c r="D67" s="331" t="e">
        <f>SUM(D30/C30)-1</f>
        <v>#DIV/0!</v>
      </c>
      <c r="E67" s="331" t="e">
        <f t="shared" si="38"/>
        <v>#DIV/0!</v>
      </c>
      <c r="F67" s="331" t="e">
        <f t="shared" si="38"/>
        <v>#DIV/0!</v>
      </c>
      <c r="G67" s="331" t="e">
        <f t="shared" si="38"/>
        <v>#DIV/0!</v>
      </c>
      <c r="H67" s="331" t="e">
        <f t="shared" si="38"/>
        <v>#DIV/0!</v>
      </c>
      <c r="L67" s="331" t="e">
        <f>SUM(L30/H30)-1</f>
        <v>#DIV/0!</v>
      </c>
      <c r="M67" s="331" t="e">
        <f t="shared" ref="M67:Q67" si="40">SUM(M30/L30)-1</f>
        <v>#DIV/0!</v>
      </c>
      <c r="N67" s="331" t="e">
        <f t="shared" si="40"/>
        <v>#DIV/0!</v>
      </c>
      <c r="O67" s="331" t="e">
        <f t="shared" si="40"/>
        <v>#DIV/0!</v>
      </c>
      <c r="P67" s="331" t="e">
        <f t="shared" si="40"/>
        <v>#DIV/0!</v>
      </c>
      <c r="Q67" s="335" t="e">
        <f t="shared" si="40"/>
        <v>#DIV/0!</v>
      </c>
    </row>
    <row r="68" spans="1:20" ht="5.0999999999999996" customHeight="1">
      <c r="B68" s="334"/>
      <c r="C68" s="331"/>
      <c r="D68" s="331"/>
      <c r="E68" s="331"/>
      <c r="F68" s="331"/>
      <c r="G68" s="331"/>
      <c r="H68" s="331"/>
      <c r="Q68" s="304"/>
    </row>
    <row r="69" spans="1:20">
      <c r="B69" s="329" t="s">
        <v>437</v>
      </c>
      <c r="C69" s="331"/>
      <c r="D69" s="331"/>
      <c r="E69" s="331"/>
      <c r="F69" s="331"/>
      <c r="G69" s="331"/>
      <c r="H69" s="331"/>
      <c r="Q69" s="304"/>
    </row>
    <row r="70" spans="1:20">
      <c r="B70" s="334" t="s">
        <v>438</v>
      </c>
      <c r="C70" s="331" t="e">
        <f t="shared" ref="C70:H70" si="41">-C29/C24</f>
        <v>#DIV/0!</v>
      </c>
      <c r="D70" s="331" t="e">
        <f t="shared" si="41"/>
        <v>#DIV/0!</v>
      </c>
      <c r="E70" s="331" t="e">
        <f t="shared" si="41"/>
        <v>#DIV/0!</v>
      </c>
      <c r="F70" s="331" t="e">
        <f t="shared" si="41"/>
        <v>#DIV/0!</v>
      </c>
      <c r="G70" s="331" t="e">
        <f t="shared" si="41"/>
        <v>#DIV/0!</v>
      </c>
      <c r="H70" s="331" t="e">
        <f t="shared" si="41"/>
        <v>#DIV/0!</v>
      </c>
      <c r="L70" s="332"/>
      <c r="M70" s="332"/>
      <c r="N70" s="332"/>
      <c r="O70" s="332"/>
      <c r="P70" s="332"/>
      <c r="Q70" s="333"/>
      <c r="T70" s="8" t="s">
        <v>407</v>
      </c>
    </row>
    <row r="71" spans="1:20">
      <c r="B71" s="334" t="s">
        <v>439</v>
      </c>
      <c r="C71" s="331" t="e">
        <f t="shared" ref="C71:H71" si="42">-C30/C24</f>
        <v>#DIV/0!</v>
      </c>
      <c r="D71" s="331" t="e">
        <f t="shared" si="42"/>
        <v>#DIV/0!</v>
      </c>
      <c r="E71" s="331" t="e">
        <f t="shared" si="42"/>
        <v>#DIV/0!</v>
      </c>
      <c r="F71" s="331" t="e">
        <f t="shared" si="42"/>
        <v>#DIV/0!</v>
      </c>
      <c r="G71" s="331" t="e">
        <f t="shared" si="42"/>
        <v>#DIV/0!</v>
      </c>
      <c r="H71" s="331" t="e">
        <f t="shared" si="42"/>
        <v>#DIV/0!</v>
      </c>
      <c r="L71" s="332"/>
      <c r="M71" s="332"/>
      <c r="N71" s="332"/>
      <c r="O71" s="332"/>
      <c r="P71" s="332"/>
      <c r="Q71" s="333"/>
      <c r="T71" s="8" t="s">
        <v>407</v>
      </c>
    </row>
    <row r="72" spans="1:20">
      <c r="B72" s="334" t="s">
        <v>440</v>
      </c>
      <c r="C72" s="331" t="e">
        <f t="shared" ref="C72:H72" si="43">C41/C24</f>
        <v>#DIV/0!</v>
      </c>
      <c r="D72" s="331" t="e">
        <f t="shared" si="43"/>
        <v>#DIV/0!</v>
      </c>
      <c r="E72" s="331" t="e">
        <f t="shared" si="43"/>
        <v>#DIV/0!</v>
      </c>
      <c r="F72" s="331" t="e">
        <f t="shared" si="43"/>
        <v>#DIV/0!</v>
      </c>
      <c r="G72" s="331" t="e">
        <f t="shared" si="43"/>
        <v>#DIV/0!</v>
      </c>
      <c r="H72" s="331" t="e">
        <f t="shared" si="43"/>
        <v>#DIV/0!</v>
      </c>
      <c r="L72" s="331" t="e">
        <f t="shared" ref="L72:Q72" si="44">L41/L24</f>
        <v>#DIV/0!</v>
      </c>
      <c r="M72" s="331" t="e">
        <f t="shared" si="44"/>
        <v>#DIV/0!</v>
      </c>
      <c r="N72" s="331" t="e">
        <f t="shared" si="44"/>
        <v>#DIV/0!</v>
      </c>
      <c r="O72" s="331" t="e">
        <f t="shared" si="44"/>
        <v>#DIV/0!</v>
      </c>
      <c r="P72" s="331" t="e">
        <f t="shared" si="44"/>
        <v>#DIV/0!</v>
      </c>
      <c r="Q72" s="335" t="e">
        <f t="shared" si="44"/>
        <v>#DIV/0!</v>
      </c>
    </row>
    <row r="73" spans="1:20">
      <c r="B73" s="336" t="s">
        <v>441</v>
      </c>
      <c r="C73" s="337" t="e">
        <f t="shared" ref="C73:H73" si="45">C44/C24</f>
        <v>#DIV/0!</v>
      </c>
      <c r="D73" s="337" t="e">
        <f t="shared" si="45"/>
        <v>#DIV/0!</v>
      </c>
      <c r="E73" s="337" t="e">
        <f t="shared" si="45"/>
        <v>#DIV/0!</v>
      </c>
      <c r="F73" s="337" t="e">
        <f t="shared" si="45"/>
        <v>#DIV/0!</v>
      </c>
      <c r="G73" s="337" t="e">
        <f t="shared" si="45"/>
        <v>#DIV/0!</v>
      </c>
      <c r="H73" s="337" t="e">
        <f t="shared" si="45"/>
        <v>#DIV/0!</v>
      </c>
      <c r="I73" s="313"/>
      <c r="J73" s="313"/>
      <c r="K73" s="313"/>
      <c r="L73" s="337" t="e">
        <f t="shared" ref="L73:Q73" si="46">L44/L24</f>
        <v>#DIV/0!</v>
      </c>
      <c r="M73" s="337" t="e">
        <f t="shared" si="46"/>
        <v>#DIV/0!</v>
      </c>
      <c r="N73" s="337" t="e">
        <f t="shared" si="46"/>
        <v>#DIV/0!</v>
      </c>
      <c r="O73" s="337" t="e">
        <f t="shared" si="46"/>
        <v>#DIV/0!</v>
      </c>
      <c r="P73" s="337" t="e">
        <f t="shared" si="46"/>
        <v>#DIV/0!</v>
      </c>
      <c r="Q73" s="338" t="e">
        <f t="shared" si="46"/>
        <v>#DIV/0!</v>
      </c>
    </row>
    <row r="75" spans="1:20">
      <c r="A75" s="339" t="s">
        <v>19</v>
      </c>
      <c r="B75" s="340" t="s">
        <v>86</v>
      </c>
      <c r="C75" s="109" t="s">
        <v>368</v>
      </c>
      <c r="D75" s="109"/>
      <c r="E75" s="109"/>
      <c r="F75" s="109"/>
      <c r="G75" s="109"/>
      <c r="H75" s="109"/>
      <c r="I75" s="341"/>
      <c r="J75" s="109" t="s">
        <v>369</v>
      </c>
      <c r="K75" s="342">
        <f>K22</f>
        <v>0</v>
      </c>
      <c r="L75" s="109" t="s">
        <v>370</v>
      </c>
      <c r="M75" s="109"/>
      <c r="N75" s="109"/>
      <c r="O75" s="109"/>
      <c r="P75" s="109"/>
      <c r="Q75" s="109"/>
      <c r="R75" s="341"/>
      <c r="S75" s="109" t="s">
        <v>369</v>
      </c>
    </row>
    <row r="76" spans="1:20">
      <c r="B76" s="343" t="str">
        <f t="shared" ref="B76:H77" si="47">B16</f>
        <v xml:space="preserve">Fiscal year  </v>
      </c>
      <c r="C76" s="344">
        <f t="shared" si="47"/>
        <v>2020</v>
      </c>
      <c r="D76" s="344">
        <f t="shared" si="47"/>
        <v>2021</v>
      </c>
      <c r="E76" s="344">
        <f t="shared" si="47"/>
        <v>2022</v>
      </c>
      <c r="F76" s="344">
        <f t="shared" si="47"/>
        <v>2023</v>
      </c>
      <c r="G76" s="344">
        <f t="shared" si="47"/>
        <v>2024</v>
      </c>
      <c r="H76" s="344">
        <f t="shared" si="47"/>
        <v>2025</v>
      </c>
      <c r="I76" s="342"/>
      <c r="J76" s="342" t="str">
        <f>J16</f>
        <v>6-Year(A)</v>
      </c>
      <c r="K76" s="342"/>
      <c r="L76" s="342">
        <f t="shared" ref="L76:Q77" si="48">L16</f>
        <v>2026</v>
      </c>
      <c r="M76" s="342">
        <f t="shared" si="48"/>
        <v>2027</v>
      </c>
      <c r="N76" s="342">
        <f t="shared" si="48"/>
        <v>2028</v>
      </c>
      <c r="O76" s="342">
        <f t="shared" si="48"/>
        <v>2029</v>
      </c>
      <c r="P76" s="342">
        <f t="shared" si="48"/>
        <v>2030</v>
      </c>
      <c r="Q76" s="342">
        <f t="shared" si="48"/>
        <v>2031</v>
      </c>
      <c r="R76" s="341"/>
      <c r="S76" s="342" t="str">
        <f>S16</f>
        <v>6-Year(F)</v>
      </c>
    </row>
    <row r="77" spans="1:20">
      <c r="B77" s="343" t="str">
        <f t="shared" si="47"/>
        <v>Fiscal year end date</v>
      </c>
      <c r="C77" s="341">
        <f t="shared" si="47"/>
        <v>44104</v>
      </c>
      <c r="D77" s="341">
        <f t="shared" si="47"/>
        <v>44469</v>
      </c>
      <c r="E77" s="341">
        <f t="shared" si="47"/>
        <v>44834</v>
      </c>
      <c r="F77" s="341">
        <f t="shared" si="47"/>
        <v>45192</v>
      </c>
      <c r="G77" s="341">
        <f t="shared" si="47"/>
        <v>45559</v>
      </c>
      <c r="H77" s="341">
        <f t="shared" si="47"/>
        <v>45927</v>
      </c>
      <c r="I77" s="341"/>
      <c r="J77" s="341">
        <f>J17</f>
        <v>45927</v>
      </c>
      <c r="K77" s="341"/>
      <c r="L77" s="341">
        <f t="shared" si="48"/>
        <v>46295</v>
      </c>
      <c r="M77" s="341">
        <f t="shared" si="48"/>
        <v>46660</v>
      </c>
      <c r="N77" s="341">
        <f t="shared" si="48"/>
        <v>47026</v>
      </c>
      <c r="O77" s="341">
        <f t="shared" si="48"/>
        <v>47391</v>
      </c>
      <c r="P77" s="341">
        <f t="shared" si="48"/>
        <v>47756</v>
      </c>
      <c r="Q77" s="341">
        <f t="shared" si="48"/>
        <v>48121</v>
      </c>
      <c r="R77" s="341"/>
      <c r="S77" s="341">
        <f>S17</f>
        <v>48121</v>
      </c>
    </row>
    <row r="78" spans="1:20" ht="5.0999999999999996" customHeight="1"/>
    <row r="79" spans="1:20">
      <c r="B79" s="345" t="s">
        <v>23</v>
      </c>
    </row>
    <row r="80" spans="1:20">
      <c r="B80" s="8" t="s">
        <v>442</v>
      </c>
      <c r="C80" s="97"/>
      <c r="D80" s="97"/>
      <c r="E80" s="97"/>
      <c r="F80" s="97"/>
      <c r="G80" s="97"/>
      <c r="H80" s="97"/>
      <c r="J80" s="225" t="e">
        <f t="shared" ref="J80:J86" si="49">((H80/C80)^(1/COUNT(D80:H80))-1)</f>
        <v>#DIV/0!</v>
      </c>
      <c r="L80" s="10" t="e">
        <f>H80+L127</f>
        <v>#DIV/0!</v>
      </c>
      <c r="M80" s="10" t="e">
        <f>+L80+M127</f>
        <v>#DIV/0!</v>
      </c>
      <c r="N80" s="10" t="e">
        <f t="shared" ref="N80:Q80" si="50">+M80+N127</f>
        <v>#DIV/0!</v>
      </c>
      <c r="O80" s="10" t="e">
        <f t="shared" si="50"/>
        <v>#DIV/0!</v>
      </c>
      <c r="P80" s="10" t="e">
        <f t="shared" si="50"/>
        <v>#DIV/0!</v>
      </c>
      <c r="Q80" s="10" t="e">
        <f t="shared" si="50"/>
        <v>#DIV/0!</v>
      </c>
      <c r="S80" s="225" t="e">
        <f t="shared" ref="S80:S86" si="51">((Q80/L80)^(1/COUNT(M80:Q80))-1)</f>
        <v>#DIV/0!</v>
      </c>
      <c r="T80" s="31" t="s">
        <v>443</v>
      </c>
    </row>
    <row r="81" spans="2:20">
      <c r="B81" s="8" t="s">
        <v>444</v>
      </c>
      <c r="C81" s="97"/>
      <c r="D81" s="97"/>
      <c r="E81" s="97"/>
      <c r="F81" s="97"/>
      <c r="G81" s="97"/>
      <c r="H81" s="97"/>
      <c r="J81" s="225" t="e">
        <f t="shared" si="49"/>
        <v>#DIV/0!</v>
      </c>
      <c r="L81" s="10">
        <f>H81*L50+H81</f>
        <v>0</v>
      </c>
      <c r="M81" s="10">
        <f>L81*M50+L81</f>
        <v>0</v>
      </c>
      <c r="N81" s="10">
        <f>M81*N50+M81</f>
        <v>0</v>
      </c>
      <c r="O81" s="10">
        <f>N81*O50+N81</f>
        <v>0</v>
      </c>
      <c r="P81" s="10">
        <f>O81*P50+O81</f>
        <v>0</v>
      </c>
      <c r="Q81" s="10">
        <f>P81*Q50+P81</f>
        <v>0</v>
      </c>
      <c r="S81" s="225" t="e">
        <f t="shared" si="51"/>
        <v>#DIV/0!</v>
      </c>
      <c r="T81" s="8" t="s">
        <v>422</v>
      </c>
    </row>
    <row r="82" spans="2:20">
      <c r="B82" s="8" t="s">
        <v>445</v>
      </c>
      <c r="C82" s="97"/>
      <c r="D82" s="97"/>
      <c r="E82" s="97"/>
      <c r="F82" s="97"/>
      <c r="G82" s="97"/>
      <c r="H82" s="97"/>
      <c r="J82" s="225" t="e">
        <f t="shared" si="49"/>
        <v>#DIV/0!</v>
      </c>
      <c r="L82" s="10" t="e">
        <f>H82*L26/H26</f>
        <v>#DIV/0!</v>
      </c>
      <c r="M82" s="10" t="e">
        <f>L82*M26/L26</f>
        <v>#DIV/0!</v>
      </c>
      <c r="N82" s="10" t="e">
        <f>M82*N26/M26</f>
        <v>#DIV/0!</v>
      </c>
      <c r="O82" s="10" t="e">
        <f>N82*O26/N26</f>
        <v>#DIV/0!</v>
      </c>
      <c r="P82" s="10" t="e">
        <f>O82*P26/O26</f>
        <v>#DIV/0!</v>
      </c>
      <c r="Q82" s="10" t="e">
        <f>P82*Q26/P26</f>
        <v>#DIV/0!</v>
      </c>
      <c r="S82" s="225" t="e">
        <f t="shared" si="51"/>
        <v>#DIV/0!</v>
      </c>
      <c r="T82" s="8" t="s">
        <v>446</v>
      </c>
    </row>
    <row r="83" spans="2:20">
      <c r="B83" s="8" t="s">
        <v>16</v>
      </c>
      <c r="C83" s="97"/>
      <c r="D83" s="97"/>
      <c r="E83" s="97"/>
      <c r="F83" s="97"/>
      <c r="G83" s="97"/>
      <c r="H83" s="97"/>
      <c r="J83" s="225" t="e">
        <f t="shared" si="49"/>
        <v>#DIV/0!</v>
      </c>
      <c r="L83" s="10">
        <f>SUM(H83*L50)+H83</f>
        <v>0</v>
      </c>
      <c r="M83" s="10">
        <f>L83*M50+L83</f>
        <v>0</v>
      </c>
      <c r="N83" s="10">
        <f>M83*N50+M83</f>
        <v>0</v>
      </c>
      <c r="O83" s="10">
        <f>N83*O50+N83</f>
        <v>0</v>
      </c>
      <c r="P83" s="10">
        <f>O83*P50+O83</f>
        <v>0</v>
      </c>
      <c r="Q83" s="10">
        <f>P83*Q50+P83</f>
        <v>0</v>
      </c>
      <c r="S83" s="225" t="e">
        <f t="shared" si="51"/>
        <v>#DIV/0!</v>
      </c>
      <c r="T83" s="8" t="s">
        <v>422</v>
      </c>
    </row>
    <row r="84" spans="2:20">
      <c r="B84" s="8" t="s">
        <v>447</v>
      </c>
      <c r="C84" s="97"/>
      <c r="D84" s="97"/>
      <c r="E84" s="97"/>
      <c r="F84" s="97"/>
      <c r="G84" s="97"/>
      <c r="H84" s="97"/>
      <c r="J84" s="225" t="e">
        <f t="shared" si="49"/>
        <v>#DIV/0!</v>
      </c>
      <c r="L84" s="10">
        <f>L137</f>
        <v>0</v>
      </c>
      <c r="M84" s="10">
        <f t="shared" ref="M84:Q84" si="52">M137</f>
        <v>0</v>
      </c>
      <c r="N84" s="10">
        <f t="shared" si="52"/>
        <v>0</v>
      </c>
      <c r="O84" s="10">
        <f t="shared" si="52"/>
        <v>0</v>
      </c>
      <c r="P84" s="10">
        <f t="shared" si="52"/>
        <v>0</v>
      </c>
      <c r="Q84" s="10">
        <f t="shared" si="52"/>
        <v>0</v>
      </c>
      <c r="S84" s="225" t="e">
        <f t="shared" si="51"/>
        <v>#DIV/0!</v>
      </c>
      <c r="T84" s="8" t="s">
        <v>448</v>
      </c>
    </row>
    <row r="85" spans="2:20">
      <c r="B85" s="8" t="s">
        <v>449</v>
      </c>
      <c r="C85" s="97"/>
      <c r="D85" s="97"/>
      <c r="E85" s="97"/>
      <c r="F85" s="97"/>
      <c r="G85" s="97"/>
      <c r="H85" s="97"/>
      <c r="J85" s="225" t="e">
        <f t="shared" si="49"/>
        <v>#DIV/0!</v>
      </c>
      <c r="L85" s="10">
        <f>SUM(H85*L50)+H85</f>
        <v>0</v>
      </c>
      <c r="M85" s="10">
        <f>L85*M50+L85</f>
        <v>0</v>
      </c>
      <c r="N85" s="10">
        <f>M85*N50+M85</f>
        <v>0</v>
      </c>
      <c r="O85" s="10">
        <f>N85*O50+N85</f>
        <v>0</v>
      </c>
      <c r="P85" s="10">
        <f>O85*P50+O85</f>
        <v>0</v>
      </c>
      <c r="Q85" s="10">
        <f>P85*Q50+P85</f>
        <v>0</v>
      </c>
      <c r="S85" s="225" t="e">
        <f t="shared" si="51"/>
        <v>#DIV/0!</v>
      </c>
      <c r="T85" s="8" t="s">
        <v>422</v>
      </c>
    </row>
    <row r="86" spans="2:20">
      <c r="B86" s="317" t="s">
        <v>23</v>
      </c>
      <c r="C86" s="346">
        <f t="shared" ref="C86:H86" si="53">SUM(C80:C85)</f>
        <v>0</v>
      </c>
      <c r="D86" s="346">
        <f t="shared" si="53"/>
        <v>0</v>
      </c>
      <c r="E86" s="346">
        <f t="shared" si="53"/>
        <v>0</v>
      </c>
      <c r="F86" s="346">
        <f t="shared" si="53"/>
        <v>0</v>
      </c>
      <c r="G86" s="346">
        <f t="shared" si="53"/>
        <v>0</v>
      </c>
      <c r="H86" s="346">
        <f t="shared" si="53"/>
        <v>0</v>
      </c>
      <c r="J86" s="226" t="e">
        <f t="shared" si="49"/>
        <v>#DIV/0!</v>
      </c>
      <c r="L86" s="346" t="e">
        <f t="shared" ref="L86:Q86" si="54">SUM(L80:L85)</f>
        <v>#DIV/0!</v>
      </c>
      <c r="M86" s="346" t="e">
        <f t="shared" si="54"/>
        <v>#DIV/0!</v>
      </c>
      <c r="N86" s="346" t="e">
        <f t="shared" si="54"/>
        <v>#DIV/0!</v>
      </c>
      <c r="O86" s="346" t="e">
        <f t="shared" si="54"/>
        <v>#DIV/0!</v>
      </c>
      <c r="P86" s="346" t="e">
        <f t="shared" si="54"/>
        <v>#DIV/0!</v>
      </c>
      <c r="Q86" s="346" t="e">
        <f t="shared" si="54"/>
        <v>#DIV/0!</v>
      </c>
      <c r="S86" s="226" t="e">
        <f t="shared" si="51"/>
        <v>#DIV/0!</v>
      </c>
    </row>
    <row r="87" spans="2:20">
      <c r="B87" s="36"/>
    </row>
    <row r="88" spans="2:20">
      <c r="B88" s="345" t="s">
        <v>18</v>
      </c>
    </row>
    <row r="89" spans="2:20">
      <c r="B89" s="8" t="s">
        <v>13</v>
      </c>
      <c r="C89" s="97"/>
      <c r="D89" s="97"/>
      <c r="E89" s="97"/>
      <c r="F89" s="97"/>
      <c r="G89" s="97"/>
      <c r="H89" s="97"/>
      <c r="J89" s="225" t="e">
        <f t="shared" ref="J89:J95" si="55">((H89/C89)^(1/COUNT(D89:H89))-1)</f>
        <v>#DIV/0!</v>
      </c>
      <c r="L89" s="10" t="e">
        <f>H89*L26/H26</f>
        <v>#DIV/0!</v>
      </c>
      <c r="M89" s="10" t="e">
        <f>L89*M26/L26</f>
        <v>#DIV/0!</v>
      </c>
      <c r="N89" s="10" t="e">
        <f>M89*N26/M26</f>
        <v>#DIV/0!</v>
      </c>
      <c r="O89" s="10" t="e">
        <f>N89*O26/N26</f>
        <v>#DIV/0!</v>
      </c>
      <c r="P89" s="10" t="e">
        <f>O89*P26/O26</f>
        <v>#DIV/0!</v>
      </c>
      <c r="Q89" s="10" t="e">
        <f>P89*Q26/P26</f>
        <v>#DIV/0!</v>
      </c>
      <c r="S89" s="225" t="e">
        <f t="shared" ref="S89:S95" si="56">((Q89/L89)^(1/COUNT(M89:Q89))-1)</f>
        <v>#DIV/0!</v>
      </c>
      <c r="T89" s="8" t="s">
        <v>446</v>
      </c>
    </row>
    <row r="90" spans="2:20">
      <c r="B90" s="8" t="s">
        <v>450</v>
      </c>
      <c r="C90" s="97"/>
      <c r="D90" s="97"/>
      <c r="E90" s="97"/>
      <c r="F90" s="97"/>
      <c r="G90" s="97"/>
      <c r="H90" s="97"/>
      <c r="J90" s="225" t="e">
        <f t="shared" si="55"/>
        <v>#DIV/0!</v>
      </c>
      <c r="L90" s="10">
        <f>H90*L50+H90</f>
        <v>0</v>
      </c>
      <c r="M90" s="10">
        <f>L90*M50+L90</f>
        <v>0</v>
      </c>
      <c r="N90" s="10">
        <f>M90*N50+M90</f>
        <v>0</v>
      </c>
      <c r="O90" s="10">
        <f>N90*O50+N90</f>
        <v>0</v>
      </c>
      <c r="P90" s="10">
        <f>O90*P50+O90</f>
        <v>0</v>
      </c>
      <c r="Q90" s="10">
        <f>P90*Q50+P90</f>
        <v>0</v>
      </c>
      <c r="S90" s="225" t="e">
        <f t="shared" si="56"/>
        <v>#DIV/0!</v>
      </c>
      <c r="T90" s="8" t="s">
        <v>422</v>
      </c>
    </row>
    <row r="91" spans="2:20">
      <c r="B91" s="8" t="s">
        <v>451</v>
      </c>
      <c r="C91" s="97"/>
      <c r="D91" s="97"/>
      <c r="E91" s="97"/>
      <c r="F91" s="97"/>
      <c r="G91" s="97"/>
      <c r="H91" s="97"/>
      <c r="J91" s="225" t="e">
        <f t="shared" si="55"/>
        <v>#DIV/0!</v>
      </c>
      <c r="L91" s="10">
        <f>SUM(H91*L50)+H91</f>
        <v>0</v>
      </c>
      <c r="M91" s="10">
        <f>L91*M50+L91</f>
        <v>0</v>
      </c>
      <c r="N91" s="10">
        <f>M91*N50+M91</f>
        <v>0</v>
      </c>
      <c r="O91" s="10">
        <f>N91*O50+N91</f>
        <v>0</v>
      </c>
      <c r="P91" s="10">
        <f>O91*P50+O91</f>
        <v>0</v>
      </c>
      <c r="Q91" s="10">
        <f>P91*Q50+P91</f>
        <v>0</v>
      </c>
      <c r="S91" s="225" t="e">
        <f t="shared" si="56"/>
        <v>#DIV/0!</v>
      </c>
      <c r="T91" s="8" t="s">
        <v>422</v>
      </c>
    </row>
    <row r="92" spans="2:20">
      <c r="B92" s="8" t="s">
        <v>452</v>
      </c>
      <c r="C92" s="97"/>
      <c r="D92" s="97"/>
      <c r="E92" s="97"/>
      <c r="F92" s="97"/>
      <c r="G92" s="97"/>
      <c r="H92" s="97"/>
      <c r="J92" s="225" t="e">
        <f t="shared" si="55"/>
        <v>#DIV/0!</v>
      </c>
      <c r="L92" s="10" t="e">
        <f>L189</f>
        <v>#DIV/0!</v>
      </c>
      <c r="M92" s="10" t="e">
        <f t="shared" ref="M92:Q92" si="57">M189</f>
        <v>#DIV/0!</v>
      </c>
      <c r="N92" s="10" t="e">
        <f t="shared" si="57"/>
        <v>#DIV/0!</v>
      </c>
      <c r="O92" s="10" t="e">
        <f t="shared" si="57"/>
        <v>#DIV/0!</v>
      </c>
      <c r="P92" s="10" t="e">
        <f t="shared" si="57"/>
        <v>#DIV/0!</v>
      </c>
      <c r="Q92" s="10" t="e">
        <f t="shared" si="57"/>
        <v>#DIV/0!</v>
      </c>
      <c r="S92" s="225" t="e">
        <f t="shared" si="56"/>
        <v>#DIV/0!</v>
      </c>
      <c r="T92" s="8" t="s">
        <v>453</v>
      </c>
    </row>
    <row r="93" spans="2:20">
      <c r="B93" s="8" t="s">
        <v>454</v>
      </c>
      <c r="C93" s="97"/>
      <c r="D93" s="97"/>
      <c r="E93" s="97"/>
      <c r="F93" s="97"/>
      <c r="G93" s="97"/>
      <c r="H93" s="97"/>
      <c r="J93" s="225" t="e">
        <f t="shared" si="55"/>
        <v>#DIV/0!</v>
      </c>
      <c r="L93" s="10">
        <f>H93</f>
        <v>0</v>
      </c>
      <c r="M93" s="10">
        <f>L93</f>
        <v>0</v>
      </c>
      <c r="N93" s="10">
        <f t="shared" ref="N93:Q93" si="58">M93</f>
        <v>0</v>
      </c>
      <c r="O93" s="10">
        <f t="shared" si="58"/>
        <v>0</v>
      </c>
      <c r="P93" s="10">
        <f t="shared" si="58"/>
        <v>0</v>
      </c>
      <c r="Q93" s="10">
        <f t="shared" si="58"/>
        <v>0</v>
      </c>
      <c r="S93" s="225" t="e">
        <f t="shared" si="56"/>
        <v>#DIV/0!</v>
      </c>
      <c r="T93" s="8" t="s">
        <v>455</v>
      </c>
    </row>
    <row r="94" spans="2:20">
      <c r="B94" s="8" t="s">
        <v>456</v>
      </c>
      <c r="C94" s="97"/>
      <c r="D94" s="97"/>
      <c r="E94" s="97"/>
      <c r="F94" s="97"/>
      <c r="G94" s="97"/>
      <c r="H94" s="97"/>
      <c r="J94" s="225" t="e">
        <f t="shared" si="55"/>
        <v>#DIV/0!</v>
      </c>
      <c r="L94" s="10">
        <f>SUM(H94*L50)+H94</f>
        <v>0</v>
      </c>
      <c r="M94" s="10">
        <f>L94*M50+L94</f>
        <v>0</v>
      </c>
      <c r="N94" s="10">
        <f>M94*N50+M94</f>
        <v>0</v>
      </c>
      <c r="O94" s="10">
        <f>N94*O50+N94</f>
        <v>0</v>
      </c>
      <c r="P94" s="10">
        <f>O94*P50+O94</f>
        <v>0</v>
      </c>
      <c r="Q94" s="10">
        <f>P94*Q50+P94</f>
        <v>0</v>
      </c>
      <c r="S94" s="225" t="e">
        <f t="shared" si="56"/>
        <v>#DIV/0!</v>
      </c>
      <c r="T94" s="8" t="s">
        <v>422</v>
      </c>
    </row>
    <row r="95" spans="2:20">
      <c r="B95" s="317" t="s">
        <v>18</v>
      </c>
      <c r="C95" s="346">
        <f t="shared" ref="C95:H95" si="59">SUM(C89:C94)</f>
        <v>0</v>
      </c>
      <c r="D95" s="346">
        <f t="shared" si="59"/>
        <v>0</v>
      </c>
      <c r="E95" s="346">
        <f t="shared" si="59"/>
        <v>0</v>
      </c>
      <c r="F95" s="346">
        <f t="shared" si="59"/>
        <v>0</v>
      </c>
      <c r="G95" s="346">
        <f t="shared" si="59"/>
        <v>0</v>
      </c>
      <c r="H95" s="346">
        <f t="shared" si="59"/>
        <v>0</v>
      </c>
      <c r="J95" s="226" t="e">
        <f t="shared" si="55"/>
        <v>#DIV/0!</v>
      </c>
      <c r="L95" s="346" t="e">
        <f t="shared" ref="L95:Q95" si="60">SUM(L89:L94)</f>
        <v>#DIV/0!</v>
      </c>
      <c r="M95" s="346" t="e">
        <f t="shared" si="60"/>
        <v>#DIV/0!</v>
      </c>
      <c r="N95" s="346" t="e">
        <f t="shared" si="60"/>
        <v>#DIV/0!</v>
      </c>
      <c r="O95" s="346" t="e">
        <f t="shared" si="60"/>
        <v>#DIV/0!</v>
      </c>
      <c r="P95" s="346" t="e">
        <f t="shared" si="60"/>
        <v>#DIV/0!</v>
      </c>
      <c r="Q95" s="346" t="e">
        <f t="shared" si="60"/>
        <v>#DIV/0!</v>
      </c>
      <c r="S95" s="226" t="e">
        <f t="shared" si="56"/>
        <v>#DIV/0!</v>
      </c>
    </row>
    <row r="96" spans="2:20">
      <c r="B96" s="36"/>
    </row>
    <row r="97" spans="1:20">
      <c r="B97" s="345" t="s">
        <v>457</v>
      </c>
    </row>
    <row r="98" spans="1:20">
      <c r="B98" s="8" t="s">
        <v>21</v>
      </c>
      <c r="C98" s="97"/>
      <c r="D98" s="97"/>
      <c r="E98" s="97"/>
      <c r="F98" s="97"/>
      <c r="G98" s="97"/>
      <c r="H98" s="97"/>
      <c r="J98" s="225" t="e">
        <f t="shared" ref="J98:J101" si="61">((H98/C98)^(1/COUNT(D98:H98))-1)</f>
        <v>#DIV/0!</v>
      </c>
      <c r="L98" s="10">
        <f>H98+L44</f>
        <v>0</v>
      </c>
      <c r="M98" s="10">
        <f>L98+M44</f>
        <v>0</v>
      </c>
      <c r="N98" s="10">
        <f>M98+N44</f>
        <v>0</v>
      </c>
      <c r="O98" s="10">
        <f>N98+O44</f>
        <v>0</v>
      </c>
      <c r="P98" s="10">
        <f>O98+P44</f>
        <v>0</v>
      </c>
      <c r="Q98" s="10">
        <f>P98+Q44</f>
        <v>0</v>
      </c>
      <c r="S98" s="225" t="e">
        <f t="shared" ref="S98:S101" si="62">((Q98/L98)^(1/COUNT(M98:Q98))-1)</f>
        <v>#DIV/0!</v>
      </c>
      <c r="T98" s="8" t="s">
        <v>458</v>
      </c>
    </row>
    <row r="99" spans="1:20">
      <c r="B99" s="8" t="s">
        <v>459</v>
      </c>
      <c r="C99" s="97"/>
      <c r="D99" s="97"/>
      <c r="E99" s="97"/>
      <c r="F99" s="97"/>
      <c r="G99" s="97"/>
      <c r="H99" s="97"/>
      <c r="J99" s="225" t="e">
        <f t="shared" si="61"/>
        <v>#DIV/0!</v>
      </c>
      <c r="L99" s="10" t="e">
        <f>L176</f>
        <v>#DIV/0!</v>
      </c>
      <c r="M99" s="10" t="e">
        <f t="shared" ref="M99:Q99" si="63">M176</f>
        <v>#DIV/0!</v>
      </c>
      <c r="N99" s="10" t="e">
        <f t="shared" si="63"/>
        <v>#DIV/0!</v>
      </c>
      <c r="O99" s="10" t="e">
        <f t="shared" si="63"/>
        <v>#DIV/0!</v>
      </c>
      <c r="P99" s="10" t="e">
        <f t="shared" si="63"/>
        <v>#DIV/0!</v>
      </c>
      <c r="Q99" s="10" t="e">
        <f t="shared" si="63"/>
        <v>#DIV/0!</v>
      </c>
      <c r="S99" s="225" t="e">
        <f t="shared" si="62"/>
        <v>#DIV/0!</v>
      </c>
      <c r="T99" s="8" t="s">
        <v>460</v>
      </c>
    </row>
    <row r="100" spans="1:20">
      <c r="B100" s="8" t="s">
        <v>461</v>
      </c>
      <c r="C100" s="97"/>
      <c r="D100" s="97"/>
      <c r="E100" s="97"/>
      <c r="F100" s="97"/>
      <c r="G100" s="97"/>
      <c r="H100" s="97"/>
      <c r="J100" s="225" t="e">
        <f t="shared" si="61"/>
        <v>#DIV/0!</v>
      </c>
      <c r="L100" s="10">
        <f>H100</f>
        <v>0</v>
      </c>
      <c r="M100" s="10">
        <f>L100</f>
        <v>0</v>
      </c>
      <c r="N100" s="10">
        <f t="shared" ref="N100:Q100" si="64">M100</f>
        <v>0</v>
      </c>
      <c r="O100" s="10">
        <f t="shared" si="64"/>
        <v>0</v>
      </c>
      <c r="P100" s="10">
        <f t="shared" si="64"/>
        <v>0</v>
      </c>
      <c r="Q100" s="10">
        <f t="shared" si="64"/>
        <v>0</v>
      </c>
      <c r="S100" s="225" t="e">
        <f t="shared" si="62"/>
        <v>#DIV/0!</v>
      </c>
      <c r="T100" s="8" t="s">
        <v>462</v>
      </c>
    </row>
    <row r="101" spans="1:20">
      <c r="B101" s="317" t="s">
        <v>463</v>
      </c>
      <c r="C101" s="346">
        <f t="shared" ref="C101:H101" si="65">SUM(C98:C100)</f>
        <v>0</v>
      </c>
      <c r="D101" s="346">
        <f t="shared" si="65"/>
        <v>0</v>
      </c>
      <c r="E101" s="346">
        <f t="shared" si="65"/>
        <v>0</v>
      </c>
      <c r="F101" s="346">
        <f t="shared" si="65"/>
        <v>0</v>
      </c>
      <c r="G101" s="346">
        <f t="shared" si="65"/>
        <v>0</v>
      </c>
      <c r="H101" s="346">
        <f t="shared" si="65"/>
        <v>0</v>
      </c>
      <c r="J101" s="226" t="e">
        <f t="shared" si="61"/>
        <v>#DIV/0!</v>
      </c>
      <c r="L101" s="346" t="e">
        <f t="shared" ref="L101:Q101" si="66">SUM(L98:L100)</f>
        <v>#DIV/0!</v>
      </c>
      <c r="M101" s="346" t="e">
        <f t="shared" si="66"/>
        <v>#DIV/0!</v>
      </c>
      <c r="N101" s="346" t="e">
        <f t="shared" si="66"/>
        <v>#DIV/0!</v>
      </c>
      <c r="O101" s="346" t="e">
        <f t="shared" si="66"/>
        <v>#DIV/0!</v>
      </c>
      <c r="P101" s="346" t="e">
        <f t="shared" si="66"/>
        <v>#DIV/0!</v>
      </c>
      <c r="Q101" s="346" t="e">
        <f t="shared" si="66"/>
        <v>#DIV/0!</v>
      </c>
      <c r="S101" s="226" t="e">
        <f t="shared" si="62"/>
        <v>#DIV/0!</v>
      </c>
    </row>
    <row r="102" spans="1:20" ht="5.0999999999999996" customHeight="1">
      <c r="B102" s="36"/>
    </row>
    <row r="103" spans="1:20">
      <c r="B103" s="347" t="s">
        <v>464</v>
      </c>
      <c r="C103" s="348">
        <f t="shared" ref="C103:H103" si="67">+C101+C95-C86</f>
        <v>0</v>
      </c>
      <c r="D103" s="348">
        <f t="shared" si="67"/>
        <v>0</v>
      </c>
      <c r="E103" s="348">
        <f t="shared" si="67"/>
        <v>0</v>
      </c>
      <c r="F103" s="348">
        <f t="shared" si="67"/>
        <v>0</v>
      </c>
      <c r="G103" s="348">
        <f t="shared" si="67"/>
        <v>0</v>
      </c>
      <c r="H103" s="348">
        <f t="shared" si="67"/>
        <v>0</v>
      </c>
      <c r="L103" s="348" t="e">
        <f t="shared" ref="L103:Q103" si="68">+L101+L95-L86</f>
        <v>#DIV/0!</v>
      </c>
      <c r="M103" s="348" t="e">
        <f t="shared" si="68"/>
        <v>#DIV/0!</v>
      </c>
      <c r="N103" s="348" t="e">
        <f t="shared" si="68"/>
        <v>#DIV/0!</v>
      </c>
      <c r="O103" s="348" t="e">
        <f t="shared" si="68"/>
        <v>#DIV/0!</v>
      </c>
      <c r="P103" s="348" t="e">
        <f t="shared" si="68"/>
        <v>#DIV/0!</v>
      </c>
      <c r="Q103" s="348" t="e">
        <f t="shared" si="68"/>
        <v>#DIV/0!</v>
      </c>
    </row>
    <row r="104" spans="1:20">
      <c r="B104" s="36"/>
      <c r="L104" s="320"/>
    </row>
    <row r="105" spans="1:20">
      <c r="A105" s="8" t="s">
        <v>19</v>
      </c>
      <c r="B105" s="349" t="s">
        <v>15</v>
      </c>
      <c r="C105" s="350" t="s">
        <v>368</v>
      </c>
      <c r="D105" s="350"/>
      <c r="E105" s="350"/>
      <c r="F105" s="350"/>
      <c r="G105" s="350"/>
      <c r="H105" s="350"/>
      <c r="I105" s="351"/>
      <c r="J105" s="350" t="s">
        <v>369</v>
      </c>
      <c r="K105" s="351"/>
      <c r="L105" s="350" t="s">
        <v>370</v>
      </c>
      <c r="M105" s="350"/>
      <c r="N105" s="350"/>
      <c r="O105" s="350"/>
      <c r="P105" s="350"/>
      <c r="Q105" s="350"/>
      <c r="R105" s="351"/>
      <c r="S105" s="350" t="s">
        <v>369</v>
      </c>
    </row>
    <row r="106" spans="1:20">
      <c r="B106" s="352" t="str">
        <f>B16</f>
        <v xml:space="preserve">Fiscal year  </v>
      </c>
      <c r="C106" s="353">
        <f>C76</f>
        <v>2020</v>
      </c>
      <c r="D106" s="353">
        <f t="shared" ref="D106:H107" si="69">D76</f>
        <v>2021</v>
      </c>
      <c r="E106" s="353">
        <f t="shared" si="69"/>
        <v>2022</v>
      </c>
      <c r="F106" s="353">
        <f t="shared" si="69"/>
        <v>2023</v>
      </c>
      <c r="G106" s="353">
        <f t="shared" si="69"/>
        <v>2024</v>
      </c>
      <c r="H106" s="353">
        <f t="shared" si="69"/>
        <v>2025</v>
      </c>
      <c r="I106" s="351"/>
      <c r="J106" s="354" t="str">
        <f>J76</f>
        <v>6-Year(A)</v>
      </c>
      <c r="K106" s="351"/>
      <c r="L106" s="355">
        <f t="shared" ref="L106:Q107" si="70">L76</f>
        <v>2026</v>
      </c>
      <c r="M106" s="355">
        <f t="shared" si="70"/>
        <v>2027</v>
      </c>
      <c r="N106" s="355">
        <f t="shared" si="70"/>
        <v>2028</v>
      </c>
      <c r="O106" s="355">
        <f t="shared" si="70"/>
        <v>2029</v>
      </c>
      <c r="P106" s="355">
        <f t="shared" si="70"/>
        <v>2030</v>
      </c>
      <c r="Q106" s="355">
        <f t="shared" si="70"/>
        <v>2031</v>
      </c>
      <c r="R106" s="351"/>
      <c r="S106" s="354" t="str">
        <f>S76</f>
        <v>6-Year(F)</v>
      </c>
    </row>
    <row r="107" spans="1:20">
      <c r="B107" s="352" t="str">
        <f>B17</f>
        <v>Fiscal year end date</v>
      </c>
      <c r="C107" s="351">
        <f>C77</f>
        <v>44104</v>
      </c>
      <c r="D107" s="351">
        <f t="shared" si="69"/>
        <v>44469</v>
      </c>
      <c r="E107" s="351">
        <f t="shared" si="69"/>
        <v>44834</v>
      </c>
      <c r="F107" s="351">
        <f t="shared" si="69"/>
        <v>45192</v>
      </c>
      <c r="G107" s="351">
        <f t="shared" si="69"/>
        <v>45559</v>
      </c>
      <c r="H107" s="351">
        <f t="shared" si="69"/>
        <v>45927</v>
      </c>
      <c r="I107" s="351"/>
      <c r="J107" s="351">
        <f>J77</f>
        <v>45927</v>
      </c>
      <c r="K107" s="351"/>
      <c r="L107" s="351">
        <f t="shared" si="70"/>
        <v>46295</v>
      </c>
      <c r="M107" s="351">
        <f t="shared" si="70"/>
        <v>46660</v>
      </c>
      <c r="N107" s="351">
        <f t="shared" si="70"/>
        <v>47026</v>
      </c>
      <c r="O107" s="351">
        <f t="shared" si="70"/>
        <v>47391</v>
      </c>
      <c r="P107" s="351">
        <f t="shared" si="70"/>
        <v>47756</v>
      </c>
      <c r="Q107" s="351">
        <f t="shared" si="70"/>
        <v>48121</v>
      </c>
      <c r="R107" s="351"/>
      <c r="S107" s="351">
        <f>S77</f>
        <v>48121</v>
      </c>
    </row>
    <row r="108" spans="1:20" ht="5.0999999999999996" customHeight="1"/>
    <row r="109" spans="1:20">
      <c r="B109" s="8" t="s">
        <v>418</v>
      </c>
      <c r="C109" s="98">
        <f t="shared" ref="C109:H109" si="71">C39</f>
        <v>0</v>
      </c>
      <c r="D109" s="98">
        <f t="shared" si="71"/>
        <v>0</v>
      </c>
      <c r="E109" s="98">
        <f t="shared" si="71"/>
        <v>0</v>
      </c>
      <c r="F109" s="98">
        <f t="shared" si="71"/>
        <v>0</v>
      </c>
      <c r="G109" s="98">
        <f t="shared" si="71"/>
        <v>0</v>
      </c>
      <c r="H109" s="98">
        <f t="shared" si="71"/>
        <v>0</v>
      </c>
      <c r="J109" s="225" t="e">
        <f t="shared" ref="J109:J127" si="72">((H109/C109)^(1/COUNT(D109:H109))-1)</f>
        <v>#DIV/0!</v>
      </c>
      <c r="L109" s="10" t="e">
        <f t="shared" ref="L109:Q109" si="73">L39</f>
        <v>#DIV/0!</v>
      </c>
      <c r="M109" s="10" t="e">
        <f t="shared" si="73"/>
        <v>#DIV/0!</v>
      </c>
      <c r="N109" s="10" t="e">
        <f t="shared" si="73"/>
        <v>#DIV/0!</v>
      </c>
      <c r="O109" s="10" t="e">
        <f t="shared" si="73"/>
        <v>#DIV/0!</v>
      </c>
      <c r="P109" s="10" t="e">
        <f t="shared" si="73"/>
        <v>#DIV/0!</v>
      </c>
      <c r="Q109" s="10" t="e">
        <f t="shared" si="73"/>
        <v>#DIV/0!</v>
      </c>
      <c r="S109" s="225" t="e">
        <f t="shared" ref="S109:S116" si="74">((Q109/L109)^(1/COUNT(M109:Q109))-1)</f>
        <v>#DIV/0!</v>
      </c>
      <c r="T109" s="8" t="s">
        <v>465</v>
      </c>
    </row>
    <row r="110" spans="1:20">
      <c r="B110" s="8" t="s">
        <v>466</v>
      </c>
      <c r="C110" s="98">
        <f t="shared" ref="C110:H110" si="75">C41</f>
        <v>0</v>
      </c>
      <c r="D110" s="98">
        <f t="shared" si="75"/>
        <v>0</v>
      </c>
      <c r="E110" s="98">
        <f t="shared" si="75"/>
        <v>0</v>
      </c>
      <c r="F110" s="98">
        <f t="shared" si="75"/>
        <v>0</v>
      </c>
      <c r="G110" s="98">
        <f t="shared" si="75"/>
        <v>0</v>
      </c>
      <c r="H110" s="98">
        <f t="shared" si="75"/>
        <v>0</v>
      </c>
      <c r="J110" s="225" t="e">
        <f t="shared" si="72"/>
        <v>#DIV/0!</v>
      </c>
      <c r="L110" s="10" t="e">
        <f t="shared" ref="L110:Q110" si="76">L41</f>
        <v>#DIV/0!</v>
      </c>
      <c r="M110" s="10" t="e">
        <f t="shared" si="76"/>
        <v>#DIV/0!</v>
      </c>
      <c r="N110" s="10" t="e">
        <f t="shared" si="76"/>
        <v>#DIV/0!</v>
      </c>
      <c r="O110" s="10" t="e">
        <f t="shared" si="76"/>
        <v>#DIV/0!</v>
      </c>
      <c r="P110" s="10" t="e">
        <f t="shared" si="76"/>
        <v>#DIV/0!</v>
      </c>
      <c r="Q110" s="10" t="e">
        <f t="shared" si="76"/>
        <v>#DIV/0!</v>
      </c>
      <c r="S110" s="225" t="e">
        <f t="shared" si="74"/>
        <v>#DIV/0!</v>
      </c>
      <c r="T110" s="8" t="s">
        <v>465</v>
      </c>
    </row>
    <row r="111" spans="1:20">
      <c r="B111" s="8" t="s">
        <v>467</v>
      </c>
      <c r="C111" s="98">
        <f t="shared" ref="C111:H111" si="77">C44</f>
        <v>0</v>
      </c>
      <c r="D111" s="98">
        <f t="shared" si="77"/>
        <v>0</v>
      </c>
      <c r="E111" s="98">
        <f t="shared" si="77"/>
        <v>0</v>
      </c>
      <c r="F111" s="98">
        <f t="shared" si="77"/>
        <v>0</v>
      </c>
      <c r="G111" s="98">
        <f t="shared" si="77"/>
        <v>0</v>
      </c>
      <c r="H111" s="98">
        <f t="shared" si="77"/>
        <v>0</v>
      </c>
      <c r="J111" s="225" t="e">
        <f t="shared" si="72"/>
        <v>#DIV/0!</v>
      </c>
      <c r="L111" s="10">
        <f t="shared" ref="L111:Q111" si="78">L44</f>
        <v>0</v>
      </c>
      <c r="M111" s="10">
        <f t="shared" si="78"/>
        <v>0</v>
      </c>
      <c r="N111" s="10">
        <f t="shared" si="78"/>
        <v>0</v>
      </c>
      <c r="O111" s="10">
        <f t="shared" si="78"/>
        <v>0</v>
      </c>
      <c r="P111" s="10">
        <f t="shared" si="78"/>
        <v>0</v>
      </c>
      <c r="Q111" s="10">
        <f t="shared" si="78"/>
        <v>0</v>
      </c>
      <c r="S111" s="225" t="e">
        <f t="shared" si="74"/>
        <v>#DIV/0!</v>
      </c>
      <c r="T111" s="8" t="s">
        <v>465</v>
      </c>
    </row>
    <row r="112" spans="1:20">
      <c r="B112" s="8" t="s">
        <v>468</v>
      </c>
      <c r="C112" s="98"/>
      <c r="D112" s="98">
        <f>SUM(C81:C83)-SUM(D81:D83)</f>
        <v>0</v>
      </c>
      <c r="E112" s="98">
        <f t="shared" ref="E112:H112" si="79">SUM(D81:D83)-SUM(E81:E83)</f>
        <v>0</v>
      </c>
      <c r="F112" s="98">
        <f t="shared" si="79"/>
        <v>0</v>
      </c>
      <c r="G112" s="98">
        <f t="shared" si="79"/>
        <v>0</v>
      </c>
      <c r="H112" s="98">
        <f t="shared" si="79"/>
        <v>0</v>
      </c>
      <c r="J112" s="225" t="e">
        <f t="shared" si="72"/>
        <v>#DIV/0!</v>
      </c>
      <c r="L112" s="98" t="e">
        <f>SUM(H81:H83)-SUM(L81:L83)</f>
        <v>#DIV/0!</v>
      </c>
      <c r="M112" s="98" t="e">
        <f>SUM(L81:L83)-SUM(M81:M83)</f>
        <v>#DIV/0!</v>
      </c>
      <c r="N112" s="98" t="e">
        <f t="shared" ref="N112:Q112" si="80">SUM(M81:M83)-SUM(N81:N83)</f>
        <v>#DIV/0!</v>
      </c>
      <c r="O112" s="98" t="e">
        <f t="shared" si="80"/>
        <v>#DIV/0!</v>
      </c>
      <c r="P112" s="98" t="e">
        <f t="shared" si="80"/>
        <v>#DIV/0!</v>
      </c>
      <c r="Q112" s="98" t="e">
        <f t="shared" si="80"/>
        <v>#DIV/0!</v>
      </c>
      <c r="S112" s="225" t="e">
        <f t="shared" si="74"/>
        <v>#DIV/0!</v>
      </c>
    </row>
    <row r="113" spans="2:20">
      <c r="B113" s="8" t="s">
        <v>469</v>
      </c>
      <c r="C113" s="98"/>
      <c r="D113" s="98">
        <f t="shared" ref="D113:G113" si="81">SUM(D89:D91)-SUM(C89:C91)</f>
        <v>0</v>
      </c>
      <c r="E113" s="98">
        <f t="shared" si="81"/>
        <v>0</v>
      </c>
      <c r="F113" s="98">
        <f t="shared" si="81"/>
        <v>0</v>
      </c>
      <c r="G113" s="98">
        <f t="shared" si="81"/>
        <v>0</v>
      </c>
      <c r="H113" s="98">
        <f>SUM(H89:H91)-SUM(G89:G91)</f>
        <v>0</v>
      </c>
      <c r="J113" s="225" t="e">
        <f t="shared" si="72"/>
        <v>#DIV/0!</v>
      </c>
      <c r="L113" s="98" t="e">
        <f>SUM(L89:L91)-SUM(H89:H91)</f>
        <v>#DIV/0!</v>
      </c>
      <c r="M113" s="98" t="e">
        <f>SUM(M89:M91)-SUM(L89:L91)</f>
        <v>#DIV/0!</v>
      </c>
      <c r="N113" s="98" t="e">
        <f t="shared" ref="N113:Q113" si="82">SUM(N89:N91)-SUM(M89:M91)</f>
        <v>#DIV/0!</v>
      </c>
      <c r="O113" s="98" t="e">
        <f t="shared" si="82"/>
        <v>#DIV/0!</v>
      </c>
      <c r="P113" s="98" t="e">
        <f t="shared" si="82"/>
        <v>#DIV/0!</v>
      </c>
      <c r="Q113" s="98" t="e">
        <f t="shared" si="82"/>
        <v>#DIV/0!</v>
      </c>
      <c r="S113" s="225" t="e">
        <f t="shared" si="74"/>
        <v>#DIV/0!</v>
      </c>
    </row>
    <row r="114" spans="2:20">
      <c r="B114" s="8" t="s">
        <v>449</v>
      </c>
      <c r="C114" s="10">
        <f t="shared" ref="C114:G114" si="83">-C168</f>
        <v>0</v>
      </c>
      <c r="D114" s="10">
        <f t="shared" si="83"/>
        <v>0</v>
      </c>
      <c r="E114" s="10">
        <f t="shared" si="83"/>
        <v>0</v>
      </c>
      <c r="F114" s="10">
        <f t="shared" si="83"/>
        <v>0</v>
      </c>
      <c r="G114" s="10">
        <f t="shared" si="83"/>
        <v>0</v>
      </c>
      <c r="H114" s="10">
        <f>-H168</f>
        <v>0</v>
      </c>
      <c r="J114" s="225" t="e">
        <f t="shared" si="72"/>
        <v>#DIV/0!</v>
      </c>
      <c r="L114" s="10" t="e">
        <f>-L168</f>
        <v>#DIV/0!</v>
      </c>
      <c r="M114" s="10" t="e">
        <f t="shared" ref="M114:Q114" si="84">-M168</f>
        <v>#DIV/0!</v>
      </c>
      <c r="N114" s="10" t="e">
        <f>-N168</f>
        <v>#DIV/0!</v>
      </c>
      <c r="O114" s="10" t="e">
        <f t="shared" si="84"/>
        <v>#DIV/0!</v>
      </c>
      <c r="P114" s="10" t="e">
        <f t="shared" si="84"/>
        <v>#DIV/0!</v>
      </c>
      <c r="Q114" s="10" t="e">
        <f t="shared" si="84"/>
        <v>#DIV/0!</v>
      </c>
      <c r="S114" s="225" t="e">
        <f t="shared" si="74"/>
        <v>#DIV/0!</v>
      </c>
      <c r="T114" s="8" t="s">
        <v>470</v>
      </c>
    </row>
    <row r="115" spans="2:20">
      <c r="B115" s="8" t="s">
        <v>456</v>
      </c>
      <c r="C115" s="10"/>
      <c r="D115" s="10">
        <f t="shared" ref="D115:G115" si="85">D94-C94</f>
        <v>0</v>
      </c>
      <c r="E115" s="10">
        <f t="shared" si="85"/>
        <v>0</v>
      </c>
      <c r="F115" s="10">
        <f t="shared" si="85"/>
        <v>0</v>
      </c>
      <c r="G115" s="10">
        <f t="shared" si="85"/>
        <v>0</v>
      </c>
      <c r="H115" s="10">
        <f>H94-G94</f>
        <v>0</v>
      </c>
      <c r="J115" s="225" t="e">
        <f t="shared" si="72"/>
        <v>#DIV/0!</v>
      </c>
      <c r="L115" s="10">
        <f>L94-H94</f>
        <v>0</v>
      </c>
      <c r="M115" s="10">
        <f>M94-L94</f>
        <v>0</v>
      </c>
      <c r="N115" s="10">
        <f>N94-M94</f>
        <v>0</v>
      </c>
      <c r="O115" s="10">
        <f t="shared" ref="O115:Q115" si="86">O94-N94</f>
        <v>0</v>
      </c>
      <c r="P115" s="10">
        <f t="shared" si="86"/>
        <v>0</v>
      </c>
      <c r="Q115" s="10">
        <f t="shared" si="86"/>
        <v>0</v>
      </c>
      <c r="S115" s="225" t="e">
        <f t="shared" si="74"/>
        <v>#DIV/0!</v>
      </c>
    </row>
    <row r="116" spans="2:20">
      <c r="B116" s="36" t="s">
        <v>471</v>
      </c>
      <c r="C116" s="346">
        <f t="shared" ref="C116:H116" si="87">SUM(C109:C115)</f>
        <v>0</v>
      </c>
      <c r="D116" s="346">
        <f t="shared" si="87"/>
        <v>0</v>
      </c>
      <c r="E116" s="346">
        <f t="shared" si="87"/>
        <v>0</v>
      </c>
      <c r="F116" s="346">
        <f t="shared" si="87"/>
        <v>0</v>
      </c>
      <c r="G116" s="346">
        <f t="shared" si="87"/>
        <v>0</v>
      </c>
      <c r="H116" s="346">
        <f t="shared" si="87"/>
        <v>0</v>
      </c>
      <c r="J116" s="226" t="e">
        <f t="shared" si="72"/>
        <v>#DIV/0!</v>
      </c>
      <c r="L116" s="346" t="e">
        <f t="shared" ref="L116:Q116" si="88">SUM(L109:L115)</f>
        <v>#DIV/0!</v>
      </c>
      <c r="M116" s="346" t="e">
        <f t="shared" si="88"/>
        <v>#DIV/0!</v>
      </c>
      <c r="N116" s="346" t="e">
        <f t="shared" si="88"/>
        <v>#DIV/0!</v>
      </c>
      <c r="O116" s="346" t="e">
        <f t="shared" si="88"/>
        <v>#DIV/0!</v>
      </c>
      <c r="P116" s="346" t="e">
        <f t="shared" si="88"/>
        <v>#DIV/0!</v>
      </c>
      <c r="Q116" s="346" t="e">
        <f t="shared" si="88"/>
        <v>#DIV/0!</v>
      </c>
      <c r="S116" s="226" t="e">
        <f t="shared" si="74"/>
        <v>#DIV/0!</v>
      </c>
    </row>
    <row r="118" spans="2:20">
      <c r="B118" s="8" t="s">
        <v>472</v>
      </c>
      <c r="C118" s="10">
        <f>-C135</f>
        <v>0</v>
      </c>
      <c r="D118" s="10">
        <f t="shared" ref="D118:H118" si="89">-D135</f>
        <v>0</v>
      </c>
      <c r="E118" s="10">
        <f t="shared" si="89"/>
        <v>0</v>
      </c>
      <c r="F118" s="10">
        <f t="shared" si="89"/>
        <v>0</v>
      </c>
      <c r="G118" s="10">
        <f t="shared" si="89"/>
        <v>0</v>
      </c>
      <c r="H118" s="10">
        <f t="shared" si="89"/>
        <v>0</v>
      </c>
      <c r="J118" s="225" t="e">
        <f t="shared" si="72"/>
        <v>#DIV/0!</v>
      </c>
      <c r="L118" s="126">
        <f>-L135</f>
        <v>0</v>
      </c>
      <c r="M118" s="126">
        <f t="shared" ref="M118:Q118" si="90">-M135</f>
        <v>0</v>
      </c>
      <c r="N118" s="126">
        <f t="shared" si="90"/>
        <v>0</v>
      </c>
      <c r="O118" s="126">
        <f t="shared" si="90"/>
        <v>0</v>
      </c>
      <c r="P118" s="126">
        <f t="shared" si="90"/>
        <v>0</v>
      </c>
      <c r="Q118" s="126">
        <f t="shared" si="90"/>
        <v>0</v>
      </c>
      <c r="S118" s="225" t="e">
        <f t="shared" ref="S118:S119" si="91">((Q118/L118)^(1/COUNT(M118:Q118))-1)</f>
        <v>#DIV/0!</v>
      </c>
    </row>
    <row r="119" spans="2:20">
      <c r="B119" s="36" t="s">
        <v>473</v>
      </c>
      <c r="C119" s="346">
        <f t="shared" ref="C119:H119" si="92">+C118</f>
        <v>0</v>
      </c>
      <c r="D119" s="346">
        <f t="shared" si="92"/>
        <v>0</v>
      </c>
      <c r="E119" s="346">
        <f t="shared" si="92"/>
        <v>0</v>
      </c>
      <c r="F119" s="346">
        <f t="shared" si="92"/>
        <v>0</v>
      </c>
      <c r="G119" s="346">
        <f t="shared" si="92"/>
        <v>0</v>
      </c>
      <c r="H119" s="346">
        <f t="shared" si="92"/>
        <v>0</v>
      </c>
      <c r="J119" s="226" t="e">
        <f t="shared" si="72"/>
        <v>#DIV/0!</v>
      </c>
      <c r="L119" s="346">
        <f t="shared" ref="L119:Q119" si="93">+L118</f>
        <v>0</v>
      </c>
      <c r="M119" s="346">
        <f t="shared" si="93"/>
        <v>0</v>
      </c>
      <c r="N119" s="346">
        <f t="shared" si="93"/>
        <v>0</v>
      </c>
      <c r="O119" s="346">
        <f t="shared" si="93"/>
        <v>0</v>
      </c>
      <c r="P119" s="346">
        <f t="shared" si="93"/>
        <v>0</v>
      </c>
      <c r="Q119" s="346">
        <f t="shared" si="93"/>
        <v>0</v>
      </c>
      <c r="S119" s="226" t="e">
        <f t="shared" si="91"/>
        <v>#DIV/0!</v>
      </c>
    </row>
    <row r="121" spans="2:20">
      <c r="B121" s="8" t="s">
        <v>474</v>
      </c>
      <c r="C121" s="10"/>
      <c r="D121" s="10">
        <f>D93-C93</f>
        <v>0</v>
      </c>
      <c r="E121" s="10">
        <f t="shared" ref="E121:G121" si="94">E93-D93</f>
        <v>0</v>
      </c>
      <c r="F121" s="10">
        <f t="shared" si="94"/>
        <v>0</v>
      </c>
      <c r="G121" s="10">
        <f t="shared" si="94"/>
        <v>0</v>
      </c>
      <c r="H121" s="10">
        <f>H93-G93</f>
        <v>0</v>
      </c>
      <c r="J121" s="225" t="e">
        <f t="shared" si="72"/>
        <v>#DIV/0!</v>
      </c>
      <c r="L121" s="10">
        <f>L93-H93</f>
        <v>0</v>
      </c>
      <c r="M121" s="10">
        <f>M93-L93</f>
        <v>0</v>
      </c>
      <c r="N121" s="10">
        <f t="shared" ref="N121:Q121" si="95">N93-M93</f>
        <v>0</v>
      </c>
      <c r="O121" s="10">
        <f t="shared" si="95"/>
        <v>0</v>
      </c>
      <c r="P121" s="10">
        <f t="shared" si="95"/>
        <v>0</v>
      </c>
      <c r="Q121" s="10">
        <f t="shared" si="95"/>
        <v>0</v>
      </c>
      <c r="S121" s="225" t="e">
        <f t="shared" ref="S121:S125" si="96">((Q121/L121)^(1/COUNT(M121:Q121))-1)</f>
        <v>#DIV/0!</v>
      </c>
    </row>
    <row r="122" spans="2:20">
      <c r="B122" s="8" t="s">
        <v>475</v>
      </c>
      <c r="C122" s="10"/>
      <c r="D122" s="10">
        <f t="shared" ref="D122:G122" si="97">D92-C92</f>
        <v>0</v>
      </c>
      <c r="E122" s="10">
        <f t="shared" si="97"/>
        <v>0</v>
      </c>
      <c r="F122" s="10">
        <f t="shared" si="97"/>
        <v>0</v>
      </c>
      <c r="G122" s="10">
        <f t="shared" si="97"/>
        <v>0</v>
      </c>
      <c r="H122" s="10">
        <f>H92-G92</f>
        <v>0</v>
      </c>
      <c r="J122" s="225" t="e">
        <f t="shared" si="72"/>
        <v>#DIV/0!</v>
      </c>
      <c r="L122" s="10" t="e">
        <f>L92-H92</f>
        <v>#DIV/0!</v>
      </c>
      <c r="M122" s="10" t="e">
        <f>M92-L92</f>
        <v>#DIV/0!</v>
      </c>
      <c r="N122" s="10" t="e">
        <f t="shared" ref="N122:Q122" si="98">N92-M92</f>
        <v>#DIV/0!</v>
      </c>
      <c r="O122" s="10" t="e">
        <f t="shared" si="98"/>
        <v>#DIV/0!</v>
      </c>
      <c r="P122" s="10" t="e">
        <f t="shared" si="98"/>
        <v>#DIV/0!</v>
      </c>
      <c r="Q122" s="10" t="e">
        <f t="shared" si="98"/>
        <v>#DIV/0!</v>
      </c>
      <c r="S122" s="225" t="e">
        <f t="shared" si="96"/>
        <v>#DIV/0!</v>
      </c>
      <c r="T122" s="8" t="s">
        <v>476</v>
      </c>
    </row>
    <row r="123" spans="2:20">
      <c r="B123" s="8" t="s">
        <v>477</v>
      </c>
      <c r="C123" s="10">
        <f t="shared" ref="C123:G123" si="99">C175</f>
        <v>0</v>
      </c>
      <c r="D123" s="10">
        <f t="shared" si="99"/>
        <v>0</v>
      </c>
      <c r="E123" s="10">
        <f t="shared" si="99"/>
        <v>0</v>
      </c>
      <c r="F123" s="10">
        <f t="shared" si="99"/>
        <v>0</v>
      </c>
      <c r="G123" s="10">
        <f t="shared" si="99"/>
        <v>0</v>
      </c>
      <c r="H123" s="10">
        <f>H175</f>
        <v>0</v>
      </c>
      <c r="J123" s="225" t="e">
        <f t="shared" si="72"/>
        <v>#DIV/0!</v>
      </c>
      <c r="L123" s="10">
        <f>L175</f>
        <v>0</v>
      </c>
      <c r="M123" s="10">
        <f t="shared" ref="M123:Q123" si="100">M175</f>
        <v>0</v>
      </c>
      <c r="N123" s="10">
        <f t="shared" si="100"/>
        <v>0</v>
      </c>
      <c r="O123" s="10">
        <f t="shared" si="100"/>
        <v>0</v>
      </c>
      <c r="P123" s="10">
        <f t="shared" si="100"/>
        <v>0</v>
      </c>
      <c r="Q123" s="10">
        <f t="shared" si="100"/>
        <v>0</v>
      </c>
      <c r="S123" s="225" t="e">
        <f t="shared" si="96"/>
        <v>#DIV/0!</v>
      </c>
      <c r="T123" s="8" t="s">
        <v>476</v>
      </c>
    </row>
    <row r="124" spans="2:20">
      <c r="B124" s="8" t="s">
        <v>478</v>
      </c>
      <c r="C124" s="10">
        <f t="shared" ref="C124:H124" si="101">C174</f>
        <v>0</v>
      </c>
      <c r="D124" s="10">
        <f t="shared" si="101"/>
        <v>0</v>
      </c>
      <c r="E124" s="10">
        <f t="shared" si="101"/>
        <v>0</v>
      </c>
      <c r="F124" s="10">
        <f t="shared" si="101"/>
        <v>0</v>
      </c>
      <c r="G124" s="10">
        <f t="shared" si="101"/>
        <v>0</v>
      </c>
      <c r="H124" s="10">
        <f t="shared" si="101"/>
        <v>0</v>
      </c>
      <c r="J124" s="225" t="e">
        <f t="shared" si="72"/>
        <v>#DIV/0!</v>
      </c>
      <c r="L124" s="10">
        <f>L174</f>
        <v>0</v>
      </c>
      <c r="M124" s="10" t="e">
        <f t="shared" ref="M124:Q124" si="102">M174</f>
        <v>#DIV/0!</v>
      </c>
      <c r="N124" s="10" t="e">
        <f t="shared" si="102"/>
        <v>#DIV/0!</v>
      </c>
      <c r="O124" s="10" t="e">
        <f t="shared" si="102"/>
        <v>#DIV/0!</v>
      </c>
      <c r="P124" s="10" t="e">
        <f t="shared" si="102"/>
        <v>#DIV/0!</v>
      </c>
      <c r="Q124" s="10" t="e">
        <f t="shared" si="102"/>
        <v>#DIV/0!</v>
      </c>
      <c r="S124" s="225" t="e">
        <f t="shared" si="96"/>
        <v>#DIV/0!</v>
      </c>
      <c r="T124" s="8" t="s">
        <v>476</v>
      </c>
    </row>
    <row r="125" spans="2:20">
      <c r="B125" s="36" t="s">
        <v>473</v>
      </c>
      <c r="C125" s="346">
        <f t="shared" ref="C125:H125" si="103">SUM(C121:C124)</f>
        <v>0</v>
      </c>
      <c r="D125" s="346">
        <f t="shared" si="103"/>
        <v>0</v>
      </c>
      <c r="E125" s="346">
        <f t="shared" si="103"/>
        <v>0</v>
      </c>
      <c r="F125" s="346">
        <f t="shared" si="103"/>
        <v>0</v>
      </c>
      <c r="G125" s="346">
        <f t="shared" si="103"/>
        <v>0</v>
      </c>
      <c r="H125" s="346">
        <f t="shared" si="103"/>
        <v>0</v>
      </c>
      <c r="J125" s="226" t="e">
        <f t="shared" si="72"/>
        <v>#DIV/0!</v>
      </c>
      <c r="L125" s="346" t="e">
        <f t="shared" ref="L125:Q125" si="104">SUM(L121:L124)</f>
        <v>#DIV/0!</v>
      </c>
      <c r="M125" s="346" t="e">
        <f t="shared" si="104"/>
        <v>#DIV/0!</v>
      </c>
      <c r="N125" s="346" t="e">
        <f t="shared" si="104"/>
        <v>#DIV/0!</v>
      </c>
      <c r="O125" s="346" t="e">
        <f t="shared" si="104"/>
        <v>#DIV/0!</v>
      </c>
      <c r="P125" s="346" t="e">
        <f t="shared" si="104"/>
        <v>#DIV/0!</v>
      </c>
      <c r="Q125" s="346" t="e">
        <f t="shared" si="104"/>
        <v>#DIV/0!</v>
      </c>
      <c r="S125" s="226" t="e">
        <f t="shared" si="96"/>
        <v>#DIV/0!</v>
      </c>
    </row>
    <row r="127" spans="2:20">
      <c r="B127" s="36" t="s">
        <v>479</v>
      </c>
      <c r="C127" s="356">
        <f t="shared" ref="C127:H127" si="105">+C125+C119+C116</f>
        <v>0</v>
      </c>
      <c r="D127" s="356">
        <f t="shared" si="105"/>
        <v>0</v>
      </c>
      <c r="E127" s="356">
        <f t="shared" si="105"/>
        <v>0</v>
      </c>
      <c r="F127" s="356">
        <f t="shared" si="105"/>
        <v>0</v>
      </c>
      <c r="G127" s="356">
        <f t="shared" si="105"/>
        <v>0</v>
      </c>
      <c r="H127" s="356">
        <f t="shared" si="105"/>
        <v>0</v>
      </c>
      <c r="J127" s="226" t="e">
        <f t="shared" si="72"/>
        <v>#DIV/0!</v>
      </c>
      <c r="L127" s="356" t="e">
        <f>+L125+L119+L116</f>
        <v>#DIV/0!</v>
      </c>
      <c r="M127" s="356" t="e">
        <f t="shared" ref="M127:Q127" si="106">+M125+M119+M116</f>
        <v>#DIV/0!</v>
      </c>
      <c r="N127" s="356" t="e">
        <f t="shared" si="106"/>
        <v>#DIV/0!</v>
      </c>
      <c r="O127" s="356" t="e">
        <f t="shared" si="106"/>
        <v>#DIV/0!</v>
      </c>
      <c r="P127" s="356" t="e">
        <f t="shared" si="106"/>
        <v>#DIV/0!</v>
      </c>
      <c r="Q127" s="356" t="e">
        <f t="shared" si="106"/>
        <v>#DIV/0!</v>
      </c>
      <c r="S127" s="226" t="e">
        <f t="shared" ref="S127" si="107">((Q127/L127)^(1/COUNT(M127:Q127))-1)</f>
        <v>#DIV/0!</v>
      </c>
    </row>
    <row r="129" spans="1:20">
      <c r="A129" s="8" t="s">
        <v>19</v>
      </c>
      <c r="B129" s="357" t="s">
        <v>480</v>
      </c>
      <c r="C129" s="358" t="s">
        <v>368</v>
      </c>
      <c r="D129" s="358"/>
      <c r="E129" s="358"/>
      <c r="F129" s="358"/>
      <c r="G129" s="358"/>
      <c r="H129" s="358"/>
      <c r="I129" s="359"/>
      <c r="J129" s="359"/>
      <c r="K129" s="359"/>
      <c r="L129" s="358" t="s">
        <v>370</v>
      </c>
      <c r="M129" s="358"/>
      <c r="N129" s="358"/>
      <c r="O129" s="358"/>
      <c r="P129" s="358"/>
      <c r="Q129" s="358"/>
    </row>
    <row r="130" spans="1:20">
      <c r="B130" s="360" t="s">
        <v>405</v>
      </c>
      <c r="C130" s="361">
        <f>C106</f>
        <v>2020</v>
      </c>
      <c r="D130" s="361">
        <f t="shared" ref="D130:H131" si="108">D106</f>
        <v>2021</v>
      </c>
      <c r="E130" s="361">
        <f t="shared" si="108"/>
        <v>2022</v>
      </c>
      <c r="F130" s="361">
        <f t="shared" si="108"/>
        <v>2023</v>
      </c>
      <c r="G130" s="361">
        <f t="shared" si="108"/>
        <v>2024</v>
      </c>
      <c r="H130" s="361">
        <f t="shared" si="108"/>
        <v>2025</v>
      </c>
      <c r="I130" s="359"/>
      <c r="J130" s="359"/>
      <c r="K130" s="359"/>
      <c r="L130" s="362">
        <f t="shared" ref="L130:Q131" si="109">L76</f>
        <v>2026</v>
      </c>
      <c r="M130" s="362">
        <f t="shared" si="109"/>
        <v>2027</v>
      </c>
      <c r="N130" s="362">
        <f t="shared" si="109"/>
        <v>2028</v>
      </c>
      <c r="O130" s="362">
        <f t="shared" si="109"/>
        <v>2029</v>
      </c>
      <c r="P130" s="362">
        <f t="shared" si="109"/>
        <v>2030</v>
      </c>
      <c r="Q130" s="362">
        <f t="shared" si="109"/>
        <v>2031</v>
      </c>
    </row>
    <row r="131" spans="1:20">
      <c r="B131" s="360" t="s">
        <v>406</v>
      </c>
      <c r="C131" s="359">
        <f>C107</f>
        <v>44104</v>
      </c>
      <c r="D131" s="359">
        <f t="shared" si="108"/>
        <v>44469</v>
      </c>
      <c r="E131" s="359">
        <f t="shared" si="108"/>
        <v>44834</v>
      </c>
      <c r="F131" s="359">
        <f t="shared" si="108"/>
        <v>45192</v>
      </c>
      <c r="G131" s="359">
        <f t="shared" si="108"/>
        <v>45559</v>
      </c>
      <c r="H131" s="359">
        <f t="shared" si="108"/>
        <v>45927</v>
      </c>
      <c r="I131" s="359"/>
      <c r="J131" s="359"/>
      <c r="K131" s="359"/>
      <c r="L131" s="359">
        <f t="shared" si="109"/>
        <v>46295</v>
      </c>
      <c r="M131" s="359">
        <f t="shared" si="109"/>
        <v>46660</v>
      </c>
      <c r="N131" s="359">
        <f t="shared" si="109"/>
        <v>47026</v>
      </c>
      <c r="O131" s="359">
        <f t="shared" si="109"/>
        <v>47391</v>
      </c>
      <c r="P131" s="359">
        <f t="shared" si="109"/>
        <v>47756</v>
      </c>
      <c r="Q131" s="359">
        <f t="shared" si="109"/>
        <v>48121</v>
      </c>
    </row>
    <row r="132" spans="1:20" ht="5.0999999999999996" customHeight="1"/>
    <row r="133" spans="1:20">
      <c r="B133" s="35" t="s">
        <v>481</v>
      </c>
      <c r="C133" s="247"/>
      <c r="D133" s="247"/>
      <c r="E133" s="247"/>
      <c r="F133" s="247"/>
      <c r="G133" s="247"/>
      <c r="H133" s="247"/>
      <c r="I133" s="247"/>
      <c r="J133" s="247"/>
      <c r="K133" s="247"/>
      <c r="L133" s="247"/>
      <c r="M133" s="247"/>
      <c r="N133" s="247"/>
      <c r="O133" s="247"/>
      <c r="P133" s="247"/>
      <c r="Q133" s="247"/>
    </row>
    <row r="134" spans="1:20">
      <c r="B134" s="363" t="s">
        <v>482</v>
      </c>
      <c r="C134" s="364"/>
      <c r="D134" s="365">
        <f>C137</f>
        <v>0</v>
      </c>
      <c r="E134" s="365">
        <f t="shared" ref="E134:H134" si="110">D137</f>
        <v>0</v>
      </c>
      <c r="F134" s="365">
        <f t="shared" si="110"/>
        <v>0</v>
      </c>
      <c r="G134" s="365">
        <f t="shared" si="110"/>
        <v>0</v>
      </c>
      <c r="H134" s="365">
        <f t="shared" si="110"/>
        <v>0</v>
      </c>
      <c r="I134" s="365"/>
      <c r="J134" s="365"/>
      <c r="K134" s="365"/>
      <c r="L134" s="365">
        <f>H137</f>
        <v>0</v>
      </c>
      <c r="M134" s="365">
        <f>L137</f>
        <v>0</v>
      </c>
      <c r="N134" s="365">
        <f t="shared" ref="N134:Q134" si="111">M137</f>
        <v>0</v>
      </c>
      <c r="O134" s="365">
        <f t="shared" si="111"/>
        <v>0</v>
      </c>
      <c r="P134" s="365">
        <f t="shared" si="111"/>
        <v>0</v>
      </c>
      <c r="Q134" s="365">
        <f t="shared" si="111"/>
        <v>0</v>
      </c>
    </row>
    <row r="135" spans="1:20">
      <c r="B135" s="62" t="s">
        <v>483</v>
      </c>
      <c r="C135" s="97"/>
      <c r="D135" s="97"/>
      <c r="E135" s="97"/>
      <c r="F135" s="97"/>
      <c r="G135" s="97"/>
      <c r="H135" s="97"/>
      <c r="J135" s="225"/>
      <c r="L135" s="97"/>
      <c r="M135" s="97"/>
      <c r="N135" s="97"/>
      <c r="O135" s="97"/>
      <c r="P135" s="97"/>
      <c r="Q135" s="97"/>
      <c r="S135" s="225"/>
      <c r="T135" s="8" t="s">
        <v>484</v>
      </c>
    </row>
    <row r="136" spans="1:20">
      <c r="B136" s="62" t="s">
        <v>485</v>
      </c>
      <c r="C136" s="85"/>
      <c r="D136" s="85"/>
      <c r="E136" s="85"/>
      <c r="F136" s="85"/>
      <c r="G136" s="85"/>
      <c r="H136" s="85"/>
      <c r="L136" s="10">
        <f>-L158</f>
        <v>0</v>
      </c>
      <c r="M136" s="10">
        <f t="shared" ref="M136:Q136" si="112">-M158</f>
        <v>0</v>
      </c>
      <c r="N136" s="10">
        <f t="shared" si="112"/>
        <v>0</v>
      </c>
      <c r="O136" s="10">
        <f t="shared" si="112"/>
        <v>0</v>
      </c>
      <c r="P136" s="10">
        <f t="shared" si="112"/>
        <v>0</v>
      </c>
      <c r="Q136" s="10">
        <f t="shared" si="112"/>
        <v>0</v>
      </c>
    </row>
    <row r="137" spans="1:20">
      <c r="B137" s="366" t="s">
        <v>486</v>
      </c>
      <c r="C137" s="367">
        <f>C84</f>
        <v>0</v>
      </c>
      <c r="D137" s="367">
        <f t="shared" ref="D137:H137" si="113">D84</f>
        <v>0</v>
      </c>
      <c r="E137" s="367">
        <f t="shared" si="113"/>
        <v>0</v>
      </c>
      <c r="F137" s="367">
        <f t="shared" si="113"/>
        <v>0</v>
      </c>
      <c r="G137" s="367">
        <f t="shared" si="113"/>
        <v>0</v>
      </c>
      <c r="H137" s="367">
        <f t="shared" si="113"/>
        <v>0</v>
      </c>
      <c r="I137" s="368"/>
      <c r="J137" s="368"/>
      <c r="K137" s="368"/>
      <c r="L137" s="367">
        <f t="shared" ref="L137:Q137" si="114">SUM(L134:L136)</f>
        <v>0</v>
      </c>
      <c r="M137" s="367">
        <f t="shared" si="114"/>
        <v>0</v>
      </c>
      <c r="N137" s="367">
        <f t="shared" si="114"/>
        <v>0</v>
      </c>
      <c r="O137" s="367">
        <f t="shared" si="114"/>
        <v>0</v>
      </c>
      <c r="P137" s="367">
        <f t="shared" si="114"/>
        <v>0</v>
      </c>
      <c r="Q137" s="367">
        <f t="shared" si="114"/>
        <v>0</v>
      </c>
    </row>
    <row r="138" spans="1:20" ht="5.0999999999999996" customHeight="1"/>
    <row r="139" spans="1:20">
      <c r="B139" s="8" t="s">
        <v>487</v>
      </c>
      <c r="C139" s="369" t="e">
        <f t="shared" ref="C139:H139" si="115">-(C136/C135)</f>
        <v>#DIV/0!</v>
      </c>
      <c r="D139" s="369" t="e">
        <f t="shared" si="115"/>
        <v>#DIV/0!</v>
      </c>
      <c r="E139" s="369" t="e">
        <f t="shared" si="115"/>
        <v>#DIV/0!</v>
      </c>
      <c r="F139" s="369" t="e">
        <f t="shared" si="115"/>
        <v>#DIV/0!</v>
      </c>
      <c r="G139" s="369" t="e">
        <f t="shared" si="115"/>
        <v>#DIV/0!</v>
      </c>
      <c r="H139" s="369" t="e">
        <f t="shared" si="115"/>
        <v>#DIV/0!</v>
      </c>
      <c r="L139" s="369" t="e">
        <f t="shared" ref="L139:Q139" si="116">-(L136/L135)</f>
        <v>#DIV/0!</v>
      </c>
      <c r="M139" s="369" t="e">
        <f t="shared" si="116"/>
        <v>#DIV/0!</v>
      </c>
      <c r="N139" s="369" t="e">
        <f t="shared" si="116"/>
        <v>#DIV/0!</v>
      </c>
      <c r="O139" s="369" t="e">
        <f t="shared" si="116"/>
        <v>#DIV/0!</v>
      </c>
      <c r="P139" s="369" t="e">
        <f t="shared" si="116"/>
        <v>#DIV/0!</v>
      </c>
      <c r="Q139" s="369" t="e">
        <f t="shared" si="116"/>
        <v>#DIV/0!</v>
      </c>
    </row>
    <row r="140" spans="1:20" hidden="1" outlineLevel="1">
      <c r="B140" s="370" t="s">
        <v>488</v>
      </c>
      <c r="C140" s="371">
        <v>0.03</v>
      </c>
    </row>
    <row r="141" spans="1:20" collapsed="1"/>
    <row r="142" spans="1:20">
      <c r="B142" s="35" t="s">
        <v>489</v>
      </c>
      <c r="C142" s="247"/>
      <c r="D142" s="247"/>
      <c r="E142" s="247"/>
      <c r="F142" s="247"/>
      <c r="G142" s="247"/>
      <c r="H142" s="247"/>
      <c r="I142" s="247"/>
      <c r="J142" s="247"/>
      <c r="K142" s="247"/>
      <c r="L142" s="247"/>
      <c r="M142" s="247"/>
      <c r="N142" s="247"/>
      <c r="O142" s="247"/>
      <c r="P142" s="247"/>
      <c r="Q142" s="247"/>
    </row>
    <row r="143" spans="1:20">
      <c r="B143" s="62" t="s">
        <v>490</v>
      </c>
      <c r="C143" s="85"/>
      <c r="D143" s="85"/>
      <c r="E143" s="85"/>
      <c r="F143" s="85"/>
      <c r="G143" s="85"/>
      <c r="H143" s="85"/>
      <c r="L143" s="372"/>
      <c r="M143" s="372"/>
      <c r="N143" s="372"/>
      <c r="O143" s="372"/>
      <c r="P143" s="372"/>
      <c r="Q143" s="372"/>
    </row>
    <row r="144" spans="1:20">
      <c r="B144" s="62" t="s">
        <v>491</v>
      </c>
      <c r="C144" s="85"/>
      <c r="D144" s="85"/>
      <c r="E144" s="85"/>
      <c r="F144" s="85"/>
      <c r="G144" s="85"/>
      <c r="H144" s="85"/>
      <c r="L144" s="372"/>
      <c r="M144" s="372"/>
      <c r="N144" s="372"/>
      <c r="O144" s="372"/>
      <c r="P144" s="372"/>
      <c r="Q144" s="372"/>
    </row>
    <row r="145" spans="2:17">
      <c r="B145" s="62" t="s">
        <v>492</v>
      </c>
      <c r="C145" s="85"/>
      <c r="D145" s="85"/>
      <c r="E145" s="85"/>
      <c r="F145" s="85"/>
      <c r="G145" s="85"/>
      <c r="H145" s="85"/>
      <c r="L145" s="372"/>
      <c r="M145" s="372"/>
      <c r="N145" s="372"/>
      <c r="O145" s="372"/>
      <c r="P145" s="372"/>
      <c r="Q145" s="372"/>
    </row>
    <row r="146" spans="2:17">
      <c r="B146" s="317" t="s">
        <v>493</v>
      </c>
      <c r="C146" s="318">
        <f>SUM(C143:C145)</f>
        <v>0</v>
      </c>
      <c r="D146" s="318">
        <f t="shared" ref="D146:H146" si="117">SUM(D143:D145)</f>
        <v>0</v>
      </c>
      <c r="E146" s="318">
        <f t="shared" si="117"/>
        <v>0</v>
      </c>
      <c r="F146" s="318">
        <f t="shared" si="117"/>
        <v>0</v>
      </c>
      <c r="G146" s="318">
        <f t="shared" si="117"/>
        <v>0</v>
      </c>
      <c r="H146" s="318">
        <f t="shared" si="117"/>
        <v>0</v>
      </c>
      <c r="L146" s="372"/>
      <c r="M146" s="372"/>
      <c r="N146" s="372"/>
      <c r="O146" s="372"/>
      <c r="P146" s="372"/>
      <c r="Q146" s="372"/>
    </row>
    <row r="148" spans="2:17">
      <c r="B148" s="8" t="s">
        <v>494</v>
      </c>
      <c r="C148" s="373">
        <f>IF(C149,C149,-ROUND((H143-H144)/H136,0))</f>
        <v>6</v>
      </c>
      <c r="E148" s="8" t="s">
        <v>495</v>
      </c>
    </row>
    <row r="149" spans="2:17">
      <c r="B149" s="8" t="s">
        <v>496</v>
      </c>
      <c r="C149" s="374">
        <v>6</v>
      </c>
      <c r="E149" s="375">
        <v>1</v>
      </c>
    </row>
    <row r="151" spans="2:17">
      <c r="B151" s="8" t="s">
        <v>497</v>
      </c>
      <c r="C151" s="10">
        <f t="shared" ref="C151:H151" si="118">-C136</f>
        <v>0</v>
      </c>
      <c r="D151" s="10">
        <f t="shared" si="118"/>
        <v>0</v>
      </c>
      <c r="E151" s="10">
        <f t="shared" si="118"/>
        <v>0</v>
      </c>
      <c r="F151" s="10">
        <f t="shared" si="118"/>
        <v>0</v>
      </c>
      <c r="G151" s="10">
        <f t="shared" si="118"/>
        <v>0</v>
      </c>
      <c r="H151" s="10">
        <f t="shared" si="118"/>
        <v>0</v>
      </c>
      <c r="L151" s="10">
        <f t="shared" ref="L151:Q151" si="119">DDB($H$146,0,$C$148,L130-$H$130)</f>
        <v>0</v>
      </c>
      <c r="M151" s="10">
        <f t="shared" si="119"/>
        <v>0</v>
      </c>
      <c r="N151" s="10">
        <f t="shared" si="119"/>
        <v>0</v>
      </c>
      <c r="O151" s="10">
        <f t="shared" si="119"/>
        <v>0</v>
      </c>
      <c r="P151" s="10">
        <f t="shared" si="119"/>
        <v>0</v>
      </c>
      <c r="Q151" s="10">
        <f t="shared" si="119"/>
        <v>0</v>
      </c>
    </row>
    <row r="152" spans="2:17">
      <c r="B152" s="8" t="s">
        <v>498</v>
      </c>
      <c r="C152" s="372"/>
      <c r="D152" s="372"/>
      <c r="E152" s="372"/>
      <c r="F152" s="372"/>
      <c r="G152" s="372"/>
      <c r="H152" s="372"/>
      <c r="L152" s="10">
        <f>L135*$E$149/$C$148</f>
        <v>0</v>
      </c>
      <c r="M152" s="10">
        <f>$L$135/$C$148</f>
        <v>0</v>
      </c>
      <c r="N152" s="10">
        <f>$L$135/$C$148</f>
        <v>0</v>
      </c>
      <c r="O152" s="10">
        <f>$L$135/$C$148</f>
        <v>0</v>
      </c>
      <c r="P152" s="10">
        <f>$L$135/$C$148</f>
        <v>0</v>
      </c>
      <c r="Q152" s="10">
        <f>$L$135/$C$148</f>
        <v>0</v>
      </c>
    </row>
    <row r="153" spans="2:17">
      <c r="B153" s="8" t="s">
        <v>499</v>
      </c>
      <c r="C153" s="372"/>
      <c r="D153" s="372"/>
      <c r="E153" s="372"/>
      <c r="F153" s="372"/>
      <c r="G153" s="372"/>
      <c r="H153" s="372"/>
      <c r="L153" s="372"/>
      <c r="M153" s="10">
        <f>M135*$E$149/$C$148</f>
        <v>0</v>
      </c>
      <c r="N153" s="10">
        <f>$M$135/$C$148</f>
        <v>0</v>
      </c>
      <c r="O153" s="10">
        <f>$M$135/$C$148</f>
        <v>0</v>
      </c>
      <c r="P153" s="10">
        <f>$M$135/$C$148</f>
        <v>0</v>
      </c>
      <c r="Q153" s="10">
        <f>$M$135/$C$148</f>
        <v>0</v>
      </c>
    </row>
    <row r="154" spans="2:17">
      <c r="B154" s="8" t="s">
        <v>500</v>
      </c>
      <c r="C154" s="372"/>
      <c r="D154" s="372"/>
      <c r="E154" s="372"/>
      <c r="F154" s="372"/>
      <c r="G154" s="372"/>
      <c r="H154" s="372"/>
      <c r="L154" s="372"/>
      <c r="M154" s="372"/>
      <c r="N154" s="10">
        <f>N135*$E$149/$C$148</f>
        <v>0</v>
      </c>
      <c r="O154" s="10">
        <f>$N$135/$C$148</f>
        <v>0</v>
      </c>
      <c r="P154" s="10">
        <f>$N$135/$C$148</f>
        <v>0</v>
      </c>
      <c r="Q154" s="10">
        <f>$N$135/$C$148</f>
        <v>0</v>
      </c>
    </row>
    <row r="155" spans="2:17">
      <c r="B155" s="8" t="s">
        <v>501</v>
      </c>
      <c r="C155" s="372"/>
      <c r="D155" s="372"/>
      <c r="E155" s="372"/>
      <c r="F155" s="372"/>
      <c r="G155" s="372"/>
      <c r="H155" s="372"/>
      <c r="L155" s="372"/>
      <c r="M155" s="372"/>
      <c r="N155" s="372"/>
      <c r="O155" s="10">
        <f>O135*$E$149/$C$148</f>
        <v>0</v>
      </c>
      <c r="P155" s="10">
        <f>$O$135/$C$148</f>
        <v>0</v>
      </c>
      <c r="Q155" s="10">
        <f>$O$135/$C$148</f>
        <v>0</v>
      </c>
    </row>
    <row r="156" spans="2:17">
      <c r="B156" s="8" t="s">
        <v>502</v>
      </c>
      <c r="C156" s="372"/>
      <c r="D156" s="372"/>
      <c r="E156" s="372"/>
      <c r="F156" s="372"/>
      <c r="G156" s="372"/>
      <c r="H156" s="372"/>
      <c r="L156" s="372"/>
      <c r="M156" s="372"/>
      <c r="N156" s="372"/>
      <c r="O156" s="372"/>
      <c r="P156" s="10">
        <f>P135*$E$149/$C$148</f>
        <v>0</v>
      </c>
      <c r="Q156" s="10">
        <f>$P$135/$C$148</f>
        <v>0</v>
      </c>
    </row>
    <row r="157" spans="2:17">
      <c r="B157" s="8" t="s">
        <v>503</v>
      </c>
      <c r="C157" s="372"/>
      <c r="D157" s="372"/>
      <c r="E157" s="372"/>
      <c r="F157" s="372"/>
      <c r="G157" s="372"/>
      <c r="H157" s="372"/>
      <c r="L157" s="372"/>
      <c r="M157" s="372"/>
      <c r="N157" s="372"/>
      <c r="O157" s="372"/>
      <c r="P157" s="376"/>
      <c r="Q157" s="10">
        <f>Q135*$E$149/$C$148</f>
        <v>0</v>
      </c>
    </row>
    <row r="158" spans="2:17">
      <c r="B158" s="366" t="s">
        <v>504</v>
      </c>
      <c r="C158" s="367">
        <f t="shared" ref="C158:H158" si="120">-C136</f>
        <v>0</v>
      </c>
      <c r="D158" s="367">
        <f t="shared" si="120"/>
        <v>0</v>
      </c>
      <c r="E158" s="367">
        <f t="shared" si="120"/>
        <v>0</v>
      </c>
      <c r="F158" s="367">
        <f t="shared" si="120"/>
        <v>0</v>
      </c>
      <c r="G158" s="367">
        <f t="shared" si="120"/>
        <v>0</v>
      </c>
      <c r="H158" s="367">
        <f t="shared" si="120"/>
        <v>0</v>
      </c>
      <c r="I158" s="368"/>
      <c r="J158" s="368"/>
      <c r="K158" s="368"/>
      <c r="L158" s="367">
        <f>SUM(L151:L157)</f>
        <v>0</v>
      </c>
      <c r="M158" s="367">
        <f t="shared" ref="M158:Q158" si="121">SUM(M151:M157)</f>
        <v>0</v>
      </c>
      <c r="N158" s="367">
        <f t="shared" si="121"/>
        <v>0</v>
      </c>
      <c r="O158" s="367">
        <f t="shared" si="121"/>
        <v>0</v>
      </c>
      <c r="P158" s="367">
        <f t="shared" si="121"/>
        <v>0</v>
      </c>
      <c r="Q158" s="367">
        <f t="shared" si="121"/>
        <v>0</v>
      </c>
    </row>
    <row r="160" spans="2:17">
      <c r="B160" s="35" t="s">
        <v>505</v>
      </c>
      <c r="C160" s="247"/>
      <c r="D160" s="247"/>
      <c r="E160" s="247"/>
      <c r="F160" s="247"/>
      <c r="G160" s="247"/>
      <c r="H160" s="247"/>
      <c r="I160" s="247"/>
      <c r="J160" s="247"/>
      <c r="K160" s="247"/>
      <c r="L160" s="247"/>
      <c r="M160" s="247"/>
      <c r="N160" s="247"/>
      <c r="O160" s="247"/>
      <c r="P160" s="247"/>
      <c r="Q160" s="247"/>
    </row>
    <row r="161" spans="2:20">
      <c r="B161" s="377" t="s">
        <v>506</v>
      </c>
      <c r="C161" s="320">
        <f t="shared" ref="C161:H161" si="122">C163+C136</f>
        <v>0</v>
      </c>
      <c r="D161" s="320">
        <f t="shared" si="122"/>
        <v>0</v>
      </c>
      <c r="E161" s="320">
        <f t="shared" si="122"/>
        <v>0</v>
      </c>
      <c r="F161" s="320">
        <f t="shared" si="122"/>
        <v>0</v>
      </c>
      <c r="G161" s="320">
        <f t="shared" si="122"/>
        <v>0</v>
      </c>
      <c r="H161" s="320">
        <f t="shared" si="122"/>
        <v>0</v>
      </c>
      <c r="L161" s="10" t="e">
        <f t="shared" ref="L161:Q161" si="123">L162*L24</f>
        <v>#DIV/0!</v>
      </c>
      <c r="M161" s="10" t="e">
        <f t="shared" si="123"/>
        <v>#DIV/0!</v>
      </c>
      <c r="N161" s="10" t="e">
        <f t="shared" si="123"/>
        <v>#DIV/0!</v>
      </c>
      <c r="O161" s="10" t="e">
        <f t="shared" si="123"/>
        <v>#DIV/0!</v>
      </c>
      <c r="P161" s="10" t="e">
        <f t="shared" si="123"/>
        <v>#DIV/0!</v>
      </c>
      <c r="Q161" s="10" t="e">
        <f t="shared" si="123"/>
        <v>#DIV/0!</v>
      </c>
      <c r="T161" s="8" t="s">
        <v>507</v>
      </c>
    </row>
    <row r="162" spans="2:20">
      <c r="B162" s="62" t="s">
        <v>508</v>
      </c>
      <c r="C162" s="378" t="e">
        <f t="shared" ref="C162:H162" si="124">C161/C24</f>
        <v>#DIV/0!</v>
      </c>
      <c r="D162" s="378" t="e">
        <f t="shared" si="124"/>
        <v>#DIV/0!</v>
      </c>
      <c r="E162" s="378" t="e">
        <f t="shared" si="124"/>
        <v>#DIV/0!</v>
      </c>
      <c r="F162" s="378" t="e">
        <f t="shared" si="124"/>
        <v>#DIV/0!</v>
      </c>
      <c r="G162" s="378" t="e">
        <f t="shared" si="124"/>
        <v>#DIV/0!</v>
      </c>
      <c r="H162" s="378" t="e">
        <f t="shared" si="124"/>
        <v>#DIV/0!</v>
      </c>
      <c r="L162" s="378" t="e">
        <f>AVERAGE(D162:H162)</f>
        <v>#DIV/0!</v>
      </c>
      <c r="M162" s="378" t="e">
        <f>L162</f>
        <v>#DIV/0!</v>
      </c>
      <c r="N162" s="378" t="e">
        <f t="shared" ref="N162:Q162" si="125">M162</f>
        <v>#DIV/0!</v>
      </c>
      <c r="O162" s="378" t="e">
        <f t="shared" si="125"/>
        <v>#DIV/0!</v>
      </c>
      <c r="P162" s="378" t="e">
        <f t="shared" si="125"/>
        <v>#DIV/0!</v>
      </c>
      <c r="Q162" s="378" t="e">
        <f t="shared" si="125"/>
        <v>#DIV/0!</v>
      </c>
      <c r="T162" s="8" t="s">
        <v>509</v>
      </c>
    </row>
    <row r="163" spans="2:20">
      <c r="B163" s="366" t="s">
        <v>505</v>
      </c>
      <c r="C163" s="367">
        <f t="shared" ref="C163:H163" si="126">C41</f>
        <v>0</v>
      </c>
      <c r="D163" s="367">
        <f t="shared" si="126"/>
        <v>0</v>
      </c>
      <c r="E163" s="367">
        <f t="shared" si="126"/>
        <v>0</v>
      </c>
      <c r="F163" s="367">
        <f t="shared" si="126"/>
        <v>0</v>
      </c>
      <c r="G163" s="367">
        <f t="shared" si="126"/>
        <v>0</v>
      </c>
      <c r="H163" s="367">
        <f t="shared" si="126"/>
        <v>0</v>
      </c>
      <c r="I163" s="368"/>
      <c r="J163" s="368"/>
      <c r="K163" s="368"/>
      <c r="L163" s="367" t="e">
        <f t="shared" ref="L163:Q163" si="127">-L136+L161</f>
        <v>#DIV/0!</v>
      </c>
      <c r="M163" s="367" t="e">
        <f t="shared" si="127"/>
        <v>#DIV/0!</v>
      </c>
      <c r="N163" s="367" t="e">
        <f t="shared" si="127"/>
        <v>#DIV/0!</v>
      </c>
      <c r="O163" s="367" t="e">
        <f t="shared" si="127"/>
        <v>#DIV/0!</v>
      </c>
      <c r="P163" s="367" t="e">
        <f t="shared" si="127"/>
        <v>#DIV/0!</v>
      </c>
      <c r="Q163" s="367" t="e">
        <f t="shared" si="127"/>
        <v>#DIV/0!</v>
      </c>
      <c r="T163" s="8" t="s">
        <v>510</v>
      </c>
    </row>
    <row r="165" spans="2:20">
      <c r="B165" s="35" t="s">
        <v>511</v>
      </c>
      <c r="C165" s="247"/>
      <c r="D165" s="247"/>
      <c r="E165" s="247"/>
      <c r="F165" s="247"/>
      <c r="G165" s="247"/>
      <c r="H165" s="247"/>
      <c r="I165" s="247"/>
      <c r="J165" s="247"/>
      <c r="K165" s="247"/>
      <c r="L165" s="247"/>
      <c r="M165" s="247"/>
      <c r="N165" s="247"/>
      <c r="O165" s="247"/>
      <c r="P165" s="247"/>
      <c r="Q165" s="247"/>
    </row>
    <row r="166" spans="2:20">
      <c r="B166" s="363" t="s">
        <v>512</v>
      </c>
      <c r="C166" s="364"/>
      <c r="D166" s="365">
        <f>C169</f>
        <v>0</v>
      </c>
      <c r="E166" s="365">
        <f t="shared" ref="E166:H166" si="128">D169</f>
        <v>0</v>
      </c>
      <c r="F166" s="365">
        <f t="shared" si="128"/>
        <v>0</v>
      </c>
      <c r="G166" s="365">
        <f t="shared" si="128"/>
        <v>0</v>
      </c>
      <c r="H166" s="365">
        <f t="shared" si="128"/>
        <v>0</v>
      </c>
      <c r="I166" s="365"/>
      <c r="J166" s="365"/>
      <c r="K166" s="365"/>
      <c r="L166" s="365">
        <f>H169</f>
        <v>0</v>
      </c>
      <c r="M166" s="365">
        <f>L169</f>
        <v>0</v>
      </c>
      <c r="N166" s="365">
        <f t="shared" ref="N166:Q166" si="129">M169</f>
        <v>0</v>
      </c>
      <c r="O166" s="365">
        <f t="shared" si="129"/>
        <v>0</v>
      </c>
      <c r="P166" s="365">
        <f t="shared" si="129"/>
        <v>0</v>
      </c>
      <c r="Q166" s="365">
        <f t="shared" si="129"/>
        <v>0</v>
      </c>
    </row>
    <row r="167" spans="2:20">
      <c r="B167" s="62" t="s">
        <v>513</v>
      </c>
      <c r="C167" s="10">
        <f>-C161</f>
        <v>0</v>
      </c>
      <c r="D167" s="10">
        <f t="shared" ref="D167:H167" si="130">-D161</f>
        <v>0</v>
      </c>
      <c r="E167" s="10">
        <f t="shared" si="130"/>
        <v>0</v>
      </c>
      <c r="F167" s="10">
        <f t="shared" si="130"/>
        <v>0</v>
      </c>
      <c r="G167" s="10">
        <f t="shared" si="130"/>
        <v>0</v>
      </c>
      <c r="H167" s="10">
        <f t="shared" si="130"/>
        <v>0</v>
      </c>
      <c r="L167" s="10" t="e">
        <f>-L161</f>
        <v>#DIV/0!</v>
      </c>
      <c r="M167" s="10" t="e">
        <f t="shared" ref="M167:Q167" si="131">-M161</f>
        <v>#DIV/0!</v>
      </c>
      <c r="N167" s="10" t="e">
        <f t="shared" si="131"/>
        <v>#DIV/0!</v>
      </c>
      <c r="O167" s="10" t="e">
        <f t="shared" si="131"/>
        <v>#DIV/0!</v>
      </c>
      <c r="P167" s="10" t="e">
        <f t="shared" si="131"/>
        <v>#DIV/0!</v>
      </c>
      <c r="Q167" s="10" t="e">
        <f t="shared" si="131"/>
        <v>#DIV/0!</v>
      </c>
      <c r="T167" s="8" t="s">
        <v>514</v>
      </c>
    </row>
    <row r="168" spans="2:20">
      <c r="B168" s="62" t="s">
        <v>515</v>
      </c>
      <c r="C168" s="10">
        <f>C169-C167-C166</f>
        <v>0</v>
      </c>
      <c r="D168" s="10">
        <f t="shared" ref="D168:H168" si="132">D169-D167-D166</f>
        <v>0</v>
      </c>
      <c r="E168" s="10">
        <f t="shared" si="132"/>
        <v>0</v>
      </c>
      <c r="F168" s="10">
        <f t="shared" si="132"/>
        <v>0</v>
      </c>
      <c r="G168" s="10">
        <f t="shared" si="132"/>
        <v>0</v>
      </c>
      <c r="H168" s="10">
        <f t="shared" si="132"/>
        <v>0</v>
      </c>
      <c r="L168" s="10" t="e">
        <f>L169-L167-L166</f>
        <v>#DIV/0!</v>
      </c>
      <c r="M168" s="10" t="e">
        <f t="shared" ref="M168:Q168" si="133">M169-M167-M166</f>
        <v>#DIV/0!</v>
      </c>
      <c r="N168" s="10" t="e">
        <f t="shared" si="133"/>
        <v>#DIV/0!</v>
      </c>
      <c r="O168" s="10" t="e">
        <f t="shared" si="133"/>
        <v>#DIV/0!</v>
      </c>
      <c r="P168" s="10" t="e">
        <f t="shared" si="133"/>
        <v>#DIV/0!</v>
      </c>
      <c r="Q168" s="10" t="e">
        <f t="shared" si="133"/>
        <v>#DIV/0!</v>
      </c>
    </row>
    <row r="169" spans="2:20">
      <c r="B169" s="366" t="s">
        <v>516</v>
      </c>
      <c r="C169" s="367">
        <f t="shared" ref="C169:H169" si="134">C85</f>
        <v>0</v>
      </c>
      <c r="D169" s="367">
        <f t="shared" si="134"/>
        <v>0</v>
      </c>
      <c r="E169" s="367">
        <f t="shared" si="134"/>
        <v>0</v>
      </c>
      <c r="F169" s="367">
        <f t="shared" si="134"/>
        <v>0</v>
      </c>
      <c r="G169" s="367">
        <f t="shared" si="134"/>
        <v>0</v>
      </c>
      <c r="H169" s="367">
        <f t="shared" si="134"/>
        <v>0</v>
      </c>
      <c r="I169" s="368"/>
      <c r="J169" s="368"/>
      <c r="K169" s="368"/>
      <c r="L169" s="367">
        <f t="shared" ref="L169:Q169" si="135">L85</f>
        <v>0</v>
      </c>
      <c r="M169" s="367">
        <f t="shared" si="135"/>
        <v>0</v>
      </c>
      <c r="N169" s="367">
        <f t="shared" si="135"/>
        <v>0</v>
      </c>
      <c r="O169" s="367">
        <f t="shared" si="135"/>
        <v>0</v>
      </c>
      <c r="P169" s="367">
        <f t="shared" si="135"/>
        <v>0</v>
      </c>
      <c r="Q169" s="367">
        <f t="shared" si="135"/>
        <v>0</v>
      </c>
    </row>
    <row r="170" spans="2:20">
      <c r="C170" s="10"/>
    </row>
    <row r="171" spans="2:20">
      <c r="B171" s="35" t="s">
        <v>517</v>
      </c>
      <c r="C171" s="247"/>
      <c r="D171" s="247"/>
      <c r="E171" s="247"/>
      <c r="F171" s="247"/>
      <c r="G171" s="247"/>
      <c r="H171" s="247"/>
      <c r="I171" s="247"/>
      <c r="J171" s="247"/>
      <c r="K171" s="247"/>
      <c r="L171" s="247"/>
      <c r="M171" s="247"/>
      <c r="N171" s="247"/>
      <c r="O171" s="247"/>
      <c r="P171" s="247"/>
      <c r="Q171" s="247"/>
    </row>
    <row r="172" spans="2:20">
      <c r="B172" s="363" t="s">
        <v>512</v>
      </c>
      <c r="C172" s="364"/>
      <c r="D172" s="365">
        <f>C176</f>
        <v>0</v>
      </c>
      <c r="E172" s="365">
        <f t="shared" ref="E172:H172" si="136">D176</f>
        <v>0</v>
      </c>
      <c r="F172" s="365">
        <f t="shared" si="136"/>
        <v>0</v>
      </c>
      <c r="G172" s="365">
        <f t="shared" si="136"/>
        <v>0</v>
      </c>
      <c r="H172" s="365">
        <f t="shared" si="136"/>
        <v>0</v>
      </c>
      <c r="I172" s="365"/>
      <c r="J172" s="365"/>
      <c r="K172" s="365"/>
      <c r="L172" s="365">
        <f>H176</f>
        <v>0</v>
      </c>
      <c r="M172" s="365" t="e">
        <f>L176</f>
        <v>#DIV/0!</v>
      </c>
      <c r="N172" s="365" t="e">
        <f t="shared" ref="N172:Q172" si="137">M176</f>
        <v>#DIV/0!</v>
      </c>
      <c r="O172" s="365" t="e">
        <f t="shared" si="137"/>
        <v>#DIV/0!</v>
      </c>
      <c r="P172" s="365" t="e">
        <f t="shared" si="137"/>
        <v>#DIV/0!</v>
      </c>
      <c r="Q172" s="365" t="e">
        <f t="shared" si="137"/>
        <v>#DIV/0!</v>
      </c>
    </row>
    <row r="173" spans="2:20">
      <c r="B173" s="62" t="s">
        <v>518</v>
      </c>
      <c r="C173" s="126">
        <f t="shared" ref="C173:H173" si="138">C39</f>
        <v>0</v>
      </c>
      <c r="D173" s="126">
        <f t="shared" si="138"/>
        <v>0</v>
      </c>
      <c r="E173" s="126">
        <f t="shared" si="138"/>
        <v>0</v>
      </c>
      <c r="F173" s="126">
        <f t="shared" si="138"/>
        <v>0</v>
      </c>
      <c r="G173" s="126">
        <f t="shared" si="138"/>
        <v>0</v>
      </c>
      <c r="H173" s="126">
        <f t="shared" si="138"/>
        <v>0</v>
      </c>
      <c r="L173" s="126" t="e">
        <f t="shared" ref="L173:Q173" si="139">L39</f>
        <v>#DIV/0!</v>
      </c>
      <c r="M173" s="126" t="e">
        <f t="shared" si="139"/>
        <v>#DIV/0!</v>
      </c>
      <c r="N173" s="126" t="e">
        <f t="shared" si="139"/>
        <v>#DIV/0!</v>
      </c>
      <c r="O173" s="126" t="e">
        <f t="shared" si="139"/>
        <v>#DIV/0!</v>
      </c>
      <c r="P173" s="126" t="e">
        <f t="shared" si="139"/>
        <v>#DIV/0!</v>
      </c>
      <c r="Q173" s="126" t="e">
        <f t="shared" si="139"/>
        <v>#DIV/0!</v>
      </c>
    </row>
    <row r="174" spans="2:20">
      <c r="B174" s="62" t="s">
        <v>519</v>
      </c>
      <c r="C174" s="379"/>
      <c r="D174" s="379"/>
      <c r="E174" s="379"/>
      <c r="F174" s="379"/>
      <c r="G174" s="379"/>
      <c r="H174" s="379"/>
      <c r="L174" s="380">
        <f>H174</f>
        <v>0</v>
      </c>
      <c r="M174" s="380" t="e">
        <f>-(M173*M177)</f>
        <v>#DIV/0!</v>
      </c>
      <c r="N174" s="380" t="e">
        <f>-(N173*N177)</f>
        <v>#DIV/0!</v>
      </c>
      <c r="O174" s="380" t="e">
        <f>-(O173*O177)</f>
        <v>#DIV/0!</v>
      </c>
      <c r="P174" s="380" t="e">
        <f>-(P173*P177)</f>
        <v>#DIV/0!</v>
      </c>
      <c r="Q174" s="380" t="e">
        <f>-(Q173*Q177)</f>
        <v>#DIV/0!</v>
      </c>
    </row>
    <row r="175" spans="2:20">
      <c r="B175" s="62" t="s">
        <v>520</v>
      </c>
      <c r="C175" s="379"/>
      <c r="D175" s="379"/>
      <c r="E175" s="379"/>
      <c r="F175" s="379"/>
      <c r="G175" s="379"/>
      <c r="H175" s="379"/>
      <c r="L175" s="10">
        <f>H175</f>
        <v>0</v>
      </c>
      <c r="M175" s="10">
        <f>L175</f>
        <v>0</v>
      </c>
      <c r="N175" s="10">
        <f t="shared" ref="N175:Q175" si="140">M175</f>
        <v>0</v>
      </c>
      <c r="O175" s="10">
        <f t="shared" si="140"/>
        <v>0</v>
      </c>
      <c r="P175" s="10">
        <f t="shared" si="140"/>
        <v>0</v>
      </c>
      <c r="Q175" s="10">
        <f t="shared" si="140"/>
        <v>0</v>
      </c>
      <c r="T175" s="8" t="s">
        <v>455</v>
      </c>
    </row>
    <row r="176" spans="2:20">
      <c r="B176" s="366" t="s">
        <v>516</v>
      </c>
      <c r="C176" s="367">
        <f t="shared" ref="C176:H176" si="141">C99</f>
        <v>0</v>
      </c>
      <c r="D176" s="367">
        <f t="shared" si="141"/>
        <v>0</v>
      </c>
      <c r="E176" s="367">
        <f t="shared" si="141"/>
        <v>0</v>
      </c>
      <c r="F176" s="367">
        <f t="shared" si="141"/>
        <v>0</v>
      </c>
      <c r="G176" s="367">
        <f t="shared" si="141"/>
        <v>0</v>
      </c>
      <c r="H176" s="367">
        <f t="shared" si="141"/>
        <v>0</v>
      </c>
      <c r="I176" s="368"/>
      <c r="J176" s="368"/>
      <c r="K176" s="368"/>
      <c r="L176" s="367" t="e">
        <f t="shared" ref="L176:Q176" si="142">SUM(L172:L175)</f>
        <v>#DIV/0!</v>
      </c>
      <c r="M176" s="367" t="e">
        <f t="shared" si="142"/>
        <v>#DIV/0!</v>
      </c>
      <c r="N176" s="367" t="e">
        <f t="shared" si="142"/>
        <v>#DIV/0!</v>
      </c>
      <c r="O176" s="367" t="e">
        <f t="shared" si="142"/>
        <v>#DIV/0!</v>
      </c>
      <c r="P176" s="367" t="e">
        <f t="shared" si="142"/>
        <v>#DIV/0!</v>
      </c>
      <c r="Q176" s="367" t="e">
        <f t="shared" si="142"/>
        <v>#DIV/0!</v>
      </c>
    </row>
    <row r="177" spans="2:20">
      <c r="B177" s="370" t="s">
        <v>521</v>
      </c>
      <c r="C177" s="381" t="e">
        <f t="shared" ref="C177:H177" si="143">-(C174/C173)</f>
        <v>#DIV/0!</v>
      </c>
      <c r="D177" s="381" t="e">
        <f t="shared" si="143"/>
        <v>#DIV/0!</v>
      </c>
      <c r="E177" s="381" t="e">
        <f t="shared" si="143"/>
        <v>#DIV/0!</v>
      </c>
      <c r="F177" s="381" t="e">
        <f t="shared" si="143"/>
        <v>#DIV/0!</v>
      </c>
      <c r="G177" s="381" t="e">
        <f t="shared" si="143"/>
        <v>#DIV/0!</v>
      </c>
      <c r="H177" s="381" t="e">
        <f t="shared" si="143"/>
        <v>#DIV/0!</v>
      </c>
      <c r="L177" s="381" t="e">
        <f>H177</f>
        <v>#DIV/0!</v>
      </c>
      <c r="M177" s="381" t="e">
        <f>L177</f>
        <v>#DIV/0!</v>
      </c>
      <c r="N177" s="381" t="e">
        <f t="shared" ref="N177:Q177" si="144">M177</f>
        <v>#DIV/0!</v>
      </c>
      <c r="O177" s="381" t="e">
        <f t="shared" si="144"/>
        <v>#DIV/0!</v>
      </c>
      <c r="P177" s="381" t="e">
        <f t="shared" si="144"/>
        <v>#DIV/0!</v>
      </c>
      <c r="Q177" s="381" t="e">
        <f t="shared" si="144"/>
        <v>#DIV/0!</v>
      </c>
      <c r="T177" s="8" t="s">
        <v>455</v>
      </c>
    </row>
    <row r="179" spans="2:20">
      <c r="B179" s="35" t="s">
        <v>522</v>
      </c>
      <c r="C179" s="247"/>
      <c r="D179" s="247"/>
      <c r="E179" s="247"/>
      <c r="F179" s="247"/>
      <c r="G179" s="247"/>
      <c r="H179" s="247"/>
      <c r="I179" s="247"/>
      <c r="J179" s="247"/>
      <c r="K179" s="247"/>
      <c r="L179" s="247"/>
      <c r="M179" s="247"/>
      <c r="N179" s="247"/>
      <c r="O179" s="247"/>
      <c r="P179" s="247"/>
      <c r="Q179" s="247"/>
    </row>
    <row r="180" spans="2:20">
      <c r="B180" s="363" t="s">
        <v>523</v>
      </c>
      <c r="C180" s="364"/>
      <c r="D180" s="365">
        <f>C80</f>
        <v>0</v>
      </c>
      <c r="E180" s="365">
        <f>D80</f>
        <v>0</v>
      </c>
      <c r="F180" s="365">
        <f>E80</f>
        <v>0</v>
      </c>
      <c r="G180" s="365">
        <f>F80</f>
        <v>0</v>
      </c>
      <c r="H180" s="365">
        <f>G80</f>
        <v>0</v>
      </c>
      <c r="I180" s="365"/>
      <c r="J180" s="365"/>
      <c r="K180" s="365"/>
      <c r="L180" s="365">
        <f>H80</f>
        <v>0</v>
      </c>
      <c r="M180" s="365" t="e">
        <f>L80</f>
        <v>#DIV/0!</v>
      </c>
      <c r="N180" s="365" t="e">
        <f>M80</f>
        <v>#DIV/0!</v>
      </c>
      <c r="O180" s="365" t="e">
        <f>N80</f>
        <v>#DIV/0!</v>
      </c>
      <c r="P180" s="365" t="e">
        <f>O80</f>
        <v>#DIV/0!</v>
      </c>
      <c r="Q180" s="365" t="e">
        <f>P80</f>
        <v>#DIV/0!</v>
      </c>
    </row>
    <row r="181" spans="2:20">
      <c r="B181" s="62" t="s">
        <v>524</v>
      </c>
      <c r="C181" s="321"/>
      <c r="D181" s="321"/>
      <c r="E181" s="321"/>
      <c r="F181" s="321"/>
      <c r="G181" s="321"/>
      <c r="H181" s="321"/>
      <c r="L181" s="321"/>
      <c r="M181" s="321"/>
      <c r="N181" s="321"/>
      <c r="O181" s="321"/>
      <c r="P181" s="321"/>
      <c r="Q181" s="321"/>
      <c r="T181" s="8" t="s">
        <v>525</v>
      </c>
    </row>
    <row r="182" spans="2:20">
      <c r="B182" s="62" t="s">
        <v>526</v>
      </c>
      <c r="C182" s="10">
        <f>SUM(C124,C121,C119,C116,C123)</f>
        <v>0</v>
      </c>
      <c r="D182" s="10">
        <f t="shared" ref="C182:H182" si="145">SUM(D124,D121,D119,D116,D123)</f>
        <v>0</v>
      </c>
      <c r="E182" s="10">
        <f t="shared" si="145"/>
        <v>0</v>
      </c>
      <c r="F182" s="10">
        <f t="shared" si="145"/>
        <v>0</v>
      </c>
      <c r="G182" s="10">
        <f t="shared" si="145"/>
        <v>0</v>
      </c>
      <c r="H182" s="10">
        <f t="shared" si="145"/>
        <v>0</v>
      </c>
      <c r="L182" s="10" t="e">
        <f t="shared" ref="L182:Q182" si="146">SUM(L124,L121,L119,L116,L123)</f>
        <v>#DIV/0!</v>
      </c>
      <c r="M182" s="10" t="e">
        <f t="shared" si="146"/>
        <v>#DIV/0!</v>
      </c>
      <c r="N182" s="10" t="e">
        <f t="shared" si="146"/>
        <v>#DIV/0!</v>
      </c>
      <c r="O182" s="10" t="e">
        <f t="shared" si="146"/>
        <v>#DIV/0!</v>
      </c>
      <c r="P182" s="10" t="e">
        <f t="shared" si="146"/>
        <v>#DIV/0!</v>
      </c>
      <c r="Q182" s="10" t="e">
        <f t="shared" si="146"/>
        <v>#DIV/0!</v>
      </c>
    </row>
    <row r="183" spans="2:20">
      <c r="B183" s="366" t="s">
        <v>527</v>
      </c>
      <c r="C183" s="367">
        <f t="shared" ref="C183:H183" si="147">SUM(C180:C182)</f>
        <v>0</v>
      </c>
      <c r="D183" s="367">
        <f t="shared" si="147"/>
        <v>0</v>
      </c>
      <c r="E183" s="367">
        <f t="shared" si="147"/>
        <v>0</v>
      </c>
      <c r="F183" s="367">
        <f t="shared" si="147"/>
        <v>0</v>
      </c>
      <c r="G183" s="367">
        <f t="shared" si="147"/>
        <v>0</v>
      </c>
      <c r="H183" s="367">
        <f t="shared" si="147"/>
        <v>0</v>
      </c>
      <c r="I183" s="368"/>
      <c r="J183" s="368"/>
      <c r="K183" s="368"/>
      <c r="L183" s="367" t="e">
        <f t="shared" ref="L183:Q183" si="148">SUM(L180:L182)</f>
        <v>#DIV/0!</v>
      </c>
      <c r="M183" s="367" t="e">
        <f t="shared" si="148"/>
        <v>#DIV/0!</v>
      </c>
      <c r="N183" s="367" t="e">
        <f t="shared" si="148"/>
        <v>#DIV/0!</v>
      </c>
      <c r="O183" s="367" t="e">
        <f t="shared" si="148"/>
        <v>#DIV/0!</v>
      </c>
      <c r="P183" s="367" t="e">
        <f t="shared" si="148"/>
        <v>#DIV/0!</v>
      </c>
      <c r="Q183" s="367" t="e">
        <f t="shared" si="148"/>
        <v>#DIV/0!</v>
      </c>
    </row>
    <row r="185" spans="2:20">
      <c r="B185" s="36" t="s">
        <v>528</v>
      </c>
    </row>
    <row r="186" spans="2:20">
      <c r="B186" s="363" t="s">
        <v>512</v>
      </c>
      <c r="C186" s="364"/>
      <c r="D186" s="365">
        <f>C189</f>
        <v>0</v>
      </c>
      <c r="E186" s="365">
        <f t="shared" ref="E186:H186" si="149">D189</f>
        <v>0</v>
      </c>
      <c r="F186" s="365">
        <f t="shared" si="149"/>
        <v>0</v>
      </c>
      <c r="G186" s="365">
        <f t="shared" si="149"/>
        <v>0</v>
      </c>
      <c r="H186" s="365">
        <f t="shared" si="149"/>
        <v>0</v>
      </c>
      <c r="I186" s="365"/>
      <c r="J186" s="365"/>
      <c r="K186" s="365"/>
      <c r="L186" s="365">
        <f>H189</f>
        <v>0</v>
      </c>
      <c r="M186" s="365" t="e">
        <f>L189</f>
        <v>#DIV/0!</v>
      </c>
      <c r="N186" s="365" t="e">
        <f t="shared" ref="N186:Q186" si="150">M189</f>
        <v>#DIV/0!</v>
      </c>
      <c r="O186" s="365" t="e">
        <f t="shared" si="150"/>
        <v>#DIV/0!</v>
      </c>
      <c r="P186" s="365" t="e">
        <f t="shared" si="150"/>
        <v>#DIV/0!</v>
      </c>
      <c r="Q186" s="365" t="e">
        <f t="shared" si="150"/>
        <v>#DIV/0!</v>
      </c>
    </row>
    <row r="187" spans="2:20">
      <c r="B187" s="62" t="s">
        <v>529</v>
      </c>
      <c r="C187" s="126">
        <f t="shared" ref="C187:H187" si="151">-MIN(C186,C183)</f>
        <v>0</v>
      </c>
      <c r="D187" s="126">
        <f t="shared" si="151"/>
        <v>0</v>
      </c>
      <c r="E187" s="126">
        <f t="shared" si="151"/>
        <v>0</v>
      </c>
      <c r="F187" s="126">
        <f t="shared" si="151"/>
        <v>0</v>
      </c>
      <c r="G187" s="126">
        <f t="shared" si="151"/>
        <v>0</v>
      </c>
      <c r="H187" s="126">
        <f t="shared" si="151"/>
        <v>0</v>
      </c>
      <c r="L187" s="126" t="e">
        <f>-MIN(L186,L183)</f>
        <v>#DIV/0!</v>
      </c>
      <c r="M187" s="126" t="e">
        <f t="shared" ref="M187:Q187" si="152">-MIN(M186,M183)</f>
        <v>#DIV/0!</v>
      </c>
      <c r="N187" s="126" t="e">
        <f t="shared" si="152"/>
        <v>#DIV/0!</v>
      </c>
      <c r="O187" s="126" t="e">
        <f t="shared" si="152"/>
        <v>#DIV/0!</v>
      </c>
      <c r="P187" s="126" t="e">
        <f t="shared" si="152"/>
        <v>#DIV/0!</v>
      </c>
      <c r="Q187" s="126" t="e">
        <f t="shared" si="152"/>
        <v>#DIV/0!</v>
      </c>
    </row>
    <row r="188" spans="2:20">
      <c r="B188" s="62" t="s">
        <v>530</v>
      </c>
      <c r="C188" s="321"/>
      <c r="D188" s="321"/>
      <c r="E188" s="321"/>
      <c r="F188" s="321"/>
      <c r="G188" s="321"/>
      <c r="H188" s="321"/>
      <c r="L188" s="321"/>
      <c r="M188" s="321"/>
      <c r="N188" s="321"/>
      <c r="O188" s="321"/>
      <c r="P188" s="321"/>
      <c r="Q188" s="321"/>
      <c r="T188" s="8" t="s">
        <v>525</v>
      </c>
    </row>
    <row r="189" spans="2:20">
      <c r="B189" s="366" t="s">
        <v>516</v>
      </c>
      <c r="C189" s="367">
        <f t="shared" ref="C189:H189" si="153">C92</f>
        <v>0</v>
      </c>
      <c r="D189" s="367">
        <f t="shared" si="153"/>
        <v>0</v>
      </c>
      <c r="E189" s="367">
        <f t="shared" si="153"/>
        <v>0</v>
      </c>
      <c r="F189" s="367">
        <f t="shared" si="153"/>
        <v>0</v>
      </c>
      <c r="G189" s="367">
        <f t="shared" si="153"/>
        <v>0</v>
      </c>
      <c r="H189" s="367">
        <f t="shared" si="153"/>
        <v>0</v>
      </c>
      <c r="I189" s="368"/>
      <c r="J189" s="368"/>
      <c r="K189" s="368"/>
      <c r="L189" s="367" t="e">
        <f t="shared" ref="L189:Q189" si="154">SUM(L186:L188)</f>
        <v>#DIV/0!</v>
      </c>
      <c r="M189" s="367" t="e">
        <f t="shared" si="154"/>
        <v>#DIV/0!</v>
      </c>
      <c r="N189" s="367" t="e">
        <f t="shared" si="154"/>
        <v>#DIV/0!</v>
      </c>
      <c r="O189" s="367" t="e">
        <f t="shared" si="154"/>
        <v>#DIV/0!</v>
      </c>
      <c r="P189" s="367" t="e">
        <f t="shared" si="154"/>
        <v>#DIV/0!</v>
      </c>
      <c r="Q189" s="367" t="e">
        <f t="shared" si="154"/>
        <v>#DIV/0!</v>
      </c>
    </row>
    <row r="191" spans="2:20">
      <c r="B191" s="249" t="s">
        <v>531</v>
      </c>
      <c r="C191" s="249"/>
      <c r="D191" s="249"/>
      <c r="E191" s="249"/>
      <c r="F191" s="249"/>
      <c r="G191" s="249"/>
      <c r="H191" s="249"/>
      <c r="I191" s="249"/>
      <c r="J191" s="249"/>
      <c r="K191" s="249"/>
      <c r="L191" s="249"/>
      <c r="M191" s="249"/>
      <c r="N191" s="249"/>
      <c r="O191" s="249"/>
      <c r="P191" s="249"/>
      <c r="Q191" s="249"/>
    </row>
    <row r="192" spans="2:20" ht="5.0999999999999996" customHeight="1"/>
    <row r="193" spans="2:20">
      <c r="B193" s="382" t="s">
        <v>532</v>
      </c>
      <c r="C193" s="383">
        <f t="shared" ref="C193:H193" si="155">-C34</f>
        <v>0</v>
      </c>
      <c r="D193" s="383">
        <f t="shared" si="155"/>
        <v>0</v>
      </c>
      <c r="E193" s="383">
        <f t="shared" si="155"/>
        <v>0</v>
      </c>
      <c r="F193" s="383">
        <f t="shared" si="155"/>
        <v>0</v>
      </c>
      <c r="G193" s="383">
        <f t="shared" si="155"/>
        <v>0</v>
      </c>
      <c r="H193" s="383">
        <f t="shared" si="155"/>
        <v>0</v>
      </c>
      <c r="I193" s="384"/>
      <c r="J193" s="384"/>
      <c r="K193" s="384"/>
      <c r="L193" s="383" t="e">
        <f>+L198+L203</f>
        <v>#DIV/0!</v>
      </c>
      <c r="M193" s="383" t="e">
        <f t="shared" ref="M193:Q193" si="156">+M198+M203</f>
        <v>#DIV/0!</v>
      </c>
      <c r="N193" s="383" t="e">
        <f t="shared" si="156"/>
        <v>#DIV/0!</v>
      </c>
      <c r="O193" s="383" t="e">
        <f t="shared" si="156"/>
        <v>#DIV/0!</v>
      </c>
      <c r="P193" s="383" t="e">
        <f t="shared" si="156"/>
        <v>#DIV/0!</v>
      </c>
      <c r="Q193" s="385" t="e">
        <f t="shared" si="156"/>
        <v>#DIV/0!</v>
      </c>
    </row>
    <row r="194" spans="2:20" ht="5.0999999999999996" customHeight="1"/>
    <row r="195" spans="2:20">
      <c r="B195" s="386" t="s">
        <v>533</v>
      </c>
    </row>
    <row r="196" spans="2:20">
      <c r="B196" s="62" t="s">
        <v>534</v>
      </c>
      <c r="C196" s="387"/>
      <c r="D196" s="387"/>
      <c r="E196" s="387"/>
      <c r="F196" s="387"/>
      <c r="G196" s="387"/>
      <c r="H196" s="387"/>
      <c r="L196" s="388">
        <f>H196</f>
        <v>0</v>
      </c>
      <c r="M196" s="388">
        <f>L196</f>
        <v>0</v>
      </c>
      <c r="N196" s="388">
        <f t="shared" ref="N196:Q196" si="157">M196</f>
        <v>0</v>
      </c>
      <c r="O196" s="388">
        <f t="shared" si="157"/>
        <v>0</v>
      </c>
      <c r="P196" s="388">
        <f t="shared" si="157"/>
        <v>0</v>
      </c>
      <c r="Q196" s="388">
        <f t="shared" si="157"/>
        <v>0</v>
      </c>
      <c r="T196" s="8" t="s">
        <v>535</v>
      </c>
    </row>
    <row r="197" spans="2:20">
      <c r="B197" s="62" t="s">
        <v>536</v>
      </c>
      <c r="C197" s="10">
        <f t="shared" ref="C197:H197" si="158">C92</f>
        <v>0</v>
      </c>
      <c r="D197" s="10">
        <f t="shared" si="158"/>
        <v>0</v>
      </c>
      <c r="E197" s="10">
        <f t="shared" si="158"/>
        <v>0</v>
      </c>
      <c r="F197" s="10">
        <f t="shared" si="158"/>
        <v>0</v>
      </c>
      <c r="G197" s="10">
        <f t="shared" si="158"/>
        <v>0</v>
      </c>
      <c r="H197" s="10">
        <f t="shared" si="158"/>
        <v>0</v>
      </c>
      <c r="L197" s="10" t="e">
        <f t="shared" ref="L197:Q197" si="159">L92</f>
        <v>#DIV/0!</v>
      </c>
      <c r="M197" s="10" t="e">
        <f t="shared" si="159"/>
        <v>#DIV/0!</v>
      </c>
      <c r="N197" s="10" t="e">
        <f t="shared" si="159"/>
        <v>#DIV/0!</v>
      </c>
      <c r="O197" s="10" t="e">
        <f t="shared" si="159"/>
        <v>#DIV/0!</v>
      </c>
      <c r="P197" s="10" t="e">
        <f t="shared" si="159"/>
        <v>#DIV/0!</v>
      </c>
      <c r="Q197" s="10" t="e">
        <f t="shared" si="159"/>
        <v>#DIV/0!</v>
      </c>
    </row>
    <row r="198" spans="2:20">
      <c r="B198" s="366" t="s">
        <v>90</v>
      </c>
      <c r="C198" s="367">
        <f>AVERAGE(C197,11,964)*C196</f>
        <v>0</v>
      </c>
      <c r="D198" s="367">
        <f>AVERAGE(C197:D197)*D196</f>
        <v>0</v>
      </c>
      <c r="E198" s="367">
        <f t="shared" ref="E198:H198" si="160">AVERAGE(D197:E197)*E196</f>
        <v>0</v>
      </c>
      <c r="F198" s="367">
        <f t="shared" si="160"/>
        <v>0</v>
      </c>
      <c r="G198" s="367">
        <f t="shared" si="160"/>
        <v>0</v>
      </c>
      <c r="H198" s="367">
        <f t="shared" si="160"/>
        <v>0</v>
      </c>
      <c r="I198" s="367"/>
      <c r="J198" s="367"/>
      <c r="K198" s="367"/>
      <c r="L198" s="367">
        <f>IF($C$8=1,AVERAGE(H197,L197)*L196,0)</f>
        <v>0</v>
      </c>
      <c r="M198" s="367">
        <f>IF($C$8=1,AVERAGE(L197,M197)*M196,0)</f>
        <v>0</v>
      </c>
      <c r="N198" s="367">
        <f t="shared" ref="N198:Q198" si="161">IF($C$8=1,AVERAGE(M197,N197)*N196,0)</f>
        <v>0</v>
      </c>
      <c r="O198" s="367">
        <f t="shared" si="161"/>
        <v>0</v>
      </c>
      <c r="P198" s="367">
        <f t="shared" si="161"/>
        <v>0</v>
      </c>
      <c r="Q198" s="367">
        <f t="shared" si="161"/>
        <v>0</v>
      </c>
    </row>
    <row r="200" spans="2:20">
      <c r="B200" s="386" t="s">
        <v>474</v>
      </c>
    </row>
    <row r="201" spans="2:20">
      <c r="B201" s="62" t="s">
        <v>536</v>
      </c>
      <c r="C201" s="10">
        <f t="shared" ref="C201:H201" si="162">C93</f>
        <v>0</v>
      </c>
      <c r="D201" s="10">
        <f t="shared" si="162"/>
        <v>0</v>
      </c>
      <c r="E201" s="10">
        <f t="shared" si="162"/>
        <v>0</v>
      </c>
      <c r="F201" s="10">
        <f t="shared" si="162"/>
        <v>0</v>
      </c>
      <c r="G201" s="10">
        <f t="shared" si="162"/>
        <v>0</v>
      </c>
      <c r="H201" s="10">
        <f t="shared" si="162"/>
        <v>0</v>
      </c>
      <c r="L201" s="10">
        <f t="shared" ref="L201:Q201" si="163">L93</f>
        <v>0</v>
      </c>
      <c r="M201" s="10">
        <f t="shared" si="163"/>
        <v>0</v>
      </c>
      <c r="N201" s="10">
        <f t="shared" si="163"/>
        <v>0</v>
      </c>
      <c r="O201" s="10">
        <f t="shared" si="163"/>
        <v>0</v>
      </c>
      <c r="P201" s="10">
        <f t="shared" si="163"/>
        <v>0</v>
      </c>
      <c r="Q201" s="10">
        <f t="shared" si="163"/>
        <v>0</v>
      </c>
    </row>
    <row r="202" spans="2:20">
      <c r="B202" s="62" t="s">
        <v>534</v>
      </c>
      <c r="C202" s="389">
        <f>C203/AVERAGE(C201,102,519)</f>
        <v>0</v>
      </c>
      <c r="D202" s="389" t="e">
        <f>D203/AVERAGE(C201:D201)</f>
        <v>#DIV/0!</v>
      </c>
      <c r="E202" s="389" t="e">
        <f>E203/AVERAGE(D201:E201)</f>
        <v>#DIV/0!</v>
      </c>
      <c r="F202" s="389" t="e">
        <f t="shared" ref="F202:H202" si="164">F203/AVERAGE(E201:F201)</f>
        <v>#DIV/0!</v>
      </c>
      <c r="G202" s="389" t="e">
        <f t="shared" si="164"/>
        <v>#DIV/0!</v>
      </c>
      <c r="H202" s="389" t="e">
        <f t="shared" si="164"/>
        <v>#DIV/0!</v>
      </c>
      <c r="L202" s="389" t="e">
        <f>H202</f>
        <v>#DIV/0!</v>
      </c>
      <c r="M202" s="389" t="e">
        <f>L202</f>
        <v>#DIV/0!</v>
      </c>
      <c r="N202" s="389" t="e">
        <f t="shared" ref="N202:Q202" si="165">M202</f>
        <v>#DIV/0!</v>
      </c>
      <c r="O202" s="389" t="e">
        <f t="shared" si="165"/>
        <v>#DIV/0!</v>
      </c>
      <c r="P202" s="389" t="e">
        <f t="shared" si="165"/>
        <v>#DIV/0!</v>
      </c>
      <c r="Q202" s="389" t="e">
        <f t="shared" si="165"/>
        <v>#DIV/0!</v>
      </c>
      <c r="T202" s="8" t="s">
        <v>455</v>
      </c>
    </row>
    <row r="203" spans="2:20">
      <c r="B203" s="366" t="s">
        <v>90</v>
      </c>
      <c r="C203" s="367">
        <f t="shared" ref="C203:G203" si="166">C193-C198</f>
        <v>0</v>
      </c>
      <c r="D203" s="367">
        <f t="shared" si="166"/>
        <v>0</v>
      </c>
      <c r="E203" s="367">
        <f t="shared" si="166"/>
        <v>0</v>
      </c>
      <c r="F203" s="367">
        <f t="shared" si="166"/>
        <v>0</v>
      </c>
      <c r="G203" s="367">
        <f t="shared" si="166"/>
        <v>0</v>
      </c>
      <c r="H203" s="367">
        <f>H193-H198</f>
        <v>0</v>
      </c>
      <c r="I203" s="367"/>
      <c r="J203" s="367"/>
      <c r="K203" s="367"/>
      <c r="L203" s="367" t="e">
        <f>L202*AVERAGE(L201,H201)</f>
        <v>#DIV/0!</v>
      </c>
      <c r="M203" s="367" t="e">
        <f>M202*AVERAGE(M201,L201)</f>
        <v>#DIV/0!</v>
      </c>
      <c r="N203" s="367" t="e">
        <f t="shared" ref="N203:Q203" si="167">N202*AVERAGE(N201,M201)</f>
        <v>#DIV/0!</v>
      </c>
      <c r="O203" s="367" t="e">
        <f t="shared" si="167"/>
        <v>#DIV/0!</v>
      </c>
      <c r="P203" s="367" t="e">
        <f t="shared" si="167"/>
        <v>#DIV/0!</v>
      </c>
      <c r="Q203" s="367" t="e">
        <f t="shared" si="167"/>
        <v>#DIV/0!</v>
      </c>
    </row>
    <row r="205" spans="2:20">
      <c r="B205" s="386" t="s">
        <v>537</v>
      </c>
    </row>
    <row r="206" spans="2:20">
      <c r="B206" s="62" t="s">
        <v>538</v>
      </c>
      <c r="C206" s="387"/>
      <c r="D206" s="387"/>
      <c r="E206" s="387"/>
      <c r="F206" s="387"/>
      <c r="G206" s="387"/>
      <c r="H206" s="387"/>
      <c r="L206" s="390">
        <f>H206</f>
        <v>0</v>
      </c>
      <c r="M206" s="390">
        <f>L206</f>
        <v>0</v>
      </c>
      <c r="N206" s="390">
        <f t="shared" ref="N206:Q206" si="168">M206</f>
        <v>0</v>
      </c>
      <c r="O206" s="390">
        <f t="shared" si="168"/>
        <v>0</v>
      </c>
      <c r="P206" s="390">
        <f t="shared" si="168"/>
        <v>0</v>
      </c>
      <c r="Q206" s="390">
        <f t="shared" si="168"/>
        <v>0</v>
      </c>
    </row>
    <row r="207" spans="2:20">
      <c r="B207" s="366" t="s">
        <v>539</v>
      </c>
      <c r="C207" s="367">
        <f t="shared" ref="C207:H207" si="169">C33</f>
        <v>0</v>
      </c>
      <c r="D207" s="367">
        <f t="shared" si="169"/>
        <v>0</v>
      </c>
      <c r="E207" s="367">
        <f t="shared" si="169"/>
        <v>0</v>
      </c>
      <c r="F207" s="367">
        <f t="shared" si="169"/>
        <v>0</v>
      </c>
      <c r="G207" s="367">
        <f t="shared" si="169"/>
        <v>0</v>
      </c>
      <c r="H207" s="367">
        <f t="shared" si="169"/>
        <v>0</v>
      </c>
      <c r="I207" s="367"/>
      <c r="J207" s="367"/>
      <c r="K207" s="367"/>
      <c r="L207" s="367">
        <f>IF($C$8=1,AVERAGE(H80,L80)*L206,0)</f>
        <v>0</v>
      </c>
      <c r="M207" s="367">
        <f>IF($C$8=1,AVERAGE(L80,M80)*M206,0)</f>
        <v>0</v>
      </c>
      <c r="N207" s="367">
        <f>IF($C$8=1,AVERAGE(M80,N80)*N206,0)</f>
        <v>0</v>
      </c>
      <c r="O207" s="367">
        <f>IF($C$8=1,AVERAGE(N80,O80)*O206,0)</f>
        <v>0</v>
      </c>
      <c r="P207" s="367">
        <f>IF($C$8=1,AVERAGE(O80,P80)*P206,0)</f>
        <v>0</v>
      </c>
      <c r="Q207" s="367">
        <f>IF($C$8=1,AVERAGE(P80,Q80)*Q206,0)</f>
        <v>0</v>
      </c>
    </row>
    <row r="209" spans="2:17">
      <c r="B209" s="249" t="s">
        <v>540</v>
      </c>
    </row>
    <row r="210" spans="2:17">
      <c r="B210" s="8" t="s">
        <v>418</v>
      </c>
      <c r="C210" s="10">
        <f t="shared" ref="C210:H210" si="170">C39</f>
        <v>0</v>
      </c>
      <c r="D210" s="10">
        <f t="shared" si="170"/>
        <v>0</v>
      </c>
      <c r="E210" s="10">
        <f t="shared" si="170"/>
        <v>0</v>
      </c>
      <c r="F210" s="10">
        <f t="shared" si="170"/>
        <v>0</v>
      </c>
      <c r="G210" s="10">
        <f t="shared" si="170"/>
        <v>0</v>
      </c>
      <c r="H210" s="10">
        <f t="shared" si="170"/>
        <v>0</v>
      </c>
      <c r="L210" s="10" t="e">
        <f t="shared" ref="L210:Q210" si="171">L39</f>
        <v>#DIV/0!</v>
      </c>
      <c r="M210" s="10" t="e">
        <f t="shared" si="171"/>
        <v>#DIV/0!</v>
      </c>
      <c r="N210" s="10" t="e">
        <f t="shared" si="171"/>
        <v>#DIV/0!</v>
      </c>
      <c r="O210" s="10" t="e">
        <f t="shared" si="171"/>
        <v>#DIV/0!</v>
      </c>
      <c r="P210" s="10" t="e">
        <f t="shared" si="171"/>
        <v>#DIV/0!</v>
      </c>
      <c r="Q210" s="10" t="e">
        <f t="shared" si="171"/>
        <v>#DIV/0!</v>
      </c>
    </row>
    <row r="211" spans="2:17">
      <c r="B211" s="8" t="s">
        <v>541</v>
      </c>
      <c r="C211" s="379"/>
      <c r="D211" s="379"/>
      <c r="E211" s="379"/>
      <c r="F211" s="379"/>
      <c r="G211" s="379"/>
      <c r="H211" s="379"/>
      <c r="L211" s="380" t="e">
        <f>H211+(-L217+L218)/L219</f>
        <v>#DIV/0!</v>
      </c>
      <c r="M211" s="380" t="e">
        <f>L211+(-M217+M218)/M219</f>
        <v>#DIV/0!</v>
      </c>
      <c r="N211" s="380" t="e">
        <f t="shared" ref="N211:Q211" si="172">M211+(-N217+N218)/N219</f>
        <v>#DIV/0!</v>
      </c>
      <c r="O211" s="380" t="e">
        <f t="shared" si="172"/>
        <v>#DIV/0!</v>
      </c>
      <c r="P211" s="380" t="e">
        <f>O211+(-P217+P218)/P219</f>
        <v>#DIV/0!</v>
      </c>
      <c r="Q211" s="380" t="e">
        <f t="shared" si="172"/>
        <v>#DIV/0!</v>
      </c>
    </row>
    <row r="212" spans="2:17">
      <c r="B212" s="366" t="s">
        <v>75</v>
      </c>
      <c r="C212" s="391" t="e">
        <f>C210/C211</f>
        <v>#DIV/0!</v>
      </c>
      <c r="D212" s="391" t="e">
        <f t="shared" ref="D212:H212" si="173">D210/D211</f>
        <v>#DIV/0!</v>
      </c>
      <c r="E212" s="391" t="e">
        <f t="shared" si="173"/>
        <v>#DIV/0!</v>
      </c>
      <c r="F212" s="391" t="e">
        <f t="shared" si="173"/>
        <v>#DIV/0!</v>
      </c>
      <c r="G212" s="391" t="e">
        <f t="shared" si="173"/>
        <v>#DIV/0!</v>
      </c>
      <c r="H212" s="391" t="e">
        <f t="shared" si="173"/>
        <v>#DIV/0!</v>
      </c>
      <c r="I212" s="367"/>
      <c r="J212" s="367"/>
      <c r="K212" s="367"/>
      <c r="L212" s="391" t="e">
        <f t="shared" ref="L212:Q212" si="174">L210/L211</f>
        <v>#DIV/0!</v>
      </c>
      <c r="M212" s="391" t="e">
        <f t="shared" si="174"/>
        <v>#DIV/0!</v>
      </c>
      <c r="N212" s="391" t="e">
        <f t="shared" si="174"/>
        <v>#DIV/0!</v>
      </c>
      <c r="O212" s="391" t="e">
        <f t="shared" si="174"/>
        <v>#DIV/0!</v>
      </c>
      <c r="P212" s="391" t="e">
        <f t="shared" si="174"/>
        <v>#DIV/0!</v>
      </c>
      <c r="Q212" s="391" t="e">
        <f t="shared" si="174"/>
        <v>#DIV/0!</v>
      </c>
    </row>
    <row r="213" spans="2:17" ht="5.0999999999999996" customHeight="1"/>
    <row r="214" spans="2:17">
      <c r="B214" s="8" t="s">
        <v>542</v>
      </c>
      <c r="C214" s="379"/>
      <c r="D214" s="379"/>
      <c r="E214" s="379"/>
      <c r="F214" s="379"/>
      <c r="G214" s="379"/>
      <c r="H214" s="379"/>
      <c r="L214" s="380" t="e">
        <f>+H214+L211-H211</f>
        <v>#DIV/0!</v>
      </c>
      <c r="M214" s="380" t="e">
        <f>+L214+M211-L211</f>
        <v>#DIV/0!</v>
      </c>
      <c r="N214" s="380" t="e">
        <f t="shared" ref="N214:Q214" si="175">+M214+N211-M211</f>
        <v>#DIV/0!</v>
      </c>
      <c r="O214" s="380" t="e">
        <f t="shared" si="175"/>
        <v>#DIV/0!</v>
      </c>
      <c r="P214" s="380" t="e">
        <f t="shared" si="175"/>
        <v>#DIV/0!</v>
      </c>
      <c r="Q214" s="380" t="e">
        <f t="shared" si="175"/>
        <v>#DIV/0!</v>
      </c>
    </row>
    <row r="215" spans="2:17">
      <c r="B215" s="366" t="s">
        <v>331</v>
      </c>
      <c r="C215" s="391" t="e">
        <f>C210/C214</f>
        <v>#DIV/0!</v>
      </c>
      <c r="D215" s="391" t="e">
        <f t="shared" ref="D215:H215" si="176">D210/D214</f>
        <v>#DIV/0!</v>
      </c>
      <c r="E215" s="391" t="e">
        <f t="shared" si="176"/>
        <v>#DIV/0!</v>
      </c>
      <c r="F215" s="391" t="e">
        <f t="shared" si="176"/>
        <v>#DIV/0!</v>
      </c>
      <c r="G215" s="391" t="e">
        <f t="shared" si="176"/>
        <v>#DIV/0!</v>
      </c>
      <c r="H215" s="391" t="e">
        <f t="shared" si="176"/>
        <v>#DIV/0!</v>
      </c>
      <c r="I215" s="367"/>
      <c r="J215" s="367"/>
      <c r="K215" s="367"/>
      <c r="L215" s="391" t="e">
        <f t="shared" ref="L215:Q215" si="177">L210/L214</f>
        <v>#DIV/0!</v>
      </c>
      <c r="M215" s="391" t="e">
        <f t="shared" si="177"/>
        <v>#DIV/0!</v>
      </c>
      <c r="N215" s="391" t="e">
        <f t="shared" si="177"/>
        <v>#DIV/0!</v>
      </c>
      <c r="O215" s="391" t="e">
        <f t="shared" si="177"/>
        <v>#DIV/0!</v>
      </c>
      <c r="P215" s="391" t="e">
        <f t="shared" si="177"/>
        <v>#DIV/0!</v>
      </c>
      <c r="Q215" s="391" t="e">
        <f t="shared" si="177"/>
        <v>#DIV/0!</v>
      </c>
    </row>
    <row r="216" spans="2:17" ht="5.0999999999999996" customHeight="1"/>
    <row r="217" spans="2:17">
      <c r="B217" s="62" t="s">
        <v>543</v>
      </c>
      <c r="C217" s="10">
        <f t="shared" ref="C217:H217" si="178">-C175</f>
        <v>0</v>
      </c>
      <c r="D217" s="10">
        <f t="shared" si="178"/>
        <v>0</v>
      </c>
      <c r="E217" s="10">
        <f t="shared" si="178"/>
        <v>0</v>
      </c>
      <c r="F217" s="10">
        <f t="shared" si="178"/>
        <v>0</v>
      </c>
      <c r="G217" s="10">
        <f t="shared" si="178"/>
        <v>0</v>
      </c>
      <c r="H217" s="10">
        <f t="shared" si="178"/>
        <v>0</v>
      </c>
      <c r="L217" s="10">
        <f t="shared" ref="L217:Q217" si="179">-L175</f>
        <v>0</v>
      </c>
      <c r="M217" s="10">
        <f t="shared" si="179"/>
        <v>0</v>
      </c>
      <c r="N217" s="10">
        <f t="shared" si="179"/>
        <v>0</v>
      </c>
      <c r="O217" s="10">
        <f t="shared" si="179"/>
        <v>0</v>
      </c>
      <c r="P217" s="10">
        <f t="shared" si="179"/>
        <v>0</v>
      </c>
      <c r="Q217" s="10">
        <f t="shared" si="179"/>
        <v>0</v>
      </c>
    </row>
    <row r="218" spans="2:17">
      <c r="B218" s="62" t="s">
        <v>544</v>
      </c>
      <c r="C218" s="320">
        <f t="shared" ref="C218:H218" si="180">C44</f>
        <v>0</v>
      </c>
      <c r="D218" s="320">
        <f t="shared" si="180"/>
        <v>0</v>
      </c>
      <c r="E218" s="320">
        <f t="shared" si="180"/>
        <v>0</v>
      </c>
      <c r="F218" s="320">
        <f t="shared" si="180"/>
        <v>0</v>
      </c>
      <c r="G218" s="320">
        <f t="shared" si="180"/>
        <v>0</v>
      </c>
      <c r="H218" s="320">
        <f t="shared" si="180"/>
        <v>0</v>
      </c>
      <c r="L218" s="320">
        <f t="shared" ref="L218:Q218" si="181">L44</f>
        <v>0</v>
      </c>
      <c r="M218" s="320">
        <f t="shared" si="181"/>
        <v>0</v>
      </c>
      <c r="N218" s="320">
        <f t="shared" si="181"/>
        <v>0</v>
      </c>
      <c r="O218" s="320">
        <f t="shared" si="181"/>
        <v>0</v>
      </c>
      <c r="P218" s="320">
        <f t="shared" si="181"/>
        <v>0</v>
      </c>
      <c r="Q218" s="320">
        <f t="shared" si="181"/>
        <v>0</v>
      </c>
    </row>
    <row r="219" spans="2:17">
      <c r="B219" s="62" t="s">
        <v>545</v>
      </c>
      <c r="C219" s="392"/>
      <c r="D219" s="392"/>
      <c r="E219" s="392"/>
      <c r="F219" s="392"/>
      <c r="G219" s="392"/>
      <c r="H219" s="392"/>
      <c r="L219" s="393"/>
      <c r="M219" s="394" t="e">
        <f>SUM(L219*M220)+L219</f>
        <v>#DIV/0!</v>
      </c>
      <c r="N219" s="394" t="e">
        <f t="shared" ref="N219:Q219" si="182">SUM(M219*N220)+M219</f>
        <v>#DIV/0!</v>
      </c>
      <c r="O219" s="394" t="e">
        <f t="shared" si="182"/>
        <v>#DIV/0!</v>
      </c>
      <c r="P219" s="394" t="e">
        <f t="shared" si="182"/>
        <v>#DIV/0!</v>
      </c>
      <c r="Q219" s="394" t="e">
        <f t="shared" si="182"/>
        <v>#DIV/0!</v>
      </c>
    </row>
    <row r="220" spans="2:17">
      <c r="B220" s="62" t="s">
        <v>546</v>
      </c>
      <c r="C220" s="372"/>
      <c r="D220" s="381" t="e">
        <f>SUM(D219/C219)-1</f>
        <v>#DIV/0!</v>
      </c>
      <c r="E220" s="381" t="e">
        <f t="shared" ref="E220:H220" si="183">SUM(E219/D219)-1</f>
        <v>#DIV/0!</v>
      </c>
      <c r="F220" s="381" t="e">
        <f t="shared" si="183"/>
        <v>#DIV/0!</v>
      </c>
      <c r="G220" s="381" t="e">
        <f t="shared" si="183"/>
        <v>#DIV/0!</v>
      </c>
      <c r="H220" s="381" t="e">
        <f t="shared" si="183"/>
        <v>#DIV/0!</v>
      </c>
      <c r="L220" s="372"/>
      <c r="M220" s="381" t="e">
        <f>SUM(M210/L210)-1</f>
        <v>#DIV/0!</v>
      </c>
      <c r="N220" s="381" t="e">
        <f t="shared" ref="N220:Q220" si="184">SUM(N210/M210)-1</f>
        <v>#DIV/0!</v>
      </c>
      <c r="O220" s="381" t="e">
        <f t="shared" si="184"/>
        <v>#DIV/0!</v>
      </c>
      <c r="P220" s="381" t="e">
        <f t="shared" si="184"/>
        <v>#DIV/0!</v>
      </c>
      <c r="Q220" s="381" t="e">
        <f t="shared" si="184"/>
        <v>#DIV/0!</v>
      </c>
    </row>
    <row r="222" spans="2:17">
      <c r="B222" s="249" t="s">
        <v>547</v>
      </c>
    </row>
    <row r="223" spans="2:17">
      <c r="B223" s="8" t="s">
        <v>548</v>
      </c>
      <c r="C223" s="394">
        <f>C219</f>
        <v>0</v>
      </c>
      <c r="D223" s="394">
        <f t="shared" ref="D223:H223" si="185">D219</f>
        <v>0</v>
      </c>
      <c r="E223" s="394">
        <f t="shared" si="185"/>
        <v>0</v>
      </c>
      <c r="F223" s="394">
        <f t="shared" si="185"/>
        <v>0</v>
      </c>
      <c r="G223" s="394">
        <f t="shared" si="185"/>
        <v>0</v>
      </c>
      <c r="H223" s="394">
        <f t="shared" si="185"/>
        <v>0</v>
      </c>
      <c r="L223" s="394">
        <f t="shared" ref="L223:Q223" si="186">L219</f>
        <v>0</v>
      </c>
      <c r="M223" s="394" t="e">
        <f t="shared" si="186"/>
        <v>#DIV/0!</v>
      </c>
      <c r="N223" s="394" t="e">
        <f t="shared" si="186"/>
        <v>#DIV/0!</v>
      </c>
      <c r="O223" s="394" t="e">
        <f t="shared" si="186"/>
        <v>#DIV/0!</v>
      </c>
      <c r="P223" s="394" t="e">
        <f t="shared" si="186"/>
        <v>#DIV/0!</v>
      </c>
      <c r="Q223" s="394" t="e">
        <f t="shared" si="186"/>
        <v>#DIV/0!</v>
      </c>
    </row>
    <row r="224" spans="2:17">
      <c r="B224" s="8" t="s">
        <v>75</v>
      </c>
      <c r="C224" s="394" t="e">
        <f>C212</f>
        <v>#DIV/0!</v>
      </c>
      <c r="D224" s="394" t="e">
        <f t="shared" ref="D224:H224" si="187">D212</f>
        <v>#DIV/0!</v>
      </c>
      <c r="E224" s="394" t="e">
        <f t="shared" si="187"/>
        <v>#DIV/0!</v>
      </c>
      <c r="F224" s="394" t="e">
        <f t="shared" si="187"/>
        <v>#DIV/0!</v>
      </c>
      <c r="G224" s="394" t="e">
        <f t="shared" si="187"/>
        <v>#DIV/0!</v>
      </c>
      <c r="H224" s="394" t="e">
        <f t="shared" si="187"/>
        <v>#DIV/0!</v>
      </c>
      <c r="L224" s="394" t="e">
        <f t="shared" ref="L224:Q224" si="188">L212</f>
        <v>#DIV/0!</v>
      </c>
      <c r="M224" s="394" t="e">
        <f t="shared" si="188"/>
        <v>#DIV/0!</v>
      </c>
      <c r="N224" s="394" t="e">
        <f t="shared" si="188"/>
        <v>#DIV/0!</v>
      </c>
      <c r="O224" s="394" t="e">
        <f t="shared" si="188"/>
        <v>#DIV/0!</v>
      </c>
      <c r="P224" s="394" t="e">
        <f t="shared" si="188"/>
        <v>#DIV/0!</v>
      </c>
      <c r="Q224" s="394" t="e">
        <f t="shared" si="188"/>
        <v>#DIV/0!</v>
      </c>
    </row>
    <row r="225" spans="2:17">
      <c r="B225" s="366" t="s">
        <v>329</v>
      </c>
      <c r="C225" s="395" t="e">
        <f>C223/C224</f>
        <v>#DIV/0!</v>
      </c>
      <c r="D225" s="395" t="e">
        <f t="shared" ref="D225:H225" si="189">D223/D224</f>
        <v>#DIV/0!</v>
      </c>
      <c r="E225" s="395" t="e">
        <f t="shared" si="189"/>
        <v>#DIV/0!</v>
      </c>
      <c r="F225" s="395" t="e">
        <f t="shared" si="189"/>
        <v>#DIV/0!</v>
      </c>
      <c r="G225" s="395" t="e">
        <f t="shared" si="189"/>
        <v>#DIV/0!</v>
      </c>
      <c r="H225" s="395" t="e">
        <f t="shared" si="189"/>
        <v>#DIV/0!</v>
      </c>
      <c r="I225" s="395"/>
      <c r="J225" s="395"/>
      <c r="K225" s="395"/>
      <c r="L225" s="395" t="e">
        <f t="shared" ref="L225:Q225" si="190">L223/L224</f>
        <v>#DIV/0!</v>
      </c>
      <c r="M225" s="395" t="e">
        <f t="shared" si="190"/>
        <v>#DIV/0!</v>
      </c>
      <c r="N225" s="395" t="e">
        <f t="shared" si="190"/>
        <v>#DIV/0!</v>
      </c>
      <c r="O225" s="395" t="e">
        <f t="shared" si="190"/>
        <v>#DIV/0!</v>
      </c>
      <c r="P225" s="395" t="e">
        <f t="shared" si="190"/>
        <v>#DIV/0!</v>
      </c>
      <c r="Q225" s="395" t="e">
        <f t="shared" si="190"/>
        <v>#DIV/0!</v>
      </c>
    </row>
    <row r="226" spans="2:17" ht="5.0999999999999996" customHeight="1">
      <c r="B226" s="396"/>
      <c r="C226" s="397"/>
      <c r="D226" s="397"/>
      <c r="E226" s="397"/>
      <c r="F226" s="397"/>
      <c r="G226" s="397"/>
      <c r="H226" s="397"/>
    </row>
    <row r="227" spans="2:17">
      <c r="B227" s="8" t="s">
        <v>331</v>
      </c>
      <c r="C227" s="394" t="e">
        <f>C215</f>
        <v>#DIV/0!</v>
      </c>
      <c r="D227" s="394" t="e">
        <f t="shared" ref="D227:H227" si="191">D215</f>
        <v>#DIV/0!</v>
      </c>
      <c r="E227" s="394" t="e">
        <f t="shared" si="191"/>
        <v>#DIV/0!</v>
      </c>
      <c r="F227" s="394" t="e">
        <f t="shared" si="191"/>
        <v>#DIV/0!</v>
      </c>
      <c r="G227" s="394" t="e">
        <f t="shared" si="191"/>
        <v>#DIV/0!</v>
      </c>
      <c r="H227" s="394" t="e">
        <f t="shared" si="191"/>
        <v>#DIV/0!</v>
      </c>
      <c r="L227" s="394" t="e">
        <f t="shared" ref="L227:Q227" si="192">L215</f>
        <v>#DIV/0!</v>
      </c>
      <c r="M227" s="394" t="e">
        <f t="shared" si="192"/>
        <v>#DIV/0!</v>
      </c>
      <c r="N227" s="394" t="e">
        <f t="shared" si="192"/>
        <v>#DIV/0!</v>
      </c>
      <c r="O227" s="394" t="e">
        <f t="shared" si="192"/>
        <v>#DIV/0!</v>
      </c>
      <c r="P227" s="394" t="e">
        <f t="shared" si="192"/>
        <v>#DIV/0!</v>
      </c>
      <c r="Q227" s="394" t="e">
        <f t="shared" si="192"/>
        <v>#DIV/0!</v>
      </c>
    </row>
    <row r="228" spans="2:17">
      <c r="B228" s="366" t="s">
        <v>330</v>
      </c>
      <c r="C228" s="395" t="e">
        <f>C223/C227</f>
        <v>#DIV/0!</v>
      </c>
      <c r="D228" s="395" t="e">
        <f t="shared" ref="D228:H228" si="193">D223/D227</f>
        <v>#DIV/0!</v>
      </c>
      <c r="E228" s="395" t="e">
        <f t="shared" si="193"/>
        <v>#DIV/0!</v>
      </c>
      <c r="F228" s="395" t="e">
        <f t="shared" si="193"/>
        <v>#DIV/0!</v>
      </c>
      <c r="G228" s="395" t="e">
        <f t="shared" si="193"/>
        <v>#DIV/0!</v>
      </c>
      <c r="H228" s="395" t="e">
        <f t="shared" si="193"/>
        <v>#DIV/0!</v>
      </c>
      <c r="I228" s="395"/>
      <c r="J228" s="395"/>
      <c r="K228" s="395"/>
      <c r="L228" s="395" t="e">
        <f t="shared" ref="L228:Q228" si="194">L223/L227</f>
        <v>#DIV/0!</v>
      </c>
      <c r="M228" s="395" t="e">
        <f t="shared" si="194"/>
        <v>#DIV/0!</v>
      </c>
      <c r="N228" s="395" t="e">
        <f t="shared" si="194"/>
        <v>#DIV/0!</v>
      </c>
      <c r="O228" s="395" t="e">
        <f t="shared" si="194"/>
        <v>#DIV/0!</v>
      </c>
      <c r="P228" s="395" t="e">
        <f t="shared" si="194"/>
        <v>#DIV/0!</v>
      </c>
      <c r="Q228" s="395" t="e">
        <f t="shared" si="194"/>
        <v>#DIV/0!</v>
      </c>
    </row>
  </sheetData>
  <dataValidations count="3">
    <dataValidation type="list" allowBlank="1" showInputMessage="1" showErrorMessage="1" sqref="E149" xr:uid="{797B4E6F-CF92-4E7B-92A4-19805D3C498D}">
      <formula1>"1,.5"</formula1>
    </dataValidation>
    <dataValidation type="list" allowBlank="1" showInputMessage="1" showErrorMessage="1" sqref="B17 B4" xr:uid="{7597A183-7426-464C-A51A-885137DEA339}">
      <formula1>"$ bns except per share, $ mm except per share,$ in thousands except per share"</formula1>
    </dataValidation>
    <dataValidation type="list" allowBlank="1" showInputMessage="1" showErrorMessage="1" sqref="C8" xr:uid="{4C24DA24-221D-4ADD-BF6F-15A3FA146174}">
      <formula1>"0,1"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5C47-BA0D-465C-91F5-18120EB7D2FA}">
  <dimension ref="B2:M82"/>
  <sheetViews>
    <sheetView showGridLines="0" topLeftCell="A49" workbookViewId="0">
      <selection activeCell="E80" sqref="E80"/>
    </sheetView>
  </sheetViews>
  <sheetFormatPr defaultColWidth="8" defaultRowHeight="12"/>
  <cols>
    <col min="1" max="1" width="1.25" style="8" customWidth="1"/>
    <col min="2" max="2" width="34.375" style="8" bestFit="1" customWidth="1"/>
    <col min="3" max="3" width="11.75" style="8" customWidth="1"/>
    <col min="4" max="4" width="0.875" style="8" customWidth="1"/>
    <col min="5" max="5" width="11.125" style="8" customWidth="1"/>
    <col min="6" max="6" width="0.875" style="8" customWidth="1"/>
    <col min="7" max="7" width="12.375" style="8" customWidth="1"/>
    <col min="8" max="12" width="11.125" style="8" customWidth="1"/>
    <col min="13" max="13" width="1.5" style="8" customWidth="1"/>
    <col min="14" max="14" width="10.625" style="8" bestFit="1" customWidth="1"/>
    <col min="15" max="19" width="8.25" style="8" customWidth="1"/>
    <col min="20" max="16384" width="8" style="8"/>
  </cols>
  <sheetData>
    <row r="2" spans="2:13">
      <c r="B2" s="1" t="str">
        <f>'Historical Financials'!B2</f>
        <v>Netflix, Inc. (NASDAQ: NFLX)</v>
      </c>
      <c r="C2" s="1"/>
      <c r="D2" s="1"/>
      <c r="E2" s="1"/>
      <c r="F2" s="1"/>
      <c r="G2" s="1"/>
      <c r="H2" s="1"/>
      <c r="I2" s="1"/>
      <c r="J2" s="1"/>
      <c r="K2" s="1"/>
      <c r="L2" s="398"/>
    </row>
    <row r="3" spans="2:13">
      <c r="B3" s="6" t="s">
        <v>549</v>
      </c>
      <c r="C3" s="1"/>
      <c r="D3" s="1"/>
      <c r="E3" s="1"/>
      <c r="F3" s="1"/>
      <c r="G3" s="1"/>
      <c r="H3" s="1"/>
      <c r="I3" s="1"/>
      <c r="J3" s="1"/>
      <c r="K3" s="1"/>
      <c r="L3" s="398"/>
    </row>
    <row r="4" spans="2:13">
      <c r="B4" s="6" t="s">
        <v>550</v>
      </c>
      <c r="C4" s="1"/>
      <c r="D4" s="1"/>
      <c r="E4" s="1"/>
      <c r="F4" s="1"/>
      <c r="G4" s="1"/>
      <c r="H4" s="1"/>
      <c r="I4" s="1"/>
      <c r="J4" s="1"/>
      <c r="K4" s="1"/>
      <c r="L4" s="398"/>
    </row>
    <row r="5" spans="2:13" ht="5.0999999999999996" customHeight="1">
      <c r="L5" s="398"/>
    </row>
    <row r="6" spans="2:13">
      <c r="B6" s="399" t="s">
        <v>551</v>
      </c>
      <c r="C6" s="400"/>
      <c r="D6" s="401"/>
      <c r="E6" s="298"/>
      <c r="F6" s="401"/>
      <c r="G6" s="298"/>
      <c r="H6" s="298" t="s">
        <v>552</v>
      </c>
      <c r="I6" s="298"/>
      <c r="J6" s="402"/>
      <c r="K6" s="301" t="s">
        <v>553</v>
      </c>
      <c r="L6" s="398"/>
    </row>
    <row r="7" spans="2:13">
      <c r="B7" s="93" t="s">
        <v>554</v>
      </c>
      <c r="C7" s="403">
        <f>EOMONTH(C6,12)</f>
        <v>397</v>
      </c>
      <c r="D7" s="403"/>
      <c r="F7" s="403"/>
      <c r="H7" s="8" t="s">
        <v>555</v>
      </c>
      <c r="J7" s="404"/>
      <c r="K7" s="304" t="s">
        <v>556</v>
      </c>
      <c r="L7" s="398"/>
    </row>
    <row r="8" spans="2:13">
      <c r="B8" s="93" t="s">
        <v>557</v>
      </c>
      <c r="C8" s="405"/>
      <c r="D8" s="406"/>
      <c r="F8" s="406"/>
      <c r="H8" s="8" t="s">
        <v>558</v>
      </c>
      <c r="J8" s="407"/>
      <c r="K8" s="304"/>
      <c r="L8" s="398"/>
      <c r="M8" s="408"/>
    </row>
    <row r="9" spans="2:13">
      <c r="B9" s="93" t="s">
        <v>559</v>
      </c>
      <c r="C9" s="406"/>
      <c r="D9" s="406"/>
      <c r="F9" s="406"/>
      <c r="H9" s="8" t="s">
        <v>560</v>
      </c>
      <c r="J9" s="409">
        <v>1</v>
      </c>
      <c r="K9" s="410"/>
      <c r="L9" s="398"/>
      <c r="M9" s="408"/>
    </row>
    <row r="10" spans="2:13">
      <c r="B10" s="411" t="s">
        <v>561</v>
      </c>
      <c r="C10" s="412">
        <f>YEARFRAC(C9,C7)</f>
        <v>1.086111111111111</v>
      </c>
      <c r="D10" s="412"/>
      <c r="E10" s="313"/>
      <c r="F10" s="412"/>
      <c r="G10" s="313"/>
      <c r="H10" s="313" t="s">
        <v>403</v>
      </c>
      <c r="I10" s="313"/>
      <c r="J10" s="413"/>
      <c r="K10" s="314"/>
      <c r="L10" s="398"/>
    </row>
    <row r="11" spans="2:13">
      <c r="E11" s="414"/>
      <c r="L11" s="398"/>
    </row>
    <row r="12" spans="2:13">
      <c r="B12" s="415" t="s">
        <v>562</v>
      </c>
      <c r="C12" s="103"/>
      <c r="D12" s="414"/>
      <c r="E12" s="414"/>
      <c r="G12" s="416" t="s">
        <v>563</v>
      </c>
      <c r="H12" s="103"/>
      <c r="I12" s="103"/>
      <c r="J12" s="103"/>
      <c r="K12" s="103"/>
      <c r="L12" s="398"/>
    </row>
    <row r="13" spans="2:13">
      <c r="B13" s="8" t="s">
        <v>564</v>
      </c>
      <c r="C13" s="417">
        <v>0.03</v>
      </c>
      <c r="D13" s="414"/>
      <c r="E13" s="414"/>
      <c r="G13" s="8" t="s">
        <v>565</v>
      </c>
      <c r="K13" s="418">
        <f>L60</f>
        <v>0</v>
      </c>
      <c r="L13" s="398"/>
    </row>
    <row r="14" spans="2:13">
      <c r="B14" s="419" t="str">
        <f>YEAR(K50)&amp;" FCF x (1+g)"</f>
        <v>1905 FCF x (1+g)</v>
      </c>
      <c r="C14" s="418">
        <f>L81*(1+C13)</f>
        <v>0</v>
      </c>
      <c r="D14" s="414"/>
      <c r="E14" s="414"/>
      <c r="G14" s="8" t="s">
        <v>566</v>
      </c>
      <c r="K14" s="420">
        <v>21</v>
      </c>
      <c r="L14" s="8" t="s">
        <v>567</v>
      </c>
    </row>
    <row r="15" spans="2:13">
      <c r="B15" s="8" t="str">
        <f>"Terminal value in "&amp;YEAR(K50)</f>
        <v>Terminal value in 1905</v>
      </c>
      <c r="C15" s="418">
        <f>C14/(J6-C13)</f>
        <v>0</v>
      </c>
      <c r="D15" s="414"/>
      <c r="E15" s="414"/>
      <c r="G15" s="8" t="str">
        <f>"Terminal value in "&amp;YEAR(K50)</f>
        <v>Terminal value in 1905</v>
      </c>
      <c r="K15" s="418">
        <f>K13*K14</f>
        <v>0</v>
      </c>
      <c r="L15" s="398"/>
    </row>
    <row r="16" spans="2:13">
      <c r="B16" s="8" t="s">
        <v>568</v>
      </c>
      <c r="C16" s="418">
        <f>C15/(1+J6)^((L80-$E$80)/365)</f>
        <v>0</v>
      </c>
      <c r="D16" s="414"/>
      <c r="E16" s="414"/>
      <c r="G16" s="8" t="s">
        <v>568</v>
      </c>
      <c r="K16" s="418">
        <f>K15/(1+J6)^((L80-E80)/365)</f>
        <v>0</v>
      </c>
      <c r="L16" s="398"/>
    </row>
    <row r="17" spans="2:12">
      <c r="B17" s="8" t="s">
        <v>569</v>
      </c>
      <c r="C17" s="421">
        <f>SUM(G82:L82)</f>
        <v>0</v>
      </c>
      <c r="D17" s="414"/>
      <c r="E17" s="414"/>
      <c r="G17" s="8" t="s">
        <v>569</v>
      </c>
      <c r="K17" s="418">
        <f>C17</f>
        <v>0</v>
      </c>
      <c r="L17" s="398"/>
    </row>
    <row r="18" spans="2:12">
      <c r="B18" s="422" t="s">
        <v>570</v>
      </c>
      <c r="C18" s="423">
        <f>C17+C16</f>
        <v>0</v>
      </c>
      <c r="D18" s="414"/>
      <c r="E18" s="414"/>
      <c r="G18" s="422" t="s">
        <v>571</v>
      </c>
      <c r="H18" s="424"/>
      <c r="I18" s="424"/>
      <c r="J18" s="424"/>
      <c r="K18" s="423">
        <f>SUM(K16:K17)</f>
        <v>0</v>
      </c>
      <c r="L18" s="398"/>
    </row>
    <row r="19" spans="2:12">
      <c r="B19" s="425" t="s">
        <v>572</v>
      </c>
      <c r="C19" s="378" t="e">
        <f>C16/$C$18</f>
        <v>#DIV/0!</v>
      </c>
      <c r="D19" s="414"/>
      <c r="E19" s="414"/>
      <c r="G19" s="425" t="s">
        <v>572</v>
      </c>
      <c r="K19" s="378" t="e">
        <f>+K16/K18</f>
        <v>#DIV/0!</v>
      </c>
      <c r="L19" s="398"/>
    </row>
    <row r="20" spans="2:12">
      <c r="B20" s="425" t="s">
        <v>573</v>
      </c>
      <c r="C20" s="378" t="e">
        <f>1-C19</f>
        <v>#DIV/0!</v>
      </c>
      <c r="D20" s="414"/>
      <c r="E20" s="414"/>
      <c r="G20" s="425" t="s">
        <v>574</v>
      </c>
      <c r="I20" s="426"/>
      <c r="K20" s="427" t="e">
        <f>1-K19</f>
        <v>#DIV/0!</v>
      </c>
      <c r="L20" s="398"/>
    </row>
    <row r="21" spans="2:12">
      <c r="B21" s="425" t="s">
        <v>575</v>
      </c>
      <c r="C21" s="428" t="e">
        <f>(C15/L60)</f>
        <v>#DIV/0!</v>
      </c>
      <c r="D21" s="414"/>
      <c r="E21" s="414"/>
      <c r="G21" s="8" t="s">
        <v>576</v>
      </c>
      <c r="K21" s="429" t="e">
        <f>(J6-L81/K15)/(1+L81/K15)</f>
        <v>#DIV/0!</v>
      </c>
      <c r="L21" s="398"/>
    </row>
    <row r="22" spans="2:12">
      <c r="D22" s="414"/>
      <c r="E22" s="414"/>
      <c r="L22" s="398"/>
    </row>
    <row r="23" spans="2:12">
      <c r="B23" s="415" t="s">
        <v>577</v>
      </c>
      <c r="C23" s="103"/>
      <c r="D23" s="414"/>
      <c r="E23" s="414"/>
      <c r="G23" s="416" t="s">
        <v>578</v>
      </c>
      <c r="H23" s="103"/>
      <c r="I23" s="415"/>
      <c r="J23" s="103"/>
      <c r="K23" s="415"/>
      <c r="L23" s="398"/>
    </row>
    <row r="24" spans="2:12" ht="5.0999999999999996" customHeight="1">
      <c r="B24" s="414"/>
      <c r="C24" s="414"/>
      <c r="D24" s="414"/>
      <c r="E24" s="414"/>
      <c r="L24" s="398"/>
    </row>
    <row r="25" spans="2:12">
      <c r="B25" s="8" t="s">
        <v>579</v>
      </c>
      <c r="C25" s="407"/>
      <c r="D25" s="414"/>
      <c r="E25" s="414"/>
      <c r="I25" s="430" t="s">
        <v>580</v>
      </c>
      <c r="J25" s="430" t="s">
        <v>581</v>
      </c>
      <c r="K25" s="430" t="s">
        <v>582</v>
      </c>
      <c r="L25" s="398"/>
    </row>
    <row r="26" spans="2:12">
      <c r="B26" s="377" t="s">
        <v>583</v>
      </c>
      <c r="C26" s="431">
        <f>C8</f>
        <v>0</v>
      </c>
      <c r="D26" s="414"/>
      <c r="E26" s="414"/>
      <c r="G26" s="432" t="s">
        <v>584</v>
      </c>
      <c r="I26" s="407"/>
      <c r="J26" s="433">
        <f>$C$6</f>
        <v>0</v>
      </c>
      <c r="K26" s="398"/>
      <c r="L26" s="398"/>
    </row>
    <row r="27" spans="2:12">
      <c r="B27" s="434" t="s">
        <v>585</v>
      </c>
      <c r="C27" s="435"/>
      <c r="D27" s="414"/>
      <c r="E27" s="414"/>
      <c r="G27" s="436" t="s">
        <v>586</v>
      </c>
      <c r="I27" s="407"/>
      <c r="J27" s="433">
        <f>$C$6</f>
        <v>0</v>
      </c>
      <c r="K27" s="85"/>
      <c r="L27" s="437"/>
    </row>
    <row r="28" spans="2:12">
      <c r="B28" s="62" t="s">
        <v>587</v>
      </c>
      <c r="C28" s="316"/>
      <c r="D28" s="414"/>
      <c r="E28" s="414"/>
      <c r="G28" s="436" t="s">
        <v>588</v>
      </c>
      <c r="I28" s="407"/>
      <c r="J28" s="433">
        <f t="shared" ref="J28:J30" si="0">$C$6</f>
        <v>0</v>
      </c>
      <c r="K28" s="85"/>
      <c r="L28" s="438"/>
    </row>
    <row r="29" spans="2:12">
      <c r="B29" s="62" t="s">
        <v>589</v>
      </c>
      <c r="C29" s="85"/>
      <c r="D29" s="414"/>
      <c r="E29" s="414"/>
      <c r="G29" s="432" t="s">
        <v>589</v>
      </c>
      <c r="I29" s="407"/>
      <c r="J29" s="433">
        <f t="shared" si="0"/>
        <v>0</v>
      </c>
      <c r="K29" s="85"/>
      <c r="L29" s="439"/>
    </row>
    <row r="30" spans="2:12">
      <c r="B30" s="62" t="s">
        <v>590</v>
      </c>
      <c r="C30" s="85"/>
      <c r="D30" s="414"/>
      <c r="E30" s="414"/>
      <c r="G30" s="432" t="s">
        <v>591</v>
      </c>
      <c r="I30" s="407"/>
      <c r="J30" s="433">
        <f t="shared" si="0"/>
        <v>0</v>
      </c>
      <c r="K30" s="85"/>
      <c r="L30" s="439"/>
    </row>
    <row r="31" spans="2:12">
      <c r="B31" s="440" t="s">
        <v>592</v>
      </c>
      <c r="C31" s="85"/>
      <c r="D31" s="414"/>
      <c r="E31" s="414"/>
      <c r="G31" s="441" t="s">
        <v>593</v>
      </c>
      <c r="H31" s="424"/>
      <c r="I31" s="424"/>
      <c r="J31" s="424"/>
      <c r="K31" s="442">
        <f>SUM(K26:K30)</f>
        <v>0</v>
      </c>
      <c r="L31" s="443"/>
    </row>
    <row r="32" spans="2:12">
      <c r="B32" s="434" t="s">
        <v>594</v>
      </c>
      <c r="D32" s="414"/>
      <c r="E32" s="414"/>
    </row>
    <row r="33" spans="2:12">
      <c r="B33" s="444" t="s">
        <v>595</v>
      </c>
      <c r="C33" s="316"/>
      <c r="D33" s="414"/>
      <c r="E33" s="414"/>
    </row>
    <row r="34" spans="2:12">
      <c r="B34" s="444" t="s">
        <v>596</v>
      </c>
      <c r="C34" s="85"/>
      <c r="D34" s="414"/>
      <c r="E34" s="414"/>
    </row>
    <row r="35" spans="2:12">
      <c r="B35" s="445" t="s">
        <v>577</v>
      </c>
      <c r="C35" s="423">
        <f>SUM(C28:C31)-SUM(C33:C34)</f>
        <v>0</v>
      </c>
      <c r="D35" s="414"/>
      <c r="E35" s="414"/>
    </row>
    <row r="36" spans="2:12">
      <c r="D36" s="414"/>
      <c r="E36" s="414"/>
    </row>
    <row r="37" spans="2:12">
      <c r="B37" s="415" t="s">
        <v>597</v>
      </c>
      <c r="C37" s="103"/>
      <c r="D37" s="103"/>
      <c r="E37" s="415"/>
    </row>
    <row r="38" spans="2:12" ht="5.0999999999999996" customHeight="1">
      <c r="B38" s="446"/>
      <c r="C38" s="447"/>
      <c r="D38" s="447"/>
      <c r="E38" s="446"/>
    </row>
    <row r="39" spans="2:12" ht="14.25">
      <c r="C39" s="448" t="s">
        <v>598</v>
      </c>
      <c r="D39" s="448"/>
      <c r="E39" s="448" t="s">
        <v>11</v>
      </c>
    </row>
    <row r="40" spans="2:12">
      <c r="B40" s="8" t="s">
        <v>599</v>
      </c>
      <c r="C40" s="449">
        <f>C18</f>
        <v>0</v>
      </c>
      <c r="D40" s="449"/>
      <c r="E40" s="449">
        <f>K18</f>
        <v>0</v>
      </c>
    </row>
    <row r="41" spans="2:12">
      <c r="B41" s="8" t="s">
        <v>577</v>
      </c>
      <c r="C41" s="450">
        <f>$C$35</f>
        <v>0</v>
      </c>
      <c r="D41" s="450"/>
      <c r="E41" s="450">
        <f>C41</f>
        <v>0</v>
      </c>
    </row>
    <row r="42" spans="2:12">
      <c r="B42" s="36" t="s">
        <v>600</v>
      </c>
      <c r="C42" s="451">
        <f>C40-C41</f>
        <v>0</v>
      </c>
      <c r="D42" s="451"/>
      <c r="E42" s="451">
        <f>E40-E41</f>
        <v>0</v>
      </c>
    </row>
    <row r="43" spans="2:12">
      <c r="B43" s="8" t="s">
        <v>601</v>
      </c>
      <c r="C43" s="452">
        <f>$K$31</f>
        <v>0</v>
      </c>
      <c r="D43" s="452"/>
      <c r="E43" s="452">
        <f>C43</f>
        <v>0</v>
      </c>
    </row>
    <row r="44" spans="2:12">
      <c r="B44" s="453" t="s">
        <v>602</v>
      </c>
      <c r="C44" s="454" t="e">
        <f>C42/C43</f>
        <v>#DIV/0!</v>
      </c>
      <c r="D44" s="454"/>
      <c r="E44" s="454" t="e">
        <f>E42/E43</f>
        <v>#DIV/0!</v>
      </c>
    </row>
    <row r="45" spans="2:12">
      <c r="D45" s="414"/>
      <c r="E45" s="414"/>
    </row>
    <row r="46" spans="2:12">
      <c r="B46" s="415" t="s">
        <v>603</v>
      </c>
      <c r="C46" s="103"/>
      <c r="D46" s="103"/>
      <c r="E46" s="103"/>
      <c r="F46" s="103"/>
      <c r="G46" s="103"/>
      <c r="H46" s="103"/>
      <c r="I46" s="103"/>
      <c r="J46" s="103"/>
      <c r="K46" s="103"/>
      <c r="L46" s="103"/>
    </row>
    <row r="47" spans="2:12" ht="5.0999999999999996" customHeight="1">
      <c r="E47" s="414"/>
    </row>
    <row r="48" spans="2:12">
      <c r="B48" s="1" t="s">
        <v>365</v>
      </c>
      <c r="C48" s="2" t="s">
        <v>10</v>
      </c>
      <c r="D48" s="88"/>
      <c r="E48" s="2" t="s">
        <v>0</v>
      </c>
      <c r="F48" s="88"/>
      <c r="G48" s="2" t="s">
        <v>604</v>
      </c>
      <c r="H48" s="2"/>
      <c r="I48" s="2"/>
      <c r="J48" s="2"/>
      <c r="K48" s="2"/>
      <c r="L48" s="2"/>
    </row>
    <row r="49" spans="2:13">
      <c r="B49" s="6" t="s">
        <v>88</v>
      </c>
      <c r="C49" s="315" t="s">
        <v>605</v>
      </c>
      <c r="D49" s="88"/>
      <c r="E49" s="315">
        <v>2025</v>
      </c>
      <c r="F49" s="88"/>
      <c r="G49" s="455">
        <f>'[2]3 Statement Model'!L16</f>
        <v>2026</v>
      </c>
      <c r="H49" s="455">
        <f>'[2]3 Statement Model'!M16</f>
        <v>2027</v>
      </c>
      <c r="I49" s="455">
        <f>'[2]3 Statement Model'!N16</f>
        <v>2028</v>
      </c>
      <c r="J49" s="455">
        <f>'[2]3 Statement Model'!O16</f>
        <v>2029</v>
      </c>
      <c r="K49" s="455">
        <f>'[2]3 Statement Model'!P16</f>
        <v>2030</v>
      </c>
      <c r="L49" s="455">
        <f>'[2]3 Statement Model'!Q16</f>
        <v>2031</v>
      </c>
    </row>
    <row r="50" spans="2:13">
      <c r="B50" s="150" t="s">
        <v>89</v>
      </c>
      <c r="C50" s="88">
        <f>C8</f>
        <v>0</v>
      </c>
      <c r="D50" s="88"/>
      <c r="E50" s="88">
        <f>C6</f>
        <v>0</v>
      </c>
      <c r="F50" s="88"/>
      <c r="G50" s="88">
        <f>EOMONTH(E50,12)</f>
        <v>397</v>
      </c>
      <c r="H50" s="88">
        <f>EOMONTH(G50,12)</f>
        <v>762</v>
      </c>
      <c r="I50" s="88">
        <f>EOMONTH(H50,12)</f>
        <v>1127</v>
      </c>
      <c r="J50" s="88">
        <f>EOMONTH(I50,12)</f>
        <v>1492</v>
      </c>
      <c r="K50" s="88">
        <f>EOMONTH(J50,12)</f>
        <v>1858</v>
      </c>
      <c r="L50" s="88">
        <f>EOMONTH(K50,12)</f>
        <v>2223</v>
      </c>
    </row>
    <row r="51" spans="2:13" ht="5.0999999999999996" customHeight="1">
      <c r="E51" s="414"/>
    </row>
    <row r="52" spans="2:13">
      <c r="B52" s="8" t="str">
        <f>'[2]3 Statement Model'!B19</f>
        <v>iPhone Revenue</v>
      </c>
      <c r="C52" s="97"/>
      <c r="D52" s="97"/>
      <c r="E52" s="97"/>
      <c r="F52" s="97"/>
      <c r="G52" s="97"/>
      <c r="H52" s="97"/>
      <c r="I52" s="97"/>
      <c r="J52" s="97"/>
      <c r="K52" s="97"/>
      <c r="L52" s="97"/>
    </row>
    <row r="53" spans="2:13">
      <c r="B53" s="8" t="str">
        <f>'[2]3 Statement Model'!B20</f>
        <v>Mac Revenue</v>
      </c>
      <c r="C53" s="97"/>
      <c r="D53" s="97"/>
      <c r="E53" s="97"/>
      <c r="F53" s="97"/>
      <c r="G53" s="97"/>
      <c r="H53" s="97"/>
      <c r="I53" s="97"/>
      <c r="J53" s="97"/>
      <c r="K53" s="97"/>
      <c r="L53" s="97"/>
    </row>
    <row r="54" spans="2:13">
      <c r="B54" s="8" t="str">
        <f>'[2]3 Statement Model'!B21</f>
        <v>iPad Revenue</v>
      </c>
      <c r="C54" s="97"/>
      <c r="D54" s="97"/>
      <c r="E54" s="97"/>
      <c r="F54" s="97"/>
      <c r="G54" s="97"/>
      <c r="H54" s="97"/>
      <c r="I54" s="97"/>
      <c r="J54" s="97"/>
      <c r="K54" s="97"/>
      <c r="L54" s="97"/>
    </row>
    <row r="55" spans="2:13">
      <c r="B55" s="8" t="str">
        <f>'[2]3 Statement Model'!B22</f>
        <v>Services Revenue</v>
      </c>
      <c r="C55" s="97"/>
      <c r="D55" s="97"/>
      <c r="E55" s="97"/>
      <c r="F55" s="97"/>
      <c r="G55" s="97"/>
      <c r="H55" s="97"/>
      <c r="I55" s="97"/>
      <c r="J55" s="97"/>
      <c r="K55" s="97"/>
      <c r="L55" s="97"/>
    </row>
    <row r="56" spans="2:13">
      <c r="B56" s="8" t="str">
        <f>'[2]3 Statement Model'!B23</f>
        <v>Wearables, Home, and Accessories Revenue</v>
      </c>
      <c r="C56" s="97"/>
      <c r="D56" s="97"/>
      <c r="E56" s="97"/>
      <c r="G56" s="97"/>
      <c r="H56" s="97"/>
      <c r="I56" s="97"/>
      <c r="J56" s="97"/>
      <c r="K56" s="97"/>
      <c r="L56" s="97"/>
    </row>
    <row r="57" spans="2:13">
      <c r="B57" s="317" t="s">
        <v>12</v>
      </c>
      <c r="C57" s="318">
        <f t="shared" ref="C57:K57" si="1">SUM(C52:C56)</f>
        <v>0</v>
      </c>
      <c r="D57" s="318"/>
      <c r="E57" s="318">
        <f t="shared" si="1"/>
        <v>0</v>
      </c>
      <c r="F57" s="318"/>
      <c r="G57" s="318">
        <f t="shared" si="1"/>
        <v>0</v>
      </c>
      <c r="H57" s="318">
        <f t="shared" si="1"/>
        <v>0</v>
      </c>
      <c r="I57" s="318">
        <f t="shared" si="1"/>
        <v>0</v>
      </c>
      <c r="J57" s="318">
        <f t="shared" si="1"/>
        <v>0</v>
      </c>
      <c r="K57" s="318">
        <f t="shared" si="1"/>
        <v>0</v>
      </c>
      <c r="L57" s="318">
        <f t="shared" ref="L57" si="2">SUM(L52:L56)</f>
        <v>0</v>
      </c>
    </row>
    <row r="58" spans="2:13">
      <c r="B58" s="456" t="s">
        <v>606</v>
      </c>
      <c r="C58" s="356"/>
      <c r="D58" s="356"/>
      <c r="E58" s="356"/>
      <c r="F58" s="356"/>
      <c r="G58" s="331" t="e">
        <f>SUM(G57/E57)-1</f>
        <v>#DIV/0!</v>
      </c>
      <c r="H58" s="331" t="e">
        <f t="shared" ref="H58:J58" si="3">SUM(H57/G57)-1</f>
        <v>#DIV/0!</v>
      </c>
      <c r="I58" s="331" t="e">
        <f t="shared" si="3"/>
        <v>#DIV/0!</v>
      </c>
      <c r="J58" s="331" t="e">
        <f t="shared" si="3"/>
        <v>#DIV/0!</v>
      </c>
      <c r="K58" s="331" t="e">
        <f>SUM(K57/J57)-1</f>
        <v>#DIV/0!</v>
      </c>
      <c r="L58" s="331" t="e">
        <f>SUM(L57/K57)-1</f>
        <v>#DIV/0!</v>
      </c>
      <c r="M58" s="356"/>
    </row>
    <row r="59" spans="2:13" ht="5.0999999999999996" customHeight="1">
      <c r="B59" s="62"/>
      <c r="E59" s="414"/>
    </row>
    <row r="60" spans="2:13">
      <c r="B60" s="8" t="s">
        <v>607</v>
      </c>
      <c r="C60" s="97"/>
      <c r="E60" s="97"/>
      <c r="G60" s="97"/>
      <c r="H60" s="97"/>
      <c r="I60" s="97"/>
      <c r="J60" s="97"/>
      <c r="K60" s="97"/>
      <c r="L60" s="97"/>
    </row>
    <row r="61" spans="2:13">
      <c r="B61" s="8" t="s">
        <v>608</v>
      </c>
      <c r="C61" s="97"/>
      <c r="D61" s="97"/>
      <c r="E61" s="97"/>
      <c r="F61" s="97"/>
      <c r="G61" s="97"/>
      <c r="H61" s="97"/>
      <c r="I61" s="97"/>
      <c r="J61" s="97"/>
      <c r="K61" s="97"/>
      <c r="L61" s="97"/>
    </row>
    <row r="62" spans="2:13">
      <c r="B62" s="317" t="s">
        <v>313</v>
      </c>
      <c r="C62" s="318">
        <f>SUM(C60:C61)</f>
        <v>0</v>
      </c>
      <c r="D62" s="318"/>
      <c r="E62" s="318">
        <f>SUM(E60:E61)</f>
        <v>0</v>
      </c>
      <c r="F62" s="318"/>
      <c r="G62" s="318">
        <f t="shared" ref="G62:L62" si="4">SUM(G60:G61)</f>
        <v>0</v>
      </c>
      <c r="H62" s="318">
        <f t="shared" si="4"/>
        <v>0</v>
      </c>
      <c r="I62" s="318">
        <f t="shared" si="4"/>
        <v>0</v>
      </c>
      <c r="J62" s="318">
        <f t="shared" si="4"/>
        <v>0</v>
      </c>
      <c r="K62" s="318">
        <f t="shared" si="4"/>
        <v>0</v>
      </c>
      <c r="L62" s="318">
        <f t="shared" si="4"/>
        <v>0</v>
      </c>
    </row>
    <row r="63" spans="2:13">
      <c r="B63" s="456" t="s">
        <v>609</v>
      </c>
      <c r="C63" s="331" t="e">
        <f>C62/C57</f>
        <v>#DIV/0!</v>
      </c>
      <c r="E63" s="331" t="e">
        <f>E62/E57</f>
        <v>#DIV/0!</v>
      </c>
      <c r="G63" s="331" t="e">
        <f>G62/G57</f>
        <v>#DIV/0!</v>
      </c>
      <c r="H63" s="331" t="e">
        <f t="shared" ref="H63:L63" si="5">H62/H57</f>
        <v>#DIV/0!</v>
      </c>
      <c r="I63" s="331" t="e">
        <f t="shared" si="5"/>
        <v>#DIV/0!</v>
      </c>
      <c r="J63" s="331" t="e">
        <f t="shared" si="5"/>
        <v>#DIV/0!</v>
      </c>
      <c r="K63" s="331" t="e">
        <f t="shared" si="5"/>
        <v>#DIV/0!</v>
      </c>
      <c r="L63" s="331" t="e">
        <f t="shared" si="5"/>
        <v>#DIV/0!</v>
      </c>
    </row>
    <row r="64" spans="2:13" ht="5.0999999999999996" customHeight="1">
      <c r="B64" s="62"/>
      <c r="E64" s="414"/>
    </row>
    <row r="65" spans="2:13">
      <c r="B65" s="8" t="s">
        <v>417</v>
      </c>
      <c r="C65" s="97"/>
      <c r="D65" s="97"/>
      <c r="E65" s="97"/>
      <c r="G65" s="97"/>
      <c r="H65" s="97"/>
      <c r="I65" s="97"/>
      <c r="J65" s="97"/>
      <c r="K65" s="97"/>
      <c r="L65" s="97"/>
    </row>
    <row r="66" spans="2:13">
      <c r="B66" s="457" t="s">
        <v>610</v>
      </c>
      <c r="C66" s="458">
        <f>+C62+C65</f>
        <v>0</v>
      </c>
      <c r="D66" s="458"/>
      <c r="E66" s="458">
        <f>+E62+E65</f>
        <v>0</v>
      </c>
      <c r="F66" s="458"/>
      <c r="G66" s="458">
        <f t="shared" ref="G66:L66" si="6">+G62+G65</f>
        <v>0</v>
      </c>
      <c r="H66" s="458">
        <f t="shared" si="6"/>
        <v>0</v>
      </c>
      <c r="I66" s="458">
        <f t="shared" si="6"/>
        <v>0</v>
      </c>
      <c r="J66" s="458">
        <f t="shared" si="6"/>
        <v>0</v>
      </c>
      <c r="K66" s="458">
        <f t="shared" si="6"/>
        <v>0</v>
      </c>
      <c r="L66" s="458">
        <f t="shared" si="6"/>
        <v>0</v>
      </c>
    </row>
    <row r="67" spans="2:13">
      <c r="B67" s="459" t="s">
        <v>611</v>
      </c>
      <c r="C67" s="331" t="e">
        <f>C66/C57</f>
        <v>#DIV/0!</v>
      </c>
      <c r="D67" s="331" t="e">
        <f t="shared" ref="D67:E67" si="7">D66/D57</f>
        <v>#DIV/0!</v>
      </c>
      <c r="E67" s="331" t="e">
        <f t="shared" si="7"/>
        <v>#DIV/0!</v>
      </c>
      <c r="G67" s="331" t="e">
        <f t="shared" ref="G67:L67" si="8">G66/G57</f>
        <v>#DIV/0!</v>
      </c>
      <c r="H67" s="331" t="e">
        <f t="shared" si="8"/>
        <v>#DIV/0!</v>
      </c>
      <c r="I67" s="331" t="e">
        <f t="shared" si="8"/>
        <v>#DIV/0!</v>
      </c>
      <c r="J67" s="331" t="e">
        <f t="shared" si="8"/>
        <v>#DIV/0!</v>
      </c>
      <c r="K67" s="331" t="e">
        <f t="shared" si="8"/>
        <v>#DIV/0!</v>
      </c>
      <c r="L67" s="331" t="e">
        <f t="shared" si="8"/>
        <v>#DIV/0!</v>
      </c>
    </row>
    <row r="68" spans="2:13">
      <c r="B68" s="36"/>
      <c r="E68" s="414"/>
    </row>
    <row r="69" spans="2:13">
      <c r="B69" s="31" t="s">
        <v>612</v>
      </c>
      <c r="C69" s="126"/>
      <c r="E69" s="126"/>
      <c r="G69" s="126"/>
      <c r="H69" s="126"/>
      <c r="I69" s="126"/>
      <c r="J69" s="126"/>
      <c r="K69" s="126"/>
      <c r="L69" s="126"/>
    </row>
    <row r="70" spans="2:13">
      <c r="B70" s="31" t="s">
        <v>613</v>
      </c>
      <c r="C70" s="97"/>
      <c r="E70" s="97"/>
      <c r="G70" s="97"/>
      <c r="H70" s="97"/>
      <c r="I70" s="97"/>
      <c r="J70" s="97"/>
      <c r="K70" s="97"/>
      <c r="L70" s="97"/>
    </row>
    <row r="71" spans="2:13">
      <c r="B71" s="31" t="s">
        <v>614</v>
      </c>
      <c r="C71" s="97"/>
      <c r="D71" s="97"/>
      <c r="E71" s="97"/>
      <c r="G71" s="97"/>
      <c r="H71" s="97"/>
      <c r="I71" s="97"/>
      <c r="J71" s="97"/>
      <c r="K71" s="97"/>
      <c r="L71" s="97"/>
    </row>
    <row r="72" spans="2:13">
      <c r="B72" s="453" t="s">
        <v>615</v>
      </c>
      <c r="C72" s="460">
        <f>+C66+C69+C70+C71</f>
        <v>0</v>
      </c>
      <c r="D72" s="460"/>
      <c r="E72" s="460">
        <f>+E66+E69+E70+E71</f>
        <v>0</v>
      </c>
      <c r="F72" s="460"/>
      <c r="G72" s="460">
        <f>+G66+G69+G70+G71</f>
        <v>0</v>
      </c>
      <c r="H72" s="460">
        <f t="shared" ref="H72:L72" si="9">+H66+H69+H70+H71</f>
        <v>0</v>
      </c>
      <c r="I72" s="460">
        <f t="shared" si="9"/>
        <v>0</v>
      </c>
      <c r="J72" s="460">
        <f t="shared" si="9"/>
        <v>0</v>
      </c>
      <c r="K72" s="460">
        <f t="shared" si="9"/>
        <v>0</v>
      </c>
      <c r="L72" s="460">
        <f t="shared" si="9"/>
        <v>0</v>
      </c>
    </row>
    <row r="73" spans="2:13" ht="5.0999999999999996" customHeight="1">
      <c r="B73" s="31"/>
      <c r="D73" s="97"/>
      <c r="E73" s="414"/>
    </row>
    <row r="74" spans="2:13">
      <c r="B74" s="8" t="s">
        <v>616</v>
      </c>
      <c r="C74" s="97"/>
      <c r="E74" s="97"/>
      <c r="G74" s="97"/>
      <c r="H74" s="97"/>
      <c r="I74" s="97"/>
      <c r="J74" s="97"/>
      <c r="K74" s="97"/>
      <c r="L74" s="97"/>
    </row>
    <row r="75" spans="2:13">
      <c r="B75" s="62" t="s">
        <v>508</v>
      </c>
      <c r="C75" s="331" t="e">
        <f>-C74/C57</f>
        <v>#DIV/0!</v>
      </c>
      <c r="E75" s="331" t="e">
        <f>-E74/E57</f>
        <v>#DIV/0!</v>
      </c>
      <c r="G75" s="331" t="e">
        <f t="shared" ref="G75:L75" si="10">-G74/G57</f>
        <v>#DIV/0!</v>
      </c>
      <c r="H75" s="331" t="e">
        <f t="shared" si="10"/>
        <v>#DIV/0!</v>
      </c>
      <c r="I75" s="331" t="e">
        <f t="shared" si="10"/>
        <v>#DIV/0!</v>
      </c>
      <c r="J75" s="331" t="e">
        <f t="shared" si="10"/>
        <v>#DIV/0!</v>
      </c>
      <c r="K75" s="331" t="e">
        <f t="shared" si="10"/>
        <v>#DIV/0!</v>
      </c>
      <c r="L75" s="331" t="e">
        <f t="shared" si="10"/>
        <v>#DIV/0!</v>
      </c>
    </row>
    <row r="76" spans="2:13" ht="5.0999999999999996" customHeight="1">
      <c r="B76" s="62"/>
      <c r="E76" s="414"/>
    </row>
    <row r="77" spans="2:13">
      <c r="B77" s="415" t="str">
        <f>"Present value of UFCF on "&amp;TEXT(C9,"mmm dd, yyyy")&amp;" valuation date"</f>
        <v>Present value of UFCF on Jan 00, 1900 valuation date</v>
      </c>
      <c r="C77" s="103"/>
      <c r="D77" s="103"/>
      <c r="E77" s="103"/>
      <c r="F77" s="103"/>
      <c r="G77" s="103"/>
      <c r="H77" s="103"/>
      <c r="I77" s="103"/>
      <c r="J77" s="103"/>
      <c r="K77" s="103"/>
      <c r="L77" s="103"/>
      <c r="M77" s="461"/>
    </row>
    <row r="78" spans="2:13" ht="5.0999999999999996" customHeight="1">
      <c r="B78" s="446"/>
      <c r="C78" s="447"/>
      <c r="D78" s="447"/>
      <c r="E78" s="447"/>
      <c r="F78" s="447"/>
      <c r="G78" s="447"/>
      <c r="H78" s="447"/>
      <c r="I78" s="447"/>
      <c r="J78" s="447"/>
      <c r="K78" s="447"/>
      <c r="L78" s="447"/>
      <c r="M78" s="461"/>
    </row>
    <row r="79" spans="2:13" ht="14.25">
      <c r="B79" s="36"/>
      <c r="E79" s="462" t="s">
        <v>617</v>
      </c>
      <c r="G79" s="462" t="s">
        <v>618</v>
      </c>
      <c r="H79" s="463" t="s">
        <v>619</v>
      </c>
      <c r="I79" s="463" t="s">
        <v>620</v>
      </c>
      <c r="J79" s="463" t="s">
        <v>621</v>
      </c>
      <c r="K79" s="463" t="s">
        <v>622</v>
      </c>
      <c r="L79" s="463" t="s">
        <v>623</v>
      </c>
      <c r="M79" s="461"/>
    </row>
    <row r="80" spans="2:13">
      <c r="B80" s="8" t="s">
        <v>624</v>
      </c>
      <c r="E80" s="464">
        <f>C9</f>
        <v>0</v>
      </c>
      <c r="G80" s="431">
        <f>IF($J$9=1,AVERAGE(G50,E80),G50)</f>
        <v>198.5</v>
      </c>
      <c r="H80" s="431">
        <f>IF($J$9=1,AVERAGE(H50,G50),H50)</f>
        <v>579.5</v>
      </c>
      <c r="I80" s="431">
        <f>IF($J$9=1,AVERAGE(I50,H50),I50)</f>
        <v>944.5</v>
      </c>
      <c r="J80" s="431">
        <f>IF($J$9=1,AVERAGE(J50,I50),J50)</f>
        <v>1309.5</v>
      </c>
      <c r="K80" s="431">
        <f>IF($J$9=1,AVERAGE(K50,J50),K50)</f>
        <v>1675</v>
      </c>
      <c r="L80" s="431">
        <f>IF($J$9=1,AVERAGE(L50,K50),L50)</f>
        <v>2040.5</v>
      </c>
      <c r="M80" s="461"/>
    </row>
    <row r="81" spans="2:13">
      <c r="B81" s="8" t="s">
        <v>625</v>
      </c>
      <c r="C81" s="465">
        <f>C10</f>
        <v>1.086111111111111</v>
      </c>
      <c r="D81" s="465"/>
      <c r="E81" s="418">
        <f>E72</f>
        <v>0</v>
      </c>
      <c r="F81" s="465"/>
      <c r="G81" s="421">
        <f>G72*C81</f>
        <v>0</v>
      </c>
      <c r="H81" s="421">
        <f>H72</f>
        <v>0</v>
      </c>
      <c r="I81" s="421">
        <f>I72</f>
        <v>0</v>
      </c>
      <c r="J81" s="421">
        <f>J72</f>
        <v>0</v>
      </c>
      <c r="K81" s="421">
        <f>K72</f>
        <v>0</v>
      </c>
      <c r="L81" s="421">
        <f>L72</f>
        <v>0</v>
      </c>
      <c r="M81" s="421"/>
    </row>
    <row r="82" spans="2:13" s="432" customFormat="1">
      <c r="B82" s="445" t="s">
        <v>626</v>
      </c>
      <c r="C82" s="466"/>
      <c r="D82" s="466"/>
      <c r="E82" s="467"/>
      <c r="F82" s="466"/>
      <c r="G82" s="458">
        <f t="shared" ref="G82:L82" si="11">G81/(1+$J$6)^((G80-$C$9)/365)</f>
        <v>0</v>
      </c>
      <c r="H82" s="458">
        <f t="shared" si="11"/>
        <v>0</v>
      </c>
      <c r="I82" s="458">
        <f t="shared" si="11"/>
        <v>0</v>
      </c>
      <c r="J82" s="458">
        <f t="shared" si="11"/>
        <v>0</v>
      </c>
      <c r="K82" s="458">
        <f t="shared" si="11"/>
        <v>0</v>
      </c>
      <c r="L82" s="458">
        <f t="shared" si="11"/>
        <v>0</v>
      </c>
      <c r="M82" s="468"/>
    </row>
  </sheetData>
  <dataValidations count="1">
    <dataValidation type="list" allowBlank="1" showInputMessage="1" showErrorMessage="1" sqref="J9" xr:uid="{53971037-0CC8-4D9F-ABD7-390BA34A9052}">
      <formula1>"0,1"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0563-7543-4376-A91D-9C1F4F29C3E7}">
  <dimension ref="B2:R58"/>
  <sheetViews>
    <sheetView showGridLines="0" workbookViewId="0">
      <selection activeCell="H20" sqref="H19:H20"/>
    </sheetView>
  </sheetViews>
  <sheetFormatPr defaultColWidth="8" defaultRowHeight="12"/>
  <cols>
    <col min="1" max="1" width="1.25" style="8" customWidth="1"/>
    <col min="2" max="2" width="27" style="8" customWidth="1"/>
    <col min="3" max="4" width="8.5" style="8" bestFit="1" customWidth="1"/>
    <col min="5" max="9" width="15.75" style="8" customWidth="1"/>
    <col min="10" max="10" width="2.75" style="8" customWidth="1"/>
    <col min="11" max="11" width="10.375" style="8" customWidth="1"/>
    <col min="12" max="17" width="8.625" style="8" customWidth="1"/>
    <col min="18" max="16384" width="8" style="8"/>
  </cols>
  <sheetData>
    <row r="2" spans="2:18">
      <c r="B2" s="149" t="str">
        <f>'[2]Historical Financials'!B2</f>
        <v>Apple Inc. (NASDAQ: AAPL)</v>
      </c>
      <c r="C2" s="150"/>
      <c r="D2" s="150"/>
      <c r="E2" s="150"/>
      <c r="F2" s="150"/>
      <c r="G2" s="150"/>
      <c r="H2" s="150"/>
      <c r="I2" s="150"/>
      <c r="J2" s="150"/>
      <c r="K2" s="150"/>
      <c r="L2" s="150"/>
      <c r="M2" s="150"/>
      <c r="N2" s="150"/>
      <c r="O2" s="150"/>
      <c r="P2" s="150"/>
      <c r="Q2" s="150"/>
    </row>
    <row r="3" spans="2:18">
      <c r="B3" s="150" t="s">
        <v>627</v>
      </c>
      <c r="C3" s="150"/>
      <c r="D3" s="150"/>
      <c r="E3" s="150"/>
      <c r="F3" s="150"/>
      <c r="G3" s="150"/>
      <c r="H3" s="150"/>
      <c r="I3" s="150"/>
      <c r="J3" s="150"/>
      <c r="K3" s="150"/>
      <c r="L3" s="150"/>
      <c r="M3" s="150"/>
      <c r="N3" s="150"/>
      <c r="O3" s="150"/>
      <c r="P3" s="150"/>
      <c r="Q3" s="150"/>
    </row>
    <row r="4" spans="2:18">
      <c r="B4" s="150" t="s">
        <v>550</v>
      </c>
      <c r="C4" s="150"/>
      <c r="D4" s="150"/>
      <c r="E4" s="150"/>
      <c r="F4" s="150"/>
      <c r="G4" s="150"/>
      <c r="H4" s="150"/>
      <c r="I4" s="150"/>
      <c r="J4" s="150"/>
      <c r="K4" s="150"/>
      <c r="L4" s="150"/>
      <c r="M4" s="150"/>
      <c r="N4" s="150"/>
      <c r="O4" s="150"/>
      <c r="P4" s="150"/>
      <c r="Q4" s="150"/>
    </row>
    <row r="6" spans="2:18" ht="12.75" thickBot="1">
      <c r="B6" s="415" t="s">
        <v>628</v>
      </c>
      <c r="C6" s="415"/>
      <c r="E6" s="415" t="s">
        <v>629</v>
      </c>
      <c r="F6" s="415"/>
      <c r="G6" s="415"/>
      <c r="H6" s="415"/>
      <c r="K6" s="432"/>
      <c r="L6" s="469" t="s">
        <v>630</v>
      </c>
      <c r="M6" s="470"/>
      <c r="N6" s="470"/>
      <c r="O6" s="470"/>
      <c r="P6" s="470"/>
      <c r="Q6" s="470"/>
    </row>
    <row r="7" spans="2:18" s="432" customFormat="1" ht="14.25">
      <c r="B7" s="432" t="s">
        <v>631</v>
      </c>
      <c r="C7" s="471"/>
      <c r="F7" s="472" t="s">
        <v>632</v>
      </c>
      <c r="G7" s="472" t="s">
        <v>633</v>
      </c>
      <c r="H7" s="472" t="s">
        <v>634</v>
      </c>
      <c r="K7" s="473"/>
      <c r="L7" s="474" t="s">
        <v>635</v>
      </c>
      <c r="M7" s="474"/>
      <c r="N7" s="475"/>
      <c r="O7" s="475"/>
      <c r="P7" s="475"/>
      <c r="Q7" s="475"/>
      <c r="R7" s="8"/>
    </row>
    <row r="8" spans="2:18" s="432" customFormat="1">
      <c r="B8" s="432" t="s">
        <v>611</v>
      </c>
      <c r="C8" s="471"/>
      <c r="E8" s="432" t="s">
        <v>636</v>
      </c>
      <c r="F8" s="476">
        <f>H21</f>
        <v>0</v>
      </c>
      <c r="G8" s="477" t="e">
        <f>F8/$F$10</f>
        <v>#DIV/0!</v>
      </c>
      <c r="H8" s="478">
        <v>0</v>
      </c>
      <c r="K8" s="479"/>
      <c r="L8" s="480" t="e">
        <f>C27</f>
        <v>#DIV/0!</v>
      </c>
      <c r="M8" s="481">
        <f>N8-0.1</f>
        <v>0.90049006140265841</v>
      </c>
      <c r="N8" s="481">
        <f>O8-0.1</f>
        <v>1.0004900614026584</v>
      </c>
      <c r="O8" s="482">
        <v>1.1004900614026585</v>
      </c>
      <c r="P8" s="481">
        <f>O8+0.1</f>
        <v>1.2004900614026586</v>
      </c>
      <c r="Q8" s="481">
        <f>P8+0.1</f>
        <v>1.3004900614026587</v>
      </c>
    </row>
    <row r="9" spans="2:18" s="432" customFormat="1">
      <c r="B9" s="457" t="s">
        <v>637</v>
      </c>
      <c r="C9" s="483">
        <f>C7*(1-C8)</f>
        <v>0</v>
      </c>
      <c r="E9" s="432" t="s">
        <v>638</v>
      </c>
      <c r="F9" s="476">
        <f>F36</f>
        <v>0</v>
      </c>
      <c r="G9" s="484" t="e">
        <f>F9/$F$10</f>
        <v>#DIV/0!</v>
      </c>
      <c r="H9" s="484">
        <f>1-H8</f>
        <v>1</v>
      </c>
      <c r="K9" s="479"/>
      <c r="L9" s="485">
        <f>L10-0.005</f>
        <v>3.1250000000000007E-2</v>
      </c>
      <c r="M9" s="486">
        <v>6.3140314418833082E-2</v>
      </c>
      <c r="N9" s="487">
        <v>6.6265314418833085E-2</v>
      </c>
      <c r="O9" s="487">
        <v>6.9390314418833088E-2</v>
      </c>
      <c r="P9" s="487">
        <v>7.2515314418833091E-2</v>
      </c>
      <c r="Q9" s="488">
        <v>7.5640314418833093E-2</v>
      </c>
    </row>
    <row r="10" spans="2:18">
      <c r="D10" s="489"/>
      <c r="E10" s="457" t="s">
        <v>639</v>
      </c>
      <c r="F10" s="490">
        <f>SUM(F8:F9)</f>
        <v>0</v>
      </c>
      <c r="G10" s="491" t="e">
        <f>SUM(G8:G9)</f>
        <v>#DIV/0!</v>
      </c>
      <c r="H10" s="491">
        <f>SUM(H8:H9)</f>
        <v>1</v>
      </c>
      <c r="K10" s="492" t="s">
        <v>640</v>
      </c>
      <c r="L10" s="485">
        <f>L11-0.005</f>
        <v>3.6250000000000004E-2</v>
      </c>
      <c r="M10" s="493">
        <v>6.7642764725846377E-2</v>
      </c>
      <c r="N10" s="494">
        <v>7.1267764725846366E-2</v>
      </c>
      <c r="O10" s="427">
        <v>7.4892764725846384E-2</v>
      </c>
      <c r="P10" s="427">
        <v>7.8517764725846373E-2</v>
      </c>
      <c r="Q10" s="495">
        <v>8.214276472584639E-2</v>
      </c>
    </row>
    <row r="11" spans="2:18">
      <c r="B11" s="415" t="s">
        <v>641</v>
      </c>
      <c r="C11" s="415"/>
      <c r="K11" s="492" t="s">
        <v>642</v>
      </c>
      <c r="L11" s="496">
        <v>4.1250000000000002E-2</v>
      </c>
      <c r="M11" s="493">
        <v>7.2145215032859672E-2</v>
      </c>
      <c r="N11" s="427">
        <v>7.6270215032859662E-2</v>
      </c>
      <c r="O11" s="494">
        <v>8.0395215032859665E-2</v>
      </c>
      <c r="P11" s="427">
        <v>8.4520215032859669E-2</v>
      </c>
      <c r="Q11" s="495">
        <v>8.8645215032859673E-2</v>
      </c>
    </row>
    <row r="12" spans="2:18">
      <c r="B12" s="8" t="s">
        <v>643</v>
      </c>
      <c r="C12" s="497"/>
      <c r="E12" s="415" t="s">
        <v>636</v>
      </c>
      <c r="F12" s="415"/>
      <c r="G12" s="415"/>
      <c r="H12" s="415"/>
      <c r="K12" s="492" t="s">
        <v>644</v>
      </c>
      <c r="L12" s="485">
        <f>L11+0.005</f>
        <v>4.6249999999999999E-2</v>
      </c>
      <c r="M12" s="493">
        <v>7.6647665339872953E-2</v>
      </c>
      <c r="N12" s="427">
        <v>8.1272665339872957E-2</v>
      </c>
      <c r="O12" s="427">
        <v>8.5897665339872947E-2</v>
      </c>
      <c r="P12" s="494">
        <v>9.0522665339872965E-2</v>
      </c>
      <c r="Q12" s="495">
        <v>9.5147665339872955E-2</v>
      </c>
    </row>
    <row r="13" spans="2:18">
      <c r="B13" s="8" t="s">
        <v>645</v>
      </c>
      <c r="C13" s="498" t="e">
        <f>I36</f>
        <v>#DIV/0!</v>
      </c>
      <c r="E13" s="434" t="s">
        <v>585</v>
      </c>
      <c r="F13" s="435"/>
      <c r="K13" s="479"/>
      <c r="L13" s="485">
        <f>L12+0.005</f>
        <v>5.1249999999999997E-2</v>
      </c>
      <c r="M13" s="499">
        <v>8.1150115646886248E-2</v>
      </c>
      <c r="N13" s="500">
        <v>8.6275115646886252E-2</v>
      </c>
      <c r="O13" s="500">
        <v>9.1400115646886243E-2</v>
      </c>
      <c r="P13" s="500">
        <v>9.6525115646886261E-2</v>
      </c>
      <c r="Q13" s="501">
        <v>0.10165011564688625</v>
      </c>
    </row>
    <row r="14" spans="2:18">
      <c r="B14" s="8" t="s">
        <v>646</v>
      </c>
      <c r="C14" s="497"/>
      <c r="E14" s="62" t="s">
        <v>587</v>
      </c>
      <c r="F14" s="316"/>
      <c r="G14" s="316"/>
      <c r="H14" s="316"/>
    </row>
    <row r="15" spans="2:18" ht="12.75" thickBot="1">
      <c r="B15" s="457" t="s">
        <v>647</v>
      </c>
      <c r="C15" s="483" t="e">
        <f>C12+C13*C14</f>
        <v>#DIV/0!</v>
      </c>
      <c r="E15" s="62" t="s">
        <v>589</v>
      </c>
      <c r="F15" s="85"/>
      <c r="G15" s="85"/>
      <c r="H15" s="85"/>
      <c r="L15" s="469" t="s">
        <v>648</v>
      </c>
      <c r="M15" s="470"/>
      <c r="N15" s="470"/>
      <c r="O15" s="470"/>
      <c r="P15" s="470"/>
      <c r="Q15" s="470"/>
    </row>
    <row r="16" spans="2:18">
      <c r="E16" s="62" t="s">
        <v>590</v>
      </c>
      <c r="F16" s="85"/>
      <c r="G16" s="85"/>
      <c r="H16" s="85"/>
      <c r="K16" s="473"/>
      <c r="L16" s="474" t="s">
        <v>649</v>
      </c>
      <c r="M16" s="474"/>
      <c r="N16" s="475"/>
      <c r="O16" s="475"/>
      <c r="P16" s="475"/>
      <c r="Q16" s="475"/>
    </row>
    <row r="17" spans="2:17">
      <c r="B17" s="415" t="s">
        <v>650</v>
      </c>
      <c r="C17" s="415"/>
      <c r="E17" s="440" t="s">
        <v>592</v>
      </c>
      <c r="F17" s="85"/>
      <c r="G17" s="85"/>
      <c r="H17" s="85"/>
      <c r="K17" s="479"/>
      <c r="L17" s="480" t="e">
        <f>C27</f>
        <v>#DIV/0!</v>
      </c>
      <c r="M17" s="477">
        <f>N17-0.01</f>
        <v>1.5000000000000001E-2</v>
      </c>
      <c r="N17" s="477">
        <f>O17-0.01</f>
        <v>2.5000000000000001E-2</v>
      </c>
      <c r="O17" s="502">
        <v>3.5000000000000003E-2</v>
      </c>
      <c r="P17" s="477">
        <f>O17+0.01</f>
        <v>4.5000000000000005E-2</v>
      </c>
      <c r="Q17" s="477">
        <f>P17+0.01</f>
        <v>5.5000000000000007E-2</v>
      </c>
    </row>
    <row r="18" spans="2:17">
      <c r="B18" s="8" t="s">
        <v>25</v>
      </c>
      <c r="C18" s="503">
        <f>H8</f>
        <v>0</v>
      </c>
      <c r="E18" s="434" t="s">
        <v>594</v>
      </c>
      <c r="K18" s="479"/>
      <c r="L18" s="485">
        <f>L19-0.005</f>
        <v>3.1250000000000007E-2</v>
      </c>
      <c r="M18" s="486">
        <v>4.9441596050905839E-2</v>
      </c>
      <c r="N18" s="487">
        <v>5.9441596050905841E-2</v>
      </c>
      <c r="O18" s="487">
        <v>6.9441596050905843E-2</v>
      </c>
      <c r="P18" s="487">
        <v>7.9441596050905838E-2</v>
      </c>
      <c r="Q18" s="488">
        <v>8.9441596050905847E-2</v>
      </c>
    </row>
    <row r="19" spans="2:17">
      <c r="B19" s="8" t="s">
        <v>638</v>
      </c>
      <c r="C19" s="504">
        <f>H9</f>
        <v>1</v>
      </c>
      <c r="E19" s="444" t="s">
        <v>595</v>
      </c>
      <c r="F19" s="316"/>
      <c r="G19" s="316"/>
      <c r="H19" s="316"/>
      <c r="K19" s="492" t="s">
        <v>640</v>
      </c>
      <c r="L19" s="485">
        <f>L20-0.005</f>
        <v>3.6250000000000004E-2</v>
      </c>
      <c r="M19" s="493">
        <v>5.4952251419050774E-2</v>
      </c>
      <c r="N19" s="494">
        <v>6.4952251419050783E-2</v>
      </c>
      <c r="O19" s="427">
        <v>7.4952251419050778E-2</v>
      </c>
      <c r="P19" s="427">
        <v>8.4952251419050773E-2</v>
      </c>
      <c r="Q19" s="495">
        <v>9.4952251419050782E-2</v>
      </c>
    </row>
    <row r="20" spans="2:17">
      <c r="B20" s="457" t="s">
        <v>650</v>
      </c>
      <c r="C20" s="505">
        <f>SUM(C18:C19)</f>
        <v>1</v>
      </c>
      <c r="E20" s="444" t="s">
        <v>596</v>
      </c>
      <c r="F20" s="85"/>
      <c r="G20" s="85"/>
      <c r="H20" s="85"/>
      <c r="K20" s="492" t="s">
        <v>642</v>
      </c>
      <c r="L20" s="496">
        <v>4.1250000000000002E-2</v>
      </c>
      <c r="M20" s="493">
        <v>6.0462906787195701E-2</v>
      </c>
      <c r="N20" s="427">
        <v>7.0462906787195703E-2</v>
      </c>
      <c r="O20" s="494">
        <v>8.0462906787195698E-2</v>
      </c>
      <c r="P20" s="427">
        <v>9.0462906787195707E-2</v>
      </c>
      <c r="Q20" s="495">
        <v>0.10046290678719572</v>
      </c>
    </row>
    <row r="21" spans="2:17">
      <c r="E21" s="445" t="s">
        <v>577</v>
      </c>
      <c r="F21" s="506"/>
      <c r="G21" s="506"/>
      <c r="H21" s="423">
        <f t="shared" ref="H21" si="0">SUM(H14:H17)-SUM(H19:H20)</f>
        <v>0</v>
      </c>
      <c r="K21" s="492" t="s">
        <v>644</v>
      </c>
      <c r="L21" s="485">
        <f>L20+0.005</f>
        <v>4.6249999999999999E-2</v>
      </c>
      <c r="M21" s="493">
        <v>6.5973562155340629E-2</v>
      </c>
      <c r="N21" s="427">
        <v>7.5973562155340624E-2</v>
      </c>
      <c r="O21" s="427">
        <v>8.5973562155340633E-2</v>
      </c>
      <c r="P21" s="494">
        <v>9.5973562155340641E-2</v>
      </c>
      <c r="Q21" s="495">
        <v>0.10597356215534064</v>
      </c>
    </row>
    <row r="22" spans="2:17">
      <c r="B22" s="416" t="s">
        <v>651</v>
      </c>
      <c r="C22" s="415"/>
      <c r="K22" s="479"/>
      <c r="L22" s="485">
        <f>L21+0.005</f>
        <v>5.1249999999999997E-2</v>
      </c>
      <c r="M22" s="499">
        <v>7.1484217523485563E-2</v>
      </c>
      <c r="N22" s="500">
        <v>8.1484217523485558E-2</v>
      </c>
      <c r="O22" s="500">
        <v>9.1484217523485567E-2</v>
      </c>
      <c r="P22" s="500">
        <v>0.10148421752348558</v>
      </c>
      <c r="Q22" s="501">
        <v>0.11148421752348557</v>
      </c>
    </row>
    <row r="23" spans="2:17">
      <c r="B23" s="8" t="s">
        <v>628</v>
      </c>
      <c r="C23" s="504">
        <f>C9</f>
        <v>0</v>
      </c>
      <c r="F23" s="507"/>
    </row>
    <row r="24" spans="2:17" ht="12.75" thickBot="1">
      <c r="B24" s="62" t="s">
        <v>652</v>
      </c>
      <c r="C24" s="503">
        <f>C18</f>
        <v>0</v>
      </c>
      <c r="F24" s="508"/>
      <c r="L24" s="469" t="s">
        <v>653</v>
      </c>
      <c r="M24" s="470"/>
      <c r="N24" s="470"/>
      <c r="O24" s="470"/>
      <c r="P24" s="470"/>
      <c r="Q24" s="470"/>
    </row>
    <row r="25" spans="2:17">
      <c r="B25" s="8" t="s">
        <v>641</v>
      </c>
      <c r="C25" s="504" t="e">
        <f>C15</f>
        <v>#DIV/0!</v>
      </c>
      <c r="L25" s="474" t="s">
        <v>628</v>
      </c>
      <c r="M25" s="474"/>
      <c r="N25" s="475"/>
      <c r="O25" s="475"/>
      <c r="P25" s="475"/>
      <c r="Q25" s="475"/>
    </row>
    <row r="26" spans="2:17">
      <c r="B26" s="62" t="s">
        <v>654</v>
      </c>
      <c r="C26" s="509">
        <f>C19</f>
        <v>1</v>
      </c>
      <c r="K26" s="479"/>
      <c r="L26" s="480" t="e">
        <f>C27</f>
        <v>#DIV/0!</v>
      </c>
      <c r="M26" s="477">
        <f>N26-0.01</f>
        <v>2.9999999999999975E-3</v>
      </c>
      <c r="N26" s="477">
        <f>O26-0.005</f>
        <v>1.2999999999999998E-2</v>
      </c>
      <c r="O26" s="502">
        <v>1.7999999999999999E-2</v>
      </c>
      <c r="P26" s="477">
        <f>O26+0.01</f>
        <v>2.7999999999999997E-2</v>
      </c>
      <c r="Q26" s="477">
        <f>P26+0.01</f>
        <v>3.7999999999999999E-2</v>
      </c>
    </row>
    <row r="27" spans="2:17">
      <c r="B27" s="457" t="s">
        <v>655</v>
      </c>
      <c r="C27" s="510" t="e">
        <f>SUMPRODUCT(C26*C25)+(C23*C24)</f>
        <v>#DIV/0!</v>
      </c>
      <c r="K27" s="479"/>
      <c r="L27" s="511">
        <f>L28-0.01</f>
        <v>0.13599999999999998</v>
      </c>
      <c r="M27" s="486">
        <v>8.0470716851708923E-2</v>
      </c>
      <c r="N27" s="487">
        <v>8.0470716851708923E-2</v>
      </c>
      <c r="O27" s="487">
        <v>8.0470716851708923E-2</v>
      </c>
      <c r="P27" s="487">
        <v>8.0470716851708923E-2</v>
      </c>
      <c r="Q27" s="488">
        <v>8.0470716851708923E-2</v>
      </c>
    </row>
    <row r="28" spans="2:17">
      <c r="C28" s="504"/>
      <c r="J28" s="508"/>
      <c r="K28" s="492" t="s">
        <v>656</v>
      </c>
      <c r="L28" s="511">
        <f>L29-0.01</f>
        <v>0.14599999999999999</v>
      </c>
      <c r="M28" s="493">
        <v>8.0466811484058737E-2</v>
      </c>
      <c r="N28" s="494">
        <v>8.0466811484058737E-2</v>
      </c>
      <c r="O28" s="427">
        <v>8.0466811484058737E-2</v>
      </c>
      <c r="P28" s="427">
        <v>8.0466811484058737E-2</v>
      </c>
      <c r="Q28" s="495">
        <v>8.0466811484058737E-2</v>
      </c>
    </row>
    <row r="29" spans="2:17">
      <c r="B29" s="416" t="s">
        <v>657</v>
      </c>
      <c r="C29" s="416"/>
      <c r="D29" s="416"/>
      <c r="E29" s="416"/>
      <c r="F29" s="512"/>
      <c r="G29" s="512"/>
      <c r="H29" s="512"/>
      <c r="I29" s="512"/>
      <c r="J29" s="508"/>
      <c r="K29" s="492" t="s">
        <v>658</v>
      </c>
      <c r="L29" s="497">
        <v>0.156</v>
      </c>
      <c r="M29" s="493">
        <v>8.0462906787195698E-2</v>
      </c>
      <c r="N29" s="427">
        <v>8.0462906787195698E-2</v>
      </c>
      <c r="O29" s="494">
        <v>8.0462906787195698E-2</v>
      </c>
      <c r="P29" s="427">
        <v>8.0462906787195698E-2</v>
      </c>
      <c r="Q29" s="495">
        <v>8.0462906787195698E-2</v>
      </c>
    </row>
    <row r="30" spans="2:17">
      <c r="B30" s="513" t="s">
        <v>659</v>
      </c>
      <c r="C30" s="155"/>
      <c r="D30" s="155"/>
      <c r="E30" s="155" t="s">
        <v>10</v>
      </c>
      <c r="F30" s="155" t="s">
        <v>660</v>
      </c>
      <c r="G30" s="155" t="s">
        <v>10</v>
      </c>
      <c r="H30" s="155" t="s">
        <v>10</v>
      </c>
      <c r="I30" s="155"/>
      <c r="J30" s="508"/>
      <c r="K30" s="492" t="s">
        <v>661</v>
      </c>
      <c r="L30" s="511">
        <f>L29+0.01</f>
        <v>0.16600000000000001</v>
      </c>
      <c r="M30" s="493">
        <v>8.0459002760947029E-2</v>
      </c>
      <c r="N30" s="427">
        <v>8.0459002760947029E-2</v>
      </c>
      <c r="O30" s="427">
        <v>8.0459002760947029E-2</v>
      </c>
      <c r="P30" s="494">
        <v>8.0459002760947029E-2</v>
      </c>
      <c r="Q30" s="495">
        <v>8.0459002760947029E-2</v>
      </c>
    </row>
    <row r="31" spans="2:17" ht="14.25">
      <c r="B31" s="514" t="s">
        <v>662</v>
      </c>
      <c r="C31" s="515" t="s">
        <v>663</v>
      </c>
      <c r="D31" s="515" t="s">
        <v>664</v>
      </c>
      <c r="E31" s="515" t="s">
        <v>665</v>
      </c>
      <c r="F31" s="515" t="s">
        <v>666</v>
      </c>
      <c r="G31" s="515" t="s">
        <v>636</v>
      </c>
      <c r="H31" s="515" t="s">
        <v>611</v>
      </c>
      <c r="I31" s="515" t="s">
        <v>667</v>
      </c>
      <c r="J31" s="508"/>
      <c r="K31" s="479"/>
      <c r="L31" s="511">
        <f>L30+0.01</f>
        <v>0.17600000000000002</v>
      </c>
      <c r="M31" s="499">
        <v>8.0455099405139965E-2</v>
      </c>
      <c r="N31" s="500">
        <v>8.0455099405139965E-2</v>
      </c>
      <c r="O31" s="500">
        <v>8.0455099405139965E-2</v>
      </c>
      <c r="P31" s="500">
        <v>8.0455099405139965E-2</v>
      </c>
      <c r="Q31" s="501">
        <v>8.0455099405139965E-2</v>
      </c>
    </row>
    <row r="32" spans="2:17">
      <c r="H32" s="5"/>
    </row>
    <row r="33" spans="2:10">
      <c r="B33" s="516"/>
      <c r="C33" s="517"/>
      <c r="D33" s="518"/>
      <c r="E33" s="519"/>
      <c r="F33" s="98">
        <f t="shared" ref="F33:F34" si="1">D33*E33</f>
        <v>0</v>
      </c>
      <c r="G33" s="519"/>
      <c r="H33" s="288"/>
      <c r="I33" s="508" t="e">
        <f>C33/(1+(1-H33)*(G33)/F33)</f>
        <v>#DIV/0!</v>
      </c>
      <c r="J33" s="508"/>
    </row>
    <row r="34" spans="2:10">
      <c r="B34" s="516"/>
      <c r="C34" s="517"/>
      <c r="D34" s="518"/>
      <c r="E34" s="519"/>
      <c r="F34" s="98">
        <f t="shared" si="1"/>
        <v>0</v>
      </c>
      <c r="G34" s="519"/>
      <c r="H34" s="288"/>
      <c r="I34" s="508" t="e">
        <f t="shared" ref="I34:I36" si="2">C34/(1+(1-H34)*(G34)/F34)</f>
        <v>#DIV/0!</v>
      </c>
      <c r="J34" s="508"/>
    </row>
    <row r="35" spans="2:10">
      <c r="B35" s="516"/>
      <c r="C35" s="517"/>
      <c r="D35" s="518"/>
      <c r="E35" s="519"/>
      <c r="F35" s="98">
        <f>D35*E35</f>
        <v>0</v>
      </c>
      <c r="G35" s="519"/>
      <c r="H35" s="288"/>
      <c r="I35" s="508" t="e">
        <f t="shared" si="2"/>
        <v>#DIV/0!</v>
      </c>
      <c r="J35" s="508"/>
    </row>
    <row r="36" spans="2:10">
      <c r="B36" s="516"/>
      <c r="C36" s="517"/>
      <c r="D36" s="518"/>
      <c r="E36" s="520"/>
      <c r="F36" s="98">
        <f>D36*E36</f>
        <v>0</v>
      </c>
      <c r="G36" s="520"/>
      <c r="H36" s="278">
        <f>C8</f>
        <v>0</v>
      </c>
      <c r="I36" s="508" t="e">
        <f t="shared" si="2"/>
        <v>#DIV/0!</v>
      </c>
      <c r="J36" s="508"/>
    </row>
    <row r="37" spans="2:10" ht="12.75" thickBot="1">
      <c r="B37" s="38"/>
      <c r="C37" s="521"/>
      <c r="D37" s="38"/>
      <c r="E37" s="38"/>
      <c r="F37" s="522"/>
      <c r="G37" s="522"/>
      <c r="H37" s="522"/>
      <c r="I37" s="523"/>
      <c r="J37" s="369"/>
    </row>
    <row r="38" spans="2:10" ht="12.75" thickBot="1">
      <c r="C38" s="508"/>
      <c r="F38" s="320"/>
      <c r="G38" s="320"/>
      <c r="H38" s="320"/>
      <c r="I38" s="369"/>
      <c r="J38" s="369"/>
    </row>
    <row r="39" spans="2:10">
      <c r="C39" s="508"/>
      <c r="F39" s="320"/>
      <c r="G39" s="320"/>
      <c r="H39" s="524" t="s">
        <v>668</v>
      </c>
      <c r="I39" s="525" t="e">
        <f>AVERAGE(I33:I36)</f>
        <v>#DIV/0!</v>
      </c>
      <c r="J39" s="508"/>
    </row>
    <row r="40" spans="2:10" ht="12.75" thickBot="1">
      <c r="G40" s="320"/>
      <c r="H40" s="526" t="str">
        <f>B36&amp;" beta"</f>
        <v xml:space="preserve"> beta</v>
      </c>
      <c r="I40" s="527" t="e">
        <f>I39*(1+(1-H36)*(G36)/F36)</f>
        <v>#DIV/0!</v>
      </c>
      <c r="J40" s="528"/>
    </row>
    <row r="47" spans="2:10">
      <c r="E47" s="427"/>
      <c r="F47" s="427"/>
    </row>
    <row r="48" spans="2:10">
      <c r="I48" s="498"/>
    </row>
    <row r="58" s="8" customFormat="1"/>
  </sheetData>
  <conditionalFormatting sqref="B39">
    <cfRule type="expression" dxfId="0" priority="1">
      <formula>#REF!="Industry"</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F877-F5DB-4F93-A3FE-2D0E436DB5C6}">
  <dimension ref="B2:X34"/>
  <sheetViews>
    <sheetView showGridLines="0" workbookViewId="0">
      <selection activeCell="D21" sqref="D21"/>
    </sheetView>
  </sheetViews>
  <sheetFormatPr defaultRowHeight="14.25"/>
  <cols>
    <col min="1" max="1" width="1.625" customWidth="1"/>
    <col min="2" max="2" width="15" bestFit="1" customWidth="1"/>
    <col min="4" max="4" width="8.5" bestFit="1" customWidth="1"/>
    <col min="5" max="5" width="7.125" customWidth="1"/>
    <col min="6" max="6" width="5.75" bestFit="1" customWidth="1"/>
    <col min="7" max="7" width="7.125" customWidth="1"/>
    <col min="8" max="8" width="5.625" bestFit="1" customWidth="1"/>
    <col min="9" max="9" width="7.125" customWidth="1"/>
    <col min="10" max="10" width="6.375" bestFit="1" customWidth="1"/>
    <col min="11" max="11" width="0.875" customWidth="1"/>
    <col min="12" max="13" width="6.375" bestFit="1" customWidth="1"/>
    <col min="14" max="14" width="7.125" customWidth="1"/>
    <col min="15" max="16" width="0.875" customWidth="1"/>
    <col min="17" max="18" width="6.375" bestFit="1" customWidth="1"/>
    <col min="19" max="19" width="7.125" customWidth="1"/>
    <col min="20" max="20" width="0.875" customWidth="1"/>
    <col min="21" max="22" width="6.375" bestFit="1" customWidth="1"/>
    <col min="23" max="23" width="7.125" customWidth="1"/>
    <col min="24" max="24" width="0.875" customWidth="1"/>
  </cols>
  <sheetData>
    <row r="2" spans="2:24">
      <c r="B2" s="149" t="s">
        <v>365</v>
      </c>
      <c r="C2" s="154"/>
    </row>
    <row r="3" spans="2:24">
      <c r="B3" s="150" t="s">
        <v>669</v>
      </c>
      <c r="C3" s="154"/>
    </row>
    <row r="4" spans="2:24">
      <c r="B4" s="529" t="s">
        <v>670</v>
      </c>
      <c r="C4" s="529"/>
    </row>
    <row r="5" spans="2:24" ht="5.0999999999999996" customHeight="1"/>
    <row r="6" spans="2:24">
      <c r="B6" s="432" t="s">
        <v>362</v>
      </c>
      <c r="C6" s="530">
        <v>271.39999999999998</v>
      </c>
    </row>
    <row r="7" spans="2:24" ht="5.0999999999999996" customHeight="1"/>
    <row r="8" spans="2:24">
      <c r="B8" s="432" t="s">
        <v>671</v>
      </c>
      <c r="C8" s="531">
        <f>AVERAGE(F23:F25,F21)</f>
        <v>-1</v>
      </c>
    </row>
    <row r="9" spans="2:24" ht="5.0999999999999996" customHeight="1"/>
    <row r="10" spans="2:24">
      <c r="B10" s="432" t="s">
        <v>672</v>
      </c>
      <c r="C10" s="531">
        <f>AVERAGE(J23:J25,J21)</f>
        <v>-1</v>
      </c>
    </row>
    <row r="12" spans="2:24">
      <c r="B12" s="149" t="s">
        <v>365</v>
      </c>
      <c r="C12" s="154"/>
      <c r="D12" s="149"/>
      <c r="E12" s="154"/>
      <c r="F12" s="149"/>
      <c r="G12" s="154"/>
      <c r="H12" s="149"/>
      <c r="I12" s="154"/>
      <c r="J12" s="149"/>
      <c r="K12" s="149"/>
      <c r="L12" s="154"/>
      <c r="M12" s="149"/>
      <c r="N12" s="149"/>
      <c r="O12" s="149"/>
      <c r="P12" s="149"/>
      <c r="Q12" s="154"/>
      <c r="R12" s="149"/>
      <c r="S12" s="149"/>
      <c r="T12" s="149"/>
      <c r="U12" s="154"/>
      <c r="V12" s="149"/>
      <c r="W12" s="149"/>
      <c r="X12" s="149"/>
    </row>
    <row r="13" spans="2:24">
      <c r="B13" s="150" t="s">
        <v>673</v>
      </c>
      <c r="C13" s="154"/>
      <c r="D13" s="150"/>
      <c r="E13" s="154"/>
      <c r="F13" s="150"/>
      <c r="G13" s="154"/>
      <c r="H13" s="150"/>
      <c r="I13" s="154"/>
      <c r="J13" s="150"/>
      <c r="K13" s="150"/>
      <c r="L13" s="154"/>
      <c r="M13" s="154"/>
      <c r="N13" s="154"/>
      <c r="O13" s="154"/>
      <c r="P13" s="154"/>
      <c r="Q13" s="154"/>
      <c r="R13" s="154"/>
      <c r="S13" s="154"/>
      <c r="T13" s="154"/>
      <c r="U13" s="154"/>
      <c r="V13" s="154"/>
      <c r="W13" s="154"/>
      <c r="X13" s="154"/>
    </row>
    <row r="14" spans="2:24">
      <c r="B14" s="150"/>
      <c r="C14" s="155"/>
      <c r="D14" s="155"/>
      <c r="E14" s="529" t="s">
        <v>674</v>
      </c>
      <c r="F14" s="529"/>
      <c r="G14" s="529"/>
      <c r="H14" s="529"/>
      <c r="I14" s="529"/>
      <c r="J14" s="529"/>
      <c r="K14" s="515"/>
      <c r="L14" s="529" t="s">
        <v>675</v>
      </c>
      <c r="M14" s="529"/>
      <c r="N14" s="529"/>
      <c r="O14" s="515"/>
      <c r="P14" s="515"/>
      <c r="Q14" s="529" t="s">
        <v>676</v>
      </c>
      <c r="R14" s="529"/>
      <c r="S14" s="529"/>
      <c r="T14" s="515"/>
      <c r="U14" s="529" t="s">
        <v>677</v>
      </c>
      <c r="V14" s="529"/>
      <c r="W14" s="529"/>
      <c r="X14" s="515"/>
    </row>
    <row r="15" spans="2:24">
      <c r="B15" s="515" t="s">
        <v>678</v>
      </c>
      <c r="C15" s="515" t="s">
        <v>679</v>
      </c>
      <c r="D15" s="515" t="s">
        <v>680</v>
      </c>
      <c r="E15" s="515" t="s">
        <v>681</v>
      </c>
      <c r="F15" s="515" t="s">
        <v>682</v>
      </c>
      <c r="G15" s="515" t="s">
        <v>683</v>
      </c>
      <c r="H15" s="515" t="s">
        <v>684</v>
      </c>
      <c r="I15" s="515" t="s">
        <v>685</v>
      </c>
      <c r="J15" s="515" t="s">
        <v>686</v>
      </c>
      <c r="K15" s="515"/>
      <c r="L15" s="515" t="s">
        <v>687</v>
      </c>
      <c r="M15" s="515" t="s">
        <v>688</v>
      </c>
      <c r="N15" s="515" t="s">
        <v>689</v>
      </c>
      <c r="O15" s="515"/>
      <c r="P15" s="515"/>
      <c r="Q15" s="515" t="s">
        <v>687</v>
      </c>
      <c r="R15" s="515" t="s">
        <v>688</v>
      </c>
      <c r="S15" s="515" t="s">
        <v>689</v>
      </c>
      <c r="T15" s="515"/>
      <c r="U15" s="515" t="s">
        <v>687</v>
      </c>
      <c r="V15" s="515" t="s">
        <v>688</v>
      </c>
      <c r="W15" s="515" t="s">
        <v>689</v>
      </c>
      <c r="X15" s="515"/>
    </row>
    <row r="16" spans="2:24" ht="2.1" customHeight="1">
      <c r="B16" s="154"/>
      <c r="C16" s="154"/>
      <c r="D16" s="154"/>
      <c r="E16" s="154"/>
      <c r="F16" s="154"/>
      <c r="G16" s="154"/>
      <c r="H16" s="150"/>
      <c r="I16" s="154"/>
      <c r="J16" s="150"/>
      <c r="K16" s="150"/>
      <c r="L16" s="154"/>
      <c r="M16" s="154"/>
      <c r="N16" s="150"/>
      <c r="O16" s="150"/>
      <c r="P16" s="150"/>
      <c r="Q16" s="154"/>
      <c r="R16" s="154"/>
      <c r="S16" s="150"/>
      <c r="T16" s="150"/>
      <c r="U16" s="154"/>
      <c r="V16" s="154"/>
      <c r="W16" s="150"/>
      <c r="X16" s="150"/>
    </row>
    <row r="17" spans="2:24" ht="5.0999999999999996" customHeight="1">
      <c r="B17" s="532"/>
      <c r="C17" s="532"/>
      <c r="D17" s="532"/>
      <c r="E17" s="532"/>
      <c r="F17" s="532"/>
      <c r="G17" s="532"/>
      <c r="H17" s="532"/>
      <c r="I17" s="532"/>
      <c r="J17" s="532"/>
      <c r="K17" s="532"/>
      <c r="L17" s="532"/>
      <c r="M17" s="532"/>
      <c r="N17" s="532"/>
      <c r="O17" s="532"/>
      <c r="P17" s="532"/>
      <c r="Q17" s="532"/>
      <c r="R17" s="532"/>
      <c r="S17" s="532"/>
      <c r="T17" s="532"/>
      <c r="U17" s="532"/>
      <c r="V17" s="532"/>
      <c r="W17" s="532"/>
      <c r="X17" s="532"/>
    </row>
    <row r="18" spans="2:24">
      <c r="B18" s="432" t="s">
        <v>690</v>
      </c>
      <c r="C18" s="533" t="s">
        <v>691</v>
      </c>
      <c r="D18" s="534" t="s">
        <v>692</v>
      </c>
      <c r="E18" s="535">
        <f>(G18*F18)+G18</f>
        <v>0</v>
      </c>
      <c r="F18" s="536">
        <f>$C$8</f>
        <v>-1</v>
      </c>
      <c r="G18" s="537"/>
      <c r="H18" s="536">
        <f t="shared" ref="H18:H25" si="0">(G18/$C$6)-1</f>
        <v>-1</v>
      </c>
      <c r="I18" s="535">
        <f>(J18*G18)+G18</f>
        <v>0</v>
      </c>
      <c r="J18" s="536">
        <f>$C$10</f>
        <v>-1</v>
      </c>
      <c r="K18" s="538"/>
      <c r="L18" s="539"/>
      <c r="M18" s="539"/>
      <c r="N18" s="539"/>
      <c r="O18" s="473"/>
      <c r="P18" s="473"/>
      <c r="Q18" s="540"/>
      <c r="R18" s="540"/>
      <c r="S18" s="540"/>
      <c r="T18" s="473"/>
      <c r="U18" s="539"/>
      <c r="V18" s="539"/>
      <c r="W18" s="539"/>
      <c r="X18" s="473"/>
    </row>
    <row r="19" spans="2:24">
      <c r="B19" s="432" t="s">
        <v>693</v>
      </c>
      <c r="C19" s="533" t="s">
        <v>694</v>
      </c>
      <c r="D19" s="534" t="s">
        <v>692</v>
      </c>
      <c r="E19" s="535">
        <f t="shared" ref="E19:E22" si="1">(G19*F19)+G19</f>
        <v>0</v>
      </c>
      <c r="F19" s="541">
        <f t="shared" ref="F19:F20" si="2">$C$8</f>
        <v>-1</v>
      </c>
      <c r="G19" s="537"/>
      <c r="H19" s="541">
        <f t="shared" si="0"/>
        <v>-1</v>
      </c>
      <c r="I19" s="535">
        <f t="shared" ref="I19:I22" si="3">(J19*G19)+G19</f>
        <v>0</v>
      </c>
      <c r="J19" s="541">
        <f t="shared" ref="J19:J20" si="4">$C$10</f>
        <v>-1</v>
      </c>
      <c r="K19" s="538"/>
      <c r="L19" s="539"/>
      <c r="M19" s="539"/>
      <c r="N19" s="539"/>
      <c r="O19" s="432"/>
      <c r="P19" s="432"/>
      <c r="Q19" s="540"/>
      <c r="R19" s="540"/>
      <c r="S19" s="540"/>
      <c r="T19" s="432"/>
      <c r="U19" s="539"/>
      <c r="V19" s="539"/>
      <c r="W19" s="539"/>
      <c r="X19" s="432"/>
    </row>
    <row r="20" spans="2:24">
      <c r="B20" s="432" t="s">
        <v>695</v>
      </c>
      <c r="C20" s="533" t="s">
        <v>225</v>
      </c>
      <c r="D20" s="534" t="s">
        <v>696</v>
      </c>
      <c r="E20" s="535">
        <f t="shared" si="1"/>
        <v>0</v>
      </c>
      <c r="F20" s="541">
        <f t="shared" si="2"/>
        <v>-1</v>
      </c>
      <c r="G20" s="537"/>
      <c r="H20" s="541">
        <f t="shared" si="0"/>
        <v>-1</v>
      </c>
      <c r="I20" s="535">
        <f t="shared" si="3"/>
        <v>0</v>
      </c>
      <c r="J20" s="541">
        <f t="shared" si="4"/>
        <v>-1</v>
      </c>
      <c r="K20" s="538"/>
      <c r="L20" s="539"/>
      <c r="M20" s="539"/>
      <c r="N20" s="539"/>
      <c r="O20" s="432"/>
      <c r="P20" s="432"/>
      <c r="Q20" s="540"/>
      <c r="R20" s="540"/>
      <c r="S20" s="540"/>
      <c r="T20" s="432"/>
      <c r="U20" s="539"/>
      <c r="V20" s="539"/>
      <c r="W20" s="539"/>
      <c r="X20" s="432"/>
    </row>
    <row r="21" spans="2:24">
      <c r="B21" s="432" t="s">
        <v>697</v>
      </c>
      <c r="C21" s="533" t="s">
        <v>225</v>
      </c>
      <c r="D21" s="534" t="s">
        <v>696</v>
      </c>
      <c r="E21" s="537"/>
      <c r="F21" s="541">
        <f>(E21/$C$6)-1</f>
        <v>-1</v>
      </c>
      <c r="G21" s="537"/>
      <c r="H21" s="541">
        <f t="shared" si="0"/>
        <v>-1</v>
      </c>
      <c r="I21" s="537"/>
      <c r="J21" s="541">
        <f>(I21/$C$6)-1</f>
        <v>-1</v>
      </c>
      <c r="K21" s="538"/>
      <c r="L21" s="539"/>
      <c r="M21" s="539"/>
      <c r="N21" s="539"/>
      <c r="O21" s="432"/>
      <c r="P21" s="432"/>
      <c r="Q21" s="540"/>
      <c r="R21" s="540"/>
      <c r="S21" s="540"/>
      <c r="T21" s="432"/>
      <c r="U21" s="539"/>
      <c r="V21" s="539"/>
      <c r="W21" s="539"/>
      <c r="X21" s="432"/>
    </row>
    <row r="22" spans="2:24">
      <c r="B22" s="432" t="s">
        <v>698</v>
      </c>
      <c r="C22" s="533" t="s">
        <v>699</v>
      </c>
      <c r="D22" s="534" t="s">
        <v>696</v>
      </c>
      <c r="E22" s="535">
        <f t="shared" si="1"/>
        <v>0</v>
      </c>
      <c r="F22" s="541">
        <f>$C$8</f>
        <v>-1</v>
      </c>
      <c r="G22" s="537"/>
      <c r="H22" s="541">
        <f t="shared" si="0"/>
        <v>-1</v>
      </c>
      <c r="I22" s="535">
        <f t="shared" si="3"/>
        <v>0</v>
      </c>
      <c r="J22" s="541">
        <f>$C$10</f>
        <v>-1</v>
      </c>
      <c r="K22" s="538"/>
      <c r="L22" s="539"/>
      <c r="M22" s="539"/>
      <c r="N22" s="539"/>
      <c r="O22" s="432"/>
      <c r="P22" s="432"/>
      <c r="Q22" s="540"/>
      <c r="R22" s="540"/>
      <c r="S22" s="540"/>
      <c r="T22" s="432"/>
      <c r="U22" s="539"/>
      <c r="V22" s="539"/>
      <c r="W22" s="539"/>
      <c r="X22" s="432"/>
    </row>
    <row r="23" spans="2:24">
      <c r="B23" s="432" t="s">
        <v>700</v>
      </c>
      <c r="C23" s="533" t="s">
        <v>699</v>
      </c>
      <c r="D23" s="534" t="s">
        <v>701</v>
      </c>
      <c r="E23" s="537"/>
      <c r="F23" s="541">
        <f t="shared" ref="F23:F25" si="5">(E23/$C$6)-1</f>
        <v>-1</v>
      </c>
      <c r="G23" s="537"/>
      <c r="H23" s="541">
        <f t="shared" si="0"/>
        <v>-1</v>
      </c>
      <c r="I23" s="537"/>
      <c r="J23" s="541">
        <f t="shared" ref="J23:J25" si="6">(I23/$C$6)-1</f>
        <v>-1</v>
      </c>
      <c r="K23" s="538"/>
      <c r="L23" s="539"/>
      <c r="M23" s="539"/>
      <c r="N23" s="539"/>
      <c r="O23" s="432"/>
      <c r="P23" s="432"/>
      <c r="Q23" s="540"/>
      <c r="R23" s="540"/>
      <c r="S23" s="540"/>
      <c r="T23" s="432"/>
      <c r="U23" s="539"/>
      <c r="V23" s="539"/>
      <c r="W23" s="539"/>
      <c r="X23" s="432"/>
    </row>
    <row r="24" spans="2:24">
      <c r="B24" s="432" t="s">
        <v>702</v>
      </c>
      <c r="C24" s="533" t="s">
        <v>699</v>
      </c>
      <c r="D24" s="534" t="s">
        <v>701</v>
      </c>
      <c r="E24" s="537"/>
      <c r="F24" s="541">
        <f t="shared" si="5"/>
        <v>-1</v>
      </c>
      <c r="G24" s="537"/>
      <c r="H24" s="541">
        <f t="shared" si="0"/>
        <v>-1</v>
      </c>
      <c r="I24" s="537"/>
      <c r="J24" s="541">
        <f t="shared" si="6"/>
        <v>-1</v>
      </c>
      <c r="K24" s="538"/>
      <c r="L24" s="539"/>
      <c r="M24" s="539"/>
      <c r="N24" s="539"/>
      <c r="O24" s="432"/>
      <c r="P24" s="432"/>
      <c r="Q24" s="540"/>
      <c r="R24" s="540"/>
      <c r="S24" s="540"/>
      <c r="T24" s="432"/>
      <c r="U24" s="539"/>
      <c r="V24" s="539"/>
      <c r="W24" s="539"/>
      <c r="X24" s="432"/>
    </row>
    <row r="25" spans="2:24">
      <c r="B25" s="432" t="s">
        <v>703</v>
      </c>
      <c r="C25" s="533" t="s">
        <v>691</v>
      </c>
      <c r="D25" s="534" t="s">
        <v>704</v>
      </c>
      <c r="E25" s="537"/>
      <c r="F25" s="542">
        <f t="shared" si="5"/>
        <v>-1</v>
      </c>
      <c r="G25" s="537"/>
      <c r="H25" s="542">
        <f t="shared" si="0"/>
        <v>-1</v>
      </c>
      <c r="I25" s="537"/>
      <c r="J25" s="542">
        <f t="shared" si="6"/>
        <v>-1</v>
      </c>
      <c r="K25" s="538"/>
      <c r="L25" s="539"/>
      <c r="M25" s="539"/>
      <c r="N25" s="539"/>
      <c r="O25" s="432"/>
      <c r="P25" s="432"/>
      <c r="Q25" s="540"/>
      <c r="R25" s="540"/>
      <c r="S25" s="540"/>
      <c r="T25" s="432"/>
      <c r="U25" s="539"/>
      <c r="V25" s="539"/>
      <c r="W25" s="539"/>
      <c r="X25" s="432"/>
    </row>
    <row r="26" spans="2:24" ht="5.0999999999999996" customHeight="1">
      <c r="B26" s="432"/>
      <c r="C26" s="533"/>
      <c r="D26" s="534"/>
      <c r="E26" s="535"/>
      <c r="F26" s="538"/>
      <c r="G26" s="537"/>
      <c r="H26" s="538"/>
      <c r="I26" s="535"/>
      <c r="J26" s="538"/>
      <c r="K26" s="538"/>
      <c r="L26" s="543"/>
      <c r="M26" s="432"/>
      <c r="N26" s="432"/>
      <c r="O26" s="432"/>
      <c r="P26" s="432"/>
      <c r="Q26" s="543"/>
      <c r="R26" s="432"/>
      <c r="S26" s="432"/>
      <c r="T26" s="432"/>
      <c r="U26" s="543"/>
      <c r="V26" s="432"/>
      <c r="W26" s="432"/>
      <c r="X26" s="432"/>
    </row>
    <row r="27" spans="2:24">
      <c r="B27" s="544" t="s">
        <v>336</v>
      </c>
      <c r="C27" s="545"/>
      <c r="D27" s="546"/>
      <c r="E27" s="547">
        <f t="shared" ref="E27:J27" si="7">MAX(E$18:E$25)</f>
        <v>0</v>
      </c>
      <c r="F27" s="548">
        <f t="shared" si="7"/>
        <v>-1</v>
      </c>
      <c r="G27" s="547">
        <f t="shared" si="7"/>
        <v>0</v>
      </c>
      <c r="H27" s="548">
        <f t="shared" si="7"/>
        <v>-1</v>
      </c>
      <c r="I27" s="547">
        <f t="shared" si="7"/>
        <v>0</v>
      </c>
      <c r="J27" s="548">
        <f t="shared" si="7"/>
        <v>-1</v>
      </c>
      <c r="K27" s="548"/>
      <c r="L27" s="549">
        <f>MAX(L$18:L$25)</f>
        <v>0</v>
      </c>
      <c r="M27" s="549">
        <f>MAX(M$18:M$25)</f>
        <v>0</v>
      </c>
      <c r="N27" s="549">
        <f>MAX(N$18:N$25)</f>
        <v>0</v>
      </c>
      <c r="O27" s="544"/>
      <c r="P27" s="544"/>
      <c r="Q27" s="550">
        <f>MAX(Q$18:Q$25)</f>
        <v>0</v>
      </c>
      <c r="R27" s="550">
        <f>MAX(R$18:R$25)</f>
        <v>0</v>
      </c>
      <c r="S27" s="550">
        <f>MAX(S$18:S$25)</f>
        <v>0</v>
      </c>
      <c r="T27" s="544"/>
      <c r="U27" s="549">
        <f>MAX(U$18:U$25)</f>
        <v>0</v>
      </c>
      <c r="V27" s="549">
        <f>MAX(V$18:V$25)</f>
        <v>0</v>
      </c>
      <c r="W27" s="549">
        <f>MAX(W$18:W$25)</f>
        <v>0</v>
      </c>
      <c r="X27" s="544"/>
    </row>
    <row r="28" spans="2:24">
      <c r="B28" s="544" t="s">
        <v>705</v>
      </c>
      <c r="C28" s="545"/>
      <c r="D28" s="546"/>
      <c r="E28" s="547">
        <f t="shared" ref="E28:J28" si="8">QUARTILE(E$18:E$25,3)</f>
        <v>0</v>
      </c>
      <c r="F28" s="548">
        <f t="shared" si="8"/>
        <v>-1</v>
      </c>
      <c r="G28" s="547" t="e">
        <f t="shared" si="8"/>
        <v>#NUM!</v>
      </c>
      <c r="H28" s="548">
        <f t="shared" si="8"/>
        <v>-1</v>
      </c>
      <c r="I28" s="547">
        <f t="shared" si="8"/>
        <v>0</v>
      </c>
      <c r="J28" s="548">
        <f t="shared" si="8"/>
        <v>-1</v>
      </c>
      <c r="K28" s="548"/>
      <c r="L28" s="549" t="e">
        <f>QUARTILE(L$18:L$25,3)</f>
        <v>#NUM!</v>
      </c>
      <c r="M28" s="549" t="e">
        <f>QUARTILE(M$18:M$25,3)</f>
        <v>#NUM!</v>
      </c>
      <c r="N28" s="549" t="e">
        <f>QUARTILE(N$18:N$25,3)</f>
        <v>#NUM!</v>
      </c>
      <c r="O28" s="544"/>
      <c r="P28" s="544"/>
      <c r="Q28" s="550" t="e">
        <f>QUARTILE(Q$18:Q$25,3)</f>
        <v>#NUM!</v>
      </c>
      <c r="R28" s="550" t="e">
        <f>QUARTILE(R$18:R$25,3)</f>
        <v>#NUM!</v>
      </c>
      <c r="S28" s="550" t="e">
        <f>QUARTILE(S$18:S$25,3)</f>
        <v>#NUM!</v>
      </c>
      <c r="T28" s="544"/>
      <c r="U28" s="549" t="e">
        <f>QUARTILE(U$18:U$25,3)</f>
        <v>#NUM!</v>
      </c>
      <c r="V28" s="549" t="e">
        <f>QUARTILE(V$18:V$25,3)</f>
        <v>#NUM!</v>
      </c>
      <c r="W28" s="549" t="e">
        <f>QUARTILE(W$18:W$25,3)</f>
        <v>#NUM!</v>
      </c>
      <c r="X28" s="544"/>
    </row>
    <row r="29" spans="2:24">
      <c r="B29" s="551" t="s">
        <v>706</v>
      </c>
      <c r="C29" s="545"/>
      <c r="D29" s="546"/>
      <c r="E29" s="552">
        <f t="shared" ref="E29:J29" si="9">AVERAGE(E$18:E$25)</f>
        <v>0</v>
      </c>
      <c r="F29" s="553">
        <f t="shared" si="9"/>
        <v>-1</v>
      </c>
      <c r="G29" s="552" t="e">
        <f t="shared" si="9"/>
        <v>#DIV/0!</v>
      </c>
      <c r="H29" s="553">
        <f t="shared" si="9"/>
        <v>-1</v>
      </c>
      <c r="I29" s="552">
        <f t="shared" si="9"/>
        <v>0</v>
      </c>
      <c r="J29" s="553">
        <f t="shared" si="9"/>
        <v>-1</v>
      </c>
      <c r="K29" s="553"/>
      <c r="L29" s="554" t="e">
        <f>AVERAGE(L$18:L$25)</f>
        <v>#DIV/0!</v>
      </c>
      <c r="M29" s="554" t="e">
        <f>AVERAGE(M$18:M$25)</f>
        <v>#DIV/0!</v>
      </c>
      <c r="N29" s="554" t="e">
        <f>AVERAGE(N$18:N$25)</f>
        <v>#DIV/0!</v>
      </c>
      <c r="O29" s="544"/>
      <c r="P29" s="544"/>
      <c r="Q29" s="550" t="e">
        <f>AVERAGE(Q$18:Q$25)</f>
        <v>#DIV/0!</v>
      </c>
      <c r="R29" s="550" t="e">
        <f>AVERAGE(R$18:R$25)</f>
        <v>#DIV/0!</v>
      </c>
      <c r="S29" s="550" t="e">
        <f>AVERAGE(S$18:S$25)</f>
        <v>#DIV/0!</v>
      </c>
      <c r="T29" s="544"/>
      <c r="U29" s="554" t="e">
        <f>AVERAGE(U$18:U$25)</f>
        <v>#DIV/0!</v>
      </c>
      <c r="V29" s="554" t="e">
        <f>AVERAGE(V$18:V$25)</f>
        <v>#DIV/0!</v>
      </c>
      <c r="W29" s="554" t="e">
        <f>AVERAGE(W$18:W$25)</f>
        <v>#DIV/0!</v>
      </c>
      <c r="X29" s="544"/>
    </row>
    <row r="30" spans="2:24">
      <c r="B30" s="551" t="s">
        <v>707</v>
      </c>
      <c r="C30" s="545"/>
      <c r="D30" s="546"/>
      <c r="E30" s="552">
        <f t="shared" ref="E30:J30" si="10">MEDIAN(E$18:E$25)</f>
        <v>0</v>
      </c>
      <c r="F30" s="553">
        <f t="shared" si="10"/>
        <v>-1</v>
      </c>
      <c r="G30" s="552" t="e">
        <f t="shared" si="10"/>
        <v>#NUM!</v>
      </c>
      <c r="H30" s="553">
        <f t="shared" si="10"/>
        <v>-1</v>
      </c>
      <c r="I30" s="552">
        <f t="shared" si="10"/>
        <v>0</v>
      </c>
      <c r="J30" s="553">
        <f t="shared" si="10"/>
        <v>-1</v>
      </c>
      <c r="K30" s="553"/>
      <c r="L30" s="554" t="e">
        <f>MEDIAN(L$18:L$25)</f>
        <v>#NUM!</v>
      </c>
      <c r="M30" s="554" t="e">
        <f>MEDIAN(M$18:M$25)</f>
        <v>#NUM!</v>
      </c>
      <c r="N30" s="554" t="e">
        <f>MEDIAN(N$18:N$25)</f>
        <v>#NUM!</v>
      </c>
      <c r="O30" s="544"/>
      <c r="P30" s="544"/>
      <c r="Q30" s="550" t="e">
        <f>MEDIAN(Q$18:Q$25)</f>
        <v>#NUM!</v>
      </c>
      <c r="R30" s="550" t="e">
        <f>MEDIAN(R$18:R$25)</f>
        <v>#NUM!</v>
      </c>
      <c r="S30" s="550" t="e">
        <f>MEDIAN(S$18:S$25)</f>
        <v>#NUM!</v>
      </c>
      <c r="T30" s="544"/>
      <c r="U30" s="554" t="e">
        <f>MEDIAN(U$18:U$25)</f>
        <v>#NUM!</v>
      </c>
      <c r="V30" s="554" t="e">
        <f>MEDIAN(V$18:V$25)</f>
        <v>#NUM!</v>
      </c>
      <c r="W30" s="554" t="e">
        <f>MEDIAN(W$18:W$25)</f>
        <v>#NUM!</v>
      </c>
      <c r="X30" s="544"/>
    </row>
    <row r="31" spans="2:24">
      <c r="B31" s="544" t="s">
        <v>708</v>
      </c>
      <c r="C31" s="545"/>
      <c r="D31" s="546"/>
      <c r="E31" s="547">
        <f t="shared" ref="E31:J31" si="11">QUARTILE(E$18:E$25,1)</f>
        <v>0</v>
      </c>
      <c r="F31" s="548">
        <f t="shared" si="11"/>
        <v>-1</v>
      </c>
      <c r="G31" s="547" t="e">
        <f t="shared" si="11"/>
        <v>#NUM!</v>
      </c>
      <c r="H31" s="548">
        <f t="shared" si="11"/>
        <v>-1</v>
      </c>
      <c r="I31" s="547">
        <f t="shared" si="11"/>
        <v>0</v>
      </c>
      <c r="J31" s="548">
        <f t="shared" si="11"/>
        <v>-1</v>
      </c>
      <c r="K31" s="548"/>
      <c r="L31" s="549" t="e">
        <f>QUARTILE(L$18:L$25,1)</f>
        <v>#NUM!</v>
      </c>
      <c r="M31" s="549" t="e">
        <f>QUARTILE(M$18:M$25,1)</f>
        <v>#NUM!</v>
      </c>
      <c r="N31" s="549" t="e">
        <f>QUARTILE(N$18:N$25,1)</f>
        <v>#NUM!</v>
      </c>
      <c r="O31" s="544"/>
      <c r="P31" s="544"/>
      <c r="Q31" s="550" t="e">
        <f>QUARTILE(Q$18:Q$25,1)</f>
        <v>#NUM!</v>
      </c>
      <c r="R31" s="550" t="e">
        <f>QUARTILE(R$18:R$25,1)</f>
        <v>#NUM!</v>
      </c>
      <c r="S31" s="550" t="e">
        <f>QUARTILE(S$18:S$25,1)</f>
        <v>#NUM!</v>
      </c>
      <c r="T31" s="544"/>
      <c r="U31" s="549" t="e">
        <f>QUARTILE(U$18:U$25,1)</f>
        <v>#NUM!</v>
      </c>
      <c r="V31" s="549" t="e">
        <f>QUARTILE(V$18:V$25,1)</f>
        <v>#NUM!</v>
      </c>
      <c r="W31" s="549" t="e">
        <f>QUARTILE(W$18:W$25,1)</f>
        <v>#NUM!</v>
      </c>
      <c r="X31" s="544"/>
    </row>
    <row r="32" spans="2:24">
      <c r="B32" s="544" t="s">
        <v>334</v>
      </c>
      <c r="C32" s="545"/>
      <c r="D32" s="546"/>
      <c r="E32" s="547">
        <f t="shared" ref="E32:W32" si="12">MIN(E$18:E$25)</f>
        <v>0</v>
      </c>
      <c r="F32" s="548">
        <f t="shared" si="12"/>
        <v>-1</v>
      </c>
      <c r="G32" s="547">
        <f t="shared" si="12"/>
        <v>0</v>
      </c>
      <c r="H32" s="548">
        <f t="shared" si="12"/>
        <v>-1</v>
      </c>
      <c r="I32" s="547">
        <f t="shared" si="12"/>
        <v>0</v>
      </c>
      <c r="J32" s="548">
        <f t="shared" si="12"/>
        <v>-1</v>
      </c>
      <c r="K32" s="548">
        <f t="shared" si="12"/>
        <v>0</v>
      </c>
      <c r="L32" s="549">
        <f t="shared" si="12"/>
        <v>0</v>
      </c>
      <c r="M32" s="549">
        <f t="shared" si="12"/>
        <v>0</v>
      </c>
      <c r="N32" s="549">
        <f t="shared" si="12"/>
        <v>0</v>
      </c>
      <c r="O32" s="544">
        <f t="shared" si="12"/>
        <v>0</v>
      </c>
      <c r="P32" s="544">
        <f t="shared" si="12"/>
        <v>0</v>
      </c>
      <c r="Q32" s="550">
        <f t="shared" si="12"/>
        <v>0</v>
      </c>
      <c r="R32" s="550">
        <f t="shared" si="12"/>
        <v>0</v>
      </c>
      <c r="S32" s="550">
        <f t="shared" si="12"/>
        <v>0</v>
      </c>
      <c r="T32" s="544">
        <f t="shared" si="12"/>
        <v>0</v>
      </c>
      <c r="U32" s="549">
        <f t="shared" si="12"/>
        <v>0</v>
      </c>
      <c r="V32" s="549">
        <f t="shared" si="12"/>
        <v>0</v>
      </c>
      <c r="W32" s="549">
        <f t="shared" si="12"/>
        <v>0</v>
      </c>
      <c r="X32" s="544"/>
    </row>
    <row r="33" spans="2:24" ht="15" thickBot="1">
      <c r="B33" s="555"/>
      <c r="C33" s="555"/>
      <c r="D33" s="555"/>
      <c r="E33" s="555"/>
      <c r="F33" s="555"/>
      <c r="G33" s="555"/>
      <c r="H33" s="555"/>
      <c r="I33" s="555"/>
      <c r="J33" s="555"/>
      <c r="K33" s="555"/>
      <c r="L33" s="555"/>
      <c r="M33" s="555"/>
      <c r="N33" s="555"/>
      <c r="O33" s="555"/>
      <c r="P33" s="555"/>
      <c r="Q33" s="555"/>
      <c r="R33" s="555"/>
      <c r="S33" s="555"/>
      <c r="T33" s="555"/>
      <c r="U33" s="555"/>
      <c r="V33" s="555"/>
      <c r="W33" s="555"/>
      <c r="X33" s="555"/>
    </row>
    <row r="34" spans="2:24">
      <c r="B34" s="432" t="s">
        <v>709</v>
      </c>
      <c r="C34" s="556"/>
      <c r="D34" s="556"/>
      <c r="E34" s="556"/>
      <c r="F34" s="556"/>
      <c r="G34" s="556"/>
      <c r="H34" s="556"/>
      <c r="I34" s="556"/>
      <c r="J34" s="556"/>
      <c r="K34" s="556"/>
      <c r="L34" s="556"/>
      <c r="M34" s="556"/>
      <c r="N34" s="556"/>
      <c r="O34" s="556"/>
      <c r="P34" s="556"/>
      <c r="Q34" s="556"/>
      <c r="R34" s="556"/>
      <c r="S34" s="556"/>
      <c r="T34" s="556"/>
      <c r="U34" s="556"/>
      <c r="V34" s="556"/>
      <c r="W34" s="556"/>
      <c r="X34" s="55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04DE-8FD0-487F-B60C-307DF1B81B8C}">
  <dimension ref="A2:L544"/>
  <sheetViews>
    <sheetView showGridLines="0" workbookViewId="0">
      <selection activeCell="A33" sqref="A33"/>
    </sheetView>
  </sheetViews>
  <sheetFormatPr defaultRowHeight="14.25"/>
  <cols>
    <col min="1" max="1" width="2" bestFit="1" customWidth="1"/>
    <col min="2" max="2" width="23.375" bestFit="1" customWidth="1"/>
    <col min="3" max="3" width="9.375" bestFit="1" customWidth="1"/>
    <col min="4" max="8" width="7.875" bestFit="1" customWidth="1"/>
    <col min="9" max="9" width="1.625" customWidth="1"/>
    <col min="11" max="11" width="9.875" bestFit="1" customWidth="1"/>
  </cols>
  <sheetData>
    <row r="2" spans="1:11">
      <c r="B2" s="149" t="s">
        <v>365</v>
      </c>
      <c r="C2" s="154"/>
      <c r="D2" s="154"/>
      <c r="E2" s="154"/>
      <c r="F2" s="154"/>
      <c r="G2" s="154"/>
      <c r="H2" s="154"/>
      <c r="I2" s="154"/>
      <c r="J2" s="154"/>
    </row>
    <row r="3" spans="1:11">
      <c r="B3" s="150" t="s">
        <v>710</v>
      </c>
      <c r="C3" s="154"/>
      <c r="D3" s="154"/>
      <c r="E3" s="154"/>
      <c r="F3" s="154"/>
      <c r="G3" s="154"/>
      <c r="H3" s="154"/>
      <c r="I3" s="154"/>
      <c r="J3" s="154"/>
    </row>
    <row r="4" spans="1:11">
      <c r="B4" s="150" t="s">
        <v>198</v>
      </c>
      <c r="C4" s="148"/>
      <c r="D4" s="148"/>
      <c r="E4" s="148"/>
      <c r="F4" s="148"/>
      <c r="G4" s="148"/>
      <c r="H4" s="148"/>
      <c r="I4" s="148"/>
      <c r="J4" s="3"/>
    </row>
    <row r="5" spans="1:11" ht="5.0999999999999996" customHeight="1"/>
    <row r="6" spans="1:11">
      <c r="A6" s="557" t="s">
        <v>19</v>
      </c>
      <c r="B6" s="149" t="s">
        <v>711</v>
      </c>
      <c r="C6" s="149"/>
      <c r="D6" s="149"/>
      <c r="E6" s="149"/>
      <c r="F6" s="149"/>
      <c r="G6" s="149"/>
      <c r="H6" s="149"/>
      <c r="I6" s="149"/>
      <c r="J6" s="149"/>
    </row>
    <row r="7" spans="1:11" ht="5.0999999999999996" customHeight="1"/>
    <row r="8" spans="1:11">
      <c r="B8" s="149" t="s">
        <v>12</v>
      </c>
      <c r="C8" s="147" t="s">
        <v>370</v>
      </c>
      <c r="D8" s="147"/>
      <c r="E8" s="147"/>
      <c r="F8" s="147"/>
      <c r="G8" s="147"/>
      <c r="H8" s="147"/>
      <c r="I8" s="148"/>
      <c r="J8" s="2" t="s">
        <v>369</v>
      </c>
    </row>
    <row r="9" spans="1:11">
      <c r="B9" s="150" t="s">
        <v>342</v>
      </c>
      <c r="C9" s="154" t="s">
        <v>712</v>
      </c>
      <c r="D9" s="154" t="s">
        <v>713</v>
      </c>
      <c r="E9" s="154" t="s">
        <v>714</v>
      </c>
      <c r="F9" s="154" t="s">
        <v>715</v>
      </c>
      <c r="G9" s="154" t="s">
        <v>716</v>
      </c>
      <c r="H9" s="154" t="s">
        <v>717</v>
      </c>
      <c r="I9" s="148"/>
      <c r="J9" s="315" t="s">
        <v>372</v>
      </c>
    </row>
    <row r="10" spans="1:11">
      <c r="B10" s="150" t="s">
        <v>718</v>
      </c>
      <c r="C10" s="148">
        <v>46295</v>
      </c>
      <c r="D10" s="148">
        <v>46660</v>
      </c>
      <c r="E10" s="148">
        <v>47026</v>
      </c>
      <c r="F10" s="148">
        <v>47391</v>
      </c>
      <c r="G10" s="148">
        <v>47756</v>
      </c>
      <c r="H10" s="148">
        <v>48121</v>
      </c>
      <c r="I10" s="148"/>
      <c r="J10" s="3">
        <f>H10</f>
        <v>48121</v>
      </c>
    </row>
    <row r="11" spans="1:11" ht="5.0999999999999996" customHeight="1">
      <c r="B11" s="473"/>
    </row>
    <row r="12" spans="1:11">
      <c r="B12" s="432" t="s">
        <v>719</v>
      </c>
      <c r="C12" s="153">
        <f t="shared" ref="C12:H12" si="0">+C46+C74+C102+C130+C156</f>
        <v>460042</v>
      </c>
      <c r="D12" s="153">
        <f t="shared" si="0"/>
        <v>524298</v>
      </c>
      <c r="E12" s="153">
        <f t="shared" si="0"/>
        <v>556689</v>
      </c>
      <c r="F12" s="153">
        <f t="shared" si="0"/>
        <v>592415.3307552404</v>
      </c>
      <c r="G12" s="153">
        <f t="shared" si="0"/>
        <v>631871.74256466061</v>
      </c>
      <c r="H12" s="153">
        <f t="shared" si="0"/>
        <v>675501.7717197215</v>
      </c>
      <c r="J12" s="558">
        <f>((H12/C12)^(1/COUNT(C12:H12))-1)</f>
        <v>6.6116917491473304E-2</v>
      </c>
      <c r="K12" s="432" t="s">
        <v>720</v>
      </c>
    </row>
    <row r="13" spans="1:11">
      <c r="B13" s="559" t="s">
        <v>34</v>
      </c>
      <c r="C13" s="560">
        <f>(C12/'[2]3 Statement Model'!$H$24)-1</f>
        <v>0.10544236485398684</v>
      </c>
      <c r="D13" s="561">
        <f t="shared" ref="D13:H13" si="1">SUM(D12/C12)-1</f>
        <v>0.13967420365966587</v>
      </c>
      <c r="E13" s="561">
        <f t="shared" si="1"/>
        <v>6.1779751210189637E-2</v>
      </c>
      <c r="F13" s="561">
        <f t="shared" si="1"/>
        <v>6.4176462540557422E-2</v>
      </c>
      <c r="G13" s="561">
        <f t="shared" si="1"/>
        <v>6.6602617726180702E-2</v>
      </c>
      <c r="H13" s="561">
        <f t="shared" si="1"/>
        <v>6.9048868965043475E-2</v>
      </c>
      <c r="J13" s="562"/>
    </row>
    <row r="14" spans="1:11">
      <c r="B14" s="432" t="s">
        <v>721</v>
      </c>
      <c r="C14" s="153">
        <f t="shared" ref="C14:H14" si="2">+C48+C76+C104+C132+C158</f>
        <v>455258</v>
      </c>
      <c r="D14" s="153">
        <f t="shared" si="2"/>
        <v>501329</v>
      </c>
      <c r="E14" s="153">
        <f t="shared" si="2"/>
        <v>519816</v>
      </c>
      <c r="F14" s="153">
        <f t="shared" si="2"/>
        <v>540744.16841497947</v>
      </c>
      <c r="G14" s="153">
        <f t="shared" si="2"/>
        <v>564391.74414205225</v>
      </c>
      <c r="H14" s="153">
        <f t="shared" si="2"/>
        <v>591070.82953414286</v>
      </c>
      <c r="J14" s="563">
        <f t="shared" ref="J14" si="3">((H14/C14)^(1/COUNT(C14:H14))-1)</f>
        <v>4.4472452346011382E-2</v>
      </c>
      <c r="K14" s="432" t="s">
        <v>722</v>
      </c>
    </row>
    <row r="15" spans="1:11">
      <c r="B15" s="559" t="s">
        <v>34</v>
      </c>
      <c r="C15" s="560">
        <f>(C14/'[2]3 Statement Model'!$H$24)-1</f>
        <v>9.3946813853292399E-2</v>
      </c>
      <c r="D15" s="561">
        <f t="shared" ref="D15" si="4">SUM(D14/C14)-1</f>
        <v>0.10119756270071045</v>
      </c>
      <c r="E15" s="561">
        <f t="shared" ref="E15" si="5">SUM(E14/D14)-1</f>
        <v>3.6875983635496823E-2</v>
      </c>
      <c r="F15" s="561">
        <f t="shared" ref="F15:H15" si="6">SUM(F14/E14)-1</f>
        <v>4.0260723823390299E-2</v>
      </c>
      <c r="G15" s="561">
        <f t="shared" si="6"/>
        <v>4.3731540917747003E-2</v>
      </c>
      <c r="H15" s="561">
        <f t="shared" si="6"/>
        <v>4.7270509657518556E-2</v>
      </c>
      <c r="J15" s="562"/>
    </row>
    <row r="16" spans="1:11">
      <c r="B16" s="432" t="s">
        <v>723</v>
      </c>
      <c r="C16" s="153">
        <f t="shared" ref="C16:H16" si="7">C54+C82+C110+C136+C162</f>
        <v>455906</v>
      </c>
      <c r="D16" s="153">
        <f t="shared" si="7"/>
        <v>481253</v>
      </c>
      <c r="E16" s="153">
        <f t="shared" si="7"/>
        <v>504433</v>
      </c>
      <c r="F16" s="153">
        <f t="shared" si="7"/>
        <v>529182.03360920271</v>
      </c>
      <c r="G16" s="153">
        <f t="shared" si="7"/>
        <v>555624.94833083346</v>
      </c>
      <c r="H16" s="153">
        <f t="shared" si="7"/>
        <v>583897.15657806373</v>
      </c>
      <c r="J16" s="563">
        <f t="shared" ref="J16" si="8">((H16/C16)^(1/COUNT(C16:H16))-1)</f>
        <v>4.2101870494665627E-2</v>
      </c>
      <c r="K16" s="432" t="s">
        <v>720</v>
      </c>
    </row>
    <row r="17" spans="2:11">
      <c r="B17" s="559" t="s">
        <v>34</v>
      </c>
      <c r="C17" s="560">
        <f>(C16/'[2]3 Statement Model'!$H$24)-1</f>
        <v>9.5503903537332846E-2</v>
      </c>
      <c r="D17" s="561">
        <f t="shared" ref="D17" si="9">SUM(D16/C16)-1</f>
        <v>5.5596987098217587E-2</v>
      </c>
      <c r="E17" s="561">
        <f>D17</f>
        <v>5.5596987098217587E-2</v>
      </c>
      <c r="F17" s="561">
        <f t="shared" ref="F17" si="10">SUM(F16/E16)-1</f>
        <v>4.9063074004283447E-2</v>
      </c>
      <c r="G17" s="561">
        <f t="shared" ref="G17:H17" si="11">SUM(G16/F16)-1</f>
        <v>4.996941135979438E-2</v>
      </c>
      <c r="H17" s="561">
        <f t="shared" si="11"/>
        <v>5.0883619125029478E-2</v>
      </c>
      <c r="J17" s="562"/>
    </row>
    <row r="18" spans="2:11">
      <c r="B18" s="432" t="s">
        <v>724</v>
      </c>
      <c r="C18" s="156">
        <v>445329</v>
      </c>
      <c r="D18" s="156">
        <v>463919</v>
      </c>
      <c r="E18" s="156">
        <v>480019</v>
      </c>
      <c r="F18" s="156">
        <v>496364</v>
      </c>
      <c r="G18" s="156">
        <v>507732</v>
      </c>
      <c r="H18" s="153">
        <f>SUM(G18*H19)+G18</f>
        <v>519360.3561579808</v>
      </c>
      <c r="J18" s="563">
        <f t="shared" ref="J18" si="12">((H18/C18)^(1/COUNT(C18:H18))-1)</f>
        <v>2.5962065164502945E-2</v>
      </c>
      <c r="K18" s="432" t="s">
        <v>722</v>
      </c>
    </row>
    <row r="19" spans="2:11">
      <c r="B19" s="559" t="s">
        <v>34</v>
      </c>
      <c r="C19" s="560">
        <f>(C18/'[2]3 Statement Model'!$H$24)-1</f>
        <v>7.0088259111257489E-2</v>
      </c>
      <c r="D19" s="561">
        <f t="shared" ref="D19" si="13">SUM(D18/C18)-1</f>
        <v>4.1744418171733688E-2</v>
      </c>
      <c r="E19" s="561">
        <f t="shared" ref="E19" si="14">SUM(E18/D18)-1</f>
        <v>3.4704334161782535E-2</v>
      </c>
      <c r="F19" s="561">
        <f t="shared" ref="F19:G19" si="15">SUM(F18/E18)-1</f>
        <v>3.4050735491720108E-2</v>
      </c>
      <c r="G19" s="561">
        <f t="shared" si="15"/>
        <v>2.2902547324141098E-2</v>
      </c>
      <c r="H19" s="561">
        <f>G19</f>
        <v>2.2902547324141098E-2</v>
      </c>
      <c r="J19" s="562"/>
    </row>
    <row r="20" spans="2:11">
      <c r="B20" s="432" t="s">
        <v>725</v>
      </c>
      <c r="C20" s="156">
        <v>450753</v>
      </c>
      <c r="D20" s="156">
        <v>460785</v>
      </c>
      <c r="E20" s="156">
        <v>474601</v>
      </c>
      <c r="F20" s="153">
        <f>SUM(E20*F21)+E20</f>
        <v>488831.25362370739</v>
      </c>
      <c r="G20" s="153">
        <f>SUM(F20*G21)+F20</f>
        <v>503488.1816922538</v>
      </c>
      <c r="H20" s="153">
        <f>SUM(G20*H21)+G20</f>
        <v>518584.57744788862</v>
      </c>
      <c r="J20" s="563">
        <f t="shared" ref="J20" si="16">((H20/C20)^(1/COUNT(C20:H20))-1)</f>
        <v>2.3639010887603451E-2</v>
      </c>
      <c r="K20" s="432" t="s">
        <v>720</v>
      </c>
    </row>
    <row r="21" spans="2:11">
      <c r="B21" s="559" t="s">
        <v>34</v>
      </c>
      <c r="C21" s="560">
        <f>(C20/'[2]3 Statement Model'!$H$24)-1</f>
        <v>8.312167646655988E-2</v>
      </c>
      <c r="D21" s="561">
        <f t="shared" ref="D21:E21" si="17">SUM(D20/C20)-1</f>
        <v>2.2256091473600748E-2</v>
      </c>
      <c r="E21" s="561">
        <f t="shared" si="17"/>
        <v>2.9983614918020374E-2</v>
      </c>
      <c r="F21" s="561">
        <f t="shared" ref="F21:H23" si="18">E21</f>
        <v>2.9983614918020374E-2</v>
      </c>
      <c r="G21" s="561">
        <f t="shared" si="18"/>
        <v>2.9983614918020374E-2</v>
      </c>
      <c r="H21" s="561">
        <f t="shared" si="18"/>
        <v>2.9983614918020374E-2</v>
      </c>
      <c r="J21" s="562"/>
    </row>
    <row r="22" spans="2:11">
      <c r="B22" s="432" t="s">
        <v>703</v>
      </c>
      <c r="C22" s="153">
        <f>SUM(C52+C80+C108+C134+C160)</f>
        <v>458035</v>
      </c>
      <c r="D22" s="153">
        <f t="shared" ref="D22:H22" si="19">SUM(D52+D80+D108+D134+D160)</f>
        <v>486148</v>
      </c>
      <c r="E22" s="153">
        <f t="shared" si="19"/>
        <v>503912</v>
      </c>
      <c r="F22" s="153">
        <f t="shared" si="19"/>
        <v>523163.17692783417</v>
      </c>
      <c r="G22" s="153">
        <f t="shared" si="19"/>
        <v>544019.24051409354</v>
      </c>
      <c r="H22" s="153">
        <f t="shared" si="19"/>
        <v>566609.52229621459</v>
      </c>
      <c r="J22" s="563">
        <f t="shared" ref="J22:J24" si="20">((H22/C22)^(1/COUNT(C22:H22))-1)</f>
        <v>3.6090123807651864E-2</v>
      </c>
      <c r="K22" s="432" t="s">
        <v>722</v>
      </c>
    </row>
    <row r="23" spans="2:11">
      <c r="B23" s="559" t="s">
        <v>34</v>
      </c>
      <c r="C23" s="560">
        <f>(C22/'[2]3 Statement Model'!$H$24)-1</f>
        <v>0.10061971208258336</v>
      </c>
      <c r="D23" s="561">
        <f t="shared" ref="D23" si="21">SUM(D22/C22)-1</f>
        <v>6.1377405656772854E-2</v>
      </c>
      <c r="E23" s="561">
        <f t="shared" ref="E23" si="22">SUM(E22/D22)-1</f>
        <v>3.6540312826546684E-2</v>
      </c>
      <c r="F23" s="561">
        <f t="shared" ref="F23:G23" si="23">E23</f>
        <v>3.6540312826546684E-2</v>
      </c>
      <c r="G23" s="561">
        <f t="shared" si="23"/>
        <v>3.6540312826546684E-2</v>
      </c>
      <c r="H23" s="561">
        <f t="shared" si="18"/>
        <v>3.6540312826546684E-2</v>
      </c>
      <c r="J23" s="562"/>
    </row>
    <row r="24" spans="2:11">
      <c r="B24" s="432" t="s">
        <v>700</v>
      </c>
      <c r="C24" s="156">
        <v>453748</v>
      </c>
      <c r="D24" s="156">
        <v>486533</v>
      </c>
      <c r="E24" s="156">
        <v>515863</v>
      </c>
      <c r="F24" s="153">
        <f t="shared" ref="F24:H24" si="24">SUM(E24*F25)+E24</f>
        <v>546961.12035360397</v>
      </c>
      <c r="G24" s="153">
        <f t="shared" si="24"/>
        <v>579933.94986356772</v>
      </c>
      <c r="H24" s="153">
        <f t="shared" si="24"/>
        <v>614894.50289799378</v>
      </c>
      <c r="J24" s="563">
        <f t="shared" si="20"/>
        <v>5.1956176230369744E-2</v>
      </c>
      <c r="K24" s="432" t="s">
        <v>722</v>
      </c>
    </row>
    <row r="25" spans="2:11">
      <c r="B25" s="559" t="s">
        <v>34</v>
      </c>
      <c r="C25" s="560">
        <f>(C24/'[2]3 Statement Model'!$H$24)-1</f>
        <v>9.0318410422889128E-2</v>
      </c>
      <c r="D25" s="561">
        <f t="shared" ref="D25:E25" si="25">SUM(D24/C24)-1</f>
        <v>7.2253762000052957E-2</v>
      </c>
      <c r="E25" s="561">
        <f t="shared" si="25"/>
        <v>6.028368065475509E-2</v>
      </c>
      <c r="F25" s="561">
        <f t="shared" ref="F25:H25" si="26">E25</f>
        <v>6.028368065475509E-2</v>
      </c>
      <c r="G25" s="561">
        <f t="shared" si="26"/>
        <v>6.028368065475509E-2</v>
      </c>
      <c r="H25" s="561">
        <f t="shared" si="26"/>
        <v>6.028368065475509E-2</v>
      </c>
      <c r="J25" s="562"/>
    </row>
    <row r="26" spans="2:11">
      <c r="B26" s="432" t="s">
        <v>702</v>
      </c>
      <c r="C26" s="156">
        <v>448175</v>
      </c>
      <c r="D26" s="156">
        <v>478247</v>
      </c>
      <c r="E26" s="156">
        <v>521434</v>
      </c>
      <c r="F26" s="156">
        <v>553006</v>
      </c>
      <c r="G26" s="156">
        <v>576977</v>
      </c>
      <c r="H26" s="156">
        <v>604836</v>
      </c>
      <c r="J26" s="563">
        <f t="shared" ref="J26" si="27">((H26/C26)^(1/COUNT(C26:H26))-1)</f>
        <v>5.1231423163119683E-2</v>
      </c>
      <c r="K26" s="432" t="s">
        <v>720</v>
      </c>
    </row>
    <row r="27" spans="2:11">
      <c r="B27" s="559" t="s">
        <v>34</v>
      </c>
      <c r="C27" s="560">
        <f>(C26/'[2]3 Statement Model'!$H$24)-1</f>
        <v>7.6926958556904568E-2</v>
      </c>
      <c r="D27" s="561">
        <f t="shared" ref="D27" si="28">SUM(D26/C26)-1</f>
        <v>6.7098789535337655E-2</v>
      </c>
      <c r="E27" s="561">
        <f t="shared" ref="E27" si="29">SUM(E26/D26)-1</f>
        <v>9.0302709687671845E-2</v>
      </c>
      <c r="F27" s="561">
        <f t="shared" ref="F27:H27" si="30">SUM(F26/E26)-1</f>
        <v>6.0548410728874513E-2</v>
      </c>
      <c r="G27" s="561">
        <f t="shared" si="30"/>
        <v>4.334672679862428E-2</v>
      </c>
      <c r="H27" s="561">
        <f t="shared" si="30"/>
        <v>4.8284420349511414E-2</v>
      </c>
      <c r="J27" s="562"/>
    </row>
    <row r="28" spans="2:11">
      <c r="B28" s="432" t="s">
        <v>726</v>
      </c>
      <c r="C28" s="153">
        <f t="shared" ref="C28:H28" si="31">+C56+C84+C112+C138+C164</f>
        <v>459691</v>
      </c>
      <c r="D28" s="153">
        <f t="shared" si="31"/>
        <v>499259</v>
      </c>
      <c r="E28" s="153">
        <f t="shared" si="31"/>
        <v>527152</v>
      </c>
      <c r="F28" s="153">
        <f t="shared" si="31"/>
        <v>556979.06228599534</v>
      </c>
      <c r="G28" s="153">
        <f t="shared" si="31"/>
        <v>588899.33207443892</v>
      </c>
      <c r="H28" s="153">
        <f t="shared" si="31"/>
        <v>623086.45883822907</v>
      </c>
      <c r="J28" s="563">
        <f t="shared" ref="J28" si="32">((H28/C28)^(1/COUNT(C28:H28))-1)</f>
        <v>5.1995104154556993E-2</v>
      </c>
      <c r="K28" s="432" t="s">
        <v>720</v>
      </c>
    </row>
    <row r="29" spans="2:11">
      <c r="B29" s="559" t="s">
        <v>34</v>
      </c>
      <c r="C29" s="560">
        <f>(C28/'[2]3 Statement Model'!$H$24)-1</f>
        <v>0.10459894127513159</v>
      </c>
      <c r="D29" s="561">
        <f t="shared" ref="D29" si="33">SUM(D28/C28)-1</f>
        <v>8.607521139200025E-2</v>
      </c>
      <c r="E29" s="561">
        <f t="shared" ref="E29" si="34">SUM(E28/D28)-1</f>
        <v>5.586879755798102E-2</v>
      </c>
      <c r="F29" s="561">
        <f t="shared" ref="F29:H29" si="35">SUM(F28/E28)-1</f>
        <v>5.6581521621838382E-2</v>
      </c>
      <c r="G29" s="561">
        <f t="shared" si="35"/>
        <v>5.7309640433222064E-2</v>
      </c>
      <c r="H29" s="561">
        <f t="shared" si="35"/>
        <v>5.805258199795138E-2</v>
      </c>
      <c r="J29" s="562"/>
    </row>
    <row r="30" spans="2:11">
      <c r="B30" s="432" t="s">
        <v>727</v>
      </c>
      <c r="C30" s="153">
        <f t="shared" ref="C30:H30" si="36">+C58+C86+C114+C140+C166</f>
        <v>454032.78</v>
      </c>
      <c r="D30" s="153">
        <f t="shared" si="36"/>
        <v>484448.74</v>
      </c>
      <c r="E30" s="153">
        <f t="shared" si="36"/>
        <v>517396.72280708834</v>
      </c>
      <c r="F30" s="153">
        <f t="shared" si="36"/>
        <v>553102.71345633327</v>
      </c>
      <c r="G30" s="153">
        <f t="shared" si="36"/>
        <v>591814.78067136079</v>
      </c>
      <c r="H30" s="153">
        <f t="shared" si="36"/>
        <v>633805.35397004639</v>
      </c>
      <c r="J30" s="563">
        <f t="shared" ref="J30:J39" si="37">((H30/C30)^(1/COUNT(C30:H30))-1)</f>
        <v>5.7169883279695854E-2</v>
      </c>
      <c r="K30" s="432" t="s">
        <v>720</v>
      </c>
    </row>
    <row r="31" spans="2:11">
      <c r="B31" s="559" t="s">
        <v>34</v>
      </c>
      <c r="C31" s="560">
        <f>(C30/'[2]3 Statement Model'!$H$24)-1</f>
        <v>9.1002712892366278E-2</v>
      </c>
      <c r="D31" s="561">
        <f t="shared" ref="D31" si="38">SUM(D30/C30)-1</f>
        <v>6.6990669704508843E-2</v>
      </c>
      <c r="E31" s="561">
        <f t="shared" ref="E31" si="39">SUM(E30/D30)-1</f>
        <v>6.8011288061329944E-2</v>
      </c>
      <c r="F31" s="561">
        <f t="shared" ref="F31:H31" si="40">SUM(F30/E30)-1</f>
        <v>6.9010855839065632E-2</v>
      </c>
      <c r="G31" s="561">
        <f t="shared" si="40"/>
        <v>6.9990738199630531E-2</v>
      </c>
      <c r="H31" s="561">
        <f t="shared" si="40"/>
        <v>7.0952221320074171E-2</v>
      </c>
      <c r="J31" s="564"/>
    </row>
    <row r="32" spans="2:11" ht="5.0999999999999996" customHeight="1"/>
    <row r="33" spans="1:11">
      <c r="B33" s="565" t="s">
        <v>336</v>
      </c>
      <c r="C33" s="566">
        <f>MAX(C$12,C$14,C$16,C$18,C$20,C$24,C$26,C$28,C$30,C$22)</f>
        <v>460042</v>
      </c>
      <c r="D33" s="566">
        <f t="shared" ref="D33:H33" si="41">MAX(D$12,D$14,D$16,D$18,D$20,D$24,D$26,D$28,D$30,D$22)</f>
        <v>524298</v>
      </c>
      <c r="E33" s="566">
        <f t="shared" si="41"/>
        <v>556689</v>
      </c>
      <c r="F33" s="566">
        <f t="shared" si="41"/>
        <v>592415.3307552404</v>
      </c>
      <c r="G33" s="566">
        <f t="shared" si="41"/>
        <v>631871.74256466061</v>
      </c>
      <c r="H33" s="566">
        <f t="shared" si="41"/>
        <v>675501.7717197215</v>
      </c>
      <c r="I33" s="567"/>
      <c r="J33" s="568">
        <f t="shared" si="37"/>
        <v>6.6116917491473304E-2</v>
      </c>
    </row>
    <row r="34" spans="1:11">
      <c r="B34" s="569" t="s">
        <v>34</v>
      </c>
      <c r="C34" s="570">
        <f>(C33/'[2]3 Statement Model'!$H$24)-1</f>
        <v>0.10544236485398684</v>
      </c>
      <c r="D34" s="571">
        <f t="shared" ref="D34:H34" si="42">SUM(D33/C33)-1</f>
        <v>0.13967420365966587</v>
      </c>
      <c r="E34" s="571">
        <f t="shared" si="42"/>
        <v>6.1779751210189637E-2</v>
      </c>
      <c r="F34" s="571">
        <f t="shared" si="42"/>
        <v>6.4176462540557422E-2</v>
      </c>
      <c r="G34" s="571">
        <f t="shared" si="42"/>
        <v>6.6602617726180702E-2</v>
      </c>
      <c r="H34" s="571">
        <f t="shared" si="42"/>
        <v>6.9048868965043475E-2</v>
      </c>
      <c r="I34" s="572"/>
      <c r="J34" s="573"/>
    </row>
    <row r="35" spans="1:11">
      <c r="B35" s="574" t="s">
        <v>707</v>
      </c>
      <c r="C35" s="575">
        <f>MEDIAN(C$12,C$14,C$16,C$18,C$20,C$24,C$26,C$28,C$30,C$22)</f>
        <v>454645.39</v>
      </c>
      <c r="D35" s="575">
        <f t="shared" ref="D35:H35" si="43">MEDIAN(D$12,D$14,D$16,D$18,D$20,D$24,D$26,D$28,D$30,D$22)</f>
        <v>485298.37</v>
      </c>
      <c r="E35" s="575">
        <f t="shared" si="43"/>
        <v>516629.8614035442</v>
      </c>
      <c r="F35" s="575">
        <f t="shared" si="43"/>
        <v>543852.64438429172</v>
      </c>
      <c r="G35" s="575">
        <f t="shared" si="43"/>
        <v>570684.37207102613</v>
      </c>
      <c r="H35" s="575">
        <f t="shared" si="43"/>
        <v>597953.41476707137</v>
      </c>
      <c r="I35" s="572"/>
      <c r="J35" s="573">
        <f t="shared" si="37"/>
        <v>4.6724588922807175E-2</v>
      </c>
    </row>
    <row r="36" spans="1:11">
      <c r="B36" s="569" t="s">
        <v>34</v>
      </c>
      <c r="C36" s="570">
        <f>(C35/'[2]3 Statement Model'!$H$24)-1</f>
        <v>9.2474763372829338E-2</v>
      </c>
      <c r="D36" s="571">
        <f t="shared" ref="D36" si="44">SUM(D35/C35)-1</f>
        <v>6.7421732792671607E-2</v>
      </c>
      <c r="E36" s="571">
        <f t="shared" ref="E36" si="45">SUM(E35/D35)-1</f>
        <v>6.4561295360510362E-2</v>
      </c>
      <c r="F36" s="571">
        <f t="shared" ref="F36:H36" si="46">SUM(F35/E35)-1</f>
        <v>5.2693011021063718E-2</v>
      </c>
      <c r="G36" s="571">
        <f t="shared" si="46"/>
        <v>4.9336392796455408E-2</v>
      </c>
      <c r="H36" s="571">
        <f t="shared" si="46"/>
        <v>4.7783054925939705E-2</v>
      </c>
      <c r="I36" s="572"/>
      <c r="J36" s="573"/>
    </row>
    <row r="37" spans="1:11">
      <c r="B37" s="574" t="s">
        <v>706</v>
      </c>
      <c r="C37" s="575">
        <f>AVERAGE(C$12,C$14,C$16,C$18,C$20,C$24,C$26,C$28,C$30,C$22)</f>
        <v>454096.978</v>
      </c>
      <c r="D37" s="575">
        <f t="shared" ref="D37:H37" si="47">AVERAGE(D$12,D$14,D$16,D$18,D$20,D$24,D$26,D$28,D$30,D$22)</f>
        <v>486621.97400000005</v>
      </c>
      <c r="E37" s="575">
        <f t="shared" si="47"/>
        <v>512131.57228070882</v>
      </c>
      <c r="F37" s="575">
        <f t="shared" si="47"/>
        <v>538074.88594268961</v>
      </c>
      <c r="G37" s="575">
        <f t="shared" si="47"/>
        <v>564475.2919853261</v>
      </c>
      <c r="H37" s="575">
        <f t="shared" si="47"/>
        <v>593164.65294402814</v>
      </c>
      <c r="I37" s="572"/>
      <c r="J37" s="573">
        <f t="shared" si="37"/>
        <v>4.5533072986469358E-2</v>
      </c>
    </row>
    <row r="38" spans="1:11">
      <c r="B38" s="569" t="s">
        <v>34</v>
      </c>
      <c r="C38" s="570">
        <f>(C37/'[2]3 Statement Model'!$H$24)-1</f>
        <v>9.115697530523037E-2</v>
      </c>
      <c r="D38" s="571">
        <f t="shared" ref="D38" si="48">SUM(D37/C37)-1</f>
        <v>7.1625660543374048E-2</v>
      </c>
      <c r="E38" s="571">
        <f t="shared" ref="E38" si="49">SUM(E37/D37)-1</f>
        <v>5.2421796884800642E-2</v>
      </c>
      <c r="F38" s="571">
        <f t="shared" ref="F38:H38" si="50">SUM(F37/E37)-1</f>
        <v>5.0657516673783265E-2</v>
      </c>
      <c r="G38" s="571">
        <f t="shared" si="50"/>
        <v>4.9064557243521767E-2</v>
      </c>
      <c r="H38" s="571">
        <f t="shared" si="50"/>
        <v>5.0824830362013129E-2</v>
      </c>
      <c r="I38" s="572"/>
      <c r="J38" s="573"/>
    </row>
    <row r="39" spans="1:11">
      <c r="B39" s="576" t="s">
        <v>334</v>
      </c>
      <c r="C39" s="577">
        <f>MIN(C$12,C$14,C$16,C$18,C$20,C$24,C$26,C$28,C$30,C$22)</f>
        <v>445329</v>
      </c>
      <c r="D39" s="577">
        <f t="shared" ref="D39:H39" si="51">MIN(D$12,D$14,D$16,D$18,D$20,D$24,D$26,D$28,D$30,D$22)</f>
        <v>460785</v>
      </c>
      <c r="E39" s="577">
        <f t="shared" si="51"/>
        <v>474601</v>
      </c>
      <c r="F39" s="577">
        <f t="shared" si="51"/>
        <v>488831.25362370739</v>
      </c>
      <c r="G39" s="577">
        <f t="shared" si="51"/>
        <v>503488.1816922538</v>
      </c>
      <c r="H39" s="577">
        <f t="shared" si="51"/>
        <v>518584.57744788862</v>
      </c>
      <c r="I39" s="572"/>
      <c r="J39" s="573">
        <f t="shared" si="37"/>
        <v>2.5706489455642245E-2</v>
      </c>
    </row>
    <row r="40" spans="1:11">
      <c r="B40" s="578" t="s">
        <v>34</v>
      </c>
      <c r="C40" s="579">
        <f>(C39/'[2]3 Statement Model'!$H$24)-1</f>
        <v>7.0088259111257489E-2</v>
      </c>
      <c r="D40" s="580">
        <f t="shared" ref="D40" si="52">SUM(D39/C39)-1</f>
        <v>3.4706924543427498E-2</v>
      </c>
      <c r="E40" s="580">
        <f t="shared" ref="E40" si="53">SUM(E39/D39)-1</f>
        <v>2.9983614918020374E-2</v>
      </c>
      <c r="F40" s="580">
        <f t="shared" ref="F40:H40" si="54">SUM(F39/E39)-1</f>
        <v>2.9983614918020374E-2</v>
      </c>
      <c r="G40" s="580">
        <f t="shared" si="54"/>
        <v>2.9983614918020374E-2</v>
      </c>
      <c r="H40" s="580">
        <f t="shared" si="54"/>
        <v>2.9983614918020374E-2</v>
      </c>
      <c r="I40" s="581"/>
      <c r="J40" s="582"/>
    </row>
    <row r="42" spans="1:11">
      <c r="A42" s="557" t="s">
        <v>19</v>
      </c>
      <c r="B42" s="149" t="s">
        <v>311</v>
      </c>
      <c r="C42" s="147" t="s">
        <v>370</v>
      </c>
      <c r="D42" s="147"/>
      <c r="E42" s="147"/>
      <c r="F42" s="147"/>
      <c r="G42" s="147"/>
      <c r="H42" s="147"/>
      <c r="I42" s="148"/>
      <c r="J42" s="2" t="s">
        <v>369</v>
      </c>
    </row>
    <row r="43" spans="1:11">
      <c r="B43" s="150" t="s">
        <v>342</v>
      </c>
      <c r="C43" s="154" t="str">
        <f t="shared" ref="C43:H43" si="55">C$9</f>
        <v>2026E</v>
      </c>
      <c r="D43" s="154" t="str">
        <f t="shared" si="55"/>
        <v>2027E</v>
      </c>
      <c r="E43" s="154" t="str">
        <f t="shared" si="55"/>
        <v>2028E</v>
      </c>
      <c r="F43" s="154" t="str">
        <f t="shared" si="55"/>
        <v>2029E</v>
      </c>
      <c r="G43" s="154" t="str">
        <f t="shared" si="55"/>
        <v>2030E</v>
      </c>
      <c r="H43" s="154" t="str">
        <f t="shared" si="55"/>
        <v>2031E</v>
      </c>
      <c r="I43" s="148"/>
      <c r="J43" s="315" t="str">
        <f>$J$9</f>
        <v>6-Year(F)</v>
      </c>
    </row>
    <row r="44" spans="1:11">
      <c r="B44" s="150" t="s">
        <v>718</v>
      </c>
      <c r="C44" s="148">
        <f t="shared" ref="C44:H44" si="56">C$10</f>
        <v>46295</v>
      </c>
      <c r="D44" s="148">
        <f t="shared" si="56"/>
        <v>46660</v>
      </c>
      <c r="E44" s="148">
        <f t="shared" si="56"/>
        <v>47026</v>
      </c>
      <c r="F44" s="148">
        <f t="shared" si="56"/>
        <v>47391</v>
      </c>
      <c r="G44" s="148">
        <f t="shared" si="56"/>
        <v>47756</v>
      </c>
      <c r="H44" s="148">
        <f t="shared" si="56"/>
        <v>48121</v>
      </c>
      <c r="I44" s="148"/>
      <c r="J44" s="3">
        <f>$H$44</f>
        <v>48121</v>
      </c>
    </row>
    <row r="45" spans="1:11" ht="5.0999999999999996" customHeight="1">
      <c r="B45" s="473"/>
    </row>
    <row r="46" spans="1:11">
      <c r="B46" s="432" t="s">
        <v>719</v>
      </c>
      <c r="C46" s="156">
        <v>234642</v>
      </c>
      <c r="D46" s="156">
        <v>268938</v>
      </c>
      <c r="E46" s="156">
        <v>273110</v>
      </c>
      <c r="F46" s="153">
        <f t="shared" ref="F46" si="57">SUM(E46*F47)+E46</f>
        <v>277346.71969004004</v>
      </c>
      <c r="G46" s="153">
        <f t="shared" ref="G46" si="58">SUM(F46*G47)+F46</f>
        <v>281649.16305820236</v>
      </c>
      <c r="H46" s="153">
        <f t="shared" ref="H46" si="59">SUM(G46*H47)+G46</f>
        <v>286018.34966730489</v>
      </c>
      <c r="J46" s="558">
        <f t="shared" ref="J46" si="60">((H46/C46)^(1/COUNT(C46:H46))-1)</f>
        <v>3.354968141346526E-2</v>
      </c>
      <c r="K46" s="432" t="s">
        <v>720</v>
      </c>
    </row>
    <row r="47" spans="1:11">
      <c r="B47" s="559" t="s">
        <v>34</v>
      </c>
      <c r="C47" s="560">
        <f>(C46/'[2]3 Statement Model'!$H$19)-1</f>
        <v>0.1195499699407403</v>
      </c>
      <c r="D47" s="561">
        <f t="shared" ref="D47" si="61">SUM(D46/C46)-1</f>
        <v>0.14616309100672509</v>
      </c>
      <c r="E47" s="561">
        <f t="shared" ref="E47" si="62">SUM(E46/D46)-1</f>
        <v>1.5512869137124463E-2</v>
      </c>
      <c r="F47" s="561">
        <f>E47</f>
        <v>1.5512869137124463E-2</v>
      </c>
      <c r="G47" s="561">
        <f t="shared" ref="G47:H47" si="63">F47</f>
        <v>1.5512869137124463E-2</v>
      </c>
      <c r="H47" s="561">
        <f t="shared" si="63"/>
        <v>1.5512869137124463E-2</v>
      </c>
      <c r="J47" s="562"/>
    </row>
    <row r="48" spans="1:11">
      <c r="B48" s="432" t="s">
        <v>721</v>
      </c>
      <c r="C48" s="156">
        <v>229145</v>
      </c>
      <c r="D48" s="156">
        <v>254151</v>
      </c>
      <c r="E48" s="156">
        <v>250388</v>
      </c>
      <c r="F48" s="153">
        <f t="shared" ref="F48" si="64">SUM(E48*F49)+E48</f>
        <v>246680.71557459934</v>
      </c>
      <c r="G48" s="153">
        <f t="shared" ref="G48:H48" si="65">SUM(F48*G49)+F48</f>
        <v>243028.32179016716</v>
      </c>
      <c r="H48" s="153">
        <f t="shared" si="65"/>
        <v>239430.00592717074</v>
      </c>
      <c r="J48" s="563">
        <f t="shared" ref="J48:J52" si="66">((H48/C48)^(1/COUNT(C48:H48))-1)</f>
        <v>7.344528439598097E-3</v>
      </c>
      <c r="K48" s="432" t="s">
        <v>722</v>
      </c>
    </row>
    <row r="49" spans="2:11">
      <c r="B49" s="559" t="s">
        <v>34</v>
      </c>
      <c r="C49" s="560">
        <f>(C48/'[2]3 Statement Model'!$H$19)-1</f>
        <v>9.332207303922968E-2</v>
      </c>
      <c r="D49" s="561">
        <f t="shared" ref="D49" si="67">SUM(D48/C48)-1</f>
        <v>0.1091274084095224</v>
      </c>
      <c r="E49" s="561">
        <f t="shared" ref="E49" si="68">SUM(E48/D48)-1</f>
        <v>-1.4806158543543058E-2</v>
      </c>
      <c r="F49" s="561">
        <f>E49</f>
        <v>-1.4806158543543058E-2</v>
      </c>
      <c r="G49" s="561">
        <f>F49</f>
        <v>-1.4806158543543058E-2</v>
      </c>
      <c r="H49" s="561">
        <f>G49</f>
        <v>-1.4806158543543058E-2</v>
      </c>
      <c r="J49" s="562"/>
    </row>
    <row r="50" spans="2:11">
      <c r="B50" s="432" t="s">
        <v>702</v>
      </c>
      <c r="C50" s="153">
        <f t="shared" ref="C50:H50" si="69">(C414*C438)/1000</f>
        <v>230085.13</v>
      </c>
      <c r="D50" s="153">
        <f t="shared" si="69"/>
        <v>242871.65</v>
      </c>
      <c r="E50" s="153">
        <f t="shared" si="69"/>
        <v>262342.81</v>
      </c>
      <c r="F50" s="153">
        <f t="shared" si="69"/>
        <v>272596.24</v>
      </c>
      <c r="G50" s="153">
        <f t="shared" si="69"/>
        <v>274253.36</v>
      </c>
      <c r="H50" s="153">
        <f t="shared" si="69"/>
        <v>281088.98</v>
      </c>
      <c r="J50" s="563">
        <f t="shared" si="66"/>
        <v>3.3933351648811838E-2</v>
      </c>
      <c r="K50" s="432" t="s">
        <v>722</v>
      </c>
    </row>
    <row r="51" spans="2:11">
      <c r="B51" s="559" t="s">
        <v>34</v>
      </c>
      <c r="C51" s="560">
        <f>(C50/'[2]3 Statement Model'!$H$19)-1</f>
        <v>9.7807725706869686E-2</v>
      </c>
      <c r="D51" s="561">
        <f t="shared" ref="D51" si="70">SUM(D50/C50)-1</f>
        <v>5.5572995960234239E-2</v>
      </c>
      <c r="E51" s="561">
        <f t="shared" ref="E51" si="71">SUM(E50/D50)-1</f>
        <v>8.0170575692963819E-2</v>
      </c>
      <c r="F51" s="561">
        <f t="shared" ref="F51:H51" si="72">SUM(F50/E50)-1</f>
        <v>3.9084090011843653E-2</v>
      </c>
      <c r="G51" s="561">
        <f t="shared" si="72"/>
        <v>6.0790273556230456E-3</v>
      </c>
      <c r="H51" s="561">
        <f t="shared" si="72"/>
        <v>2.4924471299093698E-2</v>
      </c>
      <c r="J51" s="562"/>
    </row>
    <row r="52" spans="2:11">
      <c r="B52" s="432" t="s">
        <v>703</v>
      </c>
      <c r="C52" s="153">
        <f>(C408*C434)/1000</f>
        <v>234981</v>
      </c>
      <c r="D52" s="153">
        <f t="shared" ref="D52:H52" si="73">(D408*D434)/1000</f>
        <v>249984</v>
      </c>
      <c r="E52" s="153">
        <f t="shared" si="73"/>
        <v>255750</v>
      </c>
      <c r="F52" s="153">
        <f t="shared" si="73"/>
        <v>261648.99553571429</v>
      </c>
      <c r="G52" s="153">
        <f t="shared" si="73"/>
        <v>267684.05421250529</v>
      </c>
      <c r="H52" s="153">
        <f t="shared" si="73"/>
        <v>273858.314391514</v>
      </c>
      <c r="J52" s="563">
        <f t="shared" si="66"/>
        <v>2.584606564920966E-2</v>
      </c>
      <c r="K52" s="432" t="s">
        <v>722</v>
      </c>
    </row>
    <row r="53" spans="2:11">
      <c r="B53" s="559" t="s">
        <v>34</v>
      </c>
      <c r="C53" s="560">
        <f>(C52/'[2]3 Statement Model'!$H$19)-1</f>
        <v>0.12116744439036964</v>
      </c>
      <c r="D53" s="561">
        <f t="shared" ref="D53" si="74">SUM(D52/C52)-1</f>
        <v>6.3847715347198353E-2</v>
      </c>
      <c r="E53" s="561">
        <f t="shared" ref="E53" si="75">SUM(E52/D52)-1</f>
        <v>2.3065476190476275E-2</v>
      </c>
      <c r="F53" s="561">
        <f t="shared" ref="F53:H53" si="76">SUM(F52/E52)-1</f>
        <v>2.3065476190476275E-2</v>
      </c>
      <c r="G53" s="561">
        <f t="shared" si="76"/>
        <v>2.3065476190476053E-2</v>
      </c>
      <c r="H53" s="561">
        <f t="shared" si="76"/>
        <v>2.3065476190476275E-2</v>
      </c>
      <c r="J53" s="562"/>
    </row>
    <row r="54" spans="2:11">
      <c r="B54" s="432" t="s">
        <v>723</v>
      </c>
      <c r="C54" s="153">
        <f t="shared" ref="C54:H54" si="77">(C410*C432)/1000</f>
        <v>216000</v>
      </c>
      <c r="D54" s="153">
        <f t="shared" si="77"/>
        <v>225000</v>
      </c>
      <c r="E54" s="153">
        <f t="shared" si="77"/>
        <v>229500</v>
      </c>
      <c r="F54" s="153">
        <f t="shared" si="77"/>
        <v>234090</v>
      </c>
      <c r="G54" s="153">
        <f t="shared" si="77"/>
        <v>238771.8</v>
      </c>
      <c r="H54" s="153">
        <f t="shared" si="77"/>
        <v>243547.23599999998</v>
      </c>
      <c r="J54" s="563">
        <f t="shared" ref="J54" si="78">((H54/C54)^(1/COUNT(C54:H54))-1)</f>
        <v>2.0206866762287445E-2</v>
      </c>
      <c r="K54" s="432" t="s">
        <v>720</v>
      </c>
    </row>
    <row r="55" spans="2:11">
      <c r="B55" s="559" t="s">
        <v>34</v>
      </c>
      <c r="C55" s="560">
        <f>(C54/'[2]3 Statement Model'!$H$19)-1</f>
        <v>3.0603189144313037E-2</v>
      </c>
      <c r="D55" s="561">
        <f t="shared" ref="D55" si="79">SUM(D54/C54)-1</f>
        <v>4.1666666666666741E-2</v>
      </c>
      <c r="E55" s="561">
        <f>D55</f>
        <v>4.1666666666666741E-2</v>
      </c>
      <c r="F55" s="561">
        <f t="shared" ref="F55:H55" si="80">E55</f>
        <v>4.1666666666666741E-2</v>
      </c>
      <c r="G55" s="561">
        <f t="shared" si="80"/>
        <v>4.1666666666666741E-2</v>
      </c>
      <c r="H55" s="561">
        <f t="shared" si="80"/>
        <v>4.1666666666666741E-2</v>
      </c>
      <c r="J55" s="562"/>
    </row>
    <row r="56" spans="2:11">
      <c r="B56" s="432" t="s">
        <v>726</v>
      </c>
      <c r="C56" s="156">
        <v>237006</v>
      </c>
      <c r="D56" s="156">
        <v>258336</v>
      </c>
      <c r="E56" s="156">
        <v>268779</v>
      </c>
      <c r="F56" s="153">
        <f t="shared" ref="F56:H56" si="81">SUM(E56*F57)+E56</f>
        <v>279644.14886426978</v>
      </c>
      <c r="G56" s="153">
        <f t="shared" si="81"/>
        <v>290948.51158022718</v>
      </c>
      <c r="H56" s="153">
        <f t="shared" si="81"/>
        <v>302709.84297202819</v>
      </c>
      <c r="J56" s="563">
        <f t="shared" ref="J56:J58" si="82">((H56/C56)^(1/COUNT(C56:H56))-1)</f>
        <v>4.1624533553263454E-2</v>
      </c>
      <c r="K56" s="432" t="s">
        <v>720</v>
      </c>
    </row>
    <row r="57" spans="2:11">
      <c r="B57" s="559" t="s">
        <v>34</v>
      </c>
      <c r="C57" s="560">
        <f>(C56/'[2]3 Statement Model'!$H$19)-1</f>
        <v>0.13082934928859746</v>
      </c>
      <c r="D57" s="561">
        <f t="shared" ref="D57:E57" si="83">SUM(D56/C56)-1</f>
        <v>8.9997721576668965E-2</v>
      </c>
      <c r="E57" s="561">
        <f t="shared" si="83"/>
        <v>4.0424098848011791E-2</v>
      </c>
      <c r="F57" s="561">
        <f t="shared" ref="F57:H57" si="84">E57</f>
        <v>4.0424098848011791E-2</v>
      </c>
      <c r="G57" s="561">
        <f t="shared" si="84"/>
        <v>4.0424098848011791E-2</v>
      </c>
      <c r="H57" s="561">
        <f t="shared" si="84"/>
        <v>4.0424098848011791E-2</v>
      </c>
      <c r="J57" s="562"/>
    </row>
    <row r="58" spans="2:11">
      <c r="B58" s="432" t="s">
        <v>727</v>
      </c>
      <c r="C58" s="153">
        <f t="shared" ref="C58:H58" si="85">(C412*C436)/1000</f>
        <v>229885.04</v>
      </c>
      <c r="D58" s="153">
        <f t="shared" si="85"/>
        <v>243016.48</v>
      </c>
      <c r="E58" s="153">
        <f t="shared" si="85"/>
        <v>256898.01107366712</v>
      </c>
      <c r="F58" s="153">
        <f t="shared" si="85"/>
        <v>271572.47974954615</v>
      </c>
      <c r="G58" s="153">
        <f t="shared" si="85"/>
        <v>287085.18002565973</v>
      </c>
      <c r="H58" s="153">
        <f t="shared" si="85"/>
        <v>303483.99317329284</v>
      </c>
      <c r="J58" s="563">
        <f t="shared" si="82"/>
        <v>4.7379766743536944E-2</v>
      </c>
      <c r="K58" s="432" t="s">
        <v>720</v>
      </c>
    </row>
    <row r="59" spans="2:11">
      <c r="B59" s="559" t="s">
        <v>34</v>
      </c>
      <c r="C59" s="560">
        <f>(C58/'[2]3 Statement Model'!$H$19)-1</f>
        <v>9.6853034076703537E-2</v>
      </c>
      <c r="D59" s="561">
        <f t="shared" ref="D59" si="86">SUM(D58/C58)-1</f>
        <v>5.7121768341254375E-2</v>
      </c>
      <c r="E59" s="561">
        <f>D59</f>
        <v>5.7121768341254375E-2</v>
      </c>
      <c r="F59" s="561">
        <f t="shared" ref="F59:H59" si="87">E59</f>
        <v>5.7121768341254375E-2</v>
      </c>
      <c r="G59" s="561">
        <f t="shared" si="87"/>
        <v>5.7121768341254375E-2</v>
      </c>
      <c r="H59" s="561">
        <f t="shared" si="87"/>
        <v>5.7121768341254375E-2</v>
      </c>
      <c r="J59" s="564"/>
    </row>
    <row r="60" spans="2:11" ht="5.0999999999999996" customHeight="1"/>
    <row r="61" spans="2:11">
      <c r="B61" s="565" t="s">
        <v>336</v>
      </c>
      <c r="C61" s="583">
        <f>MAX(C46,C48,C50,C54,C56,C58,C52)</f>
        <v>237006</v>
      </c>
      <c r="D61" s="566">
        <f t="shared" ref="D61:H61" si="88">MAX(D$46,D$48,D$50,D$54,D$56,D$58,D$52)</f>
        <v>268938</v>
      </c>
      <c r="E61" s="566">
        <f t="shared" si="88"/>
        <v>273110</v>
      </c>
      <c r="F61" s="566">
        <f t="shared" si="88"/>
        <v>279644.14886426978</v>
      </c>
      <c r="G61" s="566">
        <f t="shared" si="88"/>
        <v>290948.51158022718</v>
      </c>
      <c r="H61" s="566">
        <f t="shared" si="88"/>
        <v>303483.99317329284</v>
      </c>
      <c r="I61" s="567"/>
      <c r="J61" s="568">
        <f t="shared" ref="J61:J67" si="89">((H61/C61)^(1/COUNT(C61:H61))-1)</f>
        <v>4.2068036323810842E-2</v>
      </c>
    </row>
    <row r="62" spans="2:11">
      <c r="B62" s="569" t="s">
        <v>34</v>
      </c>
      <c r="C62" s="570">
        <f>(C61/'[2]3 Statement Model'!$H$19)-1</f>
        <v>0.13082934928859746</v>
      </c>
      <c r="D62" s="571">
        <f t="shared" ref="D62" si="90">SUM(D61/C61)-1</f>
        <v>0.1347307663097137</v>
      </c>
      <c r="E62" s="571">
        <f t="shared" ref="E62" si="91">SUM(E61/D61)-1</f>
        <v>1.5512869137124463E-2</v>
      </c>
      <c r="F62" s="571">
        <f t="shared" ref="F62:H62" si="92">SUM(F61/E61)-1</f>
        <v>2.3924971126175532E-2</v>
      </c>
      <c r="G62" s="571">
        <f t="shared" si="92"/>
        <v>4.0424098848011791E-2</v>
      </c>
      <c r="H62" s="571">
        <f t="shared" si="92"/>
        <v>4.3084879606297921E-2</v>
      </c>
      <c r="I62" s="572"/>
      <c r="J62" s="573"/>
    </row>
    <row r="63" spans="2:11">
      <c r="B63" s="574" t="s">
        <v>707</v>
      </c>
      <c r="C63" s="575">
        <f>MEDIAN(C$46,C$48,C$50,C$54,C$56,C$58,C$52)</f>
        <v>230085.13</v>
      </c>
      <c r="D63" s="575">
        <f t="shared" ref="D63:H63" si="93">MEDIAN(D$46,D$48,D$50,D$54,D$56,D$58,D$52)</f>
        <v>249984</v>
      </c>
      <c r="E63" s="575">
        <f t="shared" si="93"/>
        <v>256898.01107366712</v>
      </c>
      <c r="F63" s="575">
        <f t="shared" si="93"/>
        <v>271572.47974954615</v>
      </c>
      <c r="G63" s="575">
        <f t="shared" si="93"/>
        <v>274253.36</v>
      </c>
      <c r="H63" s="575">
        <f t="shared" si="93"/>
        <v>281088.98</v>
      </c>
      <c r="I63" s="572"/>
      <c r="J63" s="573">
        <f t="shared" si="89"/>
        <v>3.3933351648811838E-2</v>
      </c>
    </row>
    <row r="64" spans="2:11">
      <c r="B64" s="569" t="s">
        <v>34</v>
      </c>
      <c r="C64" s="570">
        <f>(C63/'[2]3 Statement Model'!$H$19)-1</f>
        <v>9.7807725706869686E-2</v>
      </c>
      <c r="D64" s="571">
        <f t="shared" ref="D64" si="94">SUM(D63/C63)-1</f>
        <v>8.6484815424621386E-2</v>
      </c>
      <c r="E64" s="571">
        <f t="shared" ref="E64" si="95">SUM(E63/D63)-1</f>
        <v>2.7657814394789648E-2</v>
      </c>
      <c r="F64" s="571">
        <f t="shared" ref="F64:H64" si="96">SUM(F63/E63)-1</f>
        <v>5.7121768341254375E-2</v>
      </c>
      <c r="G64" s="571">
        <f t="shared" si="96"/>
        <v>9.871693379705615E-3</v>
      </c>
      <c r="H64" s="571">
        <f t="shared" si="96"/>
        <v>2.4924471299093698E-2</v>
      </c>
      <c r="I64" s="572"/>
      <c r="J64" s="573"/>
    </row>
    <row r="65" spans="1:11">
      <c r="B65" s="574" t="s">
        <v>706</v>
      </c>
      <c r="C65" s="575">
        <f>AVERAGE(C$46,C$48,C$50,C$54,C$56,C$58,C$52)</f>
        <v>230249.16714285713</v>
      </c>
      <c r="D65" s="575">
        <f t="shared" ref="D65:H65" si="97">AVERAGE(D$46,D$48,D$50,D$54,D$56,D$58,D$52)</f>
        <v>248899.59</v>
      </c>
      <c r="E65" s="575">
        <f t="shared" si="97"/>
        <v>256681.11729623817</v>
      </c>
      <c r="F65" s="575">
        <f t="shared" si="97"/>
        <v>263368.47134488134</v>
      </c>
      <c r="G65" s="575">
        <f t="shared" si="97"/>
        <v>269060.05580953736</v>
      </c>
      <c r="H65" s="575">
        <f t="shared" si="97"/>
        <v>275733.8174473301</v>
      </c>
      <c r="I65" s="572"/>
      <c r="J65" s="573">
        <f t="shared" si="89"/>
        <v>3.0501577487902054E-2</v>
      </c>
    </row>
    <row r="66" spans="1:11">
      <c r="B66" s="569" t="s">
        <v>34</v>
      </c>
      <c r="C66" s="570">
        <f>(C65/'[2]3 Statement Model'!$H$19)-1</f>
        <v>9.8590397940974794E-2</v>
      </c>
      <c r="D66" s="571">
        <f t="shared" ref="D66" si="98">SUM(D65/C65)-1</f>
        <v>8.1001043732641609E-2</v>
      </c>
      <c r="E66" s="571">
        <f t="shared" ref="E66" si="99">SUM(E65/D65)-1</f>
        <v>3.1263720829102892E-2</v>
      </c>
      <c r="F66" s="571">
        <f t="shared" ref="F66:H66" si="100">SUM(F65/E65)-1</f>
        <v>2.6053159340604148E-2</v>
      </c>
      <c r="G66" s="571">
        <f t="shared" si="100"/>
        <v>2.1610728253052214E-2</v>
      </c>
      <c r="H66" s="571">
        <f t="shared" si="100"/>
        <v>2.4803985183579069E-2</v>
      </c>
      <c r="I66" s="572"/>
      <c r="J66" s="573"/>
    </row>
    <row r="67" spans="1:11">
      <c r="B67" s="576" t="s">
        <v>334</v>
      </c>
      <c r="C67" s="577">
        <f>MIN(C$46,C$48,C$50,C$54,C$56,C$58,C$52)</f>
        <v>216000</v>
      </c>
      <c r="D67" s="577">
        <f t="shared" ref="D67:H67" si="101">MIN(D$46,D$48,D$50,D$54,D$56,D$58,D$52)</f>
        <v>225000</v>
      </c>
      <c r="E67" s="577">
        <f t="shared" si="101"/>
        <v>229500</v>
      </c>
      <c r="F67" s="577">
        <f t="shared" si="101"/>
        <v>234090</v>
      </c>
      <c r="G67" s="577">
        <f t="shared" si="101"/>
        <v>238771.8</v>
      </c>
      <c r="H67" s="577">
        <f t="shared" si="101"/>
        <v>239430.00592717074</v>
      </c>
      <c r="I67" s="572"/>
      <c r="J67" s="573">
        <f t="shared" si="89"/>
        <v>1.7311930069434878E-2</v>
      </c>
    </row>
    <row r="68" spans="1:11">
      <c r="B68" s="578" t="s">
        <v>34</v>
      </c>
      <c r="C68" s="579">
        <f>(C67/'[2]3 Statement Model'!$H$19)-1</f>
        <v>3.0603189144313037E-2</v>
      </c>
      <c r="D68" s="580">
        <f t="shared" ref="D68" si="102">SUM(D67/C67)-1</f>
        <v>4.1666666666666741E-2</v>
      </c>
      <c r="E68" s="580">
        <f t="shared" ref="E68" si="103">SUM(E67/D67)-1</f>
        <v>2.0000000000000018E-2</v>
      </c>
      <c r="F68" s="580">
        <f t="shared" ref="F68:H68" si="104">SUM(F67/E67)-1</f>
        <v>2.0000000000000018E-2</v>
      </c>
      <c r="G68" s="580">
        <f t="shared" si="104"/>
        <v>2.0000000000000018E-2</v>
      </c>
      <c r="H68" s="580">
        <f t="shared" si="104"/>
        <v>2.7566317595744128E-3</v>
      </c>
      <c r="I68" s="581"/>
      <c r="J68" s="582"/>
    </row>
    <row r="70" spans="1:11">
      <c r="A70" s="557" t="s">
        <v>19</v>
      </c>
      <c r="B70" s="149" t="s">
        <v>314</v>
      </c>
      <c r="C70" s="147" t="s">
        <v>370</v>
      </c>
      <c r="D70" s="147"/>
      <c r="E70" s="147"/>
      <c r="F70" s="147"/>
      <c r="G70" s="147"/>
      <c r="H70" s="147"/>
      <c r="I70" s="148"/>
      <c r="J70" s="2" t="s">
        <v>369</v>
      </c>
    </row>
    <row r="71" spans="1:11">
      <c r="B71" s="150" t="s">
        <v>342</v>
      </c>
      <c r="C71" s="154" t="str">
        <f t="shared" ref="C71:H71" si="105">C$9</f>
        <v>2026E</v>
      </c>
      <c r="D71" s="154" t="str">
        <f t="shared" si="105"/>
        <v>2027E</v>
      </c>
      <c r="E71" s="154" t="str">
        <f t="shared" si="105"/>
        <v>2028E</v>
      </c>
      <c r="F71" s="154" t="str">
        <f t="shared" si="105"/>
        <v>2029E</v>
      </c>
      <c r="G71" s="154" t="str">
        <f t="shared" si="105"/>
        <v>2030E</v>
      </c>
      <c r="H71" s="154" t="str">
        <f t="shared" si="105"/>
        <v>2031E</v>
      </c>
      <c r="I71" s="148"/>
      <c r="J71" s="315" t="str">
        <f>$J$9</f>
        <v>6-Year(F)</v>
      </c>
    </row>
    <row r="72" spans="1:11">
      <c r="B72" s="150" t="s">
        <v>718</v>
      </c>
      <c r="C72" s="148">
        <f t="shared" ref="C72:H72" si="106">C$10</f>
        <v>46295</v>
      </c>
      <c r="D72" s="148">
        <f t="shared" si="106"/>
        <v>46660</v>
      </c>
      <c r="E72" s="148">
        <f t="shared" si="106"/>
        <v>47026</v>
      </c>
      <c r="F72" s="148">
        <f t="shared" si="106"/>
        <v>47391</v>
      </c>
      <c r="G72" s="148">
        <f t="shared" si="106"/>
        <v>47756</v>
      </c>
      <c r="H72" s="148">
        <f t="shared" si="106"/>
        <v>48121</v>
      </c>
      <c r="I72" s="148"/>
      <c r="J72" s="3">
        <f>$H$44</f>
        <v>48121</v>
      </c>
    </row>
    <row r="73" spans="1:11" ht="5.0999999999999996" customHeight="1">
      <c r="B73" s="473"/>
    </row>
    <row r="74" spans="1:11">
      <c r="B74" s="432" t="s">
        <v>719</v>
      </c>
      <c r="C74" s="156">
        <v>29908</v>
      </c>
      <c r="D74" s="156">
        <v>32978</v>
      </c>
      <c r="E74" s="156">
        <v>35654</v>
      </c>
      <c r="F74" s="153">
        <f t="shared" ref="F74" si="107">SUM(E74*F75)+E74</f>
        <v>38547.14403541755</v>
      </c>
      <c r="G74" s="153">
        <f t="shared" ref="G74" si="108">SUM(F74*G75)+F74</f>
        <v>41675.052260257668</v>
      </c>
      <c r="H74" s="153">
        <f t="shared" ref="F74:H76" si="109">SUM(G74*H75)+G74</f>
        <v>45056.77461602362</v>
      </c>
      <c r="J74" s="558">
        <f t="shared" ref="J74" si="110">((H74/C74)^(1/COUNT(C74:H74))-1)</f>
        <v>7.0685993274905101E-2</v>
      </c>
      <c r="K74" s="432" t="s">
        <v>722</v>
      </c>
    </row>
    <row r="75" spans="1:11">
      <c r="B75" s="559" t="s">
        <v>34</v>
      </c>
      <c r="C75" s="584">
        <f>(C74/'[2]3 Statement Model'!$H$21)-1</f>
        <v>6.7266174214038577E-2</v>
      </c>
      <c r="D75" s="561">
        <f t="shared" ref="D75" si="111">SUM(D74/C74)-1</f>
        <v>0.10264812090410591</v>
      </c>
      <c r="E75" s="561">
        <f t="shared" ref="E75" si="112">SUM(E74/D74)-1</f>
        <v>8.11450057614167E-2</v>
      </c>
      <c r="F75" s="561">
        <f>E75</f>
        <v>8.11450057614167E-2</v>
      </c>
      <c r="G75" s="561">
        <f t="shared" ref="G75:H75" si="113">F75</f>
        <v>8.11450057614167E-2</v>
      </c>
      <c r="H75" s="561">
        <f t="shared" si="113"/>
        <v>8.11450057614167E-2</v>
      </c>
      <c r="J75" s="562"/>
    </row>
    <row r="76" spans="1:11">
      <c r="B76" s="432" t="s">
        <v>721</v>
      </c>
      <c r="C76" s="156">
        <v>30134</v>
      </c>
      <c r="D76" s="156">
        <v>31814</v>
      </c>
      <c r="E76" s="156">
        <v>33099</v>
      </c>
      <c r="F76" s="153">
        <f t="shared" si="109"/>
        <v>34435.902464323881</v>
      </c>
      <c r="G76" s="153">
        <f t="shared" si="109"/>
        <v>35826.803786592573</v>
      </c>
      <c r="H76" s="153">
        <f t="shared" si="109"/>
        <v>37273.885035909589</v>
      </c>
      <c r="J76" s="563">
        <f t="shared" ref="J76:J78" si="114">((H76/C76)^(1/COUNT(C76:H76))-1)</f>
        <v>3.6075282458472469E-2</v>
      </c>
      <c r="K76" s="432" t="s">
        <v>722</v>
      </c>
    </row>
    <row r="77" spans="1:11">
      <c r="B77" s="559" t="s">
        <v>34</v>
      </c>
      <c r="C77" s="584">
        <f>(C76/'[2]3 Statement Model'!$H$21)-1</f>
        <v>7.533097812511147E-2</v>
      </c>
      <c r="D77" s="561">
        <f t="shared" ref="D77" si="115">SUM(D76/C76)-1</f>
        <v>5.5750978960642517E-2</v>
      </c>
      <c r="E77" s="561">
        <f t="shared" ref="E77" si="116">SUM(E76/D76)-1</f>
        <v>4.0391022820142064E-2</v>
      </c>
      <c r="F77" s="561">
        <f>E77</f>
        <v>4.0391022820142064E-2</v>
      </c>
      <c r="G77" s="561">
        <f>F77</f>
        <v>4.0391022820142064E-2</v>
      </c>
      <c r="H77" s="561">
        <f>G77</f>
        <v>4.0391022820142064E-2</v>
      </c>
      <c r="J77" s="562"/>
    </row>
    <row r="78" spans="1:11">
      <c r="B78" s="432" t="s">
        <v>702</v>
      </c>
      <c r="C78" s="153">
        <f>(C534*C510)/1000</f>
        <v>25211.52</v>
      </c>
      <c r="D78" s="153">
        <f t="shared" ref="D78:H78" si="117">(D534*D510)/1000</f>
        <v>28620</v>
      </c>
      <c r="E78" s="153">
        <f t="shared" si="117"/>
        <v>33031.96</v>
      </c>
      <c r="F78" s="153">
        <f t="shared" si="117"/>
        <v>31998.959999999999</v>
      </c>
      <c r="G78" s="153">
        <f t="shared" si="117"/>
        <v>31286.9</v>
      </c>
      <c r="H78" s="153">
        <f t="shared" si="117"/>
        <v>31473.590000000004</v>
      </c>
      <c r="J78" s="563">
        <f t="shared" si="114"/>
        <v>3.7666689461427483E-2</v>
      </c>
      <c r="K78" s="432" t="s">
        <v>720</v>
      </c>
    </row>
    <row r="79" spans="1:11">
      <c r="B79" s="559" t="s">
        <v>34</v>
      </c>
      <c r="C79" s="584">
        <f>(C78/'[2]3 Statement Model'!$H$21)-1</f>
        <v>-0.10032758805267106</v>
      </c>
      <c r="D79" s="561">
        <f t="shared" ref="D79" si="118">SUM(D78/C78)-1</f>
        <v>0.13519533927347505</v>
      </c>
      <c r="E79" s="561">
        <f t="shared" ref="E79" si="119">SUM(E78/D78)-1</f>
        <v>0.15415653389238293</v>
      </c>
      <c r="F79" s="561">
        <f t="shared" ref="F79:H79" si="120">SUM(F78/E78)-1</f>
        <v>-3.1272743125143054E-2</v>
      </c>
      <c r="G79" s="561">
        <f t="shared" si="120"/>
        <v>-2.2252598209441699E-2</v>
      </c>
      <c r="H79" s="561">
        <f t="shared" si="120"/>
        <v>5.9670341261039983E-3</v>
      </c>
      <c r="J79" s="562"/>
    </row>
    <row r="80" spans="1:11">
      <c r="B80" s="432" t="s">
        <v>703</v>
      </c>
      <c r="C80" s="153">
        <f>(C532*C506)/1000</f>
        <v>29680</v>
      </c>
      <c r="D80" s="153">
        <f t="shared" ref="D80:H80" si="121">(D532*D506)/1000</f>
        <v>29362</v>
      </c>
      <c r="E80" s="153">
        <f t="shared" si="121"/>
        <v>29256</v>
      </c>
      <c r="F80" s="153">
        <f t="shared" si="121"/>
        <v>29150.38267148014</v>
      </c>
      <c r="G80" s="153">
        <f t="shared" si="121"/>
        <v>29045.14663295494</v>
      </c>
      <c r="H80" s="153">
        <f t="shared" si="121"/>
        <v>28940.29050792622</v>
      </c>
      <c r="J80" s="563">
        <f t="shared" ref="J80:J82" si="122">((H80/C80)^(1/COUNT(C80:H80))-1)</f>
        <v>-4.1976084536982095E-3</v>
      </c>
      <c r="K80" s="432" t="s">
        <v>720</v>
      </c>
    </row>
    <row r="81" spans="2:11">
      <c r="B81" s="559" t="s">
        <v>34</v>
      </c>
      <c r="C81" s="584">
        <f>(C80/'[2]3 Statement Model'!$H$21)-1</f>
        <v>5.9130000356849788E-2</v>
      </c>
      <c r="D81" s="561">
        <f t="shared" ref="D81" si="123">SUM(D80/C80)-1</f>
        <v>-1.0714285714285676E-2</v>
      </c>
      <c r="E81" s="561">
        <f t="shared" ref="E81" si="124">SUM(E80/D80)-1</f>
        <v>-3.6101083032491488E-3</v>
      </c>
      <c r="F81" s="561">
        <f t="shared" ref="F81:H81" si="125">SUM(F80/E80)-1</f>
        <v>-3.6101083032492598E-3</v>
      </c>
      <c r="G81" s="561">
        <f t="shared" si="125"/>
        <v>-3.6101083032491488E-3</v>
      </c>
      <c r="H81" s="561">
        <f t="shared" si="125"/>
        <v>-3.6101083032491488E-3</v>
      </c>
      <c r="J81" s="562"/>
    </row>
    <row r="82" spans="2:11">
      <c r="B82" s="432" t="s">
        <v>723</v>
      </c>
      <c r="C82" s="156">
        <v>29415</v>
      </c>
      <c r="D82" s="156">
        <v>30210</v>
      </c>
      <c r="E82" s="156">
        <v>31270</v>
      </c>
      <c r="F82" s="153">
        <f t="shared" ref="F82:H82" si="126">SUM(E82*F83)+E82</f>
        <v>32367.192982456145</v>
      </c>
      <c r="G82" s="153">
        <f t="shared" si="126"/>
        <v>33502.883964296714</v>
      </c>
      <c r="H82" s="153">
        <f t="shared" si="126"/>
        <v>34678.423752517658</v>
      </c>
      <c r="J82" s="563">
        <f t="shared" si="122"/>
        <v>2.7815310550169947E-2</v>
      </c>
      <c r="K82" s="432" t="s">
        <v>720</v>
      </c>
    </row>
    <row r="83" spans="2:11">
      <c r="B83" s="559" t="s">
        <v>34</v>
      </c>
      <c r="C83" s="584">
        <f>(C82/'[2]3 Statement Model'!$H$21)-1</f>
        <v>4.9673482496520815E-2</v>
      </c>
      <c r="D83" s="561">
        <f t="shared" ref="D83:E83" si="127">SUM(D82/C82)-1</f>
        <v>2.7027027027026973E-2</v>
      </c>
      <c r="E83" s="561">
        <f t="shared" si="127"/>
        <v>3.5087719298245723E-2</v>
      </c>
      <c r="F83" s="561">
        <f t="shared" ref="F83:H83" si="128">E83</f>
        <v>3.5087719298245723E-2</v>
      </c>
      <c r="G83" s="561">
        <f t="shared" si="128"/>
        <v>3.5087719298245723E-2</v>
      </c>
      <c r="H83" s="561">
        <f t="shared" si="128"/>
        <v>3.5087719298245723E-2</v>
      </c>
      <c r="J83" s="562"/>
    </row>
    <row r="84" spans="2:11">
      <c r="B84" s="432" t="s">
        <v>726</v>
      </c>
      <c r="C84" s="156">
        <v>28384</v>
      </c>
      <c r="D84" s="156">
        <v>29127</v>
      </c>
      <c r="E84" s="156">
        <v>29724</v>
      </c>
      <c r="F84" s="153">
        <f t="shared" ref="F84:H84" si="129">SUM(E84*F85)+E84</f>
        <v>30333.236378617774</v>
      </c>
      <c r="G84" s="153">
        <f t="shared" si="129"/>
        <v>30954.959938134194</v>
      </c>
      <c r="H84" s="153">
        <f t="shared" si="129"/>
        <v>31589.426621385683</v>
      </c>
      <c r="J84" s="563">
        <f t="shared" ref="J84:J86" si="130">((H84/C84)^(1/COUNT(C84:H84))-1)</f>
        <v>1.7992763592296734E-2</v>
      </c>
      <c r="K84" s="432" t="s">
        <v>720</v>
      </c>
    </row>
    <row r="85" spans="2:11">
      <c r="B85" s="559" t="s">
        <v>34</v>
      </c>
      <c r="C85" s="584">
        <f>(C84/'[2]3 Statement Model'!$H$21)-1</f>
        <v>1.2882275273882193E-2</v>
      </c>
      <c r="D85" s="561">
        <f t="shared" ref="D85:E85" si="131">SUM(D84/C84)-1</f>
        <v>2.6176719278466765E-2</v>
      </c>
      <c r="E85" s="561">
        <f t="shared" si="131"/>
        <v>2.0496446595941853E-2</v>
      </c>
      <c r="F85" s="561">
        <f t="shared" ref="F85:H85" si="132">E85</f>
        <v>2.0496446595941853E-2</v>
      </c>
      <c r="G85" s="561">
        <f t="shared" si="132"/>
        <v>2.0496446595941853E-2</v>
      </c>
      <c r="H85" s="561">
        <f t="shared" si="132"/>
        <v>2.0496446595941853E-2</v>
      </c>
      <c r="J85" s="562"/>
    </row>
    <row r="86" spans="2:11">
      <c r="B86" s="432" t="s">
        <v>727</v>
      </c>
      <c r="C86" s="153">
        <f>(C508*C530)/1000</f>
        <v>28495.84</v>
      </c>
      <c r="D86" s="153">
        <f t="shared" ref="D86:H86" si="133">(D508*D530)/1000</f>
        <v>27863.25</v>
      </c>
      <c r="E86" s="153">
        <f t="shared" si="133"/>
        <v>27244.70310622533</v>
      </c>
      <c r="F86" s="153">
        <f t="shared" si="133"/>
        <v>26639.887570414947</v>
      </c>
      <c r="G86" s="153">
        <f t="shared" si="133"/>
        <v>26048.498564926118</v>
      </c>
      <c r="H86" s="153">
        <f t="shared" si="133"/>
        <v>25470.238029101005</v>
      </c>
      <c r="J86" s="563">
        <f t="shared" si="130"/>
        <v>-1.8534006046275198E-2</v>
      </c>
      <c r="K86" s="432" t="s">
        <v>720</v>
      </c>
    </row>
    <row r="87" spans="2:11">
      <c r="B87" s="559" t="s">
        <v>34</v>
      </c>
      <c r="C87" s="584">
        <f>(C86/'[2]3 Statement Model'!$H$21)-1</f>
        <v>1.6873282660671673E-2</v>
      </c>
      <c r="D87" s="561">
        <f t="shared" ref="D87" si="134">SUM(D86/C86)-1</f>
        <v>-2.2199380681531045E-2</v>
      </c>
      <c r="E87" s="561">
        <f>D87</f>
        <v>-2.2199380681531045E-2</v>
      </c>
      <c r="F87" s="561">
        <f t="shared" ref="F87:H87" si="135">E87</f>
        <v>-2.2199380681531045E-2</v>
      </c>
      <c r="G87" s="561">
        <f t="shared" si="135"/>
        <v>-2.2199380681531045E-2</v>
      </c>
      <c r="H87" s="561">
        <f t="shared" si="135"/>
        <v>-2.2199380681531045E-2</v>
      </c>
      <c r="J87" s="564"/>
    </row>
    <row r="88" spans="2:11" ht="5.0999999999999996" customHeight="1"/>
    <row r="89" spans="2:11">
      <c r="B89" s="565" t="s">
        <v>336</v>
      </c>
      <c r="C89" s="566">
        <f t="shared" ref="C89:H89" si="136">MAX(C$74,C$76,C$78,C$82,C$84,C$86,C$80)</f>
        <v>30134</v>
      </c>
      <c r="D89" s="566">
        <f t="shared" si="136"/>
        <v>32978</v>
      </c>
      <c r="E89" s="566">
        <f t="shared" si="136"/>
        <v>35654</v>
      </c>
      <c r="F89" s="566">
        <f t="shared" si="136"/>
        <v>38547.14403541755</v>
      </c>
      <c r="G89" s="566">
        <f t="shared" si="136"/>
        <v>41675.052260257668</v>
      </c>
      <c r="H89" s="566">
        <f t="shared" si="136"/>
        <v>45056.77461602362</v>
      </c>
      <c r="I89" s="567"/>
      <c r="J89" s="568">
        <f t="shared" ref="J89:J95" si="137">((H89/C89)^(1/COUNT(C89:H89))-1)</f>
        <v>6.934346393990154E-2</v>
      </c>
    </row>
    <row r="90" spans="2:11">
      <c r="B90" s="569" t="s">
        <v>34</v>
      </c>
      <c r="C90" s="570">
        <f>(C89/'[2]3 Statement Model'!$H$21)-1</f>
        <v>7.533097812511147E-2</v>
      </c>
      <c r="D90" s="571">
        <f t="shared" ref="D90" si="138">SUM(D89/C89)-1</f>
        <v>9.43784429548018E-2</v>
      </c>
      <c r="E90" s="571">
        <f t="shared" ref="E90" si="139">SUM(E89/D89)-1</f>
        <v>8.11450057614167E-2</v>
      </c>
      <c r="F90" s="571">
        <f t="shared" ref="F90:H90" si="140">SUM(F89/E89)-1</f>
        <v>8.11450057614167E-2</v>
      </c>
      <c r="G90" s="571">
        <f t="shared" si="140"/>
        <v>8.11450057614167E-2</v>
      </c>
      <c r="H90" s="571">
        <f t="shared" si="140"/>
        <v>8.11450057614167E-2</v>
      </c>
      <c r="I90" s="572"/>
      <c r="J90" s="573"/>
    </row>
    <row r="91" spans="2:11">
      <c r="B91" s="574" t="s">
        <v>707</v>
      </c>
      <c r="C91" s="575">
        <f>MEDIAN(C$74,C$76,C$78,C$82,C$84,C$86,C$80)</f>
        <v>29415</v>
      </c>
      <c r="D91" s="575">
        <f t="shared" ref="D91:H91" si="141">MEDIAN(D$74,D$76,D$78,D$82,D$84,D$86,D$80)</f>
        <v>29362</v>
      </c>
      <c r="E91" s="575">
        <f t="shared" si="141"/>
        <v>31270</v>
      </c>
      <c r="F91" s="575">
        <f t="shared" si="141"/>
        <v>31998.959999999999</v>
      </c>
      <c r="G91" s="575">
        <f t="shared" si="141"/>
        <v>31286.9</v>
      </c>
      <c r="H91" s="575">
        <f t="shared" si="141"/>
        <v>31589.426621385683</v>
      </c>
      <c r="I91" s="572"/>
      <c r="J91" s="573">
        <f t="shared" si="137"/>
        <v>1.1957208569810751E-2</v>
      </c>
    </row>
    <row r="92" spans="2:11">
      <c r="B92" s="569" t="s">
        <v>34</v>
      </c>
      <c r="C92" s="570">
        <f>(C91/'[2]3 Statement Model'!$H$21)-1</f>
        <v>4.9673482496520815E-2</v>
      </c>
      <c r="D92" s="571">
        <f t="shared" ref="D92" si="142">SUM(D91/C91)-1</f>
        <v>-1.8018018018017834E-3</v>
      </c>
      <c r="E92" s="571">
        <f t="shared" ref="E92" si="143">SUM(E91/D91)-1</f>
        <v>6.498194945848379E-2</v>
      </c>
      <c r="F92" s="571">
        <f t="shared" ref="F92:H92" si="144">SUM(F91/E91)-1</f>
        <v>2.3311800447713527E-2</v>
      </c>
      <c r="G92" s="571">
        <f t="shared" si="144"/>
        <v>-2.2252598209441699E-2</v>
      </c>
      <c r="H92" s="571">
        <f t="shared" si="144"/>
        <v>9.6694342164189706E-3</v>
      </c>
      <c r="I92" s="572"/>
      <c r="J92" s="573"/>
    </row>
    <row r="93" spans="2:11">
      <c r="B93" s="574" t="s">
        <v>706</v>
      </c>
      <c r="C93" s="575">
        <f>AVERAGE(C$74,C$76,C$78,C$82,C$84,C$86,C$80)</f>
        <v>28746.908571428572</v>
      </c>
      <c r="D93" s="575">
        <f t="shared" ref="D93:H93" si="145">AVERAGE(D$74,D$76,D$78,D$82,D$84,D$86,D$80)</f>
        <v>29996.321428571428</v>
      </c>
      <c r="E93" s="575">
        <f t="shared" si="145"/>
        <v>31325.666158032189</v>
      </c>
      <c r="F93" s="575">
        <f t="shared" si="145"/>
        <v>31924.672300387207</v>
      </c>
      <c r="G93" s="575">
        <f t="shared" si="145"/>
        <v>32620.035021023174</v>
      </c>
      <c r="H93" s="575">
        <f t="shared" si="145"/>
        <v>33497.518366123397</v>
      </c>
      <c r="I93" s="572"/>
      <c r="J93" s="573">
        <f t="shared" si="137"/>
        <v>2.5817840204388487E-2</v>
      </c>
    </row>
    <row r="94" spans="2:11">
      <c r="B94" s="569" t="s">
        <v>34</v>
      </c>
      <c r="C94" s="570">
        <f>(C93/'[2]3 Statement Model'!$H$21)-1</f>
        <v>2.5832657867771891E-2</v>
      </c>
      <c r="D94" s="571">
        <f t="shared" ref="D94" si="146">SUM(D93/C93)-1</f>
        <v>4.3462511944141413E-2</v>
      </c>
      <c r="E94" s="571">
        <f t="shared" ref="E94" si="147">SUM(E93/D93)-1</f>
        <v>4.4316925081172132E-2</v>
      </c>
      <c r="F94" s="571">
        <f t="shared" ref="F94:H94" si="148">SUM(F93/E93)-1</f>
        <v>1.9121896381489201E-2</v>
      </c>
      <c r="G94" s="571">
        <f t="shared" si="148"/>
        <v>2.1781358132453965E-2</v>
      </c>
      <c r="H94" s="571">
        <f t="shared" si="148"/>
        <v>2.6900134979459533E-2</v>
      </c>
      <c r="I94" s="572"/>
      <c r="J94" s="573"/>
    </row>
    <row r="95" spans="2:11">
      <c r="B95" s="576" t="s">
        <v>334</v>
      </c>
      <c r="C95" s="577">
        <f>MIN(C$74,C$76,C$78,C$82,C$84,C$86,C$80)</f>
        <v>25211.52</v>
      </c>
      <c r="D95" s="577">
        <f t="shared" ref="D95:H95" si="149">MIN(D$74,D$76,D$78,D$82,D$84,D$86,D$80)</f>
        <v>27863.25</v>
      </c>
      <c r="E95" s="577">
        <f t="shared" si="149"/>
        <v>27244.70310622533</v>
      </c>
      <c r="F95" s="577">
        <f t="shared" si="149"/>
        <v>26639.887570414947</v>
      </c>
      <c r="G95" s="577">
        <f t="shared" si="149"/>
        <v>26048.498564926118</v>
      </c>
      <c r="H95" s="577">
        <f t="shared" si="149"/>
        <v>25470.238029101005</v>
      </c>
      <c r="I95" s="572"/>
      <c r="J95" s="573">
        <f t="shared" si="137"/>
        <v>1.7030487932623295E-3</v>
      </c>
    </row>
    <row r="96" spans="2:11">
      <c r="B96" s="578" t="s">
        <v>34</v>
      </c>
      <c r="C96" s="579">
        <f>(C95/'[2]3 Statement Model'!$H$21)-1</f>
        <v>-0.10032758805267106</v>
      </c>
      <c r="D96" s="580">
        <f t="shared" ref="D96" si="150">SUM(D95/C95)-1</f>
        <v>0.10517929898712963</v>
      </c>
      <c r="E96" s="580">
        <f t="shared" ref="E96" si="151">SUM(E95/D95)-1</f>
        <v>-2.2199380681531045E-2</v>
      </c>
      <c r="F96" s="580">
        <f t="shared" ref="F96:H96" si="152">SUM(F95/E95)-1</f>
        <v>-2.2199380681530934E-2</v>
      </c>
      <c r="G96" s="580">
        <f t="shared" si="152"/>
        <v>-2.2199380681531045E-2</v>
      </c>
      <c r="H96" s="580">
        <f t="shared" si="152"/>
        <v>-2.2199380681531156E-2</v>
      </c>
      <c r="I96" s="581"/>
      <c r="J96" s="582"/>
    </row>
    <row r="98" spans="1:11">
      <c r="A98" s="557" t="s">
        <v>19</v>
      </c>
      <c r="B98" s="149" t="s">
        <v>312</v>
      </c>
      <c r="C98" s="147" t="s">
        <v>370</v>
      </c>
      <c r="D98" s="147"/>
      <c r="E98" s="147"/>
      <c r="F98" s="147"/>
      <c r="G98" s="147"/>
      <c r="H98" s="147"/>
      <c r="I98" s="148"/>
      <c r="J98" s="2" t="s">
        <v>369</v>
      </c>
    </row>
    <row r="99" spans="1:11">
      <c r="B99" s="150" t="s">
        <v>342</v>
      </c>
      <c r="C99" s="154" t="str">
        <f t="shared" ref="C99:H99" si="153">C$9</f>
        <v>2026E</v>
      </c>
      <c r="D99" s="154" t="str">
        <f t="shared" si="153"/>
        <v>2027E</v>
      </c>
      <c r="E99" s="154" t="str">
        <f t="shared" si="153"/>
        <v>2028E</v>
      </c>
      <c r="F99" s="154" t="str">
        <f t="shared" si="153"/>
        <v>2029E</v>
      </c>
      <c r="G99" s="154" t="str">
        <f t="shared" si="153"/>
        <v>2030E</v>
      </c>
      <c r="H99" s="154" t="str">
        <f t="shared" si="153"/>
        <v>2031E</v>
      </c>
      <c r="I99" s="148"/>
      <c r="J99" s="315" t="str">
        <f>$J$9</f>
        <v>6-Year(F)</v>
      </c>
    </row>
    <row r="100" spans="1:11">
      <c r="B100" s="150" t="s">
        <v>718</v>
      </c>
      <c r="C100" s="148">
        <f t="shared" ref="C100:H100" si="154">C$10</f>
        <v>46295</v>
      </c>
      <c r="D100" s="148">
        <f t="shared" si="154"/>
        <v>46660</v>
      </c>
      <c r="E100" s="148">
        <f t="shared" si="154"/>
        <v>47026</v>
      </c>
      <c r="F100" s="148">
        <f t="shared" si="154"/>
        <v>47391</v>
      </c>
      <c r="G100" s="148">
        <f t="shared" si="154"/>
        <v>47756</v>
      </c>
      <c r="H100" s="148">
        <f t="shared" si="154"/>
        <v>48121</v>
      </c>
      <c r="I100" s="148"/>
      <c r="J100" s="3">
        <f>$H$44</f>
        <v>48121</v>
      </c>
    </row>
    <row r="101" spans="1:11" ht="5.0999999999999996" customHeight="1">
      <c r="B101" s="473"/>
    </row>
    <row r="102" spans="1:11">
      <c r="B102" s="432" t="s">
        <v>719</v>
      </c>
      <c r="C102" s="156">
        <v>35020</v>
      </c>
      <c r="D102" s="156">
        <v>44073</v>
      </c>
      <c r="E102" s="156">
        <v>48349</v>
      </c>
      <c r="F102" s="153">
        <f t="shared" ref="F102" si="155">SUM(E102*F103)+E102</f>
        <v>53039.861162162779</v>
      </c>
      <c r="G102" s="153">
        <f t="shared" ref="G102" si="156">SUM(F102*G103)+F102</f>
        <v>58185.8336698071</v>
      </c>
      <c r="H102" s="153">
        <f t="shared" ref="H102" si="157">SUM(G102*H103)+G102</f>
        <v>63831.07281332116</v>
      </c>
      <c r="J102" s="558">
        <f t="shared" ref="J102" si="158">((H102/C102)^(1/COUNT(C102:H102))-1)</f>
        <v>0.10523000570664331</v>
      </c>
      <c r="K102" s="432" t="s">
        <v>722</v>
      </c>
    </row>
    <row r="103" spans="1:11">
      <c r="B103" s="559" t="s">
        <v>34</v>
      </c>
      <c r="C103" s="584">
        <f>(C102/'[2]3 Statement Model'!$H$20)-1</f>
        <v>3.8922510976622693E-2</v>
      </c>
      <c r="D103" s="561">
        <f t="shared" ref="D103" si="159">SUM(D102/C102)-1</f>
        <v>0.25850942318675041</v>
      </c>
      <c r="E103" s="561">
        <f t="shared" ref="E103" si="160">SUM(E102/D102)-1</f>
        <v>9.7020851768656602E-2</v>
      </c>
      <c r="F103" s="561">
        <f>E103</f>
        <v>9.7020851768656602E-2</v>
      </c>
      <c r="G103" s="561">
        <f t="shared" ref="G103:H103" si="161">F103</f>
        <v>9.7020851768656602E-2</v>
      </c>
      <c r="H103" s="561">
        <f t="shared" si="161"/>
        <v>9.7020851768656602E-2</v>
      </c>
      <c r="J103" s="562"/>
    </row>
    <row r="104" spans="1:11">
      <c r="B104" s="432" t="s">
        <v>721</v>
      </c>
      <c r="C104" s="156">
        <v>34650</v>
      </c>
      <c r="D104" s="156">
        <v>36403</v>
      </c>
      <c r="E104" s="156">
        <v>38245</v>
      </c>
      <c r="F104" s="153">
        <f t="shared" ref="F104" si="162">SUM(E104*F105)+E104</f>
        <v>40180.205614921848</v>
      </c>
      <c r="G104" s="153">
        <f t="shared" ref="G104:H104" si="163">SUM(F104*G105)+F104</f>
        <v>42213.333069875727</v>
      </c>
      <c r="H104" s="153">
        <f t="shared" si="163"/>
        <v>44349.337232024751</v>
      </c>
      <c r="J104" s="563">
        <f t="shared" ref="J104:J106" si="164">((H104/C104)^(1/COUNT(C104:H104))-1)</f>
        <v>4.1991035189036463E-2</v>
      </c>
      <c r="K104" s="432" t="s">
        <v>722</v>
      </c>
    </row>
    <row r="105" spans="1:11">
      <c r="B105" s="559" t="s">
        <v>34</v>
      </c>
      <c r="C105" s="584">
        <f>(C104/'[2]3 Statement Model'!$H$20)-1</f>
        <v>2.7945888216447168E-2</v>
      </c>
      <c r="D105" s="561">
        <f t="shared" ref="D105" si="165">SUM(D104/C104)-1</f>
        <v>5.0591630591630521E-2</v>
      </c>
      <c r="E105" s="561">
        <f t="shared" ref="E105" si="166">SUM(E104/D104)-1</f>
        <v>5.0600225256160147E-2</v>
      </c>
      <c r="F105" s="561">
        <f>E105</f>
        <v>5.0600225256160147E-2</v>
      </c>
      <c r="G105" s="561">
        <f>F105</f>
        <v>5.0600225256160147E-2</v>
      </c>
      <c r="H105" s="561">
        <f>G105</f>
        <v>5.0600225256160147E-2</v>
      </c>
      <c r="J105" s="562"/>
    </row>
    <row r="106" spans="1:11">
      <c r="B106" s="432" t="s">
        <v>702</v>
      </c>
      <c r="C106" s="153">
        <f>(C462*C486)/1000</f>
        <v>34564.86</v>
      </c>
      <c r="D106" s="153">
        <f t="shared" ref="D106:H106" si="167">(D462*D486)/1000</f>
        <v>35639.129999999997</v>
      </c>
      <c r="E106" s="153">
        <f t="shared" si="167"/>
        <v>36801</v>
      </c>
      <c r="F106" s="153">
        <f t="shared" si="167"/>
        <v>38925.599999999999</v>
      </c>
      <c r="G106" s="153">
        <f t="shared" si="167"/>
        <v>41149.919999999998</v>
      </c>
      <c r="H106" s="153">
        <f t="shared" si="167"/>
        <v>41553.199999999997</v>
      </c>
      <c r="J106" s="563">
        <f t="shared" si="164"/>
        <v>3.1165273046862119E-2</v>
      </c>
      <c r="K106" s="432" t="s">
        <v>720</v>
      </c>
    </row>
    <row r="107" spans="1:11">
      <c r="B107" s="559" t="s">
        <v>34</v>
      </c>
      <c r="C107" s="584">
        <f>(C106/'[2]3 Statement Model'!$H$20)-1</f>
        <v>2.5420078319686734E-2</v>
      </c>
      <c r="D107" s="561">
        <f t="shared" ref="D107" si="168">SUM(D106/C106)-1</f>
        <v>3.1079830787684282E-2</v>
      </c>
      <c r="E107" s="561">
        <f t="shared" ref="E107" si="169">SUM(E106/D106)-1</f>
        <v>3.2600964164950286E-2</v>
      </c>
      <c r="F107" s="561">
        <f t="shared" ref="F107:H107" si="170">SUM(F106/E106)-1</f>
        <v>5.7732126844379117E-2</v>
      </c>
      <c r="G107" s="561">
        <f t="shared" si="170"/>
        <v>5.7142857142857162E-2</v>
      </c>
      <c r="H107" s="561">
        <f t="shared" si="170"/>
        <v>9.8002620661230555E-3</v>
      </c>
      <c r="J107" s="562"/>
    </row>
    <row r="108" spans="1:11">
      <c r="B108" s="432" t="s">
        <v>703</v>
      </c>
      <c r="C108" s="153">
        <f>(C460*C484)/1000</f>
        <v>34190</v>
      </c>
      <c r="D108" s="153">
        <f t="shared" ref="D108:H108" si="171">(D460*D484)/1000</f>
        <v>35316</v>
      </c>
      <c r="E108" s="153">
        <f t="shared" si="171"/>
        <v>36400</v>
      </c>
      <c r="F108" s="153">
        <f t="shared" si="171"/>
        <v>37517.272624306264</v>
      </c>
      <c r="G108" s="153">
        <f t="shared" si="171"/>
        <v>38668.839152926368</v>
      </c>
      <c r="H108" s="153">
        <f t="shared" si="171"/>
        <v>39855.75221334579</v>
      </c>
      <c r="J108" s="563">
        <f t="shared" ref="J108:J110" si="172">((H108/C108)^(1/COUNT(C108:H108))-1)</f>
        <v>2.5884933252924069E-2</v>
      </c>
      <c r="K108" s="432" t="s">
        <v>720</v>
      </c>
    </row>
    <row r="109" spans="1:11">
      <c r="B109" s="559" t="s">
        <v>34</v>
      </c>
      <c r="C109" s="584">
        <f>(C108/'[2]3 Statement Model'!$H$20)-1</f>
        <v>1.4299276136228833E-2</v>
      </c>
      <c r="D109" s="561">
        <f t="shared" ref="D109" si="173">SUM(D108/C108)-1</f>
        <v>3.2933606317636643E-2</v>
      </c>
      <c r="E109" s="561">
        <f t="shared" ref="E109" si="174">SUM(E108/D108)-1</f>
        <v>3.0694302865556633E-2</v>
      </c>
      <c r="F109" s="561">
        <f t="shared" ref="F109:H109" si="175">SUM(F108/E108)-1</f>
        <v>3.0694302865556633E-2</v>
      </c>
      <c r="G109" s="561">
        <f t="shared" si="175"/>
        <v>3.0694302865556411E-2</v>
      </c>
      <c r="H109" s="561">
        <f t="shared" si="175"/>
        <v>3.0694302865556855E-2</v>
      </c>
      <c r="J109" s="562"/>
    </row>
    <row r="110" spans="1:11">
      <c r="B110" s="432" t="s">
        <v>723</v>
      </c>
      <c r="C110" s="156">
        <v>40800</v>
      </c>
      <c r="D110" s="156">
        <v>43200</v>
      </c>
      <c r="E110" s="156">
        <v>46400</v>
      </c>
      <c r="F110" s="153">
        <f t="shared" ref="F110" si="176">SUM(E110*F111)+E110</f>
        <v>49837.037037037044</v>
      </c>
      <c r="G110" s="153">
        <f t="shared" ref="G110:H110" si="177">SUM(F110*G111)+F110</f>
        <v>53528.669410150906</v>
      </c>
      <c r="H110" s="153">
        <f t="shared" si="177"/>
        <v>57493.75603312505</v>
      </c>
      <c r="J110" s="563">
        <f t="shared" si="172"/>
        <v>5.8831256509754848E-2</v>
      </c>
      <c r="K110" s="432" t="s">
        <v>720</v>
      </c>
    </row>
    <row r="111" spans="1:11">
      <c r="B111" s="559" t="s">
        <v>34</v>
      </c>
      <c r="C111" s="584">
        <f>(C110/'[2]3 Statement Model'!$H$20)-1</f>
        <v>0.2103951584193664</v>
      </c>
      <c r="D111" s="561">
        <f t="shared" ref="D111:E111" si="178">SUM(D110/C110)-1</f>
        <v>5.8823529411764719E-2</v>
      </c>
      <c r="E111" s="561">
        <f t="shared" si="178"/>
        <v>7.4074074074074181E-2</v>
      </c>
      <c r="F111" s="561">
        <f t="shared" ref="F111:H111" si="179">E111</f>
        <v>7.4074074074074181E-2</v>
      </c>
      <c r="G111" s="561">
        <f t="shared" si="179"/>
        <v>7.4074074074074181E-2</v>
      </c>
      <c r="H111" s="561">
        <f t="shared" si="179"/>
        <v>7.4074074074074181E-2</v>
      </c>
      <c r="J111" s="562"/>
    </row>
    <row r="112" spans="1:11">
      <c r="B112" s="432" t="s">
        <v>726</v>
      </c>
      <c r="C112" s="156">
        <v>34337</v>
      </c>
      <c r="D112" s="156">
        <v>36538</v>
      </c>
      <c r="E112" s="156">
        <v>38044</v>
      </c>
      <c r="F112" s="153">
        <f t="shared" ref="F112" si="180">SUM(E112*F113)+E112</f>
        <v>39612.073348294929</v>
      </c>
      <c r="G112" s="153">
        <f t="shared" ref="G112:H112" si="181">SUM(F112*G113)+F112</f>
        <v>41244.778544598288</v>
      </c>
      <c r="H112" s="153">
        <f t="shared" si="181"/>
        <v>42944.77954323437</v>
      </c>
      <c r="J112" s="563">
        <f t="shared" ref="J112:J114" si="182">((H112/C112)^(1/COUNT(C112:H112))-1)</f>
        <v>3.7985622986381751E-2</v>
      </c>
      <c r="K112" s="432" t="s">
        <v>720</v>
      </c>
    </row>
    <row r="113" spans="1:11">
      <c r="B113" s="559" t="s">
        <v>34</v>
      </c>
      <c r="C113" s="584">
        <f>(C112/'[2]3 Statement Model'!$H$20)-1</f>
        <v>1.8660258692298592E-2</v>
      </c>
      <c r="D113" s="561">
        <f t="shared" ref="D113" si="183">SUM(D112/C112)-1</f>
        <v>6.4099950490724256E-2</v>
      </c>
      <c r="E113" s="561">
        <f t="shared" ref="E113" si="184">SUM(E112/D112)-1</f>
        <v>4.12173627456347E-2</v>
      </c>
      <c r="F113" s="561">
        <f t="shared" ref="F113:H113" si="185">E113</f>
        <v>4.12173627456347E-2</v>
      </c>
      <c r="G113" s="561">
        <f t="shared" si="185"/>
        <v>4.12173627456347E-2</v>
      </c>
      <c r="H113" s="561">
        <f t="shared" si="185"/>
        <v>4.12173627456347E-2</v>
      </c>
      <c r="J113" s="562"/>
    </row>
    <row r="114" spans="1:11">
      <c r="B114" s="432" t="s">
        <v>727</v>
      </c>
      <c r="C114" s="153">
        <f>(C458*C482)/1000</f>
        <v>33433.9</v>
      </c>
      <c r="D114" s="153">
        <f t="shared" ref="D114:H114" si="186">(D458*D482)/1000</f>
        <v>35386.01</v>
      </c>
      <c r="E114" s="153">
        <f t="shared" si="186"/>
        <v>37452.098131540137</v>
      </c>
      <c r="F114" s="153">
        <f t="shared" si="186"/>
        <v>39638.819252425244</v>
      </c>
      <c r="G114" s="153">
        <f t="shared" si="186"/>
        <v>41953.216778614282</v>
      </c>
      <c r="H114" s="153">
        <f t="shared" si="186"/>
        <v>44402.745371022</v>
      </c>
      <c r="J114" s="563">
        <f t="shared" si="182"/>
        <v>4.8424426273972143E-2</v>
      </c>
      <c r="K114" s="432" t="s">
        <v>720</v>
      </c>
    </row>
    <row r="115" spans="1:11">
      <c r="B115" s="559" t="s">
        <v>34</v>
      </c>
      <c r="C115" s="584">
        <f>(C114/'[2]3 Statement Model'!$H$20)-1</f>
        <v>-8.1316008069300949E-3</v>
      </c>
      <c r="D115" s="561">
        <f t="shared" ref="D115" si="187">SUM(D114/C114)-1</f>
        <v>5.8387145980576705E-2</v>
      </c>
      <c r="E115" s="561">
        <f>D115</f>
        <v>5.8387145980576705E-2</v>
      </c>
      <c r="F115" s="561">
        <f t="shared" ref="F115:H115" si="188">E115</f>
        <v>5.8387145980576705E-2</v>
      </c>
      <c r="G115" s="561">
        <f t="shared" si="188"/>
        <v>5.8387145980576705E-2</v>
      </c>
      <c r="H115" s="561">
        <f t="shared" si="188"/>
        <v>5.8387145980576705E-2</v>
      </c>
      <c r="J115" s="564"/>
    </row>
    <row r="116" spans="1:11" ht="5.0999999999999996" customHeight="1"/>
    <row r="117" spans="1:11">
      <c r="B117" s="565" t="s">
        <v>336</v>
      </c>
      <c r="C117" s="566">
        <f>MAX(C$102,C$104,C$106,C$110,C$112,C$114,C$108)</f>
        <v>40800</v>
      </c>
      <c r="D117" s="566">
        <f t="shared" ref="D117:H117" si="189">MAX(D$102,D$104,D$106,D$110,D$112,D$114,D$108)</f>
        <v>44073</v>
      </c>
      <c r="E117" s="566">
        <f t="shared" si="189"/>
        <v>48349</v>
      </c>
      <c r="F117" s="566">
        <f t="shared" si="189"/>
        <v>53039.861162162779</v>
      </c>
      <c r="G117" s="566">
        <f t="shared" si="189"/>
        <v>58185.8336698071</v>
      </c>
      <c r="H117" s="566">
        <f t="shared" si="189"/>
        <v>63831.07281332116</v>
      </c>
      <c r="I117" s="567"/>
      <c r="J117" s="568">
        <f t="shared" ref="J117:J123" si="190">((H117/C117)^(1/COUNT(C117:H117))-1)</f>
        <v>7.7445545800124638E-2</v>
      </c>
    </row>
    <row r="118" spans="1:11">
      <c r="B118" s="569" t="s">
        <v>34</v>
      </c>
      <c r="C118" s="570">
        <f>(C117/'[2]3 Statement Model'!$H$20)-1</f>
        <v>0.2103951584193664</v>
      </c>
      <c r="D118" s="571">
        <f t="shared" ref="D118" si="191">SUM(D117/C117)-1</f>
        <v>8.022058823529421E-2</v>
      </c>
      <c r="E118" s="571">
        <f t="shared" ref="E118" si="192">SUM(E117/D117)-1</f>
        <v>9.7020851768656602E-2</v>
      </c>
      <c r="F118" s="571">
        <f t="shared" ref="F118:H118" si="193">SUM(F117/E117)-1</f>
        <v>9.7020851768656602E-2</v>
      </c>
      <c r="G118" s="571">
        <f t="shared" si="193"/>
        <v>9.7020851768656602E-2</v>
      </c>
      <c r="H118" s="571">
        <f t="shared" si="193"/>
        <v>9.7020851768656602E-2</v>
      </c>
      <c r="I118" s="572"/>
      <c r="J118" s="573"/>
    </row>
    <row r="119" spans="1:11">
      <c r="B119" s="574" t="s">
        <v>707</v>
      </c>
      <c r="C119" s="575">
        <f>MEDIAN(C$102,C$104,C$106,C$110,C$112,C$114,C$108)</f>
        <v>34564.86</v>
      </c>
      <c r="D119" s="575">
        <f t="shared" ref="D119:H119" si="194">MEDIAN(D$102,D$104,D$106,D$110,D$112,D$114,D$108)</f>
        <v>36403</v>
      </c>
      <c r="E119" s="575">
        <f t="shared" si="194"/>
        <v>38044</v>
      </c>
      <c r="F119" s="575">
        <f t="shared" si="194"/>
        <v>39638.819252425244</v>
      </c>
      <c r="G119" s="575">
        <f t="shared" si="194"/>
        <v>41953.216778614282</v>
      </c>
      <c r="H119" s="575">
        <f t="shared" si="194"/>
        <v>44349.337232024751</v>
      </c>
      <c r="I119" s="572"/>
      <c r="J119" s="573">
        <f t="shared" si="190"/>
        <v>4.2418368046974964E-2</v>
      </c>
    </row>
    <row r="120" spans="1:11">
      <c r="B120" s="569" t="s">
        <v>34</v>
      </c>
      <c r="C120" s="570">
        <f>(C119/'[2]3 Statement Model'!$H$20)-1</f>
        <v>2.5420078319686734E-2</v>
      </c>
      <c r="D120" s="571">
        <f t="shared" ref="D120" si="195">SUM(D119/C119)-1</f>
        <v>5.3179442937133281E-2</v>
      </c>
      <c r="E120" s="571">
        <f t="shared" ref="E120" si="196">SUM(E119/D119)-1</f>
        <v>4.5078702304755192E-2</v>
      </c>
      <c r="F120" s="571">
        <f t="shared" ref="F120:H120" si="197">SUM(F119/E119)-1</f>
        <v>4.1920388298424038E-2</v>
      </c>
      <c r="G120" s="571">
        <f t="shared" si="197"/>
        <v>5.8387145980576483E-2</v>
      </c>
      <c r="H120" s="571">
        <f t="shared" si="197"/>
        <v>5.7114105601358656E-2</v>
      </c>
      <c r="I120" s="572"/>
      <c r="J120" s="573"/>
    </row>
    <row r="121" spans="1:11">
      <c r="B121" s="574" t="s">
        <v>706</v>
      </c>
      <c r="C121" s="575">
        <f>AVERAGE(C$102,C$104,C$106,C$110,C$112,C$114,C$108)</f>
        <v>35285.108571428565</v>
      </c>
      <c r="D121" s="575">
        <f t="shared" ref="D121:H121" si="198">AVERAGE(D$102,D$104,D$106,D$110,D$112,D$114,D$108)</f>
        <v>38079.305714285714</v>
      </c>
      <c r="E121" s="575">
        <f t="shared" si="198"/>
        <v>40241.585447362871</v>
      </c>
      <c r="F121" s="575">
        <f t="shared" si="198"/>
        <v>42678.695577021157</v>
      </c>
      <c r="G121" s="575">
        <f t="shared" si="198"/>
        <v>45277.798660853237</v>
      </c>
      <c r="H121" s="575">
        <f t="shared" si="198"/>
        <v>47775.806172296165</v>
      </c>
      <c r="I121" s="572"/>
      <c r="J121" s="573">
        <f t="shared" si="190"/>
        <v>5.1807090885518825E-2</v>
      </c>
    </row>
    <row r="122" spans="1:11">
      <c r="B122" s="569" t="s">
        <v>34</v>
      </c>
      <c r="C122" s="570">
        <f>(C121/'[2]3 Statement Model'!$H$20)-1</f>
        <v>4.6787367136245539E-2</v>
      </c>
      <c r="D122" s="571">
        <f t="shared" ref="D122" si="199">SUM(D121/C121)-1</f>
        <v>7.9189132639362114E-2</v>
      </c>
      <c r="E122" s="571">
        <f t="shared" ref="E122" si="200">SUM(E121/D121)-1</f>
        <v>5.678359131075128E-2</v>
      </c>
      <c r="F122" s="571">
        <f t="shared" ref="F122:H122" si="201">SUM(F121/E121)-1</f>
        <v>6.0561980910172952E-2</v>
      </c>
      <c r="G122" s="571">
        <f t="shared" si="201"/>
        <v>6.0899309332018925E-2</v>
      </c>
      <c r="H122" s="571">
        <f t="shared" si="201"/>
        <v>5.5170692598239812E-2</v>
      </c>
      <c r="I122" s="572"/>
      <c r="J122" s="573"/>
    </row>
    <row r="123" spans="1:11">
      <c r="B123" s="576" t="s">
        <v>334</v>
      </c>
      <c r="C123" s="577">
        <f>MIN(C$102,C$104,C$106,C$110,C$112,C$114,C$108)</f>
        <v>33433.9</v>
      </c>
      <c r="D123" s="577">
        <f t="shared" ref="D123:H123" si="202">MIN(D$102,D$104,D$106,D$110,D$112,D$114,D$108)</f>
        <v>35316</v>
      </c>
      <c r="E123" s="577">
        <f t="shared" si="202"/>
        <v>36400</v>
      </c>
      <c r="F123" s="577">
        <f t="shared" si="202"/>
        <v>37517.272624306264</v>
      </c>
      <c r="G123" s="577">
        <f t="shared" si="202"/>
        <v>38668.839152926368</v>
      </c>
      <c r="H123" s="577">
        <f t="shared" si="202"/>
        <v>39855.75221334579</v>
      </c>
      <c r="I123" s="572"/>
      <c r="J123" s="573">
        <f t="shared" si="190"/>
        <v>2.9715685893220378E-2</v>
      </c>
    </row>
    <row r="124" spans="1:11">
      <c r="B124" s="578" t="s">
        <v>34</v>
      </c>
      <c r="C124" s="579">
        <f>(C123/'[2]3 Statement Model'!$H$20)-1</f>
        <v>-8.1316008069300949E-3</v>
      </c>
      <c r="D124" s="580">
        <f t="shared" ref="D124" si="203">SUM(D123/C123)-1</f>
        <v>5.6293163525643175E-2</v>
      </c>
      <c r="E124" s="580">
        <f t="shared" ref="E124" si="204">SUM(E123/D123)-1</f>
        <v>3.0694302865556633E-2</v>
      </c>
      <c r="F124" s="580">
        <f t="shared" ref="F124:H124" si="205">SUM(F123/E123)-1</f>
        <v>3.0694302865556633E-2</v>
      </c>
      <c r="G124" s="580">
        <f t="shared" si="205"/>
        <v>3.0694302865556411E-2</v>
      </c>
      <c r="H124" s="580">
        <f t="shared" si="205"/>
        <v>3.0694302865556855E-2</v>
      </c>
      <c r="I124" s="581"/>
      <c r="J124" s="582"/>
    </row>
    <row r="125" spans="1:11">
      <c r="B125" s="459"/>
      <c r="C125" s="585"/>
      <c r="D125" s="585"/>
      <c r="E125" s="585"/>
      <c r="F125" s="585"/>
      <c r="G125" s="585"/>
      <c r="H125" s="585"/>
      <c r="I125" s="586"/>
      <c r="J125" s="587"/>
    </row>
    <row r="126" spans="1:11">
      <c r="A126" s="557" t="s">
        <v>19</v>
      </c>
      <c r="B126" s="149" t="s">
        <v>728</v>
      </c>
      <c r="C126" s="147" t="s">
        <v>370</v>
      </c>
      <c r="D126" s="147"/>
      <c r="E126" s="147"/>
      <c r="F126" s="147"/>
      <c r="G126" s="147"/>
      <c r="H126" s="147"/>
      <c r="I126" s="148"/>
      <c r="J126" s="2" t="s">
        <v>369</v>
      </c>
    </row>
    <row r="127" spans="1:11">
      <c r="B127" s="150" t="s">
        <v>342</v>
      </c>
      <c r="C127" s="154" t="str">
        <f t="shared" ref="C127:H127" si="206">C$9</f>
        <v>2026E</v>
      </c>
      <c r="D127" s="154" t="str">
        <f t="shared" si="206"/>
        <v>2027E</v>
      </c>
      <c r="E127" s="154" t="str">
        <f t="shared" si="206"/>
        <v>2028E</v>
      </c>
      <c r="F127" s="154" t="str">
        <f t="shared" si="206"/>
        <v>2029E</v>
      </c>
      <c r="G127" s="154" t="str">
        <f t="shared" si="206"/>
        <v>2030E</v>
      </c>
      <c r="H127" s="154" t="str">
        <f t="shared" si="206"/>
        <v>2031E</v>
      </c>
      <c r="I127" s="148"/>
      <c r="J127" s="315" t="str">
        <f>$J$9</f>
        <v>6-Year(F)</v>
      </c>
    </row>
    <row r="128" spans="1:11">
      <c r="B128" s="150" t="s">
        <v>718</v>
      </c>
      <c r="C128" s="148">
        <f t="shared" ref="C128:H128" si="207">C$10</f>
        <v>46295</v>
      </c>
      <c r="D128" s="148">
        <f t="shared" si="207"/>
        <v>46660</v>
      </c>
      <c r="E128" s="148">
        <f t="shared" si="207"/>
        <v>47026</v>
      </c>
      <c r="F128" s="148">
        <f t="shared" si="207"/>
        <v>47391</v>
      </c>
      <c r="G128" s="148">
        <f t="shared" si="207"/>
        <v>47756</v>
      </c>
      <c r="H128" s="148">
        <f t="shared" si="207"/>
        <v>48121</v>
      </c>
      <c r="I128" s="148"/>
      <c r="J128" s="3">
        <f>$H$44</f>
        <v>48121</v>
      </c>
    </row>
    <row r="129" spans="2:11" ht="5.0999999999999996" customHeight="1">
      <c r="B129" s="473"/>
    </row>
    <row r="130" spans="2:11">
      <c r="B130" s="432" t="s">
        <v>719</v>
      </c>
      <c r="C130" s="156">
        <v>37688</v>
      </c>
      <c r="D130" s="156">
        <v>40491</v>
      </c>
      <c r="E130" s="156">
        <v>43533</v>
      </c>
      <c r="F130" s="153">
        <f t="shared" ref="F130" si="208">SUM(E130*F131)+E130</f>
        <v>46803.538786396981</v>
      </c>
      <c r="G130" s="153">
        <f t="shared" ref="G130" si="209">SUM(F130*G131)+F130</f>
        <v>50319.78597683979</v>
      </c>
      <c r="H130" s="153">
        <f t="shared" ref="H130" si="210">SUM(G130*H131)+G130</f>
        <v>54100.201104684165</v>
      </c>
      <c r="J130" s="558">
        <f t="shared" ref="J130" si="211">((H130/C130)^(1/COUNT(C130:H130))-1)</f>
        <v>6.2101359427377378E-2</v>
      </c>
      <c r="K130" s="432" t="s">
        <v>722</v>
      </c>
    </row>
    <row r="131" spans="2:11">
      <c r="B131" s="559" t="s">
        <v>34</v>
      </c>
      <c r="C131" s="584">
        <f>(C130/'[2]3 Statement Model'!$H$23)-1</f>
        <v>5.6100431541781015E-2</v>
      </c>
      <c r="D131" s="561">
        <f t="shared" ref="D131" si="212">SUM(D130/C130)-1</f>
        <v>7.4373805985990193E-2</v>
      </c>
      <c r="E131" s="561">
        <f t="shared" ref="E131" si="213">SUM(E130/D130)-1</f>
        <v>7.5127806179150936E-2</v>
      </c>
      <c r="F131" s="561">
        <f>E131</f>
        <v>7.5127806179150936E-2</v>
      </c>
      <c r="G131" s="561">
        <f>F131</f>
        <v>7.5127806179150936E-2</v>
      </c>
      <c r="H131" s="561">
        <f>G131</f>
        <v>7.5127806179150936E-2</v>
      </c>
      <c r="J131" s="562"/>
    </row>
    <row r="132" spans="2:11">
      <c r="B132" s="432" t="s">
        <v>721</v>
      </c>
      <c r="C132" s="156">
        <v>36950</v>
      </c>
      <c r="D132" s="156">
        <v>37849</v>
      </c>
      <c r="E132" s="156">
        <v>39469</v>
      </c>
      <c r="F132" s="153">
        <f t="shared" ref="E132:F140" si="214">SUM(E132*F133)+E132</f>
        <v>41158.338687944197</v>
      </c>
      <c r="G132" s="153">
        <f t="shared" ref="G132:H132" si="215">SUM(F132*G133)+F132</f>
        <v>42919.983874725076</v>
      </c>
      <c r="H132" s="153">
        <f t="shared" si="215"/>
        <v>44757.030398465584</v>
      </c>
      <c r="J132" s="563">
        <f t="shared" ref="J132" si="216">((H132/C132)^(1/COUNT(C132:H132))-1)</f>
        <v>3.2462936280567067E-2</v>
      </c>
      <c r="K132" s="432" t="s">
        <v>722</v>
      </c>
    </row>
    <row r="133" spans="2:11">
      <c r="B133" s="559" t="s">
        <v>34</v>
      </c>
      <c r="C133" s="584">
        <f>(C132/'[2]3 Statement Model'!$H$23)-1</f>
        <v>3.5420052681723879E-2</v>
      </c>
      <c r="D133" s="561">
        <f t="shared" ref="D133" si="217">SUM(D132/C132)-1</f>
        <v>2.4330175913396479E-2</v>
      </c>
      <c r="E133" s="561">
        <f t="shared" ref="E133" si="218">SUM(E132/D132)-1</f>
        <v>4.2801659224814381E-2</v>
      </c>
      <c r="F133" s="561">
        <f>E133</f>
        <v>4.2801659224814381E-2</v>
      </c>
      <c r="G133" s="561">
        <f>F133</f>
        <v>4.2801659224814381E-2</v>
      </c>
      <c r="H133" s="561">
        <f>G133</f>
        <v>4.2801659224814381E-2</v>
      </c>
      <c r="J133" s="562"/>
    </row>
    <row r="134" spans="2:11">
      <c r="B134" s="432" t="s">
        <v>703</v>
      </c>
      <c r="C134" s="156">
        <v>36790</v>
      </c>
      <c r="D134" s="156">
        <v>37414</v>
      </c>
      <c r="E134" s="156">
        <v>35586</v>
      </c>
      <c r="F134" s="153">
        <f t="shared" ref="F134" si="219">SUM(E134*F135)+E134</f>
        <v>33847.313732827286</v>
      </c>
      <c r="G134" s="153">
        <f t="shared" ref="G134" si="220">SUM(F134*G135)+F134</f>
        <v>32193.57744417576</v>
      </c>
      <c r="H134" s="153">
        <f t="shared" ref="H134" si="221">SUM(G134*H135)+G134</f>
        <v>30620.640587171612</v>
      </c>
      <c r="J134" s="563">
        <f t="shared" ref="J134:J136" si="222">((H134/C134)^(1/COUNT(C134:H134))-1)</f>
        <v>-3.012876115989116E-2</v>
      </c>
      <c r="K134" s="432" t="s">
        <v>720</v>
      </c>
    </row>
    <row r="135" spans="2:11">
      <c r="B135" s="559" t="s">
        <v>34</v>
      </c>
      <c r="C135" s="584">
        <f>(C134/'[2]3 Statement Model'!$H$23)-1</f>
        <v>3.0936501709353914E-2</v>
      </c>
      <c r="D135" s="561">
        <f t="shared" ref="D135" si="223">SUM(D134/C134)-1</f>
        <v>1.6961130742049413E-2</v>
      </c>
      <c r="E135" s="561">
        <f t="shared" ref="E135" si="224">SUM(E134/D134)-1</f>
        <v>-4.8858715988667312E-2</v>
      </c>
      <c r="F135" s="561">
        <f>E135</f>
        <v>-4.8858715988667312E-2</v>
      </c>
      <c r="G135" s="561">
        <f>F135</f>
        <v>-4.8858715988667312E-2</v>
      </c>
      <c r="H135" s="561">
        <f>G135</f>
        <v>-4.8858715988667312E-2</v>
      </c>
      <c r="J135" s="562"/>
    </row>
    <row r="136" spans="2:11">
      <c r="B136" s="432" t="s">
        <v>723</v>
      </c>
      <c r="C136" s="156">
        <v>45226</v>
      </c>
      <c r="D136" s="156">
        <v>45931</v>
      </c>
      <c r="E136" s="156">
        <v>48029</v>
      </c>
      <c r="F136" s="153">
        <f t="shared" ref="F136" si="225">SUM(E136*F137)+E136</f>
        <v>50222.830789662752</v>
      </c>
      <c r="G136" s="153">
        <f t="shared" ref="G136:H136" si="226">SUM(F136*G137)+F136</f>
        <v>52516.869652232963</v>
      </c>
      <c r="H136" s="153">
        <f t="shared" si="226"/>
        <v>54915.693813047765</v>
      </c>
      <c r="J136" s="563">
        <f t="shared" si="222"/>
        <v>3.2883602254843325E-2</v>
      </c>
      <c r="K136" s="432" t="s">
        <v>720</v>
      </c>
    </row>
    <row r="137" spans="2:11">
      <c r="B137" s="559" t="s">
        <v>34</v>
      </c>
      <c r="C137" s="584">
        <f>(C136/'[2]3 Statement Model'!$H$23)-1</f>
        <v>0.26733172672756833</v>
      </c>
      <c r="D137" s="561">
        <f t="shared" ref="D137:E137" si="227">SUM(D136/C136)-1</f>
        <v>1.5588378366426348E-2</v>
      </c>
      <c r="E137" s="561">
        <f t="shared" si="227"/>
        <v>4.5677211469377976E-2</v>
      </c>
      <c r="F137" s="561">
        <f t="shared" ref="F137:H141" si="228">E137</f>
        <v>4.5677211469377976E-2</v>
      </c>
      <c r="G137" s="561">
        <f t="shared" si="228"/>
        <v>4.5677211469377976E-2</v>
      </c>
      <c r="H137" s="561">
        <f t="shared" si="228"/>
        <v>4.5677211469377976E-2</v>
      </c>
      <c r="J137" s="562"/>
    </row>
    <row r="138" spans="2:11">
      <c r="B138" s="432" t="s">
        <v>726</v>
      </c>
      <c r="C138" s="156">
        <v>36247</v>
      </c>
      <c r="D138" s="156">
        <v>37445</v>
      </c>
      <c r="E138" s="156">
        <v>39063</v>
      </c>
      <c r="F138" s="153">
        <f t="shared" ref="F138" si="229">SUM(E138*F139)+E138</f>
        <v>40750.913846975564</v>
      </c>
      <c r="G138" s="153">
        <f t="shared" ref="G138:H138" si="230">SUM(F138*G139)+F138</f>
        <v>42511.762521148521</v>
      </c>
      <c r="H138" s="153">
        <f t="shared" si="230"/>
        <v>44348.69753942114</v>
      </c>
      <c r="J138" s="563">
        <f t="shared" ref="J138:J140" si="231">((H138/C138)^(1/COUNT(C138:H138))-1)</f>
        <v>3.4192697784271031E-2</v>
      </c>
      <c r="K138" s="432" t="s">
        <v>720</v>
      </c>
    </row>
    <row r="139" spans="2:11">
      <c r="B139" s="559" t="s">
        <v>34</v>
      </c>
      <c r="C139" s="584">
        <f>(C138/'[2]3 Statement Model'!$H$23)-1</f>
        <v>1.5720450596872659E-2</v>
      </c>
      <c r="D139" s="561">
        <f t="shared" ref="D139:E139" si="232">SUM(D138/C138)-1</f>
        <v>3.3051011118161444E-2</v>
      </c>
      <c r="E139" s="561">
        <f t="shared" si="232"/>
        <v>4.3210041394044607E-2</v>
      </c>
      <c r="F139" s="561">
        <f t="shared" si="228"/>
        <v>4.3210041394044607E-2</v>
      </c>
      <c r="G139" s="561">
        <f>F139</f>
        <v>4.3210041394044607E-2</v>
      </c>
      <c r="H139" s="561">
        <f t="shared" ref="H139" si="233">G139</f>
        <v>4.3210041394044607E-2</v>
      </c>
      <c r="J139" s="562"/>
    </row>
    <row r="140" spans="2:11">
      <c r="B140" s="432" t="s">
        <v>727</v>
      </c>
      <c r="C140" s="156">
        <v>39210</v>
      </c>
      <c r="D140" s="156">
        <v>41501</v>
      </c>
      <c r="E140" s="153">
        <f t="shared" si="214"/>
        <v>43925.860775312423</v>
      </c>
      <c r="F140" s="153">
        <f t="shared" ref="F140" si="234">SUM(E140*F141)+E140</f>
        <v>46492.4036734568</v>
      </c>
      <c r="G140" s="153">
        <f t="shared" ref="G140:H140" si="235">SUM(F140*G141)+F140</f>
        <v>49208.907035249445</v>
      </c>
      <c r="H140" s="153">
        <f t="shared" si="235"/>
        <v>52084.132896452116</v>
      </c>
      <c r="J140" s="563">
        <f t="shared" si="231"/>
        <v>4.8458953248083469E-2</v>
      </c>
      <c r="K140" s="432" t="s">
        <v>720</v>
      </c>
    </row>
    <row r="141" spans="2:11">
      <c r="B141" s="559" t="s">
        <v>34</v>
      </c>
      <c r="C141" s="584">
        <f>(C140/'[2]3 Statement Model'!$H$23)-1</f>
        <v>9.8750210166451913E-2</v>
      </c>
      <c r="D141" s="561">
        <f t="shared" ref="D141" si="236">SUM(D140/C140)-1</f>
        <v>5.8428972200969209E-2</v>
      </c>
      <c r="E141" s="561">
        <f>D141</f>
        <v>5.8428972200969209E-2</v>
      </c>
      <c r="F141" s="561">
        <f t="shared" si="228"/>
        <v>5.8428972200969209E-2</v>
      </c>
      <c r="G141" s="561">
        <f t="shared" si="228"/>
        <v>5.8428972200969209E-2</v>
      </c>
      <c r="H141" s="561">
        <f t="shared" si="228"/>
        <v>5.8428972200969209E-2</v>
      </c>
      <c r="J141" s="564"/>
    </row>
    <row r="142" spans="2:11" ht="5.0999999999999996" customHeight="1"/>
    <row r="143" spans="2:11">
      <c r="B143" s="565" t="s">
        <v>336</v>
      </c>
      <c r="C143" s="566">
        <f>MAX(C130,C132,C136,C138,C140,C134)</f>
        <v>45226</v>
      </c>
      <c r="D143" s="566">
        <f t="shared" ref="D143:H143" si="237">MAX(D$130,D$132,D$136,D$138,D$140,D$134)</f>
        <v>45931</v>
      </c>
      <c r="E143" s="566">
        <f t="shared" si="237"/>
        <v>48029</v>
      </c>
      <c r="F143" s="566">
        <f t="shared" si="237"/>
        <v>50222.830789662752</v>
      </c>
      <c r="G143" s="566">
        <f t="shared" si="237"/>
        <v>52516.869652232963</v>
      </c>
      <c r="H143" s="566">
        <f t="shared" si="237"/>
        <v>54915.693813047765</v>
      </c>
      <c r="I143" s="567"/>
      <c r="J143" s="568">
        <f t="shared" ref="J143:J149" si="238">((H143/C143)^(1/COUNT(C143:H143))-1)</f>
        <v>3.2883602254843325E-2</v>
      </c>
    </row>
    <row r="144" spans="2:11">
      <c r="B144" s="569" t="s">
        <v>34</v>
      </c>
      <c r="C144" s="570">
        <f>(C143/'[2]3 Statement Model'!$H$23)-1</f>
        <v>0.26733172672756833</v>
      </c>
      <c r="D144" s="571">
        <f t="shared" ref="D144" si="239">SUM(D143/C143)-1</f>
        <v>1.5588378366426348E-2</v>
      </c>
      <c r="E144" s="571">
        <f t="shared" ref="E144" si="240">SUM(E143/D143)-1</f>
        <v>4.5677211469377976E-2</v>
      </c>
      <c r="F144" s="571">
        <f t="shared" ref="F144:H144" si="241">SUM(F143/E143)-1</f>
        <v>4.5677211469377976E-2</v>
      </c>
      <c r="G144" s="571">
        <f t="shared" si="241"/>
        <v>4.5677211469377976E-2</v>
      </c>
      <c r="H144" s="571">
        <f t="shared" si="241"/>
        <v>4.5677211469377976E-2</v>
      </c>
      <c r="I144" s="572"/>
      <c r="J144" s="573"/>
    </row>
    <row r="145" spans="1:11">
      <c r="B145" s="574" t="s">
        <v>707</v>
      </c>
      <c r="C145" s="575">
        <f>MEDIAN(C$130,C$132,C$136,C$138,C$140,C$134)</f>
        <v>37319</v>
      </c>
      <c r="D145" s="575">
        <f t="shared" ref="D145:H145" si="242">MEDIAN(D$130,D$132,D$136,D$138,D$140,D$134)</f>
        <v>39170</v>
      </c>
      <c r="E145" s="575">
        <f t="shared" si="242"/>
        <v>41501</v>
      </c>
      <c r="F145" s="575">
        <f t="shared" si="242"/>
        <v>43825.371180700502</v>
      </c>
      <c r="G145" s="575">
        <f t="shared" si="242"/>
        <v>46064.445454987261</v>
      </c>
      <c r="H145" s="575">
        <f t="shared" si="242"/>
        <v>48420.58164745885</v>
      </c>
      <c r="I145" s="572"/>
      <c r="J145" s="573">
        <f t="shared" si="238"/>
        <v>4.4359449623043723E-2</v>
      </c>
    </row>
    <row r="146" spans="1:11">
      <c r="B146" s="569" t="s">
        <v>34</v>
      </c>
      <c r="C146" s="570">
        <f>(C145/'[2]3 Statement Model'!$H$23)-1</f>
        <v>4.5760242111752447E-2</v>
      </c>
      <c r="D146" s="571">
        <f t="shared" ref="D146" si="243">SUM(D145/C145)-1</f>
        <v>4.9599399769554298E-2</v>
      </c>
      <c r="E146" s="571">
        <f t="shared" ref="E146" si="244">SUM(E145/D145)-1</f>
        <v>5.950982895072765E-2</v>
      </c>
      <c r="F146" s="571">
        <f t="shared" ref="F146:H146" si="245">SUM(F145/E145)-1</f>
        <v>5.6007594532673899E-2</v>
      </c>
      <c r="G146" s="571">
        <f t="shared" si="245"/>
        <v>5.1090822826225901E-2</v>
      </c>
      <c r="H146" s="571">
        <f t="shared" si="245"/>
        <v>5.1148693296957815E-2</v>
      </c>
      <c r="I146" s="572"/>
      <c r="J146" s="573"/>
    </row>
    <row r="147" spans="1:11">
      <c r="B147" s="574" t="s">
        <v>706</v>
      </c>
      <c r="C147" s="575">
        <f>AVERAGE(C$130,C$132,C$136,C$138,C$140,C$134)</f>
        <v>38685.166666666664</v>
      </c>
      <c r="D147" s="575">
        <f t="shared" ref="D147:H147" si="246">AVERAGE(D$130,D$132,D$136,D$138,D$140,D$134)</f>
        <v>40105.166666666664</v>
      </c>
      <c r="E147" s="575">
        <f t="shared" si="246"/>
        <v>41600.976795885399</v>
      </c>
      <c r="F147" s="575">
        <f t="shared" si="246"/>
        <v>43212.556586210594</v>
      </c>
      <c r="G147" s="575">
        <f t="shared" si="246"/>
        <v>44945.147750728596</v>
      </c>
      <c r="H147" s="575">
        <f t="shared" si="246"/>
        <v>46804.399389873732</v>
      </c>
      <c r="I147" s="572"/>
      <c r="J147" s="573">
        <f t="shared" si="238"/>
        <v>3.2263015303211517E-2</v>
      </c>
    </row>
    <row r="148" spans="1:11">
      <c r="B148" s="569" t="s">
        <v>34</v>
      </c>
      <c r="C148" s="570">
        <f>(C147/'[2]3 Statement Model'!$H$23)-1</f>
        <v>8.4043228903958545E-2</v>
      </c>
      <c r="D148" s="571">
        <f t="shared" ref="D148" si="247">SUM(D147/C147)-1</f>
        <v>3.6706575733162161E-2</v>
      </c>
      <c r="E148" s="571">
        <f t="shared" ref="E148" si="248">SUM(E147/D147)-1</f>
        <v>3.7297192694675241E-2</v>
      </c>
      <c r="F148" s="571">
        <f t="shared" ref="F148:H148" si="249">SUM(F147/E147)-1</f>
        <v>3.8738989188460415E-2</v>
      </c>
      <c r="G148" s="571">
        <f t="shared" si="249"/>
        <v>4.0094622984442552E-2</v>
      </c>
      <c r="H148" s="571">
        <f t="shared" si="249"/>
        <v>4.1367127091377576E-2</v>
      </c>
      <c r="I148" s="572"/>
      <c r="J148" s="573"/>
    </row>
    <row r="149" spans="1:11">
      <c r="B149" s="576" t="s">
        <v>334</v>
      </c>
      <c r="C149" s="577">
        <f>MIN(C$130,C$132,C$136,C$138,C$140,C$134)</f>
        <v>36247</v>
      </c>
      <c r="D149" s="577">
        <f t="shared" ref="D149:H149" si="250">MIN(D$130,D$132,D$136,D$138,D$140,D$134)</f>
        <v>37414</v>
      </c>
      <c r="E149" s="577">
        <f t="shared" si="250"/>
        <v>35586</v>
      </c>
      <c r="F149" s="577">
        <f t="shared" si="250"/>
        <v>33847.313732827286</v>
      </c>
      <c r="G149" s="577">
        <f t="shared" si="250"/>
        <v>32193.57744417576</v>
      </c>
      <c r="H149" s="577">
        <f t="shared" si="250"/>
        <v>30620.640587171612</v>
      </c>
      <c r="I149" s="572"/>
      <c r="J149" s="573">
        <f t="shared" si="238"/>
        <v>-2.7722205084854679E-2</v>
      </c>
    </row>
    <row r="150" spans="1:11">
      <c r="B150" s="578" t="s">
        <v>34</v>
      </c>
      <c r="C150" s="579">
        <f>(C149/'[2]3 Statement Model'!$H$23)-1</f>
        <v>1.5720450596872659E-2</v>
      </c>
      <c r="D150" s="580">
        <f t="shared" ref="D150" si="251">SUM(D149/C149)-1</f>
        <v>3.219576792562151E-2</v>
      </c>
      <c r="E150" s="580">
        <f t="shared" ref="E150" si="252">SUM(E149/D149)-1</f>
        <v>-4.8858715988667312E-2</v>
      </c>
      <c r="F150" s="580">
        <f t="shared" ref="F150:H150" si="253">SUM(F149/E149)-1</f>
        <v>-4.8858715988667312E-2</v>
      </c>
      <c r="G150" s="580">
        <f t="shared" si="253"/>
        <v>-4.8858715988667312E-2</v>
      </c>
      <c r="H150" s="580">
        <f t="shared" si="253"/>
        <v>-4.8858715988667312E-2</v>
      </c>
      <c r="I150" s="581"/>
      <c r="J150" s="582"/>
    </row>
    <row r="151" spans="1:11">
      <c r="B151" s="459"/>
      <c r="C151" s="585"/>
      <c r="D151" s="585"/>
      <c r="E151" s="585"/>
      <c r="F151" s="585"/>
      <c r="G151" s="585"/>
      <c r="H151" s="585"/>
      <c r="I151" s="586"/>
      <c r="J151" s="587"/>
    </row>
    <row r="152" spans="1:11">
      <c r="A152" s="557" t="s">
        <v>19</v>
      </c>
      <c r="B152" s="149" t="s">
        <v>316</v>
      </c>
      <c r="C152" s="147" t="s">
        <v>370</v>
      </c>
      <c r="D152" s="147"/>
      <c r="E152" s="147"/>
      <c r="F152" s="147"/>
      <c r="G152" s="147"/>
      <c r="H152" s="147"/>
      <c r="I152" s="148"/>
      <c r="J152" s="2" t="s">
        <v>369</v>
      </c>
    </row>
    <row r="153" spans="1:11">
      <c r="B153" s="150" t="s">
        <v>342</v>
      </c>
      <c r="C153" s="154" t="str">
        <f t="shared" ref="C153:H153" si="254">C$9</f>
        <v>2026E</v>
      </c>
      <c r="D153" s="154" t="str">
        <f t="shared" si="254"/>
        <v>2027E</v>
      </c>
      <c r="E153" s="154" t="str">
        <f t="shared" si="254"/>
        <v>2028E</v>
      </c>
      <c r="F153" s="154" t="str">
        <f t="shared" si="254"/>
        <v>2029E</v>
      </c>
      <c r="G153" s="154" t="str">
        <f t="shared" si="254"/>
        <v>2030E</v>
      </c>
      <c r="H153" s="154" t="str">
        <f t="shared" si="254"/>
        <v>2031E</v>
      </c>
      <c r="I153" s="148"/>
      <c r="J153" s="315" t="str">
        <f>$J$9</f>
        <v>6-Year(F)</v>
      </c>
    </row>
    <row r="154" spans="1:11">
      <c r="B154" s="150" t="s">
        <v>718</v>
      </c>
      <c r="C154" s="148">
        <f t="shared" ref="C154:H154" si="255">C$10</f>
        <v>46295</v>
      </c>
      <c r="D154" s="148">
        <f t="shared" si="255"/>
        <v>46660</v>
      </c>
      <c r="E154" s="148">
        <f t="shared" si="255"/>
        <v>47026</v>
      </c>
      <c r="F154" s="148">
        <f t="shared" si="255"/>
        <v>47391</v>
      </c>
      <c r="G154" s="148">
        <f t="shared" si="255"/>
        <v>47756</v>
      </c>
      <c r="H154" s="148">
        <f t="shared" si="255"/>
        <v>48121</v>
      </c>
      <c r="I154" s="148"/>
      <c r="J154" s="3">
        <f>$H$44</f>
        <v>48121</v>
      </c>
    </row>
    <row r="155" spans="1:11" ht="5.0999999999999996" customHeight="1">
      <c r="B155" s="473"/>
    </row>
    <row r="156" spans="1:11">
      <c r="B156" s="432" t="s">
        <v>719</v>
      </c>
      <c r="C156" s="156">
        <v>122784</v>
      </c>
      <c r="D156" s="156">
        <v>137818</v>
      </c>
      <c r="E156" s="156">
        <v>156043</v>
      </c>
      <c r="F156" s="153">
        <f t="shared" ref="F156" si="256">SUM(E156*F157)+E156</f>
        <v>176678.06708122307</v>
      </c>
      <c r="G156" s="153">
        <f t="shared" ref="G156" si="257">SUM(F156*G157)+F156</f>
        <v>200041.9075995537</v>
      </c>
      <c r="H156" s="153">
        <f t="shared" ref="H156" si="258">SUM(G156*H157)+G156</f>
        <v>226495.3735183877</v>
      </c>
      <c r="J156" s="558">
        <f t="shared" ref="J156" si="259">((H156/C156)^(1/COUNT(C156:H156))-1)</f>
        <v>0.10743843708921053</v>
      </c>
      <c r="K156" s="432" t="s">
        <v>722</v>
      </c>
    </row>
    <row r="157" spans="1:11">
      <c r="B157" s="559" t="s">
        <v>34</v>
      </c>
      <c r="C157" s="584">
        <f>(C156/'[2]3 Statement Model'!$H$22)-1</f>
        <v>0.12482823063815762</v>
      </c>
      <c r="D157" s="561">
        <f t="shared" ref="D157" si="260">SUM(D156/C156)-1</f>
        <v>0.12244266353922328</v>
      </c>
      <c r="E157" s="561">
        <f t="shared" ref="E157" si="261">SUM(E156/D156)-1</f>
        <v>0.13223962036889225</v>
      </c>
      <c r="F157" s="561">
        <f t="shared" ref="F157:H167" si="262">E157</f>
        <v>0.13223962036889225</v>
      </c>
      <c r="G157" s="561">
        <f t="shared" si="262"/>
        <v>0.13223962036889225</v>
      </c>
      <c r="H157" s="561">
        <f t="shared" si="262"/>
        <v>0.13223962036889225</v>
      </c>
      <c r="J157" s="562"/>
    </row>
    <row r="158" spans="1:11">
      <c r="B158" s="432" t="s">
        <v>721</v>
      </c>
      <c r="C158" s="156">
        <v>124379</v>
      </c>
      <c r="D158" s="156">
        <v>141112</v>
      </c>
      <c r="E158" s="156">
        <v>158615</v>
      </c>
      <c r="F158" s="153">
        <f t="shared" ref="F158" si="263">SUM(E158*F159)+E158</f>
        <v>178289.0060731901</v>
      </c>
      <c r="G158" s="153">
        <f t="shared" ref="G158:H158" si="264">SUM(F158*G159)+F158</f>
        <v>200403.30162069172</v>
      </c>
      <c r="H158" s="153">
        <f t="shared" si="264"/>
        <v>225260.57094057216</v>
      </c>
      <c r="J158" s="563">
        <f t="shared" ref="J158" si="265">((H158/C158)^(1/COUNT(C158:H158))-1)</f>
        <v>0.10405240118788806</v>
      </c>
      <c r="K158" s="432" t="s">
        <v>722</v>
      </c>
    </row>
    <row r="159" spans="1:11">
      <c r="B159" s="559" t="s">
        <v>34</v>
      </c>
      <c r="C159" s="584">
        <f>(C158/'[2]3 Statement Model'!$H$22)-1</f>
        <v>0.13944007768555666</v>
      </c>
      <c r="D159" s="561">
        <f t="shared" ref="D159" si="266">SUM(D158/C158)-1</f>
        <v>0.13453235674832564</v>
      </c>
      <c r="E159" s="561">
        <f t="shared" ref="E159" si="267">SUM(E158/D158)-1</f>
        <v>0.12403622654345492</v>
      </c>
      <c r="F159" s="561">
        <f t="shared" si="262"/>
        <v>0.12403622654345492</v>
      </c>
      <c r="G159" s="561">
        <f t="shared" si="262"/>
        <v>0.12403622654345492</v>
      </c>
      <c r="H159" s="561">
        <f t="shared" si="262"/>
        <v>0.12403622654345492</v>
      </c>
      <c r="J159" s="562"/>
    </row>
    <row r="160" spans="1:11">
      <c r="B160" s="432" t="s">
        <v>703</v>
      </c>
      <c r="C160" s="156">
        <v>122394</v>
      </c>
      <c r="D160" s="156">
        <v>134072</v>
      </c>
      <c r="E160" s="156">
        <v>146920</v>
      </c>
      <c r="F160" s="153">
        <f t="shared" ref="F160" si="268">SUM(E160*F161)+E160</f>
        <v>160999.2123635062</v>
      </c>
      <c r="G160" s="153">
        <f t="shared" ref="G160" si="269">SUM(F160*G161)+F160</f>
        <v>176427.62307153121</v>
      </c>
      <c r="H160" s="153">
        <f t="shared" ref="H160" si="270">SUM(G160*H161)+G160</f>
        <v>193334.52459625699</v>
      </c>
      <c r="J160" s="563">
        <f t="shared" ref="J160:J162" si="271">((H160/C160)^(1/COUNT(C160:H160))-1)</f>
        <v>7.9174184373610679E-2</v>
      </c>
      <c r="K160" s="432" t="s">
        <v>720</v>
      </c>
    </row>
    <row r="161" spans="2:11">
      <c r="B161" s="559" t="s">
        <v>34</v>
      </c>
      <c r="C161" s="584">
        <f>(C160/'[2]3 Statement Model'!$H$22)-1</f>
        <v>0.1212554279118343</v>
      </c>
      <c r="D161" s="561">
        <f t="shared" ref="D161:E161" si="272">SUM(D160/C160)-1</f>
        <v>9.5413173848391208E-2</v>
      </c>
      <c r="E161" s="561">
        <f t="shared" si="272"/>
        <v>9.582910674861278E-2</v>
      </c>
      <c r="F161" s="561">
        <f t="shared" ref="F161:G161" si="273">E161</f>
        <v>9.582910674861278E-2</v>
      </c>
      <c r="G161" s="561">
        <f t="shared" si="273"/>
        <v>9.582910674861278E-2</v>
      </c>
      <c r="H161" s="561">
        <f t="shared" si="262"/>
        <v>9.582910674861278E-2</v>
      </c>
      <c r="J161" s="562"/>
    </row>
    <row r="162" spans="2:11">
      <c r="B162" s="432" t="s">
        <v>723</v>
      </c>
      <c r="C162" s="156">
        <v>124465</v>
      </c>
      <c r="D162" s="156">
        <v>136912</v>
      </c>
      <c r="E162" s="156">
        <v>149234</v>
      </c>
      <c r="F162" s="153">
        <f t="shared" ref="F162" si="274">SUM(E162*F163)+E162</f>
        <v>162664.97280004676</v>
      </c>
      <c r="G162" s="153">
        <f t="shared" ref="G162:H162" si="275">SUM(F162*G163)+F162</f>
        <v>177304.72530415287</v>
      </c>
      <c r="H162" s="153">
        <f t="shared" si="275"/>
        <v>193262.04697937326</v>
      </c>
      <c r="J162" s="563">
        <f t="shared" si="271"/>
        <v>7.6093203934845643E-2</v>
      </c>
      <c r="K162" s="432" t="s">
        <v>720</v>
      </c>
    </row>
    <row r="163" spans="2:11">
      <c r="B163" s="559" t="s">
        <v>34</v>
      </c>
      <c r="C163" s="584">
        <f>(C162/'[2]3 Statement Model'!$H$22)-1</f>
        <v>0.14022792649187421</v>
      </c>
      <c r="D163" s="561">
        <f t="shared" ref="D163:E163" si="276">SUM(D162/C162)-1</f>
        <v>0.10000401719358853</v>
      </c>
      <c r="E163" s="561">
        <f t="shared" si="276"/>
        <v>8.9999415683066575E-2</v>
      </c>
      <c r="F163" s="561">
        <f t="shared" si="262"/>
        <v>8.9999415683066575E-2</v>
      </c>
      <c r="G163" s="561">
        <f t="shared" si="262"/>
        <v>8.9999415683066575E-2</v>
      </c>
      <c r="H163" s="561">
        <f t="shared" si="262"/>
        <v>8.9999415683066575E-2</v>
      </c>
      <c r="J163" s="562"/>
    </row>
    <row r="164" spans="2:11">
      <c r="B164" s="432" t="s">
        <v>726</v>
      </c>
      <c r="C164" s="156">
        <v>123717</v>
      </c>
      <c r="D164" s="156">
        <v>137813</v>
      </c>
      <c r="E164" s="156">
        <v>151542</v>
      </c>
      <c r="F164" s="153">
        <f t="shared" ref="F164" si="277">SUM(E164*F165)+E164</f>
        <v>166638.68984783729</v>
      </c>
      <c r="G164" s="153">
        <f t="shared" ref="G164:H164" si="278">SUM(F164*G165)+F164</f>
        <v>183239.31949033079</v>
      </c>
      <c r="H164" s="153">
        <f t="shared" si="278"/>
        <v>201493.71216215965</v>
      </c>
      <c r="J164" s="563">
        <f t="shared" ref="J164:J166" si="279">((H164/C164)^(1/COUNT(C164:H164))-1)</f>
        <v>8.4689292282197348E-2</v>
      </c>
      <c r="K164" s="432" t="s">
        <v>720</v>
      </c>
    </row>
    <row r="165" spans="2:11">
      <c r="B165" s="559" t="s">
        <v>34</v>
      </c>
      <c r="C165" s="584">
        <f>(C164/'[2]3 Statement Model'!$H$22)-1</f>
        <v>0.13337547408343875</v>
      </c>
      <c r="D165" s="561">
        <f t="shared" ref="D165:E165" si="280">SUM(D164/C164)-1</f>
        <v>0.11393745402814481</v>
      </c>
      <c r="E165" s="561">
        <f t="shared" si="280"/>
        <v>9.9620500243082999E-2</v>
      </c>
      <c r="F165" s="561">
        <f t="shared" si="262"/>
        <v>9.9620500243082999E-2</v>
      </c>
      <c r="G165" s="561">
        <f t="shared" si="262"/>
        <v>9.9620500243082999E-2</v>
      </c>
      <c r="H165" s="561">
        <f t="shared" si="262"/>
        <v>9.9620500243082999E-2</v>
      </c>
      <c r="J165" s="562"/>
    </row>
    <row r="166" spans="2:11">
      <c r="B166" s="432" t="s">
        <v>727</v>
      </c>
      <c r="C166" s="156">
        <v>123008</v>
      </c>
      <c r="D166" s="156">
        <v>136682</v>
      </c>
      <c r="E166" s="153">
        <f t="shared" ref="E166" si="281">SUM(D166*E167)+D166</f>
        <v>151876.04972034338</v>
      </c>
      <c r="F166" s="153">
        <f t="shared" ref="F166" si="282">SUM(E166*F167)+E166</f>
        <v>168759.12321049016</v>
      </c>
      <c r="G166" s="153">
        <f t="shared" ref="G166:H166" si="283">SUM(F166*G167)+F166</f>
        <v>187518.97826691123</v>
      </c>
      <c r="H166" s="153">
        <f t="shared" si="283"/>
        <v>208364.24450017852</v>
      </c>
      <c r="J166" s="563">
        <f t="shared" si="279"/>
        <v>9.181311397278602E-2</v>
      </c>
      <c r="K166" s="432" t="s">
        <v>720</v>
      </c>
    </row>
    <row r="167" spans="2:11">
      <c r="B167" s="559" t="s">
        <v>34</v>
      </c>
      <c r="C167" s="584">
        <f>(C166/'[2]3 Statement Model'!$H$22)-1</f>
        <v>0.12688030194763544</v>
      </c>
      <c r="D167" s="561">
        <f t="shared" ref="D167" si="284">SUM(D166/C166)-1</f>
        <v>0.11116350156087407</v>
      </c>
      <c r="E167" s="561">
        <f>D167</f>
        <v>0.11116350156087407</v>
      </c>
      <c r="F167" s="561">
        <f t="shared" si="262"/>
        <v>0.11116350156087407</v>
      </c>
      <c r="G167" s="561">
        <f t="shared" si="262"/>
        <v>0.11116350156087407</v>
      </c>
      <c r="H167" s="561">
        <f t="shared" si="262"/>
        <v>0.11116350156087407</v>
      </c>
      <c r="J167" s="564"/>
    </row>
    <row r="168" spans="2:11" ht="5.0999999999999996" customHeight="1"/>
    <row r="169" spans="2:11">
      <c r="B169" s="565" t="s">
        <v>336</v>
      </c>
      <c r="C169" s="566">
        <f>MAX(C$156,C$158,C$162,C$164,C$166,C$160)</f>
        <v>124465</v>
      </c>
      <c r="D169" s="566">
        <f t="shared" ref="D169:H169" si="285">MAX(D$156,D$158,D$162,D$164,D$166,D$160)</f>
        <v>141112</v>
      </c>
      <c r="E169" s="566">
        <f t="shared" si="285"/>
        <v>158615</v>
      </c>
      <c r="F169" s="566">
        <f t="shared" si="285"/>
        <v>178289.0060731901</v>
      </c>
      <c r="G169" s="566">
        <f t="shared" si="285"/>
        <v>200403.30162069172</v>
      </c>
      <c r="H169" s="566">
        <f t="shared" si="285"/>
        <v>226495.3735183877</v>
      </c>
      <c r="I169" s="567"/>
      <c r="J169" s="568">
        <f t="shared" ref="J169:J175" si="286">((H169/C169)^(1/COUNT(C169:H169))-1)</f>
        <v>0.10493148421336351</v>
      </c>
    </row>
    <row r="170" spans="2:11">
      <c r="B170" s="569" t="s">
        <v>34</v>
      </c>
      <c r="C170" s="570">
        <f>(C169/'[2]3 Statement Model'!$H$22)-1</f>
        <v>0.14022792649187421</v>
      </c>
      <c r="D170" s="571">
        <f t="shared" ref="D170" si="287">SUM(D169/C169)-1</f>
        <v>0.13374844333748448</v>
      </c>
      <c r="E170" s="571">
        <f t="shared" ref="E170" si="288">SUM(E169/D169)-1</f>
        <v>0.12403622654345492</v>
      </c>
      <c r="F170" s="571">
        <f t="shared" ref="F170:H170" si="289">SUM(F169/E169)-1</f>
        <v>0.12403622654345492</v>
      </c>
      <c r="G170" s="571">
        <f t="shared" si="289"/>
        <v>0.12403622654345492</v>
      </c>
      <c r="H170" s="571">
        <f t="shared" si="289"/>
        <v>0.13019781454040658</v>
      </c>
      <c r="I170" s="572"/>
      <c r="J170" s="573"/>
    </row>
    <row r="171" spans="2:11">
      <c r="B171" s="574" t="s">
        <v>707</v>
      </c>
      <c r="C171" s="575">
        <f>MEDIAN(C$156,C$158,C$162,C$164,C$166,C$160)</f>
        <v>123362.5</v>
      </c>
      <c r="D171" s="575">
        <f t="shared" ref="D171:H171" si="290">MEDIAN(D$156,D$158,D$162,D$164,D$166,D$160)</f>
        <v>137362.5</v>
      </c>
      <c r="E171" s="575">
        <f t="shared" si="290"/>
        <v>151709.02486017169</v>
      </c>
      <c r="F171" s="575">
        <f t="shared" si="290"/>
        <v>167698.90652916371</v>
      </c>
      <c r="G171" s="575">
        <f t="shared" si="290"/>
        <v>185379.148878621</v>
      </c>
      <c r="H171" s="575">
        <f t="shared" si="290"/>
        <v>204928.97833116908</v>
      </c>
      <c r="I171" s="572"/>
      <c r="J171" s="573">
        <f t="shared" si="286"/>
        <v>8.8270112450954619E-2</v>
      </c>
    </row>
    <row r="172" spans="2:11">
      <c r="B172" s="569" t="s">
        <v>34</v>
      </c>
      <c r="C172" s="570">
        <f>(C171/'[2]3 Statement Model'!$H$22)-1</f>
        <v>0.13012788801553721</v>
      </c>
      <c r="D172" s="571">
        <f t="shared" ref="D172" si="291">SUM(D171/C171)-1</f>
        <v>0.11348667544837365</v>
      </c>
      <c r="E172" s="571">
        <f t="shared" ref="E172" si="292">SUM(E171/D171)-1</f>
        <v>0.1044428054248554</v>
      </c>
      <c r="F172" s="571">
        <f t="shared" ref="F172:H172" si="293">SUM(F171/E171)-1</f>
        <v>0.10539835506641548</v>
      </c>
      <c r="G172" s="571">
        <f t="shared" si="293"/>
        <v>0.1054284891618098</v>
      </c>
      <c r="H172" s="571">
        <f t="shared" si="293"/>
        <v>0.10545862126785654</v>
      </c>
      <c r="I172" s="572"/>
      <c r="J172" s="573"/>
    </row>
    <row r="173" spans="2:11">
      <c r="B173" s="574" t="s">
        <v>706</v>
      </c>
      <c r="C173" s="575">
        <f>AVERAGE(C$156,C$158,C$162,C$164,C$166,C$160)</f>
        <v>123457.83333333333</v>
      </c>
      <c r="D173" s="575">
        <f t="shared" ref="D173:H173" si="294">AVERAGE(D$156,D$158,D$162,D$164,D$166,D$160)</f>
        <v>137401.5</v>
      </c>
      <c r="E173" s="575">
        <f t="shared" si="294"/>
        <v>152371.67495339058</v>
      </c>
      <c r="F173" s="575">
        <f t="shared" si="294"/>
        <v>169004.84522938228</v>
      </c>
      <c r="G173" s="575">
        <f t="shared" si="294"/>
        <v>187489.30922552859</v>
      </c>
      <c r="H173" s="575">
        <f t="shared" si="294"/>
        <v>208035.07878282139</v>
      </c>
      <c r="I173" s="572"/>
      <c r="J173" s="573">
        <f t="shared" si="286"/>
        <v>9.0861598173892943E-2</v>
      </c>
    </row>
    <row r="174" spans="2:11">
      <c r="B174" s="569" t="s">
        <v>34</v>
      </c>
      <c r="C174" s="570">
        <f>(C173/'[2]3 Statement Model'!$H$22)-1</f>
        <v>0.13100123979308287</v>
      </c>
      <c r="D174" s="571">
        <f t="shared" ref="D174" si="295">SUM(D173/C173)-1</f>
        <v>0.11294274563379947</v>
      </c>
      <c r="E174" s="571">
        <f t="shared" ref="E174" si="296">SUM(E173/D173)-1</f>
        <v>0.10895204894699528</v>
      </c>
      <c r="F174" s="571">
        <f t="shared" ref="F174:H174" si="297">SUM(F173/E173)-1</f>
        <v>0.10916182604857272</v>
      </c>
      <c r="G174" s="571">
        <f t="shared" si="297"/>
        <v>0.10937239089836881</v>
      </c>
      <c r="H174" s="571">
        <f t="shared" si="297"/>
        <v>0.1095836858227397</v>
      </c>
      <c r="I174" s="572"/>
      <c r="J174" s="573"/>
    </row>
    <row r="175" spans="2:11">
      <c r="B175" s="576" t="s">
        <v>334</v>
      </c>
      <c r="C175" s="577">
        <f>MIN(C$156,C$158,C$162,C$164,C$166,C$160)</f>
        <v>122394</v>
      </c>
      <c r="D175" s="577">
        <f t="shared" ref="D175:H175" si="298">MIN(D$156,D$158,D$162,D$164,D$166,D$160)</f>
        <v>134072</v>
      </c>
      <c r="E175" s="577">
        <f t="shared" si="298"/>
        <v>146920</v>
      </c>
      <c r="F175" s="577">
        <f t="shared" si="298"/>
        <v>160999.2123635062</v>
      </c>
      <c r="G175" s="577">
        <f t="shared" si="298"/>
        <v>176427.62307153121</v>
      </c>
      <c r="H175" s="577">
        <f t="shared" si="298"/>
        <v>193262.04697937326</v>
      </c>
      <c r="I175" s="572"/>
      <c r="J175" s="573">
        <f t="shared" si="286"/>
        <v>7.9106746691483876E-2</v>
      </c>
    </row>
    <row r="176" spans="2:11">
      <c r="B176" s="578" t="s">
        <v>34</v>
      </c>
      <c r="C176" s="579">
        <f>(C175/'[2]3 Statement Model'!$H$22)-1</f>
        <v>0.1212554279118343</v>
      </c>
      <c r="D176" s="580">
        <f t="shared" ref="D176" si="299">SUM(D175/C175)-1</f>
        <v>9.5413173848391208E-2</v>
      </c>
      <c r="E176" s="580">
        <f t="shared" ref="E176" si="300">SUM(E175/D175)-1</f>
        <v>9.582910674861278E-2</v>
      </c>
      <c r="F176" s="580">
        <f t="shared" ref="F176:H176" si="301">SUM(F175/E175)-1</f>
        <v>9.582910674861278E-2</v>
      </c>
      <c r="G176" s="580">
        <f t="shared" si="301"/>
        <v>9.582910674861278E-2</v>
      </c>
      <c r="H176" s="580">
        <f t="shared" si="301"/>
        <v>9.5418300234179743E-2</v>
      </c>
      <c r="I176" s="581"/>
      <c r="J176" s="582"/>
    </row>
    <row r="177" spans="1:11">
      <c r="B177" s="8"/>
      <c r="C177" s="153"/>
      <c r="D177" s="153"/>
      <c r="E177" s="153"/>
      <c r="F177" s="153"/>
      <c r="G177" s="153"/>
      <c r="H177" s="153"/>
      <c r="I177" s="586"/>
      <c r="J177" s="587"/>
    </row>
    <row r="178" spans="1:11">
      <c r="A178" s="557" t="s">
        <v>19</v>
      </c>
      <c r="B178" s="149" t="s">
        <v>729</v>
      </c>
      <c r="C178" s="149"/>
      <c r="D178" s="149"/>
      <c r="E178" s="149"/>
      <c r="F178" s="149"/>
      <c r="G178" s="149"/>
      <c r="H178" s="149"/>
      <c r="I178" s="149"/>
      <c r="J178" s="149"/>
    </row>
    <row r="179" spans="1:11" ht="5.0999999999999996" customHeight="1"/>
    <row r="180" spans="1:11">
      <c r="A180" s="557" t="s">
        <v>19</v>
      </c>
      <c r="B180" s="149" t="s">
        <v>24</v>
      </c>
      <c r="C180" s="147" t="s">
        <v>370</v>
      </c>
      <c r="D180" s="147"/>
      <c r="E180" s="147"/>
      <c r="F180" s="147"/>
      <c r="G180" s="147"/>
      <c r="H180" s="147"/>
      <c r="I180" s="148"/>
      <c r="J180" s="2" t="s">
        <v>369</v>
      </c>
    </row>
    <row r="181" spans="1:11">
      <c r="B181" s="150" t="s">
        <v>342</v>
      </c>
      <c r="C181" s="154" t="str">
        <f t="shared" ref="C181:H181" si="302">C$9</f>
        <v>2026E</v>
      </c>
      <c r="D181" s="154" t="str">
        <f t="shared" si="302"/>
        <v>2027E</v>
      </c>
      <c r="E181" s="154" t="str">
        <f t="shared" si="302"/>
        <v>2028E</v>
      </c>
      <c r="F181" s="154" t="str">
        <f t="shared" si="302"/>
        <v>2029E</v>
      </c>
      <c r="G181" s="154" t="str">
        <f t="shared" si="302"/>
        <v>2030E</v>
      </c>
      <c r="H181" s="154" t="str">
        <f t="shared" si="302"/>
        <v>2031E</v>
      </c>
      <c r="I181" s="148"/>
      <c r="J181" s="315" t="str">
        <f>$J$9</f>
        <v>6-Year(F)</v>
      </c>
    </row>
    <row r="182" spans="1:11">
      <c r="B182" s="150" t="s">
        <v>718</v>
      </c>
      <c r="C182" s="148">
        <f t="shared" ref="C182:H182" si="303">C$10</f>
        <v>46295</v>
      </c>
      <c r="D182" s="148">
        <f t="shared" si="303"/>
        <v>46660</v>
      </c>
      <c r="E182" s="148">
        <f t="shared" si="303"/>
        <v>47026</v>
      </c>
      <c r="F182" s="148">
        <f t="shared" si="303"/>
        <v>47391</v>
      </c>
      <c r="G182" s="148">
        <f t="shared" si="303"/>
        <v>47756</v>
      </c>
      <c r="H182" s="148">
        <f t="shared" si="303"/>
        <v>48121</v>
      </c>
      <c r="I182" s="148"/>
      <c r="J182" s="3">
        <f>$H$44</f>
        <v>48121</v>
      </c>
    </row>
    <row r="183" spans="1:11" ht="5.0999999999999996" customHeight="1">
      <c r="B183" s="473"/>
    </row>
    <row r="184" spans="1:11">
      <c r="B184" s="432" t="s">
        <v>719</v>
      </c>
      <c r="C184" s="156">
        <v>220774</v>
      </c>
      <c r="D184" s="156">
        <v>251574</v>
      </c>
      <c r="E184" s="156">
        <v>273658</v>
      </c>
      <c r="F184" s="153">
        <f t="shared" ref="F184:G184" si="304">E184</f>
        <v>273658</v>
      </c>
      <c r="G184" s="153">
        <f t="shared" si="304"/>
        <v>273658</v>
      </c>
      <c r="H184" s="153">
        <f>G184</f>
        <v>273658</v>
      </c>
      <c r="J184" s="558">
        <f t="shared" ref="J184:J201" si="305">((H184/C184)^(1/COUNT(C184:H184))-1)</f>
        <v>3.6438102133536265E-2</v>
      </c>
      <c r="K184" s="432" t="s">
        <v>720</v>
      </c>
    </row>
    <row r="185" spans="1:11">
      <c r="B185" s="559" t="s">
        <v>730</v>
      </c>
      <c r="C185" s="588">
        <f t="shared" ref="C185:H185" si="306">C184/C12</f>
        <v>0.4798996613352694</v>
      </c>
      <c r="D185" s="588">
        <f t="shared" si="306"/>
        <v>0.47983017291692892</v>
      </c>
      <c r="E185" s="588">
        <f t="shared" si="306"/>
        <v>0.49158147547373848</v>
      </c>
      <c r="F185" s="588">
        <f t="shared" si="306"/>
        <v>0.46193605363171009</v>
      </c>
      <c r="G185" s="588">
        <f t="shared" si="306"/>
        <v>0.43309105561402134</v>
      </c>
      <c r="H185" s="588">
        <f t="shared" si="306"/>
        <v>0.4051181084296932</v>
      </c>
      <c r="J185" s="562"/>
    </row>
    <row r="186" spans="1:11">
      <c r="B186" s="432" t="s">
        <v>721</v>
      </c>
      <c r="C186" s="153">
        <f t="shared" ref="C186:H186" si="307">C187*C14</f>
        <v>217158.06599999999</v>
      </c>
      <c r="D186" s="153">
        <f t="shared" si="307"/>
        <v>242141.90700000001</v>
      </c>
      <c r="E186" s="153">
        <f t="shared" si="307"/>
        <v>254709.84</v>
      </c>
      <c r="F186" s="153">
        <f t="shared" si="307"/>
        <v>264964.64252333995</v>
      </c>
      <c r="G186" s="153">
        <f t="shared" si="307"/>
        <v>276551.95462960558</v>
      </c>
      <c r="H186" s="153">
        <f t="shared" si="307"/>
        <v>289624.70647173002</v>
      </c>
      <c r="J186" s="563">
        <f t="shared" si="305"/>
        <v>4.9163742388604659E-2</v>
      </c>
      <c r="K186" s="432" t="s">
        <v>722</v>
      </c>
    </row>
    <row r="187" spans="1:11">
      <c r="B187" s="559" t="s">
        <v>730</v>
      </c>
      <c r="C187" s="589">
        <v>0.47699999999999998</v>
      </c>
      <c r="D187" s="589">
        <v>0.48299999999999998</v>
      </c>
      <c r="E187" s="589">
        <v>0.49</v>
      </c>
      <c r="F187" s="588">
        <f>E187</f>
        <v>0.49</v>
      </c>
      <c r="G187" s="588">
        <f>F187</f>
        <v>0.49</v>
      </c>
      <c r="H187" s="588">
        <f>G187</f>
        <v>0.49</v>
      </c>
      <c r="J187" s="562"/>
    </row>
    <row r="188" spans="1:11">
      <c r="B188" s="432" t="s">
        <v>723</v>
      </c>
      <c r="C188" s="153">
        <f t="shared" ref="C188:H188" si="308">C189*C16</f>
        <v>214731.726</v>
      </c>
      <c r="D188" s="153">
        <f t="shared" si="308"/>
        <v>228113.92199999999</v>
      </c>
      <c r="E188" s="153">
        <f t="shared" si="308"/>
        <v>241623.40699999998</v>
      </c>
      <c r="F188" s="153">
        <f t="shared" si="308"/>
        <v>253478.1940988081</v>
      </c>
      <c r="G188" s="153">
        <f t="shared" si="308"/>
        <v>266144.35025046923</v>
      </c>
      <c r="H188" s="153">
        <f t="shared" si="308"/>
        <v>279686.73800089251</v>
      </c>
      <c r="J188" s="563">
        <f t="shared" si="305"/>
        <v>4.5031247456431611E-2</v>
      </c>
      <c r="K188" s="432" t="s">
        <v>720</v>
      </c>
    </row>
    <row r="189" spans="1:11">
      <c r="B189" s="559" t="s">
        <v>730</v>
      </c>
      <c r="C189" s="589">
        <v>0.47099999999999997</v>
      </c>
      <c r="D189" s="589">
        <v>0.47399999999999998</v>
      </c>
      <c r="E189" s="589">
        <v>0.47899999999999998</v>
      </c>
      <c r="F189" s="588">
        <f>E189</f>
        <v>0.47899999999999998</v>
      </c>
      <c r="G189" s="588">
        <f>F189</f>
        <v>0.47899999999999998</v>
      </c>
      <c r="H189" s="588">
        <f>G189</f>
        <v>0.47899999999999998</v>
      </c>
      <c r="J189" s="562"/>
    </row>
    <row r="190" spans="1:11">
      <c r="B190" s="432" t="s">
        <v>724</v>
      </c>
      <c r="C190" s="156">
        <v>213299</v>
      </c>
      <c r="D190" s="156">
        <v>223155</v>
      </c>
      <c r="E190" s="156">
        <v>231577</v>
      </c>
      <c r="F190" s="156">
        <v>240156</v>
      </c>
      <c r="G190" s="156">
        <v>245854</v>
      </c>
      <c r="H190" s="153">
        <f>G190</f>
        <v>245854</v>
      </c>
      <c r="J190" s="563">
        <f t="shared" si="305"/>
        <v>2.3956270479787989E-2</v>
      </c>
      <c r="K190" s="432" t="s">
        <v>722</v>
      </c>
    </row>
    <row r="191" spans="1:11">
      <c r="B191" s="559" t="s">
        <v>730</v>
      </c>
      <c r="C191" s="588">
        <f t="shared" ref="C191:H191" si="309">C190/C18</f>
        <v>0.47896948099045872</v>
      </c>
      <c r="D191" s="588">
        <f t="shared" si="309"/>
        <v>0.48102147142065749</v>
      </c>
      <c r="E191" s="588">
        <f t="shared" si="309"/>
        <v>0.48243298702759685</v>
      </c>
      <c r="F191" s="588">
        <f t="shared" si="309"/>
        <v>0.48383041477625294</v>
      </c>
      <c r="G191" s="588">
        <f t="shared" si="309"/>
        <v>0.48422002158619115</v>
      </c>
      <c r="H191" s="588">
        <f t="shared" si="309"/>
        <v>0.47337844925001415</v>
      </c>
      <c r="J191" s="562"/>
    </row>
    <row r="192" spans="1:11">
      <c r="B192" s="432" t="s">
        <v>725</v>
      </c>
      <c r="C192" s="156">
        <v>214057</v>
      </c>
      <c r="D192" s="156">
        <v>225695</v>
      </c>
      <c r="E192" s="156">
        <v>235643</v>
      </c>
      <c r="F192" s="153">
        <f t="shared" ref="F192" si="310">E192</f>
        <v>235643</v>
      </c>
      <c r="G192" s="153">
        <f>F192</f>
        <v>235643</v>
      </c>
      <c r="H192" s="153">
        <f>G192</f>
        <v>235643</v>
      </c>
      <c r="J192" s="563">
        <f t="shared" si="305"/>
        <v>1.6141490937207958E-2</v>
      </c>
      <c r="K192" s="432" t="s">
        <v>720</v>
      </c>
    </row>
    <row r="193" spans="2:11">
      <c r="B193" s="559" t="s">
        <v>730</v>
      </c>
      <c r="C193" s="588">
        <f t="shared" ref="C193:H193" si="311">C192/C20</f>
        <v>0.47488757701002543</v>
      </c>
      <c r="D193" s="588">
        <f t="shared" si="311"/>
        <v>0.48980544071530108</v>
      </c>
      <c r="E193" s="588">
        <f t="shared" si="311"/>
        <v>0.49650759269365213</v>
      </c>
      <c r="F193" s="588">
        <f t="shared" si="311"/>
        <v>0.48205387493777824</v>
      </c>
      <c r="G193" s="588">
        <f t="shared" si="311"/>
        <v>0.4680209160183062</v>
      </c>
      <c r="H193" s="588">
        <f t="shared" si="311"/>
        <v>0.45439646732201411</v>
      </c>
      <c r="J193" s="562"/>
    </row>
    <row r="194" spans="2:11">
      <c r="B194" s="432" t="s">
        <v>702</v>
      </c>
      <c r="C194" s="156">
        <v>210266</v>
      </c>
      <c r="D194" s="156">
        <v>228345</v>
      </c>
      <c r="E194" s="156">
        <v>250369</v>
      </c>
      <c r="F194" s="156">
        <v>270394</v>
      </c>
      <c r="G194" s="156">
        <v>289010</v>
      </c>
      <c r="H194" s="156">
        <v>307261</v>
      </c>
      <c r="J194" s="563">
        <f t="shared" si="305"/>
        <v>6.5261908326559981E-2</v>
      </c>
      <c r="K194" s="432" t="s">
        <v>720</v>
      </c>
    </row>
    <row r="195" spans="2:11">
      <c r="B195" s="559" t="s">
        <v>730</v>
      </c>
      <c r="C195" s="588">
        <f t="shared" ref="C195:H195" si="312">C194/C26</f>
        <v>0.46916048418586492</v>
      </c>
      <c r="D195" s="588">
        <f t="shared" si="312"/>
        <v>0.47746248277563685</v>
      </c>
      <c r="E195" s="588">
        <f t="shared" si="312"/>
        <v>0.48015472715626523</v>
      </c>
      <c r="F195" s="588">
        <f t="shared" si="312"/>
        <v>0.48895310358296296</v>
      </c>
      <c r="G195" s="588">
        <f t="shared" si="312"/>
        <v>0.50090384885359385</v>
      </c>
      <c r="H195" s="588">
        <f t="shared" si="312"/>
        <v>0.50800712920527213</v>
      </c>
      <c r="J195" s="562"/>
    </row>
    <row r="196" spans="2:11">
      <c r="B196" s="432" t="s">
        <v>726</v>
      </c>
      <c r="C196" s="153">
        <f t="shared" ref="C196:H196" si="313">C197*C28</f>
        <v>219272.60699999999</v>
      </c>
      <c r="D196" s="153">
        <f t="shared" si="313"/>
        <v>245635.42799999999</v>
      </c>
      <c r="E196" s="153">
        <f t="shared" si="313"/>
        <v>263048.848</v>
      </c>
      <c r="F196" s="153">
        <f t="shared" si="313"/>
        <v>277932.5520807117</v>
      </c>
      <c r="G196" s="153">
        <f t="shared" si="313"/>
        <v>293860.76670514501</v>
      </c>
      <c r="H196" s="153">
        <f t="shared" si="313"/>
        <v>310920.14296027628</v>
      </c>
      <c r="J196" s="563">
        <f t="shared" si="305"/>
        <v>5.9930557942565299E-2</v>
      </c>
      <c r="K196" s="432" t="s">
        <v>720</v>
      </c>
    </row>
    <row r="197" spans="2:11">
      <c r="B197" s="559" t="s">
        <v>730</v>
      </c>
      <c r="C197" s="589">
        <v>0.47699999999999998</v>
      </c>
      <c r="D197" s="589">
        <v>0.49199999999999999</v>
      </c>
      <c r="E197" s="589">
        <v>0.499</v>
      </c>
      <c r="F197" s="588">
        <f t="shared" ref="F197:H198" si="314">E197</f>
        <v>0.499</v>
      </c>
      <c r="G197" s="588">
        <f t="shared" si="314"/>
        <v>0.499</v>
      </c>
      <c r="H197" s="588">
        <f t="shared" si="314"/>
        <v>0.499</v>
      </c>
      <c r="J197" s="562"/>
    </row>
    <row r="198" spans="2:11">
      <c r="B198" s="432" t="s">
        <v>727</v>
      </c>
      <c r="C198" s="156">
        <v>214986</v>
      </c>
      <c r="D198" s="156">
        <v>226920</v>
      </c>
      <c r="E198" s="153">
        <f>D198</f>
        <v>226920</v>
      </c>
      <c r="F198" s="153">
        <f t="shared" si="314"/>
        <v>226920</v>
      </c>
      <c r="G198" s="153">
        <f t="shared" si="314"/>
        <v>226920</v>
      </c>
      <c r="H198" s="153">
        <f t="shared" si="314"/>
        <v>226920</v>
      </c>
      <c r="J198" s="563">
        <f t="shared" si="305"/>
        <v>9.0447626714842411E-3</v>
      </c>
      <c r="K198" s="432" t="s">
        <v>720</v>
      </c>
    </row>
    <row r="199" spans="2:11">
      <c r="B199" s="559" t="s">
        <v>730</v>
      </c>
      <c r="C199" s="588">
        <f t="shared" ref="C199:H199" si="315">C198/C30</f>
        <v>0.47350325674723309</v>
      </c>
      <c r="D199" s="588">
        <f t="shared" si="315"/>
        <v>0.46840869066972907</v>
      </c>
      <c r="E199" s="588">
        <f t="shared" si="315"/>
        <v>0.43858028085076844</v>
      </c>
      <c r="F199" s="588">
        <f t="shared" si="315"/>
        <v>0.41026737797393764</v>
      </c>
      <c r="G199" s="588">
        <f t="shared" si="315"/>
        <v>0.38343077498432804</v>
      </c>
      <c r="H199" s="588">
        <f t="shared" si="315"/>
        <v>0.35802790017252556</v>
      </c>
      <c r="J199" s="564"/>
    </row>
    <row r="200" spans="2:11" ht="5.0999999999999996" customHeight="1"/>
    <row r="201" spans="2:11">
      <c r="B201" s="565" t="s">
        <v>336</v>
      </c>
      <c r="C201" s="566">
        <f t="shared" ref="C201:H201" si="316">MAX(C$184,C$186,C$188,C$190,C$192,C$194,C$196,C$198)</f>
        <v>220774</v>
      </c>
      <c r="D201" s="566">
        <f t="shared" si="316"/>
        <v>251574</v>
      </c>
      <c r="E201" s="566">
        <f t="shared" si="316"/>
        <v>273658</v>
      </c>
      <c r="F201" s="566">
        <f t="shared" si="316"/>
        <v>277932.5520807117</v>
      </c>
      <c r="G201" s="566">
        <f t="shared" si="316"/>
        <v>293860.76670514501</v>
      </c>
      <c r="H201" s="566">
        <f t="shared" si="316"/>
        <v>310920.14296027628</v>
      </c>
      <c r="I201" s="567"/>
      <c r="J201" s="568">
        <f t="shared" si="305"/>
        <v>5.872578108992843E-2</v>
      </c>
    </row>
    <row r="202" spans="2:11">
      <c r="B202" s="569" t="s">
        <v>730</v>
      </c>
      <c r="C202" s="548">
        <f t="shared" ref="C202:H202" si="317">C201/C33</f>
        <v>0.4798996613352694</v>
      </c>
      <c r="D202" s="548">
        <f t="shared" si="317"/>
        <v>0.47983017291692892</v>
      </c>
      <c r="E202" s="548">
        <f t="shared" si="317"/>
        <v>0.49158147547373848</v>
      </c>
      <c r="F202" s="548">
        <f t="shared" si="317"/>
        <v>0.46915151862526838</v>
      </c>
      <c r="G202" s="548">
        <f t="shared" si="317"/>
        <v>0.46506394717449118</v>
      </c>
      <c r="H202" s="548">
        <f t="shared" si="317"/>
        <v>0.46028027753165235</v>
      </c>
      <c r="I202" s="572"/>
      <c r="J202" s="573"/>
    </row>
    <row r="203" spans="2:11">
      <c r="B203" s="574" t="s">
        <v>707</v>
      </c>
      <c r="C203" s="575">
        <f t="shared" ref="C203:H203" si="318">MEDIAN(C$184,C$186,C$188,C$190,C$192,C$194,C$196,C$198)</f>
        <v>214858.86300000001</v>
      </c>
      <c r="D203" s="575">
        <f t="shared" si="318"/>
        <v>228229.46100000001</v>
      </c>
      <c r="E203" s="575">
        <f t="shared" si="318"/>
        <v>245996.2035</v>
      </c>
      <c r="F203" s="575">
        <f t="shared" si="318"/>
        <v>259221.41831107403</v>
      </c>
      <c r="G203" s="575">
        <f t="shared" si="318"/>
        <v>269901.17512523464</v>
      </c>
      <c r="H203" s="575">
        <f t="shared" si="318"/>
        <v>276672.36900044628</v>
      </c>
      <c r="I203" s="572"/>
      <c r="J203" s="573">
        <f t="shared" ref="J203:J207" si="319">((H203/C203)^(1/COUNT(C203:H203))-1)</f>
        <v>4.3042695250846252E-2</v>
      </c>
    </row>
    <row r="204" spans="2:11">
      <c r="B204" s="569" t="s">
        <v>730</v>
      </c>
      <c r="C204" s="548">
        <f t="shared" ref="C204:H204" si="320">C203/C35</f>
        <v>0.47258559687584206</v>
      </c>
      <c r="D204" s="548">
        <f t="shared" si="320"/>
        <v>0.47028688969221144</v>
      </c>
      <c r="E204" s="548">
        <f t="shared" si="320"/>
        <v>0.4761556036108609</v>
      </c>
      <c r="F204" s="548">
        <f t="shared" si="320"/>
        <v>0.47663906940186829</v>
      </c>
      <c r="G204" s="548">
        <f t="shared" si="320"/>
        <v>0.47294299324468508</v>
      </c>
      <c r="H204" s="548">
        <f t="shared" si="320"/>
        <v>0.46269886945661493</v>
      </c>
      <c r="I204" s="572"/>
      <c r="J204" s="573"/>
    </row>
    <row r="205" spans="2:11">
      <c r="B205" s="574" t="s">
        <v>706</v>
      </c>
      <c r="C205" s="590">
        <f t="shared" ref="C205:H205" si="321">AVERAGE(C$184,C$186,C$188,C$190,C$192,C$194,C$196,C$198)</f>
        <v>215568.049875</v>
      </c>
      <c r="D205" s="590">
        <f t="shared" si="321"/>
        <v>233947.532125</v>
      </c>
      <c r="E205" s="590">
        <f t="shared" si="321"/>
        <v>247193.636875</v>
      </c>
      <c r="F205" s="590">
        <f t="shared" si="321"/>
        <v>255393.29858785745</v>
      </c>
      <c r="G205" s="590">
        <f t="shared" si="321"/>
        <v>263455.25894815248</v>
      </c>
      <c r="H205" s="590">
        <f t="shared" si="321"/>
        <v>271195.94842911232</v>
      </c>
      <c r="I205" s="572"/>
      <c r="J205" s="573">
        <f t="shared" si="319"/>
        <v>3.9002200509513418E-2</v>
      </c>
    </row>
    <row r="206" spans="2:11">
      <c r="B206" s="569" t="s">
        <v>730</v>
      </c>
      <c r="C206" s="548">
        <f t="shared" ref="C206:H206" si="322">C205/C37</f>
        <v>0.47471808956852385</v>
      </c>
      <c r="D206" s="548">
        <f t="shared" si="322"/>
        <v>0.48075825717849718</v>
      </c>
      <c r="E206" s="548">
        <f t="shared" si="322"/>
        <v>0.48267603532849285</v>
      </c>
      <c r="F206" s="548">
        <f t="shared" si="322"/>
        <v>0.47464266640212494</v>
      </c>
      <c r="G206" s="548">
        <f t="shared" si="322"/>
        <v>0.46672593590686545</v>
      </c>
      <c r="H206" s="548">
        <f t="shared" si="322"/>
        <v>0.45720180237156299</v>
      </c>
      <c r="I206" s="572"/>
      <c r="J206" s="573"/>
    </row>
    <row r="207" spans="2:11">
      <c r="B207" s="576" t="s">
        <v>334</v>
      </c>
      <c r="C207" s="577">
        <f t="shared" ref="C207:H207" si="323">MIN(C$184,C$186,C$188,C$190,C$192,C$194,C$196,C$198)</f>
        <v>210266</v>
      </c>
      <c r="D207" s="577">
        <f t="shared" si="323"/>
        <v>223155</v>
      </c>
      <c r="E207" s="577">
        <f t="shared" si="323"/>
        <v>226920</v>
      </c>
      <c r="F207" s="577">
        <f t="shared" si="323"/>
        <v>226920</v>
      </c>
      <c r="G207" s="577">
        <f t="shared" si="323"/>
        <v>226920</v>
      </c>
      <c r="H207" s="577">
        <f t="shared" si="323"/>
        <v>226920</v>
      </c>
      <c r="I207" s="572"/>
      <c r="J207" s="573">
        <f t="shared" si="319"/>
        <v>1.2785061676972687E-2</v>
      </c>
    </row>
    <row r="208" spans="2:11">
      <c r="B208" s="578" t="s">
        <v>730</v>
      </c>
      <c r="C208" s="591">
        <f t="shared" ref="C208:H208" si="324">C207/C39</f>
        <v>0.47215878597621086</v>
      </c>
      <c r="D208" s="591">
        <f t="shared" si="324"/>
        <v>0.48429310849962565</v>
      </c>
      <c r="E208" s="591">
        <f t="shared" si="324"/>
        <v>0.47812794326181363</v>
      </c>
      <c r="F208" s="591">
        <f t="shared" si="324"/>
        <v>0.46420927123182371</v>
      </c>
      <c r="G208" s="591">
        <f t="shared" si="324"/>
        <v>0.45069578244579317</v>
      </c>
      <c r="H208" s="591">
        <f t="shared" si="324"/>
        <v>0.43757568170797112</v>
      </c>
      <c r="I208" s="591"/>
      <c r="J208" s="592"/>
    </row>
    <row r="210" spans="1:11">
      <c r="A210" s="557" t="s">
        <v>19</v>
      </c>
      <c r="B210" s="149" t="s">
        <v>731</v>
      </c>
      <c r="C210" s="147" t="s">
        <v>370</v>
      </c>
      <c r="D210" s="147"/>
      <c r="E210" s="147"/>
      <c r="F210" s="147"/>
      <c r="G210" s="147"/>
      <c r="H210" s="147"/>
      <c r="I210" s="148"/>
      <c r="J210" s="2" t="s">
        <v>369</v>
      </c>
    </row>
    <row r="211" spans="1:11">
      <c r="B211" s="150" t="s">
        <v>342</v>
      </c>
      <c r="C211" s="154" t="str">
        <f t="shared" ref="C211:H211" si="325">C$9</f>
        <v>2026E</v>
      </c>
      <c r="D211" s="154" t="str">
        <f t="shared" si="325"/>
        <v>2027E</v>
      </c>
      <c r="E211" s="154" t="str">
        <f t="shared" si="325"/>
        <v>2028E</v>
      </c>
      <c r="F211" s="154" t="str">
        <f t="shared" si="325"/>
        <v>2029E</v>
      </c>
      <c r="G211" s="154" t="str">
        <f t="shared" si="325"/>
        <v>2030E</v>
      </c>
      <c r="H211" s="154" t="str">
        <f t="shared" si="325"/>
        <v>2031E</v>
      </c>
      <c r="I211" s="148"/>
      <c r="J211" s="315" t="str">
        <f>$J$9</f>
        <v>6-Year(F)</v>
      </c>
    </row>
    <row r="212" spans="1:11">
      <c r="B212" s="150" t="s">
        <v>718</v>
      </c>
      <c r="C212" s="148">
        <f t="shared" ref="C212:H212" si="326">C$10</f>
        <v>46295</v>
      </c>
      <c r="D212" s="148">
        <f t="shared" si="326"/>
        <v>46660</v>
      </c>
      <c r="E212" s="148">
        <f t="shared" si="326"/>
        <v>47026</v>
      </c>
      <c r="F212" s="148">
        <f t="shared" si="326"/>
        <v>47391</v>
      </c>
      <c r="G212" s="148">
        <f t="shared" si="326"/>
        <v>47756</v>
      </c>
      <c r="H212" s="148">
        <f t="shared" si="326"/>
        <v>48121</v>
      </c>
      <c r="I212" s="148"/>
      <c r="J212" s="3">
        <f>$H$44</f>
        <v>48121</v>
      </c>
    </row>
    <row r="213" spans="1:11" ht="5.0999999999999996" customHeight="1">
      <c r="B213" s="473"/>
    </row>
    <row r="214" spans="1:11">
      <c r="B214" s="432" t="s">
        <v>719</v>
      </c>
      <c r="C214" s="156">
        <v>37494.149743088921</v>
      </c>
      <c r="D214" s="156">
        <v>40009.410981718276</v>
      </c>
      <c r="E214" s="156">
        <v>42040.735071089141</v>
      </c>
      <c r="F214" s="153">
        <f t="shared" ref="F214:H214" si="327">E214</f>
        <v>42040.735071089141</v>
      </c>
      <c r="G214" s="153">
        <f t="shared" si="327"/>
        <v>42040.735071089141</v>
      </c>
      <c r="H214" s="153">
        <f t="shared" si="327"/>
        <v>42040.735071089141</v>
      </c>
      <c r="J214" s="558">
        <f t="shared" ref="J214:J220" si="328">((H214/C214)^(1/COUNT(C214:H214))-1)</f>
        <v>1.9258789478717731E-2</v>
      </c>
      <c r="K214" s="432" t="s">
        <v>720</v>
      </c>
    </row>
    <row r="215" spans="1:11">
      <c r="B215" s="559" t="s">
        <v>730</v>
      </c>
      <c r="C215" s="561">
        <f t="shared" ref="C215:H215" si="329">C214/C12</f>
        <v>8.1501579732043861E-2</v>
      </c>
      <c r="D215" s="561">
        <f t="shared" si="329"/>
        <v>7.631043982948299E-2</v>
      </c>
      <c r="E215" s="561">
        <f t="shared" si="329"/>
        <v>7.5519248756647145E-2</v>
      </c>
      <c r="F215" s="561">
        <f t="shared" si="329"/>
        <v>7.0964968137292347E-2</v>
      </c>
      <c r="G215" s="561">
        <f t="shared" si="329"/>
        <v>6.6533652700551074E-2</v>
      </c>
      <c r="H215" s="561">
        <f t="shared" si="329"/>
        <v>6.2236306152180808E-2</v>
      </c>
      <c r="J215" s="593"/>
    </row>
    <row r="216" spans="1:11">
      <c r="B216" s="432" t="s">
        <v>702</v>
      </c>
      <c r="C216" s="156">
        <v>36615</v>
      </c>
      <c r="D216" s="156">
        <v>42791</v>
      </c>
      <c r="E216" s="156">
        <v>45504</v>
      </c>
      <c r="F216" s="156">
        <v>48331</v>
      </c>
      <c r="G216" s="156">
        <v>49750</v>
      </c>
      <c r="H216" s="156">
        <v>52456</v>
      </c>
      <c r="J216" s="563">
        <f t="shared" si="328"/>
        <v>6.1751024444284264E-2</v>
      </c>
      <c r="K216" s="432" t="s">
        <v>720</v>
      </c>
    </row>
    <row r="217" spans="1:11">
      <c r="B217" s="559" t="s">
        <v>730</v>
      </c>
      <c r="C217" s="561">
        <f t="shared" ref="C217:H217" si="330">C216/C26</f>
        <v>8.169799743403805E-2</v>
      </c>
      <c r="D217" s="561">
        <f t="shared" si="330"/>
        <v>8.9474685674975477E-2</v>
      </c>
      <c r="E217" s="561">
        <f t="shared" si="330"/>
        <v>8.7267036671946976E-2</v>
      </c>
      <c r="F217" s="561">
        <f t="shared" si="330"/>
        <v>8.7396881769818052E-2</v>
      </c>
      <c r="G217" s="561">
        <f t="shared" si="330"/>
        <v>8.622527414437664E-2</v>
      </c>
      <c r="H217" s="561">
        <f t="shared" si="330"/>
        <v>8.672764187316892E-2</v>
      </c>
      <c r="J217" s="593"/>
    </row>
    <row r="218" spans="1:11">
      <c r="B218" s="432" t="s">
        <v>726</v>
      </c>
      <c r="C218" s="156">
        <v>43957</v>
      </c>
      <c r="D218" s="156">
        <v>48753</v>
      </c>
      <c r="E218" s="156">
        <v>52715</v>
      </c>
      <c r="F218" s="153">
        <f t="shared" ref="F218:H220" si="331">E218</f>
        <v>52715</v>
      </c>
      <c r="G218" s="153">
        <f t="shared" si="331"/>
        <v>52715</v>
      </c>
      <c r="H218" s="153">
        <f t="shared" si="331"/>
        <v>52715</v>
      </c>
      <c r="J218" s="563">
        <f t="shared" si="328"/>
        <v>3.0744503720837146E-2</v>
      </c>
      <c r="K218" s="432" t="s">
        <v>720</v>
      </c>
    </row>
    <row r="219" spans="1:11">
      <c r="B219" s="559" t="s">
        <v>730</v>
      </c>
      <c r="C219" s="561">
        <f t="shared" ref="C219:H219" si="332">C218/C28</f>
        <v>9.5622929315561975E-2</v>
      </c>
      <c r="D219" s="561">
        <f t="shared" si="332"/>
        <v>9.7650718364616362E-2</v>
      </c>
      <c r="E219" s="561">
        <f t="shared" si="332"/>
        <v>9.9999620602786291E-2</v>
      </c>
      <c r="F219" s="561">
        <f t="shared" si="332"/>
        <v>9.4644491273411846E-2</v>
      </c>
      <c r="G219" s="561">
        <f t="shared" si="332"/>
        <v>8.9514450312429023E-2</v>
      </c>
      <c r="H219" s="561">
        <f t="shared" si="332"/>
        <v>8.4603026196860928E-2</v>
      </c>
      <c r="J219" s="593"/>
    </row>
    <row r="220" spans="1:11">
      <c r="B220" s="432" t="s">
        <v>727</v>
      </c>
      <c r="C220" s="156">
        <v>39712</v>
      </c>
      <c r="D220" s="156">
        <v>40807</v>
      </c>
      <c r="E220" s="153">
        <f>D220</f>
        <v>40807</v>
      </c>
      <c r="F220" s="153">
        <f t="shared" si="331"/>
        <v>40807</v>
      </c>
      <c r="G220" s="153">
        <f t="shared" si="331"/>
        <v>40807</v>
      </c>
      <c r="H220" s="153">
        <f t="shared" si="331"/>
        <v>40807</v>
      </c>
      <c r="J220" s="563">
        <f t="shared" si="328"/>
        <v>4.5436623219055061E-3</v>
      </c>
      <c r="K220" s="432" t="s">
        <v>720</v>
      </c>
    </row>
    <row r="221" spans="1:11">
      <c r="B221" s="559" t="s">
        <v>730</v>
      </c>
      <c r="C221" s="561">
        <f t="shared" ref="C221:H221" si="333">C220/C30</f>
        <v>8.7465050430940244E-2</v>
      </c>
      <c r="D221" s="561">
        <f t="shared" si="333"/>
        <v>8.4233886127973001E-2</v>
      </c>
      <c r="E221" s="561">
        <f t="shared" si="333"/>
        <v>7.8869846292426007E-2</v>
      </c>
      <c r="F221" s="561">
        <f t="shared" si="333"/>
        <v>7.3778339912667343E-2</v>
      </c>
      <c r="G221" s="561">
        <f t="shared" si="333"/>
        <v>6.8952316388090407E-2</v>
      </c>
      <c r="H221" s="561">
        <f t="shared" si="333"/>
        <v>6.4384120052618773E-2</v>
      </c>
      <c r="J221" s="564"/>
    </row>
    <row r="222" spans="1:11" ht="5.0999999999999996" customHeight="1"/>
    <row r="223" spans="1:11">
      <c r="B223" s="565" t="s">
        <v>336</v>
      </c>
      <c r="C223" s="566">
        <f t="shared" ref="C223:H223" si="334">MAX(C214,C216,C218,C220)</f>
        <v>43957</v>
      </c>
      <c r="D223" s="566">
        <f t="shared" si="334"/>
        <v>48753</v>
      </c>
      <c r="E223" s="566">
        <f t="shared" si="334"/>
        <v>52715</v>
      </c>
      <c r="F223" s="566">
        <f t="shared" si="334"/>
        <v>52715</v>
      </c>
      <c r="G223" s="566">
        <f t="shared" si="334"/>
        <v>52715</v>
      </c>
      <c r="H223" s="566">
        <f t="shared" si="334"/>
        <v>52715</v>
      </c>
      <c r="I223" s="567"/>
      <c r="J223" s="568">
        <f t="shared" ref="J223:J229" si="335">((H223/C223)^(1/COUNT(C223:H223))-1)</f>
        <v>3.0744503720837146E-2</v>
      </c>
    </row>
    <row r="224" spans="1:11">
      <c r="B224" s="569" t="s">
        <v>730</v>
      </c>
      <c r="C224" s="594">
        <f t="shared" ref="C224:H224" si="336">C223/C33</f>
        <v>9.5549971524339083E-2</v>
      </c>
      <c r="D224" s="594">
        <f t="shared" si="336"/>
        <v>9.2987194305528542E-2</v>
      </c>
      <c r="E224" s="594">
        <f t="shared" si="336"/>
        <v>9.4693805697615721E-2</v>
      </c>
      <c r="F224" s="594">
        <f t="shared" si="336"/>
        <v>8.8983179980835922E-2</v>
      </c>
      <c r="G224" s="594">
        <f t="shared" si="336"/>
        <v>8.342674066423468E-2</v>
      </c>
      <c r="H224" s="594">
        <f t="shared" si="336"/>
        <v>7.8038285326470544E-2</v>
      </c>
      <c r="I224" s="572"/>
      <c r="J224" s="573"/>
    </row>
    <row r="225" spans="1:11">
      <c r="B225" s="574" t="s">
        <v>707</v>
      </c>
      <c r="C225" s="575">
        <f t="shared" ref="C225:H225" si="337">MEDIAN(C214,C216,C218,C220)</f>
        <v>38603.074871544464</v>
      </c>
      <c r="D225" s="575">
        <f t="shared" si="337"/>
        <v>41799</v>
      </c>
      <c r="E225" s="575">
        <f t="shared" si="337"/>
        <v>43772.367535544574</v>
      </c>
      <c r="F225" s="575">
        <f t="shared" si="337"/>
        <v>45185.867535544574</v>
      </c>
      <c r="G225" s="575">
        <f t="shared" si="337"/>
        <v>45895.367535544574</v>
      </c>
      <c r="H225" s="575">
        <f t="shared" si="337"/>
        <v>47248.367535544574</v>
      </c>
      <c r="I225" s="572"/>
      <c r="J225" s="573">
        <f t="shared" si="335"/>
        <v>3.4254656288727814E-2</v>
      </c>
    </row>
    <row r="226" spans="1:11">
      <c r="B226" s="569" t="s">
        <v>730</v>
      </c>
      <c r="C226" s="594">
        <f t="shared" ref="C226:H226" si="338">C225/C35</f>
        <v>8.4908096993009136E-2</v>
      </c>
      <c r="D226" s="594">
        <f t="shared" si="338"/>
        <v>8.6130518015133661E-2</v>
      </c>
      <c r="E226" s="594">
        <f t="shared" si="338"/>
        <v>8.4726746953083271E-2</v>
      </c>
      <c r="F226" s="594">
        <f t="shared" si="338"/>
        <v>8.3084762025383826E-2</v>
      </c>
      <c r="G226" s="594">
        <f t="shared" si="338"/>
        <v>8.0421630206885253E-2</v>
      </c>
      <c r="H226" s="594">
        <f t="shared" si="338"/>
        <v>7.9016803598236582E-2</v>
      </c>
      <c r="I226" s="572"/>
      <c r="J226" s="573"/>
    </row>
    <row r="227" spans="1:11">
      <c r="B227" s="574" t="s">
        <v>706</v>
      </c>
      <c r="C227" s="575">
        <f t="shared" ref="C227:H227" si="339">AVERAGE(C214,C216,C218,C220)</f>
        <v>39444.537435772232</v>
      </c>
      <c r="D227" s="575">
        <f t="shared" si="339"/>
        <v>43090.102745429569</v>
      </c>
      <c r="E227" s="575">
        <f t="shared" si="339"/>
        <v>45266.683767772287</v>
      </c>
      <c r="F227" s="575">
        <f t="shared" si="339"/>
        <v>45973.433767772287</v>
      </c>
      <c r="G227" s="575">
        <f t="shared" si="339"/>
        <v>46328.183767772287</v>
      </c>
      <c r="H227" s="575">
        <f t="shared" si="339"/>
        <v>47004.683767772287</v>
      </c>
      <c r="I227" s="572"/>
      <c r="J227" s="573">
        <f t="shared" si="335"/>
        <v>2.9656529666298503E-2</v>
      </c>
    </row>
    <row r="228" spans="1:11">
      <c r="B228" s="569" t="s">
        <v>730</v>
      </c>
      <c r="C228" s="594">
        <f t="shared" ref="C228:H228" si="340">C227/C37</f>
        <v>8.6863686275781005E-2</v>
      </c>
      <c r="D228" s="594">
        <f t="shared" si="340"/>
        <v>8.8549438882161047E-2</v>
      </c>
      <c r="E228" s="594">
        <f t="shared" si="340"/>
        <v>8.838877784117706E-2</v>
      </c>
      <c r="F228" s="594">
        <f t="shared" si="340"/>
        <v>8.5440586373453087E-2</v>
      </c>
      <c r="G228" s="594">
        <f t="shared" si="340"/>
        <v>8.2073005542599761E-2</v>
      </c>
      <c r="H228" s="594">
        <f t="shared" si="340"/>
        <v>7.9243905607786977E-2</v>
      </c>
      <c r="I228" s="572"/>
      <c r="J228" s="573"/>
    </row>
    <row r="229" spans="1:11">
      <c r="B229" s="576" t="s">
        <v>334</v>
      </c>
      <c r="C229" s="577">
        <f t="shared" ref="C229:H229" si="341">MIN(C214,C216,C218,C220)</f>
        <v>36615</v>
      </c>
      <c r="D229" s="577">
        <f t="shared" si="341"/>
        <v>40009.410981718276</v>
      </c>
      <c r="E229" s="577">
        <f t="shared" si="341"/>
        <v>40807</v>
      </c>
      <c r="F229" s="577">
        <f t="shared" si="341"/>
        <v>40807</v>
      </c>
      <c r="G229" s="577">
        <f t="shared" si="341"/>
        <v>40807</v>
      </c>
      <c r="H229" s="577">
        <f t="shared" si="341"/>
        <v>40807</v>
      </c>
      <c r="I229" s="572"/>
      <c r="J229" s="573">
        <f t="shared" si="335"/>
        <v>1.8230116746620562E-2</v>
      </c>
    </row>
    <row r="230" spans="1:11">
      <c r="B230" s="578" t="s">
        <v>730</v>
      </c>
      <c r="C230" s="595">
        <f t="shared" ref="C230:H230" si="342">C229/C39</f>
        <v>8.22201114232399E-2</v>
      </c>
      <c r="D230" s="595">
        <f t="shared" si="342"/>
        <v>8.6828805151466029E-2</v>
      </c>
      <c r="E230" s="595">
        <f t="shared" si="342"/>
        <v>8.5981698310791596E-2</v>
      </c>
      <c r="F230" s="595">
        <f t="shared" si="342"/>
        <v>8.3478704967200029E-2</v>
      </c>
      <c r="G230" s="595">
        <f t="shared" si="342"/>
        <v>8.1048575684230045E-2</v>
      </c>
      <c r="H230" s="595">
        <f t="shared" si="342"/>
        <v>7.8689189333056478E-2</v>
      </c>
      <c r="I230" s="581"/>
      <c r="J230" s="582"/>
    </row>
    <row r="232" spans="1:11">
      <c r="A232" s="557" t="s">
        <v>19</v>
      </c>
      <c r="B232" s="149" t="s">
        <v>732</v>
      </c>
      <c r="C232" s="147" t="s">
        <v>370</v>
      </c>
      <c r="D232" s="147"/>
      <c r="E232" s="147"/>
      <c r="F232" s="147"/>
      <c r="G232" s="147"/>
      <c r="H232" s="147"/>
      <c r="I232" s="148"/>
      <c r="J232" s="2" t="s">
        <v>369</v>
      </c>
    </row>
    <row r="233" spans="1:11">
      <c r="B233" s="150" t="s">
        <v>342</v>
      </c>
      <c r="C233" s="154" t="str">
        <f t="shared" ref="C233:H233" si="343">C$9</f>
        <v>2026E</v>
      </c>
      <c r="D233" s="154" t="str">
        <f t="shared" si="343"/>
        <v>2027E</v>
      </c>
      <c r="E233" s="154" t="str">
        <f t="shared" si="343"/>
        <v>2028E</v>
      </c>
      <c r="F233" s="154" t="str">
        <f t="shared" si="343"/>
        <v>2029E</v>
      </c>
      <c r="G233" s="154" t="str">
        <f t="shared" si="343"/>
        <v>2030E</v>
      </c>
      <c r="H233" s="154" t="str">
        <f t="shared" si="343"/>
        <v>2031E</v>
      </c>
      <c r="I233" s="148"/>
      <c r="J233" s="315" t="str">
        <f>$J$9</f>
        <v>6-Year(F)</v>
      </c>
    </row>
    <row r="234" spans="1:11">
      <c r="B234" s="150" t="s">
        <v>718</v>
      </c>
      <c r="C234" s="148">
        <f t="shared" ref="C234:H234" si="344">C$10</f>
        <v>46295</v>
      </c>
      <c r="D234" s="148">
        <f t="shared" si="344"/>
        <v>46660</v>
      </c>
      <c r="E234" s="148">
        <f t="shared" si="344"/>
        <v>47026</v>
      </c>
      <c r="F234" s="148">
        <f t="shared" si="344"/>
        <v>47391</v>
      </c>
      <c r="G234" s="148">
        <f t="shared" si="344"/>
        <v>47756</v>
      </c>
      <c r="H234" s="148">
        <f t="shared" si="344"/>
        <v>48121</v>
      </c>
      <c r="I234" s="148"/>
      <c r="J234" s="3">
        <f>$H$44</f>
        <v>48121</v>
      </c>
    </row>
    <row r="235" spans="1:11" ht="5.0999999999999996" customHeight="1">
      <c r="B235" s="473"/>
    </row>
    <row r="236" spans="1:11">
      <c r="B236" s="432" t="s">
        <v>719</v>
      </c>
      <c r="C236" s="156">
        <v>30818.924184174273</v>
      </c>
      <c r="D236" s="156">
        <v>32860.623975116185</v>
      </c>
      <c r="E236" s="156">
        <v>34520.318469146499</v>
      </c>
      <c r="F236" s="153">
        <f t="shared" ref="F236:H236" si="345">E236</f>
        <v>34520.318469146499</v>
      </c>
      <c r="G236" s="153">
        <f t="shared" si="345"/>
        <v>34520.318469146499</v>
      </c>
      <c r="H236" s="153">
        <f t="shared" si="345"/>
        <v>34520.318469146499</v>
      </c>
      <c r="J236" s="558">
        <f t="shared" ref="J236:J242" si="346">((H236/C236)^(1/COUNT(C236:H236))-1)</f>
        <v>1.9082991334943289E-2</v>
      </c>
      <c r="K236" s="432" t="s">
        <v>720</v>
      </c>
    </row>
    <row r="237" spans="1:11">
      <c r="B237" s="559" t="s">
        <v>730</v>
      </c>
      <c r="C237" s="561">
        <f t="shared" ref="C237:H237" si="347">C236/C12</f>
        <v>6.6991544650649881E-2</v>
      </c>
      <c r="D237" s="561">
        <f t="shared" si="347"/>
        <v>6.2675470772568631E-2</v>
      </c>
      <c r="E237" s="561">
        <f t="shared" si="347"/>
        <v>6.2010060319400061E-2</v>
      </c>
      <c r="F237" s="561">
        <f t="shared" si="347"/>
        <v>5.8270467823880061E-2</v>
      </c>
      <c r="G237" s="561">
        <f t="shared" si="347"/>
        <v>5.4631844002129865E-2</v>
      </c>
      <c r="H237" s="561">
        <f t="shared" si="347"/>
        <v>5.1103224172548339E-2</v>
      </c>
      <c r="J237" s="593"/>
    </row>
    <row r="238" spans="1:11">
      <c r="B238" s="432" t="s">
        <v>702</v>
      </c>
      <c r="C238" s="156">
        <v>30200</v>
      </c>
      <c r="D238" s="156">
        <v>33000</v>
      </c>
      <c r="E238" s="156">
        <v>35606</v>
      </c>
      <c r="F238" s="156">
        <v>36654</v>
      </c>
      <c r="G238" s="156">
        <v>36587</v>
      </c>
      <c r="H238" s="156">
        <v>37425</v>
      </c>
      <c r="J238" s="563">
        <f t="shared" si="346"/>
        <v>3.6396197747287307E-2</v>
      </c>
      <c r="K238" s="432" t="s">
        <v>720</v>
      </c>
    </row>
    <row r="239" spans="1:11">
      <c r="B239" s="559" t="s">
        <v>730</v>
      </c>
      <c r="C239" s="561">
        <f t="shared" ref="C239:H239" si="348">C238/C26</f>
        <v>6.7384392257488698E-2</v>
      </c>
      <c r="D239" s="561">
        <f t="shared" si="348"/>
        <v>6.9002001058030685E-2</v>
      </c>
      <c r="E239" s="561">
        <f t="shared" si="348"/>
        <v>6.8284768542135721E-2</v>
      </c>
      <c r="F239" s="561">
        <f t="shared" si="348"/>
        <v>6.6281378502222404E-2</v>
      </c>
      <c r="G239" s="561">
        <f t="shared" si="348"/>
        <v>6.341153980141323E-2</v>
      </c>
      <c r="H239" s="561">
        <f t="shared" si="348"/>
        <v>6.1876277205721884E-2</v>
      </c>
      <c r="J239" s="593"/>
    </row>
    <row r="240" spans="1:11">
      <c r="B240" s="432" t="s">
        <v>726</v>
      </c>
      <c r="C240" s="156">
        <v>30013</v>
      </c>
      <c r="D240" s="156">
        <v>31753</v>
      </c>
      <c r="E240" s="156">
        <v>34265</v>
      </c>
      <c r="F240" s="153">
        <f t="shared" ref="F240:H240" si="349">E240</f>
        <v>34265</v>
      </c>
      <c r="G240" s="153">
        <f t="shared" si="349"/>
        <v>34265</v>
      </c>
      <c r="H240" s="153">
        <f t="shared" si="349"/>
        <v>34265</v>
      </c>
      <c r="J240" s="563">
        <f t="shared" si="346"/>
        <v>2.2327919261178941E-2</v>
      </c>
      <c r="K240" s="432" t="s">
        <v>720</v>
      </c>
    </row>
    <row r="241" spans="1:11">
      <c r="B241" s="559" t="s">
        <v>730</v>
      </c>
      <c r="C241" s="561">
        <f t="shared" ref="C241:H241" si="350">C240/C28</f>
        <v>6.5289509692380315E-2</v>
      </c>
      <c r="D241" s="561">
        <f t="shared" si="350"/>
        <v>6.3600255578767736E-2</v>
      </c>
      <c r="E241" s="561">
        <f t="shared" si="350"/>
        <v>6.5000227638328217E-2</v>
      </c>
      <c r="F241" s="561">
        <f t="shared" si="350"/>
        <v>6.1519368177624149E-2</v>
      </c>
      <c r="G241" s="561">
        <f t="shared" si="350"/>
        <v>5.8184817223852422E-2</v>
      </c>
      <c r="H241" s="561">
        <f t="shared" si="350"/>
        <v>5.4992368256386981E-2</v>
      </c>
      <c r="J241" s="593"/>
    </row>
    <row r="242" spans="1:11">
      <c r="B242" s="432" t="s">
        <v>727</v>
      </c>
      <c r="C242" s="156">
        <v>29824</v>
      </c>
      <c r="D242" s="156">
        <v>31292</v>
      </c>
      <c r="E242" s="153">
        <f>D242</f>
        <v>31292</v>
      </c>
      <c r="F242" s="153">
        <f t="shared" ref="F242:H242" si="351">E242</f>
        <v>31292</v>
      </c>
      <c r="G242" s="153">
        <f t="shared" si="351"/>
        <v>31292</v>
      </c>
      <c r="H242" s="153">
        <f t="shared" si="351"/>
        <v>31292</v>
      </c>
      <c r="J242" s="563">
        <f t="shared" si="346"/>
        <v>8.0403237338593225E-3</v>
      </c>
      <c r="K242" s="432" t="s">
        <v>720</v>
      </c>
    </row>
    <row r="243" spans="1:11">
      <c r="B243" s="559" t="s">
        <v>730</v>
      </c>
      <c r="C243" s="561">
        <f t="shared" ref="C243:H243" si="352">C242/C30</f>
        <v>6.5686887189070356E-2</v>
      </c>
      <c r="D243" s="561">
        <f t="shared" si="352"/>
        <v>6.4593005237251727E-2</v>
      </c>
      <c r="E243" s="561">
        <f t="shared" si="352"/>
        <v>6.0479702751552296E-2</v>
      </c>
      <c r="F243" s="561">
        <f t="shared" si="352"/>
        <v>5.6575386883308904E-2</v>
      </c>
      <c r="G243" s="561">
        <f t="shared" si="352"/>
        <v>5.287465102595449E-2</v>
      </c>
      <c r="H243" s="561">
        <f t="shared" si="352"/>
        <v>4.9371624591039442E-2</v>
      </c>
      <c r="J243" s="564"/>
    </row>
    <row r="244" spans="1:11" ht="5.0999999999999996" customHeight="1"/>
    <row r="245" spans="1:11">
      <c r="B245" s="565" t="s">
        <v>336</v>
      </c>
      <c r="C245" s="566">
        <f t="shared" ref="C245:H245" si="353">MAX(C236,C238,C240,C242)</f>
        <v>30818.924184174273</v>
      </c>
      <c r="D245" s="566">
        <f t="shared" si="353"/>
        <v>33000</v>
      </c>
      <c r="E245" s="566">
        <f t="shared" si="353"/>
        <v>35606</v>
      </c>
      <c r="F245" s="566">
        <f t="shared" si="353"/>
        <v>36654</v>
      </c>
      <c r="G245" s="566">
        <f t="shared" si="353"/>
        <v>36587</v>
      </c>
      <c r="H245" s="566">
        <f t="shared" si="353"/>
        <v>37425</v>
      </c>
      <c r="I245" s="567"/>
      <c r="J245" s="568">
        <f t="shared" ref="J245:J251" si="354">((H245/C245)^(1/COUNT(C245:H245))-1)</f>
        <v>3.2897887249798696E-2</v>
      </c>
    </row>
    <row r="246" spans="1:11">
      <c r="B246" s="569" t="s">
        <v>730</v>
      </c>
      <c r="C246" s="594">
        <f t="shared" ref="C246:H246" si="355">C245/C33</f>
        <v>6.6991544650649881E-2</v>
      </c>
      <c r="D246" s="594">
        <f t="shared" si="355"/>
        <v>6.2941304372704079E-2</v>
      </c>
      <c r="E246" s="594">
        <f t="shared" si="355"/>
        <v>6.396030817925269E-2</v>
      </c>
      <c r="F246" s="594">
        <f t="shared" si="355"/>
        <v>6.1872132770891777E-2</v>
      </c>
      <c r="G246" s="594">
        <f t="shared" si="355"/>
        <v>5.7902573474008429E-2</v>
      </c>
      <c r="H246" s="594">
        <f t="shared" si="355"/>
        <v>5.5403259572098268E-2</v>
      </c>
      <c r="I246" s="572"/>
      <c r="J246" s="573"/>
    </row>
    <row r="247" spans="1:11">
      <c r="B247" s="574" t="s">
        <v>707</v>
      </c>
      <c r="C247" s="575">
        <f t="shared" ref="C247:H247" si="356">MEDIAN(C236,C238,C240,C242)</f>
        <v>30106.5</v>
      </c>
      <c r="D247" s="575">
        <f t="shared" si="356"/>
        <v>32306.811987558092</v>
      </c>
      <c r="E247" s="575">
        <f t="shared" si="356"/>
        <v>34392.65923457325</v>
      </c>
      <c r="F247" s="575">
        <f t="shared" si="356"/>
        <v>34392.65923457325</v>
      </c>
      <c r="G247" s="575">
        <f t="shared" si="356"/>
        <v>34392.65923457325</v>
      </c>
      <c r="H247" s="575">
        <f t="shared" si="356"/>
        <v>34392.65923457325</v>
      </c>
      <c r="I247" s="572"/>
      <c r="J247" s="573">
        <f t="shared" si="354"/>
        <v>2.2431562679172012E-2</v>
      </c>
    </row>
    <row r="248" spans="1:11">
      <c r="B248" s="569" t="s">
        <v>730</v>
      </c>
      <c r="C248" s="594">
        <f t="shared" ref="C248:H248" si="357">C247/C35</f>
        <v>6.6219741060169993E-2</v>
      </c>
      <c r="D248" s="594">
        <f t="shared" si="357"/>
        <v>6.6571029256822137E-2</v>
      </c>
      <c r="E248" s="594">
        <f t="shared" si="357"/>
        <v>6.6571179492291938E-2</v>
      </c>
      <c r="F248" s="594">
        <f t="shared" si="357"/>
        <v>6.3238929864007518E-2</v>
      </c>
      <c r="G248" s="594">
        <f t="shared" si="357"/>
        <v>6.0265640549716712E-2</v>
      </c>
      <c r="H248" s="594">
        <f t="shared" si="357"/>
        <v>5.7517288780716595E-2</v>
      </c>
      <c r="I248" s="572"/>
      <c r="J248" s="573"/>
    </row>
    <row r="249" spans="1:11">
      <c r="B249" s="574" t="s">
        <v>706</v>
      </c>
      <c r="C249" s="575">
        <f t="shared" ref="C249:H249" si="358">AVERAGE(C236,C238,C240,C242)</f>
        <v>30213.981046043569</v>
      </c>
      <c r="D249" s="575">
        <f t="shared" si="358"/>
        <v>32226.405993779044</v>
      </c>
      <c r="E249" s="575">
        <f t="shared" si="358"/>
        <v>33920.829617286625</v>
      </c>
      <c r="F249" s="575">
        <f t="shared" si="358"/>
        <v>34182.829617286625</v>
      </c>
      <c r="G249" s="575">
        <f t="shared" si="358"/>
        <v>34166.079617286625</v>
      </c>
      <c r="H249" s="575">
        <f t="shared" si="358"/>
        <v>34375.579617286625</v>
      </c>
      <c r="I249" s="572"/>
      <c r="J249" s="573">
        <f t="shared" si="354"/>
        <v>2.1739883169842544E-2</v>
      </c>
    </row>
    <row r="250" spans="1:11">
      <c r="B250" s="569" t="s">
        <v>730</v>
      </c>
      <c r="C250" s="594">
        <f t="shared" ref="C250:H250" si="359">C249/C37</f>
        <v>6.653640634015312E-2</v>
      </c>
      <c r="D250" s="594">
        <f t="shared" si="359"/>
        <v>6.622472415061767E-2</v>
      </c>
      <c r="E250" s="594">
        <f t="shared" si="359"/>
        <v>6.6234599570233074E-2</v>
      </c>
      <c r="F250" s="594">
        <f t="shared" si="359"/>
        <v>6.3528015356820497E-2</v>
      </c>
      <c r="G250" s="594">
        <f t="shared" si="359"/>
        <v>6.0527148136317002E-2</v>
      </c>
      <c r="H250" s="594">
        <f t="shared" si="359"/>
        <v>5.7952845717747704E-2</v>
      </c>
      <c r="I250" s="572"/>
      <c r="J250" s="573"/>
    </row>
    <row r="251" spans="1:11">
      <c r="B251" s="576" t="s">
        <v>334</v>
      </c>
      <c r="C251" s="577">
        <f t="shared" ref="C251:H251" si="360">MIN(C236,C238,C240,C242)</f>
        <v>29824</v>
      </c>
      <c r="D251" s="577">
        <f t="shared" si="360"/>
        <v>31292</v>
      </c>
      <c r="E251" s="577">
        <f t="shared" si="360"/>
        <v>31292</v>
      </c>
      <c r="F251" s="577">
        <f t="shared" si="360"/>
        <v>31292</v>
      </c>
      <c r="G251" s="577">
        <f t="shared" si="360"/>
        <v>31292</v>
      </c>
      <c r="H251" s="577">
        <f t="shared" si="360"/>
        <v>31292</v>
      </c>
      <c r="I251" s="572"/>
      <c r="J251" s="573">
        <f t="shared" si="354"/>
        <v>8.0403237338593225E-3</v>
      </c>
    </row>
    <row r="252" spans="1:11">
      <c r="B252" s="578" t="s">
        <v>730</v>
      </c>
      <c r="C252" s="595">
        <f t="shared" ref="C252:H252" si="361">C251/C39</f>
        <v>6.6970711541354824E-2</v>
      </c>
      <c r="D252" s="595">
        <f t="shared" si="361"/>
        <v>6.7910196729494235E-2</v>
      </c>
      <c r="E252" s="595">
        <f t="shared" si="361"/>
        <v>6.5933278690942496E-2</v>
      </c>
      <c r="F252" s="595">
        <f t="shared" si="361"/>
        <v>6.4013910256417367E-2</v>
      </c>
      <c r="G252" s="595">
        <f t="shared" si="361"/>
        <v>6.2150416112699454E-2</v>
      </c>
      <c r="H252" s="595">
        <f t="shared" si="361"/>
        <v>6.0341169716225239E-2</v>
      </c>
      <c r="I252" s="581"/>
      <c r="J252" s="582"/>
    </row>
    <row r="254" spans="1:11">
      <c r="A254" s="557" t="s">
        <v>19</v>
      </c>
      <c r="B254" s="149" t="s">
        <v>313</v>
      </c>
      <c r="C254" s="147" t="s">
        <v>370</v>
      </c>
      <c r="D254" s="147"/>
      <c r="E254" s="147"/>
      <c r="F254" s="147"/>
      <c r="G254" s="147"/>
      <c r="H254" s="147"/>
      <c r="I254" s="148"/>
      <c r="J254" s="2" t="s">
        <v>369</v>
      </c>
    </row>
    <row r="255" spans="1:11">
      <c r="B255" s="150" t="s">
        <v>342</v>
      </c>
      <c r="C255" s="154" t="str">
        <f t="shared" ref="C255:H255" si="362">C$9</f>
        <v>2026E</v>
      </c>
      <c r="D255" s="154" t="str">
        <f t="shared" si="362"/>
        <v>2027E</v>
      </c>
      <c r="E255" s="154" t="str">
        <f t="shared" si="362"/>
        <v>2028E</v>
      </c>
      <c r="F255" s="154" t="str">
        <f t="shared" si="362"/>
        <v>2029E</v>
      </c>
      <c r="G255" s="154" t="str">
        <f t="shared" si="362"/>
        <v>2030E</v>
      </c>
      <c r="H255" s="154" t="str">
        <f t="shared" si="362"/>
        <v>2031E</v>
      </c>
      <c r="I255" s="148"/>
      <c r="J255" s="315" t="str">
        <f>$J$9</f>
        <v>6-Year(F)</v>
      </c>
    </row>
    <row r="256" spans="1:11">
      <c r="B256" s="150" t="s">
        <v>718</v>
      </c>
      <c r="C256" s="148">
        <f t="shared" ref="C256:H256" si="363">C$10</f>
        <v>46295</v>
      </c>
      <c r="D256" s="148">
        <f t="shared" si="363"/>
        <v>46660</v>
      </c>
      <c r="E256" s="148">
        <f t="shared" si="363"/>
        <v>47026</v>
      </c>
      <c r="F256" s="148">
        <f t="shared" si="363"/>
        <v>47391</v>
      </c>
      <c r="G256" s="148">
        <f t="shared" si="363"/>
        <v>47756</v>
      </c>
      <c r="H256" s="148">
        <f t="shared" si="363"/>
        <v>48121</v>
      </c>
      <c r="I256" s="148"/>
      <c r="J256" s="3">
        <f>$H$44</f>
        <v>48121</v>
      </c>
    </row>
    <row r="257" spans="2:11" ht="5.0999999999999996" customHeight="1">
      <c r="B257" s="473"/>
    </row>
    <row r="258" spans="2:11">
      <c r="B258" s="432" t="s">
        <v>719</v>
      </c>
      <c r="C258" s="156">
        <v>146141</v>
      </c>
      <c r="D258" s="156">
        <v>170187</v>
      </c>
      <c r="E258" s="156">
        <v>186579</v>
      </c>
      <c r="F258" s="153">
        <f t="shared" ref="F258:H258" si="364">E258</f>
        <v>186579</v>
      </c>
      <c r="G258" s="153">
        <f t="shared" si="364"/>
        <v>186579</v>
      </c>
      <c r="H258" s="153">
        <f t="shared" si="364"/>
        <v>186579</v>
      </c>
      <c r="J258" s="558">
        <f t="shared" ref="J258:J272" si="365">((H258/C258)^(1/COUNT(C258:H258))-1)</f>
        <v>4.1553975830872947E-2</v>
      </c>
      <c r="K258" s="432" t="s">
        <v>720</v>
      </c>
    </row>
    <row r="259" spans="2:11">
      <c r="B259" s="559" t="s">
        <v>730</v>
      </c>
      <c r="C259" s="561">
        <f t="shared" ref="C259:H259" si="366">C258/C39</f>
        <v>0.32816412135746831</v>
      </c>
      <c r="D259" s="561">
        <f t="shared" si="366"/>
        <v>0.36934144991698947</v>
      </c>
      <c r="E259" s="561">
        <f t="shared" si="366"/>
        <v>0.39312812235962419</v>
      </c>
      <c r="F259" s="561">
        <f t="shared" si="366"/>
        <v>0.38168386046695946</v>
      </c>
      <c r="G259" s="561">
        <f t="shared" si="366"/>
        <v>0.37057274983674265</v>
      </c>
      <c r="H259" s="561">
        <f t="shared" si="366"/>
        <v>0.35978509217958549</v>
      </c>
      <c r="J259" s="562"/>
    </row>
    <row r="260" spans="2:11">
      <c r="B260" s="432" t="s">
        <v>702</v>
      </c>
      <c r="C260" s="156">
        <v>143450</v>
      </c>
      <c r="D260" s="156">
        <v>152554</v>
      </c>
      <c r="E260" s="156">
        <v>169259</v>
      </c>
      <c r="F260" s="156">
        <v>185409</v>
      </c>
      <c r="G260" s="156">
        <v>202673</v>
      </c>
      <c r="H260" s="156">
        <v>217380</v>
      </c>
      <c r="J260" s="563">
        <f t="shared" si="365"/>
        <v>7.1732757955442539E-2</v>
      </c>
      <c r="K260" s="432" t="s">
        <v>720</v>
      </c>
    </row>
    <row r="261" spans="2:11">
      <c r="B261" s="559" t="s">
        <v>730</v>
      </c>
      <c r="C261" s="561">
        <f t="shared" ref="C261:H261" si="367">C260/C26</f>
        <v>0.32007586322307136</v>
      </c>
      <c r="D261" s="561">
        <f t="shared" si="367"/>
        <v>0.31898579604263066</v>
      </c>
      <c r="E261" s="561">
        <f t="shared" si="367"/>
        <v>0.32460292194218254</v>
      </c>
      <c r="F261" s="561">
        <f t="shared" si="367"/>
        <v>0.3352748433109225</v>
      </c>
      <c r="G261" s="561">
        <f t="shared" si="367"/>
        <v>0.35126703490780398</v>
      </c>
      <c r="H261" s="561">
        <f t="shared" si="367"/>
        <v>0.35940321012638138</v>
      </c>
      <c r="J261" s="562"/>
    </row>
    <row r="262" spans="2:11">
      <c r="B262" s="432" t="s">
        <v>721</v>
      </c>
      <c r="C262" s="156">
        <v>146285</v>
      </c>
      <c r="D262" s="156">
        <v>163753</v>
      </c>
      <c r="E262" s="156">
        <v>172335</v>
      </c>
      <c r="F262" s="153">
        <f t="shared" ref="F262:H270" si="368">E262</f>
        <v>172335</v>
      </c>
      <c r="G262" s="153">
        <f t="shared" si="368"/>
        <v>172335</v>
      </c>
      <c r="H262" s="153">
        <f t="shared" si="368"/>
        <v>172335</v>
      </c>
      <c r="J262" s="563">
        <f t="shared" si="365"/>
        <v>2.7690358396837533E-2</v>
      </c>
      <c r="K262" s="432" t="s">
        <v>722</v>
      </c>
    </row>
    <row r="263" spans="2:11">
      <c r="B263" s="559" t="s">
        <v>730</v>
      </c>
      <c r="C263" s="561">
        <f t="shared" ref="C263:H263" si="369">C262/C14</f>
        <v>0.32132329360494488</v>
      </c>
      <c r="D263" s="561">
        <f t="shared" si="369"/>
        <v>0.32663779673627497</v>
      </c>
      <c r="E263" s="561">
        <f t="shared" si="369"/>
        <v>0.33153077242716655</v>
      </c>
      <c r="F263" s="561">
        <f t="shared" si="369"/>
        <v>0.31869969213934485</v>
      </c>
      <c r="G263" s="561">
        <f t="shared" si="369"/>
        <v>0.30534642256677813</v>
      </c>
      <c r="H263" s="561">
        <f t="shared" si="369"/>
        <v>0.29156404171700911</v>
      </c>
      <c r="J263" s="562"/>
    </row>
    <row r="264" spans="2:11">
      <c r="B264" s="432" t="s">
        <v>724</v>
      </c>
      <c r="C264" s="156">
        <v>142107</v>
      </c>
      <c r="D264" s="156">
        <v>148716</v>
      </c>
      <c r="E264" s="156">
        <v>153787</v>
      </c>
      <c r="F264" s="156">
        <v>159255</v>
      </c>
      <c r="G264" s="156">
        <v>162526</v>
      </c>
      <c r="H264" s="153">
        <f t="shared" ref="H264" si="370">G264</f>
        <v>162526</v>
      </c>
      <c r="J264" s="563">
        <f t="shared" si="365"/>
        <v>2.2628509124499097E-2</v>
      </c>
      <c r="K264" s="432" t="s">
        <v>722</v>
      </c>
    </row>
    <row r="265" spans="2:11">
      <c r="B265" s="559" t="s">
        <v>730</v>
      </c>
      <c r="C265" s="561">
        <f t="shared" ref="C265:H265" si="371">C264/C18</f>
        <v>0.31910564998012703</v>
      </c>
      <c r="D265" s="561">
        <f t="shared" si="371"/>
        <v>0.32056458131699717</v>
      </c>
      <c r="E265" s="561">
        <f t="shared" si="371"/>
        <v>0.32037690174763916</v>
      </c>
      <c r="F265" s="561">
        <f t="shared" si="371"/>
        <v>0.32084317154346409</v>
      </c>
      <c r="G265" s="561">
        <f t="shared" si="371"/>
        <v>0.32010194354501981</v>
      </c>
      <c r="H265" s="561">
        <f t="shared" si="371"/>
        <v>0.31293493635575503</v>
      </c>
      <c r="J265" s="562"/>
    </row>
    <row r="266" spans="2:11">
      <c r="B266" s="432" t="s">
        <v>725</v>
      </c>
      <c r="C266" s="156">
        <v>146562</v>
      </c>
      <c r="D266" s="156">
        <v>152607</v>
      </c>
      <c r="E266" s="156">
        <v>157451</v>
      </c>
      <c r="F266" s="153">
        <f t="shared" ref="F266:H266" si="372">E266</f>
        <v>157451</v>
      </c>
      <c r="G266" s="153">
        <f t="shared" si="372"/>
        <v>157451</v>
      </c>
      <c r="H266" s="153">
        <f t="shared" si="372"/>
        <v>157451</v>
      </c>
      <c r="J266" s="563">
        <f t="shared" si="365"/>
        <v>1.2015909850752182E-2</v>
      </c>
      <c r="K266" s="432" t="s">
        <v>720</v>
      </c>
    </row>
    <row r="267" spans="2:11">
      <c r="B267" s="559" t="s">
        <v>730</v>
      </c>
      <c r="C267" s="561">
        <f t="shared" ref="C267:H267" si="373">C266/C20</f>
        <v>0.32514925025457403</v>
      </c>
      <c r="D267" s="561">
        <f t="shared" si="373"/>
        <v>0.33118916631400763</v>
      </c>
      <c r="E267" s="561">
        <f t="shared" si="373"/>
        <v>0.33175446322279134</v>
      </c>
      <c r="F267" s="561">
        <f t="shared" si="373"/>
        <v>0.32209683573383519</v>
      </c>
      <c r="G267" s="561">
        <f t="shared" si="373"/>
        <v>0.31272034920620739</v>
      </c>
      <c r="H267" s="561">
        <f t="shared" si="373"/>
        <v>0.30361681941037266</v>
      </c>
      <c r="J267" s="562"/>
    </row>
    <row r="268" spans="2:11">
      <c r="B268" s="432" t="s">
        <v>723</v>
      </c>
      <c r="C268" s="156">
        <v>142279</v>
      </c>
      <c r="D268" s="156">
        <v>152688</v>
      </c>
      <c r="E268" s="156">
        <v>162929</v>
      </c>
      <c r="F268" s="153">
        <f t="shared" si="368"/>
        <v>162929</v>
      </c>
      <c r="G268" s="153">
        <f t="shared" si="368"/>
        <v>162929</v>
      </c>
      <c r="H268" s="153">
        <f t="shared" si="368"/>
        <v>162929</v>
      </c>
      <c r="J268" s="563">
        <f t="shared" si="365"/>
        <v>2.2844461710864739E-2</v>
      </c>
      <c r="K268" s="432" t="s">
        <v>720</v>
      </c>
    </row>
    <row r="269" spans="2:11">
      <c r="B269" s="559" t="s">
        <v>730</v>
      </c>
      <c r="C269" s="561">
        <f t="shared" ref="C269:H269" si="374">C268/C16</f>
        <v>0.31207968309256734</v>
      </c>
      <c r="D269" s="561">
        <f t="shared" si="374"/>
        <v>0.31727178843560455</v>
      </c>
      <c r="E269" s="561">
        <f t="shared" si="374"/>
        <v>0.32299433225026913</v>
      </c>
      <c r="F269" s="561">
        <f t="shared" si="374"/>
        <v>0.30788838178947314</v>
      </c>
      <c r="G269" s="561">
        <f t="shared" si="374"/>
        <v>0.29323557282562457</v>
      </c>
      <c r="H269" s="561">
        <f t="shared" si="374"/>
        <v>0.27903715262949275</v>
      </c>
      <c r="J269" s="562"/>
    </row>
    <row r="270" spans="2:11">
      <c r="B270" s="432" t="s">
        <v>726</v>
      </c>
      <c r="C270" s="156">
        <v>145289</v>
      </c>
      <c r="D270" s="156">
        <v>164922</v>
      </c>
      <c r="E270" s="156">
        <v>176101</v>
      </c>
      <c r="F270" s="153">
        <f t="shared" si="368"/>
        <v>176101</v>
      </c>
      <c r="G270" s="153">
        <f t="shared" si="368"/>
        <v>176101</v>
      </c>
      <c r="H270" s="153">
        <f t="shared" si="368"/>
        <v>176101</v>
      </c>
      <c r="J270" s="563">
        <f t="shared" si="365"/>
        <v>3.2574782671131342E-2</v>
      </c>
      <c r="K270" s="432" t="s">
        <v>720</v>
      </c>
    </row>
    <row r="271" spans="2:11">
      <c r="B271" s="559" t="s">
        <v>730</v>
      </c>
      <c r="C271" s="561">
        <f t="shared" ref="C271:H271" si="375">C270/C28</f>
        <v>0.31605796067358288</v>
      </c>
      <c r="D271" s="561">
        <f t="shared" si="375"/>
        <v>0.33033355432751338</v>
      </c>
      <c r="E271" s="561">
        <f t="shared" si="375"/>
        <v>0.33406114365496098</v>
      </c>
      <c r="F271" s="561">
        <f t="shared" si="375"/>
        <v>0.31617166950088399</v>
      </c>
      <c r="G271" s="561">
        <f t="shared" si="375"/>
        <v>0.29903413097731313</v>
      </c>
      <c r="H271" s="561">
        <f t="shared" si="375"/>
        <v>0.28262690915855837</v>
      </c>
      <c r="J271" s="562"/>
    </row>
    <row r="272" spans="2:11">
      <c r="B272" s="432" t="s">
        <v>727</v>
      </c>
      <c r="C272" s="156">
        <v>145450</v>
      </c>
      <c r="D272" s="156">
        <v>154821</v>
      </c>
      <c r="E272" s="153">
        <f t="shared" ref="E272:H272" si="376">D272</f>
        <v>154821</v>
      </c>
      <c r="F272" s="153">
        <f t="shared" si="376"/>
        <v>154821</v>
      </c>
      <c r="G272" s="153">
        <f t="shared" si="376"/>
        <v>154821</v>
      </c>
      <c r="H272" s="153">
        <f t="shared" si="376"/>
        <v>154821</v>
      </c>
      <c r="J272" s="563">
        <f t="shared" si="365"/>
        <v>1.0460537168260675E-2</v>
      </c>
      <c r="K272" s="432" t="s">
        <v>720</v>
      </c>
    </row>
    <row r="273" spans="1:11">
      <c r="B273" s="559" t="s">
        <v>730</v>
      </c>
      <c r="C273" s="561">
        <f t="shared" ref="C273:H273" si="377">C272/C30</f>
        <v>0.32035131912722248</v>
      </c>
      <c r="D273" s="561">
        <f t="shared" si="377"/>
        <v>0.31958179930450437</v>
      </c>
      <c r="E273" s="561">
        <f t="shared" si="377"/>
        <v>0.29923073180679016</v>
      </c>
      <c r="F273" s="561">
        <f t="shared" si="377"/>
        <v>0.27991365117796141</v>
      </c>
      <c r="G273" s="561">
        <f t="shared" si="377"/>
        <v>0.26160380757028318</v>
      </c>
      <c r="H273" s="561">
        <f t="shared" si="377"/>
        <v>0.24427215552886736</v>
      </c>
      <c r="J273" s="564"/>
    </row>
    <row r="274" spans="1:11" ht="5.0999999999999996" customHeight="1"/>
    <row r="275" spans="1:11">
      <c r="B275" s="565" t="s">
        <v>336</v>
      </c>
      <c r="C275" s="566">
        <f>MAX(C258,C260,C262,C264,C266,C268,C270,C272)</f>
        <v>146562</v>
      </c>
      <c r="D275" s="566">
        <f t="shared" ref="D275:H275" si="378">MAX(D$258,D$260,D$262,D$264,D$266,D$268,D$270,D$272)</f>
        <v>170187</v>
      </c>
      <c r="E275" s="566">
        <f t="shared" si="378"/>
        <v>186579</v>
      </c>
      <c r="F275" s="566">
        <f t="shared" si="378"/>
        <v>186579</v>
      </c>
      <c r="G275" s="566">
        <f t="shared" si="378"/>
        <v>202673</v>
      </c>
      <c r="H275" s="566">
        <f t="shared" si="378"/>
        <v>217380</v>
      </c>
      <c r="I275" s="567"/>
      <c r="J275" s="568">
        <f t="shared" ref="J275:J281" si="379">((H275/C275)^(1/COUNT(C275:H275))-1)</f>
        <v>6.7906017249354855E-2</v>
      </c>
    </row>
    <row r="276" spans="1:11">
      <c r="B276" s="569" t="s">
        <v>730</v>
      </c>
      <c r="C276" s="594">
        <f t="shared" ref="C276:H276" si="380">C275/C33</f>
        <v>0.31858395537798723</v>
      </c>
      <c r="D276" s="594">
        <f t="shared" si="380"/>
        <v>0.32459975052355722</v>
      </c>
      <c r="E276" s="594">
        <f t="shared" si="380"/>
        <v>0.33515840981230094</v>
      </c>
      <c r="F276" s="594">
        <f t="shared" si="380"/>
        <v>0.3149462721738478</v>
      </c>
      <c r="G276" s="594">
        <f t="shared" si="380"/>
        <v>0.32075021930460845</v>
      </c>
      <c r="H276" s="594">
        <f t="shared" si="380"/>
        <v>0.32180522553861646</v>
      </c>
      <c r="I276" s="572"/>
      <c r="J276" s="573"/>
    </row>
    <row r="277" spans="1:11">
      <c r="B277" s="574" t="s">
        <v>707</v>
      </c>
      <c r="C277" s="575">
        <f t="shared" ref="C277:H277" si="381">MEDIAN(C$258,C$260,C$262,C$264,C$266,C$268,C$270,C$272)</f>
        <v>145369.5</v>
      </c>
      <c r="D277" s="575">
        <f t="shared" si="381"/>
        <v>153754.5</v>
      </c>
      <c r="E277" s="575">
        <f t="shared" si="381"/>
        <v>166094</v>
      </c>
      <c r="F277" s="575">
        <f t="shared" si="381"/>
        <v>167632</v>
      </c>
      <c r="G277" s="575">
        <f t="shared" si="381"/>
        <v>167632</v>
      </c>
      <c r="H277" s="575">
        <f t="shared" si="381"/>
        <v>167632</v>
      </c>
      <c r="I277" s="572"/>
      <c r="J277" s="573">
        <f t="shared" si="379"/>
        <v>2.4032967182164855E-2</v>
      </c>
    </row>
    <row r="278" spans="1:11">
      <c r="B278" s="569" t="s">
        <v>730</v>
      </c>
      <c r="C278" s="594">
        <f t="shared" ref="C278:H278" si="382">C277/C35</f>
        <v>0.31974260203100263</v>
      </c>
      <c r="D278" s="594">
        <f t="shared" si="382"/>
        <v>0.31682467839321199</v>
      </c>
      <c r="E278" s="594">
        <f t="shared" si="382"/>
        <v>0.32149516009153506</v>
      </c>
      <c r="F278" s="594">
        <f t="shared" si="382"/>
        <v>0.30823055055617155</v>
      </c>
      <c r="G278" s="594">
        <f t="shared" si="382"/>
        <v>0.29373855007043526</v>
      </c>
      <c r="H278" s="594">
        <f t="shared" si="382"/>
        <v>0.28034290943099621</v>
      </c>
      <c r="I278" s="572"/>
      <c r="J278" s="573"/>
    </row>
    <row r="279" spans="1:11">
      <c r="B279" s="574" t="s">
        <v>706</v>
      </c>
      <c r="C279" s="575">
        <f t="shared" ref="C279:H279" si="383">AVERAGE(C$258,C$260,C$262,C$264,C$266,C$268,C$270,C$272)</f>
        <v>144695.375</v>
      </c>
      <c r="D279" s="575">
        <f t="shared" si="383"/>
        <v>157531</v>
      </c>
      <c r="E279" s="575">
        <f t="shared" si="383"/>
        <v>166657.75</v>
      </c>
      <c r="F279" s="575">
        <f t="shared" si="383"/>
        <v>169360</v>
      </c>
      <c r="G279" s="575">
        <f t="shared" si="383"/>
        <v>171926.875</v>
      </c>
      <c r="H279" s="575">
        <f t="shared" si="383"/>
        <v>173765.25</v>
      </c>
      <c r="I279" s="572"/>
      <c r="J279" s="573">
        <f t="shared" si="379"/>
        <v>3.0982705072530203E-2</v>
      </c>
    </row>
    <row r="280" spans="1:11">
      <c r="B280" s="569" t="s">
        <v>730</v>
      </c>
      <c r="C280" s="594">
        <f t="shared" ref="C280:H280" si="384">C279/C37</f>
        <v>0.31864421480470634</v>
      </c>
      <c r="D280" s="594">
        <f t="shared" si="384"/>
        <v>0.32372356452608525</v>
      </c>
      <c r="E280" s="594">
        <f t="shared" si="384"/>
        <v>0.32541979253068154</v>
      </c>
      <c r="F280" s="594">
        <f t="shared" si="384"/>
        <v>0.31475172773263116</v>
      </c>
      <c r="G280" s="594">
        <f t="shared" si="384"/>
        <v>0.30457821173237348</v>
      </c>
      <c r="H280" s="594">
        <f t="shared" si="384"/>
        <v>0.29294606335282886</v>
      </c>
      <c r="I280" s="572"/>
      <c r="J280" s="573"/>
    </row>
    <row r="281" spans="1:11">
      <c r="B281" s="576" t="s">
        <v>334</v>
      </c>
      <c r="C281" s="577">
        <f t="shared" ref="C281:H281" si="385">MIN(C$258,C$260,C$262,C$264,C$266,C$268,C$270,C$272)</f>
        <v>142107</v>
      </c>
      <c r="D281" s="577">
        <f t="shared" si="385"/>
        <v>148716</v>
      </c>
      <c r="E281" s="577">
        <f t="shared" si="385"/>
        <v>153787</v>
      </c>
      <c r="F281" s="577">
        <f t="shared" si="385"/>
        <v>154821</v>
      </c>
      <c r="G281" s="577">
        <f t="shared" si="385"/>
        <v>154821</v>
      </c>
      <c r="H281" s="577">
        <f t="shared" si="385"/>
        <v>154821</v>
      </c>
      <c r="I281" s="572"/>
      <c r="J281" s="573">
        <f t="shared" si="379"/>
        <v>1.4384021244817857E-2</v>
      </c>
    </row>
    <row r="282" spans="1:11">
      <c r="B282" s="578" t="s">
        <v>730</v>
      </c>
      <c r="C282" s="595">
        <f t="shared" ref="C282:H282" si="386">C281/C39</f>
        <v>0.31910564998012703</v>
      </c>
      <c r="D282" s="595">
        <f t="shared" si="386"/>
        <v>0.32274488101826232</v>
      </c>
      <c r="E282" s="595">
        <f t="shared" si="386"/>
        <v>0.32403429407017686</v>
      </c>
      <c r="F282" s="595">
        <f t="shared" si="386"/>
        <v>0.31671665600820631</v>
      </c>
      <c r="G282" s="595">
        <f t="shared" si="386"/>
        <v>0.30749679064886365</v>
      </c>
      <c r="H282" s="595">
        <f t="shared" si="386"/>
        <v>0.29854532265868938</v>
      </c>
      <c r="I282" s="581"/>
      <c r="J282" s="582"/>
    </row>
    <row r="284" spans="1:11">
      <c r="A284" s="557" t="s">
        <v>19</v>
      </c>
      <c r="B284" s="149" t="s">
        <v>11</v>
      </c>
      <c r="C284" s="147" t="s">
        <v>370</v>
      </c>
      <c r="D284" s="147"/>
      <c r="E284" s="147"/>
      <c r="F284" s="147"/>
      <c r="G284" s="147"/>
      <c r="H284" s="147"/>
      <c r="I284" s="148"/>
      <c r="J284" s="2" t="s">
        <v>369</v>
      </c>
    </row>
    <row r="285" spans="1:11">
      <c r="B285" s="150" t="s">
        <v>342</v>
      </c>
      <c r="C285" s="154" t="str">
        <f t="shared" ref="C285:H285" si="387">C$9</f>
        <v>2026E</v>
      </c>
      <c r="D285" s="154" t="str">
        <f t="shared" si="387"/>
        <v>2027E</v>
      </c>
      <c r="E285" s="154" t="str">
        <f t="shared" si="387"/>
        <v>2028E</v>
      </c>
      <c r="F285" s="154" t="str">
        <f t="shared" si="387"/>
        <v>2029E</v>
      </c>
      <c r="G285" s="154" t="str">
        <f t="shared" si="387"/>
        <v>2030E</v>
      </c>
      <c r="H285" s="154" t="str">
        <f t="shared" si="387"/>
        <v>2031E</v>
      </c>
      <c r="I285" s="148"/>
      <c r="J285" s="315" t="str">
        <f>$J$9</f>
        <v>6-Year(F)</v>
      </c>
    </row>
    <row r="286" spans="1:11">
      <c r="B286" s="150" t="s">
        <v>718</v>
      </c>
      <c r="C286" s="148">
        <f t="shared" ref="C286:H286" si="388">C$10</f>
        <v>46295</v>
      </c>
      <c r="D286" s="148">
        <f t="shared" si="388"/>
        <v>46660</v>
      </c>
      <c r="E286" s="148">
        <f t="shared" si="388"/>
        <v>47026</v>
      </c>
      <c r="F286" s="148">
        <f t="shared" si="388"/>
        <v>47391</v>
      </c>
      <c r="G286" s="148">
        <f t="shared" si="388"/>
        <v>47756</v>
      </c>
      <c r="H286" s="148">
        <f t="shared" si="388"/>
        <v>48121</v>
      </c>
      <c r="I286" s="148"/>
      <c r="J286" s="3">
        <f>$H$44</f>
        <v>48121</v>
      </c>
    </row>
    <row r="287" spans="1:11" ht="5.0999999999999996" customHeight="1">
      <c r="B287" s="473"/>
    </row>
    <row r="288" spans="1:11">
      <c r="B288" s="432" t="s">
        <v>719</v>
      </c>
      <c r="C288" s="153">
        <f t="shared" ref="C288:H288" si="389">C258+C344</f>
        <v>160066</v>
      </c>
      <c r="D288" s="153">
        <f t="shared" si="389"/>
        <v>186510</v>
      </c>
      <c r="E288" s="153">
        <f t="shared" si="389"/>
        <v>205474</v>
      </c>
      <c r="F288" s="153">
        <f t="shared" si="389"/>
        <v>205474</v>
      </c>
      <c r="G288" s="153">
        <f t="shared" si="389"/>
        <v>205474</v>
      </c>
      <c r="H288" s="153">
        <f t="shared" si="389"/>
        <v>205474</v>
      </c>
      <c r="J288" s="558">
        <f t="shared" ref="J288" si="390">((H288/C288)^(1/COUNT(C288:H288))-1)</f>
        <v>4.2500560678647492E-2</v>
      </c>
      <c r="K288" s="432" t="s">
        <v>720</v>
      </c>
    </row>
    <row r="289" spans="2:11">
      <c r="B289" s="559" t="s">
        <v>730</v>
      </c>
      <c r="C289" s="561">
        <f>C288/C12</f>
        <v>0.34793779698375366</v>
      </c>
      <c r="D289" s="561">
        <f t="shared" ref="D289:H289" si="391">D288/D12</f>
        <v>0.35573280844100114</v>
      </c>
      <c r="E289" s="561">
        <f t="shared" si="391"/>
        <v>0.36910016184979405</v>
      </c>
      <c r="F289" s="561">
        <f t="shared" si="391"/>
        <v>0.34684112536056683</v>
      </c>
      <c r="G289" s="561">
        <f t="shared" si="391"/>
        <v>0.32518308093034159</v>
      </c>
      <c r="H289" s="561">
        <f t="shared" si="391"/>
        <v>0.30417980914675535</v>
      </c>
      <c r="J289" s="562"/>
    </row>
    <row r="290" spans="2:11">
      <c r="B290" s="432" t="s">
        <v>702</v>
      </c>
      <c r="C290" s="153">
        <f t="shared" ref="C290:H290" si="392">C260+C346</f>
        <v>155128</v>
      </c>
      <c r="D290" s="153">
        <f t="shared" si="392"/>
        <v>163583</v>
      </c>
      <c r="E290" s="153">
        <f t="shared" si="392"/>
        <v>180925</v>
      </c>
      <c r="F290" s="153">
        <f t="shared" si="392"/>
        <v>198313</v>
      </c>
      <c r="G290" s="153">
        <f t="shared" si="392"/>
        <v>217802</v>
      </c>
      <c r="H290" s="153">
        <f t="shared" si="392"/>
        <v>233412</v>
      </c>
      <c r="J290" s="563">
        <f t="shared" ref="J290" si="393">((H290/C290)^(1/COUNT(C290:H290))-1)</f>
        <v>7.0464241534354821E-2</v>
      </c>
      <c r="K290" s="432" t="s">
        <v>720</v>
      </c>
    </row>
    <row r="291" spans="2:11">
      <c r="B291" s="559" t="s">
        <v>730</v>
      </c>
      <c r="C291" s="561">
        <f>C290/C26</f>
        <v>0.34613264907681152</v>
      </c>
      <c r="D291" s="561">
        <f t="shared" ref="D291:H291" si="394">D290/D26</f>
        <v>0.34204710118411613</v>
      </c>
      <c r="E291" s="561">
        <f t="shared" si="394"/>
        <v>0.34697583970358664</v>
      </c>
      <c r="F291" s="561">
        <f t="shared" si="394"/>
        <v>0.35860912901487507</v>
      </c>
      <c r="G291" s="561">
        <f t="shared" si="394"/>
        <v>0.37748818410439239</v>
      </c>
      <c r="H291" s="561">
        <f t="shared" si="394"/>
        <v>0.38590956887486855</v>
      </c>
      <c r="J291" s="562"/>
    </row>
    <row r="292" spans="2:11">
      <c r="B292" s="432" t="s">
        <v>721</v>
      </c>
      <c r="C292" s="153">
        <f t="shared" ref="C292:H292" si="395">C262+C354</f>
        <v>159310</v>
      </c>
      <c r="D292" s="153">
        <f t="shared" si="395"/>
        <v>178759</v>
      </c>
      <c r="E292" s="153">
        <f t="shared" si="395"/>
        <v>188259</v>
      </c>
      <c r="F292" s="153">
        <f t="shared" si="395"/>
        <v>188259</v>
      </c>
      <c r="G292" s="153">
        <f t="shared" si="395"/>
        <v>188259</v>
      </c>
      <c r="H292" s="153">
        <f t="shared" si="395"/>
        <v>188259</v>
      </c>
      <c r="J292" s="563">
        <f t="shared" ref="J292" si="396">((H292/C292)^(1/COUNT(C292:H292))-1)</f>
        <v>2.8218590175155933E-2</v>
      </c>
      <c r="K292" s="432" t="s">
        <v>722</v>
      </c>
    </row>
    <row r="293" spans="2:11">
      <c r="B293" s="559" t="s">
        <v>730</v>
      </c>
      <c r="C293" s="561">
        <f>C292/C14</f>
        <v>0.3499334443326641</v>
      </c>
      <c r="D293" s="561">
        <f t="shared" ref="D293:H293" si="397">D292/D14</f>
        <v>0.356570236311883</v>
      </c>
      <c r="E293" s="561">
        <f t="shared" si="397"/>
        <v>0.36216468904381549</v>
      </c>
      <c r="F293" s="561">
        <f t="shared" si="397"/>
        <v>0.34814799862164342</v>
      </c>
      <c r="G293" s="561">
        <f t="shared" si="397"/>
        <v>0.33356086787941558</v>
      </c>
      <c r="H293" s="561">
        <f t="shared" si="397"/>
        <v>0.31850497536543604</v>
      </c>
      <c r="J293" s="562"/>
    </row>
    <row r="294" spans="2:11">
      <c r="B294" s="432" t="s">
        <v>724</v>
      </c>
      <c r="C294" s="153">
        <f t="shared" ref="C294:H294" si="398">C264+C348</f>
        <v>155150</v>
      </c>
      <c r="D294" s="153">
        <f t="shared" si="398"/>
        <v>162026</v>
      </c>
      <c r="E294" s="153">
        <f t="shared" si="398"/>
        <v>167400</v>
      </c>
      <c r="F294" s="153">
        <f t="shared" si="398"/>
        <v>173189</v>
      </c>
      <c r="G294" s="153">
        <f t="shared" si="398"/>
        <v>176771</v>
      </c>
      <c r="H294" s="153">
        <f t="shared" si="398"/>
        <v>176771</v>
      </c>
      <c r="J294" s="563">
        <f t="shared" ref="J294" si="399">((H294/C294)^(1/COUNT(C294:H294))-1)</f>
        <v>2.1981905312387084E-2</v>
      </c>
      <c r="K294" s="432" t="s">
        <v>722</v>
      </c>
    </row>
    <row r="295" spans="2:11">
      <c r="B295" s="559" t="s">
        <v>730</v>
      </c>
      <c r="C295" s="561">
        <f>C294/C18</f>
        <v>0.34839410862530851</v>
      </c>
      <c r="D295" s="561">
        <f t="shared" ref="D295:H295" si="400">D294/D18</f>
        <v>0.3492549345898745</v>
      </c>
      <c r="E295" s="561">
        <f t="shared" si="400"/>
        <v>0.34873619585891391</v>
      </c>
      <c r="F295" s="561">
        <f t="shared" si="400"/>
        <v>0.34891531214995447</v>
      </c>
      <c r="G295" s="561">
        <f t="shared" si="400"/>
        <v>0.34815808339832827</v>
      </c>
      <c r="H295" s="561">
        <f t="shared" si="400"/>
        <v>0.34036290583994672</v>
      </c>
      <c r="J295" s="562"/>
    </row>
    <row r="296" spans="2:11">
      <c r="B296" s="432" t="s">
        <v>725</v>
      </c>
      <c r="C296" s="153">
        <f t="shared" ref="C296:H296" si="401">C266+C350</f>
        <v>159435</v>
      </c>
      <c r="D296" s="153">
        <f t="shared" si="401"/>
        <v>165519</v>
      </c>
      <c r="E296" s="153">
        <f t="shared" si="401"/>
        <v>170905</v>
      </c>
      <c r="F296" s="153">
        <f t="shared" si="401"/>
        <v>170905</v>
      </c>
      <c r="G296" s="153">
        <f t="shared" si="401"/>
        <v>170905</v>
      </c>
      <c r="H296" s="153">
        <f t="shared" si="401"/>
        <v>170905</v>
      </c>
      <c r="J296" s="563">
        <f t="shared" ref="J296" si="402">((H296/C296)^(1/COUNT(C296:H296))-1)</f>
        <v>1.1645879803583004E-2</v>
      </c>
      <c r="K296" s="432" t="s">
        <v>720</v>
      </c>
    </row>
    <row r="297" spans="2:11">
      <c r="B297" s="559" t="s">
        <v>730</v>
      </c>
      <c r="C297" s="561">
        <f>C296/C20</f>
        <v>0.35370812839847987</v>
      </c>
      <c r="D297" s="561">
        <f t="shared" ref="D297:H297" si="403">D296/D20</f>
        <v>0.35921091181353559</v>
      </c>
      <c r="E297" s="561">
        <f t="shared" si="403"/>
        <v>0.36010248608831419</v>
      </c>
      <c r="F297" s="561">
        <f t="shared" si="403"/>
        <v>0.34961962585878209</v>
      </c>
      <c r="G297" s="561">
        <f t="shared" si="403"/>
        <v>0.3394419297501246</v>
      </c>
      <c r="H297" s="561">
        <f t="shared" si="403"/>
        <v>0.32956051420016219</v>
      </c>
      <c r="J297" s="562"/>
    </row>
    <row r="298" spans="2:11">
      <c r="B298" s="432" t="s">
        <v>723</v>
      </c>
      <c r="C298" s="153">
        <f t="shared" ref="C298:H298" si="404">C268+C352</f>
        <v>155943</v>
      </c>
      <c r="D298" s="153">
        <f t="shared" si="404"/>
        <v>166774</v>
      </c>
      <c r="E298" s="153">
        <f t="shared" si="404"/>
        <v>177664</v>
      </c>
      <c r="F298" s="153">
        <f t="shared" si="404"/>
        <v>177664</v>
      </c>
      <c r="G298" s="153">
        <f t="shared" si="404"/>
        <v>177664</v>
      </c>
      <c r="H298" s="153">
        <f t="shared" si="404"/>
        <v>177664</v>
      </c>
      <c r="J298" s="563">
        <f t="shared" ref="J298" si="405">((H298/C298)^(1/COUNT(C298:H298))-1)</f>
        <v>2.1971830567913075E-2</v>
      </c>
      <c r="K298" s="432" t="s">
        <v>720</v>
      </c>
    </row>
    <row r="299" spans="2:11">
      <c r="B299" s="559" t="s">
        <v>730</v>
      </c>
      <c r="C299" s="561">
        <f>C298/C16</f>
        <v>0.34205077362438746</v>
      </c>
      <c r="D299" s="561">
        <f t="shared" ref="D299:H299" si="406">D298/D16</f>
        <v>0.34654121636644342</v>
      </c>
      <c r="E299" s="561">
        <f t="shared" si="406"/>
        <v>0.35220534739003989</v>
      </c>
      <c r="F299" s="561">
        <f t="shared" si="406"/>
        <v>0.33573324246908132</v>
      </c>
      <c r="G299" s="561">
        <f t="shared" si="406"/>
        <v>0.31975526033113666</v>
      </c>
      <c r="H299" s="561">
        <f t="shared" si="406"/>
        <v>0.30427276104785644</v>
      </c>
      <c r="J299" s="562"/>
    </row>
    <row r="300" spans="2:11">
      <c r="B300" s="432" t="s">
        <v>726</v>
      </c>
      <c r="C300" s="153">
        <f t="shared" ref="C300:H300" si="407">C270+C356</f>
        <v>159690</v>
      </c>
      <c r="D300" s="153">
        <f t="shared" si="407"/>
        <v>180379</v>
      </c>
      <c r="E300" s="153">
        <f t="shared" si="407"/>
        <v>193125</v>
      </c>
      <c r="F300" s="153">
        <f t="shared" si="407"/>
        <v>193125</v>
      </c>
      <c r="G300" s="153">
        <f t="shared" si="407"/>
        <v>193125</v>
      </c>
      <c r="H300" s="153">
        <f t="shared" si="407"/>
        <v>193125</v>
      </c>
      <c r="J300" s="563">
        <f t="shared" ref="J300" si="408">((H300/C300)^(1/COUNT(C300:H300))-1)</f>
        <v>3.2191145723895476E-2</v>
      </c>
      <c r="K300" s="432" t="s">
        <v>720</v>
      </c>
    </row>
    <row r="301" spans="2:11">
      <c r="B301" s="559" t="s">
        <v>730</v>
      </c>
      <c r="C301" s="561">
        <f>C300/C28</f>
        <v>0.34738552636444914</v>
      </c>
      <c r="D301" s="561">
        <f t="shared" ref="D301:H301" si="409">D300/D28</f>
        <v>0.36129343687344645</v>
      </c>
      <c r="E301" s="561">
        <f t="shared" si="409"/>
        <v>0.36635543448568914</v>
      </c>
      <c r="F301" s="561">
        <f t="shared" si="409"/>
        <v>0.34673655273029808</v>
      </c>
      <c r="G301" s="561">
        <f t="shared" si="409"/>
        <v>0.32794229757351523</v>
      </c>
      <c r="H301" s="561">
        <f t="shared" si="409"/>
        <v>0.30994896014926998</v>
      </c>
      <c r="J301" s="562"/>
    </row>
    <row r="302" spans="2:11" ht="5.0999999999999996" customHeight="1"/>
    <row r="303" spans="2:11">
      <c r="B303" s="565" t="s">
        <v>336</v>
      </c>
      <c r="C303" s="566">
        <f>MAX(C$288,C$290,C$292,C$294,C$296,C$298,C$300)</f>
        <v>160066</v>
      </c>
      <c r="D303" s="566">
        <f t="shared" ref="D303:H303" si="410">MAX(D$288,D$290,D$292,D$294,D$296,D$298,D$300)</f>
        <v>186510</v>
      </c>
      <c r="E303" s="566">
        <f t="shared" si="410"/>
        <v>205474</v>
      </c>
      <c r="F303" s="566">
        <f t="shared" si="410"/>
        <v>205474</v>
      </c>
      <c r="G303" s="566">
        <f t="shared" si="410"/>
        <v>217802</v>
      </c>
      <c r="H303" s="566">
        <f t="shared" si="410"/>
        <v>233412</v>
      </c>
      <c r="I303" s="567"/>
      <c r="J303" s="568">
        <f t="shared" ref="J303" si="411">((H303/C303)^(1/COUNT(C303:H303))-1)</f>
        <v>6.4888199908169408E-2</v>
      </c>
    </row>
    <row r="304" spans="2:11">
      <c r="B304" s="569" t="s">
        <v>730</v>
      </c>
      <c r="C304" s="594">
        <f>C303/C33</f>
        <v>0.34793779698375366</v>
      </c>
      <c r="D304" s="594">
        <f t="shared" ref="D304:H304" si="412">D303/D33</f>
        <v>0.35573280844100114</v>
      </c>
      <c r="E304" s="594">
        <f t="shared" si="412"/>
        <v>0.36910016184979405</v>
      </c>
      <c r="F304" s="594">
        <f t="shared" si="412"/>
        <v>0.34684112536056683</v>
      </c>
      <c r="G304" s="594">
        <f t="shared" si="412"/>
        <v>0.34469336944231516</v>
      </c>
      <c r="H304" s="594">
        <f t="shared" si="412"/>
        <v>0.34553869400781834</v>
      </c>
      <c r="I304" s="572"/>
      <c r="J304" s="573"/>
    </row>
    <row r="305" spans="1:11">
      <c r="B305" s="574" t="s">
        <v>707</v>
      </c>
      <c r="C305" s="575">
        <f>MEDIAN(C$288,C$290,C$292,C$294,C$296,C$298,C$300)</f>
        <v>159310</v>
      </c>
      <c r="D305" s="590">
        <f>MEDIAN(D$288,D$290,D$292,D$294,D$296,D$298,D$300)</f>
        <v>166774</v>
      </c>
      <c r="E305" s="575">
        <f t="shared" ref="E305:H305" si="413">MEDIAN(E$288,E$290,E$292,E$294,E$296,E$298,E$300)</f>
        <v>180925</v>
      </c>
      <c r="F305" s="575">
        <f t="shared" si="413"/>
        <v>188259</v>
      </c>
      <c r="G305" s="575">
        <f t="shared" si="413"/>
        <v>188259</v>
      </c>
      <c r="H305" s="575">
        <f t="shared" si="413"/>
        <v>188259</v>
      </c>
      <c r="I305" s="572"/>
      <c r="J305" s="573">
        <f t="shared" ref="J305" si="414">((H305/C305)^(1/COUNT(C305:H305))-1)</f>
        <v>2.8218590175155933E-2</v>
      </c>
    </row>
    <row r="306" spans="1:11">
      <c r="B306" s="569" t="s">
        <v>730</v>
      </c>
      <c r="C306" s="594">
        <f>C305/C35</f>
        <v>0.35040496066615784</v>
      </c>
      <c r="D306" s="594">
        <f t="shared" ref="D306:H306" si="415">D305/D35</f>
        <v>0.34365250392248381</v>
      </c>
      <c r="E306" s="594">
        <f t="shared" si="415"/>
        <v>0.35020236636820701</v>
      </c>
      <c r="F306" s="594">
        <f t="shared" si="415"/>
        <v>0.34615810356706533</v>
      </c>
      <c r="G306" s="594">
        <f t="shared" si="415"/>
        <v>0.3298828725882294</v>
      </c>
      <c r="H306" s="594">
        <f t="shared" si="415"/>
        <v>0.31483890776564089</v>
      </c>
      <c r="I306" s="572"/>
      <c r="J306" s="573"/>
    </row>
    <row r="307" spans="1:11">
      <c r="B307" s="574" t="s">
        <v>706</v>
      </c>
      <c r="C307" s="575">
        <f>AVERAGE(C$288,C$290,C$292,C$294,C$296,C$298,C$300)</f>
        <v>157817.42857142858</v>
      </c>
      <c r="D307" s="575">
        <f t="shared" ref="D307:H307" si="416">AVERAGE(D$288,D$290,D$292,D$294,D$296,D$298,D$300)</f>
        <v>171935.71428571429</v>
      </c>
      <c r="E307" s="575">
        <f t="shared" si="416"/>
        <v>183393.14285714287</v>
      </c>
      <c r="F307" s="575">
        <f t="shared" si="416"/>
        <v>186704.14285714287</v>
      </c>
      <c r="G307" s="575">
        <f t="shared" si="416"/>
        <v>190000</v>
      </c>
      <c r="H307" s="575">
        <f t="shared" si="416"/>
        <v>192230</v>
      </c>
      <c r="I307" s="572"/>
      <c r="J307" s="573">
        <f t="shared" ref="J307" si="417">((H307/C307)^(1/COUNT(C307:H307))-1)</f>
        <v>3.3421994603897831E-2</v>
      </c>
    </row>
    <row r="308" spans="1:11">
      <c r="B308" s="569" t="s">
        <v>730</v>
      </c>
      <c r="C308" s="594">
        <f>C307/C37</f>
        <v>0.34754124386934054</v>
      </c>
      <c r="D308" s="594">
        <f t="shared" ref="D308:H308" si="418">D307/D37</f>
        <v>0.35332501093695839</v>
      </c>
      <c r="E308" s="594">
        <f t="shared" si="418"/>
        <v>0.35809770922817014</v>
      </c>
      <c r="F308" s="594">
        <f t="shared" si="418"/>
        <v>0.34698542477046351</v>
      </c>
      <c r="G308" s="594">
        <f t="shared" si="418"/>
        <v>0.33659577788028172</v>
      </c>
      <c r="H308" s="594">
        <f t="shared" si="418"/>
        <v>0.32407527833277533</v>
      </c>
      <c r="I308" s="572"/>
      <c r="J308" s="573"/>
    </row>
    <row r="309" spans="1:11">
      <c r="B309" s="576" t="s">
        <v>334</v>
      </c>
      <c r="C309" s="577">
        <f>MIN(C$288,C$290,C$292,C$294,C$296,C$298,C$300)</f>
        <v>155128</v>
      </c>
      <c r="D309" s="577">
        <f t="shared" ref="D309:H309" si="419">MIN(D$288,D$290,D$292,D$294,D$296,D$298,D$300)</f>
        <v>162026</v>
      </c>
      <c r="E309" s="577">
        <f t="shared" si="419"/>
        <v>167400</v>
      </c>
      <c r="F309" s="577">
        <f t="shared" si="419"/>
        <v>170905</v>
      </c>
      <c r="G309" s="577">
        <f t="shared" si="419"/>
        <v>170905</v>
      </c>
      <c r="H309" s="577">
        <f t="shared" si="419"/>
        <v>170905</v>
      </c>
      <c r="I309" s="572"/>
      <c r="J309" s="573">
        <f t="shared" ref="J309" si="420">((H309/C309)^(1/COUNT(C309:H309))-1)</f>
        <v>1.6273877533146797E-2</v>
      </c>
    </row>
    <row r="310" spans="1:11">
      <c r="B310" s="578" t="s">
        <v>730</v>
      </c>
      <c r="C310" s="595">
        <f>C309/C39</f>
        <v>0.34834470694699876</v>
      </c>
      <c r="D310" s="595">
        <f t="shared" ref="D310:H310" si="421">D309/D39</f>
        <v>0.35163036991221502</v>
      </c>
      <c r="E310" s="595">
        <f t="shared" si="421"/>
        <v>0.35271733519314119</v>
      </c>
      <c r="F310" s="595">
        <f t="shared" si="421"/>
        <v>0.34961962585878209</v>
      </c>
      <c r="G310" s="595">
        <f t="shared" si="421"/>
        <v>0.3394419297501246</v>
      </c>
      <c r="H310" s="595">
        <f t="shared" si="421"/>
        <v>0.32956051420016219</v>
      </c>
      <c r="I310" s="581"/>
      <c r="J310" s="582"/>
    </row>
    <row r="312" spans="1:11">
      <c r="A312" s="557" t="s">
        <v>19</v>
      </c>
      <c r="B312" s="149" t="s">
        <v>430</v>
      </c>
      <c r="C312" s="147" t="s">
        <v>370</v>
      </c>
      <c r="D312" s="147"/>
      <c r="E312" s="147"/>
      <c r="F312" s="147"/>
      <c r="G312" s="147"/>
      <c r="H312" s="147"/>
      <c r="I312" s="148"/>
      <c r="J312" s="2" t="s">
        <v>369</v>
      </c>
    </row>
    <row r="313" spans="1:11">
      <c r="B313" s="150" t="s">
        <v>342</v>
      </c>
      <c r="C313" s="154" t="str">
        <f t="shared" ref="C313:H313" si="422">C$9</f>
        <v>2026E</v>
      </c>
      <c r="D313" s="154" t="str">
        <f t="shared" si="422"/>
        <v>2027E</v>
      </c>
      <c r="E313" s="154" t="str">
        <f t="shared" si="422"/>
        <v>2028E</v>
      </c>
      <c r="F313" s="154" t="str">
        <f t="shared" si="422"/>
        <v>2029E</v>
      </c>
      <c r="G313" s="154" t="str">
        <f t="shared" si="422"/>
        <v>2030E</v>
      </c>
      <c r="H313" s="154" t="str">
        <f t="shared" si="422"/>
        <v>2031E</v>
      </c>
      <c r="I313" s="148"/>
      <c r="J313" s="315" t="str">
        <f>$J$9</f>
        <v>6-Year(F)</v>
      </c>
    </row>
    <row r="314" spans="1:11">
      <c r="B314" s="150" t="s">
        <v>718</v>
      </c>
      <c r="C314" s="148">
        <f t="shared" ref="C314:H314" si="423">C$10</f>
        <v>46295</v>
      </c>
      <c r="D314" s="148">
        <f t="shared" si="423"/>
        <v>46660</v>
      </c>
      <c r="E314" s="148">
        <f t="shared" si="423"/>
        <v>47026</v>
      </c>
      <c r="F314" s="148">
        <f t="shared" si="423"/>
        <v>47391</v>
      </c>
      <c r="G314" s="148">
        <f t="shared" si="423"/>
        <v>47756</v>
      </c>
      <c r="H314" s="148">
        <f t="shared" si="423"/>
        <v>48121</v>
      </c>
      <c r="I314" s="148"/>
      <c r="J314" s="3">
        <f>$H$44</f>
        <v>48121</v>
      </c>
    </row>
    <row r="315" spans="1:11" ht="5.0999999999999996" customHeight="1">
      <c r="B315" s="473"/>
    </row>
    <row r="316" spans="1:11">
      <c r="B316" s="432" t="s">
        <v>702</v>
      </c>
      <c r="C316" s="156">
        <v>21574</v>
      </c>
      <c r="D316" s="156">
        <v>22955</v>
      </c>
      <c r="E316" s="156">
        <v>25492</v>
      </c>
      <c r="F316" s="156">
        <v>27958</v>
      </c>
      <c r="G316" s="156">
        <v>30602</v>
      </c>
      <c r="H316" s="156">
        <v>32876</v>
      </c>
      <c r="J316" s="563">
        <f t="shared" ref="J316:J326" si="424">((H316/C316)^(1/COUNT(C316:H316))-1)</f>
        <v>7.2732362882736989E-2</v>
      </c>
      <c r="K316" s="432" t="s">
        <v>720</v>
      </c>
    </row>
    <row r="317" spans="1:11">
      <c r="B317" s="559" t="s">
        <v>733</v>
      </c>
      <c r="C317" s="596">
        <f t="shared" ref="C317:H317" si="425">C316/C260</f>
        <v>0.15039386545834785</v>
      </c>
      <c r="D317" s="596">
        <f t="shared" si="425"/>
        <v>0.15047130852026167</v>
      </c>
      <c r="E317" s="596">
        <f t="shared" si="425"/>
        <v>0.15060942106475875</v>
      </c>
      <c r="F317" s="596">
        <f t="shared" si="425"/>
        <v>0.15079095405293164</v>
      </c>
      <c r="G317" s="596">
        <f t="shared" si="425"/>
        <v>0.15099199202656496</v>
      </c>
      <c r="H317" s="596">
        <f t="shared" si="425"/>
        <v>0.15123746434814611</v>
      </c>
      <c r="J317" s="562"/>
    </row>
    <row r="318" spans="1:11">
      <c r="B318" s="432" t="s">
        <v>723</v>
      </c>
      <c r="C318" s="156">
        <v>22308</v>
      </c>
      <c r="D318" s="156">
        <v>24499</v>
      </c>
      <c r="E318" s="156">
        <v>26181</v>
      </c>
      <c r="F318" s="153">
        <f t="shared" ref="F318:H318" si="426">E318</f>
        <v>26181</v>
      </c>
      <c r="G318" s="153">
        <f t="shared" si="426"/>
        <v>26181</v>
      </c>
      <c r="H318" s="153">
        <f t="shared" si="426"/>
        <v>26181</v>
      </c>
      <c r="J318" s="563">
        <f t="shared" si="424"/>
        <v>2.7040569465421438E-2</v>
      </c>
      <c r="K318" s="432" t="s">
        <v>720</v>
      </c>
    </row>
    <row r="319" spans="1:11">
      <c r="B319" s="559" t="s">
        <v>733</v>
      </c>
      <c r="C319" s="596">
        <f t="shared" ref="C319:H319" si="427">C318/C268</f>
        <v>0.15679053128009052</v>
      </c>
      <c r="D319" s="596">
        <f t="shared" si="427"/>
        <v>0.16045137797338363</v>
      </c>
      <c r="E319" s="596">
        <f t="shared" si="427"/>
        <v>0.16068962554241417</v>
      </c>
      <c r="F319" s="596">
        <f t="shared" si="427"/>
        <v>0.16068962554241417</v>
      </c>
      <c r="G319" s="596">
        <f t="shared" si="427"/>
        <v>0.16068962554241417</v>
      </c>
      <c r="H319" s="596">
        <f t="shared" si="427"/>
        <v>0.16068962554241417</v>
      </c>
      <c r="J319" s="562"/>
    </row>
    <row r="320" spans="1:11">
      <c r="B320" s="432" t="s">
        <v>724</v>
      </c>
      <c r="C320" s="156">
        <v>24100</v>
      </c>
      <c r="D320" s="156">
        <v>25289</v>
      </c>
      <c r="E320" s="156">
        <v>26228</v>
      </c>
      <c r="F320" s="156">
        <v>27251</v>
      </c>
      <c r="G320" s="156">
        <v>27905</v>
      </c>
      <c r="H320" s="153">
        <f t="shared" ref="H320:H322" si="428">G320</f>
        <v>27905</v>
      </c>
      <c r="J320" s="563">
        <f t="shared" si="424"/>
        <v>2.473325594893816E-2</v>
      </c>
      <c r="K320" s="432" t="s">
        <v>720</v>
      </c>
    </row>
    <row r="321" spans="2:11">
      <c r="B321" s="559" t="s">
        <v>733</v>
      </c>
      <c r="C321" s="596">
        <f t="shared" ref="C321:H321" si="429">C320/C264</f>
        <v>0.16959051981957257</v>
      </c>
      <c r="D321" s="596">
        <f t="shared" si="429"/>
        <v>0.17004895236558273</v>
      </c>
      <c r="E321" s="596">
        <f t="shared" si="429"/>
        <v>0.1705475755427962</v>
      </c>
      <c r="F321" s="596">
        <f t="shared" si="429"/>
        <v>0.17111550657750149</v>
      </c>
      <c r="G321" s="596">
        <f t="shared" si="429"/>
        <v>0.17169560562617672</v>
      </c>
      <c r="H321" s="596">
        <f t="shared" si="429"/>
        <v>0.17169560562617672</v>
      </c>
      <c r="J321" s="562"/>
    </row>
    <row r="322" spans="2:11">
      <c r="B322" s="432" t="s">
        <v>727</v>
      </c>
      <c r="C322" s="156">
        <v>24643</v>
      </c>
      <c r="D322" s="156">
        <v>26252</v>
      </c>
      <c r="E322" s="153">
        <f t="shared" ref="E322:G322" si="430">D322</f>
        <v>26252</v>
      </c>
      <c r="F322" s="153">
        <f t="shared" si="430"/>
        <v>26252</v>
      </c>
      <c r="G322" s="153">
        <f t="shared" si="430"/>
        <v>26252</v>
      </c>
      <c r="H322" s="153">
        <f t="shared" si="428"/>
        <v>26252</v>
      </c>
      <c r="J322" s="563">
        <f t="shared" si="424"/>
        <v>1.0597306562019737E-2</v>
      </c>
      <c r="K322" s="432" t="s">
        <v>720</v>
      </c>
    </row>
    <row r="323" spans="2:11">
      <c r="B323" s="559" t="s">
        <v>733</v>
      </c>
      <c r="C323" s="596">
        <f t="shared" ref="C323:H323" si="431">C322/C266</f>
        <v>0.16814044568169104</v>
      </c>
      <c r="D323" s="596">
        <f t="shared" si="431"/>
        <v>0.17202356379458347</v>
      </c>
      <c r="E323" s="596">
        <f t="shared" si="431"/>
        <v>0.16673123701977122</v>
      </c>
      <c r="F323" s="596">
        <f t="shared" si="431"/>
        <v>0.16673123701977122</v>
      </c>
      <c r="G323" s="596">
        <f t="shared" si="431"/>
        <v>0.16673123701977122</v>
      </c>
      <c r="H323" s="596">
        <f t="shared" si="431"/>
        <v>0.16673123701977122</v>
      </c>
      <c r="J323" s="562"/>
    </row>
    <row r="324" spans="2:11">
      <c r="B324" s="432" t="s">
        <v>725</v>
      </c>
      <c r="C324" s="156">
        <v>22957</v>
      </c>
      <c r="D324" s="156">
        <v>25969</v>
      </c>
      <c r="E324" s="156">
        <v>26792</v>
      </c>
      <c r="F324" s="153">
        <f t="shared" ref="F324:H324" si="432">E324</f>
        <v>26792</v>
      </c>
      <c r="G324" s="153">
        <f t="shared" si="432"/>
        <v>26792</v>
      </c>
      <c r="H324" s="153">
        <f t="shared" si="432"/>
        <v>26792</v>
      </c>
      <c r="J324" s="563">
        <f t="shared" si="424"/>
        <v>2.6081049353394725E-2</v>
      </c>
      <c r="K324" s="432" t="s">
        <v>720</v>
      </c>
    </row>
    <row r="325" spans="2:11">
      <c r="B325" s="559" t="s">
        <v>733</v>
      </c>
      <c r="C325" s="596">
        <f t="shared" ref="C325:H325" si="433">C324/C266</f>
        <v>0.15663678170330644</v>
      </c>
      <c r="D325" s="596">
        <f t="shared" si="433"/>
        <v>0.17016912723531685</v>
      </c>
      <c r="E325" s="596">
        <f t="shared" si="433"/>
        <v>0.17016087544696445</v>
      </c>
      <c r="F325" s="596">
        <f t="shared" si="433"/>
        <v>0.17016087544696445</v>
      </c>
      <c r="G325" s="596">
        <f t="shared" si="433"/>
        <v>0.17016087544696445</v>
      </c>
      <c r="H325" s="596">
        <f t="shared" si="433"/>
        <v>0.17016087544696445</v>
      </c>
      <c r="J325" s="562"/>
    </row>
    <row r="326" spans="2:11">
      <c r="B326" s="432" t="s">
        <v>726</v>
      </c>
      <c r="C326" s="156">
        <v>23808</v>
      </c>
      <c r="D326" s="156">
        <v>26460</v>
      </c>
      <c r="E326" s="156">
        <v>28203</v>
      </c>
      <c r="F326" s="153">
        <f t="shared" ref="F326:H326" si="434">E326</f>
        <v>28203</v>
      </c>
      <c r="G326" s="153">
        <f t="shared" si="434"/>
        <v>28203</v>
      </c>
      <c r="H326" s="153">
        <f t="shared" si="434"/>
        <v>28203</v>
      </c>
      <c r="J326" s="563">
        <f t="shared" si="424"/>
        <v>2.8636819475136743E-2</v>
      </c>
      <c r="K326" s="432" t="s">
        <v>720</v>
      </c>
    </row>
    <row r="327" spans="2:11">
      <c r="B327" s="559" t="s">
        <v>733</v>
      </c>
      <c r="C327" s="596">
        <f t="shared" ref="C327:H327" si="435">C326/C270</f>
        <v>0.16386650056095092</v>
      </c>
      <c r="D327" s="596">
        <f t="shared" si="435"/>
        <v>0.16043948048168225</v>
      </c>
      <c r="E327" s="596">
        <f t="shared" si="435"/>
        <v>0.16015241253598786</v>
      </c>
      <c r="F327" s="596">
        <f t="shared" si="435"/>
        <v>0.16015241253598786</v>
      </c>
      <c r="G327" s="596">
        <f t="shared" si="435"/>
        <v>0.16015241253598786</v>
      </c>
      <c r="H327" s="596">
        <f t="shared" si="435"/>
        <v>0.16015241253598786</v>
      </c>
      <c r="J327" s="564"/>
    </row>
    <row r="328" spans="2:11" ht="5.0999999999999996" customHeight="1"/>
    <row r="329" spans="2:11">
      <c r="B329" s="565" t="s">
        <v>336</v>
      </c>
      <c r="C329" s="566">
        <f>MAX(,C$316,C$318,C$322,C$320,C$324,C$326)</f>
        <v>24643</v>
      </c>
      <c r="D329" s="566">
        <f t="shared" ref="D329:H329" si="436">MAX(,D$316,D$318,D$322,D$320,D$324,D$326)</f>
        <v>26460</v>
      </c>
      <c r="E329" s="566">
        <f t="shared" si="436"/>
        <v>28203</v>
      </c>
      <c r="F329" s="566">
        <f t="shared" si="436"/>
        <v>28203</v>
      </c>
      <c r="G329" s="566">
        <f t="shared" si="436"/>
        <v>30602</v>
      </c>
      <c r="H329" s="566">
        <f t="shared" si="436"/>
        <v>32876</v>
      </c>
      <c r="I329" s="567"/>
      <c r="J329" s="568">
        <f t="shared" ref="J329:J335" si="437">((H329/C329)^(1/COUNT(C329:H329))-1)</f>
        <v>4.9214375838542601E-2</v>
      </c>
    </row>
    <row r="330" spans="2:11">
      <c r="B330" s="569" t="s">
        <v>730</v>
      </c>
      <c r="C330" s="594">
        <f t="shared" ref="C330:H330" si="438">C329/C275</f>
        <v>0.16814044568169104</v>
      </c>
      <c r="D330" s="594">
        <f t="shared" si="438"/>
        <v>0.15547603518482611</v>
      </c>
      <c r="E330" s="594">
        <f t="shared" si="438"/>
        <v>0.15115849050536234</v>
      </c>
      <c r="F330" s="594">
        <f t="shared" si="438"/>
        <v>0.15115849050536234</v>
      </c>
      <c r="G330" s="594">
        <f t="shared" si="438"/>
        <v>0.15099199202656496</v>
      </c>
      <c r="H330" s="594">
        <f t="shared" si="438"/>
        <v>0.15123746434814611</v>
      </c>
      <c r="I330" s="572"/>
      <c r="J330" s="573"/>
    </row>
    <row r="331" spans="2:11">
      <c r="B331" s="574" t="s">
        <v>707</v>
      </c>
      <c r="C331" s="575">
        <f>MEDIAN(C$316,C$318,C$322,C$320,C$324,C$326)</f>
        <v>23382.5</v>
      </c>
      <c r="D331" s="575">
        <f t="shared" ref="D331:H331" si="439">MEDIAN(D$316,D$318,D$322,D$320,D$324,D$326)</f>
        <v>25629</v>
      </c>
      <c r="E331" s="575">
        <f t="shared" si="439"/>
        <v>26240</v>
      </c>
      <c r="F331" s="575">
        <f t="shared" si="439"/>
        <v>27021.5</v>
      </c>
      <c r="G331" s="575">
        <f t="shared" si="439"/>
        <v>27348.5</v>
      </c>
      <c r="H331" s="575">
        <f t="shared" si="439"/>
        <v>27348.5</v>
      </c>
      <c r="I331" s="572"/>
      <c r="J331" s="573">
        <f t="shared" si="437"/>
        <v>2.6456213620807967E-2</v>
      </c>
    </row>
    <row r="332" spans="2:11">
      <c r="B332" s="569" t="s">
        <v>730</v>
      </c>
      <c r="C332" s="594">
        <f t="shared" ref="C332:H332" si="440">C331/C277</f>
        <v>0.16084873374401096</v>
      </c>
      <c r="D332" s="594">
        <f t="shared" si="440"/>
        <v>0.16668780425938753</v>
      </c>
      <c r="E332" s="594">
        <f t="shared" si="440"/>
        <v>0.15798282900044552</v>
      </c>
      <c r="F332" s="594">
        <f t="shared" si="440"/>
        <v>0.16119535649517991</v>
      </c>
      <c r="G332" s="594">
        <f t="shared" si="440"/>
        <v>0.16314605803187934</v>
      </c>
      <c r="H332" s="594">
        <f t="shared" si="440"/>
        <v>0.16314605803187934</v>
      </c>
      <c r="I332" s="572"/>
      <c r="J332" s="573"/>
    </row>
    <row r="333" spans="2:11">
      <c r="B333" s="574" t="s">
        <v>706</v>
      </c>
      <c r="C333" s="575">
        <f>AVERAGE(C$316,C$318,C$322,C$320,C$324,C$326)</f>
        <v>23231.666666666668</v>
      </c>
      <c r="D333" s="575">
        <f t="shared" ref="D333:H333" si="441">AVERAGE(D$316,D$318,D$322,D$320,D$324,D$326)</f>
        <v>25237.333333333332</v>
      </c>
      <c r="E333" s="575">
        <f t="shared" si="441"/>
        <v>26524.666666666668</v>
      </c>
      <c r="F333" s="575">
        <f t="shared" si="441"/>
        <v>27106.166666666668</v>
      </c>
      <c r="G333" s="575">
        <f t="shared" si="441"/>
        <v>27655.833333333332</v>
      </c>
      <c r="H333" s="575">
        <f t="shared" si="441"/>
        <v>28034.833333333332</v>
      </c>
      <c r="I333" s="572"/>
      <c r="J333" s="573">
        <f t="shared" si="437"/>
        <v>3.1817608698407884E-2</v>
      </c>
    </row>
    <row r="334" spans="2:11">
      <c r="B334" s="569" t="s">
        <v>730</v>
      </c>
      <c r="C334" s="594">
        <f t="shared" ref="C334:H334" si="442">C333/C279</f>
        <v>0.16055569617665158</v>
      </c>
      <c r="D334" s="594">
        <f t="shared" si="442"/>
        <v>0.16020550452503526</v>
      </c>
      <c r="E334" s="594">
        <f t="shared" si="442"/>
        <v>0.15915651487354573</v>
      </c>
      <c r="F334" s="594">
        <f t="shared" si="442"/>
        <v>0.16005058258541963</v>
      </c>
      <c r="G334" s="594">
        <f t="shared" si="442"/>
        <v>0.16085811676233475</v>
      </c>
      <c r="H334" s="594">
        <f t="shared" si="442"/>
        <v>0.16133739820437823</v>
      </c>
      <c r="I334" s="572"/>
      <c r="J334" s="573"/>
    </row>
    <row r="335" spans="2:11">
      <c r="B335" s="576" t="s">
        <v>334</v>
      </c>
      <c r="C335" s="577">
        <f>MIN(C$316,C$318,C$322,C$320,C$324,C$326)</f>
        <v>21574</v>
      </c>
      <c r="D335" s="577">
        <f t="shared" ref="D335:H335" si="443">MIN(D$316,D$318,D$322,D$320,D$324,D$326)</f>
        <v>22955</v>
      </c>
      <c r="E335" s="577">
        <f t="shared" si="443"/>
        <v>25492</v>
      </c>
      <c r="F335" s="577">
        <f t="shared" si="443"/>
        <v>26181</v>
      </c>
      <c r="G335" s="577">
        <f t="shared" si="443"/>
        <v>26181</v>
      </c>
      <c r="H335" s="577">
        <f t="shared" si="443"/>
        <v>26181</v>
      </c>
      <c r="I335" s="572"/>
      <c r="J335" s="573">
        <f t="shared" si="437"/>
        <v>3.2783425000231681E-2</v>
      </c>
    </row>
    <row r="336" spans="2:11">
      <c r="B336" s="578" t="s">
        <v>730</v>
      </c>
      <c r="C336" s="595">
        <f t="shared" ref="C336:H336" si="444">C335/C281</f>
        <v>0.15181518151815182</v>
      </c>
      <c r="D336" s="595">
        <f t="shared" si="444"/>
        <v>0.15435460878452889</v>
      </c>
      <c r="E336" s="595">
        <f t="shared" si="444"/>
        <v>0.16576173538725639</v>
      </c>
      <c r="F336" s="595">
        <f t="shared" si="444"/>
        <v>0.16910496638052977</v>
      </c>
      <c r="G336" s="595">
        <f t="shared" si="444"/>
        <v>0.16910496638052977</v>
      </c>
      <c r="H336" s="595">
        <f t="shared" si="444"/>
        <v>0.16910496638052977</v>
      </c>
      <c r="I336" s="581"/>
      <c r="J336" s="582"/>
    </row>
    <row r="338" spans="1:11">
      <c r="A338" s="557" t="s">
        <v>19</v>
      </c>
      <c r="B338" s="149" t="s">
        <v>734</v>
      </c>
      <c r="C338" s="149"/>
      <c r="D338" s="149"/>
      <c r="E338" s="149"/>
      <c r="F338" s="149"/>
      <c r="G338" s="149"/>
      <c r="H338" s="149"/>
      <c r="I338" s="149"/>
      <c r="J338" s="149"/>
    </row>
    <row r="339" spans="1:11" ht="5.0999999999999996" customHeight="1"/>
    <row r="340" spans="1:11">
      <c r="A340" s="557" t="s">
        <v>19</v>
      </c>
      <c r="B340" s="149" t="s">
        <v>735</v>
      </c>
      <c r="C340" s="147" t="s">
        <v>370</v>
      </c>
      <c r="D340" s="147"/>
      <c r="E340" s="147"/>
      <c r="F340" s="147"/>
      <c r="G340" s="147"/>
      <c r="H340" s="147"/>
      <c r="I340" s="148"/>
      <c r="J340" s="2" t="s">
        <v>369</v>
      </c>
    </row>
    <row r="341" spans="1:11">
      <c r="B341" s="150" t="s">
        <v>342</v>
      </c>
      <c r="C341" s="154" t="str">
        <f t="shared" ref="C341:H341" si="445">C$9</f>
        <v>2026E</v>
      </c>
      <c r="D341" s="154" t="str">
        <f t="shared" si="445"/>
        <v>2027E</v>
      </c>
      <c r="E341" s="154" t="str">
        <f t="shared" si="445"/>
        <v>2028E</v>
      </c>
      <c r="F341" s="154" t="str">
        <f t="shared" si="445"/>
        <v>2029E</v>
      </c>
      <c r="G341" s="154" t="str">
        <f t="shared" si="445"/>
        <v>2030E</v>
      </c>
      <c r="H341" s="154" t="str">
        <f t="shared" si="445"/>
        <v>2031E</v>
      </c>
      <c r="I341" s="148"/>
      <c r="J341" s="315" t="str">
        <f>$J$9</f>
        <v>6-Year(F)</v>
      </c>
    </row>
    <row r="342" spans="1:11">
      <c r="B342" s="150" t="s">
        <v>718</v>
      </c>
      <c r="C342" s="148">
        <f t="shared" ref="C342:H342" si="446">C$10</f>
        <v>46295</v>
      </c>
      <c r="D342" s="148">
        <f t="shared" si="446"/>
        <v>46660</v>
      </c>
      <c r="E342" s="148">
        <f t="shared" si="446"/>
        <v>47026</v>
      </c>
      <c r="F342" s="148">
        <f t="shared" si="446"/>
        <v>47391</v>
      </c>
      <c r="G342" s="148">
        <f t="shared" si="446"/>
        <v>47756</v>
      </c>
      <c r="H342" s="148">
        <f t="shared" si="446"/>
        <v>48121</v>
      </c>
      <c r="I342" s="148"/>
      <c r="J342" s="3">
        <f>$H$44</f>
        <v>48121</v>
      </c>
    </row>
    <row r="343" spans="1:11" ht="5.0999999999999996" customHeight="1">
      <c r="B343" s="473"/>
    </row>
    <row r="344" spans="1:11">
      <c r="B344" s="432" t="s">
        <v>719</v>
      </c>
      <c r="C344" s="156">
        <v>13925</v>
      </c>
      <c r="D344" s="156">
        <v>16323</v>
      </c>
      <c r="E344" s="156">
        <v>18895</v>
      </c>
      <c r="F344" s="153">
        <f t="shared" ref="F344:H344" si="447">E344</f>
        <v>18895</v>
      </c>
      <c r="G344" s="153">
        <f t="shared" si="447"/>
        <v>18895</v>
      </c>
      <c r="H344" s="153">
        <f t="shared" si="447"/>
        <v>18895</v>
      </c>
      <c r="J344" s="558">
        <f t="shared" ref="J344:J356" si="448">((H344/C344)^(1/COUNT(C344:H344))-1)</f>
        <v>5.2184618544383943E-2</v>
      </c>
      <c r="K344" s="432" t="s">
        <v>720</v>
      </c>
    </row>
    <row r="345" spans="1:11">
      <c r="B345" s="559" t="s">
        <v>730</v>
      </c>
      <c r="C345" s="561">
        <f t="shared" ref="C345:H345" si="449">C344/C12</f>
        <v>3.0268975441372744E-2</v>
      </c>
      <c r="D345" s="561">
        <f t="shared" si="449"/>
        <v>3.1133057917443897E-2</v>
      </c>
      <c r="E345" s="561">
        <f t="shared" si="449"/>
        <v>3.3941752037493104E-2</v>
      </c>
      <c r="F345" s="561">
        <f t="shared" si="449"/>
        <v>3.1894853186719051E-2</v>
      </c>
      <c r="G345" s="561">
        <f t="shared" si="449"/>
        <v>2.990322042778553E-2</v>
      </c>
      <c r="H345" s="561">
        <f t="shared" si="449"/>
        <v>2.7971799321704658E-2</v>
      </c>
      <c r="J345" s="562"/>
    </row>
    <row r="346" spans="1:11">
      <c r="B346" s="432" t="s">
        <v>702</v>
      </c>
      <c r="C346" s="156">
        <v>11678</v>
      </c>
      <c r="D346" s="156">
        <v>11029</v>
      </c>
      <c r="E346" s="156">
        <v>11666</v>
      </c>
      <c r="F346" s="156">
        <v>12904</v>
      </c>
      <c r="G346" s="156">
        <v>15129</v>
      </c>
      <c r="H346" s="156">
        <v>16032</v>
      </c>
      <c r="J346" s="563">
        <f t="shared" si="448"/>
        <v>5.4232835750327224E-2</v>
      </c>
      <c r="K346" s="432" t="s">
        <v>720</v>
      </c>
    </row>
    <row r="347" spans="1:11">
      <c r="B347" s="559" t="s">
        <v>730</v>
      </c>
      <c r="C347" s="561">
        <f t="shared" ref="C347:H347" si="450">C346/C26</f>
        <v>2.6056785853740168E-2</v>
      </c>
      <c r="D347" s="561">
        <f t="shared" si="450"/>
        <v>2.3061305141485466E-2</v>
      </c>
      <c r="E347" s="561">
        <f t="shared" si="450"/>
        <v>2.2372917761404126E-2</v>
      </c>
      <c r="F347" s="561">
        <f t="shared" si="450"/>
        <v>2.333428570395258E-2</v>
      </c>
      <c r="G347" s="561">
        <f t="shared" si="450"/>
        <v>2.6221149196588425E-2</v>
      </c>
      <c r="H347" s="561">
        <f t="shared" si="450"/>
        <v>2.6506358748487193E-2</v>
      </c>
      <c r="J347" s="562"/>
    </row>
    <row r="348" spans="1:11">
      <c r="B348" s="432" t="s">
        <v>724</v>
      </c>
      <c r="C348" s="156">
        <v>13043</v>
      </c>
      <c r="D348" s="156">
        <v>13310</v>
      </c>
      <c r="E348" s="156">
        <v>13613</v>
      </c>
      <c r="F348" s="156">
        <v>13934</v>
      </c>
      <c r="G348" s="156">
        <v>14245</v>
      </c>
      <c r="H348" s="153">
        <f t="shared" ref="H348" si="451">G348</f>
        <v>14245</v>
      </c>
      <c r="J348" s="563">
        <f t="shared" si="448"/>
        <v>1.4800859891784812E-2</v>
      </c>
      <c r="K348" s="432" t="s">
        <v>722</v>
      </c>
    </row>
    <row r="349" spans="1:11">
      <c r="B349" s="559" t="s">
        <v>730</v>
      </c>
      <c r="C349" s="561">
        <f t="shared" ref="C349:H349" si="452">C348/C18</f>
        <v>2.9288458645181429E-2</v>
      </c>
      <c r="D349" s="561">
        <f t="shared" si="452"/>
        <v>2.8690353272877379E-2</v>
      </c>
      <c r="E349" s="561">
        <f t="shared" si="452"/>
        <v>2.835929411127476E-2</v>
      </c>
      <c r="F349" s="561">
        <f t="shared" si="452"/>
        <v>2.8072140606490398E-2</v>
      </c>
      <c r="G349" s="561">
        <f t="shared" si="452"/>
        <v>2.8056139853308439E-2</v>
      </c>
      <c r="H349" s="561">
        <f t="shared" si="452"/>
        <v>2.7427969484191642E-2</v>
      </c>
      <c r="J349" s="562"/>
    </row>
    <row r="350" spans="1:11">
      <c r="B350" s="432" t="s">
        <v>725</v>
      </c>
      <c r="C350" s="156">
        <v>12873</v>
      </c>
      <c r="D350" s="156">
        <v>12912</v>
      </c>
      <c r="E350" s="156">
        <v>13454</v>
      </c>
      <c r="F350" s="153">
        <f t="shared" ref="F350:H352" si="453">E350</f>
        <v>13454</v>
      </c>
      <c r="G350" s="153">
        <f t="shared" si="453"/>
        <v>13454</v>
      </c>
      <c r="H350" s="153">
        <f t="shared" si="453"/>
        <v>13454</v>
      </c>
      <c r="J350" s="563">
        <f t="shared" si="448"/>
        <v>7.3845262784504317E-3</v>
      </c>
      <c r="K350" s="432" t="s">
        <v>720</v>
      </c>
    </row>
    <row r="351" spans="1:11">
      <c r="B351" s="559" t="s">
        <v>730</v>
      </c>
      <c r="C351" s="561">
        <f t="shared" ref="C351:H351" si="454">C350/C20</f>
        <v>2.8558878143905866E-2</v>
      </c>
      <c r="D351" s="561">
        <f t="shared" si="454"/>
        <v>2.8021745499527979E-2</v>
      </c>
      <c r="E351" s="561">
        <f t="shared" si="454"/>
        <v>2.8348022865522828E-2</v>
      </c>
      <c r="F351" s="561">
        <f t="shared" si="454"/>
        <v>2.7522790124946926E-2</v>
      </c>
      <c r="G351" s="561">
        <f t="shared" si="454"/>
        <v>2.6721580543917246E-2</v>
      </c>
      <c r="H351" s="561">
        <f t="shared" si="454"/>
        <v>2.5943694789789543E-2</v>
      </c>
      <c r="J351" s="562"/>
    </row>
    <row r="352" spans="1:11">
      <c r="B352" s="432" t="s">
        <v>723</v>
      </c>
      <c r="C352" s="156">
        <v>13664</v>
      </c>
      <c r="D352" s="156">
        <v>14086</v>
      </c>
      <c r="E352" s="156">
        <v>14735</v>
      </c>
      <c r="F352" s="153">
        <f t="shared" si="453"/>
        <v>14735</v>
      </c>
      <c r="G352" s="153">
        <f t="shared" si="453"/>
        <v>14735</v>
      </c>
      <c r="H352" s="153">
        <f t="shared" si="453"/>
        <v>14735</v>
      </c>
      <c r="J352" s="563">
        <f t="shared" si="448"/>
        <v>1.2656250787125511E-2</v>
      </c>
      <c r="K352" s="432" t="s">
        <v>720</v>
      </c>
    </row>
    <row r="353" spans="1:11">
      <c r="B353" s="559" t="s">
        <v>730</v>
      </c>
      <c r="C353" s="561">
        <f t="shared" ref="C353:H353" si="455">C352/C16</f>
        <v>2.9971090531820156E-2</v>
      </c>
      <c r="D353" s="561">
        <f t="shared" si="455"/>
        <v>2.9269427930838872E-2</v>
      </c>
      <c r="E353" s="561">
        <f t="shared" si="455"/>
        <v>2.9211015139770792E-2</v>
      </c>
      <c r="F353" s="561">
        <f t="shared" si="455"/>
        <v>2.7844860679608213E-2</v>
      </c>
      <c r="G353" s="561">
        <f t="shared" si="455"/>
        <v>2.651968750551208E-2</v>
      </c>
      <c r="H353" s="561">
        <f t="shared" si="455"/>
        <v>2.523560841836368E-2</v>
      </c>
      <c r="J353" s="562"/>
    </row>
    <row r="354" spans="1:11">
      <c r="B354" s="432" t="s">
        <v>721</v>
      </c>
      <c r="C354" s="156">
        <v>13025</v>
      </c>
      <c r="D354" s="156">
        <v>15006</v>
      </c>
      <c r="E354" s="156">
        <v>15924</v>
      </c>
      <c r="F354" s="153">
        <f t="shared" ref="F354:H354" si="456">E354</f>
        <v>15924</v>
      </c>
      <c r="G354" s="153">
        <f t="shared" si="456"/>
        <v>15924</v>
      </c>
      <c r="H354" s="153">
        <f t="shared" si="456"/>
        <v>15924</v>
      </c>
      <c r="J354" s="563">
        <f t="shared" si="448"/>
        <v>3.4060001483260605E-2</v>
      </c>
      <c r="K354" s="432" t="s">
        <v>722</v>
      </c>
    </row>
    <row r="355" spans="1:11">
      <c r="B355" s="559" t="s">
        <v>730</v>
      </c>
      <c r="C355" s="561">
        <f t="shared" ref="C355:H355" si="457">C354/C14</f>
        <v>2.8610150727719226E-2</v>
      </c>
      <c r="D355" s="561">
        <f t="shared" si="457"/>
        <v>2.9932439575608035E-2</v>
      </c>
      <c r="E355" s="561">
        <f t="shared" si="457"/>
        <v>3.0633916616648969E-2</v>
      </c>
      <c r="F355" s="561">
        <f t="shared" si="457"/>
        <v>2.944830648229859E-2</v>
      </c>
      <c r="G355" s="561">
        <f t="shared" si="457"/>
        <v>2.8214445312637448E-2</v>
      </c>
      <c r="H355" s="561">
        <f t="shared" si="457"/>
        <v>2.6940933648426917E-2</v>
      </c>
      <c r="J355" s="562"/>
    </row>
    <row r="356" spans="1:11">
      <c r="B356" s="432" t="s">
        <v>726</v>
      </c>
      <c r="C356" s="156">
        <v>14401</v>
      </c>
      <c r="D356" s="156">
        <v>15457</v>
      </c>
      <c r="E356" s="156">
        <v>17024</v>
      </c>
      <c r="F356" s="153">
        <f t="shared" ref="F356:H356" si="458">E356</f>
        <v>17024</v>
      </c>
      <c r="G356" s="153">
        <f t="shared" si="458"/>
        <v>17024</v>
      </c>
      <c r="H356" s="153">
        <f t="shared" si="458"/>
        <v>17024</v>
      </c>
      <c r="J356" s="563">
        <f t="shared" si="448"/>
        <v>2.8280247408078552E-2</v>
      </c>
      <c r="K356" s="432" t="s">
        <v>720</v>
      </c>
    </row>
    <row r="357" spans="1:11">
      <c r="B357" s="559" t="s">
        <v>730</v>
      </c>
      <c r="C357" s="561">
        <f t="shared" ref="C357:H357" si="459">C356/C28</f>
        <v>3.1327565690866255E-2</v>
      </c>
      <c r="D357" s="561">
        <f t="shared" si="459"/>
        <v>3.0959882545933074E-2</v>
      </c>
      <c r="E357" s="561">
        <f t="shared" si="459"/>
        <v>3.2294290830728142E-2</v>
      </c>
      <c r="F357" s="561">
        <f t="shared" si="459"/>
        <v>3.0564883229414083E-2</v>
      </c>
      <c r="G357" s="561">
        <f t="shared" si="459"/>
        <v>2.8908166596202062E-2</v>
      </c>
      <c r="H357" s="561">
        <f t="shared" si="459"/>
        <v>2.7322050990711569E-2</v>
      </c>
      <c r="J357" s="564"/>
    </row>
    <row r="358" spans="1:11" ht="5.0999999999999996" customHeight="1"/>
    <row r="359" spans="1:11">
      <c r="B359" s="565" t="s">
        <v>336</v>
      </c>
      <c r="C359" s="566">
        <f t="shared" ref="C359:H359" si="460">MAX(C$344,C$346,C$348,C$350,C$354,C$356,C$352)</f>
        <v>14401</v>
      </c>
      <c r="D359" s="566">
        <f t="shared" si="460"/>
        <v>16323</v>
      </c>
      <c r="E359" s="566">
        <f t="shared" si="460"/>
        <v>18895</v>
      </c>
      <c r="F359" s="566">
        <f t="shared" si="460"/>
        <v>18895</v>
      </c>
      <c r="G359" s="566">
        <f t="shared" si="460"/>
        <v>18895</v>
      </c>
      <c r="H359" s="566">
        <f t="shared" si="460"/>
        <v>18895</v>
      </c>
      <c r="I359" s="567"/>
      <c r="J359" s="568">
        <f t="shared" ref="J359:J365" si="461">((H359/C359)^(1/COUNT(C359:H359))-1)</f>
        <v>4.6306783491284476E-2</v>
      </c>
    </row>
    <row r="360" spans="1:11">
      <c r="B360" s="569" t="s">
        <v>730</v>
      </c>
      <c r="C360" s="594">
        <f t="shared" ref="C360:H360" si="462">C359/C33</f>
        <v>3.1303663578542827E-2</v>
      </c>
      <c r="D360" s="594">
        <f t="shared" si="462"/>
        <v>3.1133057917443897E-2</v>
      </c>
      <c r="E360" s="594">
        <f t="shared" si="462"/>
        <v>3.3941752037493104E-2</v>
      </c>
      <c r="F360" s="594">
        <f t="shared" si="462"/>
        <v>3.1894853186719051E-2</v>
      </c>
      <c r="G360" s="594">
        <f t="shared" si="462"/>
        <v>2.990322042778553E-2</v>
      </c>
      <c r="H360" s="594">
        <f t="shared" si="462"/>
        <v>2.7971799321704658E-2</v>
      </c>
      <c r="I360" s="572"/>
      <c r="J360" s="573"/>
    </row>
    <row r="361" spans="1:11">
      <c r="B361" s="574" t="s">
        <v>707</v>
      </c>
      <c r="C361" s="575">
        <f t="shared" ref="C361:H361" si="463">MEDIAN(C$344,C$346,C$348,C$350,C$354,C$356,C$352)</f>
        <v>13043</v>
      </c>
      <c r="D361" s="575">
        <f t="shared" si="463"/>
        <v>14086</v>
      </c>
      <c r="E361" s="575">
        <f t="shared" si="463"/>
        <v>14735</v>
      </c>
      <c r="F361" s="575">
        <f t="shared" si="463"/>
        <v>14735</v>
      </c>
      <c r="G361" s="575">
        <f t="shared" si="463"/>
        <v>15129</v>
      </c>
      <c r="H361" s="575">
        <f t="shared" si="463"/>
        <v>15924</v>
      </c>
      <c r="I361" s="572"/>
      <c r="J361" s="573">
        <f t="shared" si="461"/>
        <v>3.3822022082107495E-2</v>
      </c>
    </row>
    <row r="362" spans="1:11">
      <c r="B362" s="569" t="s">
        <v>730</v>
      </c>
      <c r="C362" s="594">
        <f t="shared" ref="C362:H362" si="464">C361/C35</f>
        <v>2.8688292649354696E-2</v>
      </c>
      <c r="D362" s="594">
        <f t="shared" si="464"/>
        <v>2.9025442636454766E-2</v>
      </c>
      <c r="E362" s="594">
        <f t="shared" si="464"/>
        <v>2.8521386588009012E-2</v>
      </c>
      <c r="F362" s="594">
        <f t="shared" si="464"/>
        <v>2.7093736055438026E-2</v>
      </c>
      <c r="G362" s="594">
        <f t="shared" si="464"/>
        <v>2.651027562765829E-2</v>
      </c>
      <c r="H362" s="594">
        <f t="shared" si="464"/>
        <v>2.6630837130018035E-2</v>
      </c>
      <c r="I362" s="572"/>
      <c r="J362" s="573"/>
    </row>
    <row r="363" spans="1:11">
      <c r="B363" s="574" t="s">
        <v>706</v>
      </c>
      <c r="C363" s="575">
        <f t="shared" ref="C363:H363" si="465">AVERAGE(C$344,C$346,C$348,C$350,C$354,C$356,C$352)</f>
        <v>13229.857142857143</v>
      </c>
      <c r="D363" s="575">
        <f t="shared" si="465"/>
        <v>14017.571428571429</v>
      </c>
      <c r="E363" s="575">
        <f t="shared" si="465"/>
        <v>15044.428571428571</v>
      </c>
      <c r="F363" s="575">
        <f t="shared" si="465"/>
        <v>15267.142857142857</v>
      </c>
      <c r="G363" s="575">
        <f t="shared" si="465"/>
        <v>15629.428571428571</v>
      </c>
      <c r="H363" s="575">
        <f t="shared" si="465"/>
        <v>15758.428571428571</v>
      </c>
      <c r="I363" s="572"/>
      <c r="J363" s="573">
        <f t="shared" si="461"/>
        <v>2.9578880654089756E-2</v>
      </c>
    </row>
    <row r="364" spans="1:11">
      <c r="B364" s="569" t="s">
        <v>730</v>
      </c>
      <c r="C364" s="594">
        <f t="shared" ref="C364:H364" si="466">C363/C37</f>
        <v>2.9134431154168885E-2</v>
      </c>
      <c r="D364" s="594">
        <f t="shared" si="466"/>
        <v>2.8805874328583912E-2</v>
      </c>
      <c r="E364" s="594">
        <f t="shared" si="466"/>
        <v>2.9376100568122052E-2</v>
      </c>
      <c r="F364" s="594">
        <f t="shared" si="466"/>
        <v>2.8373639536056997E-2</v>
      </c>
      <c r="G364" s="594">
        <f t="shared" si="466"/>
        <v>2.7688419304338421E-2</v>
      </c>
      <c r="H364" s="594">
        <f t="shared" si="466"/>
        <v>2.6566701999546756E-2</v>
      </c>
      <c r="I364" s="572"/>
      <c r="J364" s="573"/>
    </row>
    <row r="365" spans="1:11">
      <c r="B365" s="576" t="s">
        <v>334</v>
      </c>
      <c r="C365" s="577">
        <f>MIN(C$344,C$346,C$348,C$350,C$354,C$356,C$352)</f>
        <v>11678</v>
      </c>
      <c r="D365" s="577">
        <f t="shared" ref="D365:H365" si="467">MIN(D$344,D$346,D$348,D$350,D$354,D$356,D$352)</f>
        <v>11029</v>
      </c>
      <c r="E365" s="577">
        <f t="shared" si="467"/>
        <v>11666</v>
      </c>
      <c r="F365" s="577">
        <f t="shared" si="467"/>
        <v>12904</v>
      </c>
      <c r="G365" s="577">
        <f t="shared" si="467"/>
        <v>13454</v>
      </c>
      <c r="H365" s="577">
        <f t="shared" si="467"/>
        <v>13454</v>
      </c>
      <c r="I365" s="572"/>
      <c r="J365" s="573">
        <f t="shared" si="461"/>
        <v>2.3875518186731615E-2</v>
      </c>
    </row>
    <row r="366" spans="1:11">
      <c r="B366" s="578" t="s">
        <v>730</v>
      </c>
      <c r="C366" s="595">
        <f t="shared" ref="C366:H366" si="468">C365/C39</f>
        <v>2.6223309059145036E-2</v>
      </c>
      <c r="D366" s="595">
        <f t="shared" si="468"/>
        <v>2.3935240947513481E-2</v>
      </c>
      <c r="E366" s="595">
        <f t="shared" si="468"/>
        <v>2.4580647744105049E-2</v>
      </c>
      <c r="F366" s="595">
        <f t="shared" si="468"/>
        <v>2.6397657482705152E-2</v>
      </c>
      <c r="G366" s="595">
        <f t="shared" si="468"/>
        <v>2.6721580543917246E-2</v>
      </c>
      <c r="H366" s="595">
        <f t="shared" si="468"/>
        <v>2.5943694789789543E-2</v>
      </c>
      <c r="I366" s="581"/>
      <c r="J366" s="582"/>
    </row>
    <row r="367" spans="1:11">
      <c r="B367" s="8"/>
      <c r="C367" s="153"/>
      <c r="D367" s="153"/>
      <c r="E367" s="153"/>
      <c r="F367" s="153"/>
      <c r="G367" s="153"/>
      <c r="H367" s="153"/>
      <c r="I367" s="586"/>
      <c r="J367" s="587"/>
    </row>
    <row r="368" spans="1:11">
      <c r="A368" s="557" t="s">
        <v>19</v>
      </c>
      <c r="B368" s="149" t="s">
        <v>736</v>
      </c>
      <c r="C368" s="147" t="s">
        <v>370</v>
      </c>
      <c r="D368" s="147"/>
      <c r="E368" s="147"/>
      <c r="F368" s="147"/>
      <c r="G368" s="147"/>
      <c r="H368" s="147"/>
      <c r="I368" s="148"/>
      <c r="J368" s="2" t="s">
        <v>369</v>
      </c>
    </row>
    <row r="369" spans="2:12">
      <c r="B369" s="150" t="s">
        <v>342</v>
      </c>
      <c r="C369" s="154" t="str">
        <f t="shared" ref="C369:H369" si="469">C$9</f>
        <v>2026E</v>
      </c>
      <c r="D369" s="154" t="str">
        <f t="shared" si="469"/>
        <v>2027E</v>
      </c>
      <c r="E369" s="154" t="str">
        <f t="shared" si="469"/>
        <v>2028E</v>
      </c>
      <c r="F369" s="154" t="str">
        <f t="shared" si="469"/>
        <v>2029E</v>
      </c>
      <c r="G369" s="154" t="str">
        <f t="shared" si="469"/>
        <v>2030E</v>
      </c>
      <c r="H369" s="154" t="str">
        <f t="shared" si="469"/>
        <v>2031E</v>
      </c>
      <c r="I369" s="148"/>
      <c r="J369" s="315" t="str">
        <f>$J$9</f>
        <v>6-Year(F)</v>
      </c>
    </row>
    <row r="370" spans="2:12">
      <c r="B370" s="150" t="s">
        <v>718</v>
      </c>
      <c r="C370" s="148">
        <f t="shared" ref="C370:H370" si="470">C$10</f>
        <v>46295</v>
      </c>
      <c r="D370" s="148">
        <f t="shared" si="470"/>
        <v>46660</v>
      </c>
      <c r="E370" s="148">
        <f t="shared" si="470"/>
        <v>47026</v>
      </c>
      <c r="F370" s="148">
        <f t="shared" si="470"/>
        <v>47391</v>
      </c>
      <c r="G370" s="148">
        <f t="shared" si="470"/>
        <v>47756</v>
      </c>
      <c r="H370" s="148">
        <f t="shared" si="470"/>
        <v>48121</v>
      </c>
      <c r="I370" s="148"/>
      <c r="J370" s="3">
        <f>$H$44</f>
        <v>48121</v>
      </c>
    </row>
    <row r="371" spans="2:12" ht="5.0999999999999996" customHeight="1">
      <c r="B371" s="473"/>
    </row>
    <row r="372" spans="2:12">
      <c r="B372" s="432" t="s">
        <v>719</v>
      </c>
      <c r="C372" s="156">
        <v>14556</v>
      </c>
      <c r="D372" s="156">
        <v>16653</v>
      </c>
      <c r="E372" s="156">
        <v>17820</v>
      </c>
      <c r="F372" s="153">
        <f t="shared" ref="F372:F374" si="471">SUM(E372*F373)+E372</f>
        <v>19068.780399927942</v>
      </c>
      <c r="G372" s="153">
        <f t="shared" ref="G372" si="472">SUM(F372*G373)+F372</f>
        <v>20405.072162776432</v>
      </c>
      <c r="H372" s="153">
        <f t="shared" ref="H372" si="473">SUM(G372*H373)+G372</f>
        <v>21835.007862888131</v>
      </c>
      <c r="J372" s="558">
        <f t="shared" ref="J372:J386" si="474">((H372/C372)^(1/COUNT(C372:H372))-1)</f>
        <v>6.9921425018685923E-2</v>
      </c>
      <c r="K372" s="432" t="s">
        <v>720</v>
      </c>
    </row>
    <row r="373" spans="2:12">
      <c r="B373" s="559" t="s">
        <v>34</v>
      </c>
      <c r="C373" s="584">
        <f>(C372/'[2]3 Statement Model'!$H$135)-1</f>
        <v>0.14478961856075512</v>
      </c>
      <c r="D373" s="596">
        <f t="shared" ref="D373:E373" si="475">SUM(D372/C372)-1</f>
        <v>0.1440643033800495</v>
      </c>
      <c r="E373" s="596">
        <f t="shared" si="475"/>
        <v>7.007746352008648E-2</v>
      </c>
      <c r="F373" s="596">
        <f>E373</f>
        <v>7.007746352008648E-2</v>
      </c>
      <c r="G373" s="596">
        <f t="shared" ref="G373:H373" si="476">F373</f>
        <v>7.007746352008648E-2</v>
      </c>
      <c r="H373" s="596">
        <f t="shared" si="476"/>
        <v>7.007746352008648E-2</v>
      </c>
      <c r="J373" s="562"/>
    </row>
    <row r="374" spans="2:12">
      <c r="B374" s="432" t="s">
        <v>721</v>
      </c>
      <c r="C374" s="156">
        <v>16115</v>
      </c>
      <c r="D374" s="156">
        <v>20952</v>
      </c>
      <c r="E374" s="156">
        <v>23353</v>
      </c>
      <c r="F374" s="153">
        <f t="shared" si="471"/>
        <v>26029.143232149676</v>
      </c>
      <c r="G374" s="153">
        <f t="shared" ref="G374" si="477">SUM(F374*G375)+F374</f>
        <v>29011.959808151554</v>
      </c>
      <c r="H374" s="153">
        <f t="shared" ref="H374" si="478">SUM(G374*H375)+G374</f>
        <v>32336.593041225813</v>
      </c>
      <c r="J374" s="563">
        <f t="shared" si="474"/>
        <v>0.1230799100308424</v>
      </c>
      <c r="K374" s="432" t="s">
        <v>722</v>
      </c>
    </row>
    <row r="375" spans="2:12">
      <c r="B375" s="559" t="s">
        <v>34</v>
      </c>
      <c r="C375" s="584">
        <f>(C374/'[2]3 Statement Model'!$H$135)-1</f>
        <v>0.26740070782540304</v>
      </c>
      <c r="D375" s="596">
        <f>SUM(D374/C374)-1</f>
        <v>0.30015513496742163</v>
      </c>
      <c r="E375" s="596">
        <f t="shared" ref="E375" si="479">SUM(E374/D374)-1</f>
        <v>0.11459526536846121</v>
      </c>
      <c r="F375" s="596">
        <f>E375</f>
        <v>0.11459526536846121</v>
      </c>
      <c r="G375" s="596">
        <f t="shared" ref="G375:H375" si="480">F375</f>
        <v>0.11459526536846121</v>
      </c>
      <c r="H375" s="596">
        <f t="shared" si="480"/>
        <v>0.11459526536846121</v>
      </c>
      <c r="J375" s="562"/>
    </row>
    <row r="376" spans="2:12">
      <c r="B376" s="432" t="s">
        <v>724</v>
      </c>
      <c r="C376" s="156">
        <v>13979</v>
      </c>
      <c r="D376" s="156">
        <v>14446</v>
      </c>
      <c r="E376" s="156">
        <v>14828</v>
      </c>
      <c r="F376" s="156">
        <v>15208</v>
      </c>
      <c r="G376" s="156">
        <v>15430</v>
      </c>
      <c r="H376" s="153">
        <f t="shared" ref="H376" si="481">SUM(G376*H377)+G376</f>
        <v>15655.240662809048</v>
      </c>
      <c r="J376" s="563">
        <f t="shared" si="474"/>
        <v>1.9054178041129077E-2</v>
      </c>
      <c r="K376" s="432" t="s">
        <v>722</v>
      </c>
    </row>
    <row r="377" spans="2:12">
      <c r="B377" s="559" t="s">
        <v>34</v>
      </c>
      <c r="C377" s="584">
        <f>(C376/'[2]3 Statement Model'!$H$135)-1</f>
        <v>9.9410145497443869E-2</v>
      </c>
      <c r="D377" s="596">
        <f>SUM(D376/C376)-1</f>
        <v>3.3407253737749443E-2</v>
      </c>
      <c r="E377" s="596">
        <f t="shared" ref="E377:G377" si="482">SUM(E376/D376)-1</f>
        <v>2.6443306105496278E-2</v>
      </c>
      <c r="F377" s="596">
        <f t="shared" si="482"/>
        <v>2.5627191799298732E-2</v>
      </c>
      <c r="G377" s="596">
        <f t="shared" si="482"/>
        <v>1.4597580220936379E-2</v>
      </c>
      <c r="H377" s="596">
        <f t="shared" ref="H377:H383" si="483">G377</f>
        <v>1.4597580220936379E-2</v>
      </c>
      <c r="J377" s="562"/>
    </row>
    <row r="378" spans="2:12">
      <c r="B378" s="432" t="s">
        <v>725</v>
      </c>
      <c r="C378" s="156">
        <v>14562</v>
      </c>
      <c r="D378" s="156">
        <v>15114</v>
      </c>
      <c r="E378" s="156">
        <v>15459</v>
      </c>
      <c r="F378" s="153">
        <f t="shared" ref="F378:H378" si="484">SUM(E378*F379)+E378</f>
        <v>15811.875148868599</v>
      </c>
      <c r="G378" s="153">
        <f t="shared" si="484"/>
        <v>16172.80520883682</v>
      </c>
      <c r="H378" s="153">
        <f t="shared" si="484"/>
        <v>16541.974045481569</v>
      </c>
      <c r="J378" s="563">
        <f t="shared" si="474"/>
        <v>2.1474943701491833E-2</v>
      </c>
      <c r="K378" s="432" t="s">
        <v>720</v>
      </c>
      <c r="L378" s="432"/>
    </row>
    <row r="379" spans="2:12">
      <c r="B379" s="559" t="s">
        <v>34</v>
      </c>
      <c r="C379" s="584">
        <f>(C378/'[2]3 Statement Model'!$H$135)-1</f>
        <v>0.14526150216279987</v>
      </c>
      <c r="D379" s="596">
        <f>SUM(D378/C378)-1</f>
        <v>3.7906880922950137E-2</v>
      </c>
      <c r="E379" s="596">
        <f>SUM(E378/D378)-1</f>
        <v>2.2826518459706291E-2</v>
      </c>
      <c r="F379" s="596">
        <f t="shared" ref="F379:G381" si="485">E379</f>
        <v>2.2826518459706291E-2</v>
      </c>
      <c r="G379" s="596">
        <f t="shared" si="485"/>
        <v>2.2826518459706291E-2</v>
      </c>
      <c r="H379" s="596">
        <f t="shared" si="483"/>
        <v>2.2826518459706291E-2</v>
      </c>
      <c r="J379" s="562"/>
    </row>
    <row r="380" spans="2:12">
      <c r="B380" s="432" t="s">
        <v>726</v>
      </c>
      <c r="C380" s="156">
        <v>15848</v>
      </c>
      <c r="D380" s="156">
        <v>18118</v>
      </c>
      <c r="E380" s="156">
        <v>21122</v>
      </c>
      <c r="F380" s="153">
        <f t="shared" ref="F380:H380" si="486">SUM(E380*F381)+E380</f>
        <v>24147.425290257444</v>
      </c>
      <c r="G380" s="153">
        <f t="shared" si="486"/>
        <v>27606.199609344043</v>
      </c>
      <c r="H380" s="153">
        <f t="shared" si="486"/>
        <v>31560.394025876791</v>
      </c>
      <c r="J380" s="563">
        <f t="shared" si="474"/>
        <v>0.12166024045280088</v>
      </c>
      <c r="K380" s="432" t="s">
        <v>720</v>
      </c>
    </row>
    <row r="381" spans="2:12">
      <c r="B381" s="559" t="s">
        <v>34</v>
      </c>
      <c r="C381" s="584">
        <f>(C380/'[2]3 Statement Model'!$H$135)-1</f>
        <v>0.24640188753440828</v>
      </c>
      <c r="D381" s="596">
        <f>SUM(D380/C380)-1</f>
        <v>0.14323573952549218</v>
      </c>
      <c r="E381" s="596">
        <f>D381</f>
        <v>0.14323573952549218</v>
      </c>
      <c r="F381" s="596">
        <f t="shared" si="485"/>
        <v>0.14323573952549218</v>
      </c>
      <c r="G381" s="596">
        <f t="shared" si="485"/>
        <v>0.14323573952549218</v>
      </c>
      <c r="H381" s="596">
        <f t="shared" si="483"/>
        <v>0.14323573952549218</v>
      </c>
      <c r="J381" s="562"/>
    </row>
    <row r="382" spans="2:12">
      <c r="B382" s="432" t="s">
        <v>700</v>
      </c>
      <c r="C382" s="156">
        <v>15881</v>
      </c>
      <c r="D382" s="156">
        <v>17029</v>
      </c>
      <c r="E382" s="156">
        <v>17539</v>
      </c>
      <c r="F382" s="153">
        <f t="shared" ref="F382" si="487">SUM(E382*F383)+E382</f>
        <v>18064.273944447705</v>
      </c>
      <c r="G382" s="153">
        <f t="shared" ref="G382" si="488">SUM(F382*G383)+F382</f>
        <v>18605.27927134114</v>
      </c>
      <c r="H382" s="153">
        <f t="shared" ref="H382" si="489">SUM(G382*H383)+G382</f>
        <v>19162.487118448073</v>
      </c>
      <c r="J382" s="563">
        <f t="shared" ref="J382" si="490">((H382/C382)^(1/COUNT(C382:H382))-1)</f>
        <v>3.1800351993748865E-2</v>
      </c>
      <c r="K382" s="432" t="s">
        <v>720</v>
      </c>
    </row>
    <row r="383" spans="2:12">
      <c r="B383" s="559" t="s">
        <v>34</v>
      </c>
      <c r="C383" s="584">
        <f>(C382/'[2]3 Statement Model'!$H$135)-1</f>
        <v>0.24899724734565476</v>
      </c>
      <c r="D383" s="596">
        <f>SUM(D382/C382)-1</f>
        <v>7.2287639317423436E-2</v>
      </c>
      <c r="E383" s="596">
        <f>SUM(E382/D382)-1</f>
        <v>2.9948910681778074E-2</v>
      </c>
      <c r="F383" s="596">
        <f t="shared" ref="F383:G383" si="491">E383</f>
        <v>2.9948910681778074E-2</v>
      </c>
      <c r="G383" s="596">
        <f t="shared" si="491"/>
        <v>2.9948910681778074E-2</v>
      </c>
      <c r="H383" s="596">
        <f t="shared" si="483"/>
        <v>2.9948910681778074E-2</v>
      </c>
      <c r="J383" s="562"/>
    </row>
    <row r="384" spans="2:12">
      <c r="B384" s="432" t="s">
        <v>723</v>
      </c>
      <c r="C384" s="156">
        <v>13664</v>
      </c>
      <c r="D384" s="156">
        <v>11627</v>
      </c>
      <c r="E384" s="156">
        <v>12162</v>
      </c>
      <c r="F384" s="153">
        <f t="shared" ref="F384:H384" si="492">SUM(E384*F385)+E384</f>
        <v>12721.617270147071</v>
      </c>
      <c r="G384" s="153">
        <f t="shared" si="492"/>
        <v>13306.984539393539</v>
      </c>
      <c r="H384" s="153">
        <f t="shared" si="492"/>
        <v>13919.286657616258</v>
      </c>
      <c r="J384" s="563">
        <f t="shared" si="474"/>
        <v>3.089892354271484E-3</v>
      </c>
      <c r="K384" s="432" t="s">
        <v>720</v>
      </c>
    </row>
    <row r="385" spans="1:11">
      <c r="B385" s="559" t="s">
        <v>34</v>
      </c>
      <c r="C385" s="584">
        <f>(C384/'[2]3 Statement Model'!$H$135)-1</f>
        <v>7.4636256390090416E-2</v>
      </c>
      <c r="D385" s="596">
        <f>SUM(D384/C384)-1</f>
        <v>-0.14907786885245899</v>
      </c>
      <c r="E385" s="596">
        <f>SUM(E384/D384)-1</f>
        <v>4.601358905994668E-2</v>
      </c>
      <c r="F385" s="596">
        <f t="shared" ref="F385:H385" si="493">E385</f>
        <v>4.601358905994668E-2</v>
      </c>
      <c r="G385" s="596">
        <f t="shared" si="493"/>
        <v>4.601358905994668E-2</v>
      </c>
      <c r="H385" s="596">
        <f t="shared" si="493"/>
        <v>4.601358905994668E-2</v>
      </c>
      <c r="J385" s="562"/>
    </row>
    <row r="386" spans="1:11">
      <c r="B386" s="432" t="s">
        <v>702</v>
      </c>
      <c r="C386" s="156">
        <v>11678</v>
      </c>
      <c r="D386" s="156">
        <v>11029</v>
      </c>
      <c r="E386" s="156">
        <v>11666</v>
      </c>
      <c r="F386" s="156">
        <v>12904</v>
      </c>
      <c r="G386" s="156">
        <v>15129</v>
      </c>
      <c r="H386" s="156">
        <v>16032</v>
      </c>
      <c r="J386" s="563">
        <f t="shared" si="474"/>
        <v>5.4232835750327224E-2</v>
      </c>
      <c r="K386" s="432" t="s">
        <v>720</v>
      </c>
    </row>
    <row r="387" spans="1:11">
      <c r="B387" s="559" t="s">
        <v>34</v>
      </c>
      <c r="C387" s="584">
        <f>(C386/'[2]3 Statement Model'!$H$135)-1</f>
        <v>-8.1557215886747914E-2</v>
      </c>
      <c r="D387" s="596">
        <f>SUM(D386/C386)-1</f>
        <v>-5.5574584689159101E-2</v>
      </c>
      <c r="E387" s="596">
        <f t="shared" ref="E387:H387" si="494">SUM(E386/D386)-1</f>
        <v>5.7756822921389173E-2</v>
      </c>
      <c r="F387" s="596">
        <f t="shared" si="494"/>
        <v>0.10612034973427042</v>
      </c>
      <c r="G387" s="596">
        <f t="shared" si="494"/>
        <v>0.17242715437073786</v>
      </c>
      <c r="H387" s="596">
        <f t="shared" si="494"/>
        <v>5.9686694427919962E-2</v>
      </c>
      <c r="J387" s="564"/>
    </row>
    <row r="388" spans="1:11" s="597" customFormat="1" ht="5.0999999999999996" customHeight="1"/>
    <row r="389" spans="1:11">
      <c r="B389" s="565" t="s">
        <v>336</v>
      </c>
      <c r="C389" s="566">
        <f>MAX(C$372,C$374,C$376,C$378,C$380,C$382,C$384,C$386)</f>
        <v>16115</v>
      </c>
      <c r="D389" s="566">
        <f t="shared" ref="D389:H389" si="495">MAX(D$372,D$374,D$376,D$378,D$380,D$382,D$384,D$386)</f>
        <v>20952</v>
      </c>
      <c r="E389" s="566">
        <f t="shared" si="495"/>
        <v>23353</v>
      </c>
      <c r="F389" s="566">
        <f t="shared" si="495"/>
        <v>26029.143232149676</v>
      </c>
      <c r="G389" s="566">
        <f t="shared" si="495"/>
        <v>29011.959808151554</v>
      </c>
      <c r="H389" s="566">
        <f t="shared" si="495"/>
        <v>32336.593041225813</v>
      </c>
      <c r="I389" s="567"/>
      <c r="J389" s="568">
        <f t="shared" ref="J389:J395" si="496">((H389/C389)^(1/COUNT(C389:H389))-1)</f>
        <v>0.1230799100308424</v>
      </c>
    </row>
    <row r="390" spans="1:11">
      <c r="B390" s="569" t="s">
        <v>34</v>
      </c>
      <c r="C390" s="570">
        <f>(C389/'[2]3 Statement Model'!$H$135)-1</f>
        <v>0.26740070782540304</v>
      </c>
      <c r="D390" s="594">
        <f>SUM(D389/C389)-1</f>
        <v>0.30015513496742163</v>
      </c>
      <c r="E390" s="594">
        <f t="shared" ref="E390:H390" si="497">SUM(E389/D389)-1</f>
        <v>0.11459526536846121</v>
      </c>
      <c r="F390" s="594">
        <f t="shared" si="497"/>
        <v>0.11459526536846121</v>
      </c>
      <c r="G390" s="594">
        <f t="shared" si="497"/>
        <v>0.11459526536846121</v>
      </c>
      <c r="H390" s="594">
        <f t="shared" si="497"/>
        <v>0.11459526536846121</v>
      </c>
      <c r="I390" s="572"/>
      <c r="J390" s="573"/>
    </row>
    <row r="391" spans="1:11">
      <c r="B391" s="574" t="s">
        <v>707</v>
      </c>
      <c r="C391" s="575">
        <f t="shared" ref="C391:H391" si="498">MEDIAN(C$372,C$374,C$376,C$378,C$380,C$382,C$384,C$386)</f>
        <v>14559</v>
      </c>
      <c r="D391" s="575">
        <f t="shared" si="498"/>
        <v>15883.5</v>
      </c>
      <c r="E391" s="575">
        <f t="shared" si="498"/>
        <v>16499</v>
      </c>
      <c r="F391" s="575">
        <f t="shared" si="498"/>
        <v>16938.07454665815</v>
      </c>
      <c r="G391" s="575">
        <f t="shared" si="498"/>
        <v>17389.04224008898</v>
      </c>
      <c r="H391" s="575">
        <f t="shared" si="498"/>
        <v>17852.230581964821</v>
      </c>
      <c r="I391" s="572"/>
      <c r="J391" s="573">
        <f t="shared" si="496"/>
        <v>3.4570657845922836E-2</v>
      </c>
    </row>
    <row r="392" spans="1:11">
      <c r="B392" s="569" t="s">
        <v>34</v>
      </c>
      <c r="C392" s="570">
        <f>(C391/'[2]3 Statement Model'!$H$135)-1</f>
        <v>0.14502556036177738</v>
      </c>
      <c r="D392" s="594">
        <f>SUM(D391/C391)-1</f>
        <v>9.0974654852668424E-2</v>
      </c>
      <c r="E392" s="594">
        <f t="shared" ref="E392" si="499">SUM(E391/D391)-1</f>
        <v>3.8750905027229443E-2</v>
      </c>
      <c r="F392" s="594">
        <f t="shared" ref="F392:H392" si="500">SUM(F391/E391)-1</f>
        <v>2.6612191445430033E-2</v>
      </c>
      <c r="G392" s="594">
        <f t="shared" si="500"/>
        <v>2.662449572934511E-2</v>
      </c>
      <c r="H392" s="594">
        <f t="shared" si="500"/>
        <v>2.6636794337528302E-2</v>
      </c>
      <c r="I392" s="572"/>
      <c r="J392" s="573"/>
    </row>
    <row r="393" spans="1:11">
      <c r="B393" s="574" t="s">
        <v>706</v>
      </c>
      <c r="C393" s="575">
        <f t="shared" ref="C393:H393" si="501">AVERAGE(C$372,C$374,C$376,C$378,C$380,C$382,C$384,C$386)</f>
        <v>14535.375</v>
      </c>
      <c r="D393" s="575">
        <f t="shared" si="501"/>
        <v>15621</v>
      </c>
      <c r="E393" s="575">
        <f t="shared" si="501"/>
        <v>16743.625</v>
      </c>
      <c r="F393" s="575">
        <f t="shared" si="501"/>
        <v>17994.389410724805</v>
      </c>
      <c r="G393" s="575">
        <f t="shared" si="501"/>
        <v>19458.412574980441</v>
      </c>
      <c r="H393" s="575">
        <f t="shared" si="501"/>
        <v>20880.372926793214</v>
      </c>
      <c r="I393" s="572"/>
      <c r="J393" s="573">
        <f t="shared" si="496"/>
        <v>6.2230258229174273E-2</v>
      </c>
    </row>
    <row r="394" spans="1:11">
      <c r="B394" s="569" t="s">
        <v>34</v>
      </c>
      <c r="C394" s="570">
        <f>(C393/'[2]3 Statement Model'!$H$135)-1</f>
        <v>0.14316751867872601</v>
      </c>
      <c r="D394" s="594">
        <f>SUM(D393/C393)-1</f>
        <v>7.4688475529527176E-2</v>
      </c>
      <c r="E394" s="594">
        <f t="shared" ref="E394" si="502">SUM(E393/D393)-1</f>
        <v>7.1866397797836212E-2</v>
      </c>
      <c r="F394" s="594">
        <f t="shared" ref="F394:H394" si="503">SUM(F393/E393)-1</f>
        <v>7.4700933084968391E-2</v>
      </c>
      <c r="G394" s="594">
        <f t="shared" si="503"/>
        <v>8.1359980093743234E-2</v>
      </c>
      <c r="H394" s="594">
        <f t="shared" si="503"/>
        <v>7.3076893931271814E-2</v>
      </c>
      <c r="I394" s="572"/>
      <c r="J394" s="573"/>
    </row>
    <row r="395" spans="1:11">
      <c r="B395" s="576" t="s">
        <v>334</v>
      </c>
      <c r="C395" s="577">
        <f>MIN(C$372,C$374,C$376,C$378,C$380,C$382,C$384,C$386)</f>
        <v>11678</v>
      </c>
      <c r="D395" s="577">
        <f t="shared" ref="D395:H395" si="504">MIN(D$372,D$374,D$376,D$378,D$380,D$382,D$384,D$386)</f>
        <v>11029</v>
      </c>
      <c r="E395" s="577">
        <f t="shared" si="504"/>
        <v>11666</v>
      </c>
      <c r="F395" s="577">
        <f t="shared" si="504"/>
        <v>12721.617270147071</v>
      </c>
      <c r="G395" s="577">
        <f t="shared" si="504"/>
        <v>13306.984539393539</v>
      </c>
      <c r="H395" s="577">
        <f t="shared" si="504"/>
        <v>13919.286657616258</v>
      </c>
      <c r="I395" s="572"/>
      <c r="J395" s="573">
        <f t="shared" si="496"/>
        <v>2.969376892445208E-2</v>
      </c>
    </row>
    <row r="396" spans="1:11">
      <c r="B396" s="578" t="s">
        <v>34</v>
      </c>
      <c r="C396" s="579">
        <f>(C395/'[2]3 Statement Model'!$H$135)-1</f>
        <v>-8.1557215886747914E-2</v>
      </c>
      <c r="D396" s="595">
        <f>SUM(D395/C395)-1</f>
        <v>-5.5574584689159101E-2</v>
      </c>
      <c r="E396" s="595">
        <f t="shared" ref="E396" si="505">SUM(E395/D395)-1</f>
        <v>5.7756822921389173E-2</v>
      </c>
      <c r="F396" s="595">
        <f t="shared" ref="F396:H396" si="506">SUM(F395/E395)-1</f>
        <v>9.048665096408981E-2</v>
      </c>
      <c r="G396" s="595">
        <f t="shared" si="506"/>
        <v>4.601358905994668E-2</v>
      </c>
      <c r="H396" s="595">
        <f t="shared" si="506"/>
        <v>4.601358905994668E-2</v>
      </c>
      <c r="I396" s="581"/>
      <c r="J396" s="582"/>
    </row>
    <row r="398" spans="1:11">
      <c r="A398" s="557" t="s">
        <v>19</v>
      </c>
      <c r="B398" s="149" t="s">
        <v>737</v>
      </c>
      <c r="C398" s="149"/>
      <c r="D398" s="149"/>
      <c r="E398" s="149"/>
      <c r="F398" s="149"/>
      <c r="G398" s="149"/>
      <c r="H398" s="149"/>
      <c r="I398" s="149"/>
      <c r="J398" s="149"/>
    </row>
    <row r="399" spans="1:11" ht="5.0999999999999996" customHeight="1"/>
    <row r="400" spans="1:11">
      <c r="A400" s="557" t="s">
        <v>19</v>
      </c>
      <c r="B400" s="149" t="s">
        <v>321</v>
      </c>
      <c r="C400" s="147" t="s">
        <v>370</v>
      </c>
      <c r="D400" s="147"/>
      <c r="E400" s="147"/>
      <c r="F400" s="147"/>
      <c r="G400" s="147"/>
      <c r="H400" s="147"/>
      <c r="I400" s="148"/>
      <c r="J400" s="2" t="s">
        <v>369</v>
      </c>
    </row>
    <row r="401" spans="2:11">
      <c r="B401" s="150" t="s">
        <v>342</v>
      </c>
      <c r="C401" s="154" t="str">
        <f t="shared" ref="C401:H401" si="507">C$9</f>
        <v>2026E</v>
      </c>
      <c r="D401" s="154" t="str">
        <f t="shared" si="507"/>
        <v>2027E</v>
      </c>
      <c r="E401" s="154" t="str">
        <f t="shared" si="507"/>
        <v>2028E</v>
      </c>
      <c r="F401" s="154" t="str">
        <f t="shared" si="507"/>
        <v>2029E</v>
      </c>
      <c r="G401" s="154" t="str">
        <f t="shared" si="507"/>
        <v>2030E</v>
      </c>
      <c r="H401" s="154" t="str">
        <f t="shared" si="507"/>
        <v>2031E</v>
      </c>
      <c r="I401" s="148"/>
      <c r="J401" s="315" t="str">
        <f>$J$9</f>
        <v>6-Year(F)</v>
      </c>
    </row>
    <row r="402" spans="2:11">
      <c r="B402" s="150" t="s">
        <v>718</v>
      </c>
      <c r="C402" s="148">
        <f t="shared" ref="C402:H402" si="508">C$10</f>
        <v>46295</v>
      </c>
      <c r="D402" s="148">
        <f t="shared" si="508"/>
        <v>46660</v>
      </c>
      <c r="E402" s="148">
        <f t="shared" si="508"/>
        <v>47026</v>
      </c>
      <c r="F402" s="148">
        <f t="shared" si="508"/>
        <v>47391</v>
      </c>
      <c r="G402" s="148">
        <f t="shared" si="508"/>
        <v>47756</v>
      </c>
      <c r="H402" s="148">
        <f t="shared" si="508"/>
        <v>48121</v>
      </c>
      <c r="I402" s="148"/>
      <c r="J402" s="3">
        <f>$H$44</f>
        <v>48121</v>
      </c>
    </row>
    <row r="403" spans="2:11" ht="5.0999999999999996" customHeight="1">
      <c r="B403" s="473"/>
    </row>
    <row r="404" spans="2:11">
      <c r="B404" s="432" t="s">
        <v>719</v>
      </c>
      <c r="C404" s="156">
        <v>240000</v>
      </c>
      <c r="D404" s="156">
        <v>248000</v>
      </c>
      <c r="E404" s="156">
        <v>247000</v>
      </c>
      <c r="F404" s="153">
        <f t="shared" ref="F404" si="509">SUM(E404*F405)+E404</f>
        <v>246004.03225806452</v>
      </c>
      <c r="G404" s="153">
        <f t="shared" ref="G404" si="510">SUM(F404*G405)+F404</f>
        <v>245012.08051508846</v>
      </c>
      <c r="H404" s="153">
        <f t="shared" ref="H404" si="511">SUM(G404*H405)+G404</f>
        <v>244024.12857752762</v>
      </c>
      <c r="J404" s="558">
        <f t="shared" ref="J404" si="512">((H404/C404)^(1/COUNT(C404:H404))-1)</f>
        <v>2.7752078920344481E-3</v>
      </c>
      <c r="K404" s="432" t="s">
        <v>720</v>
      </c>
    </row>
    <row r="405" spans="2:11">
      <c r="B405" s="559" t="s">
        <v>34</v>
      </c>
      <c r="C405" s="584">
        <f>SUM(C404/'[2]Revenue Projections &amp; Cases'!$H$27)-1</f>
        <v>3.8961038961038863E-2</v>
      </c>
      <c r="D405" s="596">
        <f t="shared" ref="D405" si="513">SUM(D404/C404)-1</f>
        <v>3.3333333333333437E-2</v>
      </c>
      <c r="E405" s="596">
        <f t="shared" ref="E405" si="514">SUM(E404/D404)-1</f>
        <v>-4.0322580645161255E-3</v>
      </c>
      <c r="F405" s="596">
        <f>E405</f>
        <v>-4.0322580645161255E-3</v>
      </c>
      <c r="G405" s="596">
        <f t="shared" ref="G405:H405" si="515">F405</f>
        <v>-4.0322580645161255E-3</v>
      </c>
      <c r="H405" s="596">
        <f t="shared" si="515"/>
        <v>-4.0322580645161255E-3</v>
      </c>
      <c r="J405" s="562"/>
    </row>
    <row r="406" spans="2:11">
      <c r="B406" s="432" t="s">
        <v>721</v>
      </c>
      <c r="C406" s="156">
        <v>246000</v>
      </c>
      <c r="D406" s="156">
        <v>248000</v>
      </c>
      <c r="E406" s="156">
        <v>250000</v>
      </c>
      <c r="F406" s="153">
        <f t="shared" ref="F406" si="516">SUM(E406*F407)+E406</f>
        <v>252016.12903225806</v>
      </c>
      <c r="G406" s="153">
        <f t="shared" ref="G406" si="517">SUM(F406*G407)+F406</f>
        <v>254048.51716961499</v>
      </c>
      <c r="H406" s="153">
        <f t="shared" ref="H406" si="518">SUM(G406*H407)+G406</f>
        <v>256097.29553388609</v>
      </c>
      <c r="J406" s="563">
        <f t="shared" ref="J406:J408" si="519">((H406/C406)^(1/COUNT(C406:H406))-1)</f>
        <v>6.726840406332979E-3</v>
      </c>
      <c r="K406" s="432" t="s">
        <v>722</v>
      </c>
    </row>
    <row r="407" spans="2:11">
      <c r="B407" s="559" t="s">
        <v>34</v>
      </c>
      <c r="C407" s="584">
        <f>SUM(C406/'[2]Revenue Projections &amp; Cases'!$H$27)-1</f>
        <v>6.4935064935064846E-2</v>
      </c>
      <c r="D407" s="596">
        <f>SUM(D406/C406)-1</f>
        <v>8.1300813008129413E-3</v>
      </c>
      <c r="E407" s="596">
        <f t="shared" ref="E407" si="520">SUM(E406/D406)-1</f>
        <v>8.0645161290322509E-3</v>
      </c>
      <c r="F407" s="596">
        <f>E407</f>
        <v>8.0645161290322509E-3</v>
      </c>
      <c r="G407" s="596">
        <f t="shared" ref="G407:H407" si="521">F407</f>
        <v>8.0645161290322509E-3</v>
      </c>
      <c r="H407" s="596">
        <f t="shared" si="521"/>
        <v>8.0645161290322509E-3</v>
      </c>
      <c r="J407" s="562"/>
    </row>
    <row r="408" spans="2:11">
      <c r="B408" s="432" t="s">
        <v>703</v>
      </c>
      <c r="C408" s="156">
        <f>243*1000</f>
        <v>243000</v>
      </c>
      <c r="D408" s="156">
        <f>252*1000</f>
        <v>252000</v>
      </c>
      <c r="E408" s="156">
        <f>250*1000</f>
        <v>250000</v>
      </c>
      <c r="F408" s="153">
        <f t="shared" ref="F408" si="522">SUM(E408*F409)+E408</f>
        <v>248015.87301587302</v>
      </c>
      <c r="G408" s="153">
        <f t="shared" ref="G408" si="523">SUM(F408*G409)+F408</f>
        <v>246047.4930713026</v>
      </c>
      <c r="H408" s="153">
        <f t="shared" ref="H408" si="524">SUM(G408*H409)+G408</f>
        <v>244094.73518978432</v>
      </c>
      <c r="J408" s="563">
        <f t="shared" si="519"/>
        <v>7.4944162016654658E-4</v>
      </c>
      <c r="K408" s="432" t="s">
        <v>720</v>
      </c>
    </row>
    <row r="409" spans="2:11">
      <c r="B409" s="559" t="s">
        <v>34</v>
      </c>
      <c r="C409" s="584">
        <f>SUM(C408/'[2]Revenue Projections &amp; Cases'!$H$27)-1</f>
        <v>5.1948051948051965E-2</v>
      </c>
      <c r="D409" s="596">
        <f>SUM(D408/C408)-1</f>
        <v>3.7037037037036979E-2</v>
      </c>
      <c r="E409" s="596">
        <f>SUM(E408/D408)-1</f>
        <v>-7.9365079365079083E-3</v>
      </c>
      <c r="F409" s="596">
        <f>E409</f>
        <v>-7.9365079365079083E-3</v>
      </c>
      <c r="G409" s="596">
        <f t="shared" ref="G409:H409" si="525">F409</f>
        <v>-7.9365079365079083E-3</v>
      </c>
      <c r="H409" s="596">
        <f t="shared" si="525"/>
        <v>-7.9365079365079083E-3</v>
      </c>
      <c r="J409" s="562"/>
    </row>
    <row r="410" spans="2:11">
      <c r="B410" s="432" t="s">
        <v>723</v>
      </c>
      <c r="C410" s="156">
        <f>240*1000</f>
        <v>240000</v>
      </c>
      <c r="D410" s="156">
        <f>250*1000</f>
        <v>250000</v>
      </c>
      <c r="E410" s="156">
        <f>255*1000</f>
        <v>255000</v>
      </c>
      <c r="F410" s="153">
        <f t="shared" ref="F410" si="526">SUM(E410*F411)+E410</f>
        <v>260100</v>
      </c>
      <c r="G410" s="153">
        <f t="shared" ref="G410" si="527">SUM(F410*G411)+F410</f>
        <v>265302</v>
      </c>
      <c r="H410" s="153">
        <f t="shared" ref="H410" si="528">SUM(G410*H411)+G410</f>
        <v>270608.03999999998</v>
      </c>
      <c r="J410" s="563">
        <f t="shared" ref="J410" si="529">((H410/C410)^(1/COUNT(C410:H410))-1)</f>
        <v>2.0206866762287445E-2</v>
      </c>
      <c r="K410" s="432" t="s">
        <v>720</v>
      </c>
    </row>
    <row r="411" spans="2:11">
      <c r="B411" s="559" t="s">
        <v>34</v>
      </c>
      <c r="C411" s="584">
        <f>SUM(C410/'[2]Revenue Projections &amp; Cases'!$H$27)-1</f>
        <v>3.8961038961038863E-2</v>
      </c>
      <c r="D411" s="596">
        <f>SUM(D410/C410)-1</f>
        <v>4.1666666666666741E-2</v>
      </c>
      <c r="E411" s="596">
        <f>SUM(E410/D410)-1</f>
        <v>2.0000000000000018E-2</v>
      </c>
      <c r="F411" s="596">
        <f t="shared" ref="F411:H411" si="530">E411</f>
        <v>2.0000000000000018E-2</v>
      </c>
      <c r="G411" s="596">
        <f t="shared" si="530"/>
        <v>2.0000000000000018E-2</v>
      </c>
      <c r="H411" s="596">
        <f t="shared" si="530"/>
        <v>2.0000000000000018E-2</v>
      </c>
      <c r="J411" s="562"/>
    </row>
    <row r="412" spans="2:11">
      <c r="B412" s="432" t="s">
        <v>727</v>
      </c>
      <c r="C412" s="156">
        <f>245.08*1000</f>
        <v>245080</v>
      </c>
      <c r="D412" s="156">
        <f>249.76*1000</f>
        <v>249760</v>
      </c>
      <c r="E412" s="153">
        <f>SUM(D412*E413)+D412</f>
        <v>254529.36836951203</v>
      </c>
      <c r="F412" s="153">
        <f t="shared" ref="F412" si="531">SUM(E412*F413)+E412</f>
        <v>259389.81166953375</v>
      </c>
      <c r="G412" s="153">
        <f t="shared" ref="G412" si="532">SUM(F412*G413)+F412</f>
        <v>264343.06904921966</v>
      </c>
      <c r="H412" s="153">
        <f t="shared" ref="H412" si="533">SUM(G412*H413)+G412</f>
        <v>269390.91286817816</v>
      </c>
      <c r="J412" s="563">
        <f t="shared" ref="J412" si="534">((H412/C412)^(1/COUNT(C412:H412))-1)</f>
        <v>1.5888034437280929E-2</v>
      </c>
      <c r="K412" s="432" t="s">
        <v>720</v>
      </c>
    </row>
    <row r="413" spans="2:11">
      <c r="B413" s="559" t="s">
        <v>34</v>
      </c>
      <c r="C413" s="584">
        <f>SUM(C412/'[2]Revenue Projections &amp; Cases'!$H$27)-1</f>
        <v>6.0952380952380869E-2</v>
      </c>
      <c r="D413" s="596">
        <f>SUM(D412/C412)-1</f>
        <v>1.9095805451281311E-2</v>
      </c>
      <c r="E413" s="596">
        <f>D413</f>
        <v>1.9095805451281311E-2</v>
      </c>
      <c r="F413" s="596">
        <f t="shared" ref="F413:H413" si="535">E413</f>
        <v>1.9095805451281311E-2</v>
      </c>
      <c r="G413" s="596">
        <f t="shared" si="535"/>
        <v>1.9095805451281311E-2</v>
      </c>
      <c r="H413" s="596">
        <f t="shared" si="535"/>
        <v>1.9095805451281311E-2</v>
      </c>
      <c r="J413" s="562"/>
    </row>
    <row r="414" spans="2:11">
      <c r="B414" s="432" t="s">
        <v>702</v>
      </c>
      <c r="C414" s="156">
        <v>240700</v>
      </c>
      <c r="D414" s="156">
        <v>234500</v>
      </c>
      <c r="E414" s="156">
        <v>253300</v>
      </c>
      <c r="F414" s="156">
        <v>263200</v>
      </c>
      <c r="G414" s="156">
        <v>264800</v>
      </c>
      <c r="H414" s="156">
        <v>271400</v>
      </c>
      <c r="J414" s="563">
        <f t="shared" ref="J414" si="536">((H414/C414)^(1/COUNT(C414:H414))-1)</f>
        <v>2.0208549919119134E-2</v>
      </c>
      <c r="K414" s="432" t="s">
        <v>720</v>
      </c>
    </row>
    <row r="415" spans="2:11">
      <c r="B415" s="559" t="s">
        <v>34</v>
      </c>
      <c r="C415" s="584">
        <f>SUM(C414/'[2]Revenue Projections &amp; Cases'!$H$27)-1</f>
        <v>4.1991341991342024E-2</v>
      </c>
      <c r="D415" s="596">
        <f>SUM(D414/C414)-1</f>
        <v>-2.5758205234732046E-2</v>
      </c>
      <c r="E415" s="596">
        <f t="shared" ref="E415" si="537">SUM(E414/D414)-1</f>
        <v>8.0170575692963819E-2</v>
      </c>
      <c r="F415" s="596">
        <f t="shared" ref="F415:H415" si="538">SUM(F414/E414)-1</f>
        <v>3.9084090011843653E-2</v>
      </c>
      <c r="G415" s="596">
        <f t="shared" si="538"/>
        <v>6.0790273556230456E-3</v>
      </c>
      <c r="H415" s="596">
        <f t="shared" si="538"/>
        <v>2.4924471299093698E-2</v>
      </c>
      <c r="J415" s="564"/>
    </row>
    <row r="416" spans="2:11" s="597" customFormat="1" ht="5.0999999999999996" customHeight="1"/>
    <row r="417" spans="1:11">
      <c r="B417" s="565" t="s">
        <v>336</v>
      </c>
      <c r="C417" s="583">
        <f t="shared" ref="C417:H417" si="539">MAX(C$404,C$406,C$408,C$410,C$412,C$414)</f>
        <v>246000</v>
      </c>
      <c r="D417" s="583">
        <f t="shared" si="539"/>
        <v>252000</v>
      </c>
      <c r="E417" s="583">
        <f t="shared" si="539"/>
        <v>255000</v>
      </c>
      <c r="F417" s="583">
        <f t="shared" si="539"/>
        <v>263200</v>
      </c>
      <c r="G417" s="583">
        <f t="shared" si="539"/>
        <v>265302</v>
      </c>
      <c r="H417" s="583">
        <f t="shared" si="539"/>
        <v>271400</v>
      </c>
      <c r="I417" s="567"/>
      <c r="J417" s="568">
        <f t="shared" ref="J417" si="540">((H417/C417)^(1/COUNT(C417:H417))-1)</f>
        <v>1.6511873966935431E-2</v>
      </c>
    </row>
    <row r="418" spans="1:11">
      <c r="B418" s="569" t="s">
        <v>34</v>
      </c>
      <c r="C418" s="570">
        <f>SUM(C417/'[2]Revenue Projections &amp; Cases'!$H$27)-1</f>
        <v>6.4935064935064846E-2</v>
      </c>
      <c r="D418" s="594">
        <f>SUM(D417/C417)-1</f>
        <v>2.4390243902439046E-2</v>
      </c>
      <c r="E418" s="594">
        <f t="shared" ref="E418" si="541">SUM(E417/D417)-1</f>
        <v>1.1904761904761862E-2</v>
      </c>
      <c r="F418" s="594">
        <f t="shared" ref="F418:H418" si="542">SUM(F417/E417)-1</f>
        <v>3.2156862745098103E-2</v>
      </c>
      <c r="G418" s="594">
        <f t="shared" si="542"/>
        <v>7.986322188449746E-3</v>
      </c>
      <c r="H418" s="594">
        <f t="shared" si="542"/>
        <v>2.2985126384271526E-2</v>
      </c>
      <c r="I418" s="572"/>
      <c r="J418" s="573"/>
    </row>
    <row r="419" spans="1:11">
      <c r="B419" s="574" t="s">
        <v>707</v>
      </c>
      <c r="C419" s="590">
        <f t="shared" ref="C419:H419" si="543">MEDIAN(C$404,C$406,C$408,C$410,C$412,C$414)</f>
        <v>241850</v>
      </c>
      <c r="D419" s="590">
        <f t="shared" si="543"/>
        <v>248880</v>
      </c>
      <c r="E419" s="590">
        <f t="shared" si="543"/>
        <v>251650</v>
      </c>
      <c r="F419" s="590">
        <f t="shared" si="543"/>
        <v>255702.97035089589</v>
      </c>
      <c r="G419" s="590">
        <f t="shared" si="543"/>
        <v>259195.79310941731</v>
      </c>
      <c r="H419" s="590">
        <f t="shared" si="543"/>
        <v>262744.10420103214</v>
      </c>
      <c r="I419" s="572"/>
      <c r="J419" s="573">
        <f t="shared" ref="J419" si="544">((H419/C419)^(1/COUNT(C419:H419))-1)</f>
        <v>1.3906283759638205E-2</v>
      </c>
    </row>
    <row r="420" spans="1:11">
      <c r="B420" s="569" t="s">
        <v>34</v>
      </c>
      <c r="C420" s="570">
        <f>SUM(C419/'[2]Revenue Projections &amp; Cases'!$H$27)-1</f>
        <v>4.6969696969696884E-2</v>
      </c>
      <c r="D420" s="594">
        <f>SUM(D419/C419)-1</f>
        <v>2.9067603886706594E-2</v>
      </c>
      <c r="E420" s="594">
        <f t="shared" ref="E420" si="545">SUM(E419/D419)-1</f>
        <v>1.1129861780777794E-2</v>
      </c>
      <c r="F420" s="594">
        <f t="shared" ref="F420:H420" si="546">SUM(F419/E419)-1</f>
        <v>1.6105584545582641E-2</v>
      </c>
      <c r="G420" s="594">
        <f t="shared" si="546"/>
        <v>1.3659687854733482E-2</v>
      </c>
      <c r="H420" s="594">
        <f t="shared" si="546"/>
        <v>1.3689693991742136E-2</v>
      </c>
      <c r="I420" s="572"/>
      <c r="J420" s="573"/>
    </row>
    <row r="421" spans="1:11">
      <c r="B421" s="574" t="s">
        <v>706</v>
      </c>
      <c r="C421" s="590">
        <f>AVERAGE(C$404,C$406,C$408,C$410,C$412,C$414)</f>
        <v>242463.33333333334</v>
      </c>
      <c r="D421" s="590">
        <f t="shared" ref="D421:H421" si="547">AVERAGE(D$404,D$406,D$408,D$410,D$412,D$414)</f>
        <v>247043.33333333334</v>
      </c>
      <c r="E421" s="590">
        <f t="shared" si="547"/>
        <v>251638.22806158534</v>
      </c>
      <c r="F421" s="590">
        <f t="shared" si="547"/>
        <v>254787.64099595489</v>
      </c>
      <c r="G421" s="590">
        <f t="shared" si="547"/>
        <v>256592.19330087095</v>
      </c>
      <c r="H421" s="590">
        <f t="shared" si="547"/>
        <v>259269.18536156273</v>
      </c>
      <c r="I421" s="572"/>
      <c r="J421" s="573">
        <f t="shared" ref="J421" si="548">((H421/C421)^(1/COUNT(C421:H421))-1)</f>
        <v>1.1232002464458768E-2</v>
      </c>
    </row>
    <row r="422" spans="1:11">
      <c r="B422" s="569" t="s">
        <v>34</v>
      </c>
      <c r="C422" s="570">
        <f>SUM(C421/'[2]Revenue Projections &amp; Cases'!$H$27)-1</f>
        <v>4.9624819624819683E-2</v>
      </c>
      <c r="D422" s="594">
        <f>SUM(D421/C421)-1</f>
        <v>1.8889454075530221E-2</v>
      </c>
      <c r="E422" s="594">
        <f t="shared" ref="E422" si="549">SUM(E421/D421)-1</f>
        <v>1.8599549586113096E-2</v>
      </c>
      <c r="F422" s="594">
        <f t="shared" ref="F422:H422" si="550">SUM(F421/E421)-1</f>
        <v>1.2515637860868845E-2</v>
      </c>
      <c r="G422" s="594">
        <f t="shared" si="550"/>
        <v>7.082573934364067E-3</v>
      </c>
      <c r="H422" s="594">
        <f t="shared" si="550"/>
        <v>1.0432866355964521E-2</v>
      </c>
      <c r="I422" s="572"/>
      <c r="J422" s="573"/>
    </row>
    <row r="423" spans="1:11">
      <c r="B423" s="576" t="s">
        <v>334</v>
      </c>
      <c r="C423" s="598">
        <f>MIN(C$404,C$406,C$408,C$410,C$412,C$414)</f>
        <v>240000</v>
      </c>
      <c r="D423" s="598">
        <f t="shared" ref="D423:H423" si="551">MIN(D$404,D$406,D$408,D$410,D$412,D$414)</f>
        <v>234500</v>
      </c>
      <c r="E423" s="598">
        <f t="shared" si="551"/>
        <v>247000</v>
      </c>
      <c r="F423" s="598">
        <f t="shared" si="551"/>
        <v>246004.03225806452</v>
      </c>
      <c r="G423" s="598">
        <f t="shared" si="551"/>
        <v>245012.08051508846</v>
      </c>
      <c r="H423" s="598">
        <f t="shared" si="551"/>
        <v>244024.12857752762</v>
      </c>
      <c r="I423" s="572"/>
      <c r="J423" s="573">
        <f t="shared" ref="J423" si="552">((H423/C423)^(1/COUNT(C423:H423))-1)</f>
        <v>2.7752078920344481E-3</v>
      </c>
    </row>
    <row r="424" spans="1:11">
      <c r="B424" s="578" t="s">
        <v>34</v>
      </c>
      <c r="C424" s="579">
        <f>SUM(C423/'[2]Revenue Projections &amp; Cases'!$H$27)-1</f>
        <v>3.8961038961038863E-2</v>
      </c>
      <c r="D424" s="595">
        <f>SUM(D423/C423)-1</f>
        <v>-2.2916666666666696E-2</v>
      </c>
      <c r="E424" s="595">
        <f t="shared" ref="E424" si="553">SUM(E423/D423)-1</f>
        <v>5.3304904051172608E-2</v>
      </c>
      <c r="F424" s="595">
        <f t="shared" ref="F424:H424" si="554">SUM(F423/E423)-1</f>
        <v>-4.0322580645161255E-3</v>
      </c>
      <c r="G424" s="595">
        <f t="shared" si="554"/>
        <v>-4.0322580645161255E-3</v>
      </c>
      <c r="H424" s="595">
        <f t="shared" si="554"/>
        <v>-4.0322580645161255E-3</v>
      </c>
      <c r="I424" s="581"/>
      <c r="J424" s="582"/>
    </row>
    <row r="426" spans="1:11">
      <c r="A426" s="557" t="s">
        <v>19</v>
      </c>
      <c r="B426" s="149" t="s">
        <v>738</v>
      </c>
      <c r="C426" s="147" t="s">
        <v>370</v>
      </c>
      <c r="D426" s="147"/>
      <c r="E426" s="147"/>
      <c r="F426" s="147"/>
      <c r="G426" s="147"/>
      <c r="H426" s="147"/>
      <c r="I426" s="148"/>
      <c r="J426" s="2" t="s">
        <v>369</v>
      </c>
    </row>
    <row r="427" spans="1:11">
      <c r="B427" s="150" t="s">
        <v>342</v>
      </c>
      <c r="C427" s="154" t="str">
        <f t="shared" ref="C427:H427" si="555">C$9</f>
        <v>2026E</v>
      </c>
      <c r="D427" s="154" t="str">
        <f t="shared" si="555"/>
        <v>2027E</v>
      </c>
      <c r="E427" s="154" t="str">
        <f t="shared" si="555"/>
        <v>2028E</v>
      </c>
      <c r="F427" s="154" t="str">
        <f t="shared" si="555"/>
        <v>2029E</v>
      </c>
      <c r="G427" s="154" t="str">
        <f t="shared" si="555"/>
        <v>2030E</v>
      </c>
      <c r="H427" s="154" t="str">
        <f t="shared" si="555"/>
        <v>2031E</v>
      </c>
      <c r="I427" s="148"/>
      <c r="J427" s="315" t="str">
        <f>$J$9</f>
        <v>6-Year(F)</v>
      </c>
    </row>
    <row r="428" spans="1:11">
      <c r="B428" s="150" t="s">
        <v>718</v>
      </c>
      <c r="C428" s="148">
        <f t="shared" ref="C428:H428" si="556">C$10</f>
        <v>46295</v>
      </c>
      <c r="D428" s="148">
        <f t="shared" si="556"/>
        <v>46660</v>
      </c>
      <c r="E428" s="148">
        <f t="shared" si="556"/>
        <v>47026</v>
      </c>
      <c r="F428" s="148">
        <f t="shared" si="556"/>
        <v>47391</v>
      </c>
      <c r="G428" s="148">
        <f t="shared" si="556"/>
        <v>47756</v>
      </c>
      <c r="H428" s="148">
        <f t="shared" si="556"/>
        <v>48121</v>
      </c>
      <c r="I428" s="148"/>
      <c r="J428" s="3">
        <f>$H$44</f>
        <v>48121</v>
      </c>
    </row>
    <row r="429" spans="1:11" ht="5.0999999999999996" customHeight="1">
      <c r="B429" s="473"/>
    </row>
    <row r="430" spans="1:11">
      <c r="B430" s="432" t="s">
        <v>719</v>
      </c>
      <c r="C430" s="156">
        <v>956.875</v>
      </c>
      <c r="D430" s="156">
        <v>957.43548387096769</v>
      </c>
      <c r="E430" s="156">
        <v>961.59311740890689</v>
      </c>
      <c r="F430" s="153">
        <f t="shared" ref="F430" si="557">SUM(E430*F431)+E430</f>
        <v>965.76880533999008</v>
      </c>
      <c r="G430" s="153">
        <f t="shared" ref="G430" si="558">SUM(F430*G431)+F430</f>
        <v>969.96262606485277</v>
      </c>
      <c r="H430" s="153">
        <f t="shared" ref="H430" si="559">SUM(G430*H431)+G430</f>
        <v>974.17465832458288</v>
      </c>
      <c r="J430" s="558">
        <f t="shared" ref="J430" si="560">((H430/C430)^(1/COUNT(C430:H430))-1)</f>
        <v>2.9907704260270229E-3</v>
      </c>
      <c r="K430" s="432" t="s">
        <v>720</v>
      </c>
    </row>
    <row r="431" spans="1:11">
      <c r="B431" s="559" t="s">
        <v>34</v>
      </c>
      <c r="C431" s="584">
        <f>SUM(C430/'[2]Revenue Projections &amp; Cases'!$H$35)-1</f>
        <v>5.4988974641675847E-2</v>
      </c>
      <c r="D431" s="596">
        <f t="shared" ref="D431" si="561">SUM(D430/C430)-1</f>
        <v>5.8574408461686822E-4</v>
      </c>
      <c r="E431" s="596">
        <f t="shared" ref="E431" si="562">SUM(E430/D430)-1</f>
        <v>4.3424686132684798E-3</v>
      </c>
      <c r="F431" s="596">
        <f>E431</f>
        <v>4.3424686132684798E-3</v>
      </c>
      <c r="G431" s="596">
        <f t="shared" ref="G431:H431" si="563">F431</f>
        <v>4.3424686132684798E-3</v>
      </c>
      <c r="H431" s="596">
        <f t="shared" si="563"/>
        <v>4.3424686132684798E-3</v>
      </c>
      <c r="J431" s="562"/>
    </row>
    <row r="432" spans="1:11">
      <c r="B432" s="432" t="s">
        <v>723</v>
      </c>
      <c r="C432" s="156">
        <v>900</v>
      </c>
      <c r="D432" s="156">
        <v>900</v>
      </c>
      <c r="E432" s="156">
        <v>900</v>
      </c>
      <c r="F432" s="153">
        <f t="shared" ref="F432:H432" si="564">SUM(E432*F433)+E432</f>
        <v>900</v>
      </c>
      <c r="G432" s="153">
        <f t="shared" si="564"/>
        <v>900</v>
      </c>
      <c r="H432" s="153">
        <f t="shared" si="564"/>
        <v>900</v>
      </c>
      <c r="J432" s="563">
        <f t="shared" ref="J432:J434" si="565">((H432/C432)^(1/COUNT(C432:H432))-1)</f>
        <v>0</v>
      </c>
      <c r="K432" s="432" t="s">
        <v>720</v>
      </c>
    </row>
    <row r="433" spans="2:11">
      <c r="B433" s="559" t="s">
        <v>34</v>
      </c>
      <c r="C433" s="584">
        <f>SUM(C432/'[2]Revenue Projections &amp; Cases'!$H$35)-1</f>
        <v>-7.717750826901848E-3</v>
      </c>
      <c r="D433" s="596">
        <f>SUM(D432/C432)-1</f>
        <v>0</v>
      </c>
      <c r="E433" s="596">
        <f>SUM(E432/D432)-1</f>
        <v>0</v>
      </c>
      <c r="F433" s="596">
        <f t="shared" ref="F433:H433" si="566">E433</f>
        <v>0</v>
      </c>
      <c r="G433" s="596">
        <f t="shared" si="566"/>
        <v>0</v>
      </c>
      <c r="H433" s="596">
        <f t="shared" si="566"/>
        <v>0</v>
      </c>
      <c r="J433" s="562"/>
    </row>
    <row r="434" spans="2:11">
      <c r="B434" s="432" t="s">
        <v>703</v>
      </c>
      <c r="C434" s="156">
        <v>967</v>
      </c>
      <c r="D434" s="156">
        <v>992</v>
      </c>
      <c r="E434" s="156">
        <v>1023</v>
      </c>
      <c r="F434" s="153">
        <f t="shared" ref="F434" si="567">SUM(E434*F435)+E434</f>
        <v>1054.96875</v>
      </c>
      <c r="G434" s="153">
        <f t="shared" ref="G434" si="568">SUM(F434*G435)+F434</f>
        <v>1087.9365234375</v>
      </c>
      <c r="H434" s="153">
        <f t="shared" ref="H434" si="569">SUM(G434*H435)+G434</f>
        <v>1121.9345397949219</v>
      </c>
      <c r="J434" s="563">
        <f t="shared" si="565"/>
        <v>2.5077829659752471E-2</v>
      </c>
      <c r="K434" s="432" t="s">
        <v>720</v>
      </c>
    </row>
    <row r="435" spans="2:11">
      <c r="B435" s="559" t="s">
        <v>34</v>
      </c>
      <c r="C435" s="584">
        <f>SUM(C434/'[2]Revenue Projections &amp; Cases'!$H$35)-1</f>
        <v>6.6152149944873173E-2</v>
      </c>
      <c r="D435" s="596">
        <f>SUM(D434/C434)-1</f>
        <v>2.585315408479838E-2</v>
      </c>
      <c r="E435" s="596">
        <f>SUM(E434/D434)-1</f>
        <v>3.125E-2</v>
      </c>
      <c r="F435" s="596">
        <f t="shared" ref="F435:H435" si="570">E435</f>
        <v>3.125E-2</v>
      </c>
      <c r="G435" s="596">
        <f t="shared" si="570"/>
        <v>3.125E-2</v>
      </c>
      <c r="H435" s="596">
        <f t="shared" si="570"/>
        <v>3.125E-2</v>
      </c>
      <c r="J435" s="562"/>
    </row>
    <row r="436" spans="2:11">
      <c r="B436" s="432" t="s">
        <v>727</v>
      </c>
      <c r="C436" s="156">
        <v>938</v>
      </c>
      <c r="D436" s="156">
        <v>973</v>
      </c>
      <c r="E436" s="153">
        <f>SUM(D436*E437)+D436</f>
        <v>1009.3059701492538</v>
      </c>
      <c r="F436" s="153">
        <f t="shared" ref="F436" si="571">SUM(E436*F437)+E436</f>
        <v>1046.966640677211</v>
      </c>
      <c r="G436" s="153">
        <f t="shared" ref="G436" si="572">SUM(F436*G437)+F436</f>
        <v>1086.0325601054651</v>
      </c>
      <c r="H436" s="153">
        <f t="shared" ref="H436" si="573">SUM(G436*H437)+G436</f>
        <v>1126.5561630944751</v>
      </c>
      <c r="J436" s="563">
        <f t="shared" ref="J436" si="574">((H436/C436)^(1/COUNT(C436:H436))-1)</f>
        <v>3.0999215699690552E-2</v>
      </c>
      <c r="K436" s="432" t="s">
        <v>720</v>
      </c>
    </row>
    <row r="437" spans="2:11">
      <c r="B437" s="559" t="s">
        <v>34</v>
      </c>
      <c r="C437" s="584">
        <f>SUM(C436/'[2]Revenue Projections &amp; Cases'!$H$35)-1</f>
        <v>3.4178610804851184E-2</v>
      </c>
      <c r="D437" s="596">
        <f>SUM(D436/C436)-1</f>
        <v>3.7313432835820892E-2</v>
      </c>
      <c r="E437" s="596">
        <f>D437</f>
        <v>3.7313432835820892E-2</v>
      </c>
      <c r="F437" s="596">
        <f t="shared" ref="F437:H437" si="575">E437</f>
        <v>3.7313432835820892E-2</v>
      </c>
      <c r="G437" s="596">
        <f t="shared" si="575"/>
        <v>3.7313432835820892E-2</v>
      </c>
      <c r="H437" s="596">
        <f t="shared" si="575"/>
        <v>3.7313432835820892E-2</v>
      </c>
      <c r="J437" s="562"/>
    </row>
    <row r="438" spans="2:11">
      <c r="B438" s="432" t="s">
        <v>702</v>
      </c>
      <c r="C438" s="156">
        <v>955.9</v>
      </c>
      <c r="D438" s="156">
        <v>1035.7</v>
      </c>
      <c r="E438" s="156">
        <v>1035.7</v>
      </c>
      <c r="F438" s="156">
        <v>1035.7</v>
      </c>
      <c r="G438" s="156">
        <v>1035.7</v>
      </c>
      <c r="H438" s="156">
        <v>1035.7</v>
      </c>
      <c r="J438" s="563">
        <f t="shared" ref="J438" si="576">((H438/C438)^(1/COUNT(C438:H438))-1)</f>
        <v>1.3452937373227281E-2</v>
      </c>
      <c r="K438" s="432" t="s">
        <v>720</v>
      </c>
    </row>
    <row r="439" spans="2:11">
      <c r="B439" s="559" t="s">
        <v>34</v>
      </c>
      <c r="C439" s="584">
        <f>SUM(C438/'[2]Revenue Projections &amp; Cases'!$H$35)-1</f>
        <v>5.3914002205071698E-2</v>
      </c>
      <c r="D439" s="596">
        <f>SUM(D438/C438)-1</f>
        <v>8.3481535725494327E-2</v>
      </c>
      <c r="E439" s="596">
        <f t="shared" ref="E439" si="577">SUM(E438/D438)-1</f>
        <v>0</v>
      </c>
      <c r="F439" s="596">
        <f t="shared" ref="F439:H439" si="578">SUM(F438/E438)-1</f>
        <v>0</v>
      </c>
      <c r="G439" s="596">
        <f t="shared" si="578"/>
        <v>0</v>
      </c>
      <c r="H439" s="596">
        <f t="shared" si="578"/>
        <v>0</v>
      </c>
      <c r="J439" s="564"/>
    </row>
    <row r="440" spans="2:11" s="597" customFormat="1" ht="5.0999999999999996" customHeight="1"/>
    <row r="441" spans="2:11">
      <c r="B441" s="565" t="s">
        <v>336</v>
      </c>
      <c r="C441" s="599">
        <f>MAX(C$430,C$432,C$434,C$436,C$438)</f>
        <v>967</v>
      </c>
      <c r="D441" s="599">
        <f t="shared" ref="D441:H441" si="579">MAX(D$430,D$432,D$434,D$436,D$438)</f>
        <v>1035.7</v>
      </c>
      <c r="E441" s="599">
        <f t="shared" si="579"/>
        <v>1035.7</v>
      </c>
      <c r="F441" s="599">
        <f t="shared" si="579"/>
        <v>1054.96875</v>
      </c>
      <c r="G441" s="599">
        <f t="shared" si="579"/>
        <v>1087.9365234375</v>
      </c>
      <c r="H441" s="599">
        <f t="shared" si="579"/>
        <v>1126.5561630944751</v>
      </c>
      <c r="I441" s="567"/>
      <c r="J441" s="568">
        <f t="shared" ref="J441" si="580">((H441/C441)^(1/COUNT(C441:H441))-1)</f>
        <v>2.5780397767107166E-2</v>
      </c>
    </row>
    <row r="442" spans="2:11">
      <c r="B442" s="569" t="s">
        <v>34</v>
      </c>
      <c r="C442" s="570">
        <f>SUM(C441/'[2]Revenue Projections &amp; Cases'!$H$35)-1</f>
        <v>6.6152149944873173E-2</v>
      </c>
      <c r="D442" s="594">
        <f>SUM(D441/C441)-1</f>
        <v>7.1044467425025903E-2</v>
      </c>
      <c r="E442" s="594">
        <f t="shared" ref="E442" si="581">SUM(E441/D441)-1</f>
        <v>0</v>
      </c>
      <c r="F442" s="594">
        <f t="shared" ref="F442:H442" si="582">SUM(F441/E441)-1</f>
        <v>1.8604566959544266E-2</v>
      </c>
      <c r="G442" s="594">
        <f t="shared" si="582"/>
        <v>3.125E-2</v>
      </c>
      <c r="H442" s="594">
        <f t="shared" si="582"/>
        <v>3.5498063375012379E-2</v>
      </c>
      <c r="I442" s="572"/>
      <c r="J442" s="573"/>
    </row>
    <row r="443" spans="2:11">
      <c r="B443" s="574" t="s">
        <v>707</v>
      </c>
      <c r="C443" s="600">
        <f t="shared" ref="C443:H443" si="583">MEDIAN(C$430,C$432,C$434,C$436,C$438)</f>
        <v>955.9</v>
      </c>
      <c r="D443" s="600">
        <f t="shared" si="583"/>
        <v>973</v>
      </c>
      <c r="E443" s="600">
        <f t="shared" si="583"/>
        <v>1009.3059701492538</v>
      </c>
      <c r="F443" s="600">
        <f t="shared" si="583"/>
        <v>1035.7</v>
      </c>
      <c r="G443" s="600">
        <f t="shared" si="583"/>
        <v>1035.7</v>
      </c>
      <c r="H443" s="600">
        <f t="shared" si="583"/>
        <v>1035.7</v>
      </c>
      <c r="I443" s="572"/>
      <c r="J443" s="573">
        <f t="shared" ref="J443" si="584">((H443/C443)^(1/COUNT(C443:H443))-1)</f>
        <v>1.3452937373227281E-2</v>
      </c>
    </row>
    <row r="444" spans="2:11">
      <c r="B444" s="569" t="s">
        <v>34</v>
      </c>
      <c r="C444" s="570">
        <f>SUM(C443/'[2]Revenue Projections &amp; Cases'!$H$35)-1</f>
        <v>5.3914002205071698E-2</v>
      </c>
      <c r="D444" s="594">
        <f>SUM(D443/C443)-1</f>
        <v>1.7888900512605943E-2</v>
      </c>
      <c r="E444" s="594">
        <f t="shared" ref="E444" si="585">SUM(E443/D443)-1</f>
        <v>3.7313432835820892E-2</v>
      </c>
      <c r="F444" s="594">
        <f t="shared" ref="F444:H444" si="586">SUM(F443/E443)-1</f>
        <v>2.6150672473326697E-2</v>
      </c>
      <c r="G444" s="594">
        <f t="shared" si="586"/>
        <v>0</v>
      </c>
      <c r="H444" s="594">
        <f t="shared" si="586"/>
        <v>0</v>
      </c>
      <c r="I444" s="572"/>
      <c r="J444" s="573"/>
    </row>
    <row r="445" spans="2:11">
      <c r="B445" s="574" t="s">
        <v>706</v>
      </c>
      <c r="C445" s="600">
        <f t="shared" ref="C445:H445" si="587">AVERAGE(C$430,C$432,C$434,C$436,C$438)</f>
        <v>943.55499999999995</v>
      </c>
      <c r="D445" s="600">
        <f t="shared" si="587"/>
        <v>971.62709677419355</v>
      </c>
      <c r="E445" s="600">
        <f t="shared" si="587"/>
        <v>985.91981751163223</v>
      </c>
      <c r="F445" s="600">
        <f t="shared" si="587"/>
        <v>1000.6808392034402</v>
      </c>
      <c r="G445" s="600">
        <f t="shared" si="587"/>
        <v>1015.9263419215637</v>
      </c>
      <c r="H445" s="600">
        <f t="shared" si="587"/>
        <v>1031.673072242796</v>
      </c>
      <c r="I445" s="572"/>
      <c r="J445" s="573">
        <f t="shared" ref="J445" si="588">((H445/C445)^(1/COUNT(C445:H445))-1)</f>
        <v>1.4991672590252803E-2</v>
      </c>
    </row>
    <row r="446" spans="2:11">
      <c r="B446" s="569" t="s">
        <v>34</v>
      </c>
      <c r="C446" s="570">
        <f>SUM(C445/'[2]Revenue Projections &amp; Cases'!$H$35)-1</f>
        <v>4.0303197353913855E-2</v>
      </c>
      <c r="D446" s="594">
        <f>SUM(D445/C445)-1</f>
        <v>2.9751415417430538E-2</v>
      </c>
      <c r="E446" s="594">
        <f t="shared" ref="E446" si="589">SUM(E445/D445)-1</f>
        <v>1.4710088659415366E-2</v>
      </c>
      <c r="F446" s="594">
        <f t="shared" ref="F446:H446" si="590">SUM(F445/E445)-1</f>
        <v>1.4971827758836875E-2</v>
      </c>
      <c r="G446" s="594">
        <f t="shared" si="590"/>
        <v>1.5235130044319867E-2</v>
      </c>
      <c r="H446" s="594">
        <f t="shared" si="590"/>
        <v>1.549987402772568E-2</v>
      </c>
      <c r="I446" s="572"/>
      <c r="J446" s="573"/>
    </row>
    <row r="447" spans="2:11">
      <c r="B447" s="576" t="s">
        <v>334</v>
      </c>
      <c r="C447" s="601">
        <f>MIN(C$430,C$432,C$434,C$436,C$438)</f>
        <v>900</v>
      </c>
      <c r="D447" s="601">
        <f t="shared" ref="D447:H447" si="591">MIN(D$430,D$432,D$434,D$436,D$438)</f>
        <v>900</v>
      </c>
      <c r="E447" s="601">
        <f t="shared" si="591"/>
        <v>900</v>
      </c>
      <c r="F447" s="601">
        <f t="shared" si="591"/>
        <v>900</v>
      </c>
      <c r="G447" s="601">
        <f t="shared" si="591"/>
        <v>900</v>
      </c>
      <c r="H447" s="601">
        <f t="shared" si="591"/>
        <v>900</v>
      </c>
      <c r="I447" s="572"/>
      <c r="J447" s="573">
        <f t="shared" ref="J447" si="592">((H447/C447)^(1/COUNT(C447:H447))-1)</f>
        <v>0</v>
      </c>
    </row>
    <row r="448" spans="2:11">
      <c r="B448" s="578" t="s">
        <v>34</v>
      </c>
      <c r="C448" s="579">
        <f>SUM(C447/'[2]Revenue Projections &amp; Cases'!$H$35)-1</f>
        <v>-7.717750826901848E-3</v>
      </c>
      <c r="D448" s="595">
        <f>SUM(D447/C447)-1</f>
        <v>0</v>
      </c>
      <c r="E448" s="595">
        <f t="shared" ref="E448" si="593">SUM(E447/D447)-1</f>
        <v>0</v>
      </c>
      <c r="F448" s="595">
        <f t="shared" ref="F448:H448" si="594">SUM(F447/E447)-1</f>
        <v>0</v>
      </c>
      <c r="G448" s="595">
        <f t="shared" si="594"/>
        <v>0</v>
      </c>
      <c r="H448" s="595">
        <f t="shared" si="594"/>
        <v>0</v>
      </c>
      <c r="I448" s="581"/>
      <c r="J448" s="582"/>
    </row>
    <row r="450" spans="1:11">
      <c r="A450" s="557" t="s">
        <v>19</v>
      </c>
      <c r="B450" s="149" t="s">
        <v>739</v>
      </c>
      <c r="C450" s="149"/>
      <c r="D450" s="149"/>
      <c r="E450" s="149"/>
      <c r="F450" s="149"/>
      <c r="G450" s="149"/>
      <c r="H450" s="149"/>
      <c r="I450" s="149"/>
      <c r="J450" s="149"/>
    </row>
    <row r="451" spans="1:11" ht="5.0999999999999996" customHeight="1"/>
    <row r="452" spans="1:11">
      <c r="A452" s="557" t="s">
        <v>19</v>
      </c>
      <c r="B452" s="149" t="s">
        <v>325</v>
      </c>
      <c r="C452" s="147" t="s">
        <v>370</v>
      </c>
      <c r="D452" s="147"/>
      <c r="E452" s="147"/>
      <c r="F452" s="147"/>
      <c r="G452" s="147"/>
      <c r="H452" s="147"/>
      <c r="I452" s="148"/>
      <c r="J452" s="2" t="s">
        <v>369</v>
      </c>
    </row>
    <row r="453" spans="1:11">
      <c r="B453" s="150" t="s">
        <v>342</v>
      </c>
      <c r="C453" s="154" t="str">
        <f t="shared" ref="C453:H453" si="595">C$9</f>
        <v>2026E</v>
      </c>
      <c r="D453" s="154" t="str">
        <f t="shared" si="595"/>
        <v>2027E</v>
      </c>
      <c r="E453" s="154" t="str">
        <f t="shared" si="595"/>
        <v>2028E</v>
      </c>
      <c r="F453" s="154" t="str">
        <f t="shared" si="595"/>
        <v>2029E</v>
      </c>
      <c r="G453" s="154" t="str">
        <f t="shared" si="595"/>
        <v>2030E</v>
      </c>
      <c r="H453" s="154" t="str">
        <f t="shared" si="595"/>
        <v>2031E</v>
      </c>
      <c r="I453" s="148"/>
      <c r="J453" s="315" t="str">
        <f>$J$9</f>
        <v>6-Year(F)</v>
      </c>
    </row>
    <row r="454" spans="1:11">
      <c r="B454" s="150" t="s">
        <v>718</v>
      </c>
      <c r="C454" s="148">
        <f t="shared" ref="C454:H454" si="596">C$10</f>
        <v>46295</v>
      </c>
      <c r="D454" s="148">
        <f t="shared" si="596"/>
        <v>46660</v>
      </c>
      <c r="E454" s="148">
        <f t="shared" si="596"/>
        <v>47026</v>
      </c>
      <c r="F454" s="148">
        <f t="shared" si="596"/>
        <v>47391</v>
      </c>
      <c r="G454" s="148">
        <f t="shared" si="596"/>
        <v>47756</v>
      </c>
      <c r="H454" s="148">
        <f t="shared" si="596"/>
        <v>48121</v>
      </c>
      <c r="I454" s="148"/>
      <c r="J454" s="3">
        <f>$H$44</f>
        <v>48121</v>
      </c>
    </row>
    <row r="455" spans="1:11" ht="5.0999999999999996" customHeight="1">
      <c r="B455" s="473"/>
    </row>
    <row r="456" spans="1:11">
      <c r="B456" s="432" t="s">
        <v>719</v>
      </c>
      <c r="C456" s="156">
        <v>29179.816771921203</v>
      </c>
      <c r="D456" s="156">
        <v>30638.807610517266</v>
      </c>
      <c r="E456" s="156">
        <v>32170.747991043128</v>
      </c>
      <c r="F456" s="153">
        <f t="shared" ref="F456" si="597">SUM(E456*F457)+E456</f>
        <v>33779.285390595287</v>
      </c>
      <c r="G456" s="153">
        <f t="shared" ref="G456" si="598">SUM(F456*G457)+F456</f>
        <v>35468.249660125053</v>
      </c>
      <c r="H456" s="153">
        <f t="shared" ref="H456" si="599">SUM(G456*H457)+G456</f>
        <v>37241.662143131311</v>
      </c>
      <c r="J456" s="558">
        <f t="shared" ref="J456" si="600">((H456/C456)^(1/COUNT(C456:H456))-1)</f>
        <v>4.1496342698250865E-2</v>
      </c>
      <c r="K456" s="432" t="s">
        <v>720</v>
      </c>
    </row>
    <row r="457" spans="1:11">
      <c r="B457" s="559" t="s">
        <v>34</v>
      </c>
      <c r="C457" s="584">
        <f>SUM(C456/'[2]Revenue Projections &amp; Cases'!$H$29)-1</f>
        <v>8.2859567741166096E-2</v>
      </c>
      <c r="D457" s="596">
        <f t="shared" ref="D457" si="601">SUM(D456/C456)-1</f>
        <v>5.0000000000000044E-2</v>
      </c>
      <c r="E457" s="596">
        <f t="shared" ref="E457" si="602">SUM(E456/D456)-1</f>
        <v>5.0000000000000044E-2</v>
      </c>
      <c r="F457" s="596">
        <f>E457</f>
        <v>5.0000000000000044E-2</v>
      </c>
      <c r="G457" s="596">
        <f t="shared" ref="G457:H457" si="603">F457</f>
        <v>5.0000000000000044E-2</v>
      </c>
      <c r="H457" s="596">
        <f t="shared" si="603"/>
        <v>5.0000000000000044E-2</v>
      </c>
      <c r="J457" s="562"/>
    </row>
    <row r="458" spans="1:11">
      <c r="B458" s="432" t="s">
        <v>727</v>
      </c>
      <c r="C458" s="156">
        <f>24.14*1000</f>
        <v>24140</v>
      </c>
      <c r="D458" s="156">
        <f>25.33*1000</f>
        <v>25330</v>
      </c>
      <c r="E458" s="153">
        <f>SUM(D458*E459)+D458</f>
        <v>26578.661971830985</v>
      </c>
      <c r="F458" s="153">
        <f t="shared" ref="F458" si="604">SUM(E458*F459)+E458</f>
        <v>27888.877702836737</v>
      </c>
      <c r="G458" s="153">
        <f t="shared" ref="G458" si="605">SUM(F458*G459)+F458</f>
        <v>29263.681533258263</v>
      </c>
      <c r="H458" s="153">
        <f t="shared" ref="H458" si="606">SUM(G458*H459)+G458</f>
        <v>30706.257383489301</v>
      </c>
      <c r="J458" s="563">
        <f t="shared" ref="J458:J460" si="607">((H458/C458)^(1/COUNT(C458:H458))-1)</f>
        <v>4.0914208466160673E-2</v>
      </c>
      <c r="K458" s="432" t="s">
        <v>720</v>
      </c>
    </row>
    <row r="459" spans="1:11">
      <c r="B459" s="559" t="s">
        <v>34</v>
      </c>
      <c r="C459" s="584">
        <f>SUM(C458/'[2]Revenue Projections &amp; Cases'!$H$29)-1</f>
        <v>-0.10416743978921583</v>
      </c>
      <c r="D459" s="596">
        <f>SUM(D458/C458)-1</f>
        <v>4.9295774647887258E-2</v>
      </c>
      <c r="E459" s="596">
        <f>D459</f>
        <v>4.9295774647887258E-2</v>
      </c>
      <c r="F459" s="596">
        <f t="shared" ref="F459:H459" si="608">E459</f>
        <v>4.9295774647887258E-2</v>
      </c>
      <c r="G459" s="596">
        <f t="shared" si="608"/>
        <v>4.9295774647887258E-2</v>
      </c>
      <c r="H459" s="596">
        <f t="shared" si="608"/>
        <v>4.9295774647887258E-2</v>
      </c>
      <c r="J459" s="562"/>
    </row>
    <row r="460" spans="1:11">
      <c r="B460" s="432" t="s">
        <v>703</v>
      </c>
      <c r="C460" s="156">
        <f>26*1000</f>
        <v>26000</v>
      </c>
      <c r="D460" s="156">
        <f>27*1000</f>
        <v>27000</v>
      </c>
      <c r="E460" s="156">
        <f>28*1000</f>
        <v>28000</v>
      </c>
      <c r="F460" s="153">
        <f t="shared" ref="F460" si="609">SUM(E460*F461)+E460</f>
        <v>29037.037037037036</v>
      </c>
      <c r="G460" s="153">
        <f t="shared" ref="G460" si="610">SUM(F460*G461)+F460</f>
        <v>30112.482853223592</v>
      </c>
      <c r="H460" s="153">
        <f t="shared" ref="H460" si="611">SUM(G460*H461)+G460</f>
        <v>31227.759995935576</v>
      </c>
      <c r="J460" s="563">
        <f t="shared" si="607"/>
        <v>3.1006130079155314E-2</v>
      </c>
      <c r="K460" s="432" t="s">
        <v>720</v>
      </c>
    </row>
    <row r="461" spans="1:11">
      <c r="B461" s="559" t="s">
        <v>34</v>
      </c>
      <c r="C461" s="584">
        <f>SUM(C460/'[2]Revenue Projections &amp; Cases'!$H$29)-1</f>
        <v>-3.514305859650424E-2</v>
      </c>
      <c r="D461" s="596">
        <f>SUM(D460/C460)-1</f>
        <v>3.8461538461538547E-2</v>
      </c>
      <c r="E461" s="596">
        <f>SUM(E460/D460)-1</f>
        <v>3.7037037037036979E-2</v>
      </c>
      <c r="F461" s="596">
        <f t="shared" ref="F461:H461" si="612">E461</f>
        <v>3.7037037037036979E-2</v>
      </c>
      <c r="G461" s="596">
        <f t="shared" si="612"/>
        <v>3.7037037037036979E-2</v>
      </c>
      <c r="H461" s="596">
        <f t="shared" si="612"/>
        <v>3.7037037037036979E-2</v>
      </c>
      <c r="J461" s="562"/>
    </row>
    <row r="462" spans="1:11">
      <c r="B462" s="432" t="s">
        <v>702</v>
      </c>
      <c r="C462" s="156">
        <v>25300</v>
      </c>
      <c r="D462" s="156">
        <v>26300</v>
      </c>
      <c r="E462" s="156">
        <v>27000</v>
      </c>
      <c r="F462" s="156">
        <v>28000</v>
      </c>
      <c r="G462" s="156">
        <v>29600</v>
      </c>
      <c r="H462" s="156">
        <v>30500</v>
      </c>
      <c r="J462" s="563">
        <f t="shared" ref="J462" si="613">((H462/C462)^(1/COUNT(C462:H462))-1)</f>
        <v>3.1644070502969246E-2</v>
      </c>
      <c r="K462" s="432" t="s">
        <v>720</v>
      </c>
    </row>
    <row r="463" spans="1:11">
      <c r="B463" s="559" t="s">
        <v>34</v>
      </c>
      <c r="C463" s="584">
        <f>SUM(C462/'[2]Revenue Projections &amp; Cases'!$H$29)-1</f>
        <v>-6.1119976249675245E-2</v>
      </c>
      <c r="D463" s="596">
        <f>SUM(D462/C462)-1</f>
        <v>3.9525691699604737E-2</v>
      </c>
      <c r="E463" s="596">
        <f t="shared" ref="E463" si="614">SUM(E462/D462)-1</f>
        <v>2.6615969581748944E-2</v>
      </c>
      <c r="F463" s="596">
        <f t="shared" ref="F463:H463" si="615">SUM(F462/E462)-1</f>
        <v>3.7037037037036979E-2</v>
      </c>
      <c r="G463" s="596">
        <f t="shared" si="615"/>
        <v>5.7142857142857162E-2</v>
      </c>
      <c r="H463" s="596">
        <f t="shared" si="615"/>
        <v>3.0405405405405483E-2</v>
      </c>
      <c r="J463" s="564"/>
    </row>
    <row r="464" spans="1:11" ht="5.0999999999999996" customHeight="1">
      <c r="B464" s="597"/>
      <c r="C464" s="597"/>
      <c r="D464" s="597"/>
      <c r="E464" s="597"/>
      <c r="F464" s="597"/>
      <c r="G464" s="597"/>
      <c r="H464" s="597"/>
      <c r="I464" s="597"/>
      <c r="J464" s="597"/>
    </row>
    <row r="465" spans="1:11">
      <c r="B465" s="565" t="s">
        <v>336</v>
      </c>
      <c r="C465" s="583">
        <f t="shared" ref="C465:H465" si="616">MAX(C$456,C$460,C$458,C$462)</f>
        <v>29179.816771921203</v>
      </c>
      <c r="D465" s="583">
        <f t="shared" si="616"/>
        <v>30638.807610517266</v>
      </c>
      <c r="E465" s="583">
        <f t="shared" si="616"/>
        <v>32170.747991043128</v>
      </c>
      <c r="F465" s="583">
        <f t="shared" si="616"/>
        <v>33779.285390595287</v>
      </c>
      <c r="G465" s="583">
        <f t="shared" si="616"/>
        <v>35468.249660125053</v>
      </c>
      <c r="H465" s="583">
        <f t="shared" si="616"/>
        <v>37241.662143131311</v>
      </c>
      <c r="I465" s="567"/>
      <c r="J465" s="568">
        <f t="shared" ref="J465" si="617">((H465/C465)^(1/COUNT(C465:H465))-1)</f>
        <v>4.1496342698250865E-2</v>
      </c>
    </row>
    <row r="466" spans="1:11">
      <c r="B466" s="569" t="s">
        <v>34</v>
      </c>
      <c r="C466" s="570">
        <f>SUM(C465/'[2]Revenue Projections &amp; Cases'!$H$29)-1</f>
        <v>8.2859567741166096E-2</v>
      </c>
      <c r="D466" s="594">
        <f>SUM(D465/C465)-1</f>
        <v>5.0000000000000044E-2</v>
      </c>
      <c r="E466" s="594">
        <f t="shared" ref="E466" si="618">SUM(E465/D465)-1</f>
        <v>5.0000000000000044E-2</v>
      </c>
      <c r="F466" s="594">
        <f t="shared" ref="F466:H466" si="619">SUM(F465/E465)-1</f>
        <v>5.0000000000000044E-2</v>
      </c>
      <c r="G466" s="594">
        <f t="shared" si="619"/>
        <v>5.0000000000000044E-2</v>
      </c>
      <c r="H466" s="594">
        <f t="shared" si="619"/>
        <v>5.0000000000000044E-2</v>
      </c>
      <c r="I466" s="572"/>
      <c r="J466" s="573"/>
    </row>
    <row r="467" spans="1:11">
      <c r="B467" s="574" t="s">
        <v>707</v>
      </c>
      <c r="C467" s="590">
        <f t="shared" ref="C467:H467" si="620">MEDIAN(C$456,C$460,C$458,C$462)</f>
        <v>25650</v>
      </c>
      <c r="D467" s="590">
        <f t="shared" si="620"/>
        <v>26650</v>
      </c>
      <c r="E467" s="590">
        <f t="shared" si="620"/>
        <v>27500</v>
      </c>
      <c r="F467" s="590">
        <f t="shared" si="620"/>
        <v>28518.518518518518</v>
      </c>
      <c r="G467" s="590">
        <f t="shared" si="620"/>
        <v>29856.241426611796</v>
      </c>
      <c r="H467" s="590">
        <f t="shared" si="620"/>
        <v>30967.008689712438</v>
      </c>
      <c r="I467" s="572"/>
      <c r="J467" s="573">
        <f t="shared" ref="J467" si="621">((H467/C467)^(1/COUNT(C467:H467))-1)</f>
        <v>3.189453980406598E-2</v>
      </c>
    </row>
    <row r="468" spans="1:11">
      <c r="B468" s="569" t="s">
        <v>34</v>
      </c>
      <c r="C468" s="570">
        <f>SUM(C467/'[2]Revenue Projections &amp; Cases'!$H$29)-1</f>
        <v>-4.8131517423089742E-2</v>
      </c>
      <c r="D468" s="594">
        <f>SUM(D467/C467)-1</f>
        <v>3.8986354775828458E-2</v>
      </c>
      <c r="E468" s="594">
        <f t="shared" ref="E468" si="622">SUM(E467/D467)-1</f>
        <v>3.1894934333958735E-2</v>
      </c>
      <c r="F468" s="594">
        <f t="shared" ref="F468:H468" si="623">SUM(F467/E467)-1</f>
        <v>3.7037037037036979E-2</v>
      </c>
      <c r="G468" s="594">
        <f t="shared" si="623"/>
        <v>4.6907166907166786E-2</v>
      </c>
      <c r="H468" s="594">
        <f t="shared" si="623"/>
        <v>3.7203854538454539E-2</v>
      </c>
      <c r="I468" s="572"/>
      <c r="J468" s="573"/>
    </row>
    <row r="469" spans="1:11">
      <c r="B469" s="574" t="s">
        <v>706</v>
      </c>
      <c r="C469" s="590">
        <f t="shared" ref="C469:H469" si="624">AVERAGE(C$456,C$460,C$458,C$462)</f>
        <v>26154.954192980302</v>
      </c>
      <c r="D469" s="590">
        <f t="shared" si="624"/>
        <v>27317.201902629316</v>
      </c>
      <c r="E469" s="590">
        <f t="shared" si="624"/>
        <v>28437.352490718527</v>
      </c>
      <c r="F469" s="590">
        <f t="shared" si="624"/>
        <v>29676.300032617266</v>
      </c>
      <c r="G469" s="590">
        <f t="shared" si="624"/>
        <v>31111.103511651727</v>
      </c>
      <c r="H469" s="590">
        <f t="shared" si="624"/>
        <v>32418.919880639045</v>
      </c>
      <c r="I469" s="572"/>
      <c r="J469" s="573">
        <f t="shared" ref="J469" si="625">((H469/C469)^(1/COUNT(C469:H469))-1)</f>
        <v>3.6431879396437106E-2</v>
      </c>
    </row>
    <row r="470" spans="1:11">
      <c r="B470" s="569" t="s">
        <v>34</v>
      </c>
      <c r="C470" s="570">
        <f>SUM(C469/'[2]Revenue Projections &amp; Cases'!$H$29)-1</f>
        <v>-2.9392726723557305E-2</v>
      </c>
      <c r="D470" s="594">
        <f>SUM(D469/C469)-1</f>
        <v>4.4437000389048631E-2</v>
      </c>
      <c r="E470" s="594">
        <f t="shared" ref="E470" si="626">SUM(E469/D469)-1</f>
        <v>4.1005319361841153E-2</v>
      </c>
      <c r="F470" s="594">
        <f t="shared" ref="F470:H470" si="627">SUM(F469/E469)-1</f>
        <v>4.3567612080031459E-2</v>
      </c>
      <c r="G470" s="594">
        <f t="shared" si="627"/>
        <v>4.8348462492206368E-2</v>
      </c>
      <c r="H470" s="594">
        <f t="shared" si="627"/>
        <v>4.2036964985749048E-2</v>
      </c>
      <c r="I470" s="572"/>
      <c r="J470" s="573"/>
    </row>
    <row r="471" spans="1:11">
      <c r="B471" s="576" t="s">
        <v>334</v>
      </c>
      <c r="C471" s="598">
        <f>MIN(C$456,C$460,C$458,C$462)</f>
        <v>24140</v>
      </c>
      <c r="D471" s="598">
        <f t="shared" ref="D471:H471" si="628">MIN(D$456,D$460,D$458,D$462)</f>
        <v>25330</v>
      </c>
      <c r="E471" s="598">
        <f t="shared" si="628"/>
        <v>26578.661971830985</v>
      </c>
      <c r="F471" s="598">
        <f t="shared" si="628"/>
        <v>27888.877702836737</v>
      </c>
      <c r="G471" s="598">
        <f t="shared" si="628"/>
        <v>29263.681533258263</v>
      </c>
      <c r="H471" s="598">
        <f t="shared" si="628"/>
        <v>30500</v>
      </c>
      <c r="I471" s="572"/>
      <c r="J471" s="573">
        <f t="shared" ref="J471" si="629">((H471/C471)^(1/COUNT(C471:H471))-1)</f>
        <v>3.9745610548448607E-2</v>
      </c>
    </row>
    <row r="472" spans="1:11">
      <c r="B472" s="578" t="s">
        <v>34</v>
      </c>
      <c r="C472" s="579">
        <f>SUM(C471/'[2]Revenue Projections &amp; Cases'!$H$29)-1</f>
        <v>-0.10416743978921583</v>
      </c>
      <c r="D472" s="595">
        <f>SUM(D471/C471)-1</f>
        <v>4.9295774647887258E-2</v>
      </c>
      <c r="E472" s="595">
        <f t="shared" ref="E472" si="630">SUM(E471/D471)-1</f>
        <v>4.9295774647887258E-2</v>
      </c>
      <c r="F472" s="595">
        <f t="shared" ref="F472:H472" si="631">SUM(F471/E471)-1</f>
        <v>4.9295774647887258E-2</v>
      </c>
      <c r="G472" s="595">
        <f t="shared" si="631"/>
        <v>4.9295774647887258E-2</v>
      </c>
      <c r="H472" s="595">
        <f t="shared" si="631"/>
        <v>4.2247536945638764E-2</v>
      </c>
      <c r="I472" s="581"/>
      <c r="J472" s="582"/>
    </row>
    <row r="474" spans="1:11">
      <c r="A474" s="557" t="s">
        <v>19</v>
      </c>
      <c r="B474" s="149" t="s">
        <v>740</v>
      </c>
      <c r="C474" s="149"/>
      <c r="D474" s="149"/>
      <c r="E474" s="149"/>
      <c r="F474" s="149"/>
      <c r="G474" s="149"/>
      <c r="H474" s="149"/>
      <c r="I474" s="149"/>
      <c r="J474" s="149"/>
    </row>
    <row r="475" spans="1:11" ht="5.0999999999999996" customHeight="1"/>
    <row r="476" spans="1:11">
      <c r="A476" s="557" t="s">
        <v>19</v>
      </c>
      <c r="B476" s="149" t="s">
        <v>741</v>
      </c>
      <c r="C476" s="147" t="s">
        <v>370</v>
      </c>
      <c r="D476" s="147"/>
      <c r="E476" s="147"/>
      <c r="F476" s="147"/>
      <c r="G476" s="147"/>
      <c r="H476" s="147"/>
      <c r="I476" s="148"/>
      <c r="J476" s="2" t="s">
        <v>369</v>
      </c>
    </row>
    <row r="477" spans="1:11">
      <c r="B477" s="150" t="s">
        <v>342</v>
      </c>
      <c r="C477" s="154" t="str">
        <f t="shared" ref="C477:H477" si="632">C$9</f>
        <v>2026E</v>
      </c>
      <c r="D477" s="154" t="str">
        <f t="shared" si="632"/>
        <v>2027E</v>
      </c>
      <c r="E477" s="154" t="str">
        <f t="shared" si="632"/>
        <v>2028E</v>
      </c>
      <c r="F477" s="154" t="str">
        <f t="shared" si="632"/>
        <v>2029E</v>
      </c>
      <c r="G477" s="154" t="str">
        <f t="shared" si="632"/>
        <v>2030E</v>
      </c>
      <c r="H477" s="154" t="str">
        <f t="shared" si="632"/>
        <v>2031E</v>
      </c>
      <c r="I477" s="148"/>
      <c r="J477" s="315" t="str">
        <f>$J$9</f>
        <v>6-Year(F)</v>
      </c>
    </row>
    <row r="478" spans="1:11">
      <c r="B478" s="150" t="s">
        <v>718</v>
      </c>
      <c r="C478" s="148">
        <f t="shared" ref="C478:H478" si="633">C$10</f>
        <v>46295</v>
      </c>
      <c r="D478" s="148">
        <f t="shared" si="633"/>
        <v>46660</v>
      </c>
      <c r="E478" s="148">
        <f t="shared" si="633"/>
        <v>47026</v>
      </c>
      <c r="F478" s="148">
        <f t="shared" si="633"/>
        <v>47391</v>
      </c>
      <c r="G478" s="148">
        <f t="shared" si="633"/>
        <v>47756</v>
      </c>
      <c r="H478" s="148">
        <f t="shared" si="633"/>
        <v>48121</v>
      </c>
      <c r="I478" s="148"/>
      <c r="J478" s="3">
        <f>$H$44</f>
        <v>48121</v>
      </c>
    </row>
    <row r="479" spans="1:11" ht="5.0999999999999996" customHeight="1">
      <c r="B479" s="473"/>
    </row>
    <row r="480" spans="1:11">
      <c r="B480" s="432" t="s">
        <v>719</v>
      </c>
      <c r="C480" s="156">
        <v>1195.0499074946861</v>
      </c>
      <c r="D480" s="156">
        <v>1183.1208121688255</v>
      </c>
      <c r="E480" s="156">
        <v>1171.6687887881051</v>
      </c>
      <c r="F480" s="153">
        <f t="shared" ref="F480" si="634">SUM(E480*F481)+E480</f>
        <v>1160.3276153207355</v>
      </c>
      <c r="G480" s="153">
        <f t="shared" ref="G480" si="635">SUM(F480*G481)+F480</f>
        <v>1149.0962187944672</v>
      </c>
      <c r="H480" s="153">
        <f t="shared" ref="H480" si="636">SUM(G480*H481)+G480</f>
        <v>1137.9735366228904</v>
      </c>
      <c r="J480" s="558">
        <f t="shared" ref="J480" si="637">((H480/C480)^(1/COUNT(C480:H480))-1)</f>
        <v>-8.1233040160246794E-3</v>
      </c>
      <c r="K480" s="432" t="s">
        <v>720</v>
      </c>
    </row>
    <row r="481" spans="2:11">
      <c r="B481" s="559" t="s">
        <v>34</v>
      </c>
      <c r="C481" s="584">
        <f>SUM(C480/'[2]Revenue Projections &amp; Cases'!$H$37)-1</f>
        <v>-4.4724294568596279E-2</v>
      </c>
      <c r="D481" s="596">
        <f t="shared" ref="D481" si="638">SUM(D480/C480)-1</f>
        <v>-9.9820896608986409E-3</v>
      </c>
      <c r="E481" s="596">
        <f t="shared" ref="E481" si="639">SUM(E480/D480)-1</f>
        <v>-9.6795046312534438E-3</v>
      </c>
      <c r="F481" s="596">
        <f>E481</f>
        <v>-9.6795046312534438E-3</v>
      </c>
      <c r="G481" s="596">
        <f t="shared" ref="G481:H481" si="640">F481</f>
        <v>-9.6795046312534438E-3</v>
      </c>
      <c r="H481" s="596">
        <f t="shared" si="640"/>
        <v>-9.6795046312534438E-3</v>
      </c>
      <c r="J481" s="562"/>
    </row>
    <row r="482" spans="2:11">
      <c r="B482" s="432" t="s">
        <v>727</v>
      </c>
      <c r="C482" s="156">
        <v>1385</v>
      </c>
      <c r="D482" s="156">
        <v>1397</v>
      </c>
      <c r="E482" s="153">
        <f>SUM(D482*E483)+D482</f>
        <v>1409.1039711191333</v>
      </c>
      <c r="F482" s="153">
        <f t="shared" ref="F482" si="641">SUM(E482*F483)+E482</f>
        <v>1421.3128141902016</v>
      </c>
      <c r="G482" s="153">
        <f t="shared" ref="G482" si="642">SUM(F482*G483)+F482</f>
        <v>1433.6274378510552</v>
      </c>
      <c r="H482" s="153">
        <f t="shared" ref="H482" si="643">SUM(G482*H483)+G482</f>
        <v>1446.0487586122194</v>
      </c>
      <c r="J482" s="563">
        <f t="shared" ref="J482:J484" si="644">((H482/C482)^(1/COUNT(C482:H482))-1)</f>
        <v>7.2150209371029117E-3</v>
      </c>
      <c r="K482" s="432" t="s">
        <v>720</v>
      </c>
    </row>
    <row r="483" spans="2:11">
      <c r="B483" s="559" t="s">
        <v>34</v>
      </c>
      <c r="C483" s="584">
        <f>SUM(C482/'[2]Revenue Projections &amp; Cases'!$H$37)-1</f>
        <v>0.1071143085531574</v>
      </c>
      <c r="D483" s="596">
        <f>SUM(D482/C482)-1</f>
        <v>8.664259927797735E-3</v>
      </c>
      <c r="E483" s="596">
        <f>D483</f>
        <v>8.664259927797735E-3</v>
      </c>
      <c r="F483" s="596">
        <f t="shared" ref="F483:H483" si="645">E483</f>
        <v>8.664259927797735E-3</v>
      </c>
      <c r="G483" s="596">
        <f t="shared" si="645"/>
        <v>8.664259927797735E-3</v>
      </c>
      <c r="H483" s="596">
        <f t="shared" si="645"/>
        <v>8.664259927797735E-3</v>
      </c>
      <c r="J483" s="562"/>
    </row>
    <row r="484" spans="2:11">
      <c r="B484" s="432" t="s">
        <v>703</v>
      </c>
      <c r="C484" s="156">
        <v>1315</v>
      </c>
      <c r="D484" s="156">
        <v>1308</v>
      </c>
      <c r="E484" s="156">
        <v>1300</v>
      </c>
      <c r="F484" s="153">
        <f t="shared" ref="F484" si="646">SUM(E484*F485)+E484</f>
        <v>1292.0489296636085</v>
      </c>
      <c r="G484" s="153">
        <f t="shared" ref="G484" si="647">SUM(F484*G485)+F484</f>
        <v>1284.1464897268279</v>
      </c>
      <c r="H484" s="153">
        <f t="shared" ref="H484" si="648">SUM(G484*H485)+G484</f>
        <v>1276.2923827560217</v>
      </c>
      <c r="J484" s="563">
        <f t="shared" si="644"/>
        <v>-4.9671836828343308E-3</v>
      </c>
      <c r="K484" s="432" t="s">
        <v>720</v>
      </c>
    </row>
    <row r="485" spans="2:11">
      <c r="B485" s="559" t="s">
        <v>34</v>
      </c>
      <c r="C485" s="584">
        <f>SUM(C484/'[2]Revenue Projections &amp; Cases'!$H$37)-1</f>
        <v>5.1159072741806533E-2</v>
      </c>
      <c r="D485" s="596">
        <f>SUM(D484/C484)-1</f>
        <v>-5.3231939163498332E-3</v>
      </c>
      <c r="E485" s="596">
        <f>SUM(E484/D484)-1</f>
        <v>-6.1162079510703737E-3</v>
      </c>
      <c r="F485" s="596">
        <f t="shared" ref="F485:H485" si="649">E485</f>
        <v>-6.1162079510703737E-3</v>
      </c>
      <c r="G485" s="596">
        <f t="shared" si="649"/>
        <v>-6.1162079510703737E-3</v>
      </c>
      <c r="H485" s="596">
        <f t="shared" si="649"/>
        <v>-6.1162079510703737E-3</v>
      </c>
      <c r="J485" s="562"/>
    </row>
    <row r="486" spans="2:11">
      <c r="B486" s="432" t="s">
        <v>702</v>
      </c>
      <c r="C486" s="156">
        <v>1366.2</v>
      </c>
      <c r="D486" s="156">
        <v>1355.1</v>
      </c>
      <c r="E486" s="156">
        <v>1363</v>
      </c>
      <c r="F486" s="156">
        <v>1390.2</v>
      </c>
      <c r="G486" s="156">
        <v>1390.2</v>
      </c>
      <c r="H486" s="156">
        <v>1362.4</v>
      </c>
      <c r="J486" s="563">
        <f t="shared" ref="J486" si="650">((H486/C486)^(1/COUNT(C486:H486))-1)</f>
        <v>-4.6411109199095968E-4</v>
      </c>
      <c r="K486" s="432" t="s">
        <v>720</v>
      </c>
    </row>
    <row r="487" spans="2:11">
      <c r="B487" s="559" t="s">
        <v>34</v>
      </c>
      <c r="C487" s="584">
        <f>SUM(C486/'[2]Revenue Projections &amp; Cases'!$H$37)-1</f>
        <v>9.2086330935251759E-2</v>
      </c>
      <c r="D487" s="596">
        <f>SUM(D486/C486)-1</f>
        <v>-8.1247255160299403E-3</v>
      </c>
      <c r="E487" s="596">
        <f t="shared" ref="E487" si="651">SUM(E486/D486)-1</f>
        <v>5.8298280569699656E-3</v>
      </c>
      <c r="F487" s="596">
        <f t="shared" ref="F487:H487" si="652">SUM(F486/E486)-1</f>
        <v>1.9955979457080053E-2</v>
      </c>
      <c r="G487" s="596">
        <f t="shared" si="652"/>
        <v>0</v>
      </c>
      <c r="H487" s="596">
        <f t="shared" si="652"/>
        <v>-1.9997122716155946E-2</v>
      </c>
      <c r="J487" s="564"/>
    </row>
    <row r="488" spans="2:11" ht="5.0999999999999996" customHeight="1">
      <c r="B488" s="597"/>
      <c r="C488" s="597"/>
      <c r="D488" s="597"/>
      <c r="E488" s="597"/>
      <c r="F488" s="597"/>
      <c r="G488" s="597"/>
      <c r="H488" s="597"/>
      <c r="I488" s="597"/>
      <c r="J488" s="597"/>
    </row>
    <row r="489" spans="2:11">
      <c r="B489" s="565" t="s">
        <v>336</v>
      </c>
      <c r="C489" s="599">
        <f>MAX(C480,C484,C482,C486)</f>
        <v>1385</v>
      </c>
      <c r="D489" s="599">
        <f>MAX(D$480,D$484,D$482,D$486)</f>
        <v>1397</v>
      </c>
      <c r="E489" s="599">
        <f>MAX(E$480,E$484,E$482,E$486)</f>
        <v>1409.1039711191333</v>
      </c>
      <c r="F489" s="599">
        <f>MAX(F$480,F$484,F$482,F$486)</f>
        <v>1421.3128141902016</v>
      </c>
      <c r="G489" s="599">
        <f>MAX(G$480,G$484,G$482,G$486)</f>
        <v>1433.6274378510552</v>
      </c>
      <c r="H489" s="599">
        <f>MAX(H$480,H$484,H$482,H$486)</f>
        <v>1446.0487586122194</v>
      </c>
      <c r="I489" s="567"/>
      <c r="J489" s="568">
        <f t="shared" ref="J489" si="653">((H489/C489)^(1/COUNT(C489:H489))-1)</f>
        <v>7.2150209371029117E-3</v>
      </c>
    </row>
    <row r="490" spans="2:11">
      <c r="B490" s="569" t="s">
        <v>34</v>
      </c>
      <c r="C490" s="570">
        <f>SUM(C489/'[2]Revenue Projections &amp; Cases'!$H$37)-1</f>
        <v>0.1071143085531574</v>
      </c>
      <c r="D490" s="594">
        <f>SUM(D489/C489)-1</f>
        <v>8.664259927797735E-3</v>
      </c>
      <c r="E490" s="594">
        <f t="shared" ref="E490" si="654">SUM(E489/D489)-1</f>
        <v>8.664259927797735E-3</v>
      </c>
      <c r="F490" s="594">
        <f t="shared" ref="F490:H490" si="655">SUM(F489/E489)-1</f>
        <v>8.664259927797735E-3</v>
      </c>
      <c r="G490" s="594">
        <f t="shared" si="655"/>
        <v>8.664259927797735E-3</v>
      </c>
      <c r="H490" s="594">
        <f t="shared" si="655"/>
        <v>8.664259927797735E-3</v>
      </c>
      <c r="I490" s="572"/>
      <c r="J490" s="573"/>
    </row>
    <row r="491" spans="2:11">
      <c r="B491" s="574" t="s">
        <v>707</v>
      </c>
      <c r="C491" s="600">
        <f t="shared" ref="C491:H491" si="656">MEDIAN(C$480,C$484,C$482,C$486)</f>
        <v>1340.6</v>
      </c>
      <c r="D491" s="600">
        <f t="shared" si="656"/>
        <v>1331.55</v>
      </c>
      <c r="E491" s="600">
        <f t="shared" si="656"/>
        <v>1331.5</v>
      </c>
      <c r="F491" s="600">
        <f t="shared" si="656"/>
        <v>1341.1244648318043</v>
      </c>
      <c r="G491" s="600">
        <f t="shared" si="656"/>
        <v>1337.1732448634139</v>
      </c>
      <c r="H491" s="600">
        <f t="shared" si="656"/>
        <v>1319.3461913780109</v>
      </c>
      <c r="I491" s="572"/>
      <c r="J491" s="573">
        <f t="shared" ref="J491" si="657">((H491/C491)^(1/COUNT(C491:H491))-1)</f>
        <v>-2.6599511460313474E-3</v>
      </c>
    </row>
    <row r="492" spans="2:11">
      <c r="B492" s="569" t="s">
        <v>34</v>
      </c>
      <c r="C492" s="570">
        <f>SUM(C491/'[2]Revenue Projections &amp; Cases'!$H$37)-1</f>
        <v>7.1622701838529146E-2</v>
      </c>
      <c r="D492" s="594">
        <f>SUM(D491/C491)-1</f>
        <v>-6.7507086379232639E-3</v>
      </c>
      <c r="E492" s="594">
        <f t="shared" ref="E492" si="658">SUM(E491/D491)-1</f>
        <v>-3.7550223423776785E-5</v>
      </c>
      <c r="F492" s="594">
        <f t="shared" ref="F492:H492" si="659">SUM(F491/E491)-1</f>
        <v>7.2282875191920226E-3</v>
      </c>
      <c r="G492" s="594">
        <f t="shared" si="659"/>
        <v>-2.9461993066288716E-3</v>
      </c>
      <c r="H492" s="594">
        <f t="shared" si="659"/>
        <v>-1.3331895140650918E-2</v>
      </c>
      <c r="I492" s="572"/>
      <c r="J492" s="573"/>
    </row>
    <row r="493" spans="2:11">
      <c r="B493" s="574" t="s">
        <v>706</v>
      </c>
      <c r="C493" s="600">
        <f t="shared" ref="C493:H493" si="660">AVERAGE(C$480,C$484,C$482,C$486)</f>
        <v>1315.3124768736716</v>
      </c>
      <c r="D493" s="600">
        <f t="shared" si="660"/>
        <v>1310.8052030422064</v>
      </c>
      <c r="E493" s="600">
        <f t="shared" si="660"/>
        <v>1310.9431899768097</v>
      </c>
      <c r="F493" s="600">
        <f t="shared" si="660"/>
        <v>1315.9723397936364</v>
      </c>
      <c r="G493" s="600">
        <f t="shared" si="660"/>
        <v>1314.2675365930875</v>
      </c>
      <c r="H493" s="600">
        <f t="shared" si="660"/>
        <v>1305.6786694977829</v>
      </c>
      <c r="I493" s="572"/>
      <c r="J493" s="573">
        <f t="shared" ref="J493" si="661">((H493/C493)^(1/COUNT(C493:H493))-1)</f>
        <v>-1.2244669863705759E-3</v>
      </c>
    </row>
    <row r="494" spans="2:11">
      <c r="B494" s="569" t="s">
        <v>34</v>
      </c>
      <c r="C494" s="570">
        <f>SUM(C493/'[2]Revenue Projections &amp; Cases'!$H$37)-1</f>
        <v>5.1408854415404992E-2</v>
      </c>
      <c r="D494" s="594">
        <f>SUM(D493/C493)-1</f>
        <v>-3.4267703764039315E-3</v>
      </c>
      <c r="E494" s="594">
        <f t="shared" ref="E494" si="662">SUM(E493/D493)-1</f>
        <v>1.0526883344907922E-4</v>
      </c>
      <c r="F494" s="594">
        <f t="shared" ref="F494:H494" si="663">SUM(F493/E493)-1</f>
        <v>3.8362835668841466E-3</v>
      </c>
      <c r="G494" s="594">
        <f t="shared" si="663"/>
        <v>-1.2954703902182674E-3</v>
      </c>
      <c r="H494" s="594">
        <f t="shared" si="663"/>
        <v>-6.5350979584940516E-3</v>
      </c>
      <c r="I494" s="572"/>
      <c r="J494" s="573"/>
    </row>
    <row r="495" spans="2:11">
      <c r="B495" s="576" t="s">
        <v>334</v>
      </c>
      <c r="C495" s="601">
        <f>MIN(C$480,C$484,C$482,C$486)</f>
        <v>1195.0499074946861</v>
      </c>
      <c r="D495" s="601">
        <f t="shared" ref="D495:H495" si="664">MIN(D$480,D$484,D$482,D$486)</f>
        <v>1183.1208121688255</v>
      </c>
      <c r="E495" s="601">
        <f t="shared" si="664"/>
        <v>1171.6687887881051</v>
      </c>
      <c r="F495" s="601">
        <f t="shared" si="664"/>
        <v>1160.3276153207355</v>
      </c>
      <c r="G495" s="601">
        <f t="shared" si="664"/>
        <v>1149.0962187944672</v>
      </c>
      <c r="H495" s="601">
        <f t="shared" si="664"/>
        <v>1137.9735366228904</v>
      </c>
      <c r="I495" s="572"/>
      <c r="J495" s="573">
        <f t="shared" ref="J495" si="665">((H495/C495)^(1/COUNT(C495:H495))-1)</f>
        <v>-8.1233040160246794E-3</v>
      </c>
    </row>
    <row r="496" spans="2:11">
      <c r="B496" s="578" t="s">
        <v>34</v>
      </c>
      <c r="C496" s="579">
        <f>SUM(C495/'[2]Revenue Projections &amp; Cases'!$H$37)-1</f>
        <v>-4.4724294568596279E-2</v>
      </c>
      <c r="D496" s="595">
        <f>SUM(D495/C495)-1</f>
        <v>-9.9820896608986409E-3</v>
      </c>
      <c r="E496" s="595">
        <f t="shared" ref="E496" si="666">SUM(E495/D495)-1</f>
        <v>-9.6795046312534438E-3</v>
      </c>
      <c r="F496" s="595">
        <f t="shared" ref="F496:H496" si="667">SUM(F495/E495)-1</f>
        <v>-9.6795046312534438E-3</v>
      </c>
      <c r="G496" s="595">
        <f t="shared" si="667"/>
        <v>-9.6795046312534438E-3</v>
      </c>
      <c r="H496" s="595">
        <f t="shared" si="667"/>
        <v>-9.6795046312533328E-3</v>
      </c>
      <c r="I496" s="581"/>
      <c r="J496" s="582"/>
    </row>
    <row r="498" spans="1:11">
      <c r="A498" s="557" t="s">
        <v>19</v>
      </c>
      <c r="B498" s="149" t="s">
        <v>740</v>
      </c>
      <c r="C498" s="149"/>
      <c r="D498" s="149"/>
      <c r="E498" s="149"/>
      <c r="F498" s="149"/>
      <c r="G498" s="149"/>
      <c r="H498" s="149"/>
      <c r="I498" s="149"/>
      <c r="J498" s="149"/>
    </row>
    <row r="499" spans="1:11" ht="5.0999999999999996" customHeight="1"/>
    <row r="500" spans="1:11">
      <c r="B500" s="149" t="s">
        <v>323</v>
      </c>
      <c r="C500" s="147" t="s">
        <v>370</v>
      </c>
      <c r="D500" s="147"/>
      <c r="E500" s="147"/>
      <c r="F500" s="147"/>
      <c r="G500" s="147"/>
      <c r="H500" s="147"/>
      <c r="I500" s="148"/>
      <c r="J500" s="2" t="s">
        <v>369</v>
      </c>
    </row>
    <row r="501" spans="1:11">
      <c r="B501" s="150" t="s">
        <v>342</v>
      </c>
      <c r="C501" s="154" t="str">
        <f t="shared" ref="C501:H501" si="668">C$9</f>
        <v>2026E</v>
      </c>
      <c r="D501" s="154" t="str">
        <f t="shared" si="668"/>
        <v>2027E</v>
      </c>
      <c r="E501" s="154" t="str">
        <f t="shared" si="668"/>
        <v>2028E</v>
      </c>
      <c r="F501" s="154" t="str">
        <f t="shared" si="668"/>
        <v>2029E</v>
      </c>
      <c r="G501" s="154" t="str">
        <f t="shared" si="668"/>
        <v>2030E</v>
      </c>
      <c r="H501" s="154" t="str">
        <f t="shared" si="668"/>
        <v>2031E</v>
      </c>
      <c r="I501" s="148"/>
      <c r="J501" s="315" t="str">
        <f>$J$9</f>
        <v>6-Year(F)</v>
      </c>
    </row>
    <row r="502" spans="1:11">
      <c r="B502" s="150" t="s">
        <v>718</v>
      </c>
      <c r="C502" s="148">
        <f t="shared" ref="C502:H502" si="669">C$10</f>
        <v>46295</v>
      </c>
      <c r="D502" s="148">
        <f t="shared" si="669"/>
        <v>46660</v>
      </c>
      <c r="E502" s="148">
        <f t="shared" si="669"/>
        <v>47026</v>
      </c>
      <c r="F502" s="148">
        <f t="shared" si="669"/>
        <v>47391</v>
      </c>
      <c r="G502" s="148">
        <f t="shared" si="669"/>
        <v>47756</v>
      </c>
      <c r="H502" s="148">
        <f t="shared" si="669"/>
        <v>48121</v>
      </c>
      <c r="I502" s="148"/>
      <c r="J502" s="3">
        <f>$H$44</f>
        <v>48121</v>
      </c>
    </row>
    <row r="503" spans="1:11" ht="5.0999999999999996" customHeight="1">
      <c r="B503" s="473"/>
    </row>
    <row r="504" spans="1:11">
      <c r="B504" s="432" t="s">
        <v>719</v>
      </c>
      <c r="C504" s="156">
        <v>54042.766970220015</v>
      </c>
      <c r="D504" s="156">
        <v>56744.90531873102</v>
      </c>
      <c r="E504" s="156">
        <v>59582.150584667572</v>
      </c>
      <c r="F504" s="153">
        <f t="shared" ref="F504" si="670">SUM(E504*F505)+E504</f>
        <v>62561.258113900956</v>
      </c>
      <c r="G504" s="153">
        <f t="shared" ref="G504" si="671">SUM(F504*G505)+F504</f>
        <v>65689.321019596013</v>
      </c>
      <c r="H504" s="153">
        <f t="shared" ref="H504" si="672">SUM(G504*H505)+G504</f>
        <v>68973.787070575811</v>
      </c>
      <c r="J504" s="558">
        <f t="shared" ref="J504" si="673">((H504/C504)^(1/COUNT(C504:H504))-1)</f>
        <v>4.1496342698250865E-2</v>
      </c>
      <c r="K504" s="432" t="s">
        <v>720</v>
      </c>
    </row>
    <row r="505" spans="1:11">
      <c r="B505" s="559" t="s">
        <v>34</v>
      </c>
      <c r="C505" s="584">
        <f>SUM(C504/'[2]Revenue Projections &amp; Cases'!$H$28)-1</f>
        <v>6.2787944350442659E-2</v>
      </c>
      <c r="D505" s="596">
        <f t="shared" ref="D505" si="674">SUM(D504/C504)-1</f>
        <v>5.0000000000000044E-2</v>
      </c>
      <c r="E505" s="596">
        <f t="shared" ref="E505" si="675">SUM(E504/D504)-1</f>
        <v>5.0000000000000044E-2</v>
      </c>
      <c r="F505" s="596">
        <f>E505</f>
        <v>5.0000000000000044E-2</v>
      </c>
      <c r="G505" s="596">
        <f t="shared" ref="G505:H505" si="676">F505</f>
        <v>5.0000000000000044E-2</v>
      </c>
      <c r="H505" s="596">
        <f t="shared" si="676"/>
        <v>5.0000000000000044E-2</v>
      </c>
      <c r="J505" s="562"/>
    </row>
    <row r="506" spans="1:11">
      <c r="B506" s="432" t="s">
        <v>703</v>
      </c>
      <c r="C506" s="156">
        <f>53*1000</f>
        <v>53000</v>
      </c>
      <c r="D506" s="156">
        <f>53*1000</f>
        <v>53000</v>
      </c>
      <c r="E506" s="156">
        <f>53*1000</f>
        <v>53000</v>
      </c>
      <c r="F506" s="153">
        <f t="shared" ref="F506" si="677">SUM(E506*F507)+E506</f>
        <v>53000</v>
      </c>
      <c r="G506" s="153">
        <f t="shared" ref="G506" si="678">SUM(F506*G507)+F506</f>
        <v>53000</v>
      </c>
      <c r="H506" s="153">
        <f t="shared" ref="H506" si="679">SUM(G506*H507)+G506</f>
        <v>53000</v>
      </c>
      <c r="J506" s="563">
        <f t="shared" ref="J506:J508" si="680">((H506/C506)^(1/COUNT(C506:H506))-1)</f>
        <v>0</v>
      </c>
      <c r="K506" s="432" t="s">
        <v>720</v>
      </c>
    </row>
    <row r="507" spans="1:11">
      <c r="B507" s="559" t="s">
        <v>34</v>
      </c>
      <c r="C507" s="584">
        <f>SUM(C506/'[2]Revenue Projections &amp; Cases'!$H$28)-1</f>
        <v>4.2281219272369608E-2</v>
      </c>
      <c r="D507" s="596">
        <f>SUM(D506/C506)-1</f>
        <v>0</v>
      </c>
      <c r="E507" s="596">
        <f>SUM(E506/D506)-1</f>
        <v>0</v>
      </c>
      <c r="F507" s="596">
        <f t="shared" ref="F507:H507" si="681">E507</f>
        <v>0</v>
      </c>
      <c r="G507" s="596">
        <f t="shared" si="681"/>
        <v>0</v>
      </c>
      <c r="H507" s="596">
        <f t="shared" si="681"/>
        <v>0</v>
      </c>
      <c r="J507" s="562"/>
    </row>
    <row r="508" spans="1:11">
      <c r="B508" s="432" t="s">
        <v>727</v>
      </c>
      <c r="C508" s="156">
        <f>59.12*1000</f>
        <v>59120</v>
      </c>
      <c r="D508" s="156">
        <f>57.45*1000</f>
        <v>57450</v>
      </c>
      <c r="E508" s="153">
        <f>SUM(D508*E509)+D508</f>
        <v>55827.173545331534</v>
      </c>
      <c r="F508" s="153">
        <f t="shared" ref="F508" si="682">SUM(E508*F509)+E508</f>
        <v>54250.188095049001</v>
      </c>
      <c r="G508" s="153">
        <f t="shared" ref="G508" si="683">SUM(F508*G509)+F508</f>
        <v>52717.748749332968</v>
      </c>
      <c r="H508" s="153">
        <f t="shared" ref="H508" si="684">SUM(G508*H509)+G508</f>
        <v>51228.597186217507</v>
      </c>
      <c r="J508" s="563">
        <f t="shared" si="680"/>
        <v>-2.3595723187098794E-2</v>
      </c>
      <c r="K508" s="432" t="s">
        <v>720</v>
      </c>
    </row>
    <row r="509" spans="1:11">
      <c r="B509" s="559" t="s">
        <v>34</v>
      </c>
      <c r="C509" s="584">
        <f>SUM(C508/'[2]Revenue Projections &amp; Cases'!$H$28)-1</f>
        <v>0.16263520157325462</v>
      </c>
      <c r="D509" s="596">
        <f>SUM(D508/C508)-1</f>
        <v>-2.8247631935047313E-2</v>
      </c>
      <c r="E509" s="596">
        <f>D509</f>
        <v>-2.8247631935047313E-2</v>
      </c>
      <c r="F509" s="596">
        <f t="shared" ref="F509:H509" si="685">E509</f>
        <v>-2.8247631935047313E-2</v>
      </c>
      <c r="G509" s="596">
        <f t="shared" si="685"/>
        <v>-2.8247631935047313E-2</v>
      </c>
      <c r="H509" s="596">
        <f t="shared" si="685"/>
        <v>-2.8247631935047313E-2</v>
      </c>
      <c r="J509" s="562"/>
    </row>
    <row r="510" spans="1:11">
      <c r="B510" s="432" t="s">
        <v>702</v>
      </c>
      <c r="C510" s="156">
        <v>43200</v>
      </c>
      <c r="D510" s="156">
        <v>43200</v>
      </c>
      <c r="E510" s="156">
        <v>45700</v>
      </c>
      <c r="F510" s="156">
        <v>44100</v>
      </c>
      <c r="G510" s="156">
        <v>44600</v>
      </c>
      <c r="H510" s="156">
        <v>45700</v>
      </c>
      <c r="J510" s="563">
        <f t="shared" ref="J510" si="686">((H510/C510)^(1/COUNT(C510:H510))-1)</f>
        <v>9.4203956555751756E-3</v>
      </c>
      <c r="K510" s="432" t="s">
        <v>720</v>
      </c>
    </row>
    <row r="511" spans="1:11">
      <c r="B511" s="559" t="s">
        <v>34</v>
      </c>
      <c r="C511" s="584">
        <f>SUM(C510/'[2]Revenue Projections &amp; Cases'!$H$28)-1</f>
        <v>-0.15044247787610621</v>
      </c>
      <c r="D511" s="596">
        <f>SUM(D510/C510)-1</f>
        <v>0</v>
      </c>
      <c r="E511" s="596">
        <f t="shared" ref="E511" si="687">SUM(E510/D510)-1</f>
        <v>5.7870370370370461E-2</v>
      </c>
      <c r="F511" s="596">
        <f t="shared" ref="F511:H511" si="688">SUM(F510/E510)-1</f>
        <v>-3.5010940919037226E-2</v>
      </c>
      <c r="G511" s="596">
        <f t="shared" si="688"/>
        <v>1.133786848072571E-2</v>
      </c>
      <c r="H511" s="596">
        <f t="shared" si="688"/>
        <v>2.4663677130044803E-2</v>
      </c>
      <c r="J511" s="564"/>
    </row>
    <row r="512" spans="1:11" ht="5.0999999999999996" customHeight="1">
      <c r="B512" s="597"/>
      <c r="C512" s="597"/>
      <c r="D512" s="597"/>
      <c r="E512" s="597"/>
      <c r="F512" s="597"/>
      <c r="G512" s="597"/>
      <c r="H512" s="597"/>
      <c r="I512" s="597"/>
      <c r="J512" s="597"/>
    </row>
    <row r="513" spans="2:11">
      <c r="B513" s="565" t="s">
        <v>336</v>
      </c>
      <c r="C513" s="583">
        <f>MAX(C504,C508,C506,C510)</f>
        <v>59120</v>
      </c>
      <c r="D513" s="583">
        <f>MAX(D$504,D$508,D$506,D$510)</f>
        <v>57450</v>
      </c>
      <c r="E513" s="583">
        <f>MAX(E$504,E$508,E$506,E$510)</f>
        <v>59582.150584667572</v>
      </c>
      <c r="F513" s="583">
        <f>MAX(F$504,F$508,F$506,F$510)</f>
        <v>62561.258113900956</v>
      </c>
      <c r="G513" s="583">
        <f>MAX(G$504,G$508,G$506,G$510)</f>
        <v>65689.321019596013</v>
      </c>
      <c r="H513" s="583">
        <f>MAX(H$504,H$508,H$506,H$510)</f>
        <v>68973.787070575811</v>
      </c>
      <c r="I513" s="567"/>
      <c r="J513" s="568">
        <f t="shared" ref="J513" si="689">((H513/C513)^(1/COUNT(C513:H513))-1)</f>
        <v>2.6025783320684059E-2</v>
      </c>
    </row>
    <row r="514" spans="2:11">
      <c r="B514" s="569" t="s">
        <v>34</v>
      </c>
      <c r="C514" s="570">
        <f>SUM(C513/'[2]Revenue Projections &amp; Cases'!$H$28)-1</f>
        <v>0.16263520157325462</v>
      </c>
      <c r="D514" s="594">
        <f>SUM(D513/C513)-1</f>
        <v>-2.8247631935047313E-2</v>
      </c>
      <c r="E514" s="594">
        <f t="shared" ref="E514" si="690">SUM(E513/D513)-1</f>
        <v>3.7113152039470299E-2</v>
      </c>
      <c r="F514" s="594">
        <f t="shared" ref="F514:H514" si="691">SUM(F513/E513)-1</f>
        <v>5.0000000000000044E-2</v>
      </c>
      <c r="G514" s="594">
        <f t="shared" si="691"/>
        <v>5.0000000000000044E-2</v>
      </c>
      <c r="H514" s="594">
        <f t="shared" si="691"/>
        <v>5.0000000000000044E-2</v>
      </c>
      <c r="I514" s="572"/>
      <c r="J514" s="573"/>
    </row>
    <row r="515" spans="2:11">
      <c r="B515" s="574" t="s">
        <v>707</v>
      </c>
      <c r="C515" s="590">
        <f t="shared" ref="C515:H515" si="692">MEDIAN(C$504,C$508,C$506,C$510)</f>
        <v>53521.383485110011</v>
      </c>
      <c r="D515" s="590">
        <f t="shared" si="692"/>
        <v>54872.45265936551</v>
      </c>
      <c r="E515" s="590">
        <f t="shared" si="692"/>
        <v>54413.586772665767</v>
      </c>
      <c r="F515" s="590">
        <f t="shared" si="692"/>
        <v>53625.094047524501</v>
      </c>
      <c r="G515" s="590">
        <f t="shared" si="692"/>
        <v>52858.874374666484</v>
      </c>
      <c r="H515" s="590">
        <f t="shared" si="692"/>
        <v>52114.298593108753</v>
      </c>
      <c r="I515" s="572"/>
      <c r="J515" s="573">
        <f t="shared" ref="J515" si="693">((H515/C515)^(1/COUNT(C515:H515))-1)</f>
        <v>-4.4304745432038883E-3</v>
      </c>
    </row>
    <row r="516" spans="2:11">
      <c r="B516" s="569" t="s">
        <v>34</v>
      </c>
      <c r="C516" s="570">
        <f>SUM(C515/'[2]Revenue Projections &amp; Cases'!$H$28)-1</f>
        <v>5.2534581811406245E-2</v>
      </c>
      <c r="D516" s="594">
        <f>SUM(D515/C515)-1</f>
        <v>2.5243539801832249E-2</v>
      </c>
      <c r="E516" s="594">
        <f t="shared" ref="E516" si="694">SUM(E515/D515)-1</f>
        <v>-8.3624089039406879E-3</v>
      </c>
      <c r="F516" s="594">
        <f t="shared" ref="F516:H516" si="695">SUM(F515/E515)-1</f>
        <v>-1.4490732405410212E-2</v>
      </c>
      <c r="G516" s="594">
        <f t="shared" si="695"/>
        <v>-1.4288453688845126E-2</v>
      </c>
      <c r="H516" s="594">
        <f t="shared" si="695"/>
        <v>-1.4086107401382386E-2</v>
      </c>
      <c r="I516" s="572"/>
      <c r="J516" s="573"/>
    </row>
    <row r="517" spans="2:11">
      <c r="B517" s="574" t="s">
        <v>706</v>
      </c>
      <c r="C517" s="590">
        <f t="shared" ref="C517:H517" si="696">AVERAGE(C$504,C$508,C$506,C$510)</f>
        <v>52340.691742555005</v>
      </c>
      <c r="D517" s="590">
        <f t="shared" si="696"/>
        <v>52598.726329682759</v>
      </c>
      <c r="E517" s="590">
        <f t="shared" si="696"/>
        <v>53527.331032499773</v>
      </c>
      <c r="F517" s="590">
        <f t="shared" si="696"/>
        <v>53477.861552237489</v>
      </c>
      <c r="G517" s="590">
        <f t="shared" si="696"/>
        <v>54001.767442232245</v>
      </c>
      <c r="H517" s="590">
        <f t="shared" si="696"/>
        <v>54725.596064198326</v>
      </c>
      <c r="I517" s="572"/>
      <c r="J517" s="573">
        <f t="shared" ref="J517" si="697">((H517/C517)^(1/COUNT(C517:H517))-1)</f>
        <v>7.4538798829517638E-3</v>
      </c>
    </row>
    <row r="518" spans="2:11">
      <c r="B518" s="569" t="s">
        <v>34</v>
      </c>
      <c r="C518" s="570">
        <f>SUM(C517/'[2]Revenue Projections &amp; Cases'!$H$28)-1</f>
        <v>2.931547182999017E-2</v>
      </c>
      <c r="D518" s="594">
        <f>SUM(D517/C517)-1</f>
        <v>4.9299040294867869E-3</v>
      </c>
      <c r="E518" s="594">
        <f t="shared" ref="E518" si="698">SUM(E517/D517)-1</f>
        <v>1.7654509293564047E-2</v>
      </c>
      <c r="F518" s="594">
        <f t="shared" ref="F518:H518" si="699">SUM(F517/E517)-1</f>
        <v>-9.2419104984420297E-4</v>
      </c>
      <c r="G518" s="594">
        <f t="shared" si="699"/>
        <v>9.7966873541306398E-3</v>
      </c>
      <c r="H518" s="594">
        <f t="shared" si="699"/>
        <v>1.3403795028382959E-2</v>
      </c>
      <c r="I518" s="572"/>
      <c r="J518" s="573"/>
    </row>
    <row r="519" spans="2:11">
      <c r="B519" s="576" t="s">
        <v>334</v>
      </c>
      <c r="C519" s="598">
        <f>MIN(C$504,C$508,C$506,C$510)</f>
        <v>43200</v>
      </c>
      <c r="D519" s="598">
        <f t="shared" ref="D519:H519" si="700">MIN(D$504,D$508,D$506,D$510)</f>
        <v>43200</v>
      </c>
      <c r="E519" s="598">
        <f t="shared" si="700"/>
        <v>45700</v>
      </c>
      <c r="F519" s="598">
        <f t="shared" si="700"/>
        <v>44100</v>
      </c>
      <c r="G519" s="598">
        <f t="shared" si="700"/>
        <v>44600</v>
      </c>
      <c r="H519" s="598">
        <f t="shared" si="700"/>
        <v>45700</v>
      </c>
      <c r="I519" s="572"/>
      <c r="J519" s="573">
        <f t="shared" ref="J519" si="701">((H519/C519)^(1/COUNT(C519:H519))-1)</f>
        <v>9.4203956555751756E-3</v>
      </c>
    </row>
    <row r="520" spans="2:11">
      <c r="B520" s="578" t="s">
        <v>34</v>
      </c>
      <c r="C520" s="579">
        <f>SUM(C519/'[2]Revenue Projections &amp; Cases'!$H$28)-1</f>
        <v>-0.15044247787610621</v>
      </c>
      <c r="D520" s="595">
        <f>SUM(D519/C519)-1</f>
        <v>0</v>
      </c>
      <c r="E520" s="595">
        <f t="shared" ref="E520" si="702">SUM(E519/D519)-1</f>
        <v>5.7870370370370461E-2</v>
      </c>
      <c r="F520" s="595">
        <f t="shared" ref="F520:H520" si="703">SUM(F519/E519)-1</f>
        <v>-3.5010940919037226E-2</v>
      </c>
      <c r="G520" s="595">
        <f t="shared" si="703"/>
        <v>1.133786848072571E-2</v>
      </c>
      <c r="H520" s="595">
        <f t="shared" si="703"/>
        <v>2.4663677130044803E-2</v>
      </c>
      <c r="I520" s="581"/>
      <c r="J520" s="582"/>
    </row>
    <row r="522" spans="2:11">
      <c r="B522" s="149" t="s">
        <v>740</v>
      </c>
      <c r="C522" s="149"/>
      <c r="D522" s="149"/>
      <c r="E522" s="149"/>
      <c r="F522" s="149"/>
      <c r="G522" s="149"/>
      <c r="H522" s="149"/>
      <c r="I522" s="149"/>
      <c r="J522" s="149"/>
    </row>
    <row r="523" spans="2:11" ht="5.0999999999999996" customHeight="1"/>
    <row r="524" spans="2:11">
      <c r="B524" s="149" t="s">
        <v>742</v>
      </c>
      <c r="C524" s="147" t="s">
        <v>370</v>
      </c>
      <c r="D524" s="147"/>
      <c r="E524" s="147"/>
      <c r="F524" s="147"/>
      <c r="G524" s="147"/>
      <c r="H524" s="147"/>
      <c r="I524" s="148"/>
      <c r="J524" s="2" t="s">
        <v>369</v>
      </c>
    </row>
    <row r="525" spans="2:11">
      <c r="B525" s="150" t="s">
        <v>342</v>
      </c>
      <c r="C525" s="154" t="str">
        <f t="shared" ref="C525:H525" si="704">C$9</f>
        <v>2026E</v>
      </c>
      <c r="D525" s="154" t="str">
        <f t="shared" si="704"/>
        <v>2027E</v>
      </c>
      <c r="E525" s="154" t="str">
        <f t="shared" si="704"/>
        <v>2028E</v>
      </c>
      <c r="F525" s="154" t="str">
        <f t="shared" si="704"/>
        <v>2029E</v>
      </c>
      <c r="G525" s="154" t="str">
        <f t="shared" si="704"/>
        <v>2030E</v>
      </c>
      <c r="H525" s="154" t="str">
        <f t="shared" si="704"/>
        <v>2031E</v>
      </c>
      <c r="I525" s="148"/>
      <c r="J525" s="315" t="str">
        <f>$J$9</f>
        <v>6-Year(F)</v>
      </c>
    </row>
    <row r="526" spans="2:11">
      <c r="B526" s="150" t="s">
        <v>718</v>
      </c>
      <c r="C526" s="148">
        <f t="shared" ref="C526:H526" si="705">C$10</f>
        <v>46295</v>
      </c>
      <c r="D526" s="148">
        <f t="shared" si="705"/>
        <v>46660</v>
      </c>
      <c r="E526" s="148">
        <f t="shared" si="705"/>
        <v>47026</v>
      </c>
      <c r="F526" s="148">
        <f t="shared" si="705"/>
        <v>47391</v>
      </c>
      <c r="G526" s="148">
        <f t="shared" si="705"/>
        <v>47756</v>
      </c>
      <c r="H526" s="148">
        <f t="shared" si="705"/>
        <v>48121</v>
      </c>
      <c r="I526" s="148"/>
      <c r="J526" s="3">
        <f>$H$44</f>
        <v>48121</v>
      </c>
    </row>
    <row r="527" spans="2:11" ht="5.0999999999999996" customHeight="1">
      <c r="B527" s="473"/>
    </row>
    <row r="528" spans="2:11">
      <c r="B528" s="432" t="s">
        <v>719</v>
      </c>
      <c r="C528" s="156">
        <v>558.68918139516688</v>
      </c>
      <c r="D528" s="156">
        <v>568.64818207538588</v>
      </c>
      <c r="E528" s="156">
        <v>579.33800075092904</v>
      </c>
      <c r="F528" s="153">
        <f t="shared" ref="F528" si="706">SUM(E528*F529)+E528</f>
        <v>590.22877359623487</v>
      </c>
      <c r="G528" s="153">
        <f t="shared" ref="G528" si="707">SUM(F528*G529)+F528</f>
        <v>601.32427827859317</v>
      </c>
      <c r="H528" s="153">
        <f t="shared" ref="H528" si="708">SUM(G528*H529)+G528</f>
        <v>612.6283634803425</v>
      </c>
      <c r="J528" s="558">
        <f t="shared" ref="J528" si="709">((H528/C528)^(1/COUNT(C528:H528))-1)</f>
        <v>1.5479451374541098E-2</v>
      </c>
      <c r="K528" s="432" t="s">
        <v>720</v>
      </c>
    </row>
    <row r="529" spans="2:11">
      <c r="B529" s="559" t="s">
        <v>34</v>
      </c>
      <c r="C529" s="584">
        <f>SUM(C528/'[2]Revenue Projections &amp; Cases'!$H$36)-1</f>
        <v>1.3954957160012382E-2</v>
      </c>
      <c r="D529" s="596">
        <f t="shared" ref="D529" si="710">SUM(D528/C528)-1</f>
        <v>1.7825655143973274E-2</v>
      </c>
      <c r="E529" s="596">
        <f t="shared" ref="E529" si="711">SUM(E528/D528)-1</f>
        <v>1.8798650927764671E-2</v>
      </c>
      <c r="F529" s="596">
        <f>E529</f>
        <v>1.8798650927764671E-2</v>
      </c>
      <c r="G529" s="596">
        <f t="shared" ref="G529:H529" si="712">F529</f>
        <v>1.8798650927764671E-2</v>
      </c>
      <c r="H529" s="596">
        <f t="shared" si="712"/>
        <v>1.8798650927764671E-2</v>
      </c>
      <c r="J529" s="562"/>
    </row>
    <row r="530" spans="2:11">
      <c r="B530" s="432" t="s">
        <v>727</v>
      </c>
      <c r="C530" s="156">
        <v>482</v>
      </c>
      <c r="D530" s="156">
        <v>485</v>
      </c>
      <c r="E530" s="153">
        <f>SUM(D530*E531)+D530</f>
        <v>488.01867219917011</v>
      </c>
      <c r="F530" s="153">
        <f t="shared" ref="F530" si="713">SUM(E530*F531)+E530</f>
        <v>491.05613281451764</v>
      </c>
      <c r="G530" s="153">
        <f t="shared" ref="G530" si="714">SUM(F530*G531)+F530</f>
        <v>494.11249878639222</v>
      </c>
      <c r="H530" s="153">
        <f t="shared" ref="H530" si="715">SUM(G530*H531)+G530</f>
        <v>497.18788778298801</v>
      </c>
      <c r="J530" s="563">
        <f t="shared" ref="J530" si="716">((H530/C530)^(1/COUNT(C530:H530))-1)</f>
        <v>5.1840382729022583E-3</v>
      </c>
      <c r="K530" s="432" t="s">
        <v>720</v>
      </c>
    </row>
    <row r="531" spans="2:11">
      <c r="B531" s="559" t="s">
        <v>34</v>
      </c>
      <c r="C531" s="584">
        <f>SUM(C530/'[2]Revenue Projections &amp; Cases'!$H$36)-1</f>
        <v>-0.12522686025408347</v>
      </c>
      <c r="D531" s="596">
        <f>SUM(D530/C530)-1</f>
        <v>6.2240663900414717E-3</v>
      </c>
      <c r="E531" s="596">
        <f>D531</f>
        <v>6.2240663900414717E-3</v>
      </c>
      <c r="F531" s="596">
        <f t="shared" ref="F531:H531" si="717">E531</f>
        <v>6.2240663900414717E-3</v>
      </c>
      <c r="G531" s="596">
        <f t="shared" si="717"/>
        <v>6.2240663900414717E-3</v>
      </c>
      <c r="H531" s="596">
        <f t="shared" si="717"/>
        <v>6.2240663900414717E-3</v>
      </c>
      <c r="J531" s="562"/>
    </row>
    <row r="532" spans="2:11">
      <c r="B532" s="432" t="s">
        <v>743</v>
      </c>
      <c r="C532" s="156">
        <v>560</v>
      </c>
      <c r="D532" s="156">
        <v>554</v>
      </c>
      <c r="E532" s="156">
        <v>552</v>
      </c>
      <c r="F532" s="153">
        <f t="shared" ref="F532" si="718">SUM(E532*F533)+E532</f>
        <v>550.00722021660647</v>
      </c>
      <c r="G532" s="153">
        <f t="shared" ref="G532" si="719">SUM(F532*G533)+F532</f>
        <v>548.02163458405551</v>
      </c>
      <c r="H532" s="153">
        <f t="shared" ref="H532" si="720">SUM(G532*H533)+G532</f>
        <v>546.04321713068339</v>
      </c>
      <c r="J532" s="563">
        <f t="shared" ref="J532" si="721">((H532/C532)^(1/COUNT(C532:H532))-1)</f>
        <v>-4.1976084536982095E-3</v>
      </c>
      <c r="K532" s="432" t="s">
        <v>720</v>
      </c>
    </row>
    <row r="533" spans="2:11">
      <c r="B533" s="559" t="s">
        <v>34</v>
      </c>
      <c r="C533" s="584">
        <f>SUM(C532/'[2]Revenue Projections &amp; Cases'!$H$36)-1</f>
        <v>1.6333938294010864E-2</v>
      </c>
      <c r="D533" s="596">
        <f>SUM(D532/C532)-1</f>
        <v>-1.0714285714285676E-2</v>
      </c>
      <c r="E533" s="596">
        <f t="shared" ref="E533" si="722">SUM(E532/D532)-1</f>
        <v>-3.6101083032491488E-3</v>
      </c>
      <c r="F533" s="596">
        <f t="shared" ref="F533:H533" si="723">E533</f>
        <v>-3.6101083032491488E-3</v>
      </c>
      <c r="G533" s="596">
        <f t="shared" si="723"/>
        <v>-3.6101083032491488E-3</v>
      </c>
      <c r="H533" s="596">
        <f t="shared" si="723"/>
        <v>-3.6101083032491488E-3</v>
      </c>
      <c r="J533" s="562"/>
    </row>
    <row r="534" spans="2:11">
      <c r="B534" s="432" t="s">
        <v>702</v>
      </c>
      <c r="C534" s="156">
        <v>583.6</v>
      </c>
      <c r="D534" s="156">
        <v>662.5</v>
      </c>
      <c r="E534" s="156">
        <v>722.8</v>
      </c>
      <c r="F534" s="156">
        <v>725.6</v>
      </c>
      <c r="G534" s="156">
        <v>701.5</v>
      </c>
      <c r="H534" s="156">
        <v>688.7</v>
      </c>
      <c r="J534" s="563">
        <f t="shared" ref="J534" si="724">((H534/C534)^(1/COUNT(C534:H534))-1)</f>
        <v>2.7982685833792376E-2</v>
      </c>
      <c r="K534" s="432" t="s">
        <v>720</v>
      </c>
    </row>
    <row r="535" spans="2:11">
      <c r="B535" s="559" t="s">
        <v>34</v>
      </c>
      <c r="C535" s="584">
        <f>SUM(C534/'[2]Revenue Projections &amp; Cases'!$H$36)-1</f>
        <v>5.9165154264972708E-2</v>
      </c>
      <c r="D535" s="596">
        <f>SUM(D534/C534)-1</f>
        <v>0.13519533927347505</v>
      </c>
      <c r="E535" s="596">
        <f t="shared" ref="E535" si="725">SUM(E534/D534)-1</f>
        <v>9.1018867924528291E-2</v>
      </c>
      <c r="F535" s="596">
        <f t="shared" ref="F535:H535" si="726">SUM(F534/E534)-1</f>
        <v>3.8738240177089711E-3</v>
      </c>
      <c r="G535" s="596">
        <f t="shared" si="726"/>
        <v>-3.3213891951488494E-2</v>
      </c>
      <c r="H535" s="596">
        <f t="shared" si="726"/>
        <v>-1.824661439771913E-2</v>
      </c>
      <c r="J535" s="564"/>
    </row>
    <row r="536" spans="2:11" ht="5.0999999999999996" customHeight="1">
      <c r="B536" s="597"/>
      <c r="C536" s="597"/>
      <c r="D536" s="597"/>
      <c r="E536" s="597"/>
      <c r="F536" s="597"/>
      <c r="G536" s="597"/>
      <c r="H536" s="597"/>
      <c r="I536" s="597"/>
      <c r="J536" s="597"/>
    </row>
    <row r="537" spans="2:11">
      <c r="B537" s="565" t="s">
        <v>336</v>
      </c>
      <c r="C537" s="599">
        <f>MAX(C528,C532,C530,C534)</f>
        <v>583.6</v>
      </c>
      <c r="D537" s="599">
        <f t="shared" ref="D537:H537" si="727">MAX(D$528,D$532,D$530,D$534)</f>
        <v>662.5</v>
      </c>
      <c r="E537" s="599">
        <f t="shared" si="727"/>
        <v>722.8</v>
      </c>
      <c r="F537" s="599">
        <f t="shared" si="727"/>
        <v>725.6</v>
      </c>
      <c r="G537" s="599">
        <f t="shared" si="727"/>
        <v>701.5</v>
      </c>
      <c r="H537" s="599">
        <f t="shared" si="727"/>
        <v>688.7</v>
      </c>
      <c r="I537" s="567"/>
      <c r="J537" s="568">
        <f t="shared" ref="J537" si="728">((H537/C537)^(1/COUNT(C537:H537))-1)</f>
        <v>2.7982685833792376E-2</v>
      </c>
    </row>
    <row r="538" spans="2:11">
      <c r="B538" s="569" t="s">
        <v>34</v>
      </c>
      <c r="C538" s="570">
        <f>SUM(C537/'[2]Revenue Projections &amp; Cases'!$H$36)-1</f>
        <v>5.9165154264972708E-2</v>
      </c>
      <c r="D538" s="594">
        <f>SUM(D537/C537)-1</f>
        <v>0.13519533927347505</v>
      </c>
      <c r="E538" s="594">
        <f t="shared" ref="E538" si="729">SUM(E537/D537)-1</f>
        <v>9.1018867924528291E-2</v>
      </c>
      <c r="F538" s="594">
        <f t="shared" ref="F538:H538" si="730">SUM(F537/E537)-1</f>
        <v>3.8738240177089711E-3</v>
      </c>
      <c r="G538" s="594">
        <f t="shared" si="730"/>
        <v>-3.3213891951488494E-2</v>
      </c>
      <c r="H538" s="594">
        <f t="shared" si="730"/>
        <v>-1.824661439771913E-2</v>
      </c>
      <c r="I538" s="572"/>
      <c r="J538" s="573"/>
    </row>
    <row r="539" spans="2:11">
      <c r="B539" s="574" t="s">
        <v>707</v>
      </c>
      <c r="C539" s="600">
        <f t="shared" ref="C539:H539" si="731">MEDIAN(C$528,C$532,C$530,C$534)</f>
        <v>559.3445906975835</v>
      </c>
      <c r="D539" s="600">
        <f t="shared" si="731"/>
        <v>561.32409103769294</v>
      </c>
      <c r="E539" s="600">
        <f t="shared" si="731"/>
        <v>565.66900037546452</v>
      </c>
      <c r="F539" s="600">
        <f t="shared" si="731"/>
        <v>570.11799690642067</v>
      </c>
      <c r="G539" s="600">
        <f t="shared" si="731"/>
        <v>574.67295643132434</v>
      </c>
      <c r="H539" s="600">
        <f t="shared" si="731"/>
        <v>579.335790305513</v>
      </c>
      <c r="I539" s="572"/>
      <c r="J539" s="573">
        <f t="shared" ref="J539" si="732">((H539/C539)^(1/COUNT(C539:H539))-1)</f>
        <v>5.8699164420203953E-3</v>
      </c>
    </row>
    <row r="540" spans="2:11">
      <c r="B540" s="569" t="s">
        <v>34</v>
      </c>
      <c r="C540" s="570">
        <f>SUM(C539/'[2]Revenue Projections &amp; Cases'!$H$36)-1</f>
        <v>1.5144447727011734E-2</v>
      </c>
      <c r="D540" s="594">
        <f>SUM(D539/C539)-1</f>
        <v>3.5389639464300515E-3</v>
      </c>
      <c r="E540" s="594">
        <f t="shared" ref="E540" si="733">SUM(E539/D539)-1</f>
        <v>7.7404647460246334E-3</v>
      </c>
      <c r="F540" s="594">
        <f t="shared" ref="F540:H540" si="734">SUM(F539/E539)-1</f>
        <v>7.865017400640939E-3</v>
      </c>
      <c r="G540" s="594">
        <f t="shared" si="734"/>
        <v>7.9895031372800851E-3</v>
      </c>
      <c r="H540" s="594">
        <f t="shared" si="734"/>
        <v>8.1138912524167939E-3</v>
      </c>
      <c r="I540" s="572"/>
      <c r="J540" s="573"/>
    </row>
    <row r="541" spans="2:11">
      <c r="B541" s="574" t="s">
        <v>706</v>
      </c>
      <c r="C541" s="600">
        <f t="shared" ref="C541:H541" si="735">AVERAGE(C$528,C$532,C$530,C$534)</f>
        <v>546.07229534879173</v>
      </c>
      <c r="D541" s="600">
        <f t="shared" si="735"/>
        <v>567.53704551884653</v>
      </c>
      <c r="E541" s="600">
        <f t="shared" si="735"/>
        <v>585.53916823752479</v>
      </c>
      <c r="F541" s="600">
        <f t="shared" si="735"/>
        <v>589.22303165683979</v>
      </c>
      <c r="G541" s="600">
        <f t="shared" si="735"/>
        <v>586.23960291226024</v>
      </c>
      <c r="H541" s="600">
        <f t="shared" si="735"/>
        <v>586.1398670985036</v>
      </c>
      <c r="I541" s="572"/>
      <c r="J541" s="573">
        <f t="shared" ref="J541" si="736">((H541/C541)^(1/COUNT(C541:H541))-1)</f>
        <v>1.187108631299294E-2</v>
      </c>
    </row>
    <row r="542" spans="2:11">
      <c r="B542" s="569" t="s">
        <v>34</v>
      </c>
      <c r="C542" s="570">
        <f>SUM(C541/'[2]Revenue Projections &amp; Cases'!$H$36)-1</f>
        <v>-8.9432026337717963E-3</v>
      </c>
      <c r="D542" s="594">
        <f>SUM(D541/C541)-1</f>
        <v>3.9307524576658315E-2</v>
      </c>
      <c r="E542" s="594">
        <f t="shared" ref="E542" si="737">SUM(E541/D541)-1</f>
        <v>3.1719731532627193E-2</v>
      </c>
      <c r="F542" s="594">
        <f t="shared" ref="F542:H542" si="738">SUM(F541/E541)-1</f>
        <v>6.2914039216257489E-3</v>
      </c>
      <c r="G542" s="594">
        <f t="shared" si="738"/>
        <v>-5.0633267613291455E-3</v>
      </c>
      <c r="H542" s="594">
        <f t="shared" si="738"/>
        <v>-1.7012807265348595E-4</v>
      </c>
      <c r="I542" s="572"/>
      <c r="J542" s="573"/>
    </row>
    <row r="543" spans="2:11">
      <c r="B543" s="576" t="s">
        <v>334</v>
      </c>
      <c r="C543" s="601">
        <f>MIN(C$528,C$532,C$530,C$534)</f>
        <v>482</v>
      </c>
      <c r="D543" s="601">
        <f t="shared" ref="D543:H543" si="739">MIN(D$528,D$532,D$530,D$534)</f>
        <v>485</v>
      </c>
      <c r="E543" s="601">
        <f t="shared" si="739"/>
        <v>488.01867219917011</v>
      </c>
      <c r="F543" s="601">
        <f t="shared" si="739"/>
        <v>491.05613281451764</v>
      </c>
      <c r="G543" s="601">
        <f t="shared" si="739"/>
        <v>494.11249878639222</v>
      </c>
      <c r="H543" s="601">
        <f t="shared" si="739"/>
        <v>497.18788778298801</v>
      </c>
      <c r="I543" s="572"/>
      <c r="J543" s="573">
        <f t="shared" ref="J543" si="740">((H543/C543)^(1/COUNT(C543:H543))-1)</f>
        <v>5.1840382729022583E-3</v>
      </c>
    </row>
    <row r="544" spans="2:11">
      <c r="B544" s="578" t="s">
        <v>34</v>
      </c>
      <c r="C544" s="579">
        <f>SUM(C543/'[2]Revenue Projections &amp; Cases'!$H$36)-1</f>
        <v>-0.12522686025408347</v>
      </c>
      <c r="D544" s="595">
        <f>SUM(D543/C543)-1</f>
        <v>6.2240663900414717E-3</v>
      </c>
      <c r="E544" s="595">
        <f t="shared" ref="E544" si="741">SUM(E543/D543)-1</f>
        <v>6.2240663900414717E-3</v>
      </c>
      <c r="F544" s="595">
        <f t="shared" ref="F544:H544" si="742">SUM(F543/E543)-1</f>
        <v>6.2240663900414717E-3</v>
      </c>
      <c r="G544" s="595">
        <f t="shared" si="742"/>
        <v>6.2240663900414717E-3</v>
      </c>
      <c r="H544" s="595">
        <f t="shared" si="742"/>
        <v>6.2240663900414717E-3</v>
      </c>
      <c r="I544" s="581"/>
      <c r="J544" s="58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8D99-51A3-4901-9A8C-31F53DAF20B7}">
  <dimension ref="B2:O22"/>
  <sheetViews>
    <sheetView showGridLines="0" workbookViewId="0">
      <selection activeCell="M38" sqref="M38"/>
    </sheetView>
  </sheetViews>
  <sheetFormatPr defaultRowHeight="12.75" customHeight="1"/>
  <cols>
    <col min="1" max="1" width="9" style="8"/>
    <col min="2" max="2" width="29" style="8" bestFit="1" customWidth="1"/>
    <col min="3" max="3" width="5.875" style="8" bestFit="1" customWidth="1"/>
    <col min="4" max="4" width="6.25" style="8" bestFit="1" customWidth="1"/>
    <col min="5" max="5" width="4" style="8" bestFit="1" customWidth="1"/>
    <col min="6" max="6" width="9" style="8" bestFit="1"/>
    <col min="7" max="7" width="8.5" style="8" bestFit="1" customWidth="1"/>
    <col min="8" max="8" width="11.5" style="8" bestFit="1" customWidth="1"/>
    <col min="9" max="9" width="5" style="8" bestFit="1" customWidth="1"/>
    <col min="10" max="10" width="11.375" style="8" bestFit="1" customWidth="1"/>
    <col min="11" max="11" width="10.375" style="8" bestFit="1" customWidth="1"/>
    <col min="12" max="13" width="13" style="8" bestFit="1" customWidth="1"/>
    <col min="14" max="14" width="9" style="8"/>
    <col min="15" max="15" width="10.25" style="8" bestFit="1" customWidth="1"/>
    <col min="16" max="16384" width="9" style="8"/>
  </cols>
  <sheetData>
    <row r="2" spans="2:15" ht="12">
      <c r="B2" s="149" t="s">
        <v>365</v>
      </c>
      <c r="C2" s="154"/>
      <c r="D2" s="154"/>
      <c r="E2" s="154"/>
      <c r="F2" s="154"/>
      <c r="G2" s="154"/>
      <c r="H2" s="154"/>
      <c r="I2" s="154"/>
      <c r="J2" s="154"/>
      <c r="K2" s="154"/>
      <c r="L2" s="154"/>
      <c r="M2" s="154"/>
    </row>
    <row r="3" spans="2:15" ht="12">
      <c r="B3" s="150" t="s">
        <v>744</v>
      </c>
      <c r="C3" s="154"/>
      <c r="D3" s="154"/>
      <c r="E3" s="154"/>
      <c r="F3" s="154"/>
      <c r="G3" s="154"/>
      <c r="H3" s="154"/>
      <c r="I3" s="154"/>
      <c r="J3" s="154"/>
      <c r="K3" s="154"/>
      <c r="L3" s="154"/>
      <c r="M3" s="154"/>
    </row>
    <row r="4" spans="2:15" ht="12.75" customHeight="1">
      <c r="B4" s="529" t="s">
        <v>745</v>
      </c>
      <c r="C4" s="602"/>
      <c r="D4" s="602"/>
      <c r="E4" s="602"/>
      <c r="F4" s="529" t="s">
        <v>746</v>
      </c>
      <c r="G4" s="529"/>
      <c r="H4" s="529"/>
      <c r="I4" s="529"/>
      <c r="J4" s="529" t="s">
        <v>747</v>
      </c>
      <c r="K4" s="529"/>
      <c r="L4" s="529"/>
      <c r="M4" s="529"/>
    </row>
    <row r="5" spans="2:15" ht="18.75">
      <c r="B5" s="603" t="s">
        <v>748</v>
      </c>
      <c r="C5" s="603" t="s">
        <v>398</v>
      </c>
      <c r="D5" s="603" t="s">
        <v>749</v>
      </c>
      <c r="E5" s="603" t="s">
        <v>635</v>
      </c>
      <c r="F5" s="603" t="s">
        <v>750</v>
      </c>
      <c r="G5" s="603" t="s">
        <v>751</v>
      </c>
      <c r="H5" s="603" t="s">
        <v>752</v>
      </c>
      <c r="I5" s="603" t="s">
        <v>753</v>
      </c>
      <c r="J5" s="603" t="s">
        <v>754</v>
      </c>
      <c r="K5" s="603" t="s">
        <v>755</v>
      </c>
      <c r="L5" s="603" t="s">
        <v>756</v>
      </c>
      <c r="M5" s="603" t="s">
        <v>757</v>
      </c>
    </row>
    <row r="6" spans="2:15" ht="12">
      <c r="B6" s="604"/>
      <c r="C6" s="604"/>
      <c r="D6" s="604"/>
      <c r="E6" s="604"/>
      <c r="F6" s="604"/>
      <c r="G6" s="604"/>
      <c r="H6" s="604"/>
      <c r="I6" s="604"/>
      <c r="J6" s="604"/>
      <c r="K6" s="604"/>
      <c r="L6" s="604"/>
      <c r="M6" s="604"/>
    </row>
    <row r="7" spans="2:15" ht="12">
      <c r="B7" s="532"/>
      <c r="C7" s="532"/>
      <c r="D7" s="532"/>
      <c r="E7" s="532"/>
      <c r="F7" s="532"/>
      <c r="G7" s="532"/>
      <c r="H7" s="532"/>
      <c r="I7" s="532"/>
      <c r="J7" s="532"/>
      <c r="K7" s="532"/>
      <c r="L7" s="532"/>
      <c r="M7" s="532"/>
    </row>
    <row r="8" spans="2:15" ht="12">
      <c r="B8" s="605" t="e" vm="1">
        <v>#VALUE!</v>
      </c>
      <c r="C8" s="606" t="str" cm="1">
        <f t="array" aca="1" ref="C8" ca="1">_FV(B8,"Ticker symbol",TRUE)</f>
        <v>AAPL</v>
      </c>
      <c r="D8" s="607" cm="1">
        <f t="array" aca="1" ref="D8" ca="1">_FV(B8,"Price")</f>
        <v>259.37</v>
      </c>
      <c r="E8" s="608" cm="1">
        <f t="array" aca="1" ref="E8" ca="1">_FV(B8,"Beta")</f>
        <v>1.0942000000000001</v>
      </c>
      <c r="F8" s="609" cm="1">
        <f t="array" aca="1" ref="F8" ca="1">(_FV(B8,"Market cap",TRUE))/1000000</f>
        <v>3832541.8994999998</v>
      </c>
      <c r="G8" s="610">
        <f>[2]DCF!C35</f>
        <v>-33763</v>
      </c>
      <c r="H8" s="611">
        <f ca="1">+F8+G8</f>
        <v>3798778.8994999998</v>
      </c>
      <c r="I8" s="612" cm="1">
        <f t="array" aca="1" ref="I8" ca="1">_FV(B8,"P/E",TRUE)</f>
        <v>34.924500000000002</v>
      </c>
      <c r="J8" s="610">
        <f>[2]DCF!C57</f>
        <v>416161</v>
      </c>
      <c r="K8" s="610">
        <f>[2]DCF!C60</f>
        <v>144748</v>
      </c>
      <c r="L8" s="612">
        <f ca="1">$H8/J8</f>
        <v>9.1281472783369892</v>
      </c>
      <c r="M8" s="612">
        <f t="shared" ref="M8:M10" ca="1" si="0">$H8/K8</f>
        <v>26.244085579766214</v>
      </c>
      <c r="O8" s="613"/>
    </row>
    <row r="9" spans="2:15" ht="12">
      <c r="B9" s="473"/>
      <c r="C9" s="614"/>
      <c r="D9" s="615"/>
      <c r="E9" s="616"/>
      <c r="F9" s="617"/>
      <c r="G9" s="617"/>
      <c r="H9" s="618"/>
      <c r="I9" s="619"/>
      <c r="J9" s="618"/>
      <c r="K9" s="618"/>
      <c r="L9" s="619"/>
      <c r="M9" s="619"/>
    </row>
    <row r="10" spans="2:15" ht="12">
      <c r="B10" s="432" t="e" vm="2">
        <v>#VALUE!</v>
      </c>
      <c r="C10" s="533" t="str" cm="1">
        <f t="array" aca="1" ref="C10" ca="1">_FV(B10,"Ticker symbol",TRUE)</f>
        <v>MSFT</v>
      </c>
      <c r="D10" s="535" cm="1">
        <f t="array" aca="1" ref="D10" ca="1">_FV(B10,"Price")</f>
        <v>479.28</v>
      </c>
      <c r="E10" s="620" cm="1">
        <f t="array" aca="1" ref="E10" ca="1">_FV(B10,"Beta")</f>
        <v>1.0837000000000001</v>
      </c>
      <c r="F10" s="621" cm="1">
        <f t="array" aca="1" ref="F10" ca="1">(_FV(B10,"Market cap",TRUE))/1000000</f>
        <v>3562189.6485600001</v>
      </c>
      <c r="G10" s="622">
        <v>18363</v>
      </c>
      <c r="H10" s="621">
        <f t="shared" ref="H10:H11" ca="1" si="1">+F10+G10</f>
        <v>3580552.6485600001</v>
      </c>
      <c r="I10" s="543" cm="1">
        <f t="array" aca="1" ref="I10" ca="1">_FV(B10,"P/E",TRUE)</f>
        <v>34.099299999999999</v>
      </c>
      <c r="J10" s="622">
        <v>293812</v>
      </c>
      <c r="K10" s="622">
        <v>166437</v>
      </c>
      <c r="L10" s="543">
        <f t="shared" ref="L10:M14" ca="1" si="2">$H10/J10</f>
        <v>12.186543260860686</v>
      </c>
      <c r="M10" s="543">
        <f t="shared" ca="1" si="2"/>
        <v>21.512960751275259</v>
      </c>
    </row>
    <row r="11" spans="2:15" ht="12">
      <c r="B11" s="432" t="e" vm="3">
        <v>#VALUE!</v>
      </c>
      <c r="C11" s="533" t="str" cm="1">
        <f t="array" aca="1" ref="C11" ca="1">_FV(B11,"Ticker symbol",TRUE)</f>
        <v>AMZN</v>
      </c>
      <c r="D11" s="535" cm="1">
        <f t="array" aca="1" ref="D11" ca="1">_FV(B11,"Price")</f>
        <v>247.38</v>
      </c>
      <c r="E11" s="620" cm="1">
        <f t="array" aca="1" ref="E11" ca="1">_FV(B11,"Beta")</f>
        <v>1.3764000000000001</v>
      </c>
      <c r="F11" s="621" cm="1">
        <f t="array" aca="1" ref="F11" ca="1">(_FV(B11,"Market cap",TRUE))/1000000</f>
        <v>2632893</v>
      </c>
      <c r="G11" s="622">
        <v>66241</v>
      </c>
      <c r="H11" s="621">
        <f t="shared" ca="1" si="1"/>
        <v>2699134</v>
      </c>
      <c r="I11" s="543" cm="1">
        <f t="array" aca="1" ref="I11" ca="1">_FV(B11,"P/E",TRUE)</f>
        <v>34.945599999999999</v>
      </c>
      <c r="J11" s="622">
        <v>691330</v>
      </c>
      <c r="K11" s="622">
        <v>137197</v>
      </c>
      <c r="L11" s="543">
        <f t="shared" ca="1" si="2"/>
        <v>3.9042627977955533</v>
      </c>
      <c r="M11" s="543">
        <f t="shared" ca="1" si="2"/>
        <v>19.673418514982107</v>
      </c>
    </row>
    <row r="12" spans="2:15" ht="12">
      <c r="B12" s="432" t="e" vm="4">
        <v>#VALUE!</v>
      </c>
      <c r="C12" s="533" t="str" cm="1">
        <f t="array" aca="1" ref="C12" ca="1">_FV(B12,"Ticker symbol",TRUE)</f>
        <v>GOOG</v>
      </c>
      <c r="D12" s="535" cm="1">
        <f t="array" aca="1" ref="D12" ca="1">_FV(B12,"Price")</f>
        <v>329.14</v>
      </c>
      <c r="E12" s="620" cm="1">
        <f t="array" aca="1" ref="E12" ca="1">_FV(B12,"Beta")</f>
        <v>1.0946</v>
      </c>
      <c r="F12" s="621" cm="1">
        <f t="array" aca="1" ref="F12" ca="1">(_FV(B12,"Market cap",TRUE))/1000000</f>
        <v>3930167</v>
      </c>
      <c r="G12" s="622">
        <v>-54301</v>
      </c>
      <c r="H12" s="621">
        <f ca="1">+F12+G12</f>
        <v>3875866</v>
      </c>
      <c r="I12" s="543" cm="1">
        <f t="array" aca="1" ref="I12" ca="1">_FV(B12,"P/E",TRUE)</f>
        <v>32.501899999999999</v>
      </c>
      <c r="J12" s="622">
        <v>385476</v>
      </c>
      <c r="K12" s="622">
        <v>145174</v>
      </c>
      <c r="L12" s="543">
        <f t="shared" ca="1" si="2"/>
        <v>10.054753084498127</v>
      </c>
      <c r="M12" s="543">
        <f t="shared" ca="1" si="2"/>
        <v>26.69807265763842</v>
      </c>
    </row>
    <row r="13" spans="2:15" ht="12">
      <c r="B13" s="432" t="e" vm="5">
        <v>#VALUE!</v>
      </c>
      <c r="C13" s="533" t="str" cm="1">
        <f t="array" aca="1" ref="C13" ca="1">_FV(B13,"Ticker symbol",TRUE)</f>
        <v>NVDA</v>
      </c>
      <c r="D13" s="535" cm="1">
        <f t="array" aca="1" ref="D13" ca="1">_FV(B13,"Price")</f>
        <v>184.86</v>
      </c>
      <c r="E13" s="620" cm="1">
        <f t="array" aca="1" ref="E13" ca="1">_FV(B13,"Beta")</f>
        <v>2.3107000000000002</v>
      </c>
      <c r="F13" s="621" cm="1">
        <f t="array" aca="1" ref="F13" ca="1">(_FV(B13,"Market cap",TRUE))/1000000</f>
        <v>4492098</v>
      </c>
      <c r="G13" s="622">
        <v>-49786</v>
      </c>
      <c r="H13" s="621">
        <f ca="1">+F13+G13</f>
        <v>4442312</v>
      </c>
      <c r="I13" s="543" cm="1">
        <f t="array" aca="1" ref="I13" ca="1">_FV(B13,"P/E",TRUE)</f>
        <v>45.8309</v>
      </c>
      <c r="J13" s="622">
        <v>187142</v>
      </c>
      <c r="K13" s="622">
        <v>112696</v>
      </c>
      <c r="L13" s="543">
        <f t="shared" ca="1" si="2"/>
        <v>23.737653760246229</v>
      </c>
      <c r="M13" s="543">
        <f t="shared" ca="1" si="2"/>
        <v>39.4185419180805</v>
      </c>
    </row>
    <row r="14" spans="2:15" ht="12">
      <c r="B14" s="432" t="e" vm="6">
        <v>#VALUE!</v>
      </c>
      <c r="C14" s="533" t="str" cm="1">
        <f t="array" aca="1" ref="C14" ca="1">_FV(B14,"Ticker symbol",TRUE)</f>
        <v>META</v>
      </c>
      <c r="D14" s="535" cm="1">
        <f t="array" aca="1" ref="D14" ca="1">_FV(B14,"Price")</f>
        <v>653.05999999999995</v>
      </c>
      <c r="E14" s="620" cm="1">
        <f t="array" aca="1" ref="E14" ca="1">_FV(B14,"Beta")</f>
        <v>1.2773000000000001</v>
      </c>
      <c r="F14" s="621" cm="1">
        <f t="array" aca="1" ref="F14" ca="1">(_FV(B14,"Market cap",TRUE))/1000000</f>
        <v>1646056.0156789999</v>
      </c>
      <c r="G14" s="622">
        <v>6612</v>
      </c>
      <c r="H14" s="621">
        <f t="shared" ref="H14" ca="1" si="3">+F14+G14</f>
        <v>1652668.0156789999</v>
      </c>
      <c r="I14" s="543" cm="1">
        <f t="array" aca="1" ref="I14" ca="1">_FV(B14,"P/E",TRUE)</f>
        <v>22.468</v>
      </c>
      <c r="J14" s="622">
        <v>189458</v>
      </c>
      <c r="K14" s="622">
        <v>98399</v>
      </c>
      <c r="L14" s="543">
        <f t="shared" ca="1" si="2"/>
        <v>8.7231366090584714</v>
      </c>
      <c r="M14" s="543">
        <f t="shared" ca="1" si="2"/>
        <v>16.795577350166159</v>
      </c>
    </row>
    <row r="15" spans="2:15" ht="12">
      <c r="B15" s="432"/>
      <c r="C15" s="533"/>
      <c r="D15" s="533"/>
      <c r="E15" s="533"/>
      <c r="F15" s="621"/>
      <c r="G15" s="621"/>
      <c r="H15" s="621"/>
      <c r="I15" s="621"/>
      <c r="J15" s="535"/>
      <c r="K15" s="621"/>
      <c r="L15" s="543"/>
      <c r="M15" s="543"/>
    </row>
    <row r="16" spans="2:15" ht="12">
      <c r="B16" s="544" t="s">
        <v>336</v>
      </c>
      <c r="C16" s="545"/>
      <c r="D16" s="545"/>
      <c r="E16" s="623">
        <f ca="1">MAX(E$10:E$14)</f>
        <v>2.3107000000000002</v>
      </c>
      <c r="F16" s="624">
        <f t="shared" ref="F16:M16" ca="1" si="4">MAX(F$10:F$14)</f>
        <v>4492098</v>
      </c>
      <c r="G16" s="624">
        <f t="shared" si="4"/>
        <v>66241</v>
      </c>
      <c r="H16" s="624">
        <f t="shared" ca="1" si="4"/>
        <v>4442312</v>
      </c>
      <c r="I16" s="549">
        <f t="shared" ca="1" si="4"/>
        <v>45.8309</v>
      </c>
      <c r="J16" s="624">
        <f t="shared" si="4"/>
        <v>691330</v>
      </c>
      <c r="K16" s="624">
        <f t="shared" si="4"/>
        <v>166437</v>
      </c>
      <c r="L16" s="549">
        <f t="shared" ca="1" si="4"/>
        <v>23.737653760246229</v>
      </c>
      <c r="M16" s="549">
        <f t="shared" ca="1" si="4"/>
        <v>39.4185419180805</v>
      </c>
    </row>
    <row r="17" spans="2:13" ht="12">
      <c r="B17" s="544" t="s">
        <v>705</v>
      </c>
      <c r="C17" s="545"/>
      <c r="D17" s="545"/>
      <c r="E17" s="623">
        <f ca="1">QUARTILE(E$10:E$14,3)</f>
        <v>1.3764000000000001</v>
      </c>
      <c r="F17" s="624">
        <f t="shared" ref="F17:M17" ca="1" si="5">QUARTILE(F$10:F$14,3)</f>
        <v>3930167</v>
      </c>
      <c r="G17" s="624">
        <f t="shared" si="5"/>
        <v>18363</v>
      </c>
      <c r="H17" s="624">
        <f t="shared" ca="1" si="5"/>
        <v>3875866</v>
      </c>
      <c r="I17" s="549">
        <f t="shared" ca="1" si="5"/>
        <v>34.945599999999999</v>
      </c>
      <c r="J17" s="624">
        <f t="shared" si="5"/>
        <v>385476</v>
      </c>
      <c r="K17" s="624">
        <f t="shared" si="5"/>
        <v>145174</v>
      </c>
      <c r="L17" s="549">
        <f t="shared" ca="1" si="5"/>
        <v>12.186543260860686</v>
      </c>
      <c r="M17" s="549">
        <f t="shared" ca="1" si="5"/>
        <v>26.69807265763842</v>
      </c>
    </row>
    <row r="18" spans="2:13" ht="12">
      <c r="B18" s="551" t="s">
        <v>706</v>
      </c>
      <c r="C18" s="545"/>
      <c r="D18" s="545"/>
      <c r="E18" s="625">
        <f ca="1">AVERAGE(E$10:E$14)</f>
        <v>1.4285400000000004</v>
      </c>
      <c r="F18" s="626">
        <f t="shared" ref="F18:M18" ca="1" si="6">AVERAGE(F$10:F$14)</f>
        <v>3252680.7328478</v>
      </c>
      <c r="G18" s="626">
        <f t="shared" si="6"/>
        <v>-2574.1999999999998</v>
      </c>
      <c r="H18" s="626">
        <f t="shared" ca="1" si="6"/>
        <v>3250106.5328478003</v>
      </c>
      <c r="I18" s="554">
        <f t="shared" ca="1" si="6"/>
        <v>33.969139999999996</v>
      </c>
      <c r="J18" s="626">
        <f t="shared" si="6"/>
        <v>349443.6</v>
      </c>
      <c r="K18" s="626">
        <f t="shared" si="6"/>
        <v>131980.6</v>
      </c>
      <c r="L18" s="554">
        <f t="shared" ca="1" si="6"/>
        <v>11.721269902491814</v>
      </c>
      <c r="M18" s="554">
        <f t="shared" ca="1" si="6"/>
        <v>24.819714238428485</v>
      </c>
    </row>
    <row r="19" spans="2:13" ht="12">
      <c r="B19" s="551" t="s">
        <v>707</v>
      </c>
      <c r="C19" s="545"/>
      <c r="D19" s="545"/>
      <c r="E19" s="625">
        <f ca="1">MEDIAN(E$10:E$14)</f>
        <v>1.2773000000000001</v>
      </c>
      <c r="F19" s="626">
        <f t="shared" ref="F19:M19" ca="1" si="7">MEDIAN(F$10:F$14)</f>
        <v>3562189.6485600001</v>
      </c>
      <c r="G19" s="626">
        <f t="shared" si="7"/>
        <v>6612</v>
      </c>
      <c r="H19" s="626">
        <f t="shared" ca="1" si="7"/>
        <v>3580552.6485600001</v>
      </c>
      <c r="I19" s="554">
        <f t="shared" ca="1" si="7"/>
        <v>34.099299999999999</v>
      </c>
      <c r="J19" s="626">
        <f t="shared" si="7"/>
        <v>293812</v>
      </c>
      <c r="K19" s="626">
        <f t="shared" si="7"/>
        <v>137197</v>
      </c>
      <c r="L19" s="554">
        <f t="shared" ca="1" si="7"/>
        <v>10.054753084498127</v>
      </c>
      <c r="M19" s="554">
        <f t="shared" ca="1" si="7"/>
        <v>21.512960751275259</v>
      </c>
    </row>
    <row r="20" spans="2:13" ht="12">
      <c r="B20" s="544" t="s">
        <v>708</v>
      </c>
      <c r="C20" s="545"/>
      <c r="D20" s="545"/>
      <c r="E20" s="623">
        <f ca="1">QUARTILE(E$10:E$14,1)</f>
        <v>1.0946</v>
      </c>
      <c r="F20" s="624">
        <f t="shared" ref="F20:M20" ca="1" si="8">QUARTILE(F$10:F$14,1)</f>
        <v>2632893</v>
      </c>
      <c r="G20" s="624">
        <f t="shared" si="8"/>
        <v>-49786</v>
      </c>
      <c r="H20" s="624">
        <f t="shared" ca="1" si="8"/>
        <v>2699134</v>
      </c>
      <c r="I20" s="549">
        <f t="shared" ca="1" si="8"/>
        <v>32.501899999999999</v>
      </c>
      <c r="J20" s="624">
        <f t="shared" si="8"/>
        <v>189458</v>
      </c>
      <c r="K20" s="624">
        <f t="shared" si="8"/>
        <v>112696</v>
      </c>
      <c r="L20" s="549">
        <f t="shared" ca="1" si="8"/>
        <v>8.7231366090584714</v>
      </c>
      <c r="M20" s="549">
        <f t="shared" ca="1" si="8"/>
        <v>19.673418514982107</v>
      </c>
    </row>
    <row r="21" spans="2:13" ht="12">
      <c r="B21" s="544" t="s">
        <v>334</v>
      </c>
      <c r="C21" s="545"/>
      <c r="D21" s="545"/>
      <c r="E21" s="623">
        <f ca="1">MIN(E$10:E$14)</f>
        <v>1.0837000000000001</v>
      </c>
      <c r="F21" s="624">
        <f t="shared" ref="F21:M21" ca="1" si="9">MIN(F$10:F$14)</f>
        <v>1646056.0156789999</v>
      </c>
      <c r="G21" s="624">
        <f t="shared" si="9"/>
        <v>-54301</v>
      </c>
      <c r="H21" s="624">
        <f t="shared" ca="1" si="9"/>
        <v>1652668.0156789999</v>
      </c>
      <c r="I21" s="549">
        <f t="shared" ca="1" si="9"/>
        <v>22.468</v>
      </c>
      <c r="J21" s="624">
        <f t="shared" si="9"/>
        <v>187142</v>
      </c>
      <c r="K21" s="624">
        <f t="shared" si="9"/>
        <v>98399</v>
      </c>
      <c r="L21" s="549">
        <f t="shared" ca="1" si="9"/>
        <v>3.9042627977955533</v>
      </c>
      <c r="M21" s="549">
        <f t="shared" ca="1" si="9"/>
        <v>16.795577350166159</v>
      </c>
    </row>
    <row r="22" spans="2:13" thickBot="1">
      <c r="B22" s="38"/>
      <c r="C22" s="38"/>
      <c r="D22" s="38"/>
      <c r="E22" s="38"/>
      <c r="F22" s="38"/>
      <c r="G22" s="38"/>
      <c r="H22" s="38"/>
      <c r="I22" s="38"/>
      <c r="J22" s="38"/>
      <c r="K22" s="38"/>
      <c r="L22" s="38"/>
      <c r="M22" s="3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b07cb572-0833-4348-88b4-a0fa7ea20e4a</TitusGUID>
  <TitusMetadata xmlns="">eyJucyI6Imh0dHA6XC9cL3d3dy50aXR1cy5jb21cL25zXC9CYW5rIG9mIEFtZXJpY2EiLCJwcm9wcyI6W3sibiI6IkNsYXNzaWZpY2F0aW9uIiwidmFscyI6W3sidmFsdWUiOiJVbmNsYXNzaWZpZWQifV19LHsibiI6IkF1ZGllbmNlIiwidmFscyI6W119LHsibiI6IkNvbmZpZGVudGlhbFR5cGUiLCJ2YWxzIjpbXX1dfQ==</TitusMetadata>
</titus>
</file>

<file path=customXml/itemProps1.xml><?xml version="1.0" encoding="utf-8"?>
<ds:datastoreItem xmlns:ds="http://schemas.openxmlformats.org/officeDocument/2006/customXml" ds:itemID="{AC203626-EEC5-451D-B6D3-0C3E0606664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Summary Assumptions</vt:lpstr>
      <vt:lpstr>Summary Valuation</vt:lpstr>
      <vt:lpstr>Historical Financials</vt:lpstr>
      <vt:lpstr>Revenue Drivers</vt:lpstr>
      <vt:lpstr>FCF</vt:lpstr>
      <vt:lpstr>Debt Schedule</vt:lpstr>
      <vt:lpstr>Revenue Projections &amp; Cases</vt:lpstr>
      <vt:lpstr>3 Statement Model</vt:lpstr>
      <vt:lpstr>DCF</vt:lpstr>
      <vt:lpstr>WACC</vt:lpstr>
      <vt:lpstr>Street Price Targets</vt:lpstr>
      <vt:lpstr>Street Consensus</vt:lpstr>
      <vt:lpstr>Peer Comparables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2026-01-10T07:51:30Z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b07cb572-0833-4348-88b4-a0fa7ea20e4a</vt:lpwstr>
  </property>
  <property fmtid="{D5CDD505-2E9C-101B-9397-08002B2CF9AE}" pid="3" name="Classification">
    <vt:lpwstr>Unclassified</vt:lpwstr>
  </property>
  <property fmtid="{D5CDD505-2E9C-101B-9397-08002B2CF9AE}" pid="4" name="BAC">
    <vt:lpwstr>B!bac@C</vt:lpwstr>
  </property>
</Properties>
</file>