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Felix\Downloads\"/>
    </mc:Choice>
  </mc:AlternateContent>
  <xr:revisionPtr revIDLastSave="0" documentId="8_{C55A78A8-F359-4448-AE0E-39419B271A7D}" xr6:coauthVersionLast="47" xr6:coauthVersionMax="47" xr10:uidLastSave="{00000000-0000-0000-0000-000000000000}"/>
  <bookViews>
    <workbookView xWindow="-120" yWindow="-120" windowWidth="29040" windowHeight="15720" activeTab="2" xr2:uid="{BC9106CE-9107-4097-8948-317996376CB5}"/>
  </bookViews>
  <sheets>
    <sheet name="Historical Financials" sheetId="8" r:id="rId1"/>
    <sheet name="Revenue Drivers" sheetId="10" r:id="rId2"/>
    <sheet name="FCF" sheetId="1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1" i="11" l="1"/>
  <c r="S71" i="11" s="1"/>
  <c r="J71" i="11"/>
  <c r="J72" i="11" s="1"/>
  <c r="Q74" i="11"/>
  <c r="P74" i="11"/>
  <c r="X74" i="11" s="1"/>
  <c r="O74" i="11"/>
  <c r="N74" i="11"/>
  <c r="M74" i="11"/>
  <c r="L74" i="11"/>
  <c r="K74" i="11"/>
  <c r="J74" i="11"/>
  <c r="I74" i="11"/>
  <c r="H74" i="11"/>
  <c r="F74" i="11"/>
  <c r="E74" i="11"/>
  <c r="D74" i="11"/>
  <c r="C74" i="11"/>
  <c r="Q69" i="11"/>
  <c r="P69" i="11"/>
  <c r="X69" i="11" s="1"/>
  <c r="O69" i="11"/>
  <c r="N69" i="11"/>
  <c r="V69" i="11" s="1"/>
  <c r="M69" i="11"/>
  <c r="L69" i="11"/>
  <c r="T69" i="11" s="1"/>
  <c r="K69" i="11"/>
  <c r="J69" i="11"/>
  <c r="I69" i="11"/>
  <c r="H69" i="11"/>
  <c r="F69" i="11"/>
  <c r="E69" i="11"/>
  <c r="D69" i="11"/>
  <c r="C69" i="11"/>
  <c r="Q68" i="11"/>
  <c r="Q71" i="11" s="1"/>
  <c r="Y71" i="11" s="1"/>
  <c r="P68" i="11"/>
  <c r="P71" i="11" s="1"/>
  <c r="X71" i="11" s="1"/>
  <c r="O68" i="11"/>
  <c r="O71" i="11" s="1"/>
  <c r="W71" i="11" s="1"/>
  <c r="N68" i="11"/>
  <c r="V68" i="11" s="1"/>
  <c r="M68" i="11"/>
  <c r="M71" i="11" s="1"/>
  <c r="L68" i="11"/>
  <c r="T68" i="11" s="1"/>
  <c r="K68" i="11"/>
  <c r="S68" i="11" s="1"/>
  <c r="J68" i="11"/>
  <c r="I68" i="11"/>
  <c r="I71" i="11" s="1"/>
  <c r="H68" i="11"/>
  <c r="H71" i="11" s="1"/>
  <c r="H72" i="11" s="1"/>
  <c r="F68" i="11"/>
  <c r="F71" i="11" s="1"/>
  <c r="F72" i="11" s="1"/>
  <c r="E68" i="11"/>
  <c r="E71" i="11" s="1"/>
  <c r="E72" i="11" s="1"/>
  <c r="D68" i="11"/>
  <c r="D71" i="11" s="1"/>
  <c r="D72" i="11" s="1"/>
  <c r="C68" i="11"/>
  <c r="C71" i="11" s="1"/>
  <c r="C72" i="11" s="1"/>
  <c r="Q65" i="11"/>
  <c r="Y65" i="11" s="1"/>
  <c r="P65" i="11"/>
  <c r="O65" i="11"/>
  <c r="N65" i="11"/>
  <c r="M65" i="11"/>
  <c r="U65" i="11" s="1"/>
  <c r="L65" i="11"/>
  <c r="T65" i="11" s="1"/>
  <c r="K65" i="11"/>
  <c r="J65" i="11"/>
  <c r="I65" i="11"/>
  <c r="Q64" i="11"/>
  <c r="P64" i="11"/>
  <c r="O64" i="11"/>
  <c r="N64" i="11"/>
  <c r="V64" i="11" s="1"/>
  <c r="M64" i="11"/>
  <c r="U64" i="11" s="1"/>
  <c r="L64" i="11"/>
  <c r="K64" i="11"/>
  <c r="S64" i="11" s="1"/>
  <c r="J64" i="11"/>
  <c r="I64" i="11"/>
  <c r="Q63" i="11"/>
  <c r="P63" i="11"/>
  <c r="O63" i="11"/>
  <c r="N63" i="11"/>
  <c r="V63" i="11" s="1"/>
  <c r="M63" i="11"/>
  <c r="L63" i="11"/>
  <c r="K63" i="11"/>
  <c r="S63" i="11" s="1"/>
  <c r="J63" i="11"/>
  <c r="I63" i="11"/>
  <c r="Q62" i="11"/>
  <c r="P62" i="11"/>
  <c r="X62" i="11" s="1"/>
  <c r="O62" i="11"/>
  <c r="W62" i="11" s="1"/>
  <c r="N62" i="11"/>
  <c r="M62" i="11"/>
  <c r="U62" i="11" s="1"/>
  <c r="L62" i="11"/>
  <c r="T62" i="11" s="1"/>
  <c r="K62" i="11"/>
  <c r="J62" i="11"/>
  <c r="I62" i="11"/>
  <c r="Q61" i="11"/>
  <c r="Y61" i="11" s="1"/>
  <c r="P61" i="11"/>
  <c r="X61" i="11" s="1"/>
  <c r="O61" i="11"/>
  <c r="N61" i="11"/>
  <c r="V61" i="11" s="1"/>
  <c r="M61" i="11"/>
  <c r="U61" i="11" s="1"/>
  <c r="L61" i="11"/>
  <c r="T61" i="11" s="1"/>
  <c r="K61" i="11"/>
  <c r="J61" i="11"/>
  <c r="I61" i="11"/>
  <c r="Q60" i="11"/>
  <c r="Y60" i="11" s="1"/>
  <c r="P60" i="11"/>
  <c r="O60" i="11"/>
  <c r="W60" i="11" s="1"/>
  <c r="N60" i="11"/>
  <c r="V60" i="11" s="1"/>
  <c r="M60" i="11"/>
  <c r="L60" i="11"/>
  <c r="K60" i="11"/>
  <c r="J60" i="11"/>
  <c r="I60" i="11"/>
  <c r="Q59" i="11"/>
  <c r="P59" i="11"/>
  <c r="X59" i="11" s="1"/>
  <c r="O59" i="11"/>
  <c r="W59" i="11" s="1"/>
  <c r="N59" i="11"/>
  <c r="M59" i="11"/>
  <c r="L59" i="11"/>
  <c r="K59" i="11"/>
  <c r="S59" i="11" s="1"/>
  <c r="J59" i="11"/>
  <c r="I59" i="11"/>
  <c r="H65" i="11"/>
  <c r="H64" i="11"/>
  <c r="H63" i="11"/>
  <c r="H62" i="11"/>
  <c r="H61" i="11"/>
  <c r="H60" i="11"/>
  <c r="H59" i="11"/>
  <c r="F65" i="11"/>
  <c r="E65" i="11"/>
  <c r="D65" i="11"/>
  <c r="F64" i="11"/>
  <c r="E64" i="11"/>
  <c r="D64" i="11"/>
  <c r="F63" i="11"/>
  <c r="E63" i="11"/>
  <c r="D63" i="11"/>
  <c r="F62" i="11"/>
  <c r="E62" i="11"/>
  <c r="D62" i="11"/>
  <c r="F61" i="11"/>
  <c r="E61" i="11"/>
  <c r="D61" i="11"/>
  <c r="F60" i="11"/>
  <c r="E60" i="11"/>
  <c r="D60" i="11"/>
  <c r="F59" i="11"/>
  <c r="E59" i="11"/>
  <c r="D59" i="11"/>
  <c r="C65" i="11"/>
  <c r="C64" i="11"/>
  <c r="C61" i="11"/>
  <c r="W61" i="11"/>
  <c r="S61" i="11"/>
  <c r="C63" i="11"/>
  <c r="C62" i="11"/>
  <c r="C60" i="11"/>
  <c r="C59" i="11"/>
  <c r="Q48" i="11"/>
  <c r="P48" i="11"/>
  <c r="O48" i="11"/>
  <c r="N48" i="11"/>
  <c r="M48" i="11"/>
  <c r="L48" i="11"/>
  <c r="K48" i="11"/>
  <c r="J48" i="11"/>
  <c r="I48" i="11"/>
  <c r="H48" i="11"/>
  <c r="F48" i="11"/>
  <c r="E48" i="11"/>
  <c r="D48" i="11"/>
  <c r="C48" i="11"/>
  <c r="Q47" i="11"/>
  <c r="P47" i="11"/>
  <c r="O47" i="11"/>
  <c r="N47" i="11"/>
  <c r="M47" i="11"/>
  <c r="L47" i="11"/>
  <c r="K47" i="11"/>
  <c r="J47" i="11"/>
  <c r="I47" i="11"/>
  <c r="H47" i="11"/>
  <c r="F47" i="11"/>
  <c r="E47" i="11"/>
  <c r="D47" i="11"/>
  <c r="C47" i="11"/>
  <c r="Q46" i="11"/>
  <c r="P46" i="11"/>
  <c r="O46" i="11"/>
  <c r="N46" i="11"/>
  <c r="M46" i="11"/>
  <c r="L46" i="11"/>
  <c r="K46" i="11"/>
  <c r="J46" i="11"/>
  <c r="I46" i="11"/>
  <c r="H46" i="11"/>
  <c r="F46" i="11"/>
  <c r="E46" i="11"/>
  <c r="D46" i="11"/>
  <c r="C46" i="11"/>
  <c r="Q54" i="11"/>
  <c r="P54" i="11"/>
  <c r="X54" i="11" s="1"/>
  <c r="O54" i="11"/>
  <c r="N54" i="11"/>
  <c r="M54" i="11"/>
  <c r="L54" i="11"/>
  <c r="T54" i="11" s="1"/>
  <c r="K54" i="11"/>
  <c r="S54" i="11" s="1"/>
  <c r="J54" i="11"/>
  <c r="I54" i="11"/>
  <c r="H54" i="11"/>
  <c r="F54" i="11"/>
  <c r="E54" i="11"/>
  <c r="D54" i="11"/>
  <c r="C54" i="11"/>
  <c r="Q45" i="11"/>
  <c r="P45" i="11"/>
  <c r="O45" i="11"/>
  <c r="N45" i="11"/>
  <c r="M45" i="11"/>
  <c r="L45" i="11"/>
  <c r="K45" i="11"/>
  <c r="J45" i="11"/>
  <c r="I45" i="11"/>
  <c r="S45" i="11" s="1"/>
  <c r="H45" i="11"/>
  <c r="F45" i="11"/>
  <c r="E45" i="11"/>
  <c r="D45" i="11"/>
  <c r="C45" i="11"/>
  <c r="Q44" i="11"/>
  <c r="P44" i="11"/>
  <c r="O44" i="11"/>
  <c r="N44" i="11"/>
  <c r="M44" i="11"/>
  <c r="L44" i="11"/>
  <c r="K44" i="11"/>
  <c r="J44" i="11"/>
  <c r="I44" i="11"/>
  <c r="H44" i="11"/>
  <c r="F44" i="11"/>
  <c r="E44" i="11"/>
  <c r="D44" i="11"/>
  <c r="C44" i="11"/>
  <c r="Q40" i="11"/>
  <c r="P40" i="11"/>
  <c r="O40" i="11"/>
  <c r="N40" i="11"/>
  <c r="M40" i="11"/>
  <c r="X40" i="11" s="1"/>
  <c r="L40" i="11"/>
  <c r="K40" i="11"/>
  <c r="J40" i="11"/>
  <c r="I40" i="11"/>
  <c r="H40" i="11"/>
  <c r="F40" i="11"/>
  <c r="E40" i="11"/>
  <c r="D40" i="11"/>
  <c r="C40" i="11"/>
  <c r="Q39" i="11"/>
  <c r="P39" i="11"/>
  <c r="O39" i="11"/>
  <c r="N39" i="11"/>
  <c r="M39" i="11"/>
  <c r="L39" i="11"/>
  <c r="K39" i="11"/>
  <c r="J39" i="11"/>
  <c r="I39" i="11"/>
  <c r="Q38" i="11"/>
  <c r="P38" i="11"/>
  <c r="O38" i="11"/>
  <c r="N38" i="11"/>
  <c r="M38" i="11"/>
  <c r="L38" i="11"/>
  <c r="K38" i="11"/>
  <c r="J38" i="11"/>
  <c r="I38" i="11"/>
  <c r="H39" i="11"/>
  <c r="H38" i="11"/>
  <c r="F39" i="11"/>
  <c r="E39" i="11"/>
  <c r="D39" i="11"/>
  <c r="F38" i="11"/>
  <c r="E38" i="11"/>
  <c r="D38" i="11"/>
  <c r="C39" i="11"/>
  <c r="C38" i="11"/>
  <c r="Q41" i="11"/>
  <c r="P41" i="11"/>
  <c r="O41" i="11"/>
  <c r="N41" i="11"/>
  <c r="M41" i="11"/>
  <c r="L41" i="11"/>
  <c r="K41" i="11"/>
  <c r="J41" i="11"/>
  <c r="I41" i="11"/>
  <c r="H41" i="11"/>
  <c r="F41" i="11"/>
  <c r="E41" i="11"/>
  <c r="D41" i="11"/>
  <c r="C41" i="11"/>
  <c r="Q37" i="11"/>
  <c r="P37" i="11"/>
  <c r="O37" i="11"/>
  <c r="N37" i="11"/>
  <c r="M37" i="11"/>
  <c r="L37" i="11"/>
  <c r="K37" i="11"/>
  <c r="J37" i="11"/>
  <c r="I37" i="11"/>
  <c r="H37" i="11"/>
  <c r="F37" i="11"/>
  <c r="E37" i="11"/>
  <c r="D37" i="11"/>
  <c r="C37" i="11"/>
  <c r="Q36" i="11"/>
  <c r="P36" i="11"/>
  <c r="O36" i="11"/>
  <c r="N36" i="11"/>
  <c r="M36" i="11"/>
  <c r="L36" i="11"/>
  <c r="K36" i="11"/>
  <c r="J36" i="11"/>
  <c r="I36" i="11"/>
  <c r="H36" i="11"/>
  <c r="F36" i="11"/>
  <c r="E36" i="11"/>
  <c r="D36" i="11"/>
  <c r="C36" i="11"/>
  <c r="Q35" i="11"/>
  <c r="P35" i="11"/>
  <c r="O35" i="11"/>
  <c r="N35" i="11"/>
  <c r="M35" i="11"/>
  <c r="L35" i="11"/>
  <c r="K35" i="11"/>
  <c r="J35" i="11"/>
  <c r="I35" i="11"/>
  <c r="H35" i="11"/>
  <c r="F35" i="11"/>
  <c r="E35" i="11"/>
  <c r="D35" i="11"/>
  <c r="C35" i="11"/>
  <c r="Q28" i="11"/>
  <c r="P28" i="11"/>
  <c r="O28" i="11"/>
  <c r="N28" i="11"/>
  <c r="M28" i="11"/>
  <c r="L28" i="11"/>
  <c r="K28" i="11"/>
  <c r="J28" i="11"/>
  <c r="I28" i="11"/>
  <c r="H28" i="11"/>
  <c r="F28" i="11"/>
  <c r="E28" i="11"/>
  <c r="D28" i="11"/>
  <c r="C28" i="11"/>
  <c r="Q20" i="11"/>
  <c r="Q31" i="11" s="1"/>
  <c r="P20" i="11"/>
  <c r="P31" i="11" s="1"/>
  <c r="O20" i="11"/>
  <c r="O31" i="11" s="1"/>
  <c r="N20" i="11"/>
  <c r="N31" i="11" s="1"/>
  <c r="M20" i="11"/>
  <c r="M31" i="11" s="1"/>
  <c r="L20" i="11"/>
  <c r="L31" i="11" s="1"/>
  <c r="K20" i="11"/>
  <c r="K31" i="11" s="1"/>
  <c r="J20" i="11"/>
  <c r="J31" i="11" s="1"/>
  <c r="I20" i="11"/>
  <c r="I31" i="11" s="1"/>
  <c r="Q19" i="11"/>
  <c r="Q30" i="11" s="1"/>
  <c r="P19" i="11"/>
  <c r="P30" i="11" s="1"/>
  <c r="O19" i="11"/>
  <c r="O30" i="11" s="1"/>
  <c r="N19" i="11"/>
  <c r="N30" i="11" s="1"/>
  <c r="M19" i="11"/>
  <c r="M30" i="11" s="1"/>
  <c r="L19" i="11"/>
  <c r="L30" i="11" s="1"/>
  <c r="K19" i="11"/>
  <c r="K30" i="11" s="1"/>
  <c r="J19" i="11"/>
  <c r="J30" i="11" s="1"/>
  <c r="I19" i="11"/>
  <c r="I30" i="11" s="1"/>
  <c r="Q18" i="11"/>
  <c r="Q29" i="11" s="1"/>
  <c r="P18" i="11"/>
  <c r="P29" i="11" s="1"/>
  <c r="O18" i="11"/>
  <c r="O29" i="11" s="1"/>
  <c r="N18" i="11"/>
  <c r="N29" i="11" s="1"/>
  <c r="M18" i="11"/>
  <c r="M29" i="11" s="1"/>
  <c r="L18" i="11"/>
  <c r="L29" i="11" s="1"/>
  <c r="K18" i="11"/>
  <c r="K29" i="11" s="1"/>
  <c r="J18" i="11"/>
  <c r="J29" i="11" s="1"/>
  <c r="I18" i="11"/>
  <c r="I29" i="11" s="1"/>
  <c r="Q17" i="11"/>
  <c r="Q24" i="11" s="1"/>
  <c r="P17" i="11"/>
  <c r="P24" i="11" s="1"/>
  <c r="O17" i="11"/>
  <c r="O24" i="11" s="1"/>
  <c r="N17" i="11"/>
  <c r="N24" i="11" s="1"/>
  <c r="M17" i="11"/>
  <c r="M24" i="11" s="1"/>
  <c r="L17" i="11"/>
  <c r="L24" i="11" s="1"/>
  <c r="K17" i="11"/>
  <c r="K24" i="11" s="1"/>
  <c r="J17" i="11"/>
  <c r="J24" i="11" s="1"/>
  <c r="I17" i="11"/>
  <c r="I24" i="11" s="1"/>
  <c r="Q16" i="11"/>
  <c r="P16" i="11"/>
  <c r="O16" i="11"/>
  <c r="N16" i="11"/>
  <c r="M16" i="11"/>
  <c r="L16" i="11"/>
  <c r="K16" i="11"/>
  <c r="J16" i="11"/>
  <c r="I16" i="11"/>
  <c r="Q15" i="11"/>
  <c r="P15" i="11"/>
  <c r="O15" i="11"/>
  <c r="N15" i="11"/>
  <c r="M15" i="11"/>
  <c r="L15" i="11"/>
  <c r="K15" i="11"/>
  <c r="J15" i="11"/>
  <c r="I15" i="11"/>
  <c r="Q14" i="11"/>
  <c r="P14" i="11"/>
  <c r="O14" i="11"/>
  <c r="N14" i="11"/>
  <c r="M14" i="11"/>
  <c r="L14" i="11"/>
  <c r="K14" i="11"/>
  <c r="J14" i="11"/>
  <c r="I14" i="11"/>
  <c r="H20" i="11"/>
  <c r="H31" i="11" s="1"/>
  <c r="H19" i="11"/>
  <c r="H30" i="11" s="1"/>
  <c r="H18" i="11"/>
  <c r="H29" i="11" s="1"/>
  <c r="H17" i="11"/>
  <c r="H24" i="11" s="1"/>
  <c r="H16" i="11"/>
  <c r="H15" i="11"/>
  <c r="H14" i="11"/>
  <c r="F20" i="11"/>
  <c r="F31" i="11" s="1"/>
  <c r="E20" i="11"/>
  <c r="E31" i="11" s="1"/>
  <c r="D20" i="11"/>
  <c r="D31" i="11" s="1"/>
  <c r="F19" i="11"/>
  <c r="F30" i="11" s="1"/>
  <c r="E19" i="11"/>
  <c r="E30" i="11" s="1"/>
  <c r="D19" i="11"/>
  <c r="D30" i="11" s="1"/>
  <c r="F18" i="11"/>
  <c r="F29" i="11" s="1"/>
  <c r="E18" i="11"/>
  <c r="E29" i="11" s="1"/>
  <c r="D18" i="11"/>
  <c r="D29" i="11" s="1"/>
  <c r="F17" i="11"/>
  <c r="F24" i="11" s="1"/>
  <c r="E17" i="11"/>
  <c r="E24" i="11" s="1"/>
  <c r="D17" i="11"/>
  <c r="D24" i="11" s="1"/>
  <c r="F16" i="11"/>
  <c r="E16" i="11"/>
  <c r="D16" i="11"/>
  <c r="F15" i="11"/>
  <c r="E15" i="11"/>
  <c r="D15" i="11"/>
  <c r="F14" i="11"/>
  <c r="E14" i="11"/>
  <c r="D14" i="11"/>
  <c r="C20" i="11"/>
  <c r="C31" i="11" s="1"/>
  <c r="C19" i="11"/>
  <c r="C30" i="11" s="1"/>
  <c r="C18" i="11"/>
  <c r="C29" i="11" s="1"/>
  <c r="C17" i="11"/>
  <c r="C24" i="11" s="1"/>
  <c r="C16" i="11"/>
  <c r="C15" i="11"/>
  <c r="C14" i="11"/>
  <c r="Q9" i="11"/>
  <c r="P9" i="11"/>
  <c r="O9" i="11"/>
  <c r="N9" i="11"/>
  <c r="M9" i="11"/>
  <c r="L9" i="11"/>
  <c r="K9" i="11"/>
  <c r="J9" i="11"/>
  <c r="I9" i="11"/>
  <c r="Q8" i="11"/>
  <c r="P8" i="11"/>
  <c r="O8" i="11"/>
  <c r="N8" i="11"/>
  <c r="M8" i="11"/>
  <c r="L8" i="11"/>
  <c r="K8" i="11"/>
  <c r="J8" i="11"/>
  <c r="I8" i="11"/>
  <c r="Q7" i="11"/>
  <c r="P7" i="11"/>
  <c r="O7" i="11"/>
  <c r="N7" i="11"/>
  <c r="M7" i="11"/>
  <c r="L7" i="11"/>
  <c r="K7" i="11"/>
  <c r="J7" i="11"/>
  <c r="I7" i="11"/>
  <c r="Q6" i="11"/>
  <c r="P6" i="11"/>
  <c r="O6" i="11"/>
  <c r="N6" i="11"/>
  <c r="M6" i="11"/>
  <c r="L6" i="11"/>
  <c r="K6" i="11"/>
  <c r="J6" i="11"/>
  <c r="I6" i="11"/>
  <c r="H9" i="11"/>
  <c r="H8" i="11"/>
  <c r="H7" i="11"/>
  <c r="H6" i="11"/>
  <c r="F9" i="11"/>
  <c r="E9" i="11"/>
  <c r="D9" i="11"/>
  <c r="F8" i="11"/>
  <c r="E8" i="11"/>
  <c r="D8" i="11"/>
  <c r="F7" i="11"/>
  <c r="E7" i="11"/>
  <c r="D7" i="11"/>
  <c r="F6" i="11"/>
  <c r="E6" i="11"/>
  <c r="D6" i="11"/>
  <c r="C9" i="11"/>
  <c r="C8" i="11"/>
  <c r="C7" i="11"/>
  <c r="C6" i="11"/>
  <c r="B9" i="11"/>
  <c r="B8" i="11"/>
  <c r="B7" i="11"/>
  <c r="B6" i="11"/>
  <c r="Y74" i="11"/>
  <c r="W74" i="11"/>
  <c r="V74" i="11"/>
  <c r="U74" i="11"/>
  <c r="T74" i="11"/>
  <c r="S74" i="11"/>
  <c r="Y69" i="11"/>
  <c r="W69" i="11"/>
  <c r="U69" i="11"/>
  <c r="S69" i="11"/>
  <c r="Y68" i="11"/>
  <c r="X68" i="11"/>
  <c r="W68" i="11"/>
  <c r="U68" i="11"/>
  <c r="X65" i="11"/>
  <c r="W65" i="11"/>
  <c r="V65" i="11"/>
  <c r="S65" i="11"/>
  <c r="Y64" i="11"/>
  <c r="X64" i="11"/>
  <c r="W64" i="11"/>
  <c r="T64" i="11"/>
  <c r="Y63" i="11"/>
  <c r="X63" i="11"/>
  <c r="W63" i="11"/>
  <c r="U63" i="11"/>
  <c r="T63" i="11"/>
  <c r="Y62" i="11"/>
  <c r="V62" i="11"/>
  <c r="S62" i="11"/>
  <c r="X60" i="11"/>
  <c r="U60" i="11"/>
  <c r="T60" i="11"/>
  <c r="S60" i="11"/>
  <c r="Y59" i="11"/>
  <c r="V59" i="11"/>
  <c r="U59" i="11"/>
  <c r="T59" i="11"/>
  <c r="X55" i="11"/>
  <c r="W55" i="11"/>
  <c r="V55" i="11"/>
  <c r="U55" i="11"/>
  <c r="T55" i="11"/>
  <c r="S55" i="11"/>
  <c r="W54" i="11"/>
  <c r="V54" i="11"/>
  <c r="U54" i="11"/>
  <c r="Y55" i="11"/>
  <c r="Y54" i="11"/>
  <c r="Q112" i="8"/>
  <c r="Q113" i="8"/>
  <c r="Q115" i="8"/>
  <c r="Q116" i="8"/>
  <c r="Q117" i="8"/>
  <c r="Q120" i="8"/>
  <c r="Q123" i="8"/>
  <c r="Q127" i="8"/>
  <c r="Q128" i="8"/>
  <c r="Q129" i="8"/>
  <c r="Q138" i="8"/>
  <c r="Q139" i="8"/>
  <c r="Q140" i="8"/>
  <c r="Q150" i="8"/>
  <c r="N150" i="8"/>
  <c r="V150" i="8" s="1"/>
  <c r="N142" i="8"/>
  <c r="N137" i="8"/>
  <c r="N138" i="8"/>
  <c r="N139" i="8"/>
  <c r="N140" i="8"/>
  <c r="J150" i="8"/>
  <c r="J135" i="8"/>
  <c r="J136" i="8"/>
  <c r="J137" i="8"/>
  <c r="J138" i="8"/>
  <c r="J139" i="8"/>
  <c r="J140" i="8"/>
  <c r="J142" i="8"/>
  <c r="N131" i="8"/>
  <c r="J131" i="8"/>
  <c r="N130" i="8"/>
  <c r="J130" i="8"/>
  <c r="J128" i="8"/>
  <c r="J127" i="8"/>
  <c r="K127" i="8" s="1"/>
  <c r="V127" i="8" s="1"/>
  <c r="N128" i="8"/>
  <c r="N127" i="8"/>
  <c r="N123" i="8"/>
  <c r="N120" i="8"/>
  <c r="N118" i="8"/>
  <c r="N116" i="8"/>
  <c r="N115" i="8"/>
  <c r="N113" i="8"/>
  <c r="N112" i="8"/>
  <c r="N111" i="8"/>
  <c r="J112" i="8"/>
  <c r="J111" i="8"/>
  <c r="J115" i="8"/>
  <c r="J116" i="8"/>
  <c r="J118" i="8"/>
  <c r="J120" i="8"/>
  <c r="J122" i="8"/>
  <c r="J123" i="8"/>
  <c r="N56" i="8"/>
  <c r="V56" i="8" s="1"/>
  <c r="Q159" i="8"/>
  <c r="Q158" i="8"/>
  <c r="J158" i="8"/>
  <c r="J159" i="8"/>
  <c r="N158" i="8"/>
  <c r="N159" i="8"/>
  <c r="M150" i="8"/>
  <c r="M142" i="8"/>
  <c r="M140" i="8"/>
  <c r="O140" i="8" s="1"/>
  <c r="Y140" i="8" s="1"/>
  <c r="M139" i="8"/>
  <c r="O139" i="8" s="1"/>
  <c r="Y139" i="8" s="1"/>
  <c r="M138" i="8"/>
  <c r="M137" i="8"/>
  <c r="M131" i="8"/>
  <c r="O131" i="8" s="1"/>
  <c r="Y131" i="8" s="1"/>
  <c r="M130" i="8"/>
  <c r="O130" i="8" s="1"/>
  <c r="Y130" i="8" s="1"/>
  <c r="M128" i="8"/>
  <c r="M127" i="8"/>
  <c r="M123" i="8"/>
  <c r="M120" i="8"/>
  <c r="M118" i="8"/>
  <c r="M116" i="8"/>
  <c r="M115" i="8"/>
  <c r="M113" i="8"/>
  <c r="M112" i="8"/>
  <c r="M111" i="8"/>
  <c r="I150" i="8"/>
  <c r="I142" i="8"/>
  <c r="I140" i="8"/>
  <c r="I139" i="8"/>
  <c r="I138" i="8"/>
  <c r="I137" i="8"/>
  <c r="K137" i="8" s="1"/>
  <c r="I136" i="8"/>
  <c r="I135" i="8"/>
  <c r="I131" i="8"/>
  <c r="K131" i="8" s="1"/>
  <c r="I130" i="8"/>
  <c r="I128" i="8"/>
  <c r="I127" i="8"/>
  <c r="I123" i="8"/>
  <c r="I122" i="8"/>
  <c r="I120" i="8"/>
  <c r="I118" i="8"/>
  <c r="I116" i="8"/>
  <c r="I115" i="8"/>
  <c r="I112" i="8"/>
  <c r="I111" i="8"/>
  <c r="O141" i="8"/>
  <c r="K141" i="8"/>
  <c r="T141" i="8" s="1"/>
  <c r="C141" i="8"/>
  <c r="M159" i="8"/>
  <c r="M158" i="8"/>
  <c r="I158" i="8"/>
  <c r="J86" i="8"/>
  <c r="J76" i="8"/>
  <c r="J66" i="8"/>
  <c r="J56" i="8"/>
  <c r="L56" i="8"/>
  <c r="T56" i="8" s="1"/>
  <c r="I56" i="8"/>
  <c r="H56" i="8"/>
  <c r="E56" i="8"/>
  <c r="K56" i="8" s="1"/>
  <c r="S56" i="8" s="1"/>
  <c r="D56" i="8"/>
  <c r="C56" i="8"/>
  <c r="I86" i="8"/>
  <c r="I76" i="8"/>
  <c r="I66" i="8"/>
  <c r="X151" i="8"/>
  <c r="V151" i="8"/>
  <c r="U151" i="8"/>
  <c r="T151" i="8"/>
  <c r="U147" i="8" s="1"/>
  <c r="X150" i="8"/>
  <c r="U150" i="8"/>
  <c r="T150" i="8"/>
  <c r="Y151" i="8"/>
  <c r="Y150" i="8"/>
  <c r="Y45" i="8"/>
  <c r="X45" i="8"/>
  <c r="V45" i="8"/>
  <c r="U45" i="8"/>
  <c r="T45" i="8"/>
  <c r="X42" i="8"/>
  <c r="V42" i="8"/>
  <c r="U42" i="8"/>
  <c r="T42" i="8"/>
  <c r="Y42" i="8"/>
  <c r="X8" i="8"/>
  <c r="X50" i="8" s="1"/>
  <c r="V8" i="8"/>
  <c r="V50" i="8" s="1"/>
  <c r="U8" i="8"/>
  <c r="U50" i="8" s="1"/>
  <c r="T8" i="8"/>
  <c r="T50" i="8" s="1"/>
  <c r="X7" i="8"/>
  <c r="X49" i="8" s="1"/>
  <c r="W7" i="8"/>
  <c r="W49" i="8" s="1"/>
  <c r="V7" i="8"/>
  <c r="V49" i="8" s="1"/>
  <c r="U7" i="8"/>
  <c r="U49" i="8" s="1"/>
  <c r="T7" i="8"/>
  <c r="T49" i="8" s="1"/>
  <c r="S7" i="8"/>
  <c r="S49" i="8" s="1"/>
  <c r="Y8" i="8"/>
  <c r="Y50" i="8" s="1"/>
  <c r="Y7" i="8"/>
  <c r="Y49" i="8" s="1"/>
  <c r="Y96" i="8"/>
  <c r="X96" i="8"/>
  <c r="V96" i="8"/>
  <c r="U96" i="8"/>
  <c r="T96" i="8"/>
  <c r="Y93" i="8"/>
  <c r="X93" i="8"/>
  <c r="V93" i="8"/>
  <c r="U93" i="8"/>
  <c r="T93" i="8"/>
  <c r="Y92" i="8"/>
  <c r="X92" i="8"/>
  <c r="V92" i="8"/>
  <c r="U92" i="8"/>
  <c r="T92" i="8"/>
  <c r="Y91" i="8"/>
  <c r="X91" i="8"/>
  <c r="V91" i="8"/>
  <c r="U91" i="8"/>
  <c r="T91" i="8"/>
  <c r="Y90" i="8"/>
  <c r="X90" i="8"/>
  <c r="V90" i="8"/>
  <c r="U90" i="8"/>
  <c r="T90" i="8"/>
  <c r="Y89" i="8"/>
  <c r="X89" i="8"/>
  <c r="V89" i="8"/>
  <c r="U89" i="8"/>
  <c r="T89" i="8"/>
  <c r="Y86" i="8"/>
  <c r="X86" i="8"/>
  <c r="V86" i="8"/>
  <c r="U86" i="8"/>
  <c r="T86" i="8"/>
  <c r="Y85" i="8"/>
  <c r="X85" i="8"/>
  <c r="V85" i="8"/>
  <c r="U85" i="8"/>
  <c r="T85" i="8"/>
  <c r="Y84" i="8"/>
  <c r="X84" i="8"/>
  <c r="V84" i="8"/>
  <c r="U84" i="8"/>
  <c r="T84" i="8"/>
  <c r="Y83" i="8"/>
  <c r="X83" i="8"/>
  <c r="V83" i="8"/>
  <c r="U83" i="8"/>
  <c r="T83" i="8"/>
  <c r="Y82" i="8"/>
  <c r="X82" i="8"/>
  <c r="V82" i="8"/>
  <c r="U82" i="8"/>
  <c r="T82" i="8"/>
  <c r="Y81" i="8"/>
  <c r="X81" i="8"/>
  <c r="V81" i="8"/>
  <c r="U81" i="8"/>
  <c r="T81" i="8"/>
  <c r="Y80" i="8"/>
  <c r="X80" i="8"/>
  <c r="V80" i="8"/>
  <c r="U80" i="8"/>
  <c r="T80" i="8"/>
  <c r="Y76" i="8"/>
  <c r="X76" i="8"/>
  <c r="V76" i="8"/>
  <c r="U76" i="8"/>
  <c r="T76" i="8"/>
  <c r="Y75" i="8"/>
  <c r="X75" i="8"/>
  <c r="V75" i="8"/>
  <c r="U75" i="8"/>
  <c r="T75" i="8"/>
  <c r="Y74" i="8"/>
  <c r="X74" i="8"/>
  <c r="V74" i="8"/>
  <c r="U74" i="8"/>
  <c r="T74" i="8"/>
  <c r="Y73" i="8"/>
  <c r="X73" i="8"/>
  <c r="V73" i="8"/>
  <c r="U73" i="8"/>
  <c r="T73" i="8"/>
  <c r="Y72" i="8"/>
  <c r="X72" i="8"/>
  <c r="V72" i="8"/>
  <c r="U72" i="8"/>
  <c r="T72" i="8"/>
  <c r="Y71" i="8"/>
  <c r="X71" i="8"/>
  <c r="V71" i="8"/>
  <c r="U71" i="8"/>
  <c r="T71" i="8"/>
  <c r="Y70" i="8"/>
  <c r="X70" i="8"/>
  <c r="V70" i="8"/>
  <c r="U70" i="8"/>
  <c r="T70" i="8"/>
  <c r="Y66" i="8"/>
  <c r="X66" i="8"/>
  <c r="V66" i="8"/>
  <c r="U66" i="8"/>
  <c r="T66" i="8"/>
  <c r="Y65" i="8"/>
  <c r="X65" i="8"/>
  <c r="V65" i="8"/>
  <c r="U65" i="8"/>
  <c r="T65" i="8"/>
  <c r="Y64" i="8"/>
  <c r="X64" i="8"/>
  <c r="V64" i="8"/>
  <c r="U64" i="8"/>
  <c r="T64" i="8"/>
  <c r="Y63" i="8"/>
  <c r="X63" i="8"/>
  <c r="V63" i="8"/>
  <c r="U63" i="8"/>
  <c r="T63" i="8"/>
  <c r="Y62" i="8"/>
  <c r="X62" i="8"/>
  <c r="V62" i="8"/>
  <c r="U62" i="8"/>
  <c r="T62" i="8"/>
  <c r="Y61" i="8"/>
  <c r="X61" i="8"/>
  <c r="V61" i="8"/>
  <c r="U61" i="8"/>
  <c r="T61" i="8"/>
  <c r="Y60" i="8"/>
  <c r="X60" i="8"/>
  <c r="V60" i="8"/>
  <c r="U60" i="8"/>
  <c r="T60" i="8"/>
  <c r="Y56" i="8"/>
  <c r="X56" i="8"/>
  <c r="U56" i="8"/>
  <c r="Y55" i="8"/>
  <c r="X55" i="8"/>
  <c r="V55" i="8"/>
  <c r="U55" i="8"/>
  <c r="T55" i="8"/>
  <c r="Y54" i="8"/>
  <c r="X54" i="8"/>
  <c r="V54" i="8"/>
  <c r="U54" i="8"/>
  <c r="T54" i="8"/>
  <c r="X53" i="8"/>
  <c r="V53" i="8"/>
  <c r="U53" i="8"/>
  <c r="T53" i="8"/>
  <c r="Y53" i="8"/>
  <c r="Q50" i="10"/>
  <c r="W19" i="10"/>
  <c r="V19" i="10"/>
  <c r="U19" i="10"/>
  <c r="T19" i="10"/>
  <c r="S19" i="10"/>
  <c r="W18" i="10"/>
  <c r="V18" i="10"/>
  <c r="U18" i="10"/>
  <c r="T18" i="10"/>
  <c r="S18" i="10"/>
  <c r="W17" i="10"/>
  <c r="V17" i="10"/>
  <c r="U17" i="10"/>
  <c r="T17" i="10"/>
  <c r="S17" i="10"/>
  <c r="W16" i="10"/>
  <c r="V16" i="10"/>
  <c r="U16" i="10"/>
  <c r="T16" i="10"/>
  <c r="S16" i="10"/>
  <c r="X59" i="10"/>
  <c r="W59" i="10"/>
  <c r="V59" i="10"/>
  <c r="U59" i="10"/>
  <c r="T59" i="10"/>
  <c r="S59" i="10"/>
  <c r="Y59" i="10"/>
  <c r="Y70" i="10"/>
  <c r="X70" i="10"/>
  <c r="W70" i="10"/>
  <c r="V70" i="10"/>
  <c r="U70" i="10"/>
  <c r="T70" i="10"/>
  <c r="S70" i="10"/>
  <c r="Y69" i="10"/>
  <c r="X69" i="10"/>
  <c r="W69" i="10"/>
  <c r="V69" i="10"/>
  <c r="U69" i="10"/>
  <c r="T69" i="10"/>
  <c r="S69" i="10"/>
  <c r="Y68" i="10"/>
  <c r="X68" i="10"/>
  <c r="W68" i="10"/>
  <c r="V68" i="10"/>
  <c r="U68" i="10"/>
  <c r="T68" i="10"/>
  <c r="S68" i="10"/>
  <c r="Y62" i="10"/>
  <c r="X62" i="10"/>
  <c r="W62" i="10"/>
  <c r="V62" i="10"/>
  <c r="U62" i="10"/>
  <c r="T62" i="10"/>
  <c r="S62" i="10"/>
  <c r="Y50" i="10"/>
  <c r="X50" i="10"/>
  <c r="W50" i="10"/>
  <c r="V50" i="10"/>
  <c r="U50" i="10"/>
  <c r="T50" i="10"/>
  <c r="S50" i="10"/>
  <c r="Y49" i="10"/>
  <c r="X49" i="10"/>
  <c r="W49" i="10"/>
  <c r="V49" i="10"/>
  <c r="U49" i="10"/>
  <c r="T49" i="10"/>
  <c r="S49" i="10"/>
  <c r="Y38" i="10"/>
  <c r="X38" i="10"/>
  <c r="W38" i="10"/>
  <c r="V38" i="10"/>
  <c r="U38" i="10"/>
  <c r="T38" i="10"/>
  <c r="S38" i="10"/>
  <c r="Y37" i="10"/>
  <c r="X37" i="10"/>
  <c r="W37" i="10"/>
  <c r="V37" i="10"/>
  <c r="U37" i="10"/>
  <c r="T37" i="10"/>
  <c r="S37" i="10"/>
  <c r="Y36" i="10"/>
  <c r="X36" i="10"/>
  <c r="W36" i="10"/>
  <c r="V36" i="10"/>
  <c r="U36" i="10"/>
  <c r="T36" i="10"/>
  <c r="S36" i="10"/>
  <c r="Y25" i="10"/>
  <c r="X25" i="10"/>
  <c r="W25" i="10"/>
  <c r="V25" i="10"/>
  <c r="U25" i="10"/>
  <c r="T25" i="10"/>
  <c r="S25" i="10"/>
  <c r="Y24" i="10"/>
  <c r="X24" i="10"/>
  <c r="W24" i="10"/>
  <c r="V24" i="10"/>
  <c r="U24" i="10"/>
  <c r="T24" i="10"/>
  <c r="S24" i="10"/>
  <c r="Y23" i="10"/>
  <c r="X23" i="10"/>
  <c r="W23" i="10"/>
  <c r="V23" i="10"/>
  <c r="U23" i="10"/>
  <c r="T23" i="10"/>
  <c r="S23" i="10"/>
  <c r="Y22" i="10"/>
  <c r="X22" i="10"/>
  <c r="W22" i="10"/>
  <c r="V22" i="10"/>
  <c r="U22" i="10"/>
  <c r="T22" i="10"/>
  <c r="S22" i="10"/>
  <c r="Y12" i="10"/>
  <c r="X12" i="10"/>
  <c r="W12" i="10"/>
  <c r="V12" i="10"/>
  <c r="U12" i="10"/>
  <c r="T12" i="10"/>
  <c r="S12" i="10"/>
  <c r="Y11" i="10"/>
  <c r="X11" i="10"/>
  <c r="W11" i="10"/>
  <c r="V11" i="10"/>
  <c r="U11" i="10"/>
  <c r="T11" i="10"/>
  <c r="S11" i="10"/>
  <c r="Y10" i="10"/>
  <c r="X10" i="10"/>
  <c r="W10" i="10"/>
  <c r="V10" i="10"/>
  <c r="U10" i="10"/>
  <c r="T10" i="10"/>
  <c r="S10" i="10"/>
  <c r="X9" i="10"/>
  <c r="W9" i="10"/>
  <c r="V9" i="10"/>
  <c r="U9" i="10"/>
  <c r="T9" i="10"/>
  <c r="S9" i="10"/>
  <c r="Y9" i="10"/>
  <c r="N50" i="10"/>
  <c r="J50" i="10"/>
  <c r="O59" i="10"/>
  <c r="K59" i="10"/>
  <c r="E159" i="8"/>
  <c r="D159" i="8"/>
  <c r="C159" i="8"/>
  <c r="H159" i="8"/>
  <c r="I159" i="8" s="1"/>
  <c r="O70" i="10"/>
  <c r="O69" i="10"/>
  <c r="O68" i="10"/>
  <c r="O62" i="10"/>
  <c r="O49" i="10"/>
  <c r="O38" i="10"/>
  <c r="O37" i="10"/>
  <c r="O36" i="10"/>
  <c r="O25" i="10"/>
  <c r="O24" i="10"/>
  <c r="O23" i="10"/>
  <c r="O22" i="10"/>
  <c r="O12" i="10"/>
  <c r="O11" i="10"/>
  <c r="O10" i="10"/>
  <c r="O9" i="10"/>
  <c r="K70" i="10"/>
  <c r="K69" i="10"/>
  <c r="K68" i="10"/>
  <c r="K62" i="10"/>
  <c r="K49" i="10"/>
  <c r="K38" i="10"/>
  <c r="K37" i="10"/>
  <c r="K36" i="10"/>
  <c r="K25" i="10"/>
  <c r="K24" i="10"/>
  <c r="K23" i="10"/>
  <c r="K22" i="10"/>
  <c r="K12" i="10"/>
  <c r="K11" i="10"/>
  <c r="K10" i="10"/>
  <c r="K9" i="10"/>
  <c r="K123" i="8"/>
  <c r="V123" i="8" s="1"/>
  <c r="C123" i="8"/>
  <c r="D123" i="8"/>
  <c r="E123" i="8"/>
  <c r="F123" i="8"/>
  <c r="O123" i="8" s="1"/>
  <c r="X123" i="8" s="1"/>
  <c r="O151" i="8"/>
  <c r="K151" i="8"/>
  <c r="S151" i="8" s="1"/>
  <c r="T147" i="8" s="1"/>
  <c r="H76" i="8"/>
  <c r="H66" i="8"/>
  <c r="H86" i="8"/>
  <c r="O122" i="8"/>
  <c r="W122" i="8" s="1"/>
  <c r="K122" i="8"/>
  <c r="V122" i="8" s="1"/>
  <c r="O150" i="8"/>
  <c r="W150" i="8" s="1"/>
  <c r="K150" i="8"/>
  <c r="S150" i="8" s="1"/>
  <c r="K142" i="8"/>
  <c r="K140" i="8"/>
  <c r="V140" i="8" s="1"/>
  <c r="K139" i="8"/>
  <c r="T139" i="8" s="1"/>
  <c r="O138" i="8"/>
  <c r="Y138" i="8" s="1"/>
  <c r="K138" i="8"/>
  <c r="V138" i="8" s="1"/>
  <c r="O137" i="8"/>
  <c r="X137" i="8" s="1"/>
  <c r="O136" i="8"/>
  <c r="W136" i="8" s="1"/>
  <c r="K136" i="8"/>
  <c r="V136" i="8" s="1"/>
  <c r="O135" i="8"/>
  <c r="X135" i="8" s="1"/>
  <c r="K135" i="8"/>
  <c r="V135" i="8" s="1"/>
  <c r="K130" i="8"/>
  <c r="T130" i="8" s="1"/>
  <c r="O129" i="8"/>
  <c r="Y129" i="8" s="1"/>
  <c r="K129" i="8"/>
  <c r="S129" i="8" s="1"/>
  <c r="O128" i="8"/>
  <c r="Y128" i="8" s="1"/>
  <c r="K128" i="8"/>
  <c r="S128" i="8" s="1"/>
  <c r="O127" i="8"/>
  <c r="Y127" i="8" s="1"/>
  <c r="O121" i="8"/>
  <c r="Y121" i="8" s="1"/>
  <c r="K121" i="8"/>
  <c r="V121" i="8" s="1"/>
  <c r="O120" i="8"/>
  <c r="Y120" i="8" s="1"/>
  <c r="K120" i="8"/>
  <c r="U120" i="8" s="1"/>
  <c r="O119" i="8"/>
  <c r="Y119" i="8" s="1"/>
  <c r="K119" i="8"/>
  <c r="T119" i="8" s="1"/>
  <c r="O118" i="8"/>
  <c r="Y118" i="8" s="1"/>
  <c r="K118" i="8"/>
  <c r="S118" i="8" s="1"/>
  <c r="O117" i="8"/>
  <c r="Y117" i="8" s="1"/>
  <c r="K117" i="8"/>
  <c r="V117" i="8" s="1"/>
  <c r="O116" i="8"/>
  <c r="Y116" i="8" s="1"/>
  <c r="K116" i="8"/>
  <c r="V116" i="8" s="1"/>
  <c r="O115" i="8"/>
  <c r="X115" i="8" s="1"/>
  <c r="K115" i="8"/>
  <c r="V115" i="8" s="1"/>
  <c r="O114" i="8"/>
  <c r="W114" i="8" s="1"/>
  <c r="K114" i="8"/>
  <c r="V114" i="8" s="1"/>
  <c r="O113" i="8"/>
  <c r="Y113" i="8" s="1"/>
  <c r="K113" i="8"/>
  <c r="V113" i="8" s="1"/>
  <c r="O112" i="8"/>
  <c r="Y112" i="8" s="1"/>
  <c r="K112" i="8"/>
  <c r="U112" i="8" s="1"/>
  <c r="O111" i="8"/>
  <c r="Y111" i="8" s="1"/>
  <c r="K111" i="8"/>
  <c r="T111" i="8" s="1"/>
  <c r="O45" i="8"/>
  <c r="W45" i="8" s="1"/>
  <c r="O42" i="8"/>
  <c r="W42" i="8" s="1"/>
  <c r="O38" i="8"/>
  <c r="Y38" i="8" s="1"/>
  <c r="O35" i="8"/>
  <c r="X35" i="8" s="1"/>
  <c r="O32" i="8"/>
  <c r="W32" i="8" s="1"/>
  <c r="O31" i="8"/>
  <c r="Y31" i="8" s="1"/>
  <c r="O27" i="8"/>
  <c r="Y27" i="8" s="1"/>
  <c r="O26" i="8"/>
  <c r="Y26" i="8" s="1"/>
  <c r="O25" i="8"/>
  <c r="Y25" i="8" s="1"/>
  <c r="O24" i="8"/>
  <c r="Y24" i="8" s="1"/>
  <c r="O23" i="8"/>
  <c r="Y23" i="8" s="1"/>
  <c r="O19" i="8"/>
  <c r="X19" i="8" s="1"/>
  <c r="O18" i="8"/>
  <c r="W18" i="8" s="1"/>
  <c r="O17" i="8"/>
  <c r="Y17" i="8" s="1"/>
  <c r="O16" i="8"/>
  <c r="W16" i="8" s="1"/>
  <c r="O15" i="8"/>
  <c r="Y15" i="8" s="1"/>
  <c r="O14" i="8"/>
  <c r="Y14" i="8" s="1"/>
  <c r="O13" i="8"/>
  <c r="Y13" i="8" s="1"/>
  <c r="O10" i="8"/>
  <c r="X10" i="8" s="1"/>
  <c r="O56" i="8"/>
  <c r="W56" i="8" s="1"/>
  <c r="O55" i="8"/>
  <c r="W55" i="8" s="1"/>
  <c r="O54" i="8"/>
  <c r="W54" i="8" s="1"/>
  <c r="O53" i="8"/>
  <c r="W53" i="8" s="1"/>
  <c r="O66" i="8"/>
  <c r="W66" i="8" s="1"/>
  <c r="O65" i="8"/>
  <c r="W65" i="8" s="1"/>
  <c r="O64" i="8"/>
  <c r="W64" i="8" s="1"/>
  <c r="O63" i="8"/>
  <c r="W63" i="8" s="1"/>
  <c r="O62" i="8"/>
  <c r="W62" i="8" s="1"/>
  <c r="O61" i="8"/>
  <c r="W61" i="8" s="1"/>
  <c r="O60" i="8"/>
  <c r="W60" i="8" s="1"/>
  <c r="O76" i="8"/>
  <c r="W76" i="8" s="1"/>
  <c r="O75" i="8"/>
  <c r="W75" i="8" s="1"/>
  <c r="O74" i="8"/>
  <c r="W74" i="8" s="1"/>
  <c r="O73" i="8"/>
  <c r="W73" i="8" s="1"/>
  <c r="O72" i="8"/>
  <c r="W72" i="8" s="1"/>
  <c r="O71" i="8"/>
  <c r="W71" i="8" s="1"/>
  <c r="O70" i="8"/>
  <c r="W70" i="8" s="1"/>
  <c r="O86" i="8"/>
  <c r="W86" i="8" s="1"/>
  <c r="O85" i="8"/>
  <c r="W85" i="8" s="1"/>
  <c r="O84" i="8"/>
  <c r="W84" i="8" s="1"/>
  <c r="O83" i="8"/>
  <c r="W83" i="8" s="1"/>
  <c r="O82" i="8"/>
  <c r="W82" i="8" s="1"/>
  <c r="O81" i="8"/>
  <c r="W81" i="8" s="1"/>
  <c r="O80" i="8"/>
  <c r="W80" i="8" s="1"/>
  <c r="O93" i="8"/>
  <c r="W93" i="8" s="1"/>
  <c r="O92" i="8"/>
  <c r="W92" i="8" s="1"/>
  <c r="O91" i="8"/>
  <c r="W91" i="8" s="1"/>
  <c r="O90" i="8"/>
  <c r="W90" i="8" s="1"/>
  <c r="O89" i="8"/>
  <c r="W89" i="8" s="1"/>
  <c r="O96" i="8"/>
  <c r="W96" i="8" s="1"/>
  <c r="K96" i="8"/>
  <c r="S96" i="8" s="1"/>
  <c r="K93" i="8"/>
  <c r="S93" i="8" s="1"/>
  <c r="K92" i="8"/>
  <c r="S92" i="8" s="1"/>
  <c r="K91" i="8"/>
  <c r="S91" i="8" s="1"/>
  <c r="K90" i="8"/>
  <c r="S90" i="8" s="1"/>
  <c r="K89" i="8"/>
  <c r="S89" i="8" s="1"/>
  <c r="K86" i="8"/>
  <c r="S86" i="8" s="1"/>
  <c r="K85" i="8"/>
  <c r="S85" i="8" s="1"/>
  <c r="K84" i="8"/>
  <c r="S84" i="8" s="1"/>
  <c r="K83" i="8"/>
  <c r="S83" i="8" s="1"/>
  <c r="K82" i="8"/>
  <c r="S82" i="8" s="1"/>
  <c r="K81" i="8"/>
  <c r="S81" i="8" s="1"/>
  <c r="K80" i="8"/>
  <c r="S80" i="8" s="1"/>
  <c r="K76" i="8"/>
  <c r="S76" i="8" s="1"/>
  <c r="K75" i="8"/>
  <c r="S75" i="8" s="1"/>
  <c r="K74" i="8"/>
  <c r="S74" i="8" s="1"/>
  <c r="K73" i="8"/>
  <c r="S73" i="8" s="1"/>
  <c r="K72" i="8"/>
  <c r="S72" i="8" s="1"/>
  <c r="K71" i="8"/>
  <c r="S71" i="8" s="1"/>
  <c r="K70" i="8"/>
  <c r="S70" i="8" s="1"/>
  <c r="K66" i="8"/>
  <c r="S66" i="8" s="1"/>
  <c r="K65" i="8"/>
  <c r="S65" i="8" s="1"/>
  <c r="K64" i="8"/>
  <c r="S64" i="8" s="1"/>
  <c r="K63" i="8"/>
  <c r="S63" i="8" s="1"/>
  <c r="K62" i="8"/>
  <c r="S62" i="8" s="1"/>
  <c r="K61" i="8"/>
  <c r="S61" i="8" s="1"/>
  <c r="K60" i="8"/>
  <c r="S60" i="8" s="1"/>
  <c r="K55" i="8"/>
  <c r="S55" i="8" s="1"/>
  <c r="K54" i="8"/>
  <c r="S54" i="8" s="1"/>
  <c r="K53" i="8"/>
  <c r="S53" i="8" s="1"/>
  <c r="K45" i="8"/>
  <c r="S45" i="8" s="1"/>
  <c r="K42" i="8"/>
  <c r="S42" i="8" s="1"/>
  <c r="K38" i="8"/>
  <c r="V38" i="8" s="1"/>
  <c r="K35" i="8"/>
  <c r="V35" i="8" s="1"/>
  <c r="K10" i="8"/>
  <c r="V10" i="8" s="1"/>
  <c r="K19" i="8"/>
  <c r="V19" i="8" s="1"/>
  <c r="K18" i="8"/>
  <c r="V18" i="8" s="1"/>
  <c r="K17" i="8"/>
  <c r="V17" i="8" s="1"/>
  <c r="K16" i="8"/>
  <c r="U16" i="8" s="1"/>
  <c r="K15" i="8"/>
  <c r="T15" i="8" s="1"/>
  <c r="K14" i="8"/>
  <c r="S14" i="8" s="1"/>
  <c r="K13" i="8"/>
  <c r="V13" i="8" s="1"/>
  <c r="K27" i="8"/>
  <c r="U27" i="8" s="1"/>
  <c r="K26" i="8"/>
  <c r="T26" i="8" s="1"/>
  <c r="K25" i="8"/>
  <c r="S25" i="8" s="1"/>
  <c r="K24" i="8"/>
  <c r="T24" i="8" s="1"/>
  <c r="K23" i="8"/>
  <c r="V23" i="8" s="1"/>
  <c r="K31" i="8"/>
  <c r="V31" i="8" s="1"/>
  <c r="K32" i="8"/>
  <c r="V32" i="8" s="1"/>
  <c r="Y147" i="8"/>
  <c r="V147" i="8"/>
  <c r="B76" i="10"/>
  <c r="B75" i="10"/>
  <c r="B74" i="10"/>
  <c r="Q71" i="10"/>
  <c r="Q72" i="10" s="1"/>
  <c r="P71" i="10"/>
  <c r="P72" i="10" s="1"/>
  <c r="N71" i="10"/>
  <c r="N72" i="10" s="1"/>
  <c r="M71" i="10"/>
  <c r="M72" i="10" s="1"/>
  <c r="L71" i="10"/>
  <c r="L72" i="10" s="1"/>
  <c r="J71" i="10"/>
  <c r="J72" i="10" s="1"/>
  <c r="I71" i="10"/>
  <c r="I72" i="10" s="1"/>
  <c r="H71" i="10"/>
  <c r="H72" i="10" s="1"/>
  <c r="F71" i="10"/>
  <c r="F72" i="10" s="1"/>
  <c r="E71" i="10"/>
  <c r="E72" i="10" s="1"/>
  <c r="D71" i="10"/>
  <c r="D72" i="10" s="1"/>
  <c r="C71" i="10"/>
  <c r="C72" i="10" s="1"/>
  <c r="Q63" i="10"/>
  <c r="P63" i="10"/>
  <c r="N63" i="10"/>
  <c r="M63" i="10"/>
  <c r="L63" i="10"/>
  <c r="J63" i="10"/>
  <c r="I63" i="10"/>
  <c r="H63" i="10"/>
  <c r="E63" i="10"/>
  <c r="D63" i="10"/>
  <c r="C63" i="10"/>
  <c r="E50" i="10"/>
  <c r="E51" i="10" s="1"/>
  <c r="E52" i="10" s="1"/>
  <c r="F50" i="10"/>
  <c r="F51" i="10" s="1"/>
  <c r="F52" i="10" s="1"/>
  <c r="B55" i="10"/>
  <c r="B54" i="10"/>
  <c r="Q51" i="10"/>
  <c r="Q52" i="10" s="1"/>
  <c r="P51" i="10"/>
  <c r="P52" i="10" s="1"/>
  <c r="N51" i="10"/>
  <c r="N52" i="10" s="1"/>
  <c r="M51" i="10"/>
  <c r="M52" i="10" s="1"/>
  <c r="L51" i="10"/>
  <c r="L52" i="10" s="1"/>
  <c r="J51" i="10"/>
  <c r="J52" i="10" s="1"/>
  <c r="I51" i="10"/>
  <c r="I52" i="10" s="1"/>
  <c r="H51" i="10"/>
  <c r="H52" i="10" s="1"/>
  <c r="D51" i="10"/>
  <c r="D52" i="10" s="1"/>
  <c r="C51" i="10"/>
  <c r="C52" i="10" s="1"/>
  <c r="B31" i="10"/>
  <c r="B30" i="10"/>
  <c r="B29" i="10"/>
  <c r="Q26" i="10"/>
  <c r="Q30" i="10" s="1"/>
  <c r="P26" i="10"/>
  <c r="P30" i="10" s="1"/>
  <c r="N26" i="10"/>
  <c r="N30" i="10" s="1"/>
  <c r="M26" i="10"/>
  <c r="M29" i="10" s="1"/>
  <c r="L26" i="10"/>
  <c r="L31" i="10" s="1"/>
  <c r="J26" i="10"/>
  <c r="J31" i="10" s="1"/>
  <c r="I26" i="10"/>
  <c r="I31" i="10" s="1"/>
  <c r="H26" i="10"/>
  <c r="H30" i="10" s="1"/>
  <c r="F26" i="10"/>
  <c r="F30" i="10" s="1"/>
  <c r="E26" i="10"/>
  <c r="E30" i="10" s="1"/>
  <c r="D26" i="10"/>
  <c r="D31" i="10" s="1"/>
  <c r="C26" i="10"/>
  <c r="C31" i="10" s="1"/>
  <c r="B19" i="10"/>
  <c r="B18" i="10"/>
  <c r="B17" i="10"/>
  <c r="C86" i="8"/>
  <c r="C96" i="8"/>
  <c r="C76" i="8"/>
  <c r="C66" i="8"/>
  <c r="C129" i="8"/>
  <c r="D86" i="8"/>
  <c r="D76" i="8"/>
  <c r="D66" i="8"/>
  <c r="F57" i="8"/>
  <c r="F67" i="8" s="1"/>
  <c r="B44" i="10"/>
  <c r="B43" i="10"/>
  <c r="B42" i="10"/>
  <c r="O8" i="8"/>
  <c r="O4" i="11" s="1"/>
  <c r="W4" i="11" s="1"/>
  <c r="K8" i="8"/>
  <c r="K4" i="10" s="1"/>
  <c r="S4" i="10" s="1"/>
  <c r="F132" i="8"/>
  <c r="F143" i="8"/>
  <c r="Q4" i="11"/>
  <c r="Y4" i="11" s="1"/>
  <c r="P4" i="11"/>
  <c r="X4" i="11" s="1"/>
  <c r="N4" i="11"/>
  <c r="V4" i="11" s="1"/>
  <c r="M4" i="11"/>
  <c r="U4" i="11" s="1"/>
  <c r="L4" i="11"/>
  <c r="T4" i="11" s="1"/>
  <c r="J4" i="11"/>
  <c r="I4" i="11"/>
  <c r="Q3" i="11"/>
  <c r="Y3" i="11" s="1"/>
  <c r="P3" i="11"/>
  <c r="X3" i="11" s="1"/>
  <c r="O3" i="11"/>
  <c r="W3" i="11" s="1"/>
  <c r="N3" i="11"/>
  <c r="V3" i="11" s="1"/>
  <c r="M3" i="11"/>
  <c r="U3" i="11" s="1"/>
  <c r="L3" i="11"/>
  <c r="T3" i="11" s="1"/>
  <c r="K3" i="11"/>
  <c r="S3" i="11" s="1"/>
  <c r="J3" i="11"/>
  <c r="I3" i="11"/>
  <c r="H4" i="11"/>
  <c r="H3" i="11"/>
  <c r="E4" i="11"/>
  <c r="D4" i="11"/>
  <c r="C4" i="11"/>
  <c r="E3" i="11"/>
  <c r="D3" i="11"/>
  <c r="C3" i="11"/>
  <c r="F3" i="11"/>
  <c r="F4" i="11"/>
  <c r="B2" i="11"/>
  <c r="F13" i="10"/>
  <c r="F19" i="10" s="1"/>
  <c r="F4" i="10"/>
  <c r="F3" i="10"/>
  <c r="Q147" i="8"/>
  <c r="O147" i="8"/>
  <c r="N147" i="8"/>
  <c r="M147" i="8"/>
  <c r="K147" i="8"/>
  <c r="S147" i="8" s="1"/>
  <c r="J147" i="8"/>
  <c r="I147" i="8"/>
  <c r="F147" i="8"/>
  <c r="L147" i="8"/>
  <c r="F105" i="8"/>
  <c r="F104" i="8"/>
  <c r="F94" i="8"/>
  <c r="F97" i="8" s="1"/>
  <c r="F50" i="8"/>
  <c r="F49" i="8"/>
  <c r="F11" i="8"/>
  <c r="F20" i="8" s="1"/>
  <c r="Q4" i="10"/>
  <c r="Y4" i="10" s="1"/>
  <c r="P4" i="10"/>
  <c r="X4" i="10" s="1"/>
  <c r="N4" i="10"/>
  <c r="V4" i="10" s="1"/>
  <c r="M4" i="10"/>
  <c r="U4" i="10" s="1"/>
  <c r="L4" i="10"/>
  <c r="T4" i="10" s="1"/>
  <c r="J4" i="10"/>
  <c r="I4" i="10"/>
  <c r="Q3" i="10"/>
  <c r="Y3" i="10" s="1"/>
  <c r="P3" i="10"/>
  <c r="X3" i="10" s="1"/>
  <c r="O3" i="10"/>
  <c r="W3" i="10" s="1"/>
  <c r="N3" i="10"/>
  <c r="V3" i="10" s="1"/>
  <c r="M3" i="10"/>
  <c r="U3" i="10" s="1"/>
  <c r="L3" i="10"/>
  <c r="T3" i="10" s="1"/>
  <c r="K3" i="10"/>
  <c r="S3" i="10" s="1"/>
  <c r="J3" i="10"/>
  <c r="I3" i="10"/>
  <c r="H4" i="10"/>
  <c r="H3" i="10"/>
  <c r="D4" i="10"/>
  <c r="C4" i="10"/>
  <c r="D3" i="10"/>
  <c r="C3" i="10"/>
  <c r="E4" i="10"/>
  <c r="E3" i="10"/>
  <c r="U71" i="11" l="1"/>
  <c r="M72" i="11"/>
  <c r="L71" i="11"/>
  <c r="T71" i="11" s="1"/>
  <c r="V39" i="11"/>
  <c r="N71" i="11"/>
  <c r="V71" i="11" s="1"/>
  <c r="X39" i="11"/>
  <c r="X28" i="11"/>
  <c r="S35" i="11"/>
  <c r="Y41" i="11"/>
  <c r="V38" i="11"/>
  <c r="Y45" i="11"/>
  <c r="V46" i="11"/>
  <c r="S44" i="11"/>
  <c r="Y44" i="11"/>
  <c r="U45" i="11"/>
  <c r="W46" i="11"/>
  <c r="S47" i="11"/>
  <c r="Y47" i="11"/>
  <c r="U48" i="11"/>
  <c r="S28" i="11"/>
  <c r="T36" i="11"/>
  <c r="Y36" i="11"/>
  <c r="U37" i="11"/>
  <c r="X41" i="11"/>
  <c r="U38" i="11"/>
  <c r="W44" i="11"/>
  <c r="X45" i="11"/>
  <c r="U46" i="11"/>
  <c r="V47" i="11"/>
  <c r="W48" i="11"/>
  <c r="Y28" i="11"/>
  <c r="Y48" i="11"/>
  <c r="W38" i="11"/>
  <c r="V40" i="11"/>
  <c r="U47" i="11"/>
  <c r="X38" i="11"/>
  <c r="V45" i="11"/>
  <c r="W47" i="11"/>
  <c r="V35" i="11"/>
  <c r="T41" i="11"/>
  <c r="S38" i="11"/>
  <c r="Y38" i="11"/>
  <c r="Y40" i="11"/>
  <c r="T44" i="11"/>
  <c r="T47" i="11"/>
  <c r="W45" i="11"/>
  <c r="V48" i="11"/>
  <c r="W28" i="11"/>
  <c r="S40" i="11"/>
  <c r="U44" i="11"/>
  <c r="S46" i="11"/>
  <c r="X46" i="11"/>
  <c r="T40" i="11"/>
  <c r="V44" i="11"/>
  <c r="T46" i="11"/>
  <c r="X48" i="11"/>
  <c r="S48" i="11"/>
  <c r="T48" i="11"/>
  <c r="X47" i="11"/>
  <c r="Y46" i="11"/>
  <c r="T45" i="11"/>
  <c r="X44" i="11"/>
  <c r="W40" i="11"/>
  <c r="U40" i="11"/>
  <c r="S36" i="11"/>
  <c r="U39" i="11"/>
  <c r="T38" i="11"/>
  <c r="W39" i="11"/>
  <c r="W14" i="11"/>
  <c r="W41" i="11"/>
  <c r="V36" i="11"/>
  <c r="S37" i="11"/>
  <c r="X37" i="11"/>
  <c r="T30" i="11"/>
  <c r="V41" i="11"/>
  <c r="S39" i="11"/>
  <c r="Y39" i="11"/>
  <c r="T39" i="11"/>
  <c r="S29" i="11"/>
  <c r="T29" i="11"/>
  <c r="X29" i="11"/>
  <c r="Y29" i="11"/>
  <c r="W30" i="11"/>
  <c r="X30" i="11"/>
  <c r="W31" i="11"/>
  <c r="Y30" i="11"/>
  <c r="X31" i="11"/>
  <c r="Y31" i="11"/>
  <c r="V30" i="11"/>
  <c r="X36" i="11"/>
  <c r="T37" i="11"/>
  <c r="S41" i="11"/>
  <c r="Y35" i="11"/>
  <c r="U35" i="11"/>
  <c r="W37" i="11"/>
  <c r="V29" i="11"/>
  <c r="U31" i="11"/>
  <c r="U28" i="11"/>
  <c r="T35" i="11"/>
  <c r="W36" i="11"/>
  <c r="V28" i="11"/>
  <c r="W29" i="11"/>
  <c r="Y37" i="11"/>
  <c r="U41" i="11"/>
  <c r="V37" i="11"/>
  <c r="U36" i="11"/>
  <c r="W35" i="11"/>
  <c r="X35" i="11"/>
  <c r="S31" i="11"/>
  <c r="S30" i="11"/>
  <c r="T31" i="11"/>
  <c r="U30" i="11"/>
  <c r="V31" i="11"/>
  <c r="U29" i="11"/>
  <c r="AA29" i="11" s="1"/>
  <c r="T28" i="11"/>
  <c r="Y24" i="11"/>
  <c r="X16" i="11"/>
  <c r="S15" i="11"/>
  <c r="T16" i="11"/>
  <c r="X20" i="11"/>
  <c r="X24" i="11"/>
  <c r="V19" i="11"/>
  <c r="T20" i="11"/>
  <c r="S14" i="11"/>
  <c r="Y17" i="11"/>
  <c r="X18" i="11"/>
  <c r="T18" i="11"/>
  <c r="S24" i="11"/>
  <c r="V15" i="11"/>
  <c r="U17" i="11"/>
  <c r="S18" i="11"/>
  <c r="Y20" i="11"/>
  <c r="T24" i="11"/>
  <c r="U24" i="11"/>
  <c r="V24" i="11"/>
  <c r="W24" i="11"/>
  <c r="W8" i="11"/>
  <c r="W15" i="11"/>
  <c r="T14" i="11"/>
  <c r="Y14" i="11"/>
  <c r="Y15" i="11"/>
  <c r="Y16" i="11"/>
  <c r="X17" i="11"/>
  <c r="W18" i="11"/>
  <c r="T19" i="11"/>
  <c r="V20" i="11"/>
  <c r="X14" i="11"/>
  <c r="V16" i="11"/>
  <c r="S17" i="11"/>
  <c r="Y18" i="11"/>
  <c r="Y19" i="11"/>
  <c r="W16" i="11"/>
  <c r="U19" i="11"/>
  <c r="W20" i="11"/>
  <c r="S16" i="11"/>
  <c r="T17" i="11"/>
  <c r="S20" i="11"/>
  <c r="U18" i="11"/>
  <c r="W19" i="11"/>
  <c r="T15" i="11"/>
  <c r="U16" i="11"/>
  <c r="V17" i="11"/>
  <c r="U14" i="11"/>
  <c r="V18" i="11"/>
  <c r="X19" i="11"/>
  <c r="U15" i="11"/>
  <c r="W17" i="11"/>
  <c r="V14" i="11"/>
  <c r="U20" i="11"/>
  <c r="X15" i="11"/>
  <c r="S19" i="11"/>
  <c r="T6" i="11"/>
  <c r="Y8" i="11"/>
  <c r="W9" i="11"/>
  <c r="U7" i="11"/>
  <c r="S6" i="11"/>
  <c r="X6" i="11"/>
  <c r="W7" i="11"/>
  <c r="V8" i="11"/>
  <c r="U9" i="11"/>
  <c r="X7" i="11"/>
  <c r="Y7" i="11"/>
  <c r="V7" i="11"/>
  <c r="Y6" i="11"/>
  <c r="V9" i="11"/>
  <c r="T7" i="11"/>
  <c r="Y9" i="11"/>
  <c r="V6" i="11"/>
  <c r="S8" i="11"/>
  <c r="W6" i="11"/>
  <c r="U8" i="11"/>
  <c r="T9" i="11"/>
  <c r="X8" i="11"/>
  <c r="S9" i="11"/>
  <c r="X9" i="11"/>
  <c r="U6" i="11"/>
  <c r="S7" i="11"/>
  <c r="T8" i="11"/>
  <c r="O142" i="8"/>
  <c r="W142" i="8" s="1"/>
  <c r="V142" i="8"/>
  <c r="V137" i="8"/>
  <c r="U131" i="8"/>
  <c r="W112" i="8"/>
  <c r="Y136" i="8"/>
  <c r="X32" i="8"/>
  <c r="T118" i="8"/>
  <c r="Y18" i="8"/>
  <c r="X121" i="8"/>
  <c r="X31" i="8"/>
  <c r="X122" i="8"/>
  <c r="W147" i="8"/>
  <c r="X142" i="8"/>
  <c r="Y142" i="8"/>
  <c r="W140" i="8"/>
  <c r="U139" i="8"/>
  <c r="AA139" i="8" s="1"/>
  <c r="V139" i="8"/>
  <c r="Y137" i="8"/>
  <c r="S138" i="8"/>
  <c r="W135" i="8"/>
  <c r="X136" i="8"/>
  <c r="V131" i="8"/>
  <c r="U130" i="8"/>
  <c r="V130" i="8"/>
  <c r="S127" i="8"/>
  <c r="W121" i="8"/>
  <c r="X114" i="8"/>
  <c r="Y114" i="8"/>
  <c r="S117" i="8"/>
  <c r="T117" i="8"/>
  <c r="Y122" i="8"/>
  <c r="Y123" i="8"/>
  <c r="W120" i="8"/>
  <c r="V120" i="8"/>
  <c r="U118" i="8"/>
  <c r="AA118" i="8" s="1"/>
  <c r="Y115" i="8"/>
  <c r="S116" i="8"/>
  <c r="W113" i="8"/>
  <c r="X113" i="8"/>
  <c r="V112" i="8"/>
  <c r="S38" i="8"/>
  <c r="Y35" i="8"/>
  <c r="Y32" i="8"/>
  <c r="W31" i="8"/>
  <c r="U26" i="8"/>
  <c r="AA26" i="8" s="1"/>
  <c r="V26" i="8"/>
  <c r="S23" i="8"/>
  <c r="T25" i="8"/>
  <c r="V27" i="8"/>
  <c r="V15" i="8"/>
  <c r="X17" i="8"/>
  <c r="X18" i="8"/>
  <c r="Y19" i="8"/>
  <c r="S13" i="8"/>
  <c r="T13" i="8"/>
  <c r="W17" i="8"/>
  <c r="U14" i="8"/>
  <c r="AA14" i="8" s="1"/>
  <c r="U15" i="8"/>
  <c r="AA15" i="8" s="1"/>
  <c r="V16" i="8"/>
  <c r="T14" i="8"/>
  <c r="Y10" i="8"/>
  <c r="W131" i="8"/>
  <c r="T129" i="8"/>
  <c r="U129" i="8"/>
  <c r="AA129" i="8" s="1"/>
  <c r="S24" i="8"/>
  <c r="X140" i="8"/>
  <c r="S10" i="8"/>
  <c r="U13" i="8"/>
  <c r="V14" i="8"/>
  <c r="W15" i="8"/>
  <c r="X16" i="8"/>
  <c r="S19" i="8"/>
  <c r="T23" i="8"/>
  <c r="U24" i="8"/>
  <c r="AA24" i="8" s="1"/>
  <c r="V25" i="8"/>
  <c r="W26" i="8"/>
  <c r="X27" i="8"/>
  <c r="S35" i="8"/>
  <c r="T38" i="8"/>
  <c r="W111" i="8"/>
  <c r="X112" i="8"/>
  <c r="S115" i="8"/>
  <c r="T116" i="8"/>
  <c r="U117" i="8"/>
  <c r="AA117" i="8" s="1"/>
  <c r="V118" i="8"/>
  <c r="W119" i="8"/>
  <c r="X120" i="8"/>
  <c r="S123" i="8"/>
  <c r="T127" i="8"/>
  <c r="U128" i="8"/>
  <c r="AA128" i="8" s="1"/>
  <c r="V129" i="8"/>
  <c r="W130" i="8"/>
  <c r="X131" i="8"/>
  <c r="Y135" i="8"/>
  <c r="S137" i="8"/>
  <c r="T138" i="8"/>
  <c r="W139" i="8"/>
  <c r="W27" i="8"/>
  <c r="T128" i="8"/>
  <c r="S8" i="8"/>
  <c r="S50" i="8" s="1"/>
  <c r="T10" i="8"/>
  <c r="W14" i="8"/>
  <c r="X15" i="8"/>
  <c r="Y16" i="8"/>
  <c r="S18" i="8"/>
  <c r="T19" i="8"/>
  <c r="U23" i="8"/>
  <c r="V24" i="8"/>
  <c r="W25" i="8"/>
  <c r="X26" i="8"/>
  <c r="S32" i="8"/>
  <c r="T35" i="8"/>
  <c r="U38" i="8"/>
  <c r="X111" i="8"/>
  <c r="S114" i="8"/>
  <c r="T115" i="8"/>
  <c r="U116" i="8"/>
  <c r="W118" i="8"/>
  <c r="X119" i="8"/>
  <c r="S122" i="8"/>
  <c r="T123" i="8"/>
  <c r="U127" i="8"/>
  <c r="V128" i="8"/>
  <c r="W129" i="8"/>
  <c r="X130" i="8"/>
  <c r="S136" i="8"/>
  <c r="T137" i="8"/>
  <c r="U138" i="8"/>
  <c r="AA138" i="8" s="1"/>
  <c r="X139" i="8"/>
  <c r="S142" i="8"/>
  <c r="U119" i="8"/>
  <c r="AA119" i="8" s="1"/>
  <c r="U10" i="8"/>
  <c r="W13" i="8"/>
  <c r="X14" i="8"/>
  <c r="S17" i="8"/>
  <c r="T18" i="8"/>
  <c r="U19" i="8"/>
  <c r="W24" i="8"/>
  <c r="X25" i="8"/>
  <c r="S31" i="8"/>
  <c r="T32" i="8"/>
  <c r="U35" i="8"/>
  <c r="S113" i="8"/>
  <c r="T114" i="8"/>
  <c r="U115" i="8"/>
  <c r="W117" i="8"/>
  <c r="X118" i="8"/>
  <c r="S121" i="8"/>
  <c r="T122" i="8"/>
  <c r="U123" i="8"/>
  <c r="W128" i="8"/>
  <c r="X129" i="8"/>
  <c r="S135" i="8"/>
  <c r="T136" i="8"/>
  <c r="U137" i="8"/>
  <c r="S140" i="8"/>
  <c r="T142" i="8"/>
  <c r="X13" i="8"/>
  <c r="S16" i="8"/>
  <c r="T17" i="8"/>
  <c r="U18" i="8"/>
  <c r="W23" i="8"/>
  <c r="X24" i="8"/>
  <c r="S27" i="8"/>
  <c r="T31" i="8"/>
  <c r="U32" i="8"/>
  <c r="W38" i="8"/>
  <c r="S112" i="8"/>
  <c r="T113" i="8"/>
  <c r="U114" i="8"/>
  <c r="W116" i="8"/>
  <c r="X117" i="8"/>
  <c r="S120" i="8"/>
  <c r="T121" i="8"/>
  <c r="U122" i="8"/>
  <c r="W127" i="8"/>
  <c r="X128" i="8"/>
  <c r="S131" i="8"/>
  <c r="T135" i="8"/>
  <c r="U136" i="8"/>
  <c r="W138" i="8"/>
  <c r="T140" i="8"/>
  <c r="U142" i="8"/>
  <c r="W151" i="8"/>
  <c r="X147" i="8" s="1"/>
  <c r="U25" i="8"/>
  <c r="AA25" i="8" s="1"/>
  <c r="W10" i="8"/>
  <c r="S15" i="8"/>
  <c r="T16" i="8"/>
  <c r="U17" i="8"/>
  <c r="W19" i="8"/>
  <c r="X23" i="8"/>
  <c r="S26" i="8"/>
  <c r="T27" i="8"/>
  <c r="U31" i="8"/>
  <c r="W35" i="8"/>
  <c r="X38" i="8"/>
  <c r="S111" i="8"/>
  <c r="T112" i="8"/>
  <c r="U113" i="8"/>
  <c r="W115" i="8"/>
  <c r="X116" i="8"/>
  <c r="S119" i="8"/>
  <c r="T120" i="8"/>
  <c r="U121" i="8"/>
  <c r="AA121" i="8" s="1"/>
  <c r="W123" i="8"/>
  <c r="X127" i="8"/>
  <c r="S130" i="8"/>
  <c r="T131" i="8"/>
  <c r="U135" i="8"/>
  <c r="W137" i="8"/>
  <c r="X138" i="8"/>
  <c r="S139" i="8"/>
  <c r="U140" i="8"/>
  <c r="U111" i="8"/>
  <c r="V111" i="8"/>
  <c r="V119" i="8"/>
  <c r="W8" i="8"/>
  <c r="W50" i="8" s="1"/>
  <c r="S63" i="10"/>
  <c r="K50" i="10"/>
  <c r="K51" i="10" s="1"/>
  <c r="O50" i="10"/>
  <c r="O51" i="10" s="1"/>
  <c r="O52" i="10" s="1"/>
  <c r="K71" i="10"/>
  <c r="K72" i="10" s="1"/>
  <c r="O71" i="10"/>
  <c r="O72" i="10" s="1"/>
  <c r="P55" i="10"/>
  <c r="P54" i="10"/>
  <c r="M54" i="10"/>
  <c r="Q54" i="10"/>
  <c r="K63" i="10"/>
  <c r="F63" i="10"/>
  <c r="F14" i="10"/>
  <c r="F55" i="10"/>
  <c r="H55" i="10"/>
  <c r="L55" i="10"/>
  <c r="E54" i="10"/>
  <c r="M55" i="10"/>
  <c r="H54" i="10"/>
  <c r="F54" i="10"/>
  <c r="N54" i="10"/>
  <c r="I55" i="10"/>
  <c r="Q55" i="10"/>
  <c r="E55" i="10"/>
  <c r="J55" i="10"/>
  <c r="I54" i="10"/>
  <c r="J54" i="10"/>
  <c r="N55" i="10"/>
  <c r="D54" i="10"/>
  <c r="L54" i="10"/>
  <c r="C54" i="10"/>
  <c r="C55" i="10"/>
  <c r="D55" i="10"/>
  <c r="E31" i="10"/>
  <c r="I29" i="10"/>
  <c r="I30" i="10"/>
  <c r="M31" i="10"/>
  <c r="N29" i="10"/>
  <c r="J30" i="10"/>
  <c r="L30" i="10"/>
  <c r="D29" i="10"/>
  <c r="F31" i="10"/>
  <c r="E29" i="10"/>
  <c r="H29" i="10"/>
  <c r="P29" i="10"/>
  <c r="N31" i="10"/>
  <c r="F27" i="10"/>
  <c r="F29" i="10"/>
  <c r="D30" i="10"/>
  <c r="J29" i="10"/>
  <c r="M30" i="10"/>
  <c r="H31" i="10"/>
  <c r="P31" i="10"/>
  <c r="Q29" i="10"/>
  <c r="Q31" i="10"/>
  <c r="C29" i="10"/>
  <c r="L29" i="10"/>
  <c r="C30" i="10"/>
  <c r="O26" i="10"/>
  <c r="O30" i="10" s="1"/>
  <c r="K26" i="10"/>
  <c r="K29" i="10" s="1"/>
  <c r="F18" i="10"/>
  <c r="F17" i="10"/>
  <c r="AA91" i="8"/>
  <c r="AA90" i="8"/>
  <c r="AA92" i="8"/>
  <c r="AA81" i="8"/>
  <c r="AA73" i="8"/>
  <c r="AA74" i="8"/>
  <c r="AA61" i="8"/>
  <c r="AA62" i="8"/>
  <c r="AA131" i="8"/>
  <c r="D39" i="10"/>
  <c r="J39" i="10"/>
  <c r="N39" i="10"/>
  <c r="AA86" i="8"/>
  <c r="AA55" i="8"/>
  <c r="AA83" i="8"/>
  <c r="AA85" i="8"/>
  <c r="AA82" i="8"/>
  <c r="AA84" i="8"/>
  <c r="AA64" i="8"/>
  <c r="AA63" i="8"/>
  <c r="O4" i="10"/>
  <c r="W4" i="10" s="1"/>
  <c r="K4" i="11"/>
  <c r="S4" i="11" s="1"/>
  <c r="Y72" i="11"/>
  <c r="Y75" i="11" s="1"/>
  <c r="M39" i="10"/>
  <c r="E39" i="10"/>
  <c r="I39" i="10"/>
  <c r="P39" i="10"/>
  <c r="C39" i="10"/>
  <c r="Q39" i="10"/>
  <c r="L39" i="10"/>
  <c r="H39" i="10"/>
  <c r="F39" i="10"/>
  <c r="V56" i="11"/>
  <c r="I72" i="11"/>
  <c r="H10" i="11"/>
  <c r="H21" i="11" s="1"/>
  <c r="H25" i="11" s="1"/>
  <c r="E10" i="11"/>
  <c r="E21" i="11" s="1"/>
  <c r="E25" i="11" s="1"/>
  <c r="F10" i="11"/>
  <c r="F21" i="11" s="1"/>
  <c r="F25" i="11" s="1"/>
  <c r="F77" i="8"/>
  <c r="T72" i="11"/>
  <c r="AA54" i="8"/>
  <c r="C10" i="11"/>
  <c r="C21" i="11" s="1"/>
  <c r="C25" i="11" s="1"/>
  <c r="I56" i="11"/>
  <c r="J56" i="11"/>
  <c r="D56" i="11"/>
  <c r="S72" i="11"/>
  <c r="C56" i="11"/>
  <c r="H56" i="11"/>
  <c r="P72" i="11"/>
  <c r="Q72" i="11"/>
  <c r="M56" i="11"/>
  <c r="E56" i="11"/>
  <c r="L56" i="11"/>
  <c r="W56" i="11"/>
  <c r="W72" i="11"/>
  <c r="Y56" i="11"/>
  <c r="S56" i="11"/>
  <c r="F75" i="11"/>
  <c r="F84" i="11" s="1"/>
  <c r="F56" i="11"/>
  <c r="Q56" i="11"/>
  <c r="N56" i="11"/>
  <c r="P56" i="11"/>
  <c r="P147" i="8"/>
  <c r="F16" i="10"/>
  <c r="AA40" i="11" l="1"/>
  <c r="AA39" i="11"/>
  <c r="AA30" i="11"/>
  <c r="AA18" i="11"/>
  <c r="AA19" i="11"/>
  <c r="AA15" i="11"/>
  <c r="AA14" i="11"/>
  <c r="AA17" i="11"/>
  <c r="AA16" i="11"/>
  <c r="AA142" i="8"/>
  <c r="AA18" i="8"/>
  <c r="AA136" i="8"/>
  <c r="AA137" i="8"/>
  <c r="AA116" i="8"/>
  <c r="AA120" i="8"/>
  <c r="K55" i="10"/>
  <c r="K52" i="10"/>
  <c r="Y51" i="10"/>
  <c r="Y52" i="10" s="1"/>
  <c r="V51" i="10"/>
  <c r="V52" i="10" s="1"/>
  <c r="W51" i="10"/>
  <c r="W52" i="10" s="1"/>
  <c r="U51" i="10"/>
  <c r="T51" i="10"/>
  <c r="T52" i="10" s="1"/>
  <c r="S51" i="10"/>
  <c r="S52" i="10" s="1"/>
  <c r="Q75" i="10"/>
  <c r="Q76" i="10"/>
  <c r="Q74" i="10"/>
  <c r="N74" i="10"/>
  <c r="N75" i="10"/>
  <c r="N76" i="10"/>
  <c r="M74" i="10"/>
  <c r="M75" i="10"/>
  <c r="M76" i="10"/>
  <c r="D74" i="10"/>
  <c r="D75" i="10"/>
  <c r="D76" i="10"/>
  <c r="F75" i="10"/>
  <c r="F76" i="10"/>
  <c r="F74" i="10"/>
  <c r="S71" i="10"/>
  <c r="S72" i="10" s="1"/>
  <c r="I76" i="10"/>
  <c r="I74" i="10"/>
  <c r="I75" i="10"/>
  <c r="J76" i="10"/>
  <c r="J74" i="10"/>
  <c r="J75" i="10"/>
  <c r="C74" i="10"/>
  <c r="C75" i="10"/>
  <c r="C76" i="10"/>
  <c r="P74" i="10"/>
  <c r="P75" i="10"/>
  <c r="P76" i="10"/>
  <c r="H75" i="10"/>
  <c r="H76" i="10"/>
  <c r="H74" i="10"/>
  <c r="L74" i="10"/>
  <c r="L75" i="10"/>
  <c r="L76" i="10"/>
  <c r="E74" i="10"/>
  <c r="E75" i="10"/>
  <c r="E76" i="10"/>
  <c r="X71" i="10"/>
  <c r="X72" i="10" s="1"/>
  <c r="V71" i="10"/>
  <c r="V72" i="10" s="1"/>
  <c r="Y71" i="10"/>
  <c r="Y72" i="10" s="1"/>
  <c r="T71" i="10"/>
  <c r="T72" i="10" s="1"/>
  <c r="W71" i="10"/>
  <c r="W72" i="10" s="1"/>
  <c r="U71" i="10"/>
  <c r="U72" i="10" s="1"/>
  <c r="K54" i="10"/>
  <c r="X51" i="10"/>
  <c r="X52" i="10" s="1"/>
  <c r="O63" i="10"/>
  <c r="Y63" i="10"/>
  <c r="X63" i="10"/>
  <c r="O54" i="10"/>
  <c r="O55" i="10"/>
  <c r="F40" i="10"/>
  <c r="M40" i="10"/>
  <c r="N43" i="10"/>
  <c r="N40" i="10"/>
  <c r="Q42" i="10"/>
  <c r="Q40" i="10"/>
  <c r="H40" i="10"/>
  <c r="P44" i="10"/>
  <c r="P40" i="10"/>
  <c r="J44" i="10"/>
  <c r="J40" i="10"/>
  <c r="L40" i="10"/>
  <c r="I40" i="10"/>
  <c r="D43" i="10"/>
  <c r="D40" i="10"/>
  <c r="C42" i="10"/>
  <c r="C40" i="10"/>
  <c r="E40" i="10"/>
  <c r="K30" i="10"/>
  <c r="K31" i="10"/>
  <c r="S26" i="10"/>
  <c r="O29" i="10"/>
  <c r="O31" i="10"/>
  <c r="W26" i="10"/>
  <c r="W29" i="10" s="1"/>
  <c r="V26" i="10"/>
  <c r="V29" i="10" s="1"/>
  <c r="U26" i="10"/>
  <c r="Y26" i="10"/>
  <c r="Y29" i="10" s="1"/>
  <c r="X26" i="10"/>
  <c r="X29" i="10" s="1"/>
  <c r="T26" i="10"/>
  <c r="T30" i="10" s="1"/>
  <c r="W13" i="10"/>
  <c r="X13" i="10"/>
  <c r="S13" i="10"/>
  <c r="D44" i="10"/>
  <c r="AA130" i="8"/>
  <c r="AA112" i="8"/>
  <c r="AA114" i="8"/>
  <c r="AA113" i="8"/>
  <c r="AA17" i="8"/>
  <c r="AA35" i="8"/>
  <c r="AA31" i="8"/>
  <c r="AA140" i="8"/>
  <c r="X56" i="11"/>
  <c r="AA16" i="8"/>
  <c r="AA19" i="8"/>
  <c r="V72" i="11"/>
  <c r="X72" i="11"/>
  <c r="X75" i="11" s="1"/>
  <c r="X84" i="11" s="1"/>
  <c r="D10" i="11"/>
  <c r="D21" i="11" s="1"/>
  <c r="D25" i="11" s="1"/>
  <c r="Q10" i="11"/>
  <c r="Q21" i="11" s="1"/>
  <c r="Q25" i="11" s="1"/>
  <c r="J10" i="11"/>
  <c r="J21" i="11" s="1"/>
  <c r="J25" i="11" s="1"/>
  <c r="D42" i="10"/>
  <c r="I42" i="10"/>
  <c r="N44" i="10"/>
  <c r="I44" i="10"/>
  <c r="P10" i="11"/>
  <c r="P21" i="11" s="1"/>
  <c r="P25" i="11" s="1"/>
  <c r="I43" i="10"/>
  <c r="N10" i="11"/>
  <c r="N21" i="11" s="1"/>
  <c r="N25" i="11" s="1"/>
  <c r="I10" i="11"/>
  <c r="I21" i="11" s="1"/>
  <c r="I25" i="11" s="1"/>
  <c r="M10" i="11"/>
  <c r="M21" i="11" s="1"/>
  <c r="M25" i="11" s="1"/>
  <c r="J43" i="10"/>
  <c r="N42" i="10"/>
  <c r="L10" i="11"/>
  <c r="L21" i="11" s="1"/>
  <c r="L25" i="11" s="1"/>
  <c r="M42" i="10"/>
  <c r="T13" i="10"/>
  <c r="J42" i="10"/>
  <c r="E43" i="10"/>
  <c r="P43" i="10"/>
  <c r="P42" i="10"/>
  <c r="AA115" i="8"/>
  <c r="U72" i="11"/>
  <c r="N72" i="11"/>
  <c r="F44" i="10"/>
  <c r="M43" i="10"/>
  <c r="F43" i="10"/>
  <c r="E42" i="10"/>
  <c r="U13" i="10"/>
  <c r="C43" i="10"/>
  <c r="V13" i="10"/>
  <c r="K39" i="10"/>
  <c r="F42" i="10"/>
  <c r="E44" i="10"/>
  <c r="M44" i="10"/>
  <c r="C44" i="10"/>
  <c r="Q44" i="10"/>
  <c r="Q43" i="10"/>
  <c r="L42" i="10"/>
  <c r="L44" i="10"/>
  <c r="L43" i="10"/>
  <c r="H43" i="10"/>
  <c r="H44" i="10"/>
  <c r="H42" i="10"/>
  <c r="O39" i="10"/>
  <c r="L72" i="11"/>
  <c r="F11" i="11"/>
  <c r="F87" i="8"/>
  <c r="F98" i="8" s="1"/>
  <c r="K72" i="11"/>
  <c r="O72" i="11"/>
  <c r="Y84" i="11"/>
  <c r="H22" i="11"/>
  <c r="F28" i="8"/>
  <c r="F33" i="8" s="1"/>
  <c r="F21" i="8"/>
  <c r="X18" i="10" l="1"/>
  <c r="X17" i="10"/>
  <c r="X19" i="10"/>
  <c r="X16" i="10"/>
  <c r="U55" i="10"/>
  <c r="U52" i="10"/>
  <c r="W55" i="10"/>
  <c r="W54" i="10"/>
  <c r="O76" i="10"/>
  <c r="O74" i="10"/>
  <c r="O75" i="10"/>
  <c r="K75" i="10"/>
  <c r="K76" i="10"/>
  <c r="K74" i="10"/>
  <c r="T63" i="10"/>
  <c r="U63" i="10"/>
  <c r="V63" i="10"/>
  <c r="W63" i="10"/>
  <c r="U54" i="10"/>
  <c r="Y55" i="10"/>
  <c r="T55" i="10"/>
  <c r="X55" i="10"/>
  <c r="V54" i="10"/>
  <c r="V55" i="10"/>
  <c r="X54" i="10"/>
  <c r="T54" i="10"/>
  <c r="Y54" i="10"/>
  <c r="S55" i="10"/>
  <c r="S54" i="10"/>
  <c r="X31" i="10"/>
  <c r="K43" i="10"/>
  <c r="K40" i="10"/>
  <c r="O40" i="10"/>
  <c r="X30" i="10"/>
  <c r="U27" i="10"/>
  <c r="U30" i="10"/>
  <c r="U29" i="10"/>
  <c r="V27" i="10"/>
  <c r="V31" i="10"/>
  <c r="S27" i="10"/>
  <c r="S31" i="10"/>
  <c r="S29" i="10"/>
  <c r="U31" i="10"/>
  <c r="S30" i="10"/>
  <c r="W27" i="10"/>
  <c r="W30" i="10"/>
  <c r="T29" i="10"/>
  <c r="X27" i="10"/>
  <c r="V30" i="10"/>
  <c r="T27" i="10"/>
  <c r="T31" i="10"/>
  <c r="Y30" i="10"/>
  <c r="Y31" i="10"/>
  <c r="W31" i="10"/>
  <c r="F36" i="8"/>
  <c r="F39" i="8" s="1"/>
  <c r="F108" i="8"/>
  <c r="E11" i="11"/>
  <c r="L11" i="11"/>
  <c r="AA6" i="11"/>
  <c r="D11" i="11"/>
  <c r="M11" i="11"/>
  <c r="P11" i="11"/>
  <c r="I12" i="11"/>
  <c r="M12" i="11"/>
  <c r="J12" i="11"/>
  <c r="J22" i="11"/>
  <c r="N11" i="11"/>
  <c r="Q12" i="11"/>
  <c r="P22" i="11"/>
  <c r="Q11" i="11"/>
  <c r="O10" i="11"/>
  <c r="S39" i="10"/>
  <c r="N12" i="11"/>
  <c r="V39" i="10"/>
  <c r="U39" i="10"/>
  <c r="K44" i="10"/>
  <c r="K10" i="11"/>
  <c r="K42" i="10"/>
  <c r="AA135" i="8"/>
  <c r="O42" i="10"/>
  <c r="O43" i="10"/>
  <c r="O44" i="10"/>
  <c r="T39" i="10"/>
  <c r="Y39" i="10"/>
  <c r="X39" i="10"/>
  <c r="W39" i="10"/>
  <c r="C26" i="11"/>
  <c r="F100" i="8"/>
  <c r="E22" i="11"/>
  <c r="H32" i="11"/>
  <c r="H26" i="11"/>
  <c r="F22" i="11"/>
  <c r="Q22" i="11"/>
  <c r="I22" i="11"/>
  <c r="F29" i="8"/>
  <c r="O12" i="11" l="1"/>
  <c r="O21" i="11"/>
  <c r="O25" i="11" s="1"/>
  <c r="L12" i="11"/>
  <c r="K21" i="11"/>
  <c r="K25" i="11" s="1"/>
  <c r="X75" i="10"/>
  <c r="X74" i="10"/>
  <c r="X76" i="10"/>
  <c r="Y76" i="10"/>
  <c r="Y74" i="10"/>
  <c r="Y75" i="10"/>
  <c r="U74" i="10"/>
  <c r="U75" i="10"/>
  <c r="U76" i="10"/>
  <c r="T75" i="10"/>
  <c r="T76" i="10"/>
  <c r="T74" i="10"/>
  <c r="W75" i="10"/>
  <c r="W74" i="10"/>
  <c r="W76" i="10"/>
  <c r="V75" i="10"/>
  <c r="V76" i="10"/>
  <c r="V74" i="10"/>
  <c r="S76" i="10"/>
  <c r="S75" i="10"/>
  <c r="S74" i="10"/>
  <c r="Y40" i="10"/>
  <c r="S40" i="10"/>
  <c r="U40" i="10"/>
  <c r="W40" i="10"/>
  <c r="X40" i="10"/>
  <c r="T40" i="10"/>
  <c r="V40" i="10"/>
  <c r="J32" i="11"/>
  <c r="P26" i="11"/>
  <c r="X10" i="11"/>
  <c r="P12" i="11"/>
  <c r="N22" i="11"/>
  <c r="S44" i="10"/>
  <c r="S42" i="10"/>
  <c r="S43" i="10"/>
  <c r="U43" i="10"/>
  <c r="U44" i="10"/>
  <c r="U42" i="10"/>
  <c r="V43" i="10"/>
  <c r="V42" i="10"/>
  <c r="V44" i="10"/>
  <c r="V10" i="11"/>
  <c r="V21" i="11" s="1"/>
  <c r="V25" i="11" s="1"/>
  <c r="U10" i="11"/>
  <c r="U21" i="11" s="1"/>
  <c r="U25" i="11" s="1"/>
  <c r="T10" i="11"/>
  <c r="T21" i="11" s="1"/>
  <c r="T25" i="11" s="1"/>
  <c r="W10" i="11"/>
  <c r="W21" i="11" s="1"/>
  <c r="W25" i="11" s="1"/>
  <c r="S10" i="11"/>
  <c r="S21" i="11" s="1"/>
  <c r="S25" i="11" s="1"/>
  <c r="K12" i="11"/>
  <c r="AA7" i="11"/>
  <c r="Y10" i="11"/>
  <c r="Y21" i="11" s="1"/>
  <c r="Y25" i="11" s="1"/>
  <c r="O11" i="11"/>
  <c r="AA8" i="11"/>
  <c r="AA9" i="11"/>
  <c r="W42" i="10"/>
  <c r="Y42" i="10"/>
  <c r="W43" i="10"/>
  <c r="W44" i="10"/>
  <c r="X44" i="10"/>
  <c r="X43" i="10"/>
  <c r="Y44" i="10"/>
  <c r="Y43" i="10"/>
  <c r="X42" i="10"/>
  <c r="T42" i="10"/>
  <c r="T44" i="10"/>
  <c r="T43" i="10"/>
  <c r="C22" i="11"/>
  <c r="C32" i="11"/>
  <c r="C79" i="11" s="1"/>
  <c r="D22" i="11"/>
  <c r="H33" i="11"/>
  <c r="H42" i="11"/>
  <c r="H49" i="11" s="1"/>
  <c r="D26" i="11"/>
  <c r="D32" i="11"/>
  <c r="Q26" i="11"/>
  <c r="Q32" i="11"/>
  <c r="I32" i="11"/>
  <c r="I26" i="11"/>
  <c r="E26" i="11"/>
  <c r="E32" i="11"/>
  <c r="L22" i="11"/>
  <c r="F26" i="11"/>
  <c r="F32" i="11"/>
  <c r="F40" i="8"/>
  <c r="F46" i="8"/>
  <c r="F43" i="8"/>
  <c r="X11" i="11" l="1"/>
  <c r="X21" i="11"/>
  <c r="X25" i="11" s="1"/>
  <c r="W11" i="11"/>
  <c r="J26" i="11"/>
  <c r="F124" i="8"/>
  <c r="F152" i="8" s="1"/>
  <c r="P32" i="11"/>
  <c r="P33" i="11" s="1"/>
  <c r="M22" i="11"/>
  <c r="N26" i="11"/>
  <c r="Y32" i="11"/>
  <c r="Y11" i="11"/>
  <c r="AA10" i="11"/>
  <c r="C83" i="11" a="1"/>
  <c r="C83" i="11" s="1"/>
  <c r="C80" i="11"/>
  <c r="C82" i="11" a="1"/>
  <c r="C82" i="11" s="1"/>
  <c r="C33" i="11"/>
  <c r="C42" i="11"/>
  <c r="C81" i="11"/>
  <c r="F83" i="11" a="1"/>
  <c r="F83" i="11" s="1"/>
  <c r="F82" i="11" a="1"/>
  <c r="F82" i="11" s="1"/>
  <c r="F42" i="11"/>
  <c r="F49" i="11" s="1"/>
  <c r="F33" i="11"/>
  <c r="F81" i="11"/>
  <c r="F79" i="11"/>
  <c r="F80" i="11"/>
  <c r="Q42" i="11"/>
  <c r="Q49" i="11" s="1"/>
  <c r="Q33" i="11"/>
  <c r="D83" i="11" a="1"/>
  <c r="D83" i="11" s="1"/>
  <c r="D42" i="11"/>
  <c r="D49" i="11" s="1"/>
  <c r="D79" i="11"/>
  <c r="D82" i="11" a="1"/>
  <c r="D82" i="11" s="1"/>
  <c r="D33" i="11"/>
  <c r="D81" i="11"/>
  <c r="D80" i="11"/>
  <c r="L26" i="11"/>
  <c r="L32" i="11"/>
  <c r="E42" i="11"/>
  <c r="E49" i="11" s="1"/>
  <c r="E33" i="11"/>
  <c r="E83" i="11" a="1"/>
  <c r="E83" i="11" s="1"/>
  <c r="E81" i="11"/>
  <c r="E82" i="11" a="1"/>
  <c r="E82" i="11" s="1"/>
  <c r="E80" i="11"/>
  <c r="E79" i="11"/>
  <c r="M26" i="11"/>
  <c r="M32" i="11"/>
  <c r="I33" i="11"/>
  <c r="I42" i="11"/>
  <c r="I49" i="11" s="1"/>
  <c r="J42" i="11"/>
  <c r="J49" i="11" s="1"/>
  <c r="J33" i="11"/>
  <c r="P42" i="11" l="1"/>
  <c r="H50" i="11"/>
  <c r="N32" i="11"/>
  <c r="N33" i="11" s="1"/>
  <c r="C50" i="11"/>
  <c r="AA11" i="11"/>
  <c r="Y26" i="11"/>
  <c r="Y22" i="11"/>
  <c r="L42" i="11"/>
  <c r="L33" i="11"/>
  <c r="I50" i="11"/>
  <c r="F50" i="11"/>
  <c r="J50" i="11"/>
  <c r="M42" i="11"/>
  <c r="M49" i="11" s="1"/>
  <c r="M33" i="11"/>
  <c r="Y83" i="11" a="1"/>
  <c r="Y83" i="11" s="1"/>
  <c r="Y42" i="11"/>
  <c r="Y82" i="11" a="1"/>
  <c r="Y82" i="11" s="1"/>
  <c r="Y81" i="11"/>
  <c r="Y33" i="11"/>
  <c r="Y79" i="11"/>
  <c r="Y80" i="11"/>
  <c r="Q50" i="11"/>
  <c r="E50" i="11"/>
  <c r="D50" i="11"/>
  <c r="N42" i="11" l="1"/>
  <c r="N49" i="11" s="1"/>
  <c r="M50" i="11"/>
  <c r="N50" i="11" l="1"/>
  <c r="B2" i="10" l="1"/>
  <c r="B16" i="10"/>
  <c r="J13" i="10"/>
  <c r="J27" i="10" s="1"/>
  <c r="D13" i="10"/>
  <c r="P13" i="10"/>
  <c r="P27" i="10" s="1"/>
  <c r="E13" i="10"/>
  <c r="Q13" i="10"/>
  <c r="Q27" i="10" s="1"/>
  <c r="O13" i="10"/>
  <c r="O27" i="10" s="1"/>
  <c r="N13" i="10"/>
  <c r="N27" i="10" s="1"/>
  <c r="M13" i="10"/>
  <c r="M27" i="10" s="1"/>
  <c r="I13" i="10"/>
  <c r="I27" i="10" s="1"/>
  <c r="C13" i="10"/>
  <c r="C27" i="10" s="1"/>
  <c r="O159" i="8"/>
  <c r="K159" i="8"/>
  <c r="E147" i="8"/>
  <c r="H147" i="8" s="1"/>
  <c r="D147" i="8"/>
  <c r="Y159" i="8" l="1"/>
  <c r="X159" i="8"/>
  <c r="W159" i="8"/>
  <c r="S159" i="8"/>
  <c r="V159" i="8"/>
  <c r="U159" i="8"/>
  <c r="T159" i="8"/>
  <c r="E27" i="10"/>
  <c r="D27" i="10"/>
  <c r="P17" i="10"/>
  <c r="P19" i="10"/>
  <c r="P18" i="10"/>
  <c r="N19" i="10"/>
  <c r="N18" i="10"/>
  <c r="N17" i="10"/>
  <c r="Q17" i="10"/>
  <c r="Q18" i="10"/>
  <c r="Q19" i="10"/>
  <c r="E19" i="10"/>
  <c r="E17" i="10"/>
  <c r="E18" i="10"/>
  <c r="C18" i="10"/>
  <c r="C19" i="10"/>
  <c r="C17" i="10"/>
  <c r="D18" i="10"/>
  <c r="D19" i="10"/>
  <c r="D17" i="10"/>
  <c r="I17" i="10"/>
  <c r="I18" i="10"/>
  <c r="I19" i="10"/>
  <c r="J17" i="10"/>
  <c r="J18" i="10"/>
  <c r="J19" i="10"/>
  <c r="M18" i="10"/>
  <c r="M19" i="10"/>
  <c r="M17" i="10"/>
  <c r="O19" i="10"/>
  <c r="O18" i="10"/>
  <c r="O17" i="10"/>
  <c r="AA60" i="8"/>
  <c r="AA65" i="8"/>
  <c r="AA70" i="8"/>
  <c r="AA66" i="8"/>
  <c r="AA71" i="8"/>
  <c r="C16" i="10"/>
  <c r="I16" i="10"/>
  <c r="E16" i="10"/>
  <c r="M16" i="10"/>
  <c r="N16" i="10"/>
  <c r="P16" i="10"/>
  <c r="D16" i="10"/>
  <c r="O16" i="10"/>
  <c r="J16" i="10"/>
  <c r="Q16" i="10"/>
  <c r="K13" i="10"/>
  <c r="K27" i="10" s="1"/>
  <c r="Y13" i="10"/>
  <c r="H13" i="10"/>
  <c r="H27" i="10" s="1"/>
  <c r="L13" i="10"/>
  <c r="L27" i="10" s="1"/>
  <c r="Y19" i="10" l="1"/>
  <c r="Y17" i="10"/>
  <c r="Y18" i="10"/>
  <c r="Y16" i="10"/>
  <c r="Y27" i="10"/>
  <c r="K19" i="10"/>
  <c r="K17" i="10"/>
  <c r="K18" i="10"/>
  <c r="L18" i="10"/>
  <c r="L19" i="10"/>
  <c r="L17" i="10"/>
  <c r="H17" i="10"/>
  <c r="H18" i="10"/>
  <c r="H19" i="10"/>
  <c r="H16" i="10"/>
  <c r="L16" i="10"/>
  <c r="K16" i="10"/>
  <c r="O158" i="8" l="1"/>
  <c r="K158" i="8"/>
  <c r="AA53" i="8"/>
  <c r="E143" i="8"/>
  <c r="P143" i="8"/>
  <c r="C143" i="8"/>
  <c r="V158" i="8" l="1"/>
  <c r="U158" i="8"/>
  <c r="T158" i="8"/>
  <c r="S158" i="8"/>
  <c r="X158" i="8"/>
  <c r="W158" i="8"/>
  <c r="Y158" i="8"/>
  <c r="Y33" i="8"/>
  <c r="Y36" i="8" s="1"/>
  <c r="Y39" i="8" s="1"/>
  <c r="X33" i="8"/>
  <c r="X36" i="8" s="1"/>
  <c r="X39" i="8" s="1"/>
  <c r="W33" i="8"/>
  <c r="W36" i="8" s="1"/>
  <c r="V33" i="8"/>
  <c r="V36" i="8" s="1"/>
  <c r="AA27" i="8"/>
  <c r="U33" i="8"/>
  <c r="U36" i="8" s="1"/>
  <c r="T33" i="8"/>
  <c r="T36" i="8" s="1"/>
  <c r="S33" i="8"/>
  <c r="S36" i="8" s="1"/>
  <c r="T143" i="8"/>
  <c r="S143" i="8"/>
  <c r="AA72" i="8"/>
  <c r="AA93" i="8"/>
  <c r="AA80" i="8"/>
  <c r="AA75" i="8"/>
  <c r="AA89" i="8"/>
  <c r="AA56" i="8"/>
  <c r="Q143" i="8"/>
  <c r="J143" i="8"/>
  <c r="D143" i="8"/>
  <c r="H143" i="8"/>
  <c r="I143" i="8"/>
  <c r="L143" i="8"/>
  <c r="M143" i="8"/>
  <c r="N143" i="8"/>
  <c r="U39" i="8" l="1"/>
  <c r="V39" i="8"/>
  <c r="S39" i="8"/>
  <c r="AA36" i="8"/>
  <c r="W39" i="8"/>
  <c r="T39" i="8"/>
  <c r="AA33" i="8"/>
  <c r="T56" i="11"/>
  <c r="P49" i="11"/>
  <c r="L49" i="11"/>
  <c r="AA37" i="11"/>
  <c r="AA35" i="11"/>
  <c r="AA36" i="11"/>
  <c r="AA38" i="8"/>
  <c r="O56" i="11"/>
  <c r="K56" i="11"/>
  <c r="AA23" i="8"/>
  <c r="O143" i="8"/>
  <c r="K143" i="8"/>
  <c r="AA28" i="11" l="1"/>
  <c r="P50" i="11"/>
  <c r="L50" i="11"/>
  <c r="U56" i="11"/>
  <c r="U143" i="8"/>
  <c r="W143" i="8"/>
  <c r="Y143" i="8"/>
  <c r="X143" i="8"/>
  <c r="V143" i="8"/>
  <c r="Q94" i="8" l="1"/>
  <c r="Q97" i="8" s="1"/>
  <c r="P94" i="8"/>
  <c r="P97" i="8" s="1"/>
  <c r="N94" i="8"/>
  <c r="N97" i="8" s="1"/>
  <c r="M94" i="8"/>
  <c r="L94" i="8"/>
  <c r="L97" i="8" s="1"/>
  <c r="J94" i="8"/>
  <c r="I94" i="8"/>
  <c r="H94" i="8"/>
  <c r="E94" i="8"/>
  <c r="E97" i="8" s="1"/>
  <c r="D94" i="8"/>
  <c r="D97" i="8" s="1"/>
  <c r="C94" i="8"/>
  <c r="C97" i="8" s="1"/>
  <c r="M97" i="8" l="1"/>
  <c r="H75" i="11"/>
  <c r="H97" i="8"/>
  <c r="I75" i="11"/>
  <c r="I97" i="8"/>
  <c r="J75" i="11"/>
  <c r="J97" i="8"/>
  <c r="D75" i="11"/>
  <c r="D84" i="11" s="1"/>
  <c r="C75" i="11"/>
  <c r="C84" i="11" s="1"/>
  <c r="E75" i="11"/>
  <c r="E84" i="11" s="1"/>
  <c r="S75" i="11"/>
  <c r="S84" i="11" s="1"/>
  <c r="M75" i="11"/>
  <c r="M84" i="11" s="1"/>
  <c r="N75" i="11"/>
  <c r="N84" i="11" s="1"/>
  <c r="T75" i="11"/>
  <c r="T84" i="11" s="1"/>
  <c r="W75" i="11"/>
  <c r="W84" i="11" s="1"/>
  <c r="Q75" i="11"/>
  <c r="Q84" i="11" s="1"/>
  <c r="V75" i="11"/>
  <c r="V84" i="11" s="1"/>
  <c r="P75" i="11"/>
  <c r="P84" i="11" s="1"/>
  <c r="L75" i="11"/>
  <c r="L84" i="11" s="1"/>
  <c r="AA42" i="8"/>
  <c r="AA45" i="8"/>
  <c r="T94" i="8"/>
  <c r="T97" i="8" s="1"/>
  <c r="U94" i="8"/>
  <c r="U97" i="8" s="1"/>
  <c r="V94" i="8"/>
  <c r="V97" i="8" s="1"/>
  <c r="X94" i="8"/>
  <c r="X97" i="8" s="1"/>
  <c r="K94" i="8"/>
  <c r="K97" i="8" s="1"/>
  <c r="S94" i="8"/>
  <c r="S97" i="8" s="1"/>
  <c r="W94" i="8"/>
  <c r="W97" i="8" s="1"/>
  <c r="O94" i="8"/>
  <c r="Y94" i="8"/>
  <c r="Y97" i="8" s="1"/>
  <c r="O97" i="8" l="1"/>
  <c r="AA20" i="11"/>
  <c r="K75" i="11"/>
  <c r="K84" i="11" s="1"/>
  <c r="U75" i="11"/>
  <c r="U84" i="11" s="1"/>
  <c r="O75" i="11"/>
  <c r="O84" i="11" s="1"/>
  <c r="W22" i="11" l="1"/>
  <c r="AA111" i="8"/>
  <c r="AA31" i="11"/>
  <c r="V22" i="11"/>
  <c r="S22" i="11"/>
  <c r="T22" i="11"/>
  <c r="O22" i="11"/>
  <c r="K22" i="11"/>
  <c r="X22" i="11"/>
  <c r="AA127" i="8"/>
  <c r="AA41" i="11" l="1"/>
  <c r="W32" i="11"/>
  <c r="T26" i="11"/>
  <c r="O26" i="11"/>
  <c r="X26" i="11"/>
  <c r="X32" i="11"/>
  <c r="K26" i="11"/>
  <c r="K32" i="11"/>
  <c r="U22" i="11"/>
  <c r="AA22" i="11" s="1"/>
  <c r="AA21" i="11"/>
  <c r="AA24" i="11" l="1"/>
  <c r="N79" i="11"/>
  <c r="N82" i="11" a="1"/>
  <c r="N82" i="11" s="1"/>
  <c r="N83" i="11" a="1"/>
  <c r="N83" i="11" s="1"/>
  <c r="N81" i="11" a="1"/>
  <c r="N81" i="11" s="1"/>
  <c r="N80" i="11"/>
  <c r="K83" i="11" a="1"/>
  <c r="K83" i="11" s="1"/>
  <c r="K81" i="11" a="1"/>
  <c r="K81" i="11" s="1"/>
  <c r="M83" i="11" a="1"/>
  <c r="M83" i="11" s="1"/>
  <c r="K80" i="11"/>
  <c r="M80" i="11"/>
  <c r="M79" i="11"/>
  <c r="L81" i="11" a="1"/>
  <c r="L81" i="11" s="1"/>
  <c r="L79" i="11"/>
  <c r="M81" i="11" a="1"/>
  <c r="M81" i="11" s="1"/>
  <c r="L80" i="11"/>
  <c r="L82" i="11" a="1"/>
  <c r="L82" i="11" s="1"/>
  <c r="M82" i="11" a="1"/>
  <c r="M82" i="11" s="1"/>
  <c r="L83" i="11" a="1"/>
  <c r="L83" i="11" s="1"/>
  <c r="K82" i="11" a="1"/>
  <c r="K82" i="11" s="1"/>
  <c r="K79" i="11"/>
  <c r="V32" i="11"/>
  <c r="V33" i="11" s="1"/>
  <c r="V26" i="11"/>
  <c r="W26" i="11"/>
  <c r="S32" i="11"/>
  <c r="S80" i="11" s="1"/>
  <c r="S26" i="11"/>
  <c r="O32" i="11"/>
  <c r="T32" i="11"/>
  <c r="T79" i="11" s="1"/>
  <c r="X33" i="11"/>
  <c r="X81" i="11"/>
  <c r="X82" i="11" a="1"/>
  <c r="X82" i="11" s="1"/>
  <c r="X42" i="11"/>
  <c r="X83" i="11" a="1"/>
  <c r="X83" i="11" s="1"/>
  <c r="X80" i="11"/>
  <c r="X79" i="11"/>
  <c r="U32" i="11"/>
  <c r="U26" i="11"/>
  <c r="AA26" i="11" s="1"/>
  <c r="AA25" i="11"/>
  <c r="K33" i="11"/>
  <c r="K42" i="11"/>
  <c r="K49" i="11" s="1"/>
  <c r="W83" i="11" a="1"/>
  <c r="W83" i="11" s="1"/>
  <c r="W42" i="11"/>
  <c r="W81" i="11"/>
  <c r="W82" i="11" a="1"/>
  <c r="W82" i="11" s="1"/>
  <c r="W33" i="11"/>
  <c r="W79" i="11"/>
  <c r="W80" i="11"/>
  <c r="P77" i="8"/>
  <c r="N77" i="8"/>
  <c r="P132" i="8"/>
  <c r="L132" i="8"/>
  <c r="H132" i="8"/>
  <c r="O11" i="8"/>
  <c r="K11" i="8"/>
  <c r="M57" i="8"/>
  <c r="M67" i="8" s="1"/>
  <c r="L57" i="8"/>
  <c r="L67" i="8" s="1"/>
  <c r="H57" i="8"/>
  <c r="H67" i="8" s="1"/>
  <c r="Q105" i="8"/>
  <c r="P105" i="8"/>
  <c r="O105" i="8"/>
  <c r="N105" i="8"/>
  <c r="M105" i="8"/>
  <c r="L105" i="8"/>
  <c r="K105" i="8"/>
  <c r="J105" i="8"/>
  <c r="I105" i="8"/>
  <c r="H105" i="8"/>
  <c r="Q104" i="8"/>
  <c r="P104" i="8"/>
  <c r="O104" i="8"/>
  <c r="N104" i="8"/>
  <c r="M104" i="8"/>
  <c r="L104" i="8"/>
  <c r="K104" i="8"/>
  <c r="J104" i="8"/>
  <c r="I104" i="8"/>
  <c r="H104" i="8"/>
  <c r="I57" i="8"/>
  <c r="I67" i="8" s="1"/>
  <c r="J57" i="8"/>
  <c r="J67" i="8" s="1"/>
  <c r="N57" i="8"/>
  <c r="N67" i="8" s="1"/>
  <c r="P57" i="8"/>
  <c r="P67" i="8" s="1"/>
  <c r="Q57" i="8"/>
  <c r="Q67" i="8" s="1"/>
  <c r="Q50" i="8"/>
  <c r="P50" i="8"/>
  <c r="O50" i="8"/>
  <c r="N50" i="8"/>
  <c r="M50" i="8"/>
  <c r="L50" i="8"/>
  <c r="K50" i="8"/>
  <c r="J50" i="8"/>
  <c r="I50" i="8"/>
  <c r="H50" i="8"/>
  <c r="Q49" i="8"/>
  <c r="P49" i="8"/>
  <c r="O49" i="8"/>
  <c r="N49" i="8"/>
  <c r="M49" i="8"/>
  <c r="L49" i="8"/>
  <c r="K49" i="8"/>
  <c r="J49" i="8"/>
  <c r="I49" i="8"/>
  <c r="H49" i="8"/>
  <c r="E50" i="8"/>
  <c r="D50" i="8"/>
  <c r="C50" i="8"/>
  <c r="E49" i="8"/>
  <c r="D49" i="8"/>
  <c r="C49" i="8"/>
  <c r="Q11" i="8"/>
  <c r="Q20" i="8" s="1"/>
  <c r="P11" i="8"/>
  <c r="P20" i="8" s="1"/>
  <c r="N11" i="8"/>
  <c r="N20" i="8" s="1"/>
  <c r="M11" i="8"/>
  <c r="M20" i="8" s="1"/>
  <c r="L11" i="8"/>
  <c r="L20" i="8" s="1"/>
  <c r="J11" i="8"/>
  <c r="I11" i="8"/>
  <c r="H11" i="8"/>
  <c r="V49" i="11" l="1"/>
  <c r="U49" i="11"/>
  <c r="S49" i="11"/>
  <c r="T49" i="11"/>
  <c r="J14" i="10"/>
  <c r="J20" i="8"/>
  <c r="K14" i="10"/>
  <c r="K20" i="8"/>
  <c r="H14" i="10"/>
  <c r="H20" i="8"/>
  <c r="I14" i="10"/>
  <c r="I20" i="8"/>
  <c r="O14" i="10"/>
  <c r="O20" i="8"/>
  <c r="V82" i="11" a="1"/>
  <c r="V82" i="11" s="1"/>
  <c r="V83" i="11" a="1"/>
  <c r="V83" i="11" s="1"/>
  <c r="V80" i="11"/>
  <c r="V79" i="11"/>
  <c r="V81" i="11"/>
  <c r="V42" i="11"/>
  <c r="Q80" i="11"/>
  <c r="P82" i="11" a="1"/>
  <c r="P82" i="11" s="1"/>
  <c r="Q82" i="11" a="1"/>
  <c r="Q82" i="11" s="1"/>
  <c r="P81" i="11" a="1"/>
  <c r="P81" i="11" s="1"/>
  <c r="O83" i="11" a="1"/>
  <c r="O83" i="11" s="1"/>
  <c r="Q83" i="11" a="1"/>
  <c r="Q83" i="11" s="1"/>
  <c r="O80" i="11"/>
  <c r="Q79" i="11"/>
  <c r="P83" i="11" a="1"/>
  <c r="P83" i="11" s="1"/>
  <c r="P79" i="11"/>
  <c r="Q81" i="11" a="1"/>
  <c r="Q81" i="11" s="1"/>
  <c r="O82" i="11" a="1"/>
  <c r="O82" i="11" s="1"/>
  <c r="P80" i="11"/>
  <c r="O79" i="11"/>
  <c r="O81" i="11" a="1"/>
  <c r="O81" i="11" s="1"/>
  <c r="S42" i="11"/>
  <c r="S82" i="11" a="1"/>
  <c r="S82" i="11" s="1"/>
  <c r="S81" i="11"/>
  <c r="O42" i="11"/>
  <c r="O49" i="11" s="1"/>
  <c r="O33" i="11"/>
  <c r="S83" i="11" a="1"/>
  <c r="S83" i="11" s="1"/>
  <c r="S79" i="11"/>
  <c r="S33" i="11"/>
  <c r="T80" i="11"/>
  <c r="T42" i="11"/>
  <c r="T33" i="11"/>
  <c r="T81" i="11"/>
  <c r="T82" i="11" a="1"/>
  <c r="T82" i="11" s="1"/>
  <c r="T83" i="11" a="1"/>
  <c r="T83" i="11" s="1"/>
  <c r="P28" i="8"/>
  <c r="P33" i="8" s="1"/>
  <c r="P14" i="10"/>
  <c r="Q14" i="10"/>
  <c r="L14" i="10"/>
  <c r="N14" i="10"/>
  <c r="M14" i="10"/>
  <c r="U83" i="11" a="1"/>
  <c r="U83" i="11" s="1"/>
  <c r="U82" i="11" a="1"/>
  <c r="U82" i="11" s="1"/>
  <c r="U33" i="11"/>
  <c r="AA33" i="11" s="1"/>
  <c r="U42" i="11"/>
  <c r="AA42" i="11" s="1"/>
  <c r="AA32" i="11"/>
  <c r="U79" i="11"/>
  <c r="U81" i="11"/>
  <c r="U80" i="11"/>
  <c r="N87" i="8"/>
  <c r="N98" i="8" s="1"/>
  <c r="L77" i="8"/>
  <c r="Q77" i="8"/>
  <c r="I77" i="8"/>
  <c r="I87" i="8" s="1"/>
  <c r="H77" i="8"/>
  <c r="H87" i="8" s="1"/>
  <c r="M77" i="8"/>
  <c r="E77" i="8"/>
  <c r="J77" i="8"/>
  <c r="Q132" i="8"/>
  <c r="O132" i="8"/>
  <c r="I132" i="8"/>
  <c r="M132" i="8"/>
  <c r="N132" i="8"/>
  <c r="O77" i="8"/>
  <c r="O57" i="8"/>
  <c r="O67" i="8" s="1"/>
  <c r="K57" i="8"/>
  <c r="K67" i="8" s="1"/>
  <c r="K77" i="8"/>
  <c r="Y49" i="11" l="1"/>
  <c r="Y50" i="11" s="1"/>
  <c r="X49" i="11"/>
  <c r="X50" i="11" s="1"/>
  <c r="W49" i="11"/>
  <c r="W50" i="11" s="1"/>
  <c r="P36" i="8"/>
  <c r="P39" i="8" s="1"/>
  <c r="P108" i="8"/>
  <c r="P124" i="8" s="1"/>
  <c r="S50" i="11"/>
  <c r="V50" i="11"/>
  <c r="U50" i="11"/>
  <c r="T50" i="11"/>
  <c r="Q28" i="8"/>
  <c r="P21" i="8"/>
  <c r="M28" i="8"/>
  <c r="K50" i="11"/>
  <c r="O50" i="11"/>
  <c r="P29" i="8"/>
  <c r="N28" i="8"/>
  <c r="N33" i="8" s="1"/>
  <c r="H28" i="8"/>
  <c r="H33" i="8" s="1"/>
  <c r="L28" i="8"/>
  <c r="L33" i="8" s="1"/>
  <c r="N100" i="8"/>
  <c r="H21" i="8"/>
  <c r="O87" i="8"/>
  <c r="O98" i="8" s="1"/>
  <c r="L87" i="8"/>
  <c r="L98" i="8" s="1"/>
  <c r="J87" i="8"/>
  <c r="J98" i="8" s="1"/>
  <c r="E87" i="8"/>
  <c r="E98" i="8" s="1"/>
  <c r="I98" i="8"/>
  <c r="K87" i="8"/>
  <c r="K98" i="8" s="1"/>
  <c r="Q87" i="8"/>
  <c r="Q98" i="8" s="1"/>
  <c r="H98" i="8"/>
  <c r="M87" i="8"/>
  <c r="M98" i="8" s="1"/>
  <c r="P87" i="8"/>
  <c r="P98" i="8" s="1"/>
  <c r="J132" i="8"/>
  <c r="K132" i="8"/>
  <c r="O28" i="8"/>
  <c r="O33" i="8" s="1"/>
  <c r="K28" i="8"/>
  <c r="K33" i="8" s="1"/>
  <c r="N21" i="8"/>
  <c r="L21" i="8"/>
  <c r="L36" i="8" l="1"/>
  <c r="L39" i="8" s="1"/>
  <c r="L108" i="8"/>
  <c r="H36" i="8"/>
  <c r="H39" i="8" s="1"/>
  <c r="H108" i="8"/>
  <c r="N36" i="8"/>
  <c r="N39" i="8" s="1"/>
  <c r="N108" i="8"/>
  <c r="N124" i="8" s="1"/>
  <c r="O36" i="8"/>
  <c r="O39" i="8" s="1"/>
  <c r="O108" i="8"/>
  <c r="K36" i="8"/>
  <c r="K39" i="8" s="1"/>
  <c r="K108" i="8"/>
  <c r="M29" i="8"/>
  <c r="M33" i="8"/>
  <c r="Q29" i="8"/>
  <c r="Q33" i="8"/>
  <c r="Q108" i="8" s="1"/>
  <c r="Q21" i="8"/>
  <c r="M21" i="8"/>
  <c r="O29" i="8"/>
  <c r="N29" i="8"/>
  <c r="L29" i="8"/>
  <c r="K29" i="8"/>
  <c r="H29" i="8"/>
  <c r="P46" i="8"/>
  <c r="P40" i="8"/>
  <c r="P43" i="8"/>
  <c r="J28" i="8"/>
  <c r="J33" i="8" s="1"/>
  <c r="I28" i="8"/>
  <c r="I33" i="8" s="1"/>
  <c r="L100" i="8"/>
  <c r="I21" i="8"/>
  <c r="J21" i="8"/>
  <c r="K100" i="8"/>
  <c r="O100" i="8"/>
  <c r="J100" i="8"/>
  <c r="I100" i="8"/>
  <c r="Q100" i="8"/>
  <c r="P100" i="8"/>
  <c r="M100" i="8"/>
  <c r="H100" i="8"/>
  <c r="K21" i="8"/>
  <c r="O21" i="8"/>
  <c r="O124" i="8" l="1"/>
  <c r="Y108" i="8"/>
  <c r="X108" i="8"/>
  <c r="L124" i="8"/>
  <c r="L152" i="8" s="1"/>
  <c r="T152" i="8" s="1"/>
  <c r="K124" i="8"/>
  <c r="H124" i="8"/>
  <c r="H152" i="8" s="1"/>
  <c r="I36" i="8"/>
  <c r="I39" i="8" s="1"/>
  <c r="I108" i="8"/>
  <c r="M36" i="8"/>
  <c r="M39" i="8" s="1"/>
  <c r="M43" i="8" s="1"/>
  <c r="M108" i="8"/>
  <c r="W108" i="8" s="1"/>
  <c r="J36" i="8"/>
  <c r="J39" i="8" s="1"/>
  <c r="J108" i="8"/>
  <c r="J124" i="8" s="1"/>
  <c r="Q36" i="8"/>
  <c r="Q39" i="8" s="1"/>
  <c r="Q124" i="8" s="1"/>
  <c r="Q152" i="8" s="1"/>
  <c r="Y152" i="8" s="1"/>
  <c r="I29" i="8"/>
  <c r="J29" i="8"/>
  <c r="H43" i="8"/>
  <c r="H40" i="8"/>
  <c r="H46" i="8"/>
  <c r="L43" i="8"/>
  <c r="L46" i="8"/>
  <c r="L40" i="8"/>
  <c r="N46" i="8"/>
  <c r="N40" i="8"/>
  <c r="N43" i="8"/>
  <c r="O46" i="8"/>
  <c r="O40" i="8"/>
  <c r="O43" i="8"/>
  <c r="K40" i="8"/>
  <c r="K43" i="8"/>
  <c r="K46" i="8"/>
  <c r="P152" i="8"/>
  <c r="X152" i="8" s="1"/>
  <c r="N152" i="8"/>
  <c r="V152" i="8" s="1"/>
  <c r="U108" i="8" l="1"/>
  <c r="T108" i="8"/>
  <c r="V108" i="8"/>
  <c r="S108" i="8"/>
  <c r="I124" i="8"/>
  <c r="M124" i="8"/>
  <c r="M152" i="8" s="1"/>
  <c r="U152" i="8" s="1"/>
  <c r="M40" i="8"/>
  <c r="M46" i="8"/>
  <c r="Q43" i="8"/>
  <c r="Q40" i="8"/>
  <c r="Q46" i="8"/>
  <c r="J46" i="8"/>
  <c r="J40" i="8"/>
  <c r="J43" i="8"/>
  <c r="I46" i="8"/>
  <c r="I40" i="8"/>
  <c r="I43" i="8"/>
  <c r="I152" i="8" l="1"/>
  <c r="J152" i="8"/>
  <c r="B105" i="8" l="1"/>
  <c r="B104" i="8"/>
  <c r="E105" i="8"/>
  <c r="D105" i="8"/>
  <c r="C105" i="8"/>
  <c r="E104" i="8"/>
  <c r="D104" i="8"/>
  <c r="C104" i="8"/>
  <c r="B50" i="8"/>
  <c r="B49" i="8"/>
  <c r="S104" i="8" l="1"/>
  <c r="S105" i="8"/>
  <c r="V104" i="8"/>
  <c r="W104" i="8"/>
  <c r="W105" i="8"/>
  <c r="X105" i="8"/>
  <c r="U104" i="8"/>
  <c r="X104" i="8"/>
  <c r="U105" i="8"/>
  <c r="T105" i="8"/>
  <c r="Y104" i="8"/>
  <c r="V105" i="8"/>
  <c r="T104" i="8"/>
  <c r="Y105" i="8"/>
  <c r="T11" i="8" l="1"/>
  <c r="D57" i="8"/>
  <c r="D67" i="8" s="1"/>
  <c r="C57" i="8"/>
  <c r="C67" i="8" s="1"/>
  <c r="E57" i="8"/>
  <c r="E67" i="8" s="1"/>
  <c r="T14" i="10" l="1"/>
  <c r="T20" i="8"/>
  <c r="U11" i="8"/>
  <c r="U57" i="8"/>
  <c r="U67" i="8" s="1"/>
  <c r="S57" i="8"/>
  <c r="S67" i="8" s="1"/>
  <c r="U77" i="8"/>
  <c r="U87" i="8" s="1"/>
  <c r="U98" i="8" s="1"/>
  <c r="T77" i="8"/>
  <c r="T87" i="8" s="1"/>
  <c r="T98" i="8" s="1"/>
  <c r="T57" i="8"/>
  <c r="T67" i="8" s="1"/>
  <c r="S11" i="8"/>
  <c r="S77" i="8"/>
  <c r="S87" i="8" s="1"/>
  <c r="S98" i="8" s="1"/>
  <c r="W57" i="8"/>
  <c r="W67" i="8" s="1"/>
  <c r="W11" i="8"/>
  <c r="W77" i="8"/>
  <c r="W87" i="8" s="1"/>
  <c r="W98" i="8" s="1"/>
  <c r="X77" i="8"/>
  <c r="X87" i="8" s="1"/>
  <c r="X98" i="8" s="1"/>
  <c r="V11" i="8"/>
  <c r="X11" i="8"/>
  <c r="X57" i="8"/>
  <c r="X67" i="8" s="1"/>
  <c r="U100" i="8" l="1"/>
  <c r="S100" i="8"/>
  <c r="U14" i="10"/>
  <c r="U20" i="8"/>
  <c r="X14" i="10"/>
  <c r="X20" i="8"/>
  <c r="V14" i="10"/>
  <c r="V20" i="8"/>
  <c r="S14" i="10"/>
  <c r="S20" i="8"/>
  <c r="W14" i="10"/>
  <c r="W20" i="8"/>
  <c r="T100" i="8"/>
  <c r="X100" i="8"/>
  <c r="W100" i="8"/>
  <c r="T28" i="8"/>
  <c r="T21" i="8"/>
  <c r="AA10" i="8"/>
  <c r="AA13" i="8"/>
  <c r="T29" i="8" l="1"/>
  <c r="W28" i="8"/>
  <c r="V28" i="8"/>
  <c r="S28" i="8"/>
  <c r="U28" i="8"/>
  <c r="X28" i="8"/>
  <c r="S21" i="8"/>
  <c r="U21" i="8"/>
  <c r="W21" i="8"/>
  <c r="V21" i="8"/>
  <c r="X21" i="8"/>
  <c r="W29" i="8" l="1"/>
  <c r="X29" i="8"/>
  <c r="S29" i="8"/>
  <c r="U29" i="8"/>
  <c r="V29" i="8"/>
  <c r="T40" i="8"/>
  <c r="T43" i="8"/>
  <c r="T46" i="8"/>
  <c r="S40" i="8" l="1"/>
  <c r="S46" i="8"/>
  <c r="S43" i="8"/>
  <c r="W43" i="8"/>
  <c r="W40" i="8"/>
  <c r="W46" i="8"/>
  <c r="U40" i="8"/>
  <c r="U43" i="8"/>
  <c r="U46" i="8"/>
  <c r="X40" i="8"/>
  <c r="X43" i="8"/>
  <c r="X46" i="8"/>
  <c r="V46" i="8"/>
  <c r="V40" i="8"/>
  <c r="V43" i="8"/>
  <c r="V77" i="8" l="1"/>
  <c r="V87" i="8" s="1"/>
  <c r="V98" i="8" s="1"/>
  <c r="U132" i="8" l="1"/>
  <c r="S132" i="8"/>
  <c r="T132" i="8"/>
  <c r="V132" i="8"/>
  <c r="X132" i="8"/>
  <c r="W132" i="8"/>
  <c r="E11" i="8" l="1"/>
  <c r="D11" i="8"/>
  <c r="C11" i="8"/>
  <c r="E132" i="8"/>
  <c r="D132" i="8"/>
  <c r="C132" i="8"/>
  <c r="D77" i="8"/>
  <c r="C77" i="8"/>
  <c r="Y11" i="8"/>
  <c r="C14" i="10" l="1"/>
  <c r="C20" i="8"/>
  <c r="D20" i="8"/>
  <c r="D14" i="10"/>
  <c r="Y14" i="10"/>
  <c r="Y20" i="8"/>
  <c r="E20" i="8"/>
  <c r="E14" i="10"/>
  <c r="D87" i="8"/>
  <c r="D98" i="8" s="1"/>
  <c r="C87" i="8"/>
  <c r="C98" i="8" s="1"/>
  <c r="AA11" i="8"/>
  <c r="Y77" i="8"/>
  <c r="Y87" i="8" s="1"/>
  <c r="Y98" i="8" s="1"/>
  <c r="AA94" i="8"/>
  <c r="C28" i="8" l="1"/>
  <c r="C33" i="8" s="1"/>
  <c r="E28" i="8"/>
  <c r="E33" i="8" s="1"/>
  <c r="D28" i="8"/>
  <c r="D33" i="8" s="1"/>
  <c r="C100" i="8"/>
  <c r="C21" i="8"/>
  <c r="D21" i="8"/>
  <c r="E21" i="8"/>
  <c r="V57" i="8"/>
  <c r="V67" i="8" s="1"/>
  <c r="V100" i="8" s="1"/>
  <c r="D100" i="8"/>
  <c r="E100" i="8"/>
  <c r="AA87" i="8"/>
  <c r="AA77" i="8"/>
  <c r="Y57" i="8"/>
  <c r="Y67" i="8" s="1"/>
  <c r="Y100" i="8" s="1"/>
  <c r="Y28" i="8"/>
  <c r="C108" i="8" l="1"/>
  <c r="C36" i="8"/>
  <c r="C39" i="8" s="1"/>
  <c r="E36" i="8"/>
  <c r="E39" i="8" s="1"/>
  <c r="E108" i="8"/>
  <c r="D36" i="8"/>
  <c r="D39" i="8" s="1"/>
  <c r="D108" i="8"/>
  <c r="D29" i="8"/>
  <c r="E29" i="8"/>
  <c r="C29" i="8"/>
  <c r="Y29" i="8"/>
  <c r="AA29" i="8" s="1"/>
  <c r="AA28" i="8"/>
  <c r="K152" i="8"/>
  <c r="S152" i="8" s="1"/>
  <c r="AA20" i="8"/>
  <c r="Y21" i="8"/>
  <c r="AA21" i="8" s="1"/>
  <c r="AA143" i="8"/>
  <c r="AA98" i="8"/>
  <c r="AA67" i="8"/>
  <c r="AA57" i="8"/>
  <c r="Y132" i="8"/>
  <c r="AA132" i="8" s="1"/>
  <c r="E124" i="8" l="1"/>
  <c r="E152" i="8" s="1"/>
  <c r="D124" i="8"/>
  <c r="D152" i="8" s="1"/>
  <c r="D40" i="8"/>
  <c r="C40" i="8"/>
  <c r="Y43" i="8"/>
  <c r="C46" i="8"/>
  <c r="C43" i="8"/>
  <c r="E43" i="8"/>
  <c r="E46" i="8"/>
  <c r="D46" i="8"/>
  <c r="D43" i="8"/>
  <c r="E40" i="8"/>
  <c r="O152" i="8"/>
  <c r="W152" i="8" s="1"/>
  <c r="AA39" i="8" l="1"/>
  <c r="Y46" i="8"/>
  <c r="Y40" i="8"/>
  <c r="AA40" i="8" s="1"/>
  <c r="C124" i="8"/>
  <c r="C152" i="8" s="1"/>
  <c r="U124" i="8"/>
  <c r="V124" i="8"/>
  <c r="S124" i="8" l="1"/>
  <c r="T124" i="8"/>
  <c r="AA43" i="8" l="1"/>
  <c r="AA46" i="8"/>
  <c r="C148" i="8" l="1"/>
  <c r="C153" i="8" l="1"/>
  <c r="D146" i="8" l="1"/>
  <c r="C155" i="8"/>
  <c r="D148" i="8" l="1"/>
  <c r="D153" i="8" s="1"/>
  <c r="D155" i="8" s="1"/>
  <c r="E146" i="8" l="1"/>
  <c r="E148" i="8" l="1"/>
  <c r="E153" i="8" s="1"/>
  <c r="E155" i="8" s="1"/>
  <c r="H146" i="8"/>
  <c r="H148" i="8" s="1"/>
  <c r="H153" i="8" s="1"/>
  <c r="H155" i="8" s="1"/>
  <c r="F146" i="8" l="1"/>
  <c r="F148" i="8" s="1"/>
  <c r="F153" i="8" s="1"/>
  <c r="F155" i="8" s="1"/>
  <c r="I146" i="8"/>
  <c r="I148" i="8" s="1"/>
  <c r="I153" i="8" s="1"/>
  <c r="I155" i="8" s="1"/>
  <c r="J146" i="8" l="1"/>
  <c r="J148" i="8" s="1"/>
  <c r="J153" i="8" l="1"/>
  <c r="K146" i="8" l="1"/>
  <c r="S146" i="8" s="1"/>
  <c r="J155" i="8"/>
  <c r="K148" i="8" l="1"/>
  <c r="K153" i="8" s="1"/>
  <c r="L146" i="8" l="1"/>
  <c r="L148" i="8" s="1"/>
  <c r="K155" i="8"/>
  <c r="L153" i="8" l="1"/>
  <c r="M146" i="8" l="1"/>
  <c r="M148" i="8" s="1"/>
  <c r="L155" i="8"/>
  <c r="M153" i="8" l="1"/>
  <c r="N146" i="8" l="1"/>
  <c r="N148" i="8" s="1"/>
  <c r="M155" i="8"/>
  <c r="N153" i="8" l="1"/>
  <c r="O146" i="8" l="1"/>
  <c r="O148" i="8" s="1"/>
  <c r="N155" i="8"/>
  <c r="O153" i="8" l="1"/>
  <c r="P146" i="8" s="1"/>
  <c r="P148" i="8" s="1"/>
  <c r="P153" i="8" l="1"/>
  <c r="Q146" i="8" s="1"/>
  <c r="Q148" i="8" s="1"/>
  <c r="O155" i="8"/>
  <c r="Q153" i="8" l="1"/>
  <c r="P155" i="8"/>
  <c r="Q155" i="8" l="1"/>
  <c r="W124" i="8" l="1"/>
  <c r="X124" i="8"/>
  <c r="Y124" i="8" l="1"/>
  <c r="AA108" i="8"/>
  <c r="AA124" i="8" l="1"/>
  <c r="S148" i="8" l="1"/>
  <c r="S153" i="8" s="1"/>
  <c r="T146" i="8" s="1"/>
  <c r="T148" i="8" l="1"/>
  <c r="T153" i="8" s="1"/>
  <c r="U146" i="8" s="1"/>
  <c r="S155" i="8" l="1"/>
  <c r="U148" i="8"/>
  <c r="U153" i="8" s="1"/>
  <c r="V146" i="8" s="1"/>
  <c r="T155" i="8" l="1"/>
  <c r="V148" i="8"/>
  <c r="U155" i="8"/>
  <c r="V153" i="8" l="1"/>
  <c r="W146" i="8" s="1"/>
  <c r="W148" i="8" l="1"/>
  <c r="W153" i="8" s="1"/>
  <c r="X146" i="8" s="1"/>
  <c r="V155" i="8"/>
  <c r="X148" i="8" l="1"/>
  <c r="X153" i="8" s="1"/>
  <c r="W155" i="8"/>
  <c r="Y146" i="8" l="1"/>
  <c r="Y148" i="8" s="1"/>
  <c r="Y153" i="8" s="1"/>
  <c r="Y155" i="8" s="1"/>
  <c r="X155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<sst xmlns="http://schemas.openxmlformats.org/spreadsheetml/2006/main" count="287" uniqueCount="217">
  <si>
    <t>FYE</t>
  </si>
  <si>
    <t>Quarterly</t>
  </si>
  <si>
    <t>1Q24</t>
  </si>
  <si>
    <t>2Q24</t>
  </si>
  <si>
    <t>3Q24</t>
  </si>
  <si>
    <t>4Q24</t>
  </si>
  <si>
    <t>1Q23</t>
  </si>
  <si>
    <t>2Q23</t>
  </si>
  <si>
    <t>3Q23</t>
  </si>
  <si>
    <t>4Q23</t>
  </si>
  <si>
    <t>LTM</t>
  </si>
  <si>
    <t>EBITDA</t>
  </si>
  <si>
    <t>Total Revenue</t>
  </si>
  <si>
    <t>Cash-Flows Statement</t>
  </si>
  <si>
    <t>Total Liabilities</t>
  </si>
  <si>
    <t>X</t>
  </si>
  <si>
    <t>Total Current Liabilities</t>
  </si>
  <si>
    <t>Total Current Assets</t>
  </si>
  <si>
    <t>Total Assets</t>
  </si>
  <si>
    <t>Total Debt</t>
  </si>
  <si>
    <t>Variance</t>
  </si>
  <si>
    <t>FCF Analysis</t>
  </si>
  <si>
    <t>1Q25</t>
  </si>
  <si>
    <t>2Q25</t>
  </si>
  <si>
    <t>Y/Y Growth (%)</t>
  </si>
  <si>
    <t>Q/Q Growth (%)</t>
  </si>
  <si>
    <t>N/A</t>
  </si>
  <si>
    <t>Earning before Interest &amp; Taxes (EBIT)</t>
  </si>
  <si>
    <t>Operating Margin (%)</t>
  </si>
  <si>
    <t>EBITDA Margin (%)</t>
  </si>
  <si>
    <t>Adj. EBITDA</t>
  </si>
  <si>
    <t>Adj. EBITDA Margin (%)</t>
  </si>
  <si>
    <t>(-) Capital Expenditures</t>
  </si>
  <si>
    <t>(-) Cash Taxes</t>
  </si>
  <si>
    <t>(+/-) Changes in NWC</t>
  </si>
  <si>
    <t>Discretionary Cash-Flows</t>
  </si>
  <si>
    <t>Free-Cash Flows</t>
  </si>
  <si>
    <t>Capitalization</t>
  </si>
  <si>
    <t>Cash &amp; Cash Equivelants</t>
  </si>
  <si>
    <t>Total Liquidity</t>
  </si>
  <si>
    <t>Balance Sheet Metrics:</t>
  </si>
  <si>
    <t>Current Liabilities</t>
  </si>
  <si>
    <t>Total Shareholder Equity</t>
  </si>
  <si>
    <t>Total Book Capitalization</t>
  </si>
  <si>
    <t>Debt-to-Book Capitalization</t>
  </si>
  <si>
    <t>Total liabilities and stockholders' equity</t>
  </si>
  <si>
    <t>Cash-Flows From Operating Activities</t>
  </si>
  <si>
    <t>Depreciation and amortization</t>
  </si>
  <si>
    <t>Net cash used in operating activities</t>
  </si>
  <si>
    <t>Cash flows from investing activities:</t>
  </si>
  <si>
    <t>Net cash used in investing activities</t>
  </si>
  <si>
    <t>Cash flows from financing activities:</t>
  </si>
  <si>
    <t>Net cash provided by financing activities</t>
  </si>
  <si>
    <t>Consolidated Revenue</t>
  </si>
  <si>
    <t>Adjustments to reconcile net income:</t>
  </si>
  <si>
    <t>Balance Check</t>
  </si>
  <si>
    <t>Net Change in Cash</t>
  </si>
  <si>
    <t>Net Margin (%)</t>
  </si>
  <si>
    <t>Basic shares</t>
  </si>
  <si>
    <t>Basic EPS</t>
  </si>
  <si>
    <t>Fully Diluted Shares</t>
  </si>
  <si>
    <t>Diluted EPS</t>
  </si>
  <si>
    <t>Segment Anaysis</t>
  </si>
  <si>
    <t>Total Net Revenue</t>
  </si>
  <si>
    <t xml:space="preserve">(+/-) Other </t>
  </si>
  <si>
    <t>Credit Metrics</t>
  </si>
  <si>
    <t>Adjusted Cash Position BOP</t>
  </si>
  <si>
    <t>Adjusted Cash Position EOP</t>
  </si>
  <si>
    <t xml:space="preserve">(-) Cash Interest </t>
  </si>
  <si>
    <t>Income Statement</t>
  </si>
  <si>
    <t xml:space="preserve">Balance Sheet </t>
  </si>
  <si>
    <t>Historical Financials</t>
  </si>
  <si>
    <t>Fiscal Period</t>
  </si>
  <si>
    <t>Fiscal Period End Date</t>
  </si>
  <si>
    <t>Operating Profit</t>
  </si>
  <si>
    <t>EBT Margin (%)</t>
  </si>
  <si>
    <t>Current Assets</t>
  </si>
  <si>
    <t>Non-Current Assets</t>
  </si>
  <si>
    <t>Non-Current Liabilities</t>
  </si>
  <si>
    <t>Supplemental disclosures of other cash flow information:</t>
  </si>
  <si>
    <t>Income tax expense</t>
  </si>
  <si>
    <t>Income taxes paid</t>
  </si>
  <si>
    <t>Interest paid</t>
  </si>
  <si>
    <t>BOP Restricted Cash Adjustment</t>
  </si>
  <si>
    <t>EOP FX Adjustment</t>
  </si>
  <si>
    <t>EOP Restricted Cash Adjustment</t>
  </si>
  <si>
    <t>Unrestricted Cash BOP</t>
  </si>
  <si>
    <t>($ In Millions)</t>
  </si>
  <si>
    <t>($ In Millions, except EPS)</t>
  </si>
  <si>
    <t>Revenue by reportable segment</t>
  </si>
  <si>
    <t>(+) Depreciation and Amortization (D&amp;A)</t>
  </si>
  <si>
    <t>Summary Debt:</t>
  </si>
  <si>
    <t>CPLTD</t>
  </si>
  <si>
    <t>LTD</t>
  </si>
  <si>
    <t>LTM Total Leverage</t>
  </si>
  <si>
    <t>LTM Net Leverage</t>
  </si>
  <si>
    <t xml:space="preserve">LTM Interest Coverage </t>
  </si>
  <si>
    <t>LTM Debt Service Coverage</t>
  </si>
  <si>
    <t>LTM Fixed Charge Coverage</t>
  </si>
  <si>
    <t>Programming charges</t>
  </si>
  <si>
    <t>Selling, general and administrative</t>
  </si>
  <si>
    <t>Impairment charges</t>
  </si>
  <si>
    <t>Restructuring, transaction-related items, and other corporate matters</t>
  </si>
  <si>
    <t>Gains on dispositions</t>
  </si>
  <si>
    <t>Interest expense</t>
  </si>
  <si>
    <t>Interest income</t>
  </si>
  <si>
    <t>Gain (loss) from investments</t>
  </si>
  <si>
    <t>Gain (loss) on extinguishment of debt</t>
  </si>
  <si>
    <t>Other items, net</t>
  </si>
  <si>
    <t>Earnings (loss) from Continuing Operations before Taxes &amp; Equity</t>
  </si>
  <si>
    <t>Net earnings (loss) from continuing operations</t>
  </si>
  <si>
    <t>Equity in loss of investee companies, net of tax</t>
  </si>
  <si>
    <t>Net earnings from discontinued operations, net of tax</t>
  </si>
  <si>
    <t>Net earnings (loss) (Paramount and noncontrolling interests)</t>
  </si>
  <si>
    <t>Net earnings attributable to noncontrolling interests</t>
  </si>
  <si>
    <t>Net earnings (loss) attributable to Paramount</t>
  </si>
  <si>
    <t>Cash and cash equivalents</t>
  </si>
  <si>
    <t>Receivables, net</t>
  </si>
  <si>
    <t>Programming and other inventory</t>
  </si>
  <si>
    <t>Prepaid expenses and other current assets</t>
  </si>
  <si>
    <t>Property and equipment, net</t>
  </si>
  <si>
    <t>Goodwill</t>
  </si>
  <si>
    <t>Intangible assets, net</t>
  </si>
  <si>
    <t>Operating lease assets</t>
  </si>
  <si>
    <t>Deferred income tax assets, net</t>
  </si>
  <si>
    <t>Other assets</t>
  </si>
  <si>
    <t>Accounts payable</t>
  </si>
  <si>
    <t>Accrued expenses</t>
  </si>
  <si>
    <t>Participants’ share and royalties payable</t>
  </si>
  <si>
    <t>Accrued programming and production costs</t>
  </si>
  <si>
    <t>Deferred revenues</t>
  </si>
  <si>
    <t>Debt</t>
  </si>
  <si>
    <t>Other current liabilities</t>
  </si>
  <si>
    <t>Long-term debt</t>
  </si>
  <si>
    <t>Pension and postretirement benefit obligations</t>
  </si>
  <si>
    <t>Deferred income tax liabilities, net</t>
  </si>
  <si>
    <t>Operating lease liabilities</t>
  </si>
  <si>
    <t>Program rights obligations</t>
  </si>
  <si>
    <t>Other liabilities</t>
  </si>
  <si>
    <t>Common Stock</t>
  </si>
  <si>
    <t>Additional paid-in capital</t>
  </si>
  <si>
    <t>Retained earnings</t>
  </si>
  <si>
    <t>Accumulated other comprehensive loss</t>
  </si>
  <si>
    <t>Total Paramount stockholders’ equity</t>
  </si>
  <si>
    <t>Noncontrolling interests</t>
  </si>
  <si>
    <t>Total Equity</t>
  </si>
  <si>
    <t>Amortization of content costs and participation and residuals expense</t>
  </si>
  <si>
    <t>Deferred tax benefit</t>
  </si>
  <si>
    <t>Stock-based compensation</t>
  </si>
  <si>
    <t>(Gain) loss from investments</t>
  </si>
  <si>
    <t>(Gain) loss on extinguishment of debt</t>
  </si>
  <si>
    <t>Equity in loss of investee companies, net of tax and distributions</t>
  </si>
  <si>
    <t>Other, net</t>
  </si>
  <si>
    <t>Net cash flow provided by operating activities from discontinued operations</t>
  </si>
  <si>
    <t>Investments</t>
  </si>
  <si>
    <t>Capital expenditures</t>
  </si>
  <si>
    <t>Other investing activities</t>
  </si>
  <si>
    <t>Net cash flow provided by (used for) investing activities from discontinued operations</t>
  </si>
  <si>
    <t>Proceeds from issuance of debt</t>
  </si>
  <si>
    <t>Repayment of debt</t>
  </si>
  <si>
    <t>Dividends paid on preferred stock</t>
  </si>
  <si>
    <t>Dividends paid on common stock</t>
  </si>
  <si>
    <t>Payment of payroll taxes in lieu of issuing shares for stock-based compensation</t>
  </si>
  <si>
    <t>Payments to noncontrolling interests</t>
  </si>
  <si>
    <t>Other financing activities</t>
  </si>
  <si>
    <t>Treasury stock</t>
  </si>
  <si>
    <t>Proceeds from dispositions / (Acquisitions)</t>
  </si>
  <si>
    <t xml:space="preserve">Revenue by Type </t>
  </si>
  <si>
    <t>Advertising</t>
  </si>
  <si>
    <t>Affiliate and subscription</t>
  </si>
  <si>
    <t>Theatrical</t>
  </si>
  <si>
    <t>Licensing and other</t>
  </si>
  <si>
    <t>TV Media</t>
  </si>
  <si>
    <t>Direct-to-Consumer</t>
  </si>
  <si>
    <t>Filmed Entertainment</t>
  </si>
  <si>
    <t>Eliminations</t>
  </si>
  <si>
    <t>Variance Check</t>
  </si>
  <si>
    <t>Revenue by TV Media</t>
  </si>
  <si>
    <t>Revenue by product category: Direct to Consumer</t>
  </si>
  <si>
    <t>Revenue by Direct-to-Consumer</t>
  </si>
  <si>
    <t>Total Revenue from Direct-to-Consumer</t>
  </si>
  <si>
    <t>Total Revenue from TV Media</t>
  </si>
  <si>
    <t>Direct-to-Consumer KPIs</t>
  </si>
  <si>
    <t>Subscription &amp; Licensing</t>
  </si>
  <si>
    <t xml:space="preserve">Paramount+ (Global) Streaming Subscribers </t>
  </si>
  <si>
    <t>Paramount+ (Global) Streaming Revenue</t>
  </si>
  <si>
    <t>Total Paramount+ (Global) Streaming Revenue</t>
  </si>
  <si>
    <t>Revenue by product category: Revenue by TV Media</t>
  </si>
  <si>
    <t>Revenue by product category: Filmed Entertainment</t>
  </si>
  <si>
    <t>Revenue by Filmed Entertainment</t>
  </si>
  <si>
    <t>Total Revenue from Filmed Entertainment</t>
  </si>
  <si>
    <t>Paramount Global  (NASDAQ: PARA)</t>
  </si>
  <si>
    <t>Change in assets and liabilities</t>
  </si>
  <si>
    <t>Cash Position Variance Check</t>
  </si>
  <si>
    <t>Net Equity Issuances / (Repurchases)</t>
  </si>
  <si>
    <t>Operating expenses</t>
  </si>
  <si>
    <t>(-) Operating Expenses</t>
  </si>
  <si>
    <t>(-) Programming charges</t>
  </si>
  <si>
    <t>(-) Selling, general and administrative</t>
  </si>
  <si>
    <t>(-) Depreciation and amortization</t>
  </si>
  <si>
    <t>(-) Impairment charges</t>
  </si>
  <si>
    <t>(-) Restructuring, transaction-related items, and other corporate matters</t>
  </si>
  <si>
    <t>(-) Gains on dispositions</t>
  </si>
  <si>
    <t>(+) Impairment charges</t>
  </si>
  <si>
    <t>(+) Restructuring, transaction-related items, and other corporate matters</t>
  </si>
  <si>
    <t>(+) Stock-based compensation (SBC)</t>
  </si>
  <si>
    <t>(+) Gains on dispositions</t>
  </si>
  <si>
    <t>(-) Common Dividends</t>
  </si>
  <si>
    <t>(-) Preferred Dividends</t>
  </si>
  <si>
    <t>(-) Payments to noncontrolling interests</t>
  </si>
  <si>
    <t>(+/-) Proceeds from Dispositions / (Acquisitions)</t>
  </si>
  <si>
    <t>(+/-) Equity in loss of investee companies, net of tax and distributions</t>
  </si>
  <si>
    <t>(+/-) Amortization of content costs and participation and residuals expense</t>
  </si>
  <si>
    <t>(+/-) Issuances from Debt / (Repayment)</t>
  </si>
  <si>
    <t>(+/-) Net Equity Issuances / (Repurchases)</t>
  </si>
  <si>
    <t>Aggregate Debt Issuances</t>
  </si>
  <si>
    <t>$3.5Bn RCF (CP Backstop)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</si>
</sst>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5" formatCode="&quot;$&quot;#,##0_);\(&quot;$&quot;#,##0\)"/>
    <numFmt numFmtId="7" formatCode="&quot;$&quot;#,##0.00_);\(&quot;$&quot;#,##0.00\)"/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_(&quot;$ &quot;#,##0_);_(&quot;$ &quot;\(#,##0\)"/>
    <numFmt numFmtId="166" formatCode="#,##0.0%;\(#,##0.0%\)"/>
    <numFmt numFmtId="167" formatCode="#,##0.0&quot;bps&quot;_);\(#,##0.0&quot;bps&quot;\)"/>
    <numFmt numFmtId="168" formatCode="#,##0.00&quot;bps&quot;_);\(#,##0.00&quot;bps&quot;\)"/>
    <numFmt numFmtId="169" formatCode="_(* #,##0.00&quot;x&quot;_);_(* \(#,##0.00&quot;x&quot;\);_(* &quot;-&quot;_);_(@_)"/>
    <numFmt numFmtId="170" formatCode="_(* #,##0.0_);_(* \(#,##0.0\);_(* &quot;-&quot;_);_(@_)"/>
  </numFmts>
  <fonts count="32">
    <font>
      <sz val="11"/>
      <color theme="1"/>
      <name val="Tw Cen MT"/>
      <family val="2"/>
      <scheme val="minor"/>
    </font>
    <font>
      <sz val="11"/>
      <color theme="1"/>
      <name val="Tw Cen MT"/>
      <family val="2"/>
      <scheme val="minor"/>
    </font>
    <font>
      <b/>
      <sz val="9"/>
      <color theme="0"/>
      <name val="Calibri"/>
      <family val="2"/>
    </font>
    <font>
      <i/>
      <sz val="9"/>
      <color theme="0"/>
      <name val="Calibri"/>
      <family val="2"/>
    </font>
    <font>
      <sz val="9"/>
      <color theme="1"/>
      <name val="Calibri"/>
      <family val="2"/>
    </font>
    <font>
      <b/>
      <i/>
      <sz val="9"/>
      <color theme="0"/>
      <name val="Calibri"/>
      <family val="2"/>
    </font>
    <font>
      <sz val="9"/>
      <name val="Calibri"/>
      <family val="2"/>
    </font>
    <font>
      <i/>
      <sz val="9"/>
      <name val="Calibri"/>
      <family val="2"/>
    </font>
    <font>
      <b/>
      <sz val="9"/>
      <name val="Calibri"/>
      <family val="2"/>
    </font>
    <font>
      <b/>
      <i/>
      <sz val="9"/>
      <name val="Calibri"/>
      <family val="2"/>
    </font>
    <font>
      <i/>
      <sz val="8"/>
      <name val="Calibri"/>
      <family val="2"/>
    </font>
    <font>
      <sz val="9"/>
      <color rgb="FF0000CC"/>
      <name val="Calibri"/>
      <family val="2"/>
    </font>
    <font>
      <sz val="9"/>
      <color rgb="FF0000FF"/>
      <name val="Calibri"/>
      <family val="2"/>
    </font>
    <font>
      <sz val="8"/>
      <name val="Calibri"/>
      <family val="2"/>
    </font>
    <font>
      <sz val="8"/>
      <color theme="1"/>
      <name val="Calibri"/>
      <family val="2"/>
    </font>
    <font>
      <b/>
      <sz val="9"/>
      <color theme="1"/>
      <name val="Calibri"/>
      <family val="2"/>
    </font>
    <font>
      <i/>
      <sz val="9"/>
      <color theme="1"/>
      <name val="Calibri"/>
      <family val="2"/>
    </font>
    <font>
      <b/>
      <sz val="9"/>
      <color indexed="8"/>
      <name val="Calibri"/>
      <family val="2"/>
    </font>
    <font>
      <sz val="9"/>
      <color rgb="FF0000E1"/>
      <name val="Calibri"/>
      <family val="2"/>
    </font>
    <font>
      <sz val="10"/>
      <name val="Arial"/>
      <family val="2"/>
    </font>
    <font>
      <sz val="9"/>
      <color rgb="FFFF0000"/>
      <name val="Tw Cen MT"/>
      <family val="2"/>
      <scheme val="minor"/>
    </font>
    <font>
      <sz val="8"/>
      <color rgb="FFFF0000"/>
      <name val="Calibri"/>
      <family val="2"/>
    </font>
    <font>
      <b/>
      <sz val="8"/>
      <color theme="1"/>
      <name val="Calibri"/>
      <family val="2"/>
    </font>
    <font>
      <i/>
      <sz val="8"/>
      <color theme="1"/>
      <name val="Calibri"/>
      <family val="2"/>
    </font>
    <font>
      <sz val="7"/>
      <color rgb="FFFF0000"/>
      <name val="Calibri"/>
      <family val="2"/>
    </font>
    <font>
      <sz val="9"/>
      <color rgb="FF00B050"/>
      <name val="Calibri"/>
      <family val="2"/>
    </font>
    <font>
      <sz val="10"/>
      <name val="Arial Narrow MT"/>
      <family val="2"/>
    </font>
    <font>
      <b/>
      <i/>
      <sz val="8"/>
      <name val="Calibri"/>
      <family val="2"/>
    </font>
    <font>
      <b/>
      <sz val="8"/>
      <color theme="0"/>
      <name val="Calibri"/>
      <family val="2"/>
    </font>
    <font>
      <i/>
      <sz val="7"/>
      <color rgb="FFFF0000"/>
      <name val="Calibri"/>
      <family val="2"/>
    </font>
    <font>
      <i/>
      <sz val="8"/>
      <color rgb="FF0000CC"/>
      <name val="Calibri"/>
      <family val="2"/>
    </font>
    <font>
      <i/>
      <sz val="8"/>
      <color rgb="FFFF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E5672"/>
        <bgColor indexed="64"/>
      </patternFill>
    </fill>
    <fill>
      <patternFill patternType="gray0625"/>
    </fill>
    <fill>
      <patternFill patternType="solid">
        <fgColor theme="0" tint="-4.9989318521683403E-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9" fillId="0" borderId="0"/>
    <xf numFmtId="0" fontId="26" fillId="0" borderId="0" applyNumberFormat="0" applyFont="0" applyFill="0" applyBorder="0" applyAlignment="0" applyProtection="0"/>
  </cellStyleXfs>
  <cellXfs count="161">
    <xf numFmtId="0" fontId="0" fillId="0" borderId="0" xfId="0"/>
    <xf numFmtId="0" fontId="2" fillId="2" borderId="0" xfId="0" applyFont="1" applyFill="1" applyAlignment="1">
      <alignment vertical="center" wrapText="1"/>
    </xf>
    <xf numFmtId="0" fontId="2" fillId="2" borderId="3" xfId="0" applyFont="1" applyFill="1" applyBorder="1" applyAlignment="1">
      <alignment horizontal="centerContinuous" vertical="center" wrapText="1"/>
    </xf>
    <xf numFmtId="14" fontId="3" fillId="2" borderId="0" xfId="0" applyNumberFormat="1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4" fillId="0" borderId="0" xfId="0" applyFont="1" applyAlignment="1">
      <alignment wrapText="1"/>
    </xf>
    <xf numFmtId="0" fontId="3" fillId="2" borderId="0" xfId="0" applyFont="1" applyFill="1" applyAlignment="1">
      <alignment vertical="center" wrapText="1"/>
    </xf>
    <xf numFmtId="0" fontId="5" fillId="2" borderId="0" xfId="0" applyFont="1" applyFill="1" applyAlignment="1">
      <alignment horizontal="center" vertical="center" wrapText="1"/>
    </xf>
    <xf numFmtId="0" fontId="4" fillId="0" borderId="0" xfId="0" applyFont="1"/>
    <xf numFmtId="0" fontId="6" fillId="0" borderId="0" xfId="0" applyFont="1" applyAlignment="1">
      <alignment vertical="top" wrapText="1"/>
    </xf>
    <xf numFmtId="41" fontId="4" fillId="0" borderId="0" xfId="0" applyNumberFormat="1" applyFont="1"/>
    <xf numFmtId="37" fontId="4" fillId="0" borderId="0" xfId="0" applyNumberFormat="1" applyFont="1" applyAlignment="1">
      <alignment wrapText="1"/>
    </xf>
    <xf numFmtId="0" fontId="8" fillId="3" borderId="4" xfId="0" applyFont="1" applyFill="1" applyBorder="1" applyAlignment="1">
      <alignment vertical="top" wrapText="1"/>
    </xf>
    <xf numFmtId="5" fontId="8" fillId="3" borderId="2" xfId="0" applyNumberFormat="1" applyFont="1" applyFill="1" applyBorder="1" applyAlignment="1">
      <alignment horizontal="right" vertical="top" wrapText="1"/>
    </xf>
    <xf numFmtId="0" fontId="10" fillId="0" borderId="0" xfId="0" applyFont="1" applyAlignment="1">
      <alignment horizontal="left" vertical="center" wrapText="1" indent="1"/>
    </xf>
    <xf numFmtId="166" fontId="10" fillId="0" borderId="0" xfId="1" applyNumberFormat="1" applyFont="1" applyBorder="1" applyAlignment="1">
      <alignment horizontal="right" vertical="center" wrapText="1"/>
    </xf>
    <xf numFmtId="9" fontId="6" fillId="0" borderId="0" xfId="1" applyFont="1" applyAlignment="1">
      <alignment horizontal="left" vertical="top" wrapText="1" indent="1"/>
    </xf>
    <xf numFmtId="9" fontId="11" fillId="0" borderId="0" xfId="1" applyFont="1" applyAlignment="1">
      <alignment horizontal="right" vertical="top" wrapText="1"/>
    </xf>
    <xf numFmtId="9" fontId="4" fillId="0" borderId="0" xfId="1" applyFont="1" applyAlignment="1">
      <alignment wrapText="1"/>
    </xf>
    <xf numFmtId="9" fontId="12" fillId="0" borderId="0" xfId="1" applyFont="1" applyAlignment="1">
      <alignment horizontal="right" vertical="top" wrapText="1"/>
    </xf>
    <xf numFmtId="9" fontId="4" fillId="0" borderId="0" xfId="1" applyFont="1"/>
    <xf numFmtId="0" fontId="6" fillId="0" borderId="0" xfId="0" quotePrefix="1" applyFont="1" applyAlignment="1">
      <alignment vertical="top" wrapText="1"/>
    </xf>
    <xf numFmtId="37" fontId="6" fillId="0" borderId="0" xfId="0" applyNumberFormat="1" applyFont="1" applyAlignment="1">
      <alignment horizontal="right" vertical="top" wrapText="1"/>
    </xf>
    <xf numFmtId="0" fontId="8" fillId="0" borderId="0" xfId="0" applyFont="1" applyAlignment="1">
      <alignment vertical="top" wrapText="1"/>
    </xf>
    <xf numFmtId="5" fontId="8" fillId="0" borderId="2" xfId="0" applyNumberFormat="1" applyFont="1" applyBorder="1" applyAlignment="1">
      <alignment horizontal="right" vertical="top" wrapText="1"/>
    </xf>
    <xf numFmtId="9" fontId="13" fillId="0" borderId="0" xfId="1" applyFont="1" applyBorder="1" applyAlignment="1">
      <alignment horizontal="right" vertical="center" wrapText="1"/>
    </xf>
    <xf numFmtId="0" fontId="14" fillId="0" borderId="0" xfId="0" applyFont="1" applyAlignment="1">
      <alignment wrapText="1"/>
    </xf>
    <xf numFmtId="0" fontId="4" fillId="0" borderId="0" xfId="0" quotePrefix="1" applyFont="1"/>
    <xf numFmtId="41" fontId="6" fillId="0" borderId="0" xfId="0" applyNumberFormat="1" applyFont="1" applyAlignment="1">
      <alignment horizontal="right" vertical="top" wrapText="1"/>
    </xf>
    <xf numFmtId="0" fontId="2" fillId="2" borderId="0" xfId="0" applyFont="1" applyFill="1" applyAlignment="1">
      <alignment wrapText="1"/>
    </xf>
    <xf numFmtId="0" fontId="15" fillId="0" borderId="5" xfId="0" applyFont="1" applyBorder="1"/>
    <xf numFmtId="0" fontId="15" fillId="0" borderId="0" xfId="0" applyFont="1"/>
    <xf numFmtId="0" fontId="4" fillId="0" borderId="1" xfId="0" applyFont="1" applyBorder="1"/>
    <xf numFmtId="0" fontId="4" fillId="2" borderId="0" xfId="0" applyFont="1" applyFill="1" applyAlignment="1">
      <alignment wrapText="1"/>
    </xf>
    <xf numFmtId="0" fontId="4" fillId="3" borderId="0" xfId="0" applyFont="1" applyFill="1" applyAlignment="1">
      <alignment wrapText="1"/>
    </xf>
    <xf numFmtId="165" fontId="4" fillId="0" borderId="0" xfId="0" applyNumberFormat="1" applyFont="1" applyAlignment="1">
      <alignment wrapText="1"/>
    </xf>
    <xf numFmtId="37" fontId="8" fillId="0" borderId="0" xfId="0" applyNumberFormat="1" applyFont="1" applyAlignment="1">
      <alignment horizontal="right" vertical="top" wrapText="1"/>
    </xf>
    <xf numFmtId="165" fontId="15" fillId="0" borderId="0" xfId="0" applyNumberFormat="1" applyFont="1" applyAlignment="1">
      <alignment wrapText="1"/>
    </xf>
    <xf numFmtId="9" fontId="6" fillId="0" borderId="0" xfId="1" applyFont="1" applyFill="1" applyBorder="1" applyAlignment="1">
      <alignment horizontal="right" vertical="center" wrapText="1"/>
    </xf>
    <xf numFmtId="0" fontId="6" fillId="0" borderId="0" xfId="0" applyFont="1" applyAlignment="1">
      <alignment horizontal="left" vertical="top" wrapText="1"/>
    </xf>
    <xf numFmtId="10" fontId="16" fillId="0" borderId="0" xfId="1" applyNumberFormat="1" applyFont="1" applyFill="1" applyAlignment="1">
      <alignment horizont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5" fontId="8" fillId="0" borderId="0" xfId="0" applyNumberFormat="1" applyFont="1" applyAlignment="1">
      <alignment horizontal="right" vertical="top" wrapText="1"/>
    </xf>
    <xf numFmtId="37" fontId="15" fillId="0" borderId="0" xfId="0" applyNumberFormat="1" applyFont="1" applyAlignment="1">
      <alignment wrapText="1"/>
    </xf>
    <xf numFmtId="37" fontId="8" fillId="0" borderId="0" xfId="0" applyNumberFormat="1" applyFont="1" applyAlignment="1">
      <alignment wrapText="1"/>
    </xf>
    <xf numFmtId="0" fontId="8" fillId="0" borderId="0" xfId="0" applyFont="1" applyAlignment="1">
      <alignment wrapText="1"/>
    </xf>
    <xf numFmtId="0" fontId="15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17" fillId="0" borderId="0" xfId="0" applyFont="1" applyAlignment="1">
      <alignment wrapText="1"/>
    </xf>
    <xf numFmtId="164" fontId="4" fillId="0" borderId="0" xfId="2" applyNumberFormat="1" applyFont="1" applyBorder="1" applyAlignment="1">
      <alignment wrapText="1"/>
    </xf>
    <xf numFmtId="0" fontId="4" fillId="0" borderId="0" xfId="0" applyFont="1" applyAlignment="1">
      <alignment horizontal="left" wrapText="1" indent="1"/>
    </xf>
    <xf numFmtId="37" fontId="11" fillId="0" borderId="0" xfId="2" applyNumberFormat="1" applyFont="1" applyBorder="1" applyAlignment="1">
      <alignment wrapText="1"/>
    </xf>
    <xf numFmtId="37" fontId="11" fillId="0" borderId="0" xfId="2" applyNumberFormat="1" applyFont="1" applyFill="1" applyBorder="1" applyAlignment="1">
      <alignment wrapText="1"/>
    </xf>
    <xf numFmtId="0" fontId="4" fillId="0" borderId="0" xfId="0" applyFont="1" applyAlignment="1">
      <alignment horizontal="left" indent="1"/>
    </xf>
    <xf numFmtId="37" fontId="8" fillId="0" borderId="0" xfId="2" applyNumberFormat="1" applyFont="1" applyBorder="1" applyAlignment="1">
      <alignment wrapText="1"/>
    </xf>
    <xf numFmtId="37" fontId="15" fillId="0" borderId="0" xfId="2" applyNumberFormat="1" applyFont="1" applyBorder="1" applyAlignment="1">
      <alignment wrapText="1"/>
    </xf>
    <xf numFmtId="37" fontId="15" fillId="0" borderId="0" xfId="2" applyNumberFormat="1" applyFont="1" applyFill="1" applyBorder="1" applyAlignment="1">
      <alignment wrapText="1"/>
    </xf>
    <xf numFmtId="37" fontId="18" fillId="0" borderId="0" xfId="2" applyNumberFormat="1" applyFont="1" applyFill="1" applyBorder="1" applyAlignment="1">
      <alignment wrapText="1"/>
    </xf>
    <xf numFmtId="0" fontId="20" fillId="0" borderId="0" xfId="0" applyFont="1" applyAlignment="1">
      <alignment vertical="top" wrapText="1"/>
    </xf>
    <xf numFmtId="0" fontId="21" fillId="0" borderId="0" xfId="0" applyFont="1" applyAlignment="1">
      <alignment vertical="top" wrapText="1"/>
    </xf>
    <xf numFmtId="43" fontId="21" fillId="0" borderId="0" xfId="0" applyNumberFormat="1" applyFont="1" applyAlignment="1">
      <alignment wrapText="1"/>
    </xf>
    <xf numFmtId="0" fontId="22" fillId="0" borderId="0" xfId="0" applyFont="1" applyAlignment="1">
      <alignment wrapText="1"/>
    </xf>
    <xf numFmtId="41" fontId="8" fillId="0" borderId="0" xfId="0" applyNumberFormat="1" applyFont="1" applyAlignment="1">
      <alignment horizontal="right" vertical="top" wrapText="1"/>
    </xf>
    <xf numFmtId="0" fontId="4" fillId="0" borderId="1" xfId="0" applyFont="1" applyBorder="1" applyAlignment="1">
      <alignment wrapText="1"/>
    </xf>
    <xf numFmtId="164" fontId="4" fillId="0" borderId="1" xfId="2" applyNumberFormat="1" applyFont="1" applyBorder="1" applyAlignment="1">
      <alignment wrapText="1"/>
    </xf>
    <xf numFmtId="166" fontId="7" fillId="4" borderId="0" xfId="1" applyNumberFormat="1" applyFont="1" applyFill="1" applyBorder="1" applyAlignment="1">
      <alignment horizontal="right" vertical="center" wrapText="1"/>
    </xf>
    <xf numFmtId="166" fontId="9" fillId="4" borderId="0" xfId="1" applyNumberFormat="1" applyFont="1" applyFill="1" applyBorder="1" applyAlignment="1">
      <alignment horizontal="right" vertical="center" wrapText="1"/>
    </xf>
    <xf numFmtId="168" fontId="9" fillId="4" borderId="0" xfId="1" applyNumberFormat="1" applyFont="1" applyFill="1" applyBorder="1" applyAlignment="1">
      <alignment horizontal="right" vertical="center" wrapText="1"/>
    </xf>
    <xf numFmtId="7" fontId="8" fillId="3" borderId="2" xfId="0" applyNumberFormat="1" applyFont="1" applyFill="1" applyBorder="1" applyAlignment="1">
      <alignment horizontal="right" vertical="top" wrapText="1"/>
    </xf>
    <xf numFmtId="0" fontId="8" fillId="0" borderId="5" xfId="0" applyFont="1" applyBorder="1" applyAlignment="1">
      <alignment vertical="top" wrapText="1"/>
    </xf>
    <xf numFmtId="41" fontId="24" fillId="0" borderId="0" xfId="0" applyNumberFormat="1" applyFont="1" applyAlignment="1">
      <alignment horizontal="right" vertical="center" wrapText="1"/>
    </xf>
    <xf numFmtId="0" fontId="15" fillId="0" borderId="0" xfId="0" applyFont="1" applyAlignment="1">
      <alignment horizontal="center"/>
    </xf>
    <xf numFmtId="41" fontId="11" fillId="0" borderId="0" xfId="0" applyNumberFormat="1" applyFont="1"/>
    <xf numFmtId="41" fontId="11" fillId="0" borderId="0" xfId="0" applyNumberFormat="1" applyFont="1" applyAlignment="1">
      <alignment horizontal="right" vertical="top" wrapText="1"/>
    </xf>
    <xf numFmtId="0" fontId="4" fillId="0" borderId="0" xfId="0" quotePrefix="1" applyFont="1" applyAlignment="1">
      <alignment horizontal="left" indent="1"/>
    </xf>
    <xf numFmtId="14" fontId="3" fillId="2" borderId="0" xfId="0" quotePrefix="1" applyNumberFormat="1" applyFont="1" applyFill="1" applyAlignment="1">
      <alignment horizontal="center" vertical="center" wrapText="1"/>
    </xf>
    <xf numFmtId="3" fontId="4" fillId="0" borderId="0" xfId="0" applyNumberFormat="1" applyFont="1" applyAlignment="1">
      <alignment wrapText="1"/>
    </xf>
    <xf numFmtId="41" fontId="25" fillId="0" borderId="0" xfId="0" applyNumberFormat="1" applyFont="1"/>
    <xf numFmtId="37" fontId="11" fillId="0" borderId="0" xfId="0" applyNumberFormat="1" applyFont="1" applyAlignment="1">
      <alignment horizontal="right" vertical="top" wrapText="1"/>
    </xf>
    <xf numFmtId="41" fontId="6" fillId="0" borderId="0" xfId="0" applyNumberFormat="1" applyFont="1" applyAlignment="1">
      <alignment horizontal="right" wrapText="1"/>
    </xf>
    <xf numFmtId="0" fontId="2" fillId="6" borderId="0" xfId="0" applyFont="1" applyFill="1" applyAlignment="1">
      <alignment vertical="center" wrapText="1"/>
    </xf>
    <xf numFmtId="0" fontId="3" fillId="6" borderId="0" xfId="0" applyFont="1" applyFill="1" applyAlignment="1">
      <alignment vertical="center" wrapText="1"/>
    </xf>
    <xf numFmtId="166" fontId="7" fillId="0" borderId="0" xfId="1" applyNumberFormat="1" applyFont="1" applyFill="1" applyBorder="1" applyAlignment="1">
      <alignment horizontal="right" vertical="center" wrapText="1"/>
    </xf>
    <xf numFmtId="0" fontId="2" fillId="2" borderId="0" xfId="0" applyFont="1" applyFill="1" applyAlignment="1">
      <alignment horizontal="centerContinuous" vertical="center" wrapText="1"/>
    </xf>
    <xf numFmtId="0" fontId="2" fillId="6" borderId="3" xfId="0" applyFont="1" applyFill="1" applyBorder="1" applyAlignment="1">
      <alignment horizontal="centerContinuous" vertical="center" wrapText="1"/>
    </xf>
    <xf numFmtId="0" fontId="4" fillId="6" borderId="0" xfId="0" applyFont="1" applyFill="1" applyAlignment="1">
      <alignment wrapText="1"/>
    </xf>
    <xf numFmtId="0" fontId="5" fillId="6" borderId="0" xfId="0" applyFont="1" applyFill="1" applyAlignment="1">
      <alignment horizontal="center" vertical="center" wrapText="1"/>
    </xf>
    <xf numFmtId="14" fontId="3" fillId="6" borderId="0" xfId="0" applyNumberFormat="1" applyFont="1" applyFill="1" applyAlignment="1">
      <alignment horizontal="center" vertical="center" wrapText="1"/>
    </xf>
    <xf numFmtId="0" fontId="2" fillId="7" borderId="0" xfId="0" applyFont="1" applyFill="1" applyAlignment="1">
      <alignment vertical="center" wrapText="1"/>
    </xf>
    <xf numFmtId="0" fontId="2" fillId="7" borderId="3" xfId="0" applyFont="1" applyFill="1" applyBorder="1" applyAlignment="1">
      <alignment horizontal="centerContinuous" vertical="center" wrapText="1"/>
    </xf>
    <xf numFmtId="0" fontId="4" fillId="7" borderId="0" xfId="0" applyFont="1" applyFill="1" applyAlignment="1">
      <alignment wrapText="1"/>
    </xf>
    <xf numFmtId="0" fontId="5" fillId="7" borderId="0" xfId="0" applyFont="1" applyFill="1" applyAlignment="1">
      <alignment horizontal="center" vertical="center" wrapText="1"/>
    </xf>
    <xf numFmtId="0" fontId="3" fillId="7" borderId="0" xfId="0" applyFont="1" applyFill="1" applyAlignment="1">
      <alignment vertical="center" wrapText="1"/>
    </xf>
    <xf numFmtId="0" fontId="5" fillId="7" borderId="0" xfId="0" applyFont="1" applyFill="1" applyAlignment="1">
      <alignment vertical="center" wrapText="1"/>
    </xf>
    <xf numFmtId="14" fontId="3" fillId="7" borderId="0" xfId="0" applyNumberFormat="1" applyFont="1" applyFill="1" applyAlignment="1">
      <alignment horizontal="center" vertical="center" wrapText="1"/>
    </xf>
    <xf numFmtId="14" fontId="3" fillId="7" borderId="0" xfId="0" applyNumberFormat="1" applyFont="1" applyFill="1" applyAlignment="1">
      <alignment vertical="center" wrapText="1"/>
    </xf>
    <xf numFmtId="166" fontId="10" fillId="8" borderId="0" xfId="1" applyNumberFormat="1" applyFont="1" applyFill="1" applyBorder="1" applyAlignment="1">
      <alignment horizontal="right" vertical="center" wrapText="1"/>
    </xf>
    <xf numFmtId="0" fontId="21" fillId="0" borderId="1" xfId="0" applyFont="1" applyBorder="1" applyAlignment="1">
      <alignment vertical="top" wrapText="1"/>
    </xf>
    <xf numFmtId="43" fontId="21" fillId="0" borderId="1" xfId="0" applyNumberFormat="1" applyFont="1" applyBorder="1" applyAlignment="1">
      <alignment wrapText="1"/>
    </xf>
    <xf numFmtId="0" fontId="22" fillId="0" borderId="1" xfId="0" applyFont="1" applyBorder="1" applyAlignment="1">
      <alignment wrapText="1"/>
    </xf>
    <xf numFmtId="0" fontId="14" fillId="0" borderId="1" xfId="0" applyFont="1" applyBorder="1" applyAlignment="1">
      <alignment wrapText="1"/>
    </xf>
    <xf numFmtId="0" fontId="6" fillId="0" borderId="0" xfId="0" applyFont="1" applyAlignment="1">
      <alignment wrapText="1"/>
    </xf>
    <xf numFmtId="41" fontId="11" fillId="0" borderId="0" xfId="0" applyNumberFormat="1" applyFont="1" applyAlignment="1">
      <alignment horizontal="right" wrapText="1"/>
    </xf>
    <xf numFmtId="41" fontId="6" fillId="0" borderId="0" xfId="0" applyNumberFormat="1" applyFont="1"/>
    <xf numFmtId="0" fontId="14" fillId="3" borderId="0" xfId="0" applyFont="1" applyFill="1"/>
    <xf numFmtId="166" fontId="10" fillId="3" borderId="0" xfId="1" applyNumberFormat="1" applyFont="1" applyFill="1" applyBorder="1" applyAlignment="1">
      <alignment horizontal="right" vertical="center" wrapText="1"/>
    </xf>
    <xf numFmtId="166" fontId="27" fillId="3" borderId="0" xfId="1" applyNumberFormat="1" applyFont="1" applyFill="1" applyBorder="1" applyAlignment="1">
      <alignment horizontal="right" vertical="center" wrapText="1"/>
    </xf>
    <xf numFmtId="167" fontId="27" fillId="3" borderId="0" xfId="1" applyNumberFormat="1" applyFont="1" applyFill="1" applyBorder="1" applyAlignment="1">
      <alignment horizontal="right" vertical="center" wrapText="1"/>
    </xf>
    <xf numFmtId="0" fontId="14" fillId="0" borderId="0" xfId="0" applyFont="1"/>
    <xf numFmtId="0" fontId="15" fillId="0" borderId="5" xfId="0" applyFont="1" applyBorder="1" applyAlignment="1">
      <alignment wrapText="1"/>
    </xf>
    <xf numFmtId="5" fontId="8" fillId="5" borderId="2" xfId="0" applyNumberFormat="1" applyFont="1" applyFill="1" applyBorder="1" applyAlignment="1">
      <alignment horizontal="right" vertical="top" wrapText="1"/>
    </xf>
    <xf numFmtId="0" fontId="29" fillId="0" borderId="0" xfId="0" applyFont="1" applyAlignment="1">
      <alignment horizontal="right" vertical="center" wrapText="1"/>
    </xf>
    <xf numFmtId="0" fontId="23" fillId="9" borderId="6" xfId="0" applyFont="1" applyFill="1" applyBorder="1"/>
    <xf numFmtId="9" fontId="30" fillId="0" borderId="2" xfId="1" applyFont="1" applyBorder="1"/>
    <xf numFmtId="9" fontId="10" fillId="0" borderId="2" xfId="1" applyFont="1" applyBorder="1"/>
    <xf numFmtId="9" fontId="10" fillId="0" borderId="7" xfId="1" applyFont="1" applyBorder="1"/>
    <xf numFmtId="0" fontId="23" fillId="9" borderId="8" xfId="0" applyFont="1" applyFill="1" applyBorder="1"/>
    <xf numFmtId="9" fontId="30" fillId="0" borderId="0" xfId="1" applyFont="1" applyBorder="1"/>
    <xf numFmtId="9" fontId="10" fillId="0" borderId="0" xfId="1" applyFont="1" applyBorder="1"/>
    <xf numFmtId="9" fontId="10" fillId="0" borderId="9" xfId="1" applyFont="1" applyBorder="1"/>
    <xf numFmtId="0" fontId="23" fillId="9" borderId="10" xfId="0" applyFont="1" applyFill="1" applyBorder="1"/>
    <xf numFmtId="9" fontId="30" fillId="0" borderId="5" xfId="1" applyFont="1" applyBorder="1"/>
    <xf numFmtId="9" fontId="10" fillId="0" borderId="5" xfId="1" applyFont="1" applyBorder="1"/>
    <xf numFmtId="9" fontId="10" fillId="0" borderId="11" xfId="1" applyFont="1" applyBorder="1"/>
    <xf numFmtId="9" fontId="10" fillId="0" borderId="2" xfId="1" applyFont="1" applyBorder="1" applyAlignment="1">
      <alignment horizontal="right"/>
    </xf>
    <xf numFmtId="9" fontId="10" fillId="0" borderId="5" xfId="1" applyFont="1" applyBorder="1" applyAlignment="1">
      <alignment horizontal="right"/>
    </xf>
    <xf numFmtId="9" fontId="10" fillId="0" borderId="0" xfId="1" applyFont="1" applyBorder="1" applyAlignment="1">
      <alignment horizontal="right"/>
    </xf>
    <xf numFmtId="0" fontId="4" fillId="0" borderId="0" xfId="0" quotePrefix="1" applyFont="1" applyAlignment="1">
      <alignment wrapText="1"/>
    </xf>
    <xf numFmtId="41" fontId="4" fillId="0" borderId="0" xfId="0" applyNumberFormat="1" applyFont="1" applyAlignment="1">
      <alignment vertical="center"/>
    </xf>
    <xf numFmtId="41" fontId="25" fillId="0" borderId="0" xfId="0" applyNumberFormat="1" applyFont="1" applyAlignment="1">
      <alignment vertical="center"/>
    </xf>
    <xf numFmtId="41" fontId="6" fillId="0" borderId="0" xfId="0" applyNumberFormat="1" applyFont="1" applyAlignment="1">
      <alignment horizontal="right" vertical="center" wrapText="1"/>
    </xf>
    <xf numFmtId="169" fontId="4" fillId="0" borderId="0" xfId="0" applyNumberFormat="1" applyFont="1"/>
    <xf numFmtId="41" fontId="6" fillId="0" borderId="0" xfId="0" applyNumberFormat="1" applyFont="1" applyAlignment="1">
      <alignment vertical="center"/>
    </xf>
    <xf numFmtId="169" fontId="4" fillId="8" borderId="0" xfId="0" applyNumberFormat="1" applyFont="1" applyFill="1"/>
    <xf numFmtId="43" fontId="21" fillId="0" borderId="12" xfId="0" applyNumberFormat="1" applyFont="1" applyBorder="1" applyAlignment="1">
      <alignment wrapText="1"/>
    </xf>
    <xf numFmtId="41" fontId="6" fillId="0" borderId="12" xfId="0" applyNumberFormat="1" applyFont="1" applyBorder="1" applyAlignment="1">
      <alignment horizontal="right" vertical="top" wrapText="1"/>
    </xf>
    <xf numFmtId="41" fontId="6" fillId="0" borderId="13" xfId="0" applyNumberFormat="1" applyFont="1" applyBorder="1" applyAlignment="1">
      <alignment horizontal="right" vertical="top" wrapText="1"/>
    </xf>
    <xf numFmtId="5" fontId="8" fillId="5" borderId="14" xfId="0" applyNumberFormat="1" applyFont="1" applyFill="1" applyBorder="1" applyAlignment="1">
      <alignment horizontal="right" vertical="top" wrapText="1"/>
    </xf>
    <xf numFmtId="37" fontId="4" fillId="0" borderId="13" xfId="0" applyNumberFormat="1" applyFont="1" applyBorder="1" applyAlignment="1">
      <alignment wrapText="1"/>
    </xf>
    <xf numFmtId="43" fontId="21" fillId="0" borderId="15" xfId="0" applyNumberFormat="1" applyFont="1" applyBorder="1" applyAlignment="1">
      <alignment wrapText="1"/>
    </xf>
    <xf numFmtId="41" fontId="8" fillId="0" borderId="16" xfId="0" applyNumberFormat="1" applyFont="1" applyBorder="1" applyAlignment="1">
      <alignment horizontal="right" vertical="top" wrapText="1"/>
    </xf>
    <xf numFmtId="41" fontId="7" fillId="0" borderId="17" xfId="0" applyNumberFormat="1" applyFont="1" applyBorder="1" applyAlignment="1">
      <alignment horizontal="right" vertical="top" wrapText="1"/>
    </xf>
    <xf numFmtId="0" fontId="8" fillId="5" borderId="17" xfId="0" applyFont="1" applyFill="1" applyBorder="1" applyAlignment="1">
      <alignment horizontal="right" vertical="center" wrapText="1"/>
    </xf>
    <xf numFmtId="41" fontId="8" fillId="0" borderId="17" xfId="0" applyNumberFormat="1" applyFont="1" applyBorder="1" applyAlignment="1">
      <alignment horizontal="right" vertical="top" wrapText="1"/>
    </xf>
    <xf numFmtId="0" fontId="4" fillId="0" borderId="17" xfId="0" applyFont="1" applyBorder="1"/>
    <xf numFmtId="41" fontId="6" fillId="0" borderId="19" xfId="0" applyNumberFormat="1" applyFont="1" applyBorder="1" applyAlignment="1">
      <alignment horizontal="right" vertical="top" wrapText="1"/>
    </xf>
    <xf numFmtId="166" fontId="9" fillId="0" borderId="0" xfId="1" applyNumberFormat="1" applyFont="1" applyFill="1" applyBorder="1" applyAlignment="1">
      <alignment horizontal="right" vertical="center" wrapText="1"/>
    </xf>
    <xf numFmtId="5" fontId="6" fillId="0" borderId="0" xfId="0" applyNumberFormat="1" applyFont="1" applyAlignment="1">
      <alignment horizontal="right" vertical="top" wrapText="1"/>
    </xf>
    <xf numFmtId="41" fontId="8" fillId="0" borderId="2" xfId="0" applyNumberFormat="1" applyFont="1" applyBorder="1" applyAlignment="1">
      <alignment horizontal="right" vertical="top" wrapText="1"/>
    </xf>
    <xf numFmtId="41" fontId="11" fillId="0" borderId="19" xfId="0" applyNumberFormat="1" applyFont="1" applyBorder="1" applyAlignment="1">
      <alignment horizontal="right" vertical="top" wrapText="1"/>
    </xf>
    <xf numFmtId="170" fontId="11" fillId="0" borderId="0" xfId="0" applyNumberFormat="1" applyFont="1"/>
    <xf numFmtId="0" fontId="2" fillId="2" borderId="0" xfId="0" applyFont="1" applyFill="1" applyAlignment="1">
      <alignment horizontal="center" vertical="center" wrapText="1"/>
    </xf>
    <xf numFmtId="0" fontId="5" fillId="7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0" fontId="28" fillId="2" borderId="0" xfId="0" applyFont="1" applyFill="1" applyAlignment="1">
      <alignment horizontal="center" vertical="center" wrapText="1"/>
    </xf>
    <xf numFmtId="41" fontId="6" fillId="0" borderId="20" xfId="0" applyNumberFormat="1" applyFont="1" applyBorder="1" applyAlignment="1">
      <alignment horizontal="right" vertical="top" wrapText="1"/>
    </xf>
    <xf numFmtId="0" fontId="4" fillId="0" borderId="0" xfId="0" applyFont="1" applyFill="1" applyAlignment="1">
      <alignment horizontal="left" indent="1"/>
    </xf>
    <xf numFmtId="41" fontId="11" fillId="0" borderId="0" xfId="0" applyNumberFormat="1" applyFont="1" applyFill="1" applyAlignment="1">
      <alignment horizontal="right" vertical="top" wrapText="1"/>
    </xf>
    <xf numFmtId="0" fontId="31" fillId="0" borderId="18" xfId="0" applyFont="1" applyBorder="1" applyAlignment="1">
      <alignment horizontal="right" vertical="top" wrapText="1"/>
    </xf>
    <xf numFmtId="170" fontId="6" fillId="0" borderId="0" xfId="0" applyNumberFormat="1" applyFont="1" applyAlignment="1">
      <alignment horizontal="right" vertical="top" wrapText="1"/>
    </xf>
  </cellXfs>
  <cellStyles count="5">
    <cellStyle name="%" xfId="3" xr:uid="{B2D0E839-0EB6-4A26-A036-4291FCE77A81}"/>
    <cellStyle name="******************************************" xfId="4" xr:uid="{7C8B12D3-B631-462E-992D-9CE2477EE747}"/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0000CC"/>
      <color rgb="FF00B03C"/>
      <color rgb="FF487B79"/>
      <color rgb="FF0E56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ntegral">
  <a:themeElements>
    <a:clrScheme name="Integral">
      <a:dk1>
        <a:sysClr val="windowText" lastClr="000000"/>
      </a:dk1>
      <a:lt1>
        <a:sysClr val="window" lastClr="FFFFFF"/>
      </a:lt1>
      <a:dk2>
        <a:srgbClr val="335B74"/>
      </a:dk2>
      <a:lt2>
        <a:srgbClr val="DFE3E5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6B9F25"/>
      </a:hlink>
      <a:folHlink>
        <a:srgbClr val="B26B02"/>
      </a:folHlink>
    </a:clrScheme>
    <a:fontScheme name="Integral">
      <a:majorFont>
        <a:latin typeface="Tw Cen MT Condensed" panose="020B06060201040202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Integral">
      <a:fillStyleLst>
        <a:solidFill>
          <a:schemeClr val="phClr"/>
        </a:solidFill>
        <a:gradFill rotWithShape="1">
          <a:gsLst>
            <a:gs pos="0">
              <a:schemeClr val="phClr">
                <a:tint val="83000"/>
                <a:satMod val="100000"/>
                <a:lumMod val="100000"/>
              </a:schemeClr>
            </a:gs>
            <a:gs pos="100000">
              <a:schemeClr val="phClr">
                <a:tint val="61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tint val="100000"/>
                <a:shade val="85000"/>
                <a:satMod val="100000"/>
                <a:lumMod val="100000"/>
              </a:schemeClr>
            </a:gs>
            <a:gs pos="100000">
              <a:schemeClr val="phClr"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2700" dir="5400000" algn="ctr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76200" dist="25400" dir="5400000" algn="ct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hemeClr val="phClr">
                <a:shade val="35000"/>
                <a:satMod val="16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hade val="85000"/>
            <a:satMod val="125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tint val="95000"/>
                <a:shade val="74000"/>
                <a:satMod val="230000"/>
              </a:schemeClr>
              <a:schemeClr val="phClr">
                <a:tint val="92000"/>
                <a:shade val="69000"/>
                <a:satMod val="250000"/>
              </a:schemeClr>
            </a:duotone>
          </a:blip>
          <a:tile tx="0" ty="0" sx="40000" sy="4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ntegral" id="{3577F8C9-A904-41D8-97D2-FD898F53F20E}" vid="{682D6EBE-8D36-4FF2-9DB3-F3D8D7B6715D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7A1EF-DD86-43F0-AF53-6181CD7220DC}">
  <sheetPr>
    <tabColor rgb="FF002060"/>
  </sheetPr>
  <dimension ref="A2:AA172"/>
  <sheetViews>
    <sheetView showGridLines="0" topLeftCell="A71" zoomScaleNormal="100" workbookViewId="0">
      <selection activeCell="B60" sqref="B60"/>
    </sheetView>
  </sheetViews>
  <sheetFormatPr defaultRowHeight="12" outlineLevelCol="1"/>
  <cols>
    <col min="1" max="1" width="1.625" style="5" bestFit="1" customWidth="1"/>
    <col min="2" max="2" width="49.125" style="5" bestFit="1" customWidth="1"/>
    <col min="3" max="3" width="9.125" style="5" customWidth="1" outlineLevel="1"/>
    <col min="4" max="6" width="9.125" style="5" bestFit="1" customWidth="1"/>
    <col min="7" max="7" width="1.5" style="5" customWidth="1"/>
    <col min="8" max="9" width="7.875" style="5" customWidth="1" outlineLevel="1"/>
    <col min="10" max="11" width="8.625" style="5" customWidth="1" outlineLevel="1"/>
    <col min="12" max="13" width="7.875" style="5" customWidth="1" outlineLevel="1"/>
    <col min="14" max="14" width="8.625" style="5" bestFit="1" customWidth="1"/>
    <col min="15" max="15" width="8.625" style="5" customWidth="1"/>
    <col min="16" max="17" width="8" style="5" customWidth="1"/>
    <col min="18" max="18" width="1.5" style="5" customWidth="1"/>
    <col min="19" max="19" width="8.625" style="5" customWidth="1" outlineLevel="1"/>
    <col min="20" max="20" width="8.25" style="5" customWidth="1" outlineLevel="1"/>
    <col min="21" max="21" width="8.25" style="5" bestFit="1" customWidth="1"/>
    <col min="22" max="22" width="8.25" style="5" customWidth="1" outlineLevel="1"/>
    <col min="23" max="23" width="8.625" style="5" customWidth="1" outlineLevel="1"/>
    <col min="24" max="24" width="8.25" style="5" customWidth="1" outlineLevel="1"/>
    <col min="25" max="25" width="8.625" style="5" bestFit="1" customWidth="1"/>
    <col min="26" max="26" width="1.25" style="5" customWidth="1"/>
    <col min="27" max="27" width="10.5" style="5" bestFit="1" customWidth="1"/>
    <col min="28" max="28" width="1.375" style="5" customWidth="1"/>
    <col min="29" max="16384" width="9" style="5"/>
  </cols>
  <sheetData>
    <row r="2" spans="1:27" ht="12.75" customHeight="1">
      <c r="B2" s="1" t="s">
        <v>191</v>
      </c>
      <c r="C2" s="84"/>
      <c r="D2" s="84"/>
      <c r="E2" s="84"/>
      <c r="F2" s="84"/>
      <c r="G2" s="3"/>
      <c r="H2" s="84"/>
      <c r="I2" s="84"/>
      <c r="J2" s="84"/>
      <c r="K2" s="84"/>
      <c r="L2" s="84"/>
      <c r="M2" s="84"/>
      <c r="N2" s="84"/>
      <c r="O2" s="84"/>
      <c r="P2" s="84"/>
      <c r="Q2" s="84"/>
      <c r="R2" s="3"/>
      <c r="S2" s="84"/>
      <c r="T2" s="84"/>
      <c r="U2" s="84"/>
      <c r="V2" s="84"/>
      <c r="W2" s="84"/>
      <c r="X2" s="84"/>
      <c r="Y2" s="84"/>
      <c r="Z2" s="3"/>
      <c r="AA2" s="1"/>
    </row>
    <row r="3" spans="1:27" ht="12.75" customHeight="1">
      <c r="B3" s="6" t="s">
        <v>71</v>
      </c>
      <c r="C3" s="7"/>
      <c r="D3" s="7"/>
      <c r="E3" s="7"/>
      <c r="F3" s="7"/>
      <c r="G3" s="3"/>
      <c r="H3" s="4"/>
      <c r="I3" s="4"/>
      <c r="J3" s="4"/>
      <c r="K3" s="4"/>
      <c r="L3" s="4"/>
      <c r="M3" s="4"/>
      <c r="N3" s="4"/>
      <c r="O3" s="4"/>
      <c r="P3" s="4"/>
      <c r="Q3" s="4"/>
      <c r="R3" s="3"/>
      <c r="S3" s="4"/>
      <c r="T3" s="4"/>
      <c r="U3" s="4"/>
      <c r="V3" s="4"/>
      <c r="W3" s="4"/>
      <c r="X3" s="4"/>
      <c r="Y3" s="4"/>
      <c r="Z3" s="3"/>
      <c r="AA3" s="1"/>
    </row>
    <row r="4" spans="1:27" ht="12.75" customHeight="1">
      <c r="B4" s="6" t="s">
        <v>88</v>
      </c>
      <c r="C4" s="3"/>
      <c r="D4" s="76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1"/>
    </row>
    <row r="6" spans="1:27" ht="12.75" customHeight="1">
      <c r="A6" s="5" t="s">
        <v>15</v>
      </c>
      <c r="B6" s="1" t="s">
        <v>69</v>
      </c>
      <c r="C6" s="2"/>
      <c r="D6" s="2" t="s">
        <v>0</v>
      </c>
      <c r="E6" s="2"/>
      <c r="F6" s="2"/>
      <c r="G6" s="3"/>
      <c r="H6" s="2" t="s">
        <v>1</v>
      </c>
      <c r="I6" s="2"/>
      <c r="J6" s="2"/>
      <c r="K6" s="2"/>
      <c r="L6" s="2"/>
      <c r="M6" s="2"/>
      <c r="N6" s="2" t="s">
        <v>1</v>
      </c>
      <c r="O6" s="2"/>
      <c r="P6" s="2"/>
      <c r="Q6" s="2"/>
      <c r="R6" s="3"/>
      <c r="S6" s="2"/>
      <c r="T6" s="2"/>
      <c r="U6" s="2" t="s">
        <v>10</v>
      </c>
      <c r="V6" s="2"/>
      <c r="W6" s="2"/>
      <c r="X6" s="2"/>
      <c r="Y6" s="2"/>
      <c r="Z6" s="33"/>
      <c r="AA6" s="152" t="s">
        <v>20</v>
      </c>
    </row>
    <row r="7" spans="1:27" ht="12.75" customHeight="1">
      <c r="B7" s="6" t="s">
        <v>72</v>
      </c>
      <c r="C7" s="7">
        <v>2021</v>
      </c>
      <c r="D7" s="7">
        <v>2022</v>
      </c>
      <c r="E7" s="7">
        <v>2023</v>
      </c>
      <c r="F7" s="7">
        <v>2024</v>
      </c>
      <c r="G7" s="3"/>
      <c r="H7" s="4" t="s">
        <v>6</v>
      </c>
      <c r="I7" s="4" t="s">
        <v>7</v>
      </c>
      <c r="J7" s="4" t="s">
        <v>8</v>
      </c>
      <c r="K7" s="4" t="s">
        <v>9</v>
      </c>
      <c r="L7" s="4" t="s">
        <v>2</v>
      </c>
      <c r="M7" s="4" t="s">
        <v>3</v>
      </c>
      <c r="N7" s="4" t="s">
        <v>4</v>
      </c>
      <c r="O7" s="4" t="s">
        <v>5</v>
      </c>
      <c r="P7" s="4" t="s">
        <v>22</v>
      </c>
      <c r="Q7" s="4" t="s">
        <v>23</v>
      </c>
      <c r="R7" s="4"/>
      <c r="S7" s="4" t="str">
        <f t="shared" ref="S7:X8" si="0">K7</f>
        <v>4Q23</v>
      </c>
      <c r="T7" s="4" t="str">
        <f t="shared" si="0"/>
        <v>1Q24</v>
      </c>
      <c r="U7" s="4" t="str">
        <f t="shared" si="0"/>
        <v>2Q24</v>
      </c>
      <c r="V7" s="4" t="str">
        <f t="shared" si="0"/>
        <v>3Q24</v>
      </c>
      <c r="W7" s="4" t="str">
        <f t="shared" si="0"/>
        <v>4Q24</v>
      </c>
      <c r="X7" s="4" t="str">
        <f t="shared" si="0"/>
        <v>1Q25</v>
      </c>
      <c r="Y7" s="4" t="str">
        <f>Q7</f>
        <v>2Q25</v>
      </c>
      <c r="Z7" s="33"/>
      <c r="AA7" s="152"/>
    </row>
    <row r="8" spans="1:27" ht="12.75" customHeight="1">
      <c r="B8" s="6" t="s">
        <v>73</v>
      </c>
      <c r="C8" s="3">
        <v>44561</v>
      </c>
      <c r="D8" s="3">
        <v>44926</v>
      </c>
      <c r="E8" s="3">
        <v>45291</v>
      </c>
      <c r="F8" s="3">
        <v>45657</v>
      </c>
      <c r="G8" s="3"/>
      <c r="H8" s="3">
        <v>45016</v>
      </c>
      <c r="I8" s="3">
        <v>45107</v>
      </c>
      <c r="J8" s="3">
        <v>45199</v>
      </c>
      <c r="K8" s="3">
        <f>D8</f>
        <v>44926</v>
      </c>
      <c r="L8" s="3">
        <v>45382</v>
      </c>
      <c r="M8" s="3">
        <v>45473</v>
      </c>
      <c r="N8" s="3">
        <v>45565</v>
      </c>
      <c r="O8" s="3">
        <f>E8</f>
        <v>45291</v>
      </c>
      <c r="P8" s="3">
        <v>45747</v>
      </c>
      <c r="Q8" s="3">
        <v>45838</v>
      </c>
      <c r="R8" s="3"/>
      <c r="S8" s="3">
        <f t="shared" si="0"/>
        <v>44926</v>
      </c>
      <c r="T8" s="3">
        <f t="shared" si="0"/>
        <v>45382</v>
      </c>
      <c r="U8" s="3">
        <f t="shared" si="0"/>
        <v>45473</v>
      </c>
      <c r="V8" s="3">
        <f t="shared" si="0"/>
        <v>45565</v>
      </c>
      <c r="W8" s="3">
        <f t="shared" si="0"/>
        <v>45291</v>
      </c>
      <c r="X8" s="3">
        <f t="shared" si="0"/>
        <v>45747</v>
      </c>
      <c r="Y8" s="3">
        <f>Q8</f>
        <v>45838</v>
      </c>
      <c r="Z8" s="33"/>
      <c r="AA8" s="152"/>
    </row>
    <row r="9" spans="1:27" ht="5.0999999999999996" customHeight="1">
      <c r="AA9" s="83"/>
    </row>
    <row r="10" spans="1:27" ht="12.75" customHeight="1">
      <c r="B10" s="9" t="s">
        <v>53</v>
      </c>
      <c r="C10" s="79">
        <v>28586</v>
      </c>
      <c r="D10" s="79">
        <v>30154</v>
      </c>
      <c r="E10" s="79">
        <v>29652</v>
      </c>
      <c r="F10" s="79">
        <v>29213</v>
      </c>
      <c r="G10" s="11"/>
      <c r="H10" s="79">
        <v>7265</v>
      </c>
      <c r="I10" s="79">
        <v>7616</v>
      </c>
      <c r="J10" s="79">
        <v>7133</v>
      </c>
      <c r="K10" s="28">
        <f>SUM(E10-SUM(H10:J10))</f>
        <v>7638</v>
      </c>
      <c r="L10" s="79">
        <v>7685</v>
      </c>
      <c r="M10" s="79">
        <v>6813</v>
      </c>
      <c r="N10" s="79">
        <v>6731</v>
      </c>
      <c r="O10" s="28">
        <f>SUM(F10-SUM(L10:N10))</f>
        <v>7984</v>
      </c>
      <c r="P10" s="79">
        <v>7192</v>
      </c>
      <c r="Q10" s="79">
        <v>6849</v>
      </c>
      <c r="R10" s="28"/>
      <c r="S10" s="28">
        <f t="shared" ref="S10:X10" si="1">SUM(H10:K10)</f>
        <v>29652</v>
      </c>
      <c r="T10" s="28">
        <f t="shared" si="1"/>
        <v>30072</v>
      </c>
      <c r="U10" s="28">
        <f t="shared" si="1"/>
        <v>29269</v>
      </c>
      <c r="V10" s="28">
        <f t="shared" si="1"/>
        <v>28867</v>
      </c>
      <c r="W10" s="28">
        <f t="shared" si="1"/>
        <v>29213</v>
      </c>
      <c r="X10" s="28">
        <f t="shared" si="1"/>
        <v>28720</v>
      </c>
      <c r="Y10" s="28">
        <f>SUM(N10:Q10)</f>
        <v>28756</v>
      </c>
      <c r="Z10" s="35"/>
      <c r="AA10" s="66">
        <f>SUM(Y10/U10)-1</f>
        <v>-1.7527076428986321E-2</v>
      </c>
    </row>
    <row r="11" spans="1:27" ht="12.75" customHeight="1">
      <c r="B11" s="12" t="s">
        <v>12</v>
      </c>
      <c r="C11" s="13">
        <f t="shared" ref="C11:E11" si="2">+SUM(C10:C10)</f>
        <v>28586</v>
      </c>
      <c r="D11" s="13">
        <f t="shared" si="2"/>
        <v>30154</v>
      </c>
      <c r="E11" s="13">
        <f t="shared" si="2"/>
        <v>29652</v>
      </c>
      <c r="F11" s="13">
        <f t="shared" ref="F11" si="3">+SUM(F10:F10)</f>
        <v>29213</v>
      </c>
      <c r="G11" s="11"/>
      <c r="H11" s="13">
        <f t="shared" ref="H11:Q11" si="4">+SUM(H10:H10)</f>
        <v>7265</v>
      </c>
      <c r="I11" s="13">
        <f t="shared" si="4"/>
        <v>7616</v>
      </c>
      <c r="J11" s="13">
        <f t="shared" si="4"/>
        <v>7133</v>
      </c>
      <c r="K11" s="13">
        <f t="shared" si="4"/>
        <v>7638</v>
      </c>
      <c r="L11" s="13">
        <f t="shared" si="4"/>
        <v>7685</v>
      </c>
      <c r="M11" s="13">
        <f t="shared" si="4"/>
        <v>6813</v>
      </c>
      <c r="N11" s="13">
        <f t="shared" si="4"/>
        <v>6731</v>
      </c>
      <c r="O11" s="13">
        <f t="shared" si="4"/>
        <v>7984</v>
      </c>
      <c r="P11" s="13">
        <f t="shared" si="4"/>
        <v>7192</v>
      </c>
      <c r="Q11" s="13">
        <f t="shared" si="4"/>
        <v>6849</v>
      </c>
      <c r="S11" s="13">
        <f t="shared" ref="S11:Y11" si="5">+SUM(S10:S10)</f>
        <v>29652</v>
      </c>
      <c r="T11" s="13">
        <f t="shared" si="5"/>
        <v>30072</v>
      </c>
      <c r="U11" s="13">
        <f t="shared" si="5"/>
        <v>29269</v>
      </c>
      <c r="V11" s="13">
        <f t="shared" si="5"/>
        <v>28867</v>
      </c>
      <c r="W11" s="13">
        <f t="shared" si="5"/>
        <v>29213</v>
      </c>
      <c r="X11" s="13">
        <f t="shared" si="5"/>
        <v>28720</v>
      </c>
      <c r="Y11" s="13">
        <f t="shared" si="5"/>
        <v>28756</v>
      </c>
      <c r="Z11" s="35"/>
      <c r="AA11" s="67">
        <f t="shared" ref="AA11:AA39" si="6">SUM(Y11/U11)-1</f>
        <v>-1.7527076428986321E-2</v>
      </c>
    </row>
    <row r="12" spans="1:27" s="18" customFormat="1" ht="5.0999999999999996" customHeight="1">
      <c r="B12" s="16"/>
      <c r="C12" s="17"/>
      <c r="D12" s="17"/>
      <c r="E12" s="17"/>
      <c r="F12" s="17"/>
      <c r="H12" s="19"/>
      <c r="I12" s="19"/>
      <c r="J12" s="19"/>
      <c r="K12" s="19"/>
      <c r="L12" s="19"/>
      <c r="M12" s="19"/>
      <c r="N12" s="19"/>
      <c r="O12" s="19"/>
      <c r="P12" s="19"/>
      <c r="Q12" s="19"/>
      <c r="AA12" s="66"/>
    </row>
    <row r="13" spans="1:27" ht="12.75" customHeight="1">
      <c r="B13" s="9" t="s">
        <v>195</v>
      </c>
      <c r="C13" s="74">
        <v>-17744</v>
      </c>
      <c r="D13" s="74">
        <v>-19845</v>
      </c>
      <c r="E13" s="74">
        <v>-20017</v>
      </c>
      <c r="F13" s="74">
        <v>-19437</v>
      </c>
      <c r="G13" s="28"/>
      <c r="H13" s="74">
        <v>-4964</v>
      </c>
      <c r="I13" s="74">
        <v>-5227</v>
      </c>
      <c r="J13" s="74">
        <v>-4681</v>
      </c>
      <c r="K13" s="28">
        <f t="shared" ref="K13:K19" si="7">SUM(E13-SUM(H13:J13))</f>
        <v>-5145</v>
      </c>
      <c r="L13" s="74">
        <v>-5036</v>
      </c>
      <c r="M13" s="74">
        <v>-4367</v>
      </c>
      <c r="N13" s="74">
        <v>-4342</v>
      </c>
      <c r="O13" s="28">
        <f t="shared" ref="O13:O19" si="8">SUM(F13-SUM(L13:N13))</f>
        <v>-5692</v>
      </c>
      <c r="P13" s="74">
        <v>-4961</v>
      </c>
      <c r="Q13" s="74">
        <v>-4624</v>
      </c>
      <c r="S13" s="28">
        <f t="shared" ref="S13:S19" si="9">SUM(H13:K13)</f>
        <v>-20017</v>
      </c>
      <c r="T13" s="28">
        <f t="shared" ref="T13:T19" si="10">SUM(I13:L13)</f>
        <v>-20089</v>
      </c>
      <c r="U13" s="28">
        <f t="shared" ref="U13:U19" si="11">SUM(J13:M13)</f>
        <v>-19229</v>
      </c>
      <c r="V13" s="28">
        <f t="shared" ref="V13:V19" si="12">SUM(K13:N13)</f>
        <v>-18890</v>
      </c>
      <c r="W13" s="28">
        <f t="shared" ref="W13:W19" si="13">SUM(L13:O13)</f>
        <v>-19437</v>
      </c>
      <c r="X13" s="28">
        <f t="shared" ref="X13:X19" si="14">SUM(M13:P13)</f>
        <v>-19362</v>
      </c>
      <c r="Y13" s="28">
        <f t="shared" ref="Y13:Y19" si="15">SUM(N13:Q13)</f>
        <v>-19619</v>
      </c>
      <c r="Z13" s="11"/>
      <c r="AA13" s="66">
        <f t="shared" si="6"/>
        <v>2.0281865931665699E-2</v>
      </c>
    </row>
    <row r="14" spans="1:27" ht="12.75" customHeight="1">
      <c r="B14" s="9" t="s">
        <v>99</v>
      </c>
      <c r="C14" s="74">
        <v>0</v>
      </c>
      <c r="D14" s="74">
        <v>0</v>
      </c>
      <c r="E14" s="74">
        <v>-2371</v>
      </c>
      <c r="F14" s="74">
        <v>-1118</v>
      </c>
      <c r="G14" s="28"/>
      <c r="H14" s="74">
        <v>-1674</v>
      </c>
      <c r="I14" s="74">
        <v>-697</v>
      </c>
      <c r="J14" s="74">
        <v>0</v>
      </c>
      <c r="K14" s="28">
        <f t="shared" si="7"/>
        <v>0</v>
      </c>
      <c r="L14" s="74">
        <v>-1118</v>
      </c>
      <c r="M14" s="74">
        <v>0</v>
      </c>
      <c r="N14" s="74">
        <v>0</v>
      </c>
      <c r="O14" s="28">
        <f t="shared" si="8"/>
        <v>0</v>
      </c>
      <c r="P14" s="74">
        <v>0</v>
      </c>
      <c r="Q14" s="74">
        <v>0</v>
      </c>
      <c r="S14" s="28">
        <f t="shared" si="9"/>
        <v>-2371</v>
      </c>
      <c r="T14" s="28">
        <f t="shared" si="10"/>
        <v>-1815</v>
      </c>
      <c r="U14" s="28">
        <f t="shared" si="11"/>
        <v>-1118</v>
      </c>
      <c r="V14" s="28">
        <f t="shared" si="12"/>
        <v>-1118</v>
      </c>
      <c r="W14" s="28">
        <f t="shared" si="13"/>
        <v>-1118</v>
      </c>
      <c r="X14" s="28">
        <f t="shared" si="14"/>
        <v>0</v>
      </c>
      <c r="Y14" s="28">
        <f t="shared" si="15"/>
        <v>0</v>
      </c>
      <c r="Z14" s="11"/>
      <c r="AA14" s="66">
        <f t="shared" ref="AA14" si="16">SUM(Y14/U14)-1</f>
        <v>-1</v>
      </c>
    </row>
    <row r="15" spans="1:27" ht="12.75" customHeight="1">
      <c r="B15" s="9" t="s">
        <v>100</v>
      </c>
      <c r="C15" s="74">
        <v>-6398</v>
      </c>
      <c r="D15" s="74">
        <v>-7033</v>
      </c>
      <c r="E15" s="74">
        <v>-7245</v>
      </c>
      <c r="F15" s="74">
        <v>-6658</v>
      </c>
      <c r="G15" s="28"/>
      <c r="H15" s="74">
        <v>-1753</v>
      </c>
      <c r="I15" s="74">
        <v>-1783</v>
      </c>
      <c r="J15" s="74">
        <v>-1736</v>
      </c>
      <c r="K15" s="28">
        <f t="shared" si="7"/>
        <v>-1973</v>
      </c>
      <c r="L15" s="74">
        <v>-1662</v>
      </c>
      <c r="M15" s="74">
        <v>-1579</v>
      </c>
      <c r="N15" s="74">
        <v>-1531</v>
      </c>
      <c r="O15" s="28">
        <f t="shared" si="8"/>
        <v>-1886</v>
      </c>
      <c r="P15" s="74">
        <v>-1543</v>
      </c>
      <c r="Q15" s="74">
        <v>-1401</v>
      </c>
      <c r="S15" s="28">
        <f t="shared" si="9"/>
        <v>-7245</v>
      </c>
      <c r="T15" s="28">
        <f t="shared" si="10"/>
        <v>-7154</v>
      </c>
      <c r="U15" s="28">
        <f t="shared" si="11"/>
        <v>-6950</v>
      </c>
      <c r="V15" s="28">
        <f t="shared" si="12"/>
        <v>-6745</v>
      </c>
      <c r="W15" s="28">
        <f t="shared" si="13"/>
        <v>-6658</v>
      </c>
      <c r="X15" s="28">
        <f t="shared" si="14"/>
        <v>-6539</v>
      </c>
      <c r="Y15" s="28">
        <f t="shared" si="15"/>
        <v>-6361</v>
      </c>
      <c r="Z15" s="11"/>
      <c r="AA15" s="66">
        <f t="shared" ref="AA15:AA19" si="17">SUM(Y15/U15)-1</f>
        <v>-8.4748201438848869E-2</v>
      </c>
    </row>
    <row r="16" spans="1:27" ht="12.75" customHeight="1">
      <c r="B16" s="9" t="s">
        <v>47</v>
      </c>
      <c r="C16" s="74">
        <v>-390</v>
      </c>
      <c r="D16" s="74">
        <v>-378</v>
      </c>
      <c r="E16" s="74">
        <v>-418</v>
      </c>
      <c r="F16" s="74">
        <v>-392</v>
      </c>
      <c r="G16" s="28"/>
      <c r="H16" s="74">
        <v>-100</v>
      </c>
      <c r="I16" s="74">
        <v>-105</v>
      </c>
      <c r="J16" s="74">
        <v>-105</v>
      </c>
      <c r="K16" s="28">
        <f t="shared" si="7"/>
        <v>-108</v>
      </c>
      <c r="L16" s="74">
        <v>-100</v>
      </c>
      <c r="M16" s="74">
        <v>-101</v>
      </c>
      <c r="N16" s="74">
        <v>-96</v>
      </c>
      <c r="O16" s="28">
        <f t="shared" si="8"/>
        <v>-95</v>
      </c>
      <c r="P16" s="74">
        <v>-88</v>
      </c>
      <c r="Q16" s="74">
        <v>-87</v>
      </c>
      <c r="S16" s="28">
        <f t="shared" si="9"/>
        <v>-418</v>
      </c>
      <c r="T16" s="28">
        <f t="shared" si="10"/>
        <v>-418</v>
      </c>
      <c r="U16" s="28">
        <f t="shared" si="11"/>
        <v>-414</v>
      </c>
      <c r="V16" s="28">
        <f t="shared" si="12"/>
        <v>-405</v>
      </c>
      <c r="W16" s="28">
        <f t="shared" si="13"/>
        <v>-392</v>
      </c>
      <c r="X16" s="28">
        <f t="shared" si="14"/>
        <v>-380</v>
      </c>
      <c r="Y16" s="28">
        <f t="shared" si="15"/>
        <v>-366</v>
      </c>
      <c r="Z16" s="11"/>
      <c r="AA16" s="66">
        <f t="shared" si="17"/>
        <v>-0.11594202898550721</v>
      </c>
    </row>
    <row r="17" spans="2:27" ht="12.75" customHeight="1">
      <c r="B17" s="9" t="s">
        <v>101</v>
      </c>
      <c r="C17" s="74">
        <v>0</v>
      </c>
      <c r="D17" s="74">
        <v>-27</v>
      </c>
      <c r="E17" s="74">
        <v>-83</v>
      </c>
      <c r="F17" s="74">
        <v>-6130</v>
      </c>
      <c r="G17" s="28"/>
      <c r="H17" s="74">
        <v>0</v>
      </c>
      <c r="I17" s="74">
        <v>0</v>
      </c>
      <c r="J17" s="74">
        <v>0</v>
      </c>
      <c r="K17" s="28">
        <f t="shared" si="7"/>
        <v>-83</v>
      </c>
      <c r="L17" s="74">
        <v>-186</v>
      </c>
      <c r="M17" s="74">
        <v>-5996</v>
      </c>
      <c r="N17" s="74">
        <v>-104</v>
      </c>
      <c r="O17" s="28">
        <f t="shared" si="8"/>
        <v>156</v>
      </c>
      <c r="P17" s="74">
        <v>0</v>
      </c>
      <c r="Q17" s="74">
        <v>-157</v>
      </c>
      <c r="S17" s="28">
        <f t="shared" si="9"/>
        <v>-83</v>
      </c>
      <c r="T17" s="28">
        <f t="shared" si="10"/>
        <v>-269</v>
      </c>
      <c r="U17" s="28">
        <f t="shared" si="11"/>
        <v>-6265</v>
      </c>
      <c r="V17" s="28">
        <f t="shared" si="12"/>
        <v>-6369</v>
      </c>
      <c r="W17" s="28">
        <f t="shared" si="13"/>
        <v>-6130</v>
      </c>
      <c r="X17" s="28">
        <f t="shared" si="14"/>
        <v>-5944</v>
      </c>
      <c r="Y17" s="28">
        <f t="shared" si="15"/>
        <v>-105</v>
      </c>
      <c r="Z17" s="11"/>
      <c r="AA17" s="66">
        <f t="shared" si="17"/>
        <v>-0.98324022346368711</v>
      </c>
    </row>
    <row r="18" spans="2:27" ht="12.75" customHeight="1">
      <c r="B18" s="9" t="s">
        <v>102</v>
      </c>
      <c r="C18" s="74">
        <v>-100</v>
      </c>
      <c r="D18" s="74">
        <v>-585</v>
      </c>
      <c r="E18" s="74">
        <v>31</v>
      </c>
      <c r="F18" s="74">
        <v>-747</v>
      </c>
      <c r="G18" s="28"/>
      <c r="H18" s="74">
        <v>0</v>
      </c>
      <c r="I18" s="74">
        <v>-54</v>
      </c>
      <c r="J18" s="74">
        <v>10</v>
      </c>
      <c r="K18" s="28">
        <f t="shared" si="7"/>
        <v>75</v>
      </c>
      <c r="L18" s="74">
        <v>0</v>
      </c>
      <c r="M18" s="74">
        <v>-88</v>
      </c>
      <c r="N18" s="74">
        <v>-321</v>
      </c>
      <c r="O18" s="28">
        <f t="shared" si="8"/>
        <v>-338</v>
      </c>
      <c r="P18" s="74">
        <v>-85</v>
      </c>
      <c r="Q18" s="74">
        <v>-181</v>
      </c>
      <c r="S18" s="28">
        <f t="shared" si="9"/>
        <v>31</v>
      </c>
      <c r="T18" s="28">
        <f t="shared" si="10"/>
        <v>31</v>
      </c>
      <c r="U18" s="28">
        <f t="shared" si="11"/>
        <v>-3</v>
      </c>
      <c r="V18" s="28">
        <f t="shared" si="12"/>
        <v>-334</v>
      </c>
      <c r="W18" s="28">
        <f t="shared" si="13"/>
        <v>-747</v>
      </c>
      <c r="X18" s="28">
        <f t="shared" si="14"/>
        <v>-832</v>
      </c>
      <c r="Y18" s="28">
        <f t="shared" si="15"/>
        <v>-925</v>
      </c>
      <c r="Z18" s="11"/>
      <c r="AA18" s="66">
        <f t="shared" ref="AA18" si="18">SUM(Y18/U18)-1</f>
        <v>307.33333333333331</v>
      </c>
    </row>
    <row r="19" spans="2:27" ht="12.75" customHeight="1">
      <c r="B19" s="9" t="s">
        <v>103</v>
      </c>
      <c r="C19" s="74">
        <v>2343</v>
      </c>
      <c r="D19" s="74">
        <v>56</v>
      </c>
      <c r="E19" s="74">
        <v>0</v>
      </c>
      <c r="F19" s="74">
        <v>0</v>
      </c>
      <c r="G19" s="28"/>
      <c r="H19" s="74">
        <v>0</v>
      </c>
      <c r="I19" s="74">
        <v>0</v>
      </c>
      <c r="J19" s="74">
        <v>0</v>
      </c>
      <c r="K19" s="28">
        <f t="shared" si="7"/>
        <v>0</v>
      </c>
      <c r="L19" s="74">
        <v>0</v>
      </c>
      <c r="M19" s="74">
        <v>0</v>
      </c>
      <c r="N19" s="74">
        <v>0</v>
      </c>
      <c r="O19" s="28">
        <f t="shared" si="8"/>
        <v>0</v>
      </c>
      <c r="P19" s="74">
        <v>35</v>
      </c>
      <c r="Q19" s="74">
        <v>0</v>
      </c>
      <c r="S19" s="28">
        <f t="shared" si="9"/>
        <v>0</v>
      </c>
      <c r="T19" s="28">
        <f t="shared" si="10"/>
        <v>0</v>
      </c>
      <c r="U19" s="28">
        <f t="shared" si="11"/>
        <v>0</v>
      </c>
      <c r="V19" s="28">
        <f t="shared" si="12"/>
        <v>0</v>
      </c>
      <c r="W19" s="28">
        <f t="shared" si="13"/>
        <v>0</v>
      </c>
      <c r="X19" s="28">
        <f t="shared" si="14"/>
        <v>35</v>
      </c>
      <c r="Y19" s="28">
        <f t="shared" si="15"/>
        <v>35</v>
      </c>
      <c r="Z19" s="11"/>
      <c r="AA19" s="66" t="e">
        <f t="shared" si="17"/>
        <v>#DIV/0!</v>
      </c>
    </row>
    <row r="20" spans="2:27" ht="12.75" customHeight="1">
      <c r="B20" s="23" t="s">
        <v>74</v>
      </c>
      <c r="C20" s="24">
        <f>+SUM(C11+SUM(C13:C19))</f>
        <v>6297</v>
      </c>
      <c r="D20" s="24">
        <f t="shared" ref="D20:F20" si="19">+SUM(D11+SUM(D13:D19))</f>
        <v>2342</v>
      </c>
      <c r="E20" s="24">
        <f t="shared" si="19"/>
        <v>-451</v>
      </c>
      <c r="F20" s="24">
        <f t="shared" si="19"/>
        <v>-5269</v>
      </c>
      <c r="G20" s="28"/>
      <c r="H20" s="24">
        <f t="shared" ref="H20" si="20">+SUM(H11+SUM(H13:H19))</f>
        <v>-1226</v>
      </c>
      <c r="I20" s="24">
        <f t="shared" ref="I20" si="21">+SUM(I11+SUM(I13:I19))</f>
        <v>-250</v>
      </c>
      <c r="J20" s="24">
        <f t="shared" ref="J20" si="22">+SUM(J11+SUM(J13:J19))</f>
        <v>621</v>
      </c>
      <c r="K20" s="24">
        <f t="shared" ref="K20" si="23">+SUM(K11+SUM(K13:K19))</f>
        <v>404</v>
      </c>
      <c r="L20" s="24">
        <f t="shared" ref="L20" si="24">+SUM(L11+SUM(L13:L19))</f>
        <v>-417</v>
      </c>
      <c r="M20" s="24">
        <f t="shared" ref="M20" si="25">+SUM(M11+SUM(M13:M19))</f>
        <v>-5318</v>
      </c>
      <c r="N20" s="24">
        <f t="shared" ref="N20" si="26">+SUM(N11+SUM(N13:N19))</f>
        <v>337</v>
      </c>
      <c r="O20" s="24">
        <f t="shared" ref="O20" si="27">+SUM(O11+SUM(O13:O19))</f>
        <v>129</v>
      </c>
      <c r="P20" s="24">
        <f t="shared" ref="P20" si="28">+SUM(P11+SUM(P13:P19))</f>
        <v>550</v>
      </c>
      <c r="Q20" s="24">
        <f t="shared" ref="Q20" si="29">+SUM(Q11+SUM(Q13:Q19))</f>
        <v>399</v>
      </c>
      <c r="S20" s="24">
        <f t="shared" ref="S20" si="30">+SUM(S11+SUM(S13:S19))</f>
        <v>-451</v>
      </c>
      <c r="T20" s="24">
        <f t="shared" ref="T20" si="31">+SUM(T11+SUM(T13:T19))</f>
        <v>358</v>
      </c>
      <c r="U20" s="24">
        <f t="shared" ref="U20" si="32">+SUM(U11+SUM(U13:U19))</f>
        <v>-4710</v>
      </c>
      <c r="V20" s="24">
        <f t="shared" ref="V20" si="33">+SUM(V11+SUM(V13:V19))</f>
        <v>-4994</v>
      </c>
      <c r="W20" s="24">
        <f t="shared" ref="W20" si="34">+SUM(W11+SUM(W13:W19))</f>
        <v>-5269</v>
      </c>
      <c r="X20" s="24">
        <f t="shared" ref="X20" si="35">+SUM(X11+SUM(X13:X19))</f>
        <v>-4302</v>
      </c>
      <c r="Y20" s="24">
        <f t="shared" ref="Y20" si="36">+SUM(Y11+SUM(Y13:Y19))</f>
        <v>1415</v>
      </c>
      <c r="Z20" s="11"/>
      <c r="AA20" s="67">
        <f t="shared" si="6"/>
        <v>-1.3004246284501062</v>
      </c>
    </row>
    <row r="21" spans="2:27" ht="12.75" customHeight="1">
      <c r="B21" s="14" t="s">
        <v>28</v>
      </c>
      <c r="C21" s="15">
        <f>C20/C11</f>
        <v>0.22028265584551879</v>
      </c>
      <c r="D21" s="15">
        <f>D20/D11</f>
        <v>7.7667971081780196E-2</v>
      </c>
      <c r="E21" s="15">
        <f>E20/E11</f>
        <v>-1.520976662619722E-2</v>
      </c>
      <c r="F21" s="15">
        <f>F20/F11</f>
        <v>-0.18036490603498442</v>
      </c>
      <c r="G21" s="28"/>
      <c r="H21" s="15">
        <f t="shared" ref="H21:Q21" si="37">H20/H11</f>
        <v>-0.16875430144528561</v>
      </c>
      <c r="I21" s="15">
        <f t="shared" si="37"/>
        <v>-3.2825630252100842E-2</v>
      </c>
      <c r="J21" s="15">
        <f t="shared" si="37"/>
        <v>8.7060142997336318E-2</v>
      </c>
      <c r="K21" s="15">
        <f t="shared" si="37"/>
        <v>5.2893427598847867E-2</v>
      </c>
      <c r="L21" s="15">
        <f t="shared" si="37"/>
        <v>-5.4261548471047492E-2</v>
      </c>
      <c r="M21" s="15">
        <f t="shared" si="37"/>
        <v>-0.78056656392191404</v>
      </c>
      <c r="N21" s="15">
        <f t="shared" si="37"/>
        <v>5.0066854850690831E-2</v>
      </c>
      <c r="O21" s="15">
        <f t="shared" si="37"/>
        <v>1.6157314629258516E-2</v>
      </c>
      <c r="P21" s="15">
        <f t="shared" si="37"/>
        <v>7.6473859844271408E-2</v>
      </c>
      <c r="Q21" s="15">
        <f t="shared" si="37"/>
        <v>5.8256679807271138E-2</v>
      </c>
      <c r="S21" s="15">
        <f t="shared" ref="S21:Y21" si="38">S20/S11</f>
        <v>-1.520976662619722E-2</v>
      </c>
      <c r="T21" s="15">
        <f t="shared" si="38"/>
        <v>1.1904761904761904E-2</v>
      </c>
      <c r="U21" s="15">
        <f t="shared" si="38"/>
        <v>-0.16092111107314908</v>
      </c>
      <c r="V21" s="15">
        <f t="shared" si="38"/>
        <v>-0.17300031177469083</v>
      </c>
      <c r="W21" s="15">
        <f t="shared" si="38"/>
        <v>-0.18036490603498442</v>
      </c>
      <c r="X21" s="15">
        <f t="shared" si="38"/>
        <v>-0.14979108635097493</v>
      </c>
      <c r="Y21" s="15">
        <f t="shared" si="38"/>
        <v>4.9207121991932119E-2</v>
      </c>
      <c r="Z21" s="11"/>
      <c r="AA21" s="68">
        <f>SUM(Y21-U21)*1000</f>
        <v>210.12823306508119</v>
      </c>
    </row>
    <row r="22" spans="2:27" ht="5.0999999999999996" customHeight="1">
      <c r="B22" s="14"/>
      <c r="C22" s="15"/>
      <c r="D22" s="15"/>
      <c r="E22" s="15"/>
      <c r="F22" s="15"/>
      <c r="G22" s="28"/>
      <c r="H22" s="74"/>
      <c r="I22" s="74"/>
      <c r="J22" s="74"/>
      <c r="K22" s="74"/>
      <c r="L22" s="74"/>
      <c r="M22" s="74"/>
      <c r="N22" s="74"/>
      <c r="O22" s="74"/>
      <c r="P22" s="74"/>
      <c r="Q22" s="74"/>
      <c r="S22" s="28"/>
      <c r="T22" s="28"/>
      <c r="U22" s="28"/>
      <c r="V22" s="28"/>
      <c r="W22" s="28"/>
      <c r="X22" s="28"/>
      <c r="Y22" s="28"/>
      <c r="Z22" s="11"/>
      <c r="AA22" s="66"/>
    </row>
    <row r="23" spans="2:27" ht="12.75" customHeight="1">
      <c r="B23" s="9" t="s">
        <v>104</v>
      </c>
      <c r="C23" s="74">
        <v>-986</v>
      </c>
      <c r="D23" s="74">
        <v>-931</v>
      </c>
      <c r="E23" s="74">
        <v>-920</v>
      </c>
      <c r="F23" s="74">
        <v>-860</v>
      </c>
      <c r="G23" s="28"/>
      <c r="H23" s="74">
        <v>-226</v>
      </c>
      <c r="I23" s="74">
        <v>-240</v>
      </c>
      <c r="J23" s="74">
        <v>-232</v>
      </c>
      <c r="K23" s="28">
        <f t="shared" ref="K23:K27" si="39">SUM(E23-SUM(H23:J23))</f>
        <v>-222</v>
      </c>
      <c r="L23" s="74">
        <v>-221</v>
      </c>
      <c r="M23" s="74">
        <v>-215</v>
      </c>
      <c r="N23" s="74">
        <v>-209</v>
      </c>
      <c r="O23" s="28">
        <f t="shared" ref="O23:O27" si="40">SUM(F23-SUM(L23:N23))</f>
        <v>-215</v>
      </c>
      <c r="P23" s="74">
        <v>-217</v>
      </c>
      <c r="Q23" s="74">
        <v>-214</v>
      </c>
      <c r="S23" s="28">
        <f t="shared" ref="S23:S27" si="41">SUM(H23:K23)</f>
        <v>-920</v>
      </c>
      <c r="T23" s="28">
        <f t="shared" ref="T23:T27" si="42">SUM(I23:L23)</f>
        <v>-915</v>
      </c>
      <c r="U23" s="28">
        <f t="shared" ref="U23:U27" si="43">SUM(J23:M23)</f>
        <v>-890</v>
      </c>
      <c r="V23" s="28">
        <f t="shared" ref="V23:V27" si="44">SUM(K23:N23)</f>
        <v>-867</v>
      </c>
      <c r="W23" s="28">
        <f t="shared" ref="W23:W27" si="45">SUM(L23:O23)</f>
        <v>-860</v>
      </c>
      <c r="X23" s="28">
        <f t="shared" ref="X23:X27" si="46">SUM(M23:P23)</f>
        <v>-856</v>
      </c>
      <c r="Y23" s="28">
        <f t="shared" ref="Y23:Y27" si="47">SUM(N23:Q23)</f>
        <v>-855</v>
      </c>
      <c r="Z23" s="11"/>
      <c r="AA23" s="66">
        <f t="shared" si="6"/>
        <v>-3.9325842696629199E-2</v>
      </c>
    </row>
    <row r="24" spans="2:27" ht="12.75" customHeight="1">
      <c r="B24" s="9" t="s">
        <v>105</v>
      </c>
      <c r="C24" s="74">
        <v>53</v>
      </c>
      <c r="D24" s="74">
        <v>108</v>
      </c>
      <c r="E24" s="74">
        <v>137</v>
      </c>
      <c r="F24" s="74">
        <v>151</v>
      </c>
      <c r="G24" s="28"/>
      <c r="H24" s="74">
        <v>35</v>
      </c>
      <c r="I24" s="74">
        <v>33</v>
      </c>
      <c r="J24" s="74">
        <v>29</v>
      </c>
      <c r="K24" s="28">
        <f t="shared" si="39"/>
        <v>40</v>
      </c>
      <c r="L24" s="74">
        <v>45</v>
      </c>
      <c r="M24" s="74">
        <v>35</v>
      </c>
      <c r="N24" s="74">
        <v>31</v>
      </c>
      <c r="O24" s="28">
        <f t="shared" si="40"/>
        <v>40</v>
      </c>
      <c r="P24" s="74">
        <v>38</v>
      </c>
      <c r="Q24" s="74">
        <v>32</v>
      </c>
      <c r="S24" s="28">
        <f t="shared" si="41"/>
        <v>137</v>
      </c>
      <c r="T24" s="28">
        <f t="shared" si="42"/>
        <v>147</v>
      </c>
      <c r="U24" s="28">
        <f t="shared" si="43"/>
        <v>149</v>
      </c>
      <c r="V24" s="28">
        <f t="shared" si="44"/>
        <v>151</v>
      </c>
      <c r="W24" s="28">
        <f t="shared" si="45"/>
        <v>151</v>
      </c>
      <c r="X24" s="28">
        <f t="shared" si="46"/>
        <v>144</v>
      </c>
      <c r="Y24" s="28">
        <f t="shared" si="47"/>
        <v>141</v>
      </c>
      <c r="Z24" s="11"/>
      <c r="AA24" s="66">
        <f t="shared" ref="AA24:AA25" si="48">SUM(Y24/U24)-1</f>
        <v>-5.3691275167785268E-2</v>
      </c>
    </row>
    <row r="25" spans="2:27" ht="12.75" customHeight="1">
      <c r="B25" s="9" t="s">
        <v>106</v>
      </c>
      <c r="C25" s="74">
        <v>47</v>
      </c>
      <c r="D25" s="74">
        <v>-9</v>
      </c>
      <c r="E25" s="74">
        <v>168</v>
      </c>
      <c r="F25" s="74">
        <v>-17</v>
      </c>
      <c r="G25" s="28"/>
      <c r="H25" s="74">
        <v>0</v>
      </c>
      <c r="I25" s="74">
        <v>168</v>
      </c>
      <c r="J25" s="74">
        <v>0</v>
      </c>
      <c r="K25" s="28">
        <f t="shared" si="39"/>
        <v>0</v>
      </c>
      <c r="L25" s="74">
        <v>-4</v>
      </c>
      <c r="M25" s="74">
        <v>0</v>
      </c>
      <c r="N25" s="74">
        <v>0</v>
      </c>
      <c r="O25" s="28">
        <f t="shared" si="40"/>
        <v>-13</v>
      </c>
      <c r="P25" s="74">
        <v>0</v>
      </c>
      <c r="Q25" s="74">
        <v>0</v>
      </c>
      <c r="S25" s="28">
        <f t="shared" si="41"/>
        <v>168</v>
      </c>
      <c r="T25" s="28">
        <f t="shared" si="42"/>
        <v>164</v>
      </c>
      <c r="U25" s="28">
        <f t="shared" si="43"/>
        <v>-4</v>
      </c>
      <c r="V25" s="28">
        <f t="shared" si="44"/>
        <v>-4</v>
      </c>
      <c r="W25" s="28">
        <f t="shared" si="45"/>
        <v>-17</v>
      </c>
      <c r="X25" s="28">
        <f t="shared" si="46"/>
        <v>-13</v>
      </c>
      <c r="Y25" s="28">
        <f t="shared" si="47"/>
        <v>-13</v>
      </c>
      <c r="Z25" s="11"/>
      <c r="AA25" s="66">
        <f t="shared" si="48"/>
        <v>2.25</v>
      </c>
    </row>
    <row r="26" spans="2:27" ht="12.75" customHeight="1">
      <c r="B26" s="9" t="s">
        <v>107</v>
      </c>
      <c r="C26" s="74">
        <v>-128</v>
      </c>
      <c r="D26" s="74">
        <v>-120</v>
      </c>
      <c r="E26" s="74">
        <v>29</v>
      </c>
      <c r="F26" s="74">
        <v>0</v>
      </c>
      <c r="G26" s="28"/>
      <c r="H26" s="74">
        <v>0</v>
      </c>
      <c r="I26" s="74">
        <v>0</v>
      </c>
      <c r="J26" s="74">
        <v>0</v>
      </c>
      <c r="K26" s="28">
        <f t="shared" si="39"/>
        <v>29</v>
      </c>
      <c r="L26" s="74">
        <v>0</v>
      </c>
      <c r="M26" s="74">
        <v>0</v>
      </c>
      <c r="N26" s="74">
        <v>0</v>
      </c>
      <c r="O26" s="28">
        <f t="shared" si="40"/>
        <v>0</v>
      </c>
      <c r="P26" s="74">
        <v>0</v>
      </c>
      <c r="Q26" s="74">
        <v>0</v>
      </c>
      <c r="S26" s="28">
        <f t="shared" si="41"/>
        <v>29</v>
      </c>
      <c r="T26" s="28">
        <f t="shared" si="42"/>
        <v>29</v>
      </c>
      <c r="U26" s="28">
        <f t="shared" si="43"/>
        <v>29</v>
      </c>
      <c r="V26" s="28">
        <f t="shared" si="44"/>
        <v>29</v>
      </c>
      <c r="W26" s="28">
        <f t="shared" si="45"/>
        <v>0</v>
      </c>
      <c r="X26" s="28">
        <f t="shared" si="46"/>
        <v>0</v>
      </c>
      <c r="Y26" s="28">
        <f t="shared" si="47"/>
        <v>0</v>
      </c>
      <c r="Z26" s="11"/>
      <c r="AA26" s="66">
        <f t="shared" ref="AA26" si="49">SUM(Y26/U26)-1</f>
        <v>-1</v>
      </c>
    </row>
    <row r="27" spans="2:27" ht="12.75" customHeight="1">
      <c r="B27" s="9" t="s">
        <v>108</v>
      </c>
      <c r="C27" s="74">
        <v>-77</v>
      </c>
      <c r="D27" s="74">
        <v>-124</v>
      </c>
      <c r="E27" s="74">
        <v>-216</v>
      </c>
      <c r="F27" s="74">
        <v>-182</v>
      </c>
      <c r="G27" s="28"/>
      <c r="H27" s="74">
        <v>-46</v>
      </c>
      <c r="I27" s="74">
        <v>-60</v>
      </c>
      <c r="J27" s="74">
        <v>-42</v>
      </c>
      <c r="K27" s="28">
        <f t="shared" si="39"/>
        <v>-68</v>
      </c>
      <c r="L27" s="74">
        <v>-38</v>
      </c>
      <c r="M27" s="74">
        <v>-49</v>
      </c>
      <c r="N27" s="74">
        <v>-39</v>
      </c>
      <c r="O27" s="28">
        <f t="shared" si="40"/>
        <v>-56</v>
      </c>
      <c r="P27" s="74">
        <v>-37</v>
      </c>
      <c r="Q27" s="74">
        <v>-39</v>
      </c>
      <c r="S27" s="28">
        <f t="shared" si="41"/>
        <v>-216</v>
      </c>
      <c r="T27" s="28">
        <f t="shared" si="42"/>
        <v>-208</v>
      </c>
      <c r="U27" s="28">
        <f t="shared" si="43"/>
        <v>-197</v>
      </c>
      <c r="V27" s="28">
        <f t="shared" si="44"/>
        <v>-194</v>
      </c>
      <c r="W27" s="28">
        <f t="shared" si="45"/>
        <v>-182</v>
      </c>
      <c r="X27" s="28">
        <f t="shared" si="46"/>
        <v>-181</v>
      </c>
      <c r="Y27" s="28">
        <f t="shared" si="47"/>
        <v>-171</v>
      </c>
      <c r="Z27" s="11"/>
      <c r="AA27" s="66">
        <f t="shared" si="6"/>
        <v>-0.13197969543147203</v>
      </c>
    </row>
    <row r="28" spans="2:27" ht="12.75" customHeight="1">
      <c r="B28" s="23" t="s">
        <v>109</v>
      </c>
      <c r="C28" s="24">
        <f>SUM(C23:C27)+C20</f>
        <v>5206</v>
      </c>
      <c r="D28" s="24">
        <f>SUM(D23:D27)+D20</f>
        <v>1266</v>
      </c>
      <c r="E28" s="24">
        <f>SUM(E23:E27)+E20</f>
        <v>-1253</v>
      </c>
      <c r="F28" s="24">
        <f>SUM(F23:F27)+F20</f>
        <v>-6177</v>
      </c>
      <c r="G28" s="28"/>
      <c r="H28" s="24">
        <f t="shared" ref="H28:Q28" si="50">SUM(H23:H27)+H20</f>
        <v>-1463</v>
      </c>
      <c r="I28" s="24">
        <f t="shared" si="50"/>
        <v>-349</v>
      </c>
      <c r="J28" s="24">
        <f t="shared" si="50"/>
        <v>376</v>
      </c>
      <c r="K28" s="24">
        <f t="shared" si="50"/>
        <v>183</v>
      </c>
      <c r="L28" s="24">
        <f t="shared" si="50"/>
        <v>-635</v>
      </c>
      <c r="M28" s="24">
        <f t="shared" si="50"/>
        <v>-5547</v>
      </c>
      <c r="N28" s="24">
        <f t="shared" si="50"/>
        <v>120</v>
      </c>
      <c r="O28" s="24">
        <f t="shared" si="50"/>
        <v>-115</v>
      </c>
      <c r="P28" s="24">
        <f t="shared" si="50"/>
        <v>334</v>
      </c>
      <c r="Q28" s="24">
        <f t="shared" si="50"/>
        <v>178</v>
      </c>
      <c r="S28" s="24">
        <f t="shared" ref="S28:Y28" si="51">SUM(S23:S27)+S20</f>
        <v>-1253</v>
      </c>
      <c r="T28" s="24">
        <f t="shared" si="51"/>
        <v>-425</v>
      </c>
      <c r="U28" s="24">
        <f t="shared" si="51"/>
        <v>-5623</v>
      </c>
      <c r="V28" s="24">
        <f t="shared" si="51"/>
        <v>-5879</v>
      </c>
      <c r="W28" s="24">
        <f t="shared" si="51"/>
        <v>-6177</v>
      </c>
      <c r="X28" s="24">
        <f t="shared" si="51"/>
        <v>-5208</v>
      </c>
      <c r="Y28" s="24">
        <f t="shared" si="51"/>
        <v>517</v>
      </c>
      <c r="Z28" s="11"/>
      <c r="AA28" s="66">
        <f t="shared" si="6"/>
        <v>-1.0919438022407968</v>
      </c>
    </row>
    <row r="29" spans="2:27" ht="12.75" customHeight="1">
      <c r="B29" s="14" t="s">
        <v>75</v>
      </c>
      <c r="C29" s="15">
        <f>C28/C11</f>
        <v>0.18211712026866297</v>
      </c>
      <c r="D29" s="15">
        <f>D28/D11</f>
        <v>4.1984479671022083E-2</v>
      </c>
      <c r="E29" s="15">
        <f>E28/E11</f>
        <v>-4.2256846081208686E-2</v>
      </c>
      <c r="F29" s="15">
        <f>F28/F11</f>
        <v>-0.21144695854585288</v>
      </c>
      <c r="G29" s="25"/>
      <c r="H29" s="15">
        <f t="shared" ref="H29:Q29" si="52">H28/H11</f>
        <v>-0.2013764624913971</v>
      </c>
      <c r="I29" s="15">
        <f t="shared" si="52"/>
        <v>-4.582457983193277E-2</v>
      </c>
      <c r="J29" s="15">
        <f t="shared" si="52"/>
        <v>5.2712743586148886E-2</v>
      </c>
      <c r="K29" s="15">
        <f t="shared" si="52"/>
        <v>2.3959151610369208E-2</v>
      </c>
      <c r="L29" s="15">
        <f t="shared" si="52"/>
        <v>-8.2628497072218601E-2</v>
      </c>
      <c r="M29" s="15">
        <f t="shared" si="52"/>
        <v>-0.81417877586966092</v>
      </c>
      <c r="N29" s="15">
        <f t="shared" si="52"/>
        <v>1.7827960184222256E-2</v>
      </c>
      <c r="O29" s="15">
        <f t="shared" si="52"/>
        <v>-1.4403807615230461E-2</v>
      </c>
      <c r="P29" s="15">
        <f t="shared" si="52"/>
        <v>4.6440489432703E-2</v>
      </c>
      <c r="Q29" s="15">
        <f t="shared" si="52"/>
        <v>2.5989195502993136E-2</v>
      </c>
      <c r="S29" s="15">
        <f t="shared" ref="S29:Y29" si="53">S28/S11</f>
        <v>-4.2256846081208686E-2</v>
      </c>
      <c r="T29" s="15">
        <f t="shared" si="53"/>
        <v>-1.4132748071295557E-2</v>
      </c>
      <c r="U29" s="15">
        <f t="shared" si="53"/>
        <v>-0.19211452389900577</v>
      </c>
      <c r="V29" s="15">
        <f t="shared" si="53"/>
        <v>-0.20365815637232826</v>
      </c>
      <c r="W29" s="15">
        <f t="shared" si="53"/>
        <v>-0.21144695854585288</v>
      </c>
      <c r="X29" s="15">
        <f t="shared" si="53"/>
        <v>-0.18133704735376044</v>
      </c>
      <c r="Y29" s="15">
        <f t="shared" si="53"/>
        <v>1.7978856586451524E-2</v>
      </c>
      <c r="Z29" s="38"/>
      <c r="AA29" s="68">
        <f>SUM(Y29-U29)*1000</f>
        <v>210.09338048545729</v>
      </c>
    </row>
    <row r="30" spans="2:27" ht="12.75" customHeight="1">
      <c r="B30" s="14"/>
      <c r="C30" s="15"/>
      <c r="D30" s="15"/>
      <c r="E30" s="15"/>
      <c r="F30" s="15"/>
      <c r="G30" s="25"/>
      <c r="H30" s="15"/>
      <c r="I30" s="15"/>
      <c r="J30" s="15"/>
      <c r="K30" s="15"/>
      <c r="L30" s="15"/>
      <c r="M30" s="15"/>
      <c r="N30" s="15"/>
      <c r="O30" s="15"/>
      <c r="P30" s="15"/>
      <c r="Q30" s="15"/>
      <c r="S30" s="15"/>
      <c r="T30" s="15"/>
      <c r="U30" s="15"/>
      <c r="V30" s="15"/>
      <c r="W30" s="15"/>
      <c r="X30" s="15"/>
      <c r="Y30" s="15"/>
      <c r="Z30" s="38"/>
      <c r="AA30" s="68"/>
    </row>
    <row r="31" spans="2:27" ht="12.75" customHeight="1">
      <c r="B31" s="9" t="s">
        <v>80</v>
      </c>
      <c r="C31" s="74">
        <v>-646</v>
      </c>
      <c r="D31" s="74">
        <v>-227</v>
      </c>
      <c r="E31" s="74">
        <v>361</v>
      </c>
      <c r="F31" s="74">
        <v>305</v>
      </c>
      <c r="G31" s="28"/>
      <c r="H31" s="74">
        <v>381</v>
      </c>
      <c r="I31" s="74">
        <v>95</v>
      </c>
      <c r="J31" s="74">
        <v>-40</v>
      </c>
      <c r="K31" s="28">
        <f t="shared" ref="K31" si="54">SUM(E31-SUM(H31:J31))</f>
        <v>-75</v>
      </c>
      <c r="L31" s="74">
        <v>172</v>
      </c>
      <c r="M31" s="74">
        <v>215</v>
      </c>
      <c r="N31" s="74">
        <v>-45</v>
      </c>
      <c r="O31" s="28">
        <f t="shared" ref="O31:O32" si="55">SUM(F31-SUM(L31:N31))</f>
        <v>-37</v>
      </c>
      <c r="P31" s="74">
        <v>-100</v>
      </c>
      <c r="Q31" s="74">
        <v>-50</v>
      </c>
      <c r="S31" s="28">
        <f t="shared" ref="S31:S32" si="56">SUM(H31:K31)</f>
        <v>361</v>
      </c>
      <c r="T31" s="28">
        <f t="shared" ref="T31:T32" si="57">SUM(I31:L31)</f>
        <v>152</v>
      </c>
      <c r="U31" s="28">
        <f t="shared" ref="U31:U32" si="58">SUM(J31:M31)</f>
        <v>272</v>
      </c>
      <c r="V31" s="28">
        <f t="shared" ref="V31:V32" si="59">SUM(K31:N31)</f>
        <v>267</v>
      </c>
      <c r="W31" s="28">
        <f t="shared" ref="W31:W32" si="60">SUM(L31:O31)</f>
        <v>305</v>
      </c>
      <c r="X31" s="28">
        <f t="shared" ref="X31:X32" si="61">SUM(M31:P31)</f>
        <v>33</v>
      </c>
      <c r="Y31" s="28">
        <f t="shared" ref="Y31:Y32" si="62">SUM(N31:Q31)</f>
        <v>-232</v>
      </c>
      <c r="Z31" s="11"/>
      <c r="AA31" s="66">
        <f t="shared" ref="AA31:AA33" si="63">SUM(Y31/U31)-1</f>
        <v>-1.8529411764705883</v>
      </c>
    </row>
    <row r="32" spans="2:27" ht="12.75" customHeight="1">
      <c r="B32" s="9" t="s">
        <v>111</v>
      </c>
      <c r="C32" s="74">
        <v>-91</v>
      </c>
      <c r="D32" s="74">
        <v>-204</v>
      </c>
      <c r="E32" s="74">
        <v>-360</v>
      </c>
      <c r="F32" s="74">
        <v>-291</v>
      </c>
      <c r="G32" s="28"/>
      <c r="H32" s="74">
        <v>-75</v>
      </c>
      <c r="I32" s="74">
        <v>-109</v>
      </c>
      <c r="J32" s="74">
        <v>-75</v>
      </c>
      <c r="K32" s="28">
        <f>SUM(E32-SUM(H32:J32))</f>
        <v>-101</v>
      </c>
      <c r="L32" s="74">
        <v>-90</v>
      </c>
      <c r="M32" s="74">
        <v>-72</v>
      </c>
      <c r="N32" s="74">
        <v>-59</v>
      </c>
      <c r="O32" s="28">
        <f t="shared" si="55"/>
        <v>-70</v>
      </c>
      <c r="P32" s="74">
        <v>-73</v>
      </c>
      <c r="Q32" s="74">
        <v>-67</v>
      </c>
      <c r="S32" s="28">
        <f t="shared" si="56"/>
        <v>-360</v>
      </c>
      <c r="T32" s="28">
        <f t="shared" si="57"/>
        <v>-375</v>
      </c>
      <c r="U32" s="28">
        <f t="shared" si="58"/>
        <v>-338</v>
      </c>
      <c r="V32" s="28">
        <f t="shared" si="59"/>
        <v>-322</v>
      </c>
      <c r="W32" s="28">
        <f t="shared" si="60"/>
        <v>-291</v>
      </c>
      <c r="X32" s="28">
        <f t="shared" si="61"/>
        <v>-274</v>
      </c>
      <c r="Y32" s="28">
        <f t="shared" si="62"/>
        <v>-269</v>
      </c>
      <c r="Z32" s="11"/>
      <c r="AA32" s="66"/>
    </row>
    <row r="33" spans="1:27" ht="12.75" customHeight="1">
      <c r="B33" s="12" t="s">
        <v>110</v>
      </c>
      <c r="C33" s="13">
        <f t="shared" ref="C33" si="64">SUM(C28+SUM(C31:C32))</f>
        <v>4469</v>
      </c>
      <c r="D33" s="13">
        <f>SUM(D28+SUM(D31:D32))</f>
        <v>835</v>
      </c>
      <c r="E33" s="13">
        <f t="shared" ref="E33:F33" si="65">SUM(E28+SUM(E31:E32))</f>
        <v>-1252</v>
      </c>
      <c r="F33" s="13">
        <f t="shared" si="65"/>
        <v>-6163</v>
      </c>
      <c r="H33" s="13">
        <f t="shared" ref="H33" si="66">SUM(H28+SUM(H31:H32))</f>
        <v>-1157</v>
      </c>
      <c r="I33" s="13">
        <f t="shared" ref="I33" si="67">SUM(I28+SUM(I31:I32))</f>
        <v>-363</v>
      </c>
      <c r="J33" s="13">
        <f t="shared" ref="J33" si="68">SUM(J28+SUM(J31:J32))</f>
        <v>261</v>
      </c>
      <c r="K33" s="13">
        <f t="shared" ref="K33" si="69">SUM(K28+SUM(K31:K32))</f>
        <v>7</v>
      </c>
      <c r="L33" s="13">
        <f t="shared" ref="L33" si="70">SUM(L28+SUM(L31:L32))</f>
        <v>-553</v>
      </c>
      <c r="M33" s="13">
        <f t="shared" ref="M33" si="71">SUM(M28+SUM(M31:M32))</f>
        <v>-5404</v>
      </c>
      <c r="N33" s="13">
        <f t="shared" ref="N33" si="72">SUM(N28+SUM(N31:N32))</f>
        <v>16</v>
      </c>
      <c r="O33" s="13">
        <f t="shared" ref="O33" si="73">SUM(O28+SUM(O31:O32))</f>
        <v>-222</v>
      </c>
      <c r="P33" s="13">
        <f t="shared" ref="P33" si="74">SUM(P28+SUM(P31:P32))</f>
        <v>161</v>
      </c>
      <c r="Q33" s="13">
        <f t="shared" ref="Q33" si="75">SUM(Q28+SUM(Q31:Q32))</f>
        <v>61</v>
      </c>
      <c r="S33" s="13">
        <f t="shared" ref="S33" si="76">SUM(S23+SUM(S31:S32))</f>
        <v>-919</v>
      </c>
      <c r="T33" s="13">
        <f t="shared" ref="T33" si="77">SUM(T23+SUM(T31:T32))</f>
        <v>-1138</v>
      </c>
      <c r="U33" s="13">
        <f t="shared" ref="U33" si="78">SUM(U23+SUM(U31:U32))</f>
        <v>-956</v>
      </c>
      <c r="V33" s="13">
        <f t="shared" ref="V33" si="79">SUM(V23+SUM(V31:V32))</f>
        <v>-922</v>
      </c>
      <c r="W33" s="13">
        <f t="shared" ref="W33" si="80">SUM(W23+SUM(W31:W32))</f>
        <v>-846</v>
      </c>
      <c r="X33" s="13">
        <f t="shared" ref="X33" si="81">SUM(X23+SUM(X31:X32))</f>
        <v>-1097</v>
      </c>
      <c r="Y33" s="13">
        <f t="shared" ref="Y33" si="82">SUM(Y23+SUM(Y31:Y32))</f>
        <v>-1356</v>
      </c>
      <c r="Z33" s="37"/>
      <c r="AA33" s="67">
        <f t="shared" si="63"/>
        <v>0.41841004184100417</v>
      </c>
    </row>
    <row r="34" spans="1:27" ht="5.0999999999999996" customHeight="1">
      <c r="B34" s="23"/>
      <c r="C34" s="43"/>
      <c r="D34" s="43"/>
      <c r="E34" s="43"/>
      <c r="F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S34" s="43"/>
      <c r="T34" s="43"/>
      <c r="U34" s="43"/>
      <c r="V34" s="43"/>
      <c r="W34" s="43"/>
      <c r="X34" s="43"/>
      <c r="Y34" s="43"/>
      <c r="Z34" s="37"/>
      <c r="AA34" s="147"/>
    </row>
    <row r="35" spans="1:27" ht="12.75" customHeight="1">
      <c r="B35" s="9" t="s">
        <v>112</v>
      </c>
      <c r="C35" s="74">
        <v>162</v>
      </c>
      <c r="D35" s="74">
        <v>379</v>
      </c>
      <c r="E35" s="74">
        <v>676</v>
      </c>
      <c r="F35" s="74">
        <v>14</v>
      </c>
      <c r="G35" s="28"/>
      <c r="H35" s="74">
        <v>45</v>
      </c>
      <c r="I35" s="74">
        <v>73</v>
      </c>
      <c r="J35" s="74">
        <v>48</v>
      </c>
      <c r="K35" s="28">
        <f>SUM(E35-SUM(H35:J35))</f>
        <v>510</v>
      </c>
      <c r="L35" s="74">
        <v>9</v>
      </c>
      <c r="M35" s="74">
        <v>0</v>
      </c>
      <c r="N35" s="74">
        <v>5</v>
      </c>
      <c r="O35" s="28">
        <f>SUM(F35-SUM(L35:N35))</f>
        <v>0</v>
      </c>
      <c r="P35" s="74">
        <v>0</v>
      </c>
      <c r="Q35" s="74">
        <v>0</v>
      </c>
      <c r="S35" s="28">
        <f t="shared" ref="S35" si="83">SUM(H35:K35)</f>
        <v>676</v>
      </c>
      <c r="T35" s="28">
        <f t="shared" ref="T35" si="84">SUM(I35:L35)</f>
        <v>640</v>
      </c>
      <c r="U35" s="28">
        <f t="shared" ref="U35" si="85">SUM(J35:M35)</f>
        <v>567</v>
      </c>
      <c r="V35" s="28">
        <f t="shared" ref="V35" si="86">SUM(K35:N35)</f>
        <v>524</v>
      </c>
      <c r="W35" s="28">
        <f t="shared" ref="W35" si="87">SUM(L35:O35)</f>
        <v>14</v>
      </c>
      <c r="X35" s="28">
        <f t="shared" ref="X35" si="88">SUM(M35:P35)</f>
        <v>5</v>
      </c>
      <c r="Y35" s="28">
        <f>SUM(N35:Q35)</f>
        <v>5</v>
      </c>
      <c r="Z35" s="11"/>
      <c r="AA35" s="66">
        <f t="shared" ref="AA35" si="89">SUM(Y35/U35)-1</f>
        <v>-0.99118165784832457</v>
      </c>
    </row>
    <row r="36" spans="1:27" ht="12.75" customHeight="1">
      <c r="B36" s="12" t="s">
        <v>113</v>
      </c>
      <c r="C36" s="13">
        <f t="shared" ref="C36" si="90">SUM(C33)+SUM(C35:C35)</f>
        <v>4631</v>
      </c>
      <c r="D36" s="13">
        <f>SUM(D33)+SUM(D35:D35)</f>
        <v>1214</v>
      </c>
      <c r="E36" s="13">
        <f t="shared" ref="E36:F36" si="91">SUM(E33)+SUM(E35:E35)</f>
        <v>-576</v>
      </c>
      <c r="F36" s="13">
        <f t="shared" si="91"/>
        <v>-6149</v>
      </c>
      <c r="H36" s="13">
        <f t="shared" ref="H36" si="92">SUM(H33)+SUM(H35:H35)</f>
        <v>-1112</v>
      </c>
      <c r="I36" s="13">
        <f t="shared" ref="I36" si="93">SUM(I33)+SUM(I35:I35)</f>
        <v>-290</v>
      </c>
      <c r="J36" s="13">
        <f t="shared" ref="J36" si="94">SUM(J33)+SUM(J35:J35)</f>
        <v>309</v>
      </c>
      <c r="K36" s="13">
        <f t="shared" ref="K36" si="95">SUM(K33)+SUM(K35:K35)</f>
        <v>517</v>
      </c>
      <c r="L36" s="13">
        <f t="shared" ref="L36" si="96">SUM(L33)+SUM(L35:L35)</f>
        <v>-544</v>
      </c>
      <c r="M36" s="13">
        <f t="shared" ref="M36" si="97">SUM(M33)+SUM(M35:M35)</f>
        <v>-5404</v>
      </c>
      <c r="N36" s="13">
        <f t="shared" ref="N36" si="98">SUM(N33)+SUM(N35:N35)</f>
        <v>21</v>
      </c>
      <c r="O36" s="13">
        <f t="shared" ref="O36" si="99">SUM(O33)+SUM(O35:O35)</f>
        <v>-222</v>
      </c>
      <c r="P36" s="13">
        <f t="shared" ref="P36" si="100">SUM(P33)+SUM(P35:P35)</f>
        <v>161</v>
      </c>
      <c r="Q36" s="13">
        <f t="shared" ref="Q36" si="101">SUM(Q33)+SUM(Q35:Q35)</f>
        <v>61</v>
      </c>
      <c r="S36" s="13">
        <f t="shared" ref="S36" si="102">SUM(S33)+SUM(S35:S35)</f>
        <v>-243</v>
      </c>
      <c r="T36" s="13">
        <f t="shared" ref="T36" si="103">SUM(T33)+SUM(T35:T35)</f>
        <v>-498</v>
      </c>
      <c r="U36" s="13">
        <f t="shared" ref="U36" si="104">SUM(U33)+SUM(U35:U35)</f>
        <v>-389</v>
      </c>
      <c r="V36" s="13">
        <f t="shared" ref="V36" si="105">SUM(V33)+SUM(V35:V35)</f>
        <v>-398</v>
      </c>
      <c r="W36" s="13">
        <f t="shared" ref="W36" si="106">SUM(W33)+SUM(W35:W35)</f>
        <v>-832</v>
      </c>
      <c r="X36" s="13">
        <f t="shared" ref="X36" si="107">SUM(X33)+SUM(X35:X35)</f>
        <v>-1092</v>
      </c>
      <c r="Y36" s="13">
        <f t="shared" ref="Y36" si="108">SUM(Y33)+SUM(Y35:Y35)</f>
        <v>-1351</v>
      </c>
      <c r="Z36" s="37"/>
      <c r="AA36" s="67">
        <f t="shared" ref="AA36" si="109">SUM(Y36/U36)-1</f>
        <v>2.473007712082262</v>
      </c>
    </row>
    <row r="37" spans="1:27" ht="5.0999999999999996" customHeight="1">
      <c r="B37" s="9"/>
      <c r="C37" s="74"/>
      <c r="D37" s="74"/>
      <c r="E37" s="74"/>
      <c r="F37" s="74"/>
      <c r="G37" s="28"/>
      <c r="H37" s="74"/>
      <c r="I37" s="74"/>
      <c r="J37" s="74"/>
      <c r="K37" s="28"/>
      <c r="L37" s="74"/>
      <c r="M37" s="74"/>
      <c r="N37" s="74"/>
      <c r="O37" s="28"/>
      <c r="P37" s="74"/>
      <c r="Q37" s="74"/>
      <c r="S37" s="28"/>
      <c r="T37" s="28"/>
      <c r="U37" s="28"/>
      <c r="V37" s="28"/>
      <c r="W37" s="28"/>
      <c r="X37" s="28"/>
      <c r="Y37" s="28"/>
      <c r="Z37" s="11"/>
      <c r="AA37" s="66"/>
    </row>
    <row r="38" spans="1:27" ht="12.75" customHeight="1">
      <c r="B38" s="9" t="s">
        <v>114</v>
      </c>
      <c r="C38" s="74">
        <v>-88</v>
      </c>
      <c r="D38" s="74">
        <v>-110</v>
      </c>
      <c r="E38" s="74">
        <v>-32</v>
      </c>
      <c r="F38" s="74">
        <v>-41</v>
      </c>
      <c r="G38" s="28"/>
      <c r="H38" s="74">
        <v>-6</v>
      </c>
      <c r="I38" s="74">
        <v>-9</v>
      </c>
      <c r="J38" s="74">
        <v>-14</v>
      </c>
      <c r="K38" s="28">
        <f>SUM(E38-SUM(H38:J38))</f>
        <v>-3</v>
      </c>
      <c r="L38" s="74">
        <v>-10</v>
      </c>
      <c r="M38" s="74">
        <v>-9</v>
      </c>
      <c r="N38" s="74">
        <v>-20</v>
      </c>
      <c r="O38" s="28">
        <f>SUM(F38-SUM(L38:N38))</f>
        <v>-2</v>
      </c>
      <c r="P38" s="74">
        <v>-9</v>
      </c>
      <c r="Q38" s="74">
        <v>-4</v>
      </c>
      <c r="S38" s="28">
        <f t="shared" ref="S38" si="110">SUM(H38:K38)</f>
        <v>-32</v>
      </c>
      <c r="T38" s="28">
        <f t="shared" ref="T38" si="111">SUM(I38:L38)</f>
        <v>-36</v>
      </c>
      <c r="U38" s="28">
        <f t="shared" ref="U38" si="112">SUM(J38:M38)</f>
        <v>-36</v>
      </c>
      <c r="V38" s="28">
        <f t="shared" ref="V38" si="113">SUM(K38:N38)</f>
        <v>-42</v>
      </c>
      <c r="W38" s="28">
        <f t="shared" ref="W38" si="114">SUM(L38:O38)</f>
        <v>-41</v>
      </c>
      <c r="X38" s="28">
        <f t="shared" ref="X38" si="115">SUM(M38:P38)</f>
        <v>-40</v>
      </c>
      <c r="Y38" s="28">
        <f>SUM(N38:Q38)</f>
        <v>-35</v>
      </c>
      <c r="Z38" s="11"/>
      <c r="AA38" s="66">
        <f t="shared" si="6"/>
        <v>-2.777777777777779E-2</v>
      </c>
    </row>
    <row r="39" spans="1:27" ht="12.75" customHeight="1">
      <c r="B39" s="12" t="s">
        <v>115</v>
      </c>
      <c r="C39" s="13">
        <f>SUM(C36+SUM(C38:C38))</f>
        <v>4543</v>
      </c>
      <c r="D39" s="13">
        <f>SUM(D36+SUM(D38:D38))</f>
        <v>1104</v>
      </c>
      <c r="E39" s="13">
        <f t="shared" ref="E39:F39" si="116">SUM(E36+SUM(E38:E38))</f>
        <v>-608</v>
      </c>
      <c r="F39" s="13">
        <f t="shared" si="116"/>
        <v>-6190</v>
      </c>
      <c r="H39" s="13">
        <f t="shared" ref="H39" si="117">SUM(H36+SUM(H38:H38))</f>
        <v>-1118</v>
      </c>
      <c r="I39" s="13">
        <f t="shared" ref="I39" si="118">SUM(I36+SUM(I38:I38))</f>
        <v>-299</v>
      </c>
      <c r="J39" s="13">
        <f t="shared" ref="J39" si="119">SUM(J36+SUM(J38:J38))</f>
        <v>295</v>
      </c>
      <c r="K39" s="13">
        <f t="shared" ref="K39" si="120">SUM(K36+SUM(K38:K38))</f>
        <v>514</v>
      </c>
      <c r="L39" s="13">
        <f t="shared" ref="L39" si="121">SUM(L36+SUM(L38:L38))</f>
        <v>-554</v>
      </c>
      <c r="M39" s="13">
        <f t="shared" ref="M39" si="122">SUM(M36+SUM(M38:M38))</f>
        <v>-5413</v>
      </c>
      <c r="N39" s="13">
        <f t="shared" ref="N39" si="123">SUM(N36+SUM(N38:N38))</f>
        <v>1</v>
      </c>
      <c r="O39" s="13">
        <f t="shared" ref="O39" si="124">SUM(O36+SUM(O38:O38))</f>
        <v>-224</v>
      </c>
      <c r="P39" s="13">
        <f t="shared" ref="P39" si="125">SUM(P36+SUM(P38:P38))</f>
        <v>152</v>
      </c>
      <c r="Q39" s="13">
        <f t="shared" ref="Q39" si="126">SUM(Q36+SUM(Q38:Q38))</f>
        <v>57</v>
      </c>
      <c r="S39" s="13">
        <f t="shared" ref="S39" si="127">SUM(S36+SUM(S38:S38))</f>
        <v>-275</v>
      </c>
      <c r="T39" s="13">
        <f t="shared" ref="T39" si="128">SUM(T36+SUM(T38:T38))</f>
        <v>-534</v>
      </c>
      <c r="U39" s="13">
        <f t="shared" ref="U39" si="129">SUM(U36+SUM(U38:U38))</f>
        <v>-425</v>
      </c>
      <c r="V39" s="13">
        <f t="shared" ref="V39" si="130">SUM(V36+SUM(V38:V38))</f>
        <v>-440</v>
      </c>
      <c r="W39" s="13">
        <f t="shared" ref="W39" si="131">SUM(W36+SUM(W38:W38))</f>
        <v>-873</v>
      </c>
      <c r="X39" s="13">
        <f t="shared" ref="X39" si="132">SUM(X36+SUM(X38:X38))</f>
        <v>-1132</v>
      </c>
      <c r="Y39" s="13">
        <f t="shared" ref="Y39" si="133">SUM(Y36+SUM(Y38:Y38))</f>
        <v>-1386</v>
      </c>
      <c r="Z39" s="37"/>
      <c r="AA39" s="67">
        <f t="shared" si="6"/>
        <v>2.2611764705882353</v>
      </c>
    </row>
    <row r="40" spans="1:27" ht="12.75" customHeight="1">
      <c r="B40" s="14" t="s">
        <v>57</v>
      </c>
      <c r="C40" s="15">
        <f>C39/C11</f>
        <v>0.15892394878611907</v>
      </c>
      <c r="D40" s="15">
        <f>D39/D11</f>
        <v>3.661205810174438E-2</v>
      </c>
      <c r="E40" s="15">
        <f>E39/E11</f>
        <v>-2.0504519088088494E-2</v>
      </c>
      <c r="F40" s="15">
        <f>F39/F11</f>
        <v>-0.21189196590558998</v>
      </c>
      <c r="G40" s="25"/>
      <c r="H40" s="15">
        <f t="shared" ref="H40:Q40" si="134">H39/H11</f>
        <v>-0.15388850653819683</v>
      </c>
      <c r="I40" s="15">
        <f t="shared" si="134"/>
        <v>-3.9259453781512604E-2</v>
      </c>
      <c r="J40" s="15">
        <f t="shared" si="134"/>
        <v>4.1357072760409362E-2</v>
      </c>
      <c r="K40" s="15">
        <f t="shared" si="134"/>
        <v>6.7295103430217329E-2</v>
      </c>
      <c r="L40" s="15">
        <f t="shared" si="134"/>
        <v>-7.2088484059856864E-2</v>
      </c>
      <c r="M40" s="15">
        <f t="shared" si="134"/>
        <v>-0.79451049464259504</v>
      </c>
      <c r="N40" s="15">
        <f t="shared" si="134"/>
        <v>1.4856633486851881E-4</v>
      </c>
      <c r="O40" s="15">
        <f t="shared" si="134"/>
        <v>-2.8056112224448898E-2</v>
      </c>
      <c r="P40" s="15">
        <f t="shared" si="134"/>
        <v>2.1134593993325918E-2</v>
      </c>
      <c r="Q40" s="15">
        <f t="shared" si="134"/>
        <v>8.3223828296101615E-3</v>
      </c>
      <c r="S40" s="15">
        <f t="shared" ref="S40:Y40" si="135">S39/S11</f>
        <v>-9.2742479428031838E-3</v>
      </c>
      <c r="T40" s="15">
        <f t="shared" si="135"/>
        <v>-1.7757382282521949E-2</v>
      </c>
      <c r="U40" s="15">
        <f t="shared" si="135"/>
        <v>-1.4520482421674809E-2</v>
      </c>
      <c r="V40" s="15">
        <f t="shared" si="135"/>
        <v>-1.5242318218034434E-2</v>
      </c>
      <c r="W40" s="15">
        <f t="shared" si="135"/>
        <v>-2.9883955773114708E-2</v>
      </c>
      <c r="X40" s="15">
        <f t="shared" si="135"/>
        <v>-3.9415041782729802E-2</v>
      </c>
      <c r="Y40" s="15">
        <f t="shared" si="135"/>
        <v>-4.8198636806231744E-2</v>
      </c>
      <c r="Z40" s="38"/>
      <c r="AA40" s="68">
        <f>SUM(Y40-U40)*1000</f>
        <v>-33.67815438455694</v>
      </c>
    </row>
    <row r="41" spans="1:27" ht="5.0999999999999996" customHeight="1">
      <c r="B41" s="14"/>
      <c r="C41" s="15"/>
      <c r="D41" s="15"/>
      <c r="E41" s="15"/>
      <c r="F41" s="15"/>
      <c r="G41" s="2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26"/>
      <c r="S41" s="15"/>
      <c r="T41" s="15"/>
      <c r="U41" s="15"/>
      <c r="V41" s="15"/>
      <c r="W41" s="15"/>
      <c r="X41" s="15"/>
      <c r="Y41" s="15"/>
      <c r="Z41" s="38"/>
      <c r="AA41" s="68"/>
    </row>
    <row r="42" spans="1:27" ht="12.75" customHeight="1">
      <c r="B42" s="39" t="s">
        <v>58</v>
      </c>
      <c r="C42" s="74">
        <v>641</v>
      </c>
      <c r="D42" s="74">
        <v>649</v>
      </c>
      <c r="E42" s="74">
        <v>652</v>
      </c>
      <c r="F42" s="74">
        <v>664</v>
      </c>
      <c r="G42" s="25"/>
      <c r="H42" s="74">
        <v>651</v>
      </c>
      <c r="I42" s="74">
        <v>651</v>
      </c>
      <c r="J42" s="74">
        <v>652</v>
      </c>
      <c r="K42" s="28">
        <f>E42</f>
        <v>652</v>
      </c>
      <c r="L42" s="74">
        <v>654</v>
      </c>
      <c r="M42" s="74">
        <v>667</v>
      </c>
      <c r="N42" s="74">
        <v>667</v>
      </c>
      <c r="O42" s="28">
        <f>F42</f>
        <v>664</v>
      </c>
      <c r="P42" s="74">
        <v>672</v>
      </c>
      <c r="Q42" s="74">
        <v>675</v>
      </c>
      <c r="R42" s="28"/>
      <c r="S42" s="28">
        <f t="shared" ref="S42:X42" si="136">K42</f>
        <v>652</v>
      </c>
      <c r="T42" s="28">
        <f t="shared" si="136"/>
        <v>654</v>
      </c>
      <c r="U42" s="28">
        <f t="shared" si="136"/>
        <v>667</v>
      </c>
      <c r="V42" s="28">
        <f t="shared" si="136"/>
        <v>667</v>
      </c>
      <c r="W42" s="28">
        <f t="shared" si="136"/>
        <v>664</v>
      </c>
      <c r="X42" s="28">
        <f t="shared" si="136"/>
        <v>672</v>
      </c>
      <c r="Y42" s="28">
        <f>Q42</f>
        <v>675</v>
      </c>
      <c r="Z42" s="38"/>
      <c r="AA42" s="66">
        <f t="shared" ref="AA42" si="137">SUM(Y42/U42)-1</f>
        <v>1.1994002998500841E-2</v>
      </c>
    </row>
    <row r="43" spans="1:27" ht="12.75" customHeight="1">
      <c r="B43" s="12" t="s">
        <v>59</v>
      </c>
      <c r="C43" s="69">
        <f t="shared" ref="C43:F43" si="138">C39/C42</f>
        <v>7.0873634945397814</v>
      </c>
      <c r="D43" s="69">
        <f t="shared" si="138"/>
        <v>1.7010785824345147</v>
      </c>
      <c r="E43" s="69">
        <f t="shared" si="138"/>
        <v>-0.93251533742331283</v>
      </c>
      <c r="F43" s="69">
        <f t="shared" si="138"/>
        <v>-9.3222891566265051</v>
      </c>
      <c r="G43" s="11"/>
      <c r="H43" s="69">
        <f t="shared" ref="H43:Q43" si="139">H39/H42</f>
        <v>-1.717357910906298</v>
      </c>
      <c r="I43" s="69">
        <f t="shared" si="139"/>
        <v>-0.45929339477726572</v>
      </c>
      <c r="J43" s="69">
        <f t="shared" si="139"/>
        <v>0.45245398773006135</v>
      </c>
      <c r="K43" s="69">
        <f t="shared" si="139"/>
        <v>0.78834355828220859</v>
      </c>
      <c r="L43" s="69">
        <f t="shared" si="139"/>
        <v>-0.84709480122324154</v>
      </c>
      <c r="M43" s="69">
        <f t="shared" si="139"/>
        <v>-8.11544227886057</v>
      </c>
      <c r="N43" s="69">
        <f t="shared" si="139"/>
        <v>1.4992503748125937E-3</v>
      </c>
      <c r="O43" s="69">
        <f t="shared" si="139"/>
        <v>-0.33734939759036142</v>
      </c>
      <c r="P43" s="69">
        <f t="shared" si="139"/>
        <v>0.22619047619047619</v>
      </c>
      <c r="Q43" s="69">
        <f t="shared" si="139"/>
        <v>8.4444444444444447E-2</v>
      </c>
      <c r="R43" s="28"/>
      <c r="S43" s="69">
        <f t="shared" ref="S43:Y43" si="140">S39/S42</f>
        <v>-0.42177914110429449</v>
      </c>
      <c r="T43" s="69">
        <f t="shared" si="140"/>
        <v>-0.8165137614678899</v>
      </c>
      <c r="U43" s="69">
        <f t="shared" si="140"/>
        <v>-0.63718140929535227</v>
      </c>
      <c r="V43" s="69">
        <f t="shared" si="140"/>
        <v>-0.65967016491754127</v>
      </c>
      <c r="W43" s="69">
        <f t="shared" si="140"/>
        <v>-1.3147590361445782</v>
      </c>
      <c r="X43" s="69">
        <f t="shared" si="140"/>
        <v>-1.6845238095238095</v>
      </c>
      <c r="Y43" s="69">
        <f t="shared" si="140"/>
        <v>-2.0533333333333332</v>
      </c>
      <c r="Z43" s="31"/>
      <c r="AA43" s="67">
        <f>SUM(Y43/U43)-1</f>
        <v>2.2225254901960785</v>
      </c>
    </row>
    <row r="44" spans="1:27" ht="5.0999999999999996" customHeight="1">
      <c r="B44" s="14"/>
      <c r="C44" s="15"/>
      <c r="D44" s="15"/>
      <c r="E44" s="15"/>
      <c r="F44" s="15"/>
      <c r="G44" s="2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26"/>
      <c r="S44" s="15"/>
      <c r="T44" s="15"/>
      <c r="U44" s="15"/>
      <c r="V44" s="15"/>
      <c r="W44" s="15"/>
      <c r="X44" s="15"/>
      <c r="Y44" s="15"/>
      <c r="Z44" s="38"/>
      <c r="AA44" s="68"/>
    </row>
    <row r="45" spans="1:27" ht="12.75" customHeight="1">
      <c r="B45" s="39" t="s">
        <v>60</v>
      </c>
      <c r="C45" s="74">
        <v>655</v>
      </c>
      <c r="D45" s="74">
        <v>650</v>
      </c>
      <c r="E45" s="74">
        <v>652</v>
      </c>
      <c r="F45" s="74">
        <v>664</v>
      </c>
      <c r="G45" s="25"/>
      <c r="H45" s="74">
        <v>651</v>
      </c>
      <c r="I45" s="74">
        <v>651</v>
      </c>
      <c r="J45" s="74">
        <v>652</v>
      </c>
      <c r="K45" s="28">
        <f>E45</f>
        <v>652</v>
      </c>
      <c r="L45" s="74">
        <v>654</v>
      </c>
      <c r="M45" s="74">
        <v>667</v>
      </c>
      <c r="N45" s="74">
        <v>670</v>
      </c>
      <c r="O45" s="28">
        <f>F45</f>
        <v>664</v>
      </c>
      <c r="P45" s="74">
        <v>678</v>
      </c>
      <c r="Q45" s="74">
        <v>680</v>
      </c>
      <c r="R45" s="28"/>
      <c r="S45" s="28">
        <f t="shared" ref="S45" si="141">K45</f>
        <v>652</v>
      </c>
      <c r="T45" s="28">
        <f t="shared" ref="T45" si="142">L45</f>
        <v>654</v>
      </c>
      <c r="U45" s="28">
        <f t="shared" ref="U45" si="143">M45</f>
        <v>667</v>
      </c>
      <c r="V45" s="28">
        <f t="shared" ref="V45" si="144">N45</f>
        <v>670</v>
      </c>
      <c r="W45" s="28">
        <f t="shared" ref="W45" si="145">O45</f>
        <v>664</v>
      </c>
      <c r="X45" s="28">
        <f t="shared" ref="X45" si="146">P45</f>
        <v>678</v>
      </c>
      <c r="Y45" s="28">
        <f>Q45</f>
        <v>680</v>
      </c>
      <c r="Z45" s="38"/>
      <c r="AA45" s="66">
        <f t="shared" ref="AA45" si="147">SUM(Y45/U45)-1</f>
        <v>1.9490254872563728E-2</v>
      </c>
    </row>
    <row r="46" spans="1:27" ht="12.75" customHeight="1">
      <c r="B46" s="12" t="s">
        <v>61</v>
      </c>
      <c r="C46" s="69">
        <f t="shared" ref="C46:F46" si="148">C39/C45</f>
        <v>6.9358778625954196</v>
      </c>
      <c r="D46" s="69">
        <f t="shared" si="148"/>
        <v>1.6984615384615385</v>
      </c>
      <c r="E46" s="69">
        <f t="shared" si="148"/>
        <v>-0.93251533742331283</v>
      </c>
      <c r="F46" s="69">
        <f t="shared" si="148"/>
        <v>-9.3222891566265051</v>
      </c>
      <c r="G46" s="25"/>
      <c r="H46" s="69">
        <f t="shared" ref="H46:Q46" si="149">H39/H45</f>
        <v>-1.717357910906298</v>
      </c>
      <c r="I46" s="69">
        <f t="shared" si="149"/>
        <v>-0.45929339477726572</v>
      </c>
      <c r="J46" s="69">
        <f t="shared" si="149"/>
        <v>0.45245398773006135</v>
      </c>
      <c r="K46" s="69">
        <f t="shared" si="149"/>
        <v>0.78834355828220859</v>
      </c>
      <c r="L46" s="69">
        <f t="shared" si="149"/>
        <v>-0.84709480122324154</v>
      </c>
      <c r="M46" s="69">
        <f t="shared" si="149"/>
        <v>-8.11544227886057</v>
      </c>
      <c r="N46" s="69">
        <f t="shared" si="149"/>
        <v>1.4925373134328358E-3</v>
      </c>
      <c r="O46" s="69">
        <f t="shared" si="149"/>
        <v>-0.33734939759036142</v>
      </c>
      <c r="P46" s="69">
        <f t="shared" si="149"/>
        <v>0.22418879056047197</v>
      </c>
      <c r="Q46" s="69">
        <f t="shared" si="149"/>
        <v>8.38235294117647E-2</v>
      </c>
      <c r="R46" s="28"/>
      <c r="S46" s="69">
        <f t="shared" ref="S46:Y46" si="150">S39/S45</f>
        <v>-0.42177914110429449</v>
      </c>
      <c r="T46" s="69">
        <f t="shared" si="150"/>
        <v>-0.8165137614678899</v>
      </c>
      <c r="U46" s="69">
        <f t="shared" si="150"/>
        <v>-0.63718140929535227</v>
      </c>
      <c r="V46" s="69">
        <f t="shared" si="150"/>
        <v>-0.65671641791044777</v>
      </c>
      <c r="W46" s="69">
        <f t="shared" si="150"/>
        <v>-1.3147590361445782</v>
      </c>
      <c r="X46" s="69">
        <f t="shared" si="150"/>
        <v>-1.6696165191740413</v>
      </c>
      <c r="Y46" s="69">
        <f t="shared" si="150"/>
        <v>-2.0382352941176469</v>
      </c>
      <c r="Z46" s="31"/>
      <c r="AA46" s="67">
        <f>SUM(Y46/U46)-1</f>
        <v>2.1988304498269895</v>
      </c>
    </row>
    <row r="47" spans="1:27">
      <c r="B47" s="14"/>
      <c r="C47" s="15"/>
      <c r="D47" s="15"/>
      <c r="E47" s="74"/>
      <c r="F47" s="74"/>
      <c r="G47" s="2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26"/>
      <c r="S47" s="15"/>
      <c r="T47" s="15"/>
      <c r="U47" s="15"/>
      <c r="V47" s="15"/>
      <c r="W47" s="15"/>
      <c r="X47" s="15"/>
      <c r="Y47" s="15"/>
      <c r="Z47" s="38"/>
    </row>
    <row r="48" spans="1:27" ht="12.75" customHeight="1">
      <c r="A48" s="5" t="s">
        <v>15</v>
      </c>
      <c r="B48" s="89" t="s">
        <v>70</v>
      </c>
      <c r="C48" s="90" t="s">
        <v>0</v>
      </c>
      <c r="D48" s="90"/>
      <c r="E48" s="90"/>
      <c r="F48" s="90"/>
      <c r="G48" s="91"/>
      <c r="H48" s="90"/>
      <c r="I48" s="90"/>
      <c r="J48" s="90"/>
      <c r="K48" s="90"/>
      <c r="L48" s="90"/>
      <c r="M48" s="90"/>
      <c r="N48" s="90" t="s">
        <v>1</v>
      </c>
      <c r="O48" s="90"/>
      <c r="P48" s="90"/>
      <c r="Q48" s="90"/>
      <c r="R48" s="89"/>
      <c r="S48" s="90"/>
      <c r="T48" s="90"/>
      <c r="U48" s="90" t="s">
        <v>10</v>
      </c>
      <c r="V48" s="90"/>
      <c r="W48" s="90"/>
      <c r="X48" s="90"/>
      <c r="Y48" s="90"/>
      <c r="Z48" s="91"/>
      <c r="AA48" s="153" t="s">
        <v>20</v>
      </c>
    </row>
    <row r="49" spans="2:27" ht="12.75" customHeight="1">
      <c r="B49" s="93" t="str">
        <f t="shared" ref="B49:F50" si="151">B7</f>
        <v>Fiscal Period</v>
      </c>
      <c r="C49" s="92">
        <f t="shared" si="151"/>
        <v>2021</v>
      </c>
      <c r="D49" s="92">
        <f t="shared" si="151"/>
        <v>2022</v>
      </c>
      <c r="E49" s="92">
        <f t="shared" si="151"/>
        <v>2023</v>
      </c>
      <c r="F49" s="92">
        <f t="shared" si="151"/>
        <v>2024</v>
      </c>
      <c r="G49" s="91"/>
      <c r="H49" s="92" t="str">
        <f t="shared" ref="H49:Q49" si="152">H7</f>
        <v>1Q23</v>
      </c>
      <c r="I49" s="92" t="str">
        <f t="shared" si="152"/>
        <v>2Q23</v>
      </c>
      <c r="J49" s="92" t="str">
        <f t="shared" si="152"/>
        <v>3Q23</v>
      </c>
      <c r="K49" s="92" t="str">
        <f t="shared" si="152"/>
        <v>4Q23</v>
      </c>
      <c r="L49" s="92" t="str">
        <f t="shared" si="152"/>
        <v>1Q24</v>
      </c>
      <c r="M49" s="92" t="str">
        <f t="shared" si="152"/>
        <v>2Q24</v>
      </c>
      <c r="N49" s="92" t="str">
        <f t="shared" si="152"/>
        <v>3Q24</v>
      </c>
      <c r="O49" s="92" t="str">
        <f t="shared" si="152"/>
        <v>4Q24</v>
      </c>
      <c r="P49" s="92" t="str">
        <f t="shared" si="152"/>
        <v>1Q25</v>
      </c>
      <c r="Q49" s="92" t="str">
        <f t="shared" si="152"/>
        <v>2Q25</v>
      </c>
      <c r="R49" s="94"/>
      <c r="S49" s="92" t="str">
        <f t="shared" ref="S49:Y49" si="153">S7</f>
        <v>4Q23</v>
      </c>
      <c r="T49" s="92" t="str">
        <f t="shared" si="153"/>
        <v>1Q24</v>
      </c>
      <c r="U49" s="92" t="str">
        <f t="shared" si="153"/>
        <v>2Q24</v>
      </c>
      <c r="V49" s="92" t="str">
        <f t="shared" si="153"/>
        <v>3Q24</v>
      </c>
      <c r="W49" s="92" t="str">
        <f t="shared" si="153"/>
        <v>4Q24</v>
      </c>
      <c r="X49" s="92" t="str">
        <f t="shared" si="153"/>
        <v>1Q25</v>
      </c>
      <c r="Y49" s="92" t="str">
        <f t="shared" si="153"/>
        <v>2Q25</v>
      </c>
      <c r="Z49" s="91"/>
      <c r="AA49" s="153"/>
    </row>
    <row r="50" spans="2:27" ht="12.75" customHeight="1">
      <c r="B50" s="93" t="str">
        <f t="shared" si="151"/>
        <v>Fiscal Period End Date</v>
      </c>
      <c r="C50" s="95">
        <f t="shared" si="151"/>
        <v>44561</v>
      </c>
      <c r="D50" s="95">
        <f t="shared" si="151"/>
        <v>44926</v>
      </c>
      <c r="E50" s="95">
        <f t="shared" si="151"/>
        <v>45291</v>
      </c>
      <c r="F50" s="95">
        <f t="shared" si="151"/>
        <v>45657</v>
      </c>
      <c r="G50" s="91"/>
      <c r="H50" s="95">
        <f t="shared" ref="H50:Q50" si="154">H8</f>
        <v>45016</v>
      </c>
      <c r="I50" s="95">
        <f t="shared" si="154"/>
        <v>45107</v>
      </c>
      <c r="J50" s="95">
        <f t="shared" si="154"/>
        <v>45199</v>
      </c>
      <c r="K50" s="95">
        <f t="shared" si="154"/>
        <v>44926</v>
      </c>
      <c r="L50" s="95">
        <f t="shared" si="154"/>
        <v>45382</v>
      </c>
      <c r="M50" s="95">
        <f t="shared" si="154"/>
        <v>45473</v>
      </c>
      <c r="N50" s="95">
        <f t="shared" si="154"/>
        <v>45565</v>
      </c>
      <c r="O50" s="95">
        <f t="shared" si="154"/>
        <v>45291</v>
      </c>
      <c r="P50" s="95">
        <f t="shared" si="154"/>
        <v>45747</v>
      </c>
      <c r="Q50" s="95">
        <f t="shared" si="154"/>
        <v>45838</v>
      </c>
      <c r="R50" s="96"/>
      <c r="S50" s="95">
        <f t="shared" ref="S50:Y50" si="155">S8</f>
        <v>44926</v>
      </c>
      <c r="T50" s="95">
        <f t="shared" si="155"/>
        <v>45382</v>
      </c>
      <c r="U50" s="95">
        <f t="shared" si="155"/>
        <v>45473</v>
      </c>
      <c r="V50" s="95">
        <f t="shared" si="155"/>
        <v>45565</v>
      </c>
      <c r="W50" s="95">
        <f t="shared" si="155"/>
        <v>45291</v>
      </c>
      <c r="X50" s="95">
        <f t="shared" si="155"/>
        <v>45747</v>
      </c>
      <c r="Y50" s="95">
        <f t="shared" si="155"/>
        <v>45838</v>
      </c>
      <c r="Z50" s="91"/>
      <c r="AA50" s="153"/>
    </row>
    <row r="51" spans="2:27" ht="5.0999999999999996" customHeight="1">
      <c r="B51" s="41"/>
      <c r="C51" s="42"/>
      <c r="D51" s="42"/>
      <c r="E51" s="42"/>
      <c r="F51" s="42"/>
    </row>
    <row r="52" spans="2:27">
      <c r="B52" s="70" t="s">
        <v>76</v>
      </c>
      <c r="C52" s="42"/>
      <c r="D52" s="42"/>
      <c r="E52" s="42"/>
      <c r="F52" s="42"/>
    </row>
    <row r="53" spans="2:27" ht="12.75" customHeight="1">
      <c r="B53" s="9" t="s">
        <v>116</v>
      </c>
      <c r="C53" s="103">
        <v>6267</v>
      </c>
      <c r="D53" s="103">
        <v>2885</v>
      </c>
      <c r="E53" s="103">
        <v>2460</v>
      </c>
      <c r="F53" s="103">
        <v>2661</v>
      </c>
      <c r="H53" s="103">
        <v>2109</v>
      </c>
      <c r="I53" s="103">
        <v>1714</v>
      </c>
      <c r="J53" s="103">
        <v>1804</v>
      </c>
      <c r="K53" s="28">
        <f t="shared" ref="K53:K56" si="156">E53</f>
        <v>2460</v>
      </c>
      <c r="L53" s="103">
        <v>2384</v>
      </c>
      <c r="M53" s="103">
        <v>2315</v>
      </c>
      <c r="N53" s="103">
        <v>2443</v>
      </c>
      <c r="O53" s="80">
        <f t="shared" ref="O53:O56" si="157">F53</f>
        <v>2661</v>
      </c>
      <c r="P53" s="103">
        <v>2673</v>
      </c>
      <c r="Q53" s="103">
        <v>2739</v>
      </c>
      <c r="R53" s="80"/>
      <c r="S53" s="28">
        <f t="shared" ref="S53:X53" si="158">K53</f>
        <v>2460</v>
      </c>
      <c r="T53" s="28">
        <f t="shared" si="158"/>
        <v>2384</v>
      </c>
      <c r="U53" s="28">
        <f t="shared" si="158"/>
        <v>2315</v>
      </c>
      <c r="V53" s="28">
        <f t="shared" si="158"/>
        <v>2443</v>
      </c>
      <c r="W53" s="28">
        <f t="shared" si="158"/>
        <v>2661</v>
      </c>
      <c r="X53" s="28">
        <f t="shared" si="158"/>
        <v>2673</v>
      </c>
      <c r="Y53" s="28">
        <f>Q53</f>
        <v>2739</v>
      </c>
      <c r="Z53" s="11"/>
      <c r="AA53" s="66">
        <f t="shared" ref="AA53:AA56" si="159">SUM(Y53/U53)-1</f>
        <v>0.18315334773218139</v>
      </c>
    </row>
    <row r="54" spans="2:27" ht="12.75" customHeight="1">
      <c r="B54" s="9" t="s">
        <v>117</v>
      </c>
      <c r="C54" s="103">
        <v>6984</v>
      </c>
      <c r="D54" s="103">
        <v>7412</v>
      </c>
      <c r="E54" s="103">
        <v>7115</v>
      </c>
      <c r="F54" s="103">
        <v>6920</v>
      </c>
      <c r="H54" s="103">
        <v>7448</v>
      </c>
      <c r="I54" s="103">
        <v>7186</v>
      </c>
      <c r="J54" s="103">
        <v>6939</v>
      </c>
      <c r="K54" s="28">
        <f t="shared" si="156"/>
        <v>7115</v>
      </c>
      <c r="L54" s="103">
        <v>7096</v>
      </c>
      <c r="M54" s="103">
        <v>6545</v>
      </c>
      <c r="N54" s="103">
        <v>6327</v>
      </c>
      <c r="O54" s="80">
        <f t="shared" si="157"/>
        <v>6920</v>
      </c>
      <c r="P54" s="103">
        <v>6835</v>
      </c>
      <c r="Q54" s="103">
        <v>6291</v>
      </c>
      <c r="R54" s="80"/>
      <c r="S54" s="28">
        <f t="shared" ref="S54:S56" si="160">K54</f>
        <v>7115</v>
      </c>
      <c r="T54" s="28">
        <f t="shared" ref="T54:T56" si="161">L54</f>
        <v>7096</v>
      </c>
      <c r="U54" s="28">
        <f t="shared" ref="U54:U56" si="162">M54</f>
        <v>6545</v>
      </c>
      <c r="V54" s="28">
        <f t="shared" ref="V54:V56" si="163">N54</f>
        <v>6327</v>
      </c>
      <c r="W54" s="28">
        <f t="shared" ref="W54:W56" si="164">O54</f>
        <v>6920</v>
      </c>
      <c r="X54" s="28">
        <f t="shared" ref="X54:X56" si="165">P54</f>
        <v>6835</v>
      </c>
      <c r="Y54" s="28">
        <f t="shared" ref="Y54:Y56" si="166">Q54</f>
        <v>6291</v>
      </c>
      <c r="Z54" s="11"/>
      <c r="AA54" s="66">
        <f t="shared" si="159"/>
        <v>-3.8808250572956449E-2</v>
      </c>
    </row>
    <row r="55" spans="2:27" ht="12.75" customHeight="1">
      <c r="B55" s="9" t="s">
        <v>118</v>
      </c>
      <c r="C55" s="103">
        <v>1504</v>
      </c>
      <c r="D55" s="103">
        <v>1342</v>
      </c>
      <c r="E55" s="103">
        <v>1414</v>
      </c>
      <c r="F55" s="103">
        <v>1429</v>
      </c>
      <c r="H55" s="103">
        <v>1085</v>
      </c>
      <c r="I55" s="103">
        <v>1533</v>
      </c>
      <c r="J55" s="103">
        <v>1754</v>
      </c>
      <c r="K55" s="28">
        <f t="shared" si="156"/>
        <v>1414</v>
      </c>
      <c r="L55" s="103">
        <v>892</v>
      </c>
      <c r="M55" s="103">
        <v>1322</v>
      </c>
      <c r="N55" s="103">
        <v>1664</v>
      </c>
      <c r="O55" s="80">
        <f t="shared" si="157"/>
        <v>1429</v>
      </c>
      <c r="P55" s="103">
        <v>1054</v>
      </c>
      <c r="Q55" s="103">
        <v>1519</v>
      </c>
      <c r="R55" s="80"/>
      <c r="S55" s="28">
        <f t="shared" si="160"/>
        <v>1414</v>
      </c>
      <c r="T55" s="28">
        <f t="shared" si="161"/>
        <v>892</v>
      </c>
      <c r="U55" s="28">
        <f t="shared" si="162"/>
        <v>1322</v>
      </c>
      <c r="V55" s="28">
        <f t="shared" si="163"/>
        <v>1664</v>
      </c>
      <c r="W55" s="28">
        <f t="shared" si="164"/>
        <v>1429</v>
      </c>
      <c r="X55" s="28">
        <f t="shared" si="165"/>
        <v>1054</v>
      </c>
      <c r="Y55" s="28">
        <f t="shared" si="166"/>
        <v>1519</v>
      </c>
      <c r="Z55" s="11"/>
      <c r="AA55" s="66">
        <f t="shared" ref="AA55" si="167">SUM(Y55/U55)-1</f>
        <v>0.14901664145234483</v>
      </c>
    </row>
    <row r="56" spans="2:27" ht="12.75" customHeight="1">
      <c r="B56" s="9" t="s">
        <v>119</v>
      </c>
      <c r="C56" s="103">
        <f>1176+745</f>
        <v>1921</v>
      </c>
      <c r="D56" s="103">
        <f>1308+787</f>
        <v>2095</v>
      </c>
      <c r="E56" s="103">
        <f>1677+37</f>
        <v>1714</v>
      </c>
      <c r="F56" s="103">
        <v>1532</v>
      </c>
      <c r="H56" s="103">
        <f>1364+651</f>
        <v>2015</v>
      </c>
      <c r="I56" s="103">
        <f>1458+568</f>
        <v>2026</v>
      </c>
      <c r="J56" s="103">
        <f>1536+678</f>
        <v>2214</v>
      </c>
      <c r="K56" s="28">
        <f t="shared" si="156"/>
        <v>1714</v>
      </c>
      <c r="L56" s="103">
        <f>1511+49</f>
        <v>1560</v>
      </c>
      <c r="M56" s="103">
        <v>1497</v>
      </c>
      <c r="N56" s="103">
        <f>1484+7</f>
        <v>1491</v>
      </c>
      <c r="O56" s="80">
        <f t="shared" si="157"/>
        <v>1532</v>
      </c>
      <c r="P56" s="103">
        <v>1411</v>
      </c>
      <c r="Q56" s="103">
        <v>1568</v>
      </c>
      <c r="R56" s="80"/>
      <c r="S56" s="28">
        <f t="shared" si="160"/>
        <v>1714</v>
      </c>
      <c r="T56" s="28">
        <f t="shared" si="161"/>
        <v>1560</v>
      </c>
      <c r="U56" s="28">
        <f t="shared" si="162"/>
        <v>1497</v>
      </c>
      <c r="V56" s="28">
        <f t="shared" si="163"/>
        <v>1491</v>
      </c>
      <c r="W56" s="28">
        <f t="shared" si="164"/>
        <v>1532</v>
      </c>
      <c r="X56" s="28">
        <f t="shared" si="165"/>
        <v>1411</v>
      </c>
      <c r="Y56" s="28">
        <f t="shared" si="166"/>
        <v>1568</v>
      </c>
      <c r="Z56" s="11"/>
      <c r="AA56" s="66">
        <f t="shared" si="159"/>
        <v>4.7428189712758861E-2</v>
      </c>
    </row>
    <row r="57" spans="2:27" ht="12.75" customHeight="1">
      <c r="B57" s="23" t="s">
        <v>17</v>
      </c>
      <c r="C57" s="24">
        <f>SUM(C53:C56)</f>
        <v>16676</v>
      </c>
      <c r="D57" s="24">
        <f>SUM(D53:D56)</f>
        <v>13734</v>
      </c>
      <c r="E57" s="24">
        <f>SUM(E53:E56)</f>
        <v>12703</v>
      </c>
      <c r="F57" s="149">
        <f>SUM(F53:F56)</f>
        <v>12542</v>
      </c>
      <c r="G57" s="43"/>
      <c r="H57" s="24">
        <f>SUM(H53:H56)</f>
        <v>12657</v>
      </c>
      <c r="I57" s="24">
        <f>SUM(I53:I56)</f>
        <v>12459</v>
      </c>
      <c r="J57" s="24">
        <f>SUM(J53:J56)</f>
        <v>12711</v>
      </c>
      <c r="K57" s="24">
        <f>SUM(K53:K56)</f>
        <v>12703</v>
      </c>
      <c r="L57" s="24">
        <f>SUM(L53:L56)</f>
        <v>11932</v>
      </c>
      <c r="M57" s="24">
        <f>SUM(M53:M56)</f>
        <v>11679</v>
      </c>
      <c r="N57" s="24">
        <f>SUM(N53:N56)</f>
        <v>11925</v>
      </c>
      <c r="O57" s="24">
        <f>SUM(O53:O56)</f>
        <v>12542</v>
      </c>
      <c r="P57" s="24">
        <f>SUM(P53:P56)</f>
        <v>11973</v>
      </c>
      <c r="Q57" s="24">
        <f>SUM(Q53:Q56)</f>
        <v>12117</v>
      </c>
      <c r="R57" s="43"/>
      <c r="S57" s="24">
        <f>SUM(S53:S56)</f>
        <v>12703</v>
      </c>
      <c r="T57" s="24">
        <f>SUM(T53:T56)</f>
        <v>11932</v>
      </c>
      <c r="U57" s="24">
        <f>SUM(U53:U56)</f>
        <v>11679</v>
      </c>
      <c r="V57" s="24">
        <f>SUM(V53:V56)</f>
        <v>11925</v>
      </c>
      <c r="W57" s="24">
        <f>SUM(W53:W56)</f>
        <v>12542</v>
      </c>
      <c r="X57" s="24">
        <f>SUM(X53:X56)</f>
        <v>11973</v>
      </c>
      <c r="Y57" s="24">
        <f>SUM(Y53:Y56)</f>
        <v>12117</v>
      </c>
      <c r="Z57" s="37"/>
      <c r="AA57" s="67">
        <f>SUM(Y57/U57)-1</f>
        <v>3.7503210891343342E-2</v>
      </c>
    </row>
    <row r="58" spans="2:27" ht="5.0999999999999996" customHeight="1">
      <c r="B58" s="23"/>
      <c r="C58" s="44"/>
      <c r="D58" s="36"/>
      <c r="E58" s="36"/>
      <c r="F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S58" s="37"/>
      <c r="T58" s="37"/>
      <c r="U58" s="37"/>
      <c r="V58" s="37"/>
      <c r="W58" s="37"/>
      <c r="X58" s="37"/>
      <c r="Y58" s="37"/>
      <c r="Z58" s="37"/>
      <c r="AA58" s="34"/>
    </row>
    <row r="59" spans="2:27" ht="12.75" customHeight="1">
      <c r="B59" s="70" t="s">
        <v>77</v>
      </c>
      <c r="C59" s="74"/>
      <c r="D59" s="74"/>
      <c r="E59" s="74"/>
      <c r="F59" s="74"/>
      <c r="H59" s="74"/>
      <c r="I59" s="74"/>
      <c r="J59" s="74"/>
      <c r="K59" s="74"/>
      <c r="L59" s="74"/>
      <c r="M59" s="74"/>
      <c r="N59" s="74"/>
      <c r="O59" s="74"/>
      <c r="P59" s="74"/>
      <c r="Q59" s="74"/>
      <c r="S59" s="28"/>
      <c r="T59" s="28"/>
      <c r="U59" s="28"/>
      <c r="V59" s="28"/>
      <c r="W59" s="28"/>
      <c r="X59" s="28"/>
      <c r="Y59" s="28"/>
      <c r="Z59" s="11"/>
      <c r="AA59" s="66"/>
    </row>
    <row r="60" spans="2:27" ht="12.75" customHeight="1">
      <c r="B60" s="9" t="s">
        <v>120</v>
      </c>
      <c r="C60" s="74">
        <v>1736</v>
      </c>
      <c r="D60" s="74">
        <v>1762</v>
      </c>
      <c r="E60" s="74">
        <v>1666</v>
      </c>
      <c r="F60" s="74">
        <v>1566</v>
      </c>
      <c r="H60" s="103">
        <v>1718</v>
      </c>
      <c r="I60" s="103">
        <v>1689</v>
      </c>
      <c r="J60" s="103">
        <v>1668</v>
      </c>
      <c r="K60" s="28">
        <f t="shared" ref="K60:K66" si="168">E60</f>
        <v>1666</v>
      </c>
      <c r="L60" s="103">
        <v>1612</v>
      </c>
      <c r="M60" s="103">
        <v>1567</v>
      </c>
      <c r="N60" s="103">
        <v>1545</v>
      </c>
      <c r="O60" s="80">
        <f t="shared" ref="O60:O66" si="169">F60</f>
        <v>1566</v>
      </c>
      <c r="P60" s="103">
        <v>1519</v>
      </c>
      <c r="Q60" s="103">
        <v>1494</v>
      </c>
      <c r="S60" s="28">
        <f t="shared" ref="S60:S66" si="170">K60</f>
        <v>1666</v>
      </c>
      <c r="T60" s="28">
        <f t="shared" ref="T60:T66" si="171">L60</f>
        <v>1612</v>
      </c>
      <c r="U60" s="28">
        <f t="shared" ref="U60:U66" si="172">M60</f>
        <v>1567</v>
      </c>
      <c r="V60" s="28">
        <f t="shared" ref="V60:V66" si="173">N60</f>
        <v>1545</v>
      </c>
      <c r="W60" s="28">
        <f t="shared" ref="W60:W66" si="174">O60</f>
        <v>1566</v>
      </c>
      <c r="X60" s="28">
        <f t="shared" ref="X60:X66" si="175">P60</f>
        <v>1519</v>
      </c>
      <c r="Y60" s="28">
        <f t="shared" ref="Y60:Y66" si="176">Q60</f>
        <v>1494</v>
      </c>
      <c r="Z60" s="11"/>
      <c r="AA60" s="66">
        <f t="shared" ref="AA60:AA66" si="177">SUM(Y60/U60)-1</f>
        <v>-4.6585832801531613E-2</v>
      </c>
    </row>
    <row r="61" spans="2:27" ht="12.75" customHeight="1">
      <c r="B61" s="9" t="s">
        <v>118</v>
      </c>
      <c r="C61" s="74">
        <v>13358</v>
      </c>
      <c r="D61" s="74">
        <v>16278</v>
      </c>
      <c r="E61" s="74">
        <v>13851</v>
      </c>
      <c r="F61" s="74">
        <v>13924</v>
      </c>
      <c r="H61" s="103">
        <v>15692</v>
      </c>
      <c r="I61" s="103">
        <v>14602</v>
      </c>
      <c r="J61" s="103">
        <v>13844</v>
      </c>
      <c r="K61" s="28">
        <f t="shared" si="168"/>
        <v>13851</v>
      </c>
      <c r="L61" s="103">
        <v>13420</v>
      </c>
      <c r="M61" s="103">
        <v>13672</v>
      </c>
      <c r="N61" s="103">
        <v>13948</v>
      </c>
      <c r="O61" s="80">
        <f t="shared" si="169"/>
        <v>13924</v>
      </c>
      <c r="P61" s="103">
        <v>14032</v>
      </c>
      <c r="Q61" s="103">
        <v>13812</v>
      </c>
      <c r="S61" s="28">
        <f t="shared" si="170"/>
        <v>13851</v>
      </c>
      <c r="T61" s="28">
        <f t="shared" si="171"/>
        <v>13420</v>
      </c>
      <c r="U61" s="28">
        <f t="shared" si="172"/>
        <v>13672</v>
      </c>
      <c r="V61" s="28">
        <f t="shared" si="173"/>
        <v>13948</v>
      </c>
      <c r="W61" s="28">
        <f t="shared" si="174"/>
        <v>13924</v>
      </c>
      <c r="X61" s="28">
        <f t="shared" si="175"/>
        <v>14032</v>
      </c>
      <c r="Y61" s="28">
        <f t="shared" si="176"/>
        <v>13812</v>
      </c>
      <c r="Z61" s="11"/>
      <c r="AA61" s="66">
        <f t="shared" si="177"/>
        <v>1.0239906377998764E-2</v>
      </c>
    </row>
    <row r="62" spans="2:27" ht="12.75" customHeight="1">
      <c r="B62" s="9" t="s">
        <v>121</v>
      </c>
      <c r="C62" s="74">
        <v>16584</v>
      </c>
      <c r="D62" s="74">
        <v>16499</v>
      </c>
      <c r="E62" s="74">
        <v>16516</v>
      </c>
      <c r="F62" s="74">
        <v>10508</v>
      </c>
      <c r="H62" s="103">
        <v>16511</v>
      </c>
      <c r="I62" s="103">
        <v>16517</v>
      </c>
      <c r="J62" s="103">
        <v>16488</v>
      </c>
      <c r="K62" s="28">
        <f t="shared" si="168"/>
        <v>16516</v>
      </c>
      <c r="L62" s="103">
        <v>16500</v>
      </c>
      <c r="M62" s="103">
        <v>10509</v>
      </c>
      <c r="N62" s="103">
        <v>10508</v>
      </c>
      <c r="O62" s="80">
        <f t="shared" si="169"/>
        <v>10508</v>
      </c>
      <c r="P62" s="103">
        <v>10488</v>
      </c>
      <c r="Q62" s="103">
        <v>10488</v>
      </c>
      <c r="S62" s="28">
        <f t="shared" si="170"/>
        <v>16516</v>
      </c>
      <c r="T62" s="28">
        <f t="shared" si="171"/>
        <v>16500</v>
      </c>
      <c r="U62" s="28">
        <f t="shared" si="172"/>
        <v>10509</v>
      </c>
      <c r="V62" s="28">
        <f t="shared" si="173"/>
        <v>10508</v>
      </c>
      <c r="W62" s="28">
        <f t="shared" si="174"/>
        <v>10508</v>
      </c>
      <c r="X62" s="28">
        <f t="shared" si="175"/>
        <v>10488</v>
      </c>
      <c r="Y62" s="28">
        <f t="shared" si="176"/>
        <v>10488</v>
      </c>
      <c r="Z62" s="11"/>
      <c r="AA62" s="66">
        <f t="shared" si="177"/>
        <v>-1.998287182415126E-3</v>
      </c>
    </row>
    <row r="63" spans="2:27" ht="12.75" customHeight="1">
      <c r="B63" s="9" t="s">
        <v>122</v>
      </c>
      <c r="C63" s="74">
        <v>2772</v>
      </c>
      <c r="D63" s="74">
        <v>2694</v>
      </c>
      <c r="E63" s="74">
        <v>2589</v>
      </c>
      <c r="F63" s="74">
        <v>2406</v>
      </c>
      <c r="H63" s="103">
        <v>2688</v>
      </c>
      <c r="I63" s="103">
        <v>2682</v>
      </c>
      <c r="J63" s="103">
        <v>2675</v>
      </c>
      <c r="K63" s="28">
        <f t="shared" si="168"/>
        <v>2589</v>
      </c>
      <c r="L63" s="103">
        <v>2580</v>
      </c>
      <c r="M63" s="103">
        <v>2558</v>
      </c>
      <c r="N63" s="103">
        <v>2450</v>
      </c>
      <c r="O63" s="80">
        <f t="shared" si="169"/>
        <v>2406</v>
      </c>
      <c r="P63" s="103">
        <v>2404</v>
      </c>
      <c r="Q63" s="103">
        <v>2249</v>
      </c>
      <c r="S63" s="28">
        <f t="shared" si="170"/>
        <v>2589</v>
      </c>
      <c r="T63" s="28">
        <f t="shared" si="171"/>
        <v>2580</v>
      </c>
      <c r="U63" s="28">
        <f t="shared" si="172"/>
        <v>2558</v>
      </c>
      <c r="V63" s="28">
        <f t="shared" si="173"/>
        <v>2450</v>
      </c>
      <c r="W63" s="28">
        <f t="shared" si="174"/>
        <v>2406</v>
      </c>
      <c r="X63" s="28">
        <f t="shared" si="175"/>
        <v>2404</v>
      </c>
      <c r="Y63" s="28">
        <f t="shared" si="176"/>
        <v>2249</v>
      </c>
      <c r="Z63" s="11"/>
      <c r="AA63" s="66">
        <f t="shared" ref="AA63:AA64" si="178">SUM(Y63/U63)-1</f>
        <v>-0.1207974980453479</v>
      </c>
    </row>
    <row r="64" spans="2:27" ht="12.75" customHeight="1">
      <c r="B64" s="9" t="s">
        <v>123</v>
      </c>
      <c r="C64" s="74">
        <v>1630</v>
      </c>
      <c r="D64" s="74">
        <v>1391</v>
      </c>
      <c r="E64" s="74">
        <v>1183</v>
      </c>
      <c r="F64" s="74">
        <v>1012</v>
      </c>
      <c r="H64" s="103">
        <v>1363</v>
      </c>
      <c r="I64" s="103">
        <v>1302</v>
      </c>
      <c r="J64" s="103">
        <v>1264</v>
      </c>
      <c r="K64" s="28">
        <f t="shared" si="168"/>
        <v>1183</v>
      </c>
      <c r="L64" s="103">
        <v>1117</v>
      </c>
      <c r="M64" s="103">
        <v>1069</v>
      </c>
      <c r="N64" s="103">
        <v>1029</v>
      </c>
      <c r="O64" s="80">
        <f t="shared" si="169"/>
        <v>1012</v>
      </c>
      <c r="P64" s="103">
        <v>945</v>
      </c>
      <c r="Q64" s="103">
        <v>922</v>
      </c>
      <c r="S64" s="28">
        <f t="shared" si="170"/>
        <v>1183</v>
      </c>
      <c r="T64" s="28">
        <f t="shared" si="171"/>
        <v>1117</v>
      </c>
      <c r="U64" s="28">
        <f t="shared" si="172"/>
        <v>1069</v>
      </c>
      <c r="V64" s="28">
        <f t="shared" si="173"/>
        <v>1029</v>
      </c>
      <c r="W64" s="28">
        <f t="shared" si="174"/>
        <v>1012</v>
      </c>
      <c r="X64" s="28">
        <f t="shared" si="175"/>
        <v>945</v>
      </c>
      <c r="Y64" s="28">
        <f t="shared" si="176"/>
        <v>922</v>
      </c>
      <c r="Z64" s="11"/>
      <c r="AA64" s="66">
        <f t="shared" si="178"/>
        <v>-0.13751169317118805</v>
      </c>
    </row>
    <row r="65" spans="2:27" ht="12.75" customHeight="1">
      <c r="B65" s="9" t="s">
        <v>124</v>
      </c>
      <c r="C65" s="74">
        <v>1206</v>
      </c>
      <c r="D65" s="74">
        <v>1242</v>
      </c>
      <c r="E65" s="74">
        <v>1242</v>
      </c>
      <c r="F65" s="74">
        <v>1386</v>
      </c>
      <c r="H65" s="103">
        <v>1286</v>
      </c>
      <c r="I65" s="103">
        <v>1282</v>
      </c>
      <c r="J65" s="103">
        <v>1273</v>
      </c>
      <c r="K65" s="28">
        <f t="shared" si="168"/>
        <v>1242</v>
      </c>
      <c r="L65" s="103">
        <v>1244</v>
      </c>
      <c r="M65" s="103">
        <v>1362</v>
      </c>
      <c r="N65" s="103">
        <v>1387</v>
      </c>
      <c r="O65" s="80">
        <f t="shared" si="169"/>
        <v>1386</v>
      </c>
      <c r="P65" s="103">
        <v>1342</v>
      </c>
      <c r="Q65" s="103">
        <v>1354</v>
      </c>
      <c r="S65" s="28">
        <f t="shared" si="170"/>
        <v>1242</v>
      </c>
      <c r="T65" s="28">
        <f t="shared" si="171"/>
        <v>1244</v>
      </c>
      <c r="U65" s="28">
        <f t="shared" si="172"/>
        <v>1362</v>
      </c>
      <c r="V65" s="28">
        <f t="shared" si="173"/>
        <v>1387</v>
      </c>
      <c r="W65" s="28">
        <f t="shared" si="174"/>
        <v>1386</v>
      </c>
      <c r="X65" s="28">
        <f t="shared" si="175"/>
        <v>1342</v>
      </c>
      <c r="Y65" s="28">
        <f t="shared" si="176"/>
        <v>1354</v>
      </c>
      <c r="Z65" s="11"/>
      <c r="AA65" s="66">
        <f t="shared" si="177"/>
        <v>-5.8737151248164921E-3</v>
      </c>
    </row>
    <row r="66" spans="2:27" ht="12.75" customHeight="1">
      <c r="B66" s="9" t="s">
        <v>125</v>
      </c>
      <c r="C66" s="74">
        <f>3824+19+815</f>
        <v>4658</v>
      </c>
      <c r="D66" s="74">
        <f>3991+802</f>
        <v>4793</v>
      </c>
      <c r="E66" s="74">
        <v>3793</v>
      </c>
      <c r="F66" s="74">
        <v>2828</v>
      </c>
      <c r="H66" s="103">
        <f>3848+798</f>
        <v>4646</v>
      </c>
      <c r="I66" s="103">
        <f>4016+812</f>
        <v>4828</v>
      </c>
      <c r="J66" s="103">
        <f>3913+804</f>
        <v>4717</v>
      </c>
      <c r="K66" s="28">
        <f t="shared" si="168"/>
        <v>3793</v>
      </c>
      <c r="L66" s="103">
        <v>3622</v>
      </c>
      <c r="M66" s="103">
        <v>3474</v>
      </c>
      <c r="N66" s="103">
        <v>3458</v>
      </c>
      <c r="O66" s="80">
        <f t="shared" si="169"/>
        <v>2828</v>
      </c>
      <c r="P66" s="103">
        <v>2693</v>
      </c>
      <c r="Q66" s="103">
        <v>2490</v>
      </c>
      <c r="S66" s="28">
        <f t="shared" si="170"/>
        <v>3793</v>
      </c>
      <c r="T66" s="28">
        <f t="shared" si="171"/>
        <v>3622</v>
      </c>
      <c r="U66" s="28">
        <f t="shared" si="172"/>
        <v>3474</v>
      </c>
      <c r="V66" s="28">
        <f t="shared" si="173"/>
        <v>3458</v>
      </c>
      <c r="W66" s="28">
        <f t="shared" si="174"/>
        <v>2828</v>
      </c>
      <c r="X66" s="28">
        <f t="shared" si="175"/>
        <v>2693</v>
      </c>
      <c r="Y66" s="28">
        <f t="shared" si="176"/>
        <v>2490</v>
      </c>
      <c r="Z66" s="11"/>
      <c r="AA66" s="66">
        <f t="shared" si="177"/>
        <v>-0.28324697754749573</v>
      </c>
    </row>
    <row r="67" spans="2:27" ht="12.75" customHeight="1">
      <c r="B67" s="12" t="s">
        <v>18</v>
      </c>
      <c r="C67" s="13">
        <f>SUM(C60:C66)+C57</f>
        <v>58620</v>
      </c>
      <c r="D67" s="13">
        <f>SUM(D60:D66)+D57</f>
        <v>58393</v>
      </c>
      <c r="E67" s="13">
        <f>SUM(E60:E66)+E57</f>
        <v>53543</v>
      </c>
      <c r="F67" s="13">
        <f t="shared" ref="F67" si="179">SUM(F60:F66)+F57</f>
        <v>46172</v>
      </c>
      <c r="H67" s="13">
        <f t="shared" ref="H67" si="180">SUM(H60:H66)+H57</f>
        <v>56561</v>
      </c>
      <c r="I67" s="13">
        <f t="shared" ref="I67" si="181">SUM(I60:I66)+I57</f>
        <v>55361</v>
      </c>
      <c r="J67" s="13">
        <f t="shared" ref="J67" si="182">SUM(J60:J66)+J57</f>
        <v>54640</v>
      </c>
      <c r="K67" s="13">
        <f t="shared" ref="K67" si="183">SUM(K60:K66)+K57</f>
        <v>53543</v>
      </c>
      <c r="L67" s="13">
        <f t="shared" ref="L67" si="184">SUM(L60:L66)+L57</f>
        <v>52027</v>
      </c>
      <c r="M67" s="13">
        <f t="shared" ref="M67" si="185">SUM(M60:M66)+M57</f>
        <v>45890</v>
      </c>
      <c r="N67" s="13">
        <f t="shared" ref="N67" si="186">SUM(N60:N66)+N57</f>
        <v>46250</v>
      </c>
      <c r="O67" s="13">
        <f t="shared" ref="O67" si="187">SUM(O60:O66)+O57</f>
        <v>46172</v>
      </c>
      <c r="P67" s="13">
        <f t="shared" ref="P67" si="188">SUM(P60:P66)+P57</f>
        <v>45396</v>
      </c>
      <c r="Q67" s="13">
        <f t="shared" ref="Q67:Y67" si="189">SUM(Q60:Q66)+Q57</f>
        <v>44926</v>
      </c>
      <c r="S67" s="13">
        <f t="shared" si="189"/>
        <v>53543</v>
      </c>
      <c r="T67" s="13">
        <f t="shared" si="189"/>
        <v>52027</v>
      </c>
      <c r="U67" s="13">
        <f t="shared" si="189"/>
        <v>45890</v>
      </c>
      <c r="V67" s="13">
        <f t="shared" si="189"/>
        <v>46250</v>
      </c>
      <c r="W67" s="13">
        <f t="shared" si="189"/>
        <v>46172</v>
      </c>
      <c r="X67" s="13">
        <f t="shared" si="189"/>
        <v>45396</v>
      </c>
      <c r="Y67" s="13">
        <f t="shared" si="189"/>
        <v>44926</v>
      </c>
      <c r="Z67" s="37"/>
      <c r="AA67" s="67">
        <f>SUM(Y67/U67)-1</f>
        <v>-2.1006755284375678E-2</v>
      </c>
    </row>
    <row r="68" spans="2:27" ht="12.75" customHeight="1">
      <c r="B68" s="23"/>
      <c r="C68" s="45"/>
      <c r="D68" s="36"/>
      <c r="E68" s="36"/>
      <c r="F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S68" s="37"/>
      <c r="T68" s="37"/>
      <c r="U68" s="37"/>
      <c r="V68" s="37"/>
      <c r="W68" s="37"/>
      <c r="X68" s="37"/>
      <c r="Y68" s="37"/>
      <c r="Z68" s="37"/>
      <c r="AA68" s="34"/>
    </row>
    <row r="69" spans="2:27" ht="12.75" customHeight="1">
      <c r="B69" s="70" t="s">
        <v>41</v>
      </c>
      <c r="C69" s="45"/>
      <c r="D69" s="36"/>
      <c r="E69" s="36"/>
      <c r="F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S69" s="37"/>
      <c r="T69" s="37"/>
      <c r="U69" s="37"/>
      <c r="V69" s="37"/>
      <c r="W69" s="37"/>
      <c r="X69" s="37"/>
      <c r="Y69" s="37"/>
      <c r="Z69" s="37"/>
      <c r="AA69" s="34"/>
    </row>
    <row r="70" spans="2:27" ht="12.75" customHeight="1">
      <c r="B70" s="9" t="s">
        <v>126</v>
      </c>
      <c r="C70" s="74">
        <v>800</v>
      </c>
      <c r="D70" s="74">
        <v>1403</v>
      </c>
      <c r="E70" s="74">
        <v>1100</v>
      </c>
      <c r="F70" s="74">
        <v>953</v>
      </c>
      <c r="H70" s="103">
        <v>1235</v>
      </c>
      <c r="I70" s="103">
        <v>1210</v>
      </c>
      <c r="J70" s="103">
        <v>953</v>
      </c>
      <c r="K70" s="28">
        <f t="shared" ref="K70:K76" si="190">E70</f>
        <v>1100</v>
      </c>
      <c r="L70" s="103">
        <v>787</v>
      </c>
      <c r="M70" s="103">
        <v>826</v>
      </c>
      <c r="N70" s="103">
        <v>826</v>
      </c>
      <c r="O70" s="80">
        <f t="shared" ref="O70:O76" si="191">F70</f>
        <v>953</v>
      </c>
      <c r="P70" s="103">
        <v>735</v>
      </c>
      <c r="Q70" s="103">
        <v>822</v>
      </c>
      <c r="S70" s="28">
        <f t="shared" ref="S70:S76" si="192">K70</f>
        <v>1100</v>
      </c>
      <c r="T70" s="28">
        <f t="shared" ref="T70:T76" si="193">L70</f>
        <v>787</v>
      </c>
      <c r="U70" s="28">
        <f t="shared" ref="U70:U76" si="194">M70</f>
        <v>826</v>
      </c>
      <c r="V70" s="28">
        <f t="shared" ref="V70:V76" si="195">N70</f>
        <v>826</v>
      </c>
      <c r="W70" s="28">
        <f t="shared" ref="W70:W76" si="196">O70</f>
        <v>953</v>
      </c>
      <c r="X70" s="28">
        <f t="shared" ref="X70:X76" si="197">P70</f>
        <v>735</v>
      </c>
      <c r="Y70" s="28">
        <f t="shared" ref="Y70:Y76" si="198">Q70</f>
        <v>822</v>
      </c>
      <c r="Z70" s="11"/>
      <c r="AA70" s="66">
        <f t="shared" ref="AA70:AA71" si="199">SUM(Y70/U70)-1</f>
        <v>-4.8426150121065881E-3</v>
      </c>
    </row>
    <row r="71" spans="2:27" ht="12.75" customHeight="1">
      <c r="B71" s="9" t="s">
        <v>127</v>
      </c>
      <c r="C71" s="74">
        <v>2323</v>
      </c>
      <c r="D71" s="74">
        <v>2071</v>
      </c>
      <c r="E71" s="74">
        <v>2104</v>
      </c>
      <c r="F71" s="74">
        <v>2199</v>
      </c>
      <c r="H71" s="103">
        <v>1760</v>
      </c>
      <c r="I71" s="103">
        <v>1948</v>
      </c>
      <c r="J71" s="103">
        <v>2118</v>
      </c>
      <c r="K71" s="28">
        <f t="shared" si="190"/>
        <v>2104</v>
      </c>
      <c r="L71" s="103">
        <v>1728</v>
      </c>
      <c r="M71" s="103">
        <v>1865</v>
      </c>
      <c r="N71" s="103">
        <v>1954</v>
      </c>
      <c r="O71" s="80">
        <f t="shared" si="191"/>
        <v>2199</v>
      </c>
      <c r="P71" s="103">
        <v>1737</v>
      </c>
      <c r="Q71" s="103">
        <v>1727</v>
      </c>
      <c r="S71" s="28">
        <f t="shared" si="192"/>
        <v>2104</v>
      </c>
      <c r="T71" s="28">
        <f t="shared" si="193"/>
        <v>1728</v>
      </c>
      <c r="U71" s="28">
        <f t="shared" si="194"/>
        <v>1865</v>
      </c>
      <c r="V71" s="28">
        <f t="shared" si="195"/>
        <v>1954</v>
      </c>
      <c r="W71" s="28">
        <f t="shared" si="196"/>
        <v>2199</v>
      </c>
      <c r="X71" s="28">
        <f t="shared" si="197"/>
        <v>1737</v>
      </c>
      <c r="Y71" s="28">
        <f t="shared" si="198"/>
        <v>1727</v>
      </c>
      <c r="Z71" s="11"/>
      <c r="AA71" s="66">
        <f t="shared" si="199"/>
        <v>-7.3994638069705077E-2</v>
      </c>
    </row>
    <row r="72" spans="2:27" ht="12.75" customHeight="1">
      <c r="B72" s="9" t="s">
        <v>128</v>
      </c>
      <c r="C72" s="74">
        <v>2159</v>
      </c>
      <c r="D72" s="74">
        <v>2416</v>
      </c>
      <c r="E72" s="74">
        <v>2702</v>
      </c>
      <c r="F72" s="74">
        <v>2574</v>
      </c>
      <c r="H72" s="103">
        <v>2421</v>
      </c>
      <c r="I72" s="103">
        <v>2470</v>
      </c>
      <c r="J72" s="103">
        <v>2731</v>
      </c>
      <c r="K72" s="28">
        <f t="shared" si="190"/>
        <v>2702</v>
      </c>
      <c r="L72" s="103">
        <v>2625</v>
      </c>
      <c r="M72" s="103">
        <v>2462</v>
      </c>
      <c r="N72" s="103">
        <v>2485</v>
      </c>
      <c r="O72" s="80">
        <f t="shared" si="191"/>
        <v>2574</v>
      </c>
      <c r="P72" s="103">
        <v>2585</v>
      </c>
      <c r="Q72" s="103">
        <v>2642</v>
      </c>
      <c r="S72" s="28">
        <f t="shared" si="192"/>
        <v>2702</v>
      </c>
      <c r="T72" s="28">
        <f t="shared" si="193"/>
        <v>2625</v>
      </c>
      <c r="U72" s="28">
        <f t="shared" si="194"/>
        <v>2462</v>
      </c>
      <c r="V72" s="28">
        <f t="shared" si="195"/>
        <v>2485</v>
      </c>
      <c r="W72" s="28">
        <f t="shared" si="196"/>
        <v>2574</v>
      </c>
      <c r="X72" s="28">
        <f t="shared" si="197"/>
        <v>2585</v>
      </c>
      <c r="Y72" s="28">
        <f t="shared" si="198"/>
        <v>2642</v>
      </c>
      <c r="Z72" s="11"/>
      <c r="AA72" s="66">
        <f t="shared" ref="AA72:AA75" si="200">SUM(Y72/U72)-1</f>
        <v>7.3111291632818931E-2</v>
      </c>
    </row>
    <row r="73" spans="2:27" ht="12.75" customHeight="1">
      <c r="B73" s="9" t="s">
        <v>129</v>
      </c>
      <c r="C73" s="74">
        <v>1342</v>
      </c>
      <c r="D73" s="74">
        <v>2063</v>
      </c>
      <c r="E73" s="74">
        <v>1842</v>
      </c>
      <c r="F73" s="74">
        <v>1720</v>
      </c>
      <c r="H73" s="103">
        <v>2425</v>
      </c>
      <c r="I73" s="103">
        <v>2159</v>
      </c>
      <c r="J73" s="103">
        <v>1695</v>
      </c>
      <c r="K73" s="28">
        <f t="shared" si="190"/>
        <v>1842</v>
      </c>
      <c r="L73" s="103">
        <v>1994</v>
      </c>
      <c r="M73" s="103">
        <v>1769</v>
      </c>
      <c r="N73" s="103">
        <v>1697</v>
      </c>
      <c r="O73" s="80">
        <f t="shared" si="191"/>
        <v>1720</v>
      </c>
      <c r="P73" s="103">
        <v>1833</v>
      </c>
      <c r="Q73" s="103">
        <v>1381</v>
      </c>
      <c r="S73" s="28">
        <f t="shared" si="192"/>
        <v>1842</v>
      </c>
      <c r="T73" s="28">
        <f t="shared" si="193"/>
        <v>1994</v>
      </c>
      <c r="U73" s="28">
        <f t="shared" si="194"/>
        <v>1769</v>
      </c>
      <c r="V73" s="28">
        <f t="shared" si="195"/>
        <v>1697</v>
      </c>
      <c r="W73" s="28">
        <f t="shared" si="196"/>
        <v>1720</v>
      </c>
      <c r="X73" s="28">
        <f t="shared" si="197"/>
        <v>1833</v>
      </c>
      <c r="Y73" s="28">
        <f t="shared" si="198"/>
        <v>1381</v>
      </c>
      <c r="Z73" s="11"/>
      <c r="AA73" s="66">
        <f t="shared" ref="AA73:AA74" si="201">SUM(Y73/U73)-1</f>
        <v>-0.21933295647258333</v>
      </c>
    </row>
    <row r="74" spans="2:27" ht="12.75" customHeight="1">
      <c r="B74" s="9" t="s">
        <v>130</v>
      </c>
      <c r="C74" s="74">
        <v>1091</v>
      </c>
      <c r="D74" s="74">
        <v>973</v>
      </c>
      <c r="E74" s="74">
        <v>746</v>
      </c>
      <c r="F74" s="74">
        <v>825</v>
      </c>
      <c r="H74" s="103">
        <v>1092</v>
      </c>
      <c r="I74" s="103">
        <v>921</v>
      </c>
      <c r="J74" s="103">
        <v>848</v>
      </c>
      <c r="K74" s="28">
        <f t="shared" si="190"/>
        <v>746</v>
      </c>
      <c r="L74" s="103">
        <v>671</v>
      </c>
      <c r="M74" s="103">
        <v>708</v>
      </c>
      <c r="N74" s="103">
        <v>824</v>
      </c>
      <c r="O74" s="80">
        <f t="shared" si="191"/>
        <v>825</v>
      </c>
      <c r="P74" s="103">
        <v>765</v>
      </c>
      <c r="Q74" s="103">
        <v>753</v>
      </c>
      <c r="S74" s="28">
        <f t="shared" si="192"/>
        <v>746</v>
      </c>
      <c r="T74" s="28">
        <f t="shared" si="193"/>
        <v>671</v>
      </c>
      <c r="U74" s="28">
        <f t="shared" si="194"/>
        <v>708</v>
      </c>
      <c r="V74" s="28">
        <f t="shared" si="195"/>
        <v>824</v>
      </c>
      <c r="W74" s="28">
        <f t="shared" si="196"/>
        <v>825</v>
      </c>
      <c r="X74" s="28">
        <f t="shared" si="197"/>
        <v>765</v>
      </c>
      <c r="Y74" s="28">
        <f t="shared" si="198"/>
        <v>753</v>
      </c>
      <c r="Z74" s="11"/>
      <c r="AA74" s="66">
        <f t="shared" si="201"/>
        <v>6.3559322033898358E-2</v>
      </c>
    </row>
    <row r="75" spans="2:27" ht="12.75" customHeight="1">
      <c r="B75" s="9" t="s">
        <v>131</v>
      </c>
      <c r="C75" s="74">
        <v>11</v>
      </c>
      <c r="D75" s="74">
        <v>239</v>
      </c>
      <c r="E75" s="74">
        <v>1</v>
      </c>
      <c r="F75" s="74">
        <v>0</v>
      </c>
      <c r="H75" s="103">
        <v>240</v>
      </c>
      <c r="I75" s="103">
        <v>180</v>
      </c>
      <c r="J75" s="103">
        <v>38</v>
      </c>
      <c r="K75" s="28">
        <f t="shared" si="190"/>
        <v>1</v>
      </c>
      <c r="L75" s="103">
        <v>1</v>
      </c>
      <c r="M75" s="103">
        <v>126</v>
      </c>
      <c r="N75" s="103">
        <v>125</v>
      </c>
      <c r="O75" s="80">
        <f t="shared" si="191"/>
        <v>0</v>
      </c>
      <c r="P75" s="103">
        <v>346</v>
      </c>
      <c r="Q75" s="103">
        <v>346</v>
      </c>
      <c r="S75" s="28">
        <f t="shared" si="192"/>
        <v>1</v>
      </c>
      <c r="T75" s="28">
        <f t="shared" si="193"/>
        <v>1</v>
      </c>
      <c r="U75" s="28">
        <f t="shared" si="194"/>
        <v>126</v>
      </c>
      <c r="V75" s="28">
        <f t="shared" si="195"/>
        <v>125</v>
      </c>
      <c r="W75" s="28">
        <f t="shared" si="196"/>
        <v>0</v>
      </c>
      <c r="X75" s="28">
        <f t="shared" si="197"/>
        <v>346</v>
      </c>
      <c r="Y75" s="28">
        <f t="shared" si="198"/>
        <v>346</v>
      </c>
      <c r="Z75" s="11"/>
      <c r="AA75" s="66">
        <f t="shared" si="200"/>
        <v>1.746031746031746</v>
      </c>
    </row>
    <row r="76" spans="2:27" ht="12.75" customHeight="1">
      <c r="B76" s="9" t="s">
        <v>132</v>
      </c>
      <c r="C76" s="74">
        <f>1182+571</f>
        <v>1753</v>
      </c>
      <c r="D76" s="74">
        <f>1477+549</f>
        <v>2026</v>
      </c>
      <c r="E76" s="74">
        <v>1161</v>
      </c>
      <c r="F76" s="74">
        <v>1360</v>
      </c>
      <c r="H76" s="103">
        <f>1642+480</f>
        <v>2122</v>
      </c>
      <c r="I76" s="103">
        <f>1343+439</f>
        <v>1782</v>
      </c>
      <c r="J76" s="103">
        <f>1196+471</f>
        <v>1667</v>
      </c>
      <c r="K76" s="28">
        <f t="shared" si="190"/>
        <v>1161</v>
      </c>
      <c r="L76" s="103">
        <v>1438</v>
      </c>
      <c r="M76" s="103">
        <v>1250</v>
      </c>
      <c r="N76" s="103">
        <v>1443</v>
      </c>
      <c r="O76" s="80">
        <f t="shared" si="191"/>
        <v>1360</v>
      </c>
      <c r="P76" s="103">
        <v>1291</v>
      </c>
      <c r="Q76" s="103">
        <v>1059</v>
      </c>
      <c r="S76" s="28">
        <f t="shared" si="192"/>
        <v>1161</v>
      </c>
      <c r="T76" s="28">
        <f t="shared" si="193"/>
        <v>1438</v>
      </c>
      <c r="U76" s="28">
        <f t="shared" si="194"/>
        <v>1250</v>
      </c>
      <c r="V76" s="28">
        <f t="shared" si="195"/>
        <v>1443</v>
      </c>
      <c r="W76" s="28">
        <f t="shared" si="196"/>
        <v>1360</v>
      </c>
      <c r="X76" s="28">
        <f t="shared" si="197"/>
        <v>1291</v>
      </c>
      <c r="Y76" s="28">
        <f t="shared" si="198"/>
        <v>1059</v>
      </c>
      <c r="Z76" s="11"/>
      <c r="AA76" s="66"/>
    </row>
    <row r="77" spans="2:27" ht="12.75" customHeight="1">
      <c r="B77" s="23" t="s">
        <v>16</v>
      </c>
      <c r="C77" s="24">
        <f>SUM(C70:C76)</f>
        <v>9479</v>
      </c>
      <c r="D77" s="24">
        <f>SUM(D70:D76)</f>
        <v>11191</v>
      </c>
      <c r="E77" s="24">
        <f>SUM(E70:E76)</f>
        <v>9656</v>
      </c>
      <c r="F77" s="24">
        <f>SUM(F70:F76)</f>
        <v>9631</v>
      </c>
      <c r="H77" s="24">
        <f t="shared" ref="H77:Q77" si="202">SUM(H70:H76)</f>
        <v>11295</v>
      </c>
      <c r="I77" s="24">
        <f t="shared" si="202"/>
        <v>10670</v>
      </c>
      <c r="J77" s="24">
        <f t="shared" si="202"/>
        <v>10050</v>
      </c>
      <c r="K77" s="24">
        <f t="shared" si="202"/>
        <v>9656</v>
      </c>
      <c r="L77" s="24">
        <f t="shared" si="202"/>
        <v>9244</v>
      </c>
      <c r="M77" s="24">
        <f t="shared" si="202"/>
        <v>9006</v>
      </c>
      <c r="N77" s="24">
        <f t="shared" si="202"/>
        <v>9354</v>
      </c>
      <c r="O77" s="24">
        <f t="shared" si="202"/>
        <v>9631</v>
      </c>
      <c r="P77" s="24">
        <f t="shared" si="202"/>
        <v>9292</v>
      </c>
      <c r="Q77" s="24">
        <f t="shared" si="202"/>
        <v>8730</v>
      </c>
      <c r="R77" s="43"/>
      <c r="S77" s="24">
        <f t="shared" ref="S77:Y77" si="203">SUM(S70:S76)</f>
        <v>9656</v>
      </c>
      <c r="T77" s="24">
        <f t="shared" si="203"/>
        <v>9244</v>
      </c>
      <c r="U77" s="24">
        <f t="shared" si="203"/>
        <v>9006</v>
      </c>
      <c r="V77" s="24">
        <f t="shared" si="203"/>
        <v>9354</v>
      </c>
      <c r="W77" s="24">
        <f t="shared" si="203"/>
        <v>9631</v>
      </c>
      <c r="X77" s="24">
        <f t="shared" si="203"/>
        <v>9292</v>
      </c>
      <c r="Y77" s="24">
        <f t="shared" si="203"/>
        <v>8730</v>
      </c>
      <c r="Z77" s="37"/>
      <c r="AA77" s="67">
        <f>SUM(Y77/U77)-1</f>
        <v>-3.0646235842771485E-2</v>
      </c>
    </row>
    <row r="78" spans="2:27" ht="5.0999999999999996" customHeight="1">
      <c r="B78" s="23"/>
      <c r="C78" s="45"/>
      <c r="D78" s="36"/>
      <c r="E78" s="36"/>
      <c r="F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S78" s="37"/>
      <c r="T78" s="37"/>
      <c r="U78" s="37"/>
      <c r="V78" s="37"/>
      <c r="W78" s="37"/>
      <c r="X78" s="37"/>
      <c r="Y78" s="37"/>
      <c r="Z78" s="37"/>
      <c r="AA78" s="34"/>
    </row>
    <row r="79" spans="2:27">
      <c r="B79" s="70" t="s">
        <v>78</v>
      </c>
      <c r="C79" s="45"/>
      <c r="D79" s="36"/>
      <c r="E79" s="36"/>
      <c r="F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S79" s="37"/>
      <c r="T79" s="37"/>
      <c r="U79" s="37"/>
      <c r="V79" s="37"/>
      <c r="W79" s="37"/>
      <c r="X79" s="37"/>
      <c r="Y79" s="37"/>
      <c r="Z79" s="37"/>
      <c r="AA79" s="34"/>
    </row>
    <row r="80" spans="2:27" ht="12.75" customHeight="1">
      <c r="B80" s="102" t="s">
        <v>133</v>
      </c>
      <c r="C80" s="74">
        <v>17698</v>
      </c>
      <c r="D80" s="74">
        <v>15607</v>
      </c>
      <c r="E80" s="74">
        <v>14601</v>
      </c>
      <c r="F80" s="74">
        <v>14501</v>
      </c>
      <c r="H80" s="103">
        <v>15613</v>
      </c>
      <c r="I80" s="103">
        <v>15620</v>
      </c>
      <c r="J80" s="103">
        <v>15627</v>
      </c>
      <c r="K80" s="28">
        <f t="shared" ref="K80:K86" si="204">E80</f>
        <v>14601</v>
      </c>
      <c r="L80" s="103">
        <v>14607</v>
      </c>
      <c r="M80" s="103">
        <v>14488</v>
      </c>
      <c r="N80" s="103">
        <v>14495</v>
      </c>
      <c r="O80" s="80">
        <f t="shared" ref="O80:O86" si="205">F80</f>
        <v>14501</v>
      </c>
      <c r="P80" s="103">
        <v>14161</v>
      </c>
      <c r="Q80" s="103">
        <v>14168</v>
      </c>
      <c r="S80" s="28">
        <f t="shared" ref="S80:S86" si="206">K80</f>
        <v>14601</v>
      </c>
      <c r="T80" s="28">
        <f t="shared" ref="T80:T86" si="207">L80</f>
        <v>14607</v>
      </c>
      <c r="U80" s="28">
        <f t="shared" ref="U80:U86" si="208">M80</f>
        <v>14488</v>
      </c>
      <c r="V80" s="28">
        <f t="shared" ref="V80:V86" si="209">N80</f>
        <v>14495</v>
      </c>
      <c r="W80" s="28">
        <f t="shared" ref="W80:W86" si="210">O80</f>
        <v>14501</v>
      </c>
      <c r="X80" s="28">
        <f t="shared" ref="X80:X86" si="211">P80</f>
        <v>14161</v>
      </c>
      <c r="Y80" s="28">
        <f t="shared" ref="Y80:Y86" si="212">Q80</f>
        <v>14168</v>
      </c>
      <c r="Z80" s="37"/>
      <c r="AA80" s="66">
        <f t="shared" ref="AA80:AA81" si="213">SUM(Y80/U80)-1</f>
        <v>-2.2087244616234125E-2</v>
      </c>
    </row>
    <row r="81" spans="2:27" ht="12.75" customHeight="1">
      <c r="B81" s="102" t="s">
        <v>128</v>
      </c>
      <c r="C81" s="74">
        <v>1244</v>
      </c>
      <c r="D81" s="74">
        <v>1744</v>
      </c>
      <c r="E81" s="74">
        <v>1394</v>
      </c>
      <c r="F81" s="74">
        <v>1310</v>
      </c>
      <c r="H81" s="103">
        <v>1665</v>
      </c>
      <c r="I81" s="103">
        <v>1616</v>
      </c>
      <c r="J81" s="103">
        <v>1453</v>
      </c>
      <c r="K81" s="28">
        <f t="shared" si="204"/>
        <v>1394</v>
      </c>
      <c r="L81" s="103">
        <v>1337</v>
      </c>
      <c r="M81" s="103">
        <v>1326</v>
      </c>
      <c r="N81" s="103">
        <v>1254</v>
      </c>
      <c r="O81" s="80">
        <f t="shared" si="205"/>
        <v>1310</v>
      </c>
      <c r="P81" s="103">
        <v>1315</v>
      </c>
      <c r="Q81" s="103">
        <v>1247</v>
      </c>
      <c r="S81" s="28">
        <f t="shared" si="206"/>
        <v>1394</v>
      </c>
      <c r="T81" s="28">
        <f t="shared" si="207"/>
        <v>1337</v>
      </c>
      <c r="U81" s="28">
        <f t="shared" si="208"/>
        <v>1326</v>
      </c>
      <c r="V81" s="28">
        <f t="shared" si="209"/>
        <v>1254</v>
      </c>
      <c r="W81" s="28">
        <f t="shared" si="210"/>
        <v>1310</v>
      </c>
      <c r="X81" s="28">
        <f t="shared" si="211"/>
        <v>1315</v>
      </c>
      <c r="Y81" s="28">
        <f t="shared" si="212"/>
        <v>1247</v>
      </c>
      <c r="Z81" s="37"/>
      <c r="AA81" s="66">
        <f t="shared" si="213"/>
        <v>-5.9577677224736059E-2</v>
      </c>
    </row>
    <row r="82" spans="2:27" ht="12.75" customHeight="1">
      <c r="B82" s="102" t="s">
        <v>134</v>
      </c>
      <c r="C82" s="74">
        <v>1946</v>
      </c>
      <c r="D82" s="74">
        <v>1458</v>
      </c>
      <c r="E82" s="74">
        <v>1337</v>
      </c>
      <c r="F82" s="74">
        <v>1226</v>
      </c>
      <c r="H82" s="103">
        <v>1454</v>
      </c>
      <c r="I82" s="103">
        <v>1463</v>
      </c>
      <c r="J82" s="103">
        <v>1436</v>
      </c>
      <c r="K82" s="28">
        <f t="shared" si="204"/>
        <v>1337</v>
      </c>
      <c r="L82" s="103">
        <v>1332</v>
      </c>
      <c r="M82" s="103">
        <v>1329</v>
      </c>
      <c r="N82" s="103">
        <v>1322</v>
      </c>
      <c r="O82" s="80">
        <f t="shared" si="205"/>
        <v>1226</v>
      </c>
      <c r="P82" s="103">
        <v>1108</v>
      </c>
      <c r="Q82" s="103">
        <v>1097</v>
      </c>
      <c r="S82" s="28">
        <f t="shared" si="206"/>
        <v>1337</v>
      </c>
      <c r="T82" s="28">
        <f t="shared" si="207"/>
        <v>1332</v>
      </c>
      <c r="U82" s="28">
        <f t="shared" si="208"/>
        <v>1329</v>
      </c>
      <c r="V82" s="28">
        <f t="shared" si="209"/>
        <v>1322</v>
      </c>
      <c r="W82" s="28">
        <f t="shared" si="210"/>
        <v>1226</v>
      </c>
      <c r="X82" s="28">
        <f t="shared" si="211"/>
        <v>1108</v>
      </c>
      <c r="Y82" s="28">
        <f t="shared" si="212"/>
        <v>1097</v>
      </c>
      <c r="Z82" s="37"/>
      <c r="AA82" s="66">
        <f t="shared" ref="AA82:AA86" si="214">SUM(Y82/U82)-1</f>
        <v>-0.17456734386756956</v>
      </c>
    </row>
    <row r="83" spans="2:27" ht="12.75" customHeight="1">
      <c r="B83" s="102" t="s">
        <v>135</v>
      </c>
      <c r="C83" s="74">
        <v>1063</v>
      </c>
      <c r="D83" s="74">
        <v>1077</v>
      </c>
      <c r="E83" s="74">
        <v>503</v>
      </c>
      <c r="F83" s="74">
        <v>34</v>
      </c>
      <c r="H83" s="103">
        <v>668</v>
      </c>
      <c r="I83" s="103">
        <v>516</v>
      </c>
      <c r="J83" s="103">
        <v>500</v>
      </c>
      <c r="K83" s="28">
        <f t="shared" si="204"/>
        <v>503</v>
      </c>
      <c r="L83" s="103">
        <v>273</v>
      </c>
      <c r="M83" s="103">
        <v>35</v>
      </c>
      <c r="N83" s="103">
        <v>35</v>
      </c>
      <c r="O83" s="80">
        <f t="shared" si="205"/>
        <v>34</v>
      </c>
      <c r="P83" s="103">
        <v>40</v>
      </c>
      <c r="Q83" s="103">
        <v>34</v>
      </c>
      <c r="S83" s="28">
        <f t="shared" si="206"/>
        <v>503</v>
      </c>
      <c r="T83" s="28">
        <f t="shared" si="207"/>
        <v>273</v>
      </c>
      <c r="U83" s="28">
        <f t="shared" si="208"/>
        <v>35</v>
      </c>
      <c r="V83" s="28">
        <f t="shared" si="209"/>
        <v>35</v>
      </c>
      <c r="W83" s="28">
        <f t="shared" si="210"/>
        <v>34</v>
      </c>
      <c r="X83" s="28">
        <f t="shared" si="211"/>
        <v>40</v>
      </c>
      <c r="Y83" s="28">
        <f t="shared" si="212"/>
        <v>34</v>
      </c>
      <c r="Z83" s="37"/>
      <c r="AA83" s="66">
        <f t="shared" si="214"/>
        <v>-2.8571428571428581E-2</v>
      </c>
    </row>
    <row r="84" spans="2:27" ht="12.75" customHeight="1">
      <c r="B84" s="102" t="s">
        <v>136</v>
      </c>
      <c r="C84" s="74">
        <v>1598</v>
      </c>
      <c r="D84" s="74">
        <v>1428</v>
      </c>
      <c r="E84" s="74">
        <v>1256</v>
      </c>
      <c r="F84" s="74">
        <v>1048</v>
      </c>
      <c r="H84" s="103">
        <v>1398</v>
      </c>
      <c r="I84" s="103">
        <v>1341</v>
      </c>
      <c r="J84" s="103">
        <v>1307</v>
      </c>
      <c r="K84" s="28">
        <f t="shared" si="204"/>
        <v>1256</v>
      </c>
      <c r="L84" s="103">
        <v>1199</v>
      </c>
      <c r="M84" s="103">
        <v>1127</v>
      </c>
      <c r="N84" s="103">
        <v>1076</v>
      </c>
      <c r="O84" s="80">
        <f t="shared" si="205"/>
        <v>1048</v>
      </c>
      <c r="P84" s="103">
        <v>1020</v>
      </c>
      <c r="Q84" s="103">
        <v>993</v>
      </c>
      <c r="S84" s="28">
        <f t="shared" si="206"/>
        <v>1256</v>
      </c>
      <c r="T84" s="28">
        <f t="shared" si="207"/>
        <v>1199</v>
      </c>
      <c r="U84" s="28">
        <f t="shared" si="208"/>
        <v>1127</v>
      </c>
      <c r="V84" s="28">
        <f t="shared" si="209"/>
        <v>1076</v>
      </c>
      <c r="W84" s="28">
        <f t="shared" si="210"/>
        <v>1048</v>
      </c>
      <c r="X84" s="28">
        <f t="shared" si="211"/>
        <v>1020</v>
      </c>
      <c r="Y84" s="28">
        <f t="shared" si="212"/>
        <v>993</v>
      </c>
      <c r="Z84" s="37"/>
      <c r="AA84" s="66">
        <f t="shared" si="214"/>
        <v>-0.11889973380656615</v>
      </c>
    </row>
    <row r="85" spans="2:27" ht="12.75" customHeight="1">
      <c r="B85" s="102" t="s">
        <v>137</v>
      </c>
      <c r="C85" s="74">
        <v>404</v>
      </c>
      <c r="D85" s="74">
        <v>367</v>
      </c>
      <c r="E85" s="74">
        <v>204</v>
      </c>
      <c r="F85" s="74">
        <v>260</v>
      </c>
      <c r="H85" s="103">
        <v>326</v>
      </c>
      <c r="I85" s="103">
        <v>254</v>
      </c>
      <c r="J85" s="103">
        <v>209</v>
      </c>
      <c r="K85" s="28">
        <f t="shared" si="204"/>
        <v>204</v>
      </c>
      <c r="L85" s="103">
        <v>204</v>
      </c>
      <c r="M85" s="103">
        <v>229</v>
      </c>
      <c r="N85" s="103">
        <v>208</v>
      </c>
      <c r="O85" s="80">
        <f t="shared" si="205"/>
        <v>260</v>
      </c>
      <c r="P85" s="103">
        <v>221</v>
      </c>
      <c r="Q85" s="103">
        <v>183</v>
      </c>
      <c r="S85" s="28">
        <f t="shared" si="206"/>
        <v>204</v>
      </c>
      <c r="T85" s="28">
        <f t="shared" si="207"/>
        <v>204</v>
      </c>
      <c r="U85" s="28">
        <f t="shared" si="208"/>
        <v>229</v>
      </c>
      <c r="V85" s="28">
        <f t="shared" si="209"/>
        <v>208</v>
      </c>
      <c r="W85" s="28">
        <f t="shared" si="210"/>
        <v>260</v>
      </c>
      <c r="X85" s="28">
        <f t="shared" si="211"/>
        <v>221</v>
      </c>
      <c r="Y85" s="28">
        <f t="shared" si="212"/>
        <v>183</v>
      </c>
      <c r="Z85" s="37"/>
      <c r="AA85" s="66">
        <f t="shared" si="214"/>
        <v>-0.20087336244541487</v>
      </c>
    </row>
    <row r="86" spans="2:27" ht="12.75" customHeight="1">
      <c r="B86" s="102" t="s">
        <v>138</v>
      </c>
      <c r="C86" s="74">
        <f>1898+213+107</f>
        <v>2218</v>
      </c>
      <c r="D86" s="74">
        <f>1715+200</f>
        <v>1915</v>
      </c>
      <c r="E86" s="74">
        <v>1542</v>
      </c>
      <c r="F86" s="74">
        <v>1380</v>
      </c>
      <c r="H86" s="103">
        <f>1603+196</f>
        <v>1799</v>
      </c>
      <c r="I86" s="103">
        <f>1520+204</f>
        <v>1724</v>
      </c>
      <c r="J86" s="103">
        <f>1476+204</f>
        <v>1680</v>
      </c>
      <c r="K86" s="28">
        <f t="shared" si="204"/>
        <v>1542</v>
      </c>
      <c r="L86" s="103">
        <v>1494</v>
      </c>
      <c r="M86" s="103">
        <v>1404</v>
      </c>
      <c r="N86" s="103">
        <v>1431</v>
      </c>
      <c r="O86" s="80">
        <f t="shared" si="205"/>
        <v>1380</v>
      </c>
      <c r="P86" s="103">
        <v>1311</v>
      </c>
      <c r="Q86" s="103">
        <v>1363</v>
      </c>
      <c r="S86" s="28">
        <f t="shared" si="206"/>
        <v>1542</v>
      </c>
      <c r="T86" s="28">
        <f t="shared" si="207"/>
        <v>1494</v>
      </c>
      <c r="U86" s="28">
        <f t="shared" si="208"/>
        <v>1404</v>
      </c>
      <c r="V86" s="28">
        <f t="shared" si="209"/>
        <v>1431</v>
      </c>
      <c r="W86" s="28">
        <f t="shared" si="210"/>
        <v>1380</v>
      </c>
      <c r="X86" s="28">
        <f t="shared" si="211"/>
        <v>1311</v>
      </c>
      <c r="Y86" s="28">
        <f t="shared" si="212"/>
        <v>1363</v>
      </c>
      <c r="Z86" s="37"/>
      <c r="AA86" s="66">
        <f t="shared" si="214"/>
        <v>-2.9202279202279247E-2</v>
      </c>
    </row>
    <row r="87" spans="2:27" ht="12.75" customHeight="1">
      <c r="B87" s="12" t="s">
        <v>14</v>
      </c>
      <c r="C87" s="13">
        <f>SUM(C80:C86)+C77</f>
        <v>35650</v>
      </c>
      <c r="D87" s="13">
        <f>SUM(D80:D86)+D77</f>
        <v>34787</v>
      </c>
      <c r="E87" s="13">
        <f>SUM(E80:E86)+E77</f>
        <v>30493</v>
      </c>
      <c r="F87" s="13">
        <f>SUM(F80:F86)+F77</f>
        <v>29390</v>
      </c>
      <c r="H87" s="13">
        <f t="shared" ref="H87:Q87" si="215">SUM(H80:H86)+H77</f>
        <v>34218</v>
      </c>
      <c r="I87" s="13">
        <f t="shared" si="215"/>
        <v>33204</v>
      </c>
      <c r="J87" s="13">
        <f t="shared" si="215"/>
        <v>32262</v>
      </c>
      <c r="K87" s="13">
        <f t="shared" si="215"/>
        <v>30493</v>
      </c>
      <c r="L87" s="13">
        <f t="shared" si="215"/>
        <v>29690</v>
      </c>
      <c r="M87" s="13">
        <f t="shared" si="215"/>
        <v>28944</v>
      </c>
      <c r="N87" s="13">
        <f t="shared" si="215"/>
        <v>29175</v>
      </c>
      <c r="O87" s="13">
        <f t="shared" si="215"/>
        <v>29390</v>
      </c>
      <c r="P87" s="13">
        <f t="shared" si="215"/>
        <v>28468</v>
      </c>
      <c r="Q87" s="13">
        <f t="shared" si="215"/>
        <v>27815</v>
      </c>
      <c r="S87" s="13">
        <f t="shared" ref="S87:Y87" si="216">SUM(S80:S86)+S77</f>
        <v>30493</v>
      </c>
      <c r="T87" s="13">
        <f t="shared" si="216"/>
        <v>29690</v>
      </c>
      <c r="U87" s="13">
        <f t="shared" si="216"/>
        <v>28944</v>
      </c>
      <c r="V87" s="13">
        <f t="shared" si="216"/>
        <v>29175</v>
      </c>
      <c r="W87" s="13">
        <f t="shared" si="216"/>
        <v>29390</v>
      </c>
      <c r="X87" s="13">
        <f t="shared" si="216"/>
        <v>28468</v>
      </c>
      <c r="Y87" s="13">
        <f t="shared" si="216"/>
        <v>27815</v>
      </c>
      <c r="Z87" s="37"/>
      <c r="AA87" s="67">
        <f>SUM(Y87/U87)-1</f>
        <v>-3.900635710337208E-2</v>
      </c>
    </row>
    <row r="88" spans="2:27" ht="5.0999999999999996" customHeight="1">
      <c r="B88" s="23"/>
      <c r="C88" s="44"/>
      <c r="D88" s="36"/>
      <c r="E88" s="36"/>
      <c r="F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S88" s="37"/>
      <c r="T88" s="37"/>
      <c r="U88" s="37"/>
      <c r="V88" s="37"/>
      <c r="W88" s="37"/>
      <c r="X88" s="37"/>
      <c r="Y88" s="37"/>
      <c r="Z88" s="37"/>
      <c r="AA88" s="34"/>
    </row>
    <row r="89" spans="2:27" ht="12.75" customHeight="1">
      <c r="B89" s="102" t="s">
        <v>139</v>
      </c>
      <c r="C89" s="74">
        <v>1</v>
      </c>
      <c r="D89" s="74">
        <v>1</v>
      </c>
      <c r="E89" s="74">
        <v>1</v>
      </c>
      <c r="F89" s="74">
        <v>1</v>
      </c>
      <c r="H89" s="103">
        <v>1</v>
      </c>
      <c r="I89" s="103">
        <v>1</v>
      </c>
      <c r="J89" s="103">
        <v>1</v>
      </c>
      <c r="K89" s="28">
        <f t="shared" ref="K89:K93" si="217">E89</f>
        <v>1</v>
      </c>
      <c r="L89" s="103">
        <v>1</v>
      </c>
      <c r="M89" s="103">
        <v>1</v>
      </c>
      <c r="N89" s="103">
        <v>1</v>
      </c>
      <c r="O89" s="80">
        <f t="shared" ref="O89:O93" si="218">F89</f>
        <v>1</v>
      </c>
      <c r="P89" s="103">
        <v>1</v>
      </c>
      <c r="Q89" s="103">
        <v>1</v>
      </c>
      <c r="S89" s="28">
        <f t="shared" ref="S89:S93" si="219">K89</f>
        <v>1</v>
      </c>
      <c r="T89" s="28">
        <f t="shared" ref="T89:T93" si="220">L89</f>
        <v>1</v>
      </c>
      <c r="U89" s="28">
        <f t="shared" ref="U89:U93" si="221">M89</f>
        <v>1</v>
      </c>
      <c r="V89" s="28">
        <f t="shared" ref="V89:V93" si="222">N89</f>
        <v>1</v>
      </c>
      <c r="W89" s="28">
        <f t="shared" ref="W89:W93" si="223">O89</f>
        <v>1</v>
      </c>
      <c r="X89" s="28">
        <f t="shared" ref="X89:X93" si="224">P89</f>
        <v>1</v>
      </c>
      <c r="Y89" s="28">
        <f t="shared" ref="Y89:Y93" si="225">Q89</f>
        <v>1</v>
      </c>
      <c r="Z89" s="11"/>
      <c r="AA89" s="66">
        <f t="shared" ref="AA89:AA93" si="226">SUM(Y89/U89)-1</f>
        <v>0</v>
      </c>
    </row>
    <row r="90" spans="2:27" ht="12.75" customHeight="1">
      <c r="B90" s="102" t="s">
        <v>140</v>
      </c>
      <c r="C90" s="74">
        <v>32918</v>
      </c>
      <c r="D90" s="74">
        <v>33063</v>
      </c>
      <c r="E90" s="74">
        <v>33210</v>
      </c>
      <c r="F90" s="74">
        <v>33394</v>
      </c>
      <c r="H90" s="103">
        <v>33087</v>
      </c>
      <c r="I90" s="103">
        <v>33135</v>
      </c>
      <c r="J90" s="103">
        <v>33176</v>
      </c>
      <c r="K90" s="28">
        <f t="shared" si="217"/>
        <v>33210</v>
      </c>
      <c r="L90" s="103">
        <v>33240</v>
      </c>
      <c r="M90" s="103">
        <v>33299</v>
      </c>
      <c r="N90" s="103">
        <v>33364</v>
      </c>
      <c r="O90" s="80">
        <f t="shared" si="218"/>
        <v>33394</v>
      </c>
      <c r="P90" s="103">
        <v>33412</v>
      </c>
      <c r="Q90" s="103">
        <v>33455</v>
      </c>
      <c r="S90" s="28">
        <f t="shared" si="219"/>
        <v>33210</v>
      </c>
      <c r="T90" s="28">
        <f t="shared" si="220"/>
        <v>33240</v>
      </c>
      <c r="U90" s="28">
        <f t="shared" si="221"/>
        <v>33299</v>
      </c>
      <c r="V90" s="28">
        <f t="shared" si="222"/>
        <v>33364</v>
      </c>
      <c r="W90" s="28">
        <f t="shared" si="223"/>
        <v>33394</v>
      </c>
      <c r="X90" s="28">
        <f t="shared" si="224"/>
        <v>33412</v>
      </c>
      <c r="Y90" s="28">
        <f t="shared" si="225"/>
        <v>33455</v>
      </c>
      <c r="Z90" s="11"/>
      <c r="AA90" s="66">
        <f t="shared" ref="AA90:AA92" si="227">SUM(Y90/U90)-1</f>
        <v>4.6848253701312625E-3</v>
      </c>
    </row>
    <row r="91" spans="2:27" ht="12.75" customHeight="1">
      <c r="B91" s="102" t="s">
        <v>165</v>
      </c>
      <c r="C91" s="74">
        <v>-22958</v>
      </c>
      <c r="D91" s="74">
        <v>-22958</v>
      </c>
      <c r="E91" s="74">
        <v>-22958</v>
      </c>
      <c r="F91" s="74">
        <v>-22958</v>
      </c>
      <c r="H91" s="103">
        <v>-22958</v>
      </c>
      <c r="I91" s="103">
        <v>-22958</v>
      </c>
      <c r="J91" s="103">
        <v>-22958</v>
      </c>
      <c r="K91" s="28">
        <f t="shared" si="217"/>
        <v>-22958</v>
      </c>
      <c r="L91" s="103">
        <v>-22958</v>
      </c>
      <c r="M91" s="103">
        <v>-22958</v>
      </c>
      <c r="N91" s="103">
        <v>-22958</v>
      </c>
      <c r="O91" s="80">
        <f t="shared" si="218"/>
        <v>-22958</v>
      </c>
      <c r="P91" s="103">
        <v>-22958</v>
      </c>
      <c r="Q91" s="103">
        <v>-22958</v>
      </c>
      <c r="S91" s="28">
        <f t="shared" si="219"/>
        <v>-22958</v>
      </c>
      <c r="T91" s="28">
        <f t="shared" si="220"/>
        <v>-22958</v>
      </c>
      <c r="U91" s="28">
        <f t="shared" si="221"/>
        <v>-22958</v>
      </c>
      <c r="V91" s="28">
        <f t="shared" si="222"/>
        <v>-22958</v>
      </c>
      <c r="W91" s="28">
        <f t="shared" si="223"/>
        <v>-22958</v>
      </c>
      <c r="X91" s="28">
        <f t="shared" si="224"/>
        <v>-22958</v>
      </c>
      <c r="Y91" s="28">
        <f t="shared" si="225"/>
        <v>-22958</v>
      </c>
      <c r="Z91" s="11"/>
      <c r="AA91" s="66">
        <f t="shared" si="227"/>
        <v>0</v>
      </c>
    </row>
    <row r="92" spans="2:27" ht="12.75" customHeight="1">
      <c r="B92" s="102" t="s">
        <v>141</v>
      </c>
      <c r="C92" s="74">
        <v>14343</v>
      </c>
      <c r="D92" s="74">
        <v>14737</v>
      </c>
      <c r="E92" s="74">
        <v>13829</v>
      </c>
      <c r="F92" s="74">
        <v>7487</v>
      </c>
      <c r="H92" s="103">
        <v>13463</v>
      </c>
      <c r="I92" s="103">
        <v>13116</v>
      </c>
      <c r="J92" s="103">
        <v>13363</v>
      </c>
      <c r="K92" s="28">
        <f t="shared" si="217"/>
        <v>13829</v>
      </c>
      <c r="L92" s="103">
        <v>13226</v>
      </c>
      <c r="M92" s="103">
        <v>7779</v>
      </c>
      <c r="N92" s="103">
        <v>7745</v>
      </c>
      <c r="O92" s="80">
        <f t="shared" si="218"/>
        <v>7487</v>
      </c>
      <c r="P92" s="103">
        <v>7604</v>
      </c>
      <c r="Q92" s="103">
        <v>7626</v>
      </c>
      <c r="S92" s="28">
        <f t="shared" si="219"/>
        <v>13829</v>
      </c>
      <c r="T92" s="28">
        <f t="shared" si="220"/>
        <v>13226</v>
      </c>
      <c r="U92" s="28">
        <f t="shared" si="221"/>
        <v>7779</v>
      </c>
      <c r="V92" s="28">
        <f t="shared" si="222"/>
        <v>7745</v>
      </c>
      <c r="W92" s="28">
        <f t="shared" si="223"/>
        <v>7487</v>
      </c>
      <c r="X92" s="28">
        <f t="shared" si="224"/>
        <v>7604</v>
      </c>
      <c r="Y92" s="28">
        <f t="shared" si="225"/>
        <v>7626</v>
      </c>
      <c r="Z92" s="11"/>
      <c r="AA92" s="66">
        <f t="shared" si="227"/>
        <v>-1.9668337832626337E-2</v>
      </c>
    </row>
    <row r="93" spans="2:27" ht="12.75" customHeight="1">
      <c r="B93" s="102" t="s">
        <v>142</v>
      </c>
      <c r="C93" s="74">
        <v>-1902</v>
      </c>
      <c r="D93" s="74">
        <v>-1807</v>
      </c>
      <c r="E93" s="74">
        <v>-1556</v>
      </c>
      <c r="F93" s="74">
        <v>-1604</v>
      </c>
      <c r="H93" s="103">
        <v>-1742</v>
      </c>
      <c r="I93" s="103">
        <v>-1639</v>
      </c>
      <c r="J93" s="103">
        <v>-1718</v>
      </c>
      <c r="K93" s="28">
        <f t="shared" si="217"/>
        <v>-1556</v>
      </c>
      <c r="L93" s="103">
        <v>-1615</v>
      </c>
      <c r="M93" s="103">
        <v>-1624</v>
      </c>
      <c r="N93" s="103">
        <v>-1524</v>
      </c>
      <c r="O93" s="80">
        <f t="shared" si="218"/>
        <v>-1604</v>
      </c>
      <c r="P93" s="103">
        <v>-1521</v>
      </c>
      <c r="Q93" s="103">
        <v>-1419</v>
      </c>
      <c r="S93" s="28">
        <f t="shared" si="219"/>
        <v>-1556</v>
      </c>
      <c r="T93" s="28">
        <f t="shared" si="220"/>
        <v>-1615</v>
      </c>
      <c r="U93" s="28">
        <f t="shared" si="221"/>
        <v>-1624</v>
      </c>
      <c r="V93" s="28">
        <f t="shared" si="222"/>
        <v>-1524</v>
      </c>
      <c r="W93" s="28">
        <f t="shared" si="223"/>
        <v>-1604</v>
      </c>
      <c r="X93" s="28">
        <f t="shared" si="224"/>
        <v>-1521</v>
      </c>
      <c r="Y93" s="28">
        <f t="shared" si="225"/>
        <v>-1419</v>
      </c>
      <c r="Z93" s="11"/>
      <c r="AA93" s="66">
        <f t="shared" si="226"/>
        <v>-0.12623152709359609</v>
      </c>
    </row>
    <row r="94" spans="2:27" ht="12.75" customHeight="1">
      <c r="B94" s="12" t="s">
        <v>143</v>
      </c>
      <c r="C94" s="13">
        <f>SUM(C89:C93)</f>
        <v>22402</v>
      </c>
      <c r="D94" s="13">
        <f>SUM(D89:D93)</f>
        <v>23036</v>
      </c>
      <c r="E94" s="13">
        <f>SUM(E89:E93)</f>
        <v>22526</v>
      </c>
      <c r="F94" s="13">
        <f>SUM(F89:F93)</f>
        <v>16320</v>
      </c>
      <c r="G94" s="46"/>
      <c r="H94" s="13">
        <f t="shared" ref="H94:Q94" si="228">SUM(H89:H93)</f>
        <v>21851</v>
      </c>
      <c r="I94" s="13">
        <f t="shared" si="228"/>
        <v>21655</v>
      </c>
      <c r="J94" s="13">
        <f t="shared" si="228"/>
        <v>21864</v>
      </c>
      <c r="K94" s="13">
        <f t="shared" si="228"/>
        <v>22526</v>
      </c>
      <c r="L94" s="13">
        <f t="shared" si="228"/>
        <v>21894</v>
      </c>
      <c r="M94" s="13">
        <f t="shared" si="228"/>
        <v>16497</v>
      </c>
      <c r="N94" s="13">
        <f t="shared" si="228"/>
        <v>16628</v>
      </c>
      <c r="O94" s="13">
        <f t="shared" si="228"/>
        <v>16320</v>
      </c>
      <c r="P94" s="13">
        <f t="shared" si="228"/>
        <v>16538</v>
      </c>
      <c r="Q94" s="13">
        <f t="shared" si="228"/>
        <v>16705</v>
      </c>
      <c r="S94" s="13">
        <f t="shared" ref="S94:Y94" si="229">SUM(S89:S93)</f>
        <v>22526</v>
      </c>
      <c r="T94" s="13">
        <f t="shared" si="229"/>
        <v>21894</v>
      </c>
      <c r="U94" s="13">
        <f t="shared" si="229"/>
        <v>16497</v>
      </c>
      <c r="V94" s="13">
        <f t="shared" si="229"/>
        <v>16628</v>
      </c>
      <c r="W94" s="13">
        <f t="shared" si="229"/>
        <v>16320</v>
      </c>
      <c r="X94" s="13">
        <f t="shared" si="229"/>
        <v>16538</v>
      </c>
      <c r="Y94" s="13">
        <f t="shared" si="229"/>
        <v>16705</v>
      </c>
      <c r="Z94" s="37"/>
      <c r="AA94" s="67">
        <f>SUM(Y94/U94)-1</f>
        <v>1.2608353033884967E-2</v>
      </c>
    </row>
    <row r="95" spans="2:27" ht="5.0999999999999996" customHeight="1">
      <c r="B95" s="23"/>
      <c r="C95" s="43"/>
      <c r="D95" s="43"/>
      <c r="E95" s="43"/>
      <c r="F95" s="43"/>
      <c r="G95" s="46"/>
      <c r="H95" s="43"/>
      <c r="I95" s="43"/>
      <c r="J95" s="43"/>
      <c r="K95" s="43"/>
      <c r="L95" s="43"/>
      <c r="M95" s="43"/>
      <c r="N95" s="43"/>
      <c r="O95" s="43"/>
      <c r="P95" s="43"/>
      <c r="Q95" s="43"/>
      <c r="S95" s="43"/>
      <c r="T95" s="43"/>
      <c r="U95" s="43"/>
      <c r="V95" s="43"/>
      <c r="W95" s="43"/>
      <c r="X95" s="43"/>
      <c r="Y95" s="43"/>
      <c r="Z95" s="37"/>
      <c r="AA95" s="147"/>
    </row>
    <row r="96" spans="2:27" ht="12.75" customHeight="1">
      <c r="B96" s="102" t="s">
        <v>144</v>
      </c>
      <c r="C96" s="74">
        <f>568</f>
        <v>568</v>
      </c>
      <c r="D96" s="74">
        <v>570</v>
      </c>
      <c r="E96" s="74">
        <v>524</v>
      </c>
      <c r="F96" s="74">
        <v>462</v>
      </c>
      <c r="G96" s="46"/>
      <c r="H96" s="103">
        <v>492</v>
      </c>
      <c r="I96" s="103">
        <v>502</v>
      </c>
      <c r="J96" s="103">
        <v>514</v>
      </c>
      <c r="K96" s="28">
        <f>E96</f>
        <v>524</v>
      </c>
      <c r="L96" s="103">
        <v>443</v>
      </c>
      <c r="M96" s="103">
        <v>449</v>
      </c>
      <c r="N96" s="103">
        <v>447</v>
      </c>
      <c r="O96" s="80">
        <f>F96</f>
        <v>462</v>
      </c>
      <c r="P96" s="103">
        <v>390</v>
      </c>
      <c r="Q96" s="103">
        <v>406</v>
      </c>
      <c r="S96" s="28">
        <f t="shared" ref="S96" si="230">K96</f>
        <v>524</v>
      </c>
      <c r="T96" s="28">
        <f t="shared" ref="T96" si="231">L96</f>
        <v>443</v>
      </c>
      <c r="U96" s="28">
        <f t="shared" ref="U96" si="232">M96</f>
        <v>449</v>
      </c>
      <c r="V96" s="28">
        <f t="shared" ref="V96" si="233">N96</f>
        <v>447</v>
      </c>
      <c r="W96" s="28">
        <f t="shared" ref="W96" si="234">O96</f>
        <v>462</v>
      </c>
      <c r="X96" s="28">
        <f t="shared" ref="X96" si="235">P96</f>
        <v>390</v>
      </c>
      <c r="Y96" s="28">
        <f>Q96</f>
        <v>406</v>
      </c>
      <c r="Z96" s="37"/>
      <c r="AA96" s="147"/>
    </row>
    <row r="97" spans="1:27" ht="12.75" customHeight="1">
      <c r="B97" s="12" t="s">
        <v>145</v>
      </c>
      <c r="C97" s="13">
        <f t="shared" ref="C97:E97" si="236">SUM(C94+C96)</f>
        <v>22970</v>
      </c>
      <c r="D97" s="13">
        <f t="shared" si="236"/>
        <v>23606</v>
      </c>
      <c r="E97" s="13">
        <f t="shared" si="236"/>
        <v>23050</v>
      </c>
      <c r="F97" s="13">
        <f>SUM(F94+F96)</f>
        <v>16782</v>
      </c>
      <c r="G97" s="46"/>
      <c r="H97" s="13">
        <f>SUM(H94+H96)</f>
        <v>22343</v>
      </c>
      <c r="I97" s="13">
        <f t="shared" ref="I97:Q97" si="237">SUM(I94+I96)</f>
        <v>22157</v>
      </c>
      <c r="J97" s="13">
        <f t="shared" si="237"/>
        <v>22378</v>
      </c>
      <c r="K97" s="13">
        <f t="shared" si="237"/>
        <v>23050</v>
      </c>
      <c r="L97" s="13">
        <f t="shared" si="237"/>
        <v>22337</v>
      </c>
      <c r="M97" s="13">
        <f t="shared" si="237"/>
        <v>16946</v>
      </c>
      <c r="N97" s="13">
        <f t="shared" si="237"/>
        <v>17075</v>
      </c>
      <c r="O97" s="13">
        <f t="shared" si="237"/>
        <v>16782</v>
      </c>
      <c r="P97" s="13">
        <f t="shared" si="237"/>
        <v>16928</v>
      </c>
      <c r="Q97" s="13">
        <f t="shared" si="237"/>
        <v>17111</v>
      </c>
      <c r="S97" s="13">
        <f t="shared" ref="S97" si="238">SUM(S94+S96)</f>
        <v>23050</v>
      </c>
      <c r="T97" s="13">
        <f t="shared" ref="T97" si="239">SUM(T94+T96)</f>
        <v>22337</v>
      </c>
      <c r="U97" s="13">
        <f t="shared" ref="U97" si="240">SUM(U94+U96)</f>
        <v>16946</v>
      </c>
      <c r="V97" s="13">
        <f t="shared" ref="V97" si="241">SUM(V94+V96)</f>
        <v>17075</v>
      </c>
      <c r="W97" s="13">
        <f t="shared" ref="W97" si="242">SUM(W94+W96)</f>
        <v>16782</v>
      </c>
      <c r="X97" s="13">
        <f t="shared" ref="X97" si="243">SUM(X94+X96)</f>
        <v>16928</v>
      </c>
      <c r="Y97" s="13">
        <f t="shared" ref="Y97" si="244">SUM(Y94+Y96)</f>
        <v>17111</v>
      </c>
      <c r="Z97" s="37"/>
      <c r="AA97" s="147"/>
    </row>
    <row r="98" spans="1:27" ht="12.75" customHeight="1">
      <c r="B98" s="23" t="s">
        <v>45</v>
      </c>
      <c r="C98" s="148">
        <f t="shared" ref="C98:E98" si="245">SUM(C97+C87)</f>
        <v>58620</v>
      </c>
      <c r="D98" s="148">
        <f t="shared" si="245"/>
        <v>58393</v>
      </c>
      <c r="E98" s="148">
        <f t="shared" si="245"/>
        <v>53543</v>
      </c>
      <c r="F98" s="148">
        <f>SUM(F97+F87)</f>
        <v>46172</v>
      </c>
      <c r="G98" s="28"/>
      <c r="H98" s="148">
        <f>SUM(H97+H87)</f>
        <v>56561</v>
      </c>
      <c r="I98" s="148">
        <f t="shared" ref="I98:Q98" si="246">SUM(I97+I87)</f>
        <v>55361</v>
      </c>
      <c r="J98" s="148">
        <f t="shared" si="246"/>
        <v>54640</v>
      </c>
      <c r="K98" s="148">
        <f t="shared" si="246"/>
        <v>53543</v>
      </c>
      <c r="L98" s="148">
        <f t="shared" si="246"/>
        <v>52027</v>
      </c>
      <c r="M98" s="148">
        <f t="shared" si="246"/>
        <v>45890</v>
      </c>
      <c r="N98" s="148">
        <f t="shared" si="246"/>
        <v>46250</v>
      </c>
      <c r="O98" s="148">
        <f t="shared" si="246"/>
        <v>46172</v>
      </c>
      <c r="P98" s="148">
        <f t="shared" si="246"/>
        <v>45396</v>
      </c>
      <c r="Q98" s="148">
        <f t="shared" si="246"/>
        <v>44926</v>
      </c>
      <c r="R98" s="28"/>
      <c r="S98" s="148">
        <f t="shared" ref="S98" si="247">SUM(S97+S87)</f>
        <v>53543</v>
      </c>
      <c r="T98" s="148">
        <f t="shared" ref="T98" si="248">SUM(T97+T87)</f>
        <v>52027</v>
      </c>
      <c r="U98" s="148">
        <f t="shared" ref="U98" si="249">SUM(U97+U87)</f>
        <v>45890</v>
      </c>
      <c r="V98" s="148">
        <f t="shared" ref="V98" si="250">SUM(V97+V87)</f>
        <v>46250</v>
      </c>
      <c r="W98" s="148">
        <f t="shared" ref="W98" si="251">SUM(W97+W87)</f>
        <v>46172</v>
      </c>
      <c r="X98" s="148">
        <f t="shared" ref="X98" si="252">SUM(X97+X87)</f>
        <v>45396</v>
      </c>
      <c r="Y98" s="148">
        <f t="shared" ref="Y98" si="253">SUM(Y97+Y87)</f>
        <v>44926</v>
      </c>
      <c r="Z98" s="11"/>
      <c r="AA98" s="67">
        <f>SUM(Y98/U98)-1</f>
        <v>-2.1006755284375678E-2</v>
      </c>
    </row>
    <row r="99" spans="1:27" ht="5.0999999999999996" customHeight="1">
      <c r="B99" s="23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11"/>
    </row>
    <row r="100" spans="1:27" ht="12.75" customHeight="1">
      <c r="B100" s="60" t="s">
        <v>55</v>
      </c>
      <c r="C100" s="61">
        <f>C98-C67</f>
        <v>0</v>
      </c>
      <c r="D100" s="61">
        <f>D98-D67</f>
        <v>0</v>
      </c>
      <c r="E100" s="61">
        <f>E98-E67</f>
        <v>0</v>
      </c>
      <c r="F100" s="61">
        <f>F98-F67</f>
        <v>0</v>
      </c>
      <c r="G100" s="62"/>
      <c r="H100" s="61">
        <f t="shared" ref="H100:Q100" si="254">H98-H67</f>
        <v>0</v>
      </c>
      <c r="I100" s="61">
        <f t="shared" si="254"/>
        <v>0</v>
      </c>
      <c r="J100" s="61">
        <f t="shared" si="254"/>
        <v>0</v>
      </c>
      <c r="K100" s="61">
        <f t="shared" si="254"/>
        <v>0</v>
      </c>
      <c r="L100" s="61">
        <f t="shared" si="254"/>
        <v>0</v>
      </c>
      <c r="M100" s="61">
        <f t="shared" si="254"/>
        <v>0</v>
      </c>
      <c r="N100" s="61">
        <f t="shared" si="254"/>
        <v>0</v>
      </c>
      <c r="O100" s="61">
        <f t="shared" si="254"/>
        <v>0</v>
      </c>
      <c r="P100" s="61">
        <f t="shared" si="254"/>
        <v>0</v>
      </c>
      <c r="Q100" s="61">
        <f t="shared" si="254"/>
        <v>0</v>
      </c>
      <c r="R100" s="26"/>
      <c r="S100" s="61">
        <f t="shared" ref="S100:Y100" si="255">S98-S67</f>
        <v>0</v>
      </c>
      <c r="T100" s="61">
        <f t="shared" si="255"/>
        <v>0</v>
      </c>
      <c r="U100" s="61">
        <f t="shared" si="255"/>
        <v>0</v>
      </c>
      <c r="V100" s="61">
        <f t="shared" si="255"/>
        <v>0</v>
      </c>
      <c r="W100" s="61">
        <f t="shared" si="255"/>
        <v>0</v>
      </c>
      <c r="X100" s="61">
        <f t="shared" si="255"/>
        <v>0</v>
      </c>
      <c r="Y100" s="61">
        <f t="shared" si="255"/>
        <v>0</v>
      </c>
    </row>
    <row r="101" spans="1:27" ht="5.0999999999999996" customHeight="1" thickBot="1">
      <c r="B101" s="98"/>
      <c r="C101" s="99"/>
      <c r="D101" s="99"/>
      <c r="E101" s="99"/>
      <c r="F101" s="99"/>
      <c r="G101" s="100"/>
      <c r="H101" s="99"/>
      <c r="I101" s="99"/>
      <c r="J101" s="99"/>
      <c r="K101" s="99"/>
      <c r="L101" s="99"/>
      <c r="M101" s="99"/>
      <c r="N101" s="99"/>
      <c r="O101" s="99"/>
      <c r="P101" s="99"/>
      <c r="Q101" s="99"/>
      <c r="R101" s="101"/>
      <c r="S101" s="99"/>
      <c r="T101" s="99"/>
      <c r="U101" s="99"/>
      <c r="V101" s="99"/>
      <c r="W101" s="99"/>
      <c r="X101" s="99"/>
      <c r="Y101" s="99"/>
      <c r="Z101" s="64"/>
      <c r="AA101" s="64"/>
    </row>
    <row r="102" spans="1:27">
      <c r="B102" s="59"/>
      <c r="C102" s="22"/>
      <c r="D102" s="22"/>
      <c r="E102" s="22"/>
      <c r="F102" s="22"/>
      <c r="G102" s="47"/>
    </row>
    <row r="103" spans="1:27" ht="12.75" customHeight="1">
      <c r="A103" s="5" t="s">
        <v>15</v>
      </c>
      <c r="B103" s="81" t="s">
        <v>13</v>
      </c>
      <c r="C103" s="85" t="s">
        <v>0</v>
      </c>
      <c r="D103" s="85"/>
      <c r="E103" s="85"/>
      <c r="F103" s="85"/>
      <c r="G103" s="86"/>
      <c r="H103" s="85"/>
      <c r="I103" s="85"/>
      <c r="J103" s="85"/>
      <c r="K103" s="85"/>
      <c r="L103" s="85"/>
      <c r="M103" s="85"/>
      <c r="N103" s="85" t="s">
        <v>1</v>
      </c>
      <c r="O103" s="85"/>
      <c r="P103" s="85"/>
      <c r="Q103" s="85"/>
      <c r="R103" s="81"/>
      <c r="S103" s="85"/>
      <c r="T103" s="85"/>
      <c r="U103" s="85" t="s">
        <v>10</v>
      </c>
      <c r="V103" s="85"/>
      <c r="W103" s="85"/>
      <c r="X103" s="85"/>
      <c r="Y103" s="85"/>
      <c r="Z103" s="86"/>
      <c r="AA103" s="154" t="s">
        <v>20</v>
      </c>
    </row>
    <row r="104" spans="1:27" ht="12.75" customHeight="1">
      <c r="B104" s="82" t="str">
        <f>B7</f>
        <v>Fiscal Period</v>
      </c>
      <c r="C104" s="87">
        <f>C7</f>
        <v>2021</v>
      </c>
      <c r="D104" s="87">
        <f>D7</f>
        <v>2022</v>
      </c>
      <c r="E104" s="87">
        <f>E7</f>
        <v>2023</v>
      </c>
      <c r="F104" s="87">
        <f>F7</f>
        <v>2024</v>
      </c>
      <c r="G104" s="86"/>
      <c r="H104" s="87" t="str">
        <f>H7</f>
        <v>1Q23</v>
      </c>
      <c r="I104" s="87" t="str">
        <f>I7</f>
        <v>2Q23</v>
      </c>
      <c r="J104" s="87" t="str">
        <f>J7</f>
        <v>3Q23</v>
      </c>
      <c r="K104" s="87" t="str">
        <f>K7</f>
        <v>4Q23</v>
      </c>
      <c r="L104" s="87" t="str">
        <f>L7</f>
        <v>1Q24</v>
      </c>
      <c r="M104" s="87" t="str">
        <f>M7</f>
        <v>2Q24</v>
      </c>
      <c r="N104" s="87" t="str">
        <f>N7</f>
        <v>3Q24</v>
      </c>
      <c r="O104" s="87" t="str">
        <f>O7</f>
        <v>4Q24</v>
      </c>
      <c r="P104" s="87" t="str">
        <f>P7</f>
        <v>1Q25</v>
      </c>
      <c r="Q104" s="87" t="str">
        <f>Q7</f>
        <v>2Q25</v>
      </c>
      <c r="R104" s="87"/>
      <c r="S104" s="87" t="str">
        <f>S7</f>
        <v>4Q23</v>
      </c>
      <c r="T104" s="87" t="str">
        <f>T7</f>
        <v>1Q24</v>
      </c>
      <c r="U104" s="87" t="str">
        <f>U7</f>
        <v>2Q24</v>
      </c>
      <c r="V104" s="87" t="str">
        <f>V7</f>
        <v>3Q24</v>
      </c>
      <c r="W104" s="87" t="str">
        <f>W7</f>
        <v>4Q24</v>
      </c>
      <c r="X104" s="87" t="str">
        <f>X7</f>
        <v>1Q25</v>
      </c>
      <c r="Y104" s="87" t="str">
        <f>Y7</f>
        <v>2Q25</v>
      </c>
      <c r="Z104" s="86"/>
      <c r="AA104" s="154"/>
    </row>
    <row r="105" spans="1:27" ht="12.75" customHeight="1">
      <c r="B105" s="82" t="str">
        <f>B8</f>
        <v>Fiscal Period End Date</v>
      </c>
      <c r="C105" s="88">
        <f>C8</f>
        <v>44561</v>
      </c>
      <c r="D105" s="88">
        <f>D8</f>
        <v>44926</v>
      </c>
      <c r="E105" s="88">
        <f>E8</f>
        <v>45291</v>
      </c>
      <c r="F105" s="88">
        <f>F8</f>
        <v>45657</v>
      </c>
      <c r="G105" s="86"/>
      <c r="H105" s="88">
        <f>H8</f>
        <v>45016</v>
      </c>
      <c r="I105" s="88">
        <f>I8</f>
        <v>45107</v>
      </c>
      <c r="J105" s="88">
        <f>J8</f>
        <v>45199</v>
      </c>
      <c r="K105" s="88">
        <f>K8</f>
        <v>44926</v>
      </c>
      <c r="L105" s="88">
        <f>L8</f>
        <v>45382</v>
      </c>
      <c r="M105" s="88">
        <f>M8</f>
        <v>45473</v>
      </c>
      <c r="N105" s="88">
        <f>N8</f>
        <v>45565</v>
      </c>
      <c r="O105" s="88">
        <f>O8</f>
        <v>45291</v>
      </c>
      <c r="P105" s="88">
        <f>P8</f>
        <v>45747</v>
      </c>
      <c r="Q105" s="88">
        <f>Q8</f>
        <v>45838</v>
      </c>
      <c r="R105" s="88"/>
      <c r="S105" s="88">
        <f>S8</f>
        <v>44926</v>
      </c>
      <c r="T105" s="88">
        <f>T8</f>
        <v>45382</v>
      </c>
      <c r="U105" s="88">
        <f>U8</f>
        <v>45473</v>
      </c>
      <c r="V105" s="88">
        <f>V8</f>
        <v>45565</v>
      </c>
      <c r="W105" s="88">
        <f>W8</f>
        <v>45291</v>
      </c>
      <c r="X105" s="88">
        <f>X8</f>
        <v>45747</v>
      </c>
      <c r="Y105" s="88">
        <f>Y8</f>
        <v>45838</v>
      </c>
      <c r="Z105" s="86"/>
      <c r="AA105" s="154"/>
    </row>
    <row r="106" spans="1:27" ht="5.0999999999999996" customHeight="1">
      <c r="B106" s="48"/>
      <c r="C106" s="42"/>
      <c r="D106" s="42"/>
      <c r="E106" s="42"/>
      <c r="F106" s="42"/>
    </row>
    <row r="107" spans="1:27" ht="12.75" customHeight="1">
      <c r="B107" s="49" t="s">
        <v>46</v>
      </c>
      <c r="C107" s="50"/>
      <c r="D107" s="50"/>
      <c r="E107" s="50"/>
      <c r="F107" s="50"/>
    </row>
    <row r="108" spans="1:27" ht="12.75" customHeight="1">
      <c r="B108" s="51" t="s">
        <v>110</v>
      </c>
      <c r="C108" s="28">
        <f>C33</f>
        <v>4469</v>
      </c>
      <c r="D108" s="28">
        <f>D33</f>
        <v>835</v>
      </c>
      <c r="E108" s="28">
        <f>E33</f>
        <v>-1252</v>
      </c>
      <c r="F108" s="28">
        <f>F33</f>
        <v>-6163</v>
      </c>
      <c r="G108" s="28"/>
      <c r="H108" s="28">
        <f>H33</f>
        <v>-1157</v>
      </c>
      <c r="I108" s="28">
        <f>I33</f>
        <v>-363</v>
      </c>
      <c r="J108" s="28">
        <f>J33</f>
        <v>261</v>
      </c>
      <c r="K108" s="28">
        <f>K33</f>
        <v>7</v>
      </c>
      <c r="L108" s="28">
        <f>L33</f>
        <v>-553</v>
      </c>
      <c r="M108" s="28">
        <f>M33</f>
        <v>-5404</v>
      </c>
      <c r="N108" s="28">
        <f>N33</f>
        <v>16</v>
      </c>
      <c r="O108" s="28">
        <f>O33</f>
        <v>-222</v>
      </c>
      <c r="P108" s="28">
        <f>P33</f>
        <v>161</v>
      </c>
      <c r="Q108" s="28">
        <f>Q33</f>
        <v>61</v>
      </c>
      <c r="S108" s="28">
        <f>SUM(I108:L108)</f>
        <v>-648</v>
      </c>
      <c r="T108" s="28">
        <f>SUM(J108:M108)</f>
        <v>-5689</v>
      </c>
      <c r="U108" s="28">
        <f>SUM(K108:N108)</f>
        <v>-5934</v>
      </c>
      <c r="V108" s="28">
        <f>SUM(L108:O108)</f>
        <v>-6163</v>
      </c>
      <c r="W108" s="28">
        <f>SUM(M108:P108)</f>
        <v>-5449</v>
      </c>
      <c r="X108" s="28">
        <f>SUM(N108:Q108)</f>
        <v>16</v>
      </c>
      <c r="Y108" s="28">
        <f>SUM(O108:Q108)</f>
        <v>0</v>
      </c>
      <c r="Z108" s="11"/>
      <c r="AA108" s="66">
        <f>SUM(Y108/U108)-1</f>
        <v>-1</v>
      </c>
    </row>
    <row r="109" spans="1:27" ht="5.0999999999999996" customHeight="1"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S109" s="28"/>
      <c r="T109" s="28"/>
      <c r="U109" s="28"/>
      <c r="V109" s="28"/>
      <c r="W109" s="28"/>
      <c r="X109" s="28"/>
      <c r="Y109" s="28"/>
      <c r="Z109" s="11"/>
      <c r="AA109" s="66"/>
    </row>
    <row r="110" spans="1:27" ht="12.75" customHeight="1">
      <c r="B110" s="31" t="s">
        <v>54</v>
      </c>
      <c r="C110" s="28"/>
      <c r="D110" s="28"/>
      <c r="E110" s="28"/>
      <c r="F110" s="28"/>
      <c r="G110" s="28"/>
      <c r="H110" s="74"/>
      <c r="I110" s="74"/>
      <c r="J110" s="74"/>
      <c r="K110" s="28"/>
      <c r="L110" s="74"/>
      <c r="M110" s="74"/>
      <c r="N110" s="74"/>
      <c r="O110" s="28"/>
      <c r="P110" s="74"/>
      <c r="Q110" s="74"/>
      <c r="S110" s="28"/>
      <c r="T110" s="28"/>
      <c r="U110" s="28"/>
      <c r="V110" s="28"/>
      <c r="W110" s="28"/>
      <c r="X110" s="28"/>
      <c r="Y110" s="28"/>
      <c r="Z110" s="53"/>
      <c r="AA110" s="66"/>
    </row>
    <row r="111" spans="1:27" ht="12.75" customHeight="1">
      <c r="B111" s="54" t="s">
        <v>99</v>
      </c>
      <c r="C111" s="74">
        <v>0</v>
      </c>
      <c r="D111" s="74">
        <v>0</v>
      </c>
      <c r="E111" s="74">
        <v>2371</v>
      </c>
      <c r="F111" s="74">
        <v>1118</v>
      </c>
      <c r="G111" s="28"/>
      <c r="H111" s="74">
        <v>1674</v>
      </c>
      <c r="I111" s="74">
        <f>2371-H111</f>
        <v>697</v>
      </c>
      <c r="J111" s="74">
        <f>2371-I111-H111</f>
        <v>0</v>
      </c>
      <c r="K111" s="28">
        <f t="shared" ref="K111" si="256">SUM(E111-SUM(H111:J111))</f>
        <v>0</v>
      </c>
      <c r="L111" s="74">
        <v>1118</v>
      </c>
      <c r="M111" s="74">
        <f>1118-L111</f>
        <v>0</v>
      </c>
      <c r="N111" s="74">
        <f>1118-M111-L111</f>
        <v>0</v>
      </c>
      <c r="O111" s="28">
        <f t="shared" ref="O111" si="257">SUM(F111-SUM(L111:N111))</f>
        <v>0</v>
      </c>
      <c r="P111" s="74">
        <v>0</v>
      </c>
      <c r="Q111" s="74">
        <v>0</v>
      </c>
      <c r="S111" s="28">
        <f t="shared" ref="S111" si="258">SUM(H111:K111)</f>
        <v>2371</v>
      </c>
      <c r="T111" s="28">
        <f t="shared" ref="T111" si="259">SUM(I111:L111)</f>
        <v>1815</v>
      </c>
      <c r="U111" s="28">
        <f t="shared" ref="U111" si="260">SUM(J111:M111)</f>
        <v>1118</v>
      </c>
      <c r="V111" s="28">
        <f t="shared" ref="V111" si="261">SUM(K111:N111)</f>
        <v>1118</v>
      </c>
      <c r="W111" s="28">
        <f t="shared" ref="W111" si="262">SUM(L111:O111)</f>
        <v>1118</v>
      </c>
      <c r="X111" s="28">
        <f t="shared" ref="X111" si="263">SUM(M111:P111)</f>
        <v>0</v>
      </c>
      <c r="Y111" s="28">
        <f t="shared" ref="Y111" si="264">SUM(N111:Q111)</f>
        <v>0</v>
      </c>
      <c r="Z111" s="11"/>
      <c r="AA111" s="66">
        <f t="shared" ref="AA111:AA114" si="265">SUM(Y111/U111)-1</f>
        <v>-1</v>
      </c>
    </row>
    <row r="112" spans="1:27" ht="12.75" customHeight="1">
      <c r="B112" s="54" t="s">
        <v>47</v>
      </c>
      <c r="C112" s="74">
        <v>390</v>
      </c>
      <c r="D112" s="74">
        <v>378</v>
      </c>
      <c r="E112" s="74">
        <v>418</v>
      </c>
      <c r="F112" s="74">
        <v>392</v>
      </c>
      <c r="G112" s="28"/>
      <c r="H112" s="74">
        <v>100</v>
      </c>
      <c r="I112" s="74">
        <f>205-H112</f>
        <v>105</v>
      </c>
      <c r="J112" s="74">
        <f>310-I112-H112</f>
        <v>105</v>
      </c>
      <c r="K112" s="28">
        <f t="shared" ref="K112:K121" si="266">SUM(E112-SUM(H112:J112))</f>
        <v>108</v>
      </c>
      <c r="L112" s="74">
        <v>100</v>
      </c>
      <c r="M112" s="74">
        <f>201-L112</f>
        <v>101</v>
      </c>
      <c r="N112" s="74">
        <f>297-M112-L112</f>
        <v>96</v>
      </c>
      <c r="O112" s="28">
        <f t="shared" ref="O112:O121" si="267">SUM(F112-SUM(L112:N112))</f>
        <v>95</v>
      </c>
      <c r="P112" s="74">
        <v>88</v>
      </c>
      <c r="Q112" s="74">
        <f>175-P112</f>
        <v>87</v>
      </c>
      <c r="S112" s="28">
        <f t="shared" ref="S112:S121" si="268">SUM(H112:K112)</f>
        <v>418</v>
      </c>
      <c r="T112" s="28">
        <f t="shared" ref="T112:T121" si="269">SUM(I112:L112)</f>
        <v>418</v>
      </c>
      <c r="U112" s="28">
        <f t="shared" ref="U112:U121" si="270">SUM(J112:M112)</f>
        <v>414</v>
      </c>
      <c r="V112" s="28">
        <f t="shared" ref="V112:V121" si="271">SUM(K112:N112)</f>
        <v>405</v>
      </c>
      <c r="W112" s="28">
        <f t="shared" ref="W112:W121" si="272">SUM(L112:O112)</f>
        <v>392</v>
      </c>
      <c r="X112" s="28">
        <f t="shared" ref="X112:X121" si="273">SUM(M112:P112)</f>
        <v>380</v>
      </c>
      <c r="Y112" s="28">
        <f t="shared" ref="Y112:Y121" si="274">SUM(N112:Q112)</f>
        <v>366</v>
      </c>
      <c r="Z112" s="11"/>
      <c r="AA112" s="66">
        <f t="shared" si="265"/>
        <v>-0.11594202898550721</v>
      </c>
    </row>
    <row r="113" spans="2:27" ht="12.75" customHeight="1">
      <c r="B113" s="54" t="s">
        <v>101</v>
      </c>
      <c r="C113" s="74">
        <v>0</v>
      </c>
      <c r="D113" s="74">
        <v>27</v>
      </c>
      <c r="E113" s="74">
        <v>83</v>
      </c>
      <c r="F113" s="74">
        <v>6130</v>
      </c>
      <c r="G113" s="28"/>
      <c r="H113" s="74">
        <v>0</v>
      </c>
      <c r="I113" s="74">
        <v>0</v>
      </c>
      <c r="J113" s="74">
        <v>0</v>
      </c>
      <c r="K113" s="28">
        <f t="shared" si="266"/>
        <v>83</v>
      </c>
      <c r="L113" s="74">
        <v>0</v>
      </c>
      <c r="M113" s="74">
        <f>5996-L113</f>
        <v>5996</v>
      </c>
      <c r="N113" s="74">
        <f>6100-M113-L113</f>
        <v>104</v>
      </c>
      <c r="O113" s="28">
        <f t="shared" si="267"/>
        <v>30</v>
      </c>
      <c r="P113" s="74">
        <v>0</v>
      </c>
      <c r="Q113" s="74">
        <f>157-P113</f>
        <v>157</v>
      </c>
      <c r="S113" s="28">
        <f t="shared" si="268"/>
        <v>83</v>
      </c>
      <c r="T113" s="28">
        <f t="shared" si="269"/>
        <v>83</v>
      </c>
      <c r="U113" s="28">
        <f t="shared" si="270"/>
        <v>6079</v>
      </c>
      <c r="V113" s="28">
        <f t="shared" si="271"/>
        <v>6183</v>
      </c>
      <c r="W113" s="28">
        <f t="shared" si="272"/>
        <v>6130</v>
      </c>
      <c r="X113" s="28">
        <f t="shared" si="273"/>
        <v>6130</v>
      </c>
      <c r="Y113" s="28">
        <f t="shared" si="274"/>
        <v>291</v>
      </c>
      <c r="Z113" s="11"/>
      <c r="AA113" s="66">
        <f t="shared" si="265"/>
        <v>-0.95213028458628068</v>
      </c>
    </row>
    <row r="114" spans="2:27" ht="12.75" customHeight="1">
      <c r="B114" s="54" t="s">
        <v>146</v>
      </c>
      <c r="C114" s="74">
        <v>13649</v>
      </c>
      <c r="D114" s="74">
        <v>14951</v>
      </c>
      <c r="E114" s="74">
        <v>14713</v>
      </c>
      <c r="F114" s="74">
        <v>13888</v>
      </c>
      <c r="G114" s="28"/>
      <c r="H114" s="74">
        <v>0</v>
      </c>
      <c r="I114" s="74">
        <v>0</v>
      </c>
      <c r="J114" s="74">
        <v>0</v>
      </c>
      <c r="K114" s="28">
        <f t="shared" si="266"/>
        <v>14713</v>
      </c>
      <c r="L114" s="74">
        <v>0</v>
      </c>
      <c r="M114" s="74">
        <v>0</v>
      </c>
      <c r="N114" s="74">
        <v>0</v>
      </c>
      <c r="O114" s="28">
        <f t="shared" si="267"/>
        <v>13888</v>
      </c>
      <c r="P114" s="74">
        <v>0</v>
      </c>
      <c r="Q114" s="74">
        <v>0</v>
      </c>
      <c r="S114" s="28">
        <f t="shared" si="268"/>
        <v>14713</v>
      </c>
      <c r="T114" s="28">
        <f t="shared" si="269"/>
        <v>14713</v>
      </c>
      <c r="U114" s="28">
        <f t="shared" si="270"/>
        <v>14713</v>
      </c>
      <c r="V114" s="28">
        <f t="shared" si="271"/>
        <v>14713</v>
      </c>
      <c r="W114" s="28">
        <f t="shared" si="272"/>
        <v>13888</v>
      </c>
      <c r="X114" s="28">
        <f t="shared" si="273"/>
        <v>13888</v>
      </c>
      <c r="Y114" s="28">
        <f t="shared" si="274"/>
        <v>13888</v>
      </c>
      <c r="Z114" s="11"/>
      <c r="AA114" s="66">
        <f t="shared" si="265"/>
        <v>-5.6072860735404073E-2</v>
      </c>
    </row>
    <row r="115" spans="2:27" ht="12.75" customHeight="1">
      <c r="B115" s="54" t="s">
        <v>147</v>
      </c>
      <c r="C115" s="74">
        <v>90</v>
      </c>
      <c r="D115" s="74">
        <v>-106</v>
      </c>
      <c r="E115" s="74">
        <v>-650</v>
      </c>
      <c r="F115" s="74">
        <v>-630</v>
      </c>
      <c r="G115" s="28"/>
      <c r="H115" s="74">
        <v>-436</v>
      </c>
      <c r="I115" s="74">
        <f>-586-H115</f>
        <v>-150</v>
      </c>
      <c r="J115" s="74">
        <f>-592-I115-H115</f>
        <v>-6</v>
      </c>
      <c r="K115" s="28">
        <f t="shared" si="266"/>
        <v>-58</v>
      </c>
      <c r="L115" s="74">
        <v>-231</v>
      </c>
      <c r="M115" s="74">
        <f>-593-L115</f>
        <v>-362</v>
      </c>
      <c r="N115" s="74">
        <f>-622-M115-L115</f>
        <v>-29</v>
      </c>
      <c r="O115" s="28">
        <f t="shared" si="267"/>
        <v>-8</v>
      </c>
      <c r="P115" s="74">
        <v>45</v>
      </c>
      <c r="Q115" s="74">
        <f>21-P115</f>
        <v>-24</v>
      </c>
      <c r="S115" s="28">
        <f t="shared" si="268"/>
        <v>-650</v>
      </c>
      <c r="T115" s="28">
        <f t="shared" si="269"/>
        <v>-445</v>
      </c>
      <c r="U115" s="28">
        <f t="shared" si="270"/>
        <v>-657</v>
      </c>
      <c r="V115" s="28">
        <f t="shared" si="271"/>
        <v>-680</v>
      </c>
      <c r="W115" s="28">
        <f t="shared" si="272"/>
        <v>-630</v>
      </c>
      <c r="X115" s="28">
        <f t="shared" si="273"/>
        <v>-354</v>
      </c>
      <c r="Y115" s="28">
        <f t="shared" si="274"/>
        <v>-16</v>
      </c>
      <c r="Z115" s="11"/>
      <c r="AA115" s="66">
        <f t="shared" ref="AA115" si="275">SUM(Y115/U115)-1</f>
        <v>-0.9756468797564688</v>
      </c>
    </row>
    <row r="116" spans="2:27" ht="12.75" customHeight="1">
      <c r="B116" s="54" t="s">
        <v>148</v>
      </c>
      <c r="C116" s="74">
        <v>192</v>
      </c>
      <c r="D116" s="74">
        <v>172</v>
      </c>
      <c r="E116" s="74">
        <v>177</v>
      </c>
      <c r="F116" s="74">
        <v>245</v>
      </c>
      <c r="G116" s="28"/>
      <c r="H116" s="74">
        <v>39</v>
      </c>
      <c r="I116" s="74">
        <f>88-H116</f>
        <v>49</v>
      </c>
      <c r="J116" s="74">
        <f>131-I116-H116</f>
        <v>43</v>
      </c>
      <c r="K116" s="28">
        <f t="shared" si="266"/>
        <v>46</v>
      </c>
      <c r="L116" s="74">
        <v>47</v>
      </c>
      <c r="M116" s="74">
        <f>109-L116</f>
        <v>62</v>
      </c>
      <c r="N116" s="74">
        <f>175-M116-L116</f>
        <v>66</v>
      </c>
      <c r="O116" s="28">
        <f t="shared" si="267"/>
        <v>70</v>
      </c>
      <c r="P116" s="74">
        <v>44</v>
      </c>
      <c r="Q116" s="74">
        <f>87-P116</f>
        <v>43</v>
      </c>
      <c r="S116" s="28">
        <f t="shared" si="268"/>
        <v>177</v>
      </c>
      <c r="T116" s="28">
        <f t="shared" si="269"/>
        <v>185</v>
      </c>
      <c r="U116" s="28">
        <f t="shared" si="270"/>
        <v>198</v>
      </c>
      <c r="V116" s="28">
        <f t="shared" si="271"/>
        <v>221</v>
      </c>
      <c r="W116" s="28">
        <f t="shared" si="272"/>
        <v>245</v>
      </c>
      <c r="X116" s="28">
        <f t="shared" si="273"/>
        <v>242</v>
      </c>
      <c r="Y116" s="28">
        <f t="shared" si="274"/>
        <v>223</v>
      </c>
      <c r="Z116" s="11"/>
      <c r="AA116" s="66">
        <f t="shared" ref="AA116:AA120" si="276">SUM(Y116/U116)-1</f>
        <v>0.1262626262626263</v>
      </c>
    </row>
    <row r="117" spans="2:27" ht="12.75" customHeight="1">
      <c r="B117" s="54" t="s">
        <v>103</v>
      </c>
      <c r="C117" s="74">
        <v>-2343</v>
      </c>
      <c r="D117" s="74">
        <v>-56</v>
      </c>
      <c r="E117" s="74">
        <v>0</v>
      </c>
      <c r="F117" s="74">
        <v>0</v>
      </c>
      <c r="G117" s="28"/>
      <c r="H117" s="74">
        <v>0</v>
      </c>
      <c r="I117" s="74">
        <v>0</v>
      </c>
      <c r="J117" s="74">
        <v>0</v>
      </c>
      <c r="K117" s="28">
        <f t="shared" si="266"/>
        <v>0</v>
      </c>
      <c r="L117" s="74">
        <v>0</v>
      </c>
      <c r="M117" s="74">
        <v>0</v>
      </c>
      <c r="N117" s="74">
        <v>0</v>
      </c>
      <c r="O117" s="28">
        <f t="shared" si="267"/>
        <v>0</v>
      </c>
      <c r="P117" s="74">
        <v>-35</v>
      </c>
      <c r="Q117" s="74">
        <f>-35-P117</f>
        <v>0</v>
      </c>
      <c r="S117" s="28">
        <f t="shared" si="268"/>
        <v>0</v>
      </c>
      <c r="T117" s="28">
        <f t="shared" si="269"/>
        <v>0</v>
      </c>
      <c r="U117" s="28">
        <f t="shared" si="270"/>
        <v>0</v>
      </c>
      <c r="V117" s="28">
        <f t="shared" si="271"/>
        <v>0</v>
      </c>
      <c r="W117" s="28">
        <f t="shared" si="272"/>
        <v>0</v>
      </c>
      <c r="X117" s="28">
        <f t="shared" si="273"/>
        <v>-35</v>
      </c>
      <c r="Y117" s="28">
        <f t="shared" si="274"/>
        <v>-35</v>
      </c>
      <c r="Z117" s="11"/>
      <c r="AA117" s="66" t="e">
        <f t="shared" si="276"/>
        <v>#DIV/0!</v>
      </c>
    </row>
    <row r="118" spans="2:27" ht="12.75" customHeight="1">
      <c r="B118" s="54" t="s">
        <v>149</v>
      </c>
      <c r="C118" s="74">
        <v>-47</v>
      </c>
      <c r="D118" s="74">
        <v>9</v>
      </c>
      <c r="E118" s="74">
        <v>-168</v>
      </c>
      <c r="F118" s="74">
        <v>17</v>
      </c>
      <c r="G118" s="28"/>
      <c r="H118" s="74">
        <v>0</v>
      </c>
      <c r="I118" s="74">
        <f>-168-H118</f>
        <v>-168</v>
      </c>
      <c r="J118" s="74">
        <f>-168-I118-H118</f>
        <v>0</v>
      </c>
      <c r="K118" s="28">
        <f t="shared" si="266"/>
        <v>0</v>
      </c>
      <c r="L118" s="74">
        <v>4</v>
      </c>
      <c r="M118" s="74">
        <f>4-L118</f>
        <v>0</v>
      </c>
      <c r="N118" s="74">
        <f>4-M118-L118</f>
        <v>0</v>
      </c>
      <c r="O118" s="28">
        <f t="shared" si="267"/>
        <v>13</v>
      </c>
      <c r="P118" s="74">
        <v>0</v>
      </c>
      <c r="Q118" s="74">
        <v>0</v>
      </c>
      <c r="S118" s="28">
        <f t="shared" si="268"/>
        <v>-168</v>
      </c>
      <c r="T118" s="28">
        <f t="shared" si="269"/>
        <v>-164</v>
      </c>
      <c r="U118" s="28">
        <f t="shared" si="270"/>
        <v>4</v>
      </c>
      <c r="V118" s="28">
        <f t="shared" si="271"/>
        <v>4</v>
      </c>
      <c r="W118" s="28">
        <f t="shared" si="272"/>
        <v>17</v>
      </c>
      <c r="X118" s="28">
        <f t="shared" si="273"/>
        <v>13</v>
      </c>
      <c r="Y118" s="28">
        <f t="shared" si="274"/>
        <v>13</v>
      </c>
      <c r="Z118" s="11"/>
      <c r="AA118" s="66">
        <f t="shared" si="276"/>
        <v>2.25</v>
      </c>
    </row>
    <row r="119" spans="2:27" ht="12.75" customHeight="1">
      <c r="B119" s="54" t="s">
        <v>150</v>
      </c>
      <c r="C119" s="74">
        <v>128</v>
      </c>
      <c r="D119" s="74">
        <v>120</v>
      </c>
      <c r="E119" s="74">
        <v>-29</v>
      </c>
      <c r="F119" s="74">
        <v>0</v>
      </c>
      <c r="G119" s="28"/>
      <c r="H119" s="74">
        <v>0</v>
      </c>
      <c r="I119" s="74">
        <v>0</v>
      </c>
      <c r="J119" s="74">
        <v>0</v>
      </c>
      <c r="K119" s="28">
        <f t="shared" si="266"/>
        <v>-29</v>
      </c>
      <c r="L119" s="74">
        <v>0</v>
      </c>
      <c r="M119" s="74">
        <v>0</v>
      </c>
      <c r="N119" s="74">
        <v>0</v>
      </c>
      <c r="O119" s="28">
        <f t="shared" si="267"/>
        <v>0</v>
      </c>
      <c r="P119" s="74">
        <v>0</v>
      </c>
      <c r="Q119" s="74">
        <v>0</v>
      </c>
      <c r="S119" s="28">
        <f t="shared" si="268"/>
        <v>-29</v>
      </c>
      <c r="T119" s="28">
        <f t="shared" si="269"/>
        <v>-29</v>
      </c>
      <c r="U119" s="28">
        <f t="shared" si="270"/>
        <v>-29</v>
      </c>
      <c r="V119" s="28">
        <f t="shared" si="271"/>
        <v>-29</v>
      </c>
      <c r="W119" s="28">
        <f t="shared" si="272"/>
        <v>0</v>
      </c>
      <c r="X119" s="28">
        <f t="shared" si="273"/>
        <v>0</v>
      </c>
      <c r="Y119" s="28">
        <f t="shared" si="274"/>
        <v>0</v>
      </c>
      <c r="Z119" s="11"/>
      <c r="AA119" s="66">
        <f t="shared" si="276"/>
        <v>-1</v>
      </c>
    </row>
    <row r="120" spans="2:27" ht="12.75" customHeight="1">
      <c r="B120" s="54" t="s">
        <v>151</v>
      </c>
      <c r="C120" s="74">
        <v>96</v>
      </c>
      <c r="D120" s="74">
        <v>207</v>
      </c>
      <c r="E120" s="74">
        <v>363</v>
      </c>
      <c r="F120" s="74">
        <v>304</v>
      </c>
      <c r="G120" s="28"/>
      <c r="H120" s="74">
        <v>75</v>
      </c>
      <c r="I120" s="74">
        <f>184-H120</f>
        <v>109</v>
      </c>
      <c r="J120" s="74">
        <f>259-I120-H120</f>
        <v>75</v>
      </c>
      <c r="K120" s="28">
        <f t="shared" si="266"/>
        <v>104</v>
      </c>
      <c r="L120" s="74">
        <v>90</v>
      </c>
      <c r="M120" s="74">
        <f>168-L120</f>
        <v>78</v>
      </c>
      <c r="N120" s="74">
        <f>228-M120-L120</f>
        <v>60</v>
      </c>
      <c r="O120" s="28">
        <f t="shared" si="267"/>
        <v>76</v>
      </c>
      <c r="P120" s="74">
        <v>73</v>
      </c>
      <c r="Q120" s="74">
        <f>141-P120</f>
        <v>68</v>
      </c>
      <c r="S120" s="28">
        <f t="shared" si="268"/>
        <v>363</v>
      </c>
      <c r="T120" s="28">
        <f t="shared" si="269"/>
        <v>378</v>
      </c>
      <c r="U120" s="28">
        <f t="shared" si="270"/>
        <v>347</v>
      </c>
      <c r="V120" s="28">
        <f t="shared" si="271"/>
        <v>332</v>
      </c>
      <c r="W120" s="28">
        <f t="shared" si="272"/>
        <v>304</v>
      </c>
      <c r="X120" s="28">
        <f t="shared" si="273"/>
        <v>287</v>
      </c>
      <c r="Y120" s="28">
        <f t="shared" si="274"/>
        <v>277</v>
      </c>
      <c r="Z120" s="11"/>
      <c r="AA120" s="66">
        <f t="shared" si="276"/>
        <v>-0.20172910662824206</v>
      </c>
    </row>
    <row r="121" spans="2:27" ht="12.75" customHeight="1">
      <c r="B121" s="54" t="s">
        <v>152</v>
      </c>
      <c r="C121" s="74">
        <v>-51</v>
      </c>
      <c r="D121" s="74">
        <v>-159</v>
      </c>
      <c r="E121" s="74">
        <v>-186</v>
      </c>
      <c r="F121" s="74">
        <v>227</v>
      </c>
      <c r="G121" s="28"/>
      <c r="H121" s="74">
        <v>0</v>
      </c>
      <c r="I121" s="74">
        <v>0</v>
      </c>
      <c r="J121" s="74">
        <v>0</v>
      </c>
      <c r="K121" s="28">
        <f t="shared" si="266"/>
        <v>-186</v>
      </c>
      <c r="L121" s="74">
        <v>0</v>
      </c>
      <c r="M121" s="74">
        <v>0</v>
      </c>
      <c r="N121" s="74">
        <v>0</v>
      </c>
      <c r="O121" s="28">
        <f t="shared" si="267"/>
        <v>227</v>
      </c>
      <c r="P121" s="74">
        <v>0</v>
      </c>
      <c r="Q121" s="74">
        <v>0</v>
      </c>
      <c r="S121" s="28">
        <f t="shared" si="268"/>
        <v>-186</v>
      </c>
      <c r="T121" s="28">
        <f t="shared" si="269"/>
        <v>-186</v>
      </c>
      <c r="U121" s="28">
        <f t="shared" si="270"/>
        <v>-186</v>
      </c>
      <c r="V121" s="28">
        <f t="shared" si="271"/>
        <v>-186</v>
      </c>
      <c r="W121" s="28">
        <f t="shared" si="272"/>
        <v>227</v>
      </c>
      <c r="X121" s="28">
        <f t="shared" si="273"/>
        <v>227</v>
      </c>
      <c r="Y121" s="28">
        <f t="shared" si="274"/>
        <v>227</v>
      </c>
      <c r="Z121" s="11"/>
      <c r="AA121" s="66">
        <f t="shared" ref="AA121" si="277">SUM(Y121/U121)-1</f>
        <v>-2.220430107526882</v>
      </c>
    </row>
    <row r="122" spans="2:27" ht="12.75" customHeight="1">
      <c r="B122" s="157" t="s">
        <v>153</v>
      </c>
      <c r="C122" s="158">
        <v>118</v>
      </c>
      <c r="D122" s="158">
        <v>361</v>
      </c>
      <c r="E122" s="158">
        <v>91</v>
      </c>
      <c r="F122" s="158">
        <v>0</v>
      </c>
      <c r="G122" s="28"/>
      <c r="H122" s="74">
        <v>105</v>
      </c>
      <c r="I122" s="74">
        <f>223-H122</f>
        <v>118</v>
      </c>
      <c r="J122" s="74">
        <f>205-I122-H122</f>
        <v>-18</v>
      </c>
      <c r="K122" s="28">
        <f t="shared" ref="K122:K123" si="278">SUM(E122-SUM(H122:J122))</f>
        <v>-114</v>
      </c>
      <c r="L122" s="74">
        <v>0</v>
      </c>
      <c r="M122" s="74">
        <v>0</v>
      </c>
      <c r="N122" s="74">
        <v>0</v>
      </c>
      <c r="O122" s="28">
        <f t="shared" ref="O122:O123" si="279">SUM(F122-SUM(L122:N122))</f>
        <v>0</v>
      </c>
      <c r="P122" s="74">
        <v>0</v>
      </c>
      <c r="Q122" s="74">
        <v>0</v>
      </c>
      <c r="S122" s="28">
        <f t="shared" ref="S122:S123" si="280">SUM(H122:K122)</f>
        <v>91</v>
      </c>
      <c r="T122" s="28">
        <f t="shared" ref="T122:T123" si="281">SUM(I122:L122)</f>
        <v>-14</v>
      </c>
      <c r="U122" s="28">
        <f t="shared" ref="U122:U123" si="282">SUM(J122:M122)</f>
        <v>-132</v>
      </c>
      <c r="V122" s="28">
        <f t="shared" ref="V122:V123" si="283">SUM(K122:N122)</f>
        <v>-114</v>
      </c>
      <c r="W122" s="28">
        <f t="shared" ref="W122:W123" si="284">SUM(L122:O122)</f>
        <v>0</v>
      </c>
      <c r="X122" s="28">
        <f t="shared" ref="X122:X123" si="285">SUM(M122:P122)</f>
        <v>0</v>
      </c>
      <c r="Y122" s="28">
        <f t="shared" ref="Y122:Y123" si="286">SUM(N122:Q122)</f>
        <v>0</v>
      </c>
      <c r="Z122" s="11"/>
      <c r="AA122" s="66"/>
    </row>
    <row r="123" spans="2:27" ht="12.75" customHeight="1">
      <c r="B123" s="157" t="s">
        <v>192</v>
      </c>
      <c r="C123" s="74">
        <f>-16763+179+642-61+265</f>
        <v>-15738</v>
      </c>
      <c r="D123" s="74">
        <f>-17164-180+596-44+272</f>
        <v>-16520</v>
      </c>
      <c r="E123" s="74">
        <f>-15518+523-659-69+267</f>
        <v>-15456</v>
      </c>
      <c r="F123" s="74">
        <f>-15812+548+324+23+141</f>
        <v>-14776</v>
      </c>
      <c r="G123" s="28"/>
      <c r="H123" s="74">
        <v>-778</v>
      </c>
      <c r="I123" s="74">
        <f>-1198-H123</f>
        <v>-420</v>
      </c>
      <c r="J123" s="74">
        <f>-1226-I123-H123</f>
        <v>-28</v>
      </c>
      <c r="K123" s="28">
        <f t="shared" si="278"/>
        <v>-14230</v>
      </c>
      <c r="L123" s="74">
        <v>-315</v>
      </c>
      <c r="M123" s="74">
        <f>-727-L123</f>
        <v>-412</v>
      </c>
      <c r="N123" s="74">
        <f>-775-M123-L123</f>
        <v>-48</v>
      </c>
      <c r="O123" s="28">
        <f t="shared" si="279"/>
        <v>-14001</v>
      </c>
      <c r="P123" s="74">
        <v>-196</v>
      </c>
      <c r="Q123" s="74">
        <f>-429-P123</f>
        <v>-233</v>
      </c>
      <c r="S123" s="28">
        <f t="shared" si="280"/>
        <v>-15456</v>
      </c>
      <c r="T123" s="28">
        <f t="shared" si="281"/>
        <v>-14993</v>
      </c>
      <c r="U123" s="28">
        <f t="shared" si="282"/>
        <v>-14985</v>
      </c>
      <c r="V123" s="28">
        <f t="shared" si="283"/>
        <v>-15005</v>
      </c>
      <c r="W123" s="28">
        <f t="shared" si="284"/>
        <v>-14776</v>
      </c>
      <c r="X123" s="28">
        <f t="shared" si="285"/>
        <v>-14657</v>
      </c>
      <c r="Y123" s="28">
        <f t="shared" si="286"/>
        <v>-14478</v>
      </c>
      <c r="Z123" s="11"/>
      <c r="AA123" s="66"/>
    </row>
    <row r="124" spans="2:27" ht="12.75" customHeight="1">
      <c r="B124" s="12" t="s">
        <v>48</v>
      </c>
      <c r="C124" s="13">
        <f>SUM(C108:C123)</f>
        <v>953</v>
      </c>
      <c r="D124" s="13">
        <f>SUM(D108:D123)</f>
        <v>219</v>
      </c>
      <c r="E124" s="13">
        <f>SUM(E108:E123)</f>
        <v>475</v>
      </c>
      <c r="F124" s="13">
        <f>SUM(F108:F123)</f>
        <v>752</v>
      </c>
      <c r="H124" s="13">
        <f>SUM(H108:H123)</f>
        <v>-378</v>
      </c>
      <c r="I124" s="13">
        <f>SUM(I108:I123)</f>
        <v>-23</v>
      </c>
      <c r="J124" s="13">
        <f>SUM(J108:J123)</f>
        <v>432</v>
      </c>
      <c r="K124" s="13">
        <f>SUM(K108:K123)</f>
        <v>444</v>
      </c>
      <c r="L124" s="13">
        <f>SUM(L108:L123)</f>
        <v>260</v>
      </c>
      <c r="M124" s="13">
        <f>SUM(M108:M123)</f>
        <v>59</v>
      </c>
      <c r="N124" s="13">
        <f>SUM(N108:N123)</f>
        <v>265</v>
      </c>
      <c r="O124" s="13">
        <f>SUM(O108:O123)</f>
        <v>168</v>
      </c>
      <c r="P124" s="13">
        <f>SUM(P108:P123)</f>
        <v>180</v>
      </c>
      <c r="Q124" s="13">
        <f>SUM(Q108:Q123)</f>
        <v>159</v>
      </c>
      <c r="S124" s="13">
        <f>SUM(S108:S123)</f>
        <v>1079</v>
      </c>
      <c r="T124" s="13">
        <f>SUM(T108:T123)</f>
        <v>-3928</v>
      </c>
      <c r="U124" s="13">
        <f>SUM(U108:U123)</f>
        <v>950</v>
      </c>
      <c r="V124" s="13">
        <f>SUM(V108:V123)</f>
        <v>799</v>
      </c>
      <c r="W124" s="13">
        <f>SUM(W108:W123)</f>
        <v>1466</v>
      </c>
      <c r="X124" s="13">
        <f>SUM(X108:X123)</f>
        <v>6137</v>
      </c>
      <c r="Y124" s="13">
        <f>SUM(Y108:Y123)</f>
        <v>756</v>
      </c>
      <c r="Z124" s="37"/>
      <c r="AA124" s="67">
        <f>SUM(Y124/U124)-1</f>
        <v>-0.20421052631578951</v>
      </c>
    </row>
    <row r="125" spans="2:27" ht="12.75" customHeight="1">
      <c r="B125" s="47"/>
      <c r="C125" s="55"/>
      <c r="D125" s="55"/>
      <c r="E125" s="55"/>
      <c r="F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S125" s="37"/>
      <c r="T125" s="37"/>
      <c r="U125" s="37"/>
      <c r="V125" s="37"/>
      <c r="W125" s="37"/>
      <c r="X125" s="37"/>
      <c r="Y125" s="37"/>
      <c r="Z125" s="37"/>
      <c r="AA125" s="34"/>
    </row>
    <row r="126" spans="2:27" ht="12.75" customHeight="1">
      <c r="B126" s="110" t="s">
        <v>49</v>
      </c>
      <c r="C126" s="52"/>
      <c r="D126" s="52"/>
      <c r="E126" s="52"/>
      <c r="F126" s="52"/>
      <c r="H126" s="74"/>
      <c r="I126" s="74"/>
      <c r="J126" s="74"/>
      <c r="K126" s="28"/>
      <c r="L126" s="74"/>
      <c r="M126" s="74"/>
      <c r="N126" s="74"/>
      <c r="O126" s="28"/>
      <c r="P126" s="74"/>
      <c r="Q126" s="74"/>
      <c r="S126" s="52"/>
      <c r="T126" s="52"/>
      <c r="U126" s="52"/>
      <c r="V126" s="52"/>
      <c r="W126" s="52"/>
      <c r="X126" s="52"/>
      <c r="Y126" s="52"/>
      <c r="Z126" s="53"/>
      <c r="AA126" s="34"/>
    </row>
    <row r="127" spans="2:27" ht="12.75" customHeight="1">
      <c r="B127" s="54" t="s">
        <v>154</v>
      </c>
      <c r="C127" s="74">
        <v>-193</v>
      </c>
      <c r="D127" s="74">
        <v>-254</v>
      </c>
      <c r="E127" s="74">
        <v>-322</v>
      </c>
      <c r="F127" s="74">
        <v>-326</v>
      </c>
      <c r="G127" s="28"/>
      <c r="H127" s="74">
        <v>-43</v>
      </c>
      <c r="I127" s="74">
        <f>-124-H127</f>
        <v>-81</v>
      </c>
      <c r="J127" s="74">
        <f>-184-I127-H127</f>
        <v>-60</v>
      </c>
      <c r="K127" s="28">
        <f t="shared" ref="K127:K131" si="287">SUM(E127-SUM(H127:J127))</f>
        <v>-138</v>
      </c>
      <c r="L127" s="74">
        <v>-88</v>
      </c>
      <c r="M127" s="74">
        <f>-166-L127</f>
        <v>-78</v>
      </c>
      <c r="N127" s="74">
        <f>-248-M127-L127</f>
        <v>-82</v>
      </c>
      <c r="O127" s="28">
        <f t="shared" ref="O127:O131" si="288">SUM(F127-SUM(L127:N127))</f>
        <v>-78</v>
      </c>
      <c r="P127" s="74">
        <v>-73</v>
      </c>
      <c r="Q127" s="74">
        <f>-148-P127</f>
        <v>-75</v>
      </c>
      <c r="R127" s="28"/>
      <c r="S127" s="28">
        <f t="shared" ref="S127:S131" si="289">SUM(H127:K127)</f>
        <v>-322</v>
      </c>
      <c r="T127" s="28">
        <f t="shared" ref="T127:T131" si="290">SUM(I127:L127)</f>
        <v>-367</v>
      </c>
      <c r="U127" s="28">
        <f t="shared" ref="U127:U131" si="291">SUM(J127:M127)</f>
        <v>-364</v>
      </c>
      <c r="V127" s="28">
        <f t="shared" ref="V127:V131" si="292">SUM(K127:N127)</f>
        <v>-386</v>
      </c>
      <c r="W127" s="28">
        <f t="shared" ref="W127:W131" si="293">SUM(L127:O127)</f>
        <v>-326</v>
      </c>
      <c r="X127" s="28">
        <f t="shared" ref="X127:X131" si="294">SUM(M127:P127)</f>
        <v>-311</v>
      </c>
      <c r="Y127" s="28">
        <f t="shared" ref="Y127:Y131" si="295">SUM(N127:Q127)</f>
        <v>-308</v>
      </c>
      <c r="Z127" s="53"/>
      <c r="AA127" s="66">
        <f t="shared" ref="AA127" si="296">SUM(Y127/U127)-1</f>
        <v>-0.15384615384615385</v>
      </c>
    </row>
    <row r="128" spans="2:27" ht="12.75" customHeight="1">
      <c r="B128" s="54" t="s">
        <v>155</v>
      </c>
      <c r="C128" s="74">
        <v>-354</v>
      </c>
      <c r="D128" s="74">
        <v>-358</v>
      </c>
      <c r="E128" s="74">
        <v>-328</v>
      </c>
      <c r="F128" s="74">
        <v>-263</v>
      </c>
      <c r="G128" s="28"/>
      <c r="H128" s="74">
        <v>-71</v>
      </c>
      <c r="I128" s="74">
        <f>-140-H128</f>
        <v>-69</v>
      </c>
      <c r="J128" s="74">
        <f>-213-I128-H128</f>
        <v>-73</v>
      </c>
      <c r="K128" s="28">
        <f t="shared" si="287"/>
        <v>-115</v>
      </c>
      <c r="L128" s="74">
        <v>-51</v>
      </c>
      <c r="M128" s="74">
        <f>-100-L128</f>
        <v>-49</v>
      </c>
      <c r="N128" s="74">
        <f>-151-M128-L128</f>
        <v>-51</v>
      </c>
      <c r="O128" s="28">
        <f t="shared" si="288"/>
        <v>-112</v>
      </c>
      <c r="P128" s="74">
        <v>-57</v>
      </c>
      <c r="Q128" s="74">
        <f>-102-P128</f>
        <v>-45</v>
      </c>
      <c r="R128" s="28"/>
      <c r="S128" s="28">
        <f t="shared" si="289"/>
        <v>-328</v>
      </c>
      <c r="T128" s="28">
        <f t="shared" si="290"/>
        <v>-308</v>
      </c>
      <c r="U128" s="28">
        <f t="shared" si="291"/>
        <v>-288</v>
      </c>
      <c r="V128" s="28">
        <f t="shared" si="292"/>
        <v>-266</v>
      </c>
      <c r="W128" s="28">
        <f t="shared" si="293"/>
        <v>-263</v>
      </c>
      <c r="X128" s="28">
        <f t="shared" si="294"/>
        <v>-269</v>
      </c>
      <c r="Y128" s="28">
        <f t="shared" si="295"/>
        <v>-265</v>
      </c>
      <c r="Z128" s="53"/>
      <c r="AA128" s="66">
        <f t="shared" ref="AA128:AA130" si="297">SUM(Y128/U128)-1</f>
        <v>-7.986111111111116E-2</v>
      </c>
    </row>
    <row r="129" spans="2:27" ht="12.75" customHeight="1">
      <c r="B129" s="54" t="s">
        <v>166</v>
      </c>
      <c r="C129" s="74">
        <f>-54+3028</f>
        <v>2974</v>
      </c>
      <c r="D129" s="74">
        <v>95</v>
      </c>
      <c r="E129" s="74">
        <v>71</v>
      </c>
      <c r="F129" s="74">
        <v>554</v>
      </c>
      <c r="G129" s="28"/>
      <c r="H129" s="74">
        <v>0</v>
      </c>
      <c r="I129" s="74">
        <v>0</v>
      </c>
      <c r="J129" s="74">
        <v>0</v>
      </c>
      <c r="K129" s="28">
        <f t="shared" si="287"/>
        <v>71</v>
      </c>
      <c r="L129" s="74">
        <v>0</v>
      </c>
      <c r="M129" s="74">
        <v>0</v>
      </c>
      <c r="N129" s="74">
        <v>0</v>
      </c>
      <c r="O129" s="28">
        <f t="shared" si="288"/>
        <v>554</v>
      </c>
      <c r="P129" s="74">
        <v>61</v>
      </c>
      <c r="Q129" s="74">
        <f>66-P129</f>
        <v>5</v>
      </c>
      <c r="R129" s="28"/>
      <c r="S129" s="28">
        <f t="shared" si="289"/>
        <v>71</v>
      </c>
      <c r="T129" s="28">
        <f t="shared" si="290"/>
        <v>71</v>
      </c>
      <c r="U129" s="28">
        <f t="shared" si="291"/>
        <v>71</v>
      </c>
      <c r="V129" s="28">
        <f t="shared" si="292"/>
        <v>71</v>
      </c>
      <c r="W129" s="28">
        <f t="shared" si="293"/>
        <v>554</v>
      </c>
      <c r="X129" s="28">
        <f t="shared" si="294"/>
        <v>615</v>
      </c>
      <c r="Y129" s="28">
        <f t="shared" si="295"/>
        <v>620</v>
      </c>
      <c r="Z129" s="53"/>
      <c r="AA129" s="66">
        <f t="shared" si="297"/>
        <v>7.7323943661971839</v>
      </c>
    </row>
    <row r="130" spans="2:27" ht="12.75" customHeight="1">
      <c r="B130" s="54" t="s">
        <v>156</v>
      </c>
      <c r="C130" s="74">
        <v>-25</v>
      </c>
      <c r="D130" s="74">
        <v>-1</v>
      </c>
      <c r="E130" s="74">
        <v>-3</v>
      </c>
      <c r="F130" s="74">
        <v>-8</v>
      </c>
      <c r="G130" s="28"/>
      <c r="H130" s="74">
        <v>25</v>
      </c>
      <c r="I130" s="74">
        <f>39-H130</f>
        <v>14</v>
      </c>
      <c r="J130" s="74">
        <f>56-I130-H130</f>
        <v>17</v>
      </c>
      <c r="K130" s="28">
        <f t="shared" si="287"/>
        <v>-59</v>
      </c>
      <c r="L130" s="74">
        <v>11</v>
      </c>
      <c r="M130" s="74">
        <f>21-L130</f>
        <v>10</v>
      </c>
      <c r="N130" s="74">
        <f>34-M130-L130</f>
        <v>13</v>
      </c>
      <c r="O130" s="28">
        <f t="shared" si="288"/>
        <v>-42</v>
      </c>
      <c r="P130" s="74">
        <v>0</v>
      </c>
      <c r="Q130" s="74">
        <v>0</v>
      </c>
      <c r="R130" s="28"/>
      <c r="S130" s="28">
        <f t="shared" si="289"/>
        <v>-3</v>
      </c>
      <c r="T130" s="28">
        <f t="shared" si="290"/>
        <v>-17</v>
      </c>
      <c r="U130" s="28">
        <f t="shared" si="291"/>
        <v>-21</v>
      </c>
      <c r="V130" s="28">
        <f t="shared" si="292"/>
        <v>-25</v>
      </c>
      <c r="W130" s="28">
        <f t="shared" si="293"/>
        <v>-8</v>
      </c>
      <c r="X130" s="28">
        <f t="shared" si="294"/>
        <v>-19</v>
      </c>
      <c r="Y130" s="28">
        <f t="shared" si="295"/>
        <v>-29</v>
      </c>
      <c r="Z130" s="53"/>
      <c r="AA130" s="66">
        <f t="shared" si="297"/>
        <v>0.38095238095238093</v>
      </c>
    </row>
    <row r="131" spans="2:27" ht="12.75" customHeight="1">
      <c r="B131" s="54" t="s">
        <v>157</v>
      </c>
      <c r="C131" s="74">
        <v>-7</v>
      </c>
      <c r="D131" s="74">
        <v>-8</v>
      </c>
      <c r="E131" s="74">
        <v>1524</v>
      </c>
      <c r="F131" s="74">
        <v>55</v>
      </c>
      <c r="G131" s="28"/>
      <c r="H131" s="74">
        <v>0</v>
      </c>
      <c r="I131" s="74">
        <f>-2-H131</f>
        <v>-2</v>
      </c>
      <c r="J131" s="74">
        <f>-3-I131-H131</f>
        <v>-1</v>
      </c>
      <c r="K131" s="28">
        <f t="shared" si="287"/>
        <v>1527</v>
      </c>
      <c r="L131" s="74">
        <v>0</v>
      </c>
      <c r="M131" s="74">
        <f>48-L131</f>
        <v>48</v>
      </c>
      <c r="N131" s="74">
        <f>48-M131-L131</f>
        <v>0</v>
      </c>
      <c r="O131" s="28">
        <f t="shared" si="288"/>
        <v>7</v>
      </c>
      <c r="P131" s="74">
        <v>0</v>
      </c>
      <c r="Q131" s="74">
        <v>0</v>
      </c>
      <c r="R131" s="28"/>
      <c r="S131" s="28">
        <f t="shared" si="289"/>
        <v>1524</v>
      </c>
      <c r="T131" s="28">
        <f t="shared" si="290"/>
        <v>1524</v>
      </c>
      <c r="U131" s="28">
        <f t="shared" si="291"/>
        <v>1574</v>
      </c>
      <c r="V131" s="28">
        <f t="shared" si="292"/>
        <v>1575</v>
      </c>
      <c r="W131" s="28">
        <f t="shared" si="293"/>
        <v>55</v>
      </c>
      <c r="X131" s="28">
        <f t="shared" si="294"/>
        <v>55</v>
      </c>
      <c r="Y131" s="28">
        <f t="shared" si="295"/>
        <v>7</v>
      </c>
      <c r="Z131" s="53"/>
      <c r="AA131" s="66">
        <f t="shared" ref="AA131" si="298">SUM(Y131/U131)-1</f>
        <v>-0.99555273189326554</v>
      </c>
    </row>
    <row r="132" spans="2:27" ht="12.75" customHeight="1">
      <c r="B132" s="12" t="s">
        <v>50</v>
      </c>
      <c r="C132" s="13">
        <f>SUM(C127:C131)</f>
        <v>2395</v>
      </c>
      <c r="D132" s="13">
        <f>SUM(D127:D131)</f>
        <v>-526</v>
      </c>
      <c r="E132" s="13">
        <f>SUM(E127:E131)</f>
        <v>942</v>
      </c>
      <c r="F132" s="13">
        <f>SUM(F127:F131)</f>
        <v>12</v>
      </c>
      <c r="H132" s="13">
        <f t="shared" ref="H132:Q132" si="299">SUM(H127:H131)</f>
        <v>-89</v>
      </c>
      <c r="I132" s="13">
        <f t="shared" si="299"/>
        <v>-138</v>
      </c>
      <c r="J132" s="13">
        <f t="shared" si="299"/>
        <v>-117</v>
      </c>
      <c r="K132" s="13">
        <f t="shared" si="299"/>
        <v>1286</v>
      </c>
      <c r="L132" s="13">
        <f t="shared" si="299"/>
        <v>-128</v>
      </c>
      <c r="M132" s="13">
        <f t="shared" si="299"/>
        <v>-69</v>
      </c>
      <c r="N132" s="13">
        <f t="shared" si="299"/>
        <v>-120</v>
      </c>
      <c r="O132" s="13">
        <f t="shared" si="299"/>
        <v>329</v>
      </c>
      <c r="P132" s="13">
        <f t="shared" si="299"/>
        <v>-69</v>
      </c>
      <c r="Q132" s="13">
        <f t="shared" si="299"/>
        <v>-115</v>
      </c>
      <c r="S132" s="13">
        <f t="shared" ref="S132:Y132" si="300">SUM(S127:S131)</f>
        <v>942</v>
      </c>
      <c r="T132" s="13">
        <f t="shared" si="300"/>
        <v>903</v>
      </c>
      <c r="U132" s="13">
        <f t="shared" si="300"/>
        <v>972</v>
      </c>
      <c r="V132" s="13">
        <f t="shared" si="300"/>
        <v>969</v>
      </c>
      <c r="W132" s="13">
        <f t="shared" si="300"/>
        <v>12</v>
      </c>
      <c r="X132" s="13">
        <f t="shared" si="300"/>
        <v>71</v>
      </c>
      <c r="Y132" s="13">
        <f t="shared" si="300"/>
        <v>25</v>
      </c>
      <c r="Z132" s="37"/>
      <c r="AA132" s="67">
        <f>SUM(Y132/U132)-1</f>
        <v>-0.97427983539094654</v>
      </c>
    </row>
    <row r="133" spans="2:27" ht="5.0999999999999996" customHeight="1">
      <c r="B133" s="46"/>
      <c r="C133" s="55"/>
      <c r="D133" s="55"/>
      <c r="E133" s="55"/>
      <c r="F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S133" s="37"/>
      <c r="T133" s="37"/>
      <c r="U133" s="37"/>
      <c r="V133" s="37"/>
      <c r="W133" s="37"/>
      <c r="X133" s="37"/>
      <c r="Y133" s="37"/>
      <c r="Z133" s="37"/>
      <c r="AA133" s="34"/>
    </row>
    <row r="134" spans="2:27" ht="12.75" customHeight="1">
      <c r="B134" s="110" t="s">
        <v>51</v>
      </c>
      <c r="C134" s="56"/>
      <c r="D134" s="56"/>
      <c r="E134" s="56"/>
      <c r="F134" s="56"/>
      <c r="H134" s="56"/>
      <c r="I134" s="56"/>
      <c r="J134" s="56"/>
      <c r="K134" s="56"/>
      <c r="L134" s="56"/>
      <c r="M134" s="56"/>
      <c r="N134" s="56"/>
      <c r="O134" s="56"/>
      <c r="P134" s="56"/>
      <c r="Q134" s="56"/>
      <c r="R134" s="28"/>
      <c r="S134" s="28"/>
      <c r="T134" s="28"/>
      <c r="U134" s="28"/>
      <c r="V134" s="28"/>
      <c r="W134" s="28"/>
      <c r="X134" s="28"/>
      <c r="Y134" s="28"/>
      <c r="Z134" s="57"/>
      <c r="AA134" s="34"/>
    </row>
    <row r="135" spans="2:27" ht="12.75" customHeight="1">
      <c r="B135" s="75" t="s">
        <v>158</v>
      </c>
      <c r="C135" s="74">
        <v>58</v>
      </c>
      <c r="D135" s="74">
        <v>1138</v>
      </c>
      <c r="E135" s="74">
        <v>45</v>
      </c>
      <c r="F135" s="74">
        <v>0</v>
      </c>
      <c r="H135" s="74">
        <v>35</v>
      </c>
      <c r="I135" s="74">
        <f>45-H135</f>
        <v>10</v>
      </c>
      <c r="J135" s="74">
        <f>45-I135-H135</f>
        <v>0</v>
      </c>
      <c r="K135" s="28">
        <f t="shared" ref="K135:K142" si="301">SUM(E135-SUM(H135:J135))</f>
        <v>0</v>
      </c>
      <c r="L135" s="74">
        <v>0</v>
      </c>
      <c r="M135" s="74">
        <v>0</v>
      </c>
      <c r="N135" s="74">
        <v>0</v>
      </c>
      <c r="O135" s="28">
        <f t="shared" ref="O135:O142" si="302">SUM(F135-SUM(L135:N135))</f>
        <v>0</v>
      </c>
      <c r="P135" s="74">
        <v>0</v>
      </c>
      <c r="Q135" s="74">
        <v>0</v>
      </c>
      <c r="R135" s="28"/>
      <c r="S135" s="28">
        <f t="shared" ref="S135:S142" si="303">SUM(H135:K135)</f>
        <v>45</v>
      </c>
      <c r="T135" s="28">
        <f t="shared" ref="T135:T142" si="304">SUM(I135:L135)</f>
        <v>10</v>
      </c>
      <c r="U135" s="28">
        <f t="shared" ref="U135:U142" si="305">SUM(J135:M135)</f>
        <v>0</v>
      </c>
      <c r="V135" s="28">
        <f t="shared" ref="V135:V142" si="306">SUM(K135:N135)</f>
        <v>0</v>
      </c>
      <c r="W135" s="28">
        <f t="shared" ref="W135:W142" si="307">SUM(L135:O135)</f>
        <v>0</v>
      </c>
      <c r="X135" s="28">
        <f t="shared" ref="X135:X142" si="308">SUM(M135:P135)</f>
        <v>0</v>
      </c>
      <c r="Y135" s="28">
        <f t="shared" ref="Y135:Y142" si="309">SUM(N135:Q135)</f>
        <v>0</v>
      </c>
      <c r="Z135" s="57"/>
      <c r="AA135" s="66" t="e">
        <f t="shared" ref="AA135" si="310">SUM(Y135/U135)-1</f>
        <v>#DIV/0!</v>
      </c>
    </row>
    <row r="136" spans="2:27" ht="12.75" customHeight="1">
      <c r="B136" s="54" t="s">
        <v>159</v>
      </c>
      <c r="C136" s="74">
        <v>-2230</v>
      </c>
      <c r="D136" s="74">
        <v>-3140</v>
      </c>
      <c r="E136" s="74">
        <v>-1277</v>
      </c>
      <c r="F136" s="74">
        <v>-126</v>
      </c>
      <c r="G136" s="28"/>
      <c r="H136" s="74">
        <v>-32</v>
      </c>
      <c r="I136" s="74">
        <f>-100-H136</f>
        <v>-68</v>
      </c>
      <c r="J136" s="74">
        <f>-239-I136-H136</f>
        <v>-139</v>
      </c>
      <c r="K136" s="28">
        <f t="shared" si="301"/>
        <v>-1038</v>
      </c>
      <c r="L136" s="74">
        <v>0</v>
      </c>
      <c r="M136" s="74">
        <v>0</v>
      </c>
      <c r="N136" s="74">
        <v>0</v>
      </c>
      <c r="O136" s="28">
        <f t="shared" si="302"/>
        <v>-126</v>
      </c>
      <c r="P136" s="74">
        <v>0</v>
      </c>
      <c r="Q136" s="74">
        <v>0</v>
      </c>
      <c r="R136" s="28"/>
      <c r="S136" s="28">
        <f t="shared" si="303"/>
        <v>-1277</v>
      </c>
      <c r="T136" s="28">
        <f t="shared" si="304"/>
        <v>-1245</v>
      </c>
      <c r="U136" s="28">
        <f t="shared" si="305"/>
        <v>-1177</v>
      </c>
      <c r="V136" s="28">
        <f t="shared" si="306"/>
        <v>-1038</v>
      </c>
      <c r="W136" s="28">
        <f t="shared" si="307"/>
        <v>-126</v>
      </c>
      <c r="X136" s="28">
        <f t="shared" si="308"/>
        <v>-126</v>
      </c>
      <c r="Y136" s="28">
        <f t="shared" si="309"/>
        <v>-126</v>
      </c>
      <c r="Z136" s="53"/>
      <c r="AA136" s="66">
        <f t="shared" ref="AA136" si="311">SUM(Y136/U136)-1</f>
        <v>-0.89294817332200505</v>
      </c>
    </row>
    <row r="137" spans="2:27" ht="12.75" customHeight="1">
      <c r="B137" s="54" t="s">
        <v>160</v>
      </c>
      <c r="C137" s="74">
        <v>-30</v>
      </c>
      <c r="D137" s="74">
        <v>-58</v>
      </c>
      <c r="E137" s="74">
        <v>-58</v>
      </c>
      <c r="F137" s="74">
        <v>-29</v>
      </c>
      <c r="G137" s="28"/>
      <c r="H137" s="74">
        <v>-14</v>
      </c>
      <c r="I137" s="74">
        <f>-29-H137</f>
        <v>-15</v>
      </c>
      <c r="J137" s="74">
        <f>-43-I137-H137</f>
        <v>-14</v>
      </c>
      <c r="K137" s="28">
        <f t="shared" si="301"/>
        <v>-15</v>
      </c>
      <c r="L137" s="74">
        <v>-14</v>
      </c>
      <c r="M137" s="74">
        <f>-29-L137</f>
        <v>-15</v>
      </c>
      <c r="N137" s="74">
        <f>-29-M137-L137</f>
        <v>0</v>
      </c>
      <c r="O137" s="28">
        <f t="shared" si="302"/>
        <v>0</v>
      </c>
      <c r="P137" s="74">
        <v>0</v>
      </c>
      <c r="Q137" s="74">
        <v>0</v>
      </c>
      <c r="R137" s="28"/>
      <c r="S137" s="28">
        <f t="shared" si="303"/>
        <v>-58</v>
      </c>
      <c r="T137" s="28">
        <f t="shared" si="304"/>
        <v>-58</v>
      </c>
      <c r="U137" s="28">
        <f t="shared" si="305"/>
        <v>-58</v>
      </c>
      <c r="V137" s="28">
        <f t="shared" si="306"/>
        <v>-44</v>
      </c>
      <c r="W137" s="28">
        <f t="shared" si="307"/>
        <v>-29</v>
      </c>
      <c r="X137" s="28">
        <f t="shared" si="308"/>
        <v>-15</v>
      </c>
      <c r="Y137" s="28">
        <f t="shared" si="309"/>
        <v>0</v>
      </c>
      <c r="Z137" s="53"/>
      <c r="AA137" s="66">
        <f t="shared" ref="AA137:AA139" si="312">SUM(Y137/U137)-1</f>
        <v>-1</v>
      </c>
    </row>
    <row r="138" spans="2:27" ht="12.75" customHeight="1">
      <c r="B138" s="54" t="s">
        <v>161</v>
      </c>
      <c r="C138" s="74">
        <v>-617</v>
      </c>
      <c r="D138" s="74">
        <v>-631</v>
      </c>
      <c r="E138" s="74">
        <v>-389</v>
      </c>
      <c r="F138" s="74">
        <v>-139</v>
      </c>
      <c r="G138" s="28"/>
      <c r="H138" s="74">
        <v>-166</v>
      </c>
      <c r="I138" s="74">
        <f>-317-H138</f>
        <v>-151</v>
      </c>
      <c r="J138" s="74">
        <f>-351-I138-H138</f>
        <v>-34</v>
      </c>
      <c r="K138" s="28">
        <f t="shared" si="301"/>
        <v>-38</v>
      </c>
      <c r="L138" s="74">
        <v>-35</v>
      </c>
      <c r="M138" s="74">
        <f>-68-L138</f>
        <v>-33</v>
      </c>
      <c r="N138" s="74">
        <f>-102-M138-L138</f>
        <v>-34</v>
      </c>
      <c r="O138" s="28">
        <f t="shared" si="302"/>
        <v>-37</v>
      </c>
      <c r="P138" s="74">
        <v>-36</v>
      </c>
      <c r="Q138" s="74">
        <f>-70-P138</f>
        <v>-34</v>
      </c>
      <c r="R138" s="28"/>
      <c r="S138" s="28">
        <f t="shared" si="303"/>
        <v>-389</v>
      </c>
      <c r="T138" s="28">
        <f t="shared" si="304"/>
        <v>-258</v>
      </c>
      <c r="U138" s="28">
        <f t="shared" si="305"/>
        <v>-140</v>
      </c>
      <c r="V138" s="28">
        <f t="shared" si="306"/>
        <v>-140</v>
      </c>
      <c r="W138" s="28">
        <f t="shared" si="307"/>
        <v>-139</v>
      </c>
      <c r="X138" s="28">
        <f t="shared" si="308"/>
        <v>-140</v>
      </c>
      <c r="Y138" s="28">
        <f t="shared" si="309"/>
        <v>-141</v>
      </c>
      <c r="Z138" s="53"/>
      <c r="AA138" s="66">
        <f t="shared" si="312"/>
        <v>7.1428571428571175E-3</v>
      </c>
    </row>
    <row r="139" spans="2:27" ht="12.75" customHeight="1">
      <c r="B139" s="54" t="s">
        <v>162</v>
      </c>
      <c r="C139" s="74">
        <v>-110</v>
      </c>
      <c r="D139" s="74">
        <v>-31</v>
      </c>
      <c r="E139" s="74">
        <v>-29</v>
      </c>
      <c r="F139" s="74">
        <v>-60</v>
      </c>
      <c r="G139" s="28"/>
      <c r="H139" s="74">
        <v>-16</v>
      </c>
      <c r="I139" s="74">
        <f>-19-H139</f>
        <v>-3</v>
      </c>
      <c r="J139" s="74">
        <f>-21-I139-H139</f>
        <v>-2</v>
      </c>
      <c r="K139" s="28">
        <f t="shared" si="301"/>
        <v>-8</v>
      </c>
      <c r="L139" s="74">
        <v>-17</v>
      </c>
      <c r="M139" s="74">
        <f>-18-L139</f>
        <v>-1</v>
      </c>
      <c r="N139" s="74">
        <f>-21-M139-L139</f>
        <v>-3</v>
      </c>
      <c r="O139" s="28">
        <f t="shared" si="302"/>
        <v>-39</v>
      </c>
      <c r="P139" s="74">
        <v>-26</v>
      </c>
      <c r="Q139" s="74">
        <f>-26-P139</f>
        <v>0</v>
      </c>
      <c r="R139" s="28"/>
      <c r="S139" s="28">
        <f t="shared" si="303"/>
        <v>-29</v>
      </c>
      <c r="T139" s="28">
        <f t="shared" si="304"/>
        <v>-30</v>
      </c>
      <c r="U139" s="28">
        <f t="shared" si="305"/>
        <v>-28</v>
      </c>
      <c r="V139" s="28">
        <f t="shared" si="306"/>
        <v>-29</v>
      </c>
      <c r="W139" s="28">
        <f t="shared" si="307"/>
        <v>-60</v>
      </c>
      <c r="X139" s="28">
        <f t="shared" si="308"/>
        <v>-69</v>
      </c>
      <c r="Y139" s="28">
        <f t="shared" si="309"/>
        <v>-68</v>
      </c>
      <c r="Z139" s="53"/>
      <c r="AA139" s="66">
        <f t="shared" si="312"/>
        <v>1.4285714285714284</v>
      </c>
    </row>
    <row r="140" spans="2:27" ht="12.75" customHeight="1">
      <c r="B140" s="54" t="s">
        <v>163</v>
      </c>
      <c r="C140" s="74">
        <v>-235</v>
      </c>
      <c r="D140" s="74">
        <v>-218</v>
      </c>
      <c r="E140" s="74">
        <v>-93</v>
      </c>
      <c r="F140" s="74">
        <v>-127</v>
      </c>
      <c r="G140" s="28"/>
      <c r="H140" s="74">
        <v>-89</v>
      </c>
      <c r="I140" s="74">
        <f>-93-H140</f>
        <v>-4</v>
      </c>
      <c r="J140" s="74">
        <f>-97-I140-H140</f>
        <v>-4</v>
      </c>
      <c r="K140" s="28">
        <f t="shared" si="301"/>
        <v>4</v>
      </c>
      <c r="L140" s="74">
        <v>-94</v>
      </c>
      <c r="M140" s="74">
        <f>-97-L140</f>
        <v>-3</v>
      </c>
      <c r="N140" s="74">
        <f>-120-M140-L140</f>
        <v>-23</v>
      </c>
      <c r="O140" s="28">
        <f t="shared" si="302"/>
        <v>-7</v>
      </c>
      <c r="P140" s="74">
        <v>-77</v>
      </c>
      <c r="Q140" s="74">
        <f>-65-P140</f>
        <v>12</v>
      </c>
      <c r="R140" s="28"/>
      <c r="S140" s="28">
        <f t="shared" si="303"/>
        <v>-93</v>
      </c>
      <c r="T140" s="28">
        <f t="shared" si="304"/>
        <v>-98</v>
      </c>
      <c r="U140" s="28">
        <f t="shared" si="305"/>
        <v>-97</v>
      </c>
      <c r="V140" s="28">
        <f t="shared" si="306"/>
        <v>-116</v>
      </c>
      <c r="W140" s="28">
        <f t="shared" si="307"/>
        <v>-127</v>
      </c>
      <c r="X140" s="28">
        <f t="shared" si="308"/>
        <v>-110</v>
      </c>
      <c r="Y140" s="28">
        <f t="shared" si="309"/>
        <v>-95</v>
      </c>
      <c r="Z140" s="53"/>
      <c r="AA140" s="66">
        <f t="shared" ref="AA140:AA142" si="313">SUM(Y140/U140)-1</f>
        <v>-2.0618556701030966E-2</v>
      </c>
    </row>
    <row r="141" spans="2:27" ht="12.75" customHeight="1">
      <c r="B141" s="54" t="s">
        <v>194</v>
      </c>
      <c r="C141" s="74">
        <f>983+1672+408</f>
        <v>3063</v>
      </c>
      <c r="D141" s="74">
        <v>0</v>
      </c>
      <c r="E141" s="74">
        <v>0</v>
      </c>
      <c r="F141" s="74">
        <v>0</v>
      </c>
      <c r="G141" s="28"/>
      <c r="H141" s="74">
        <v>0</v>
      </c>
      <c r="I141" s="74">
        <v>0</v>
      </c>
      <c r="J141" s="74">
        <v>0</v>
      </c>
      <c r="K141" s="28">
        <f t="shared" si="301"/>
        <v>0</v>
      </c>
      <c r="L141" s="74">
        <v>0</v>
      </c>
      <c r="M141" s="74">
        <v>0</v>
      </c>
      <c r="N141" s="74">
        <v>0</v>
      </c>
      <c r="O141" s="28">
        <f t="shared" si="302"/>
        <v>0</v>
      </c>
      <c r="P141" s="74">
        <v>0</v>
      </c>
      <c r="Q141" s="74">
        <v>0</v>
      </c>
      <c r="R141" s="28"/>
      <c r="S141" s="28"/>
      <c r="T141" s="28">
        <f t="shared" si="304"/>
        <v>0</v>
      </c>
      <c r="U141" s="28"/>
      <c r="V141" s="28"/>
      <c r="W141" s="28"/>
      <c r="X141" s="28"/>
      <c r="Y141" s="28"/>
      <c r="Z141" s="53"/>
      <c r="AA141" s="66"/>
    </row>
    <row r="142" spans="2:27" ht="12.75" customHeight="1">
      <c r="B142" s="54" t="s">
        <v>164</v>
      </c>
      <c r="C142" s="74">
        <v>-51</v>
      </c>
      <c r="D142" s="74">
        <v>-41</v>
      </c>
      <c r="E142" s="74">
        <v>-40</v>
      </c>
      <c r="F142" s="74">
        <v>-26</v>
      </c>
      <c r="G142" s="28"/>
      <c r="H142" s="74">
        <v>-30</v>
      </c>
      <c r="I142" s="74">
        <f>-34-H142</f>
        <v>-4</v>
      </c>
      <c r="J142" s="74">
        <f>-38-I142-H142</f>
        <v>-4</v>
      </c>
      <c r="K142" s="28">
        <f t="shared" si="301"/>
        <v>-2</v>
      </c>
      <c r="L142" s="74">
        <v>-27</v>
      </c>
      <c r="M142" s="74">
        <f>-25-L142</f>
        <v>2</v>
      </c>
      <c r="N142" s="74">
        <f>-26-M142-L142</f>
        <v>-1</v>
      </c>
      <c r="O142" s="28">
        <f t="shared" si="302"/>
        <v>0</v>
      </c>
      <c r="P142" s="74">
        <v>0</v>
      </c>
      <c r="Q142" s="74">
        <v>0</v>
      </c>
      <c r="R142" s="28"/>
      <c r="S142" s="28">
        <f t="shared" si="303"/>
        <v>-40</v>
      </c>
      <c r="T142" s="28">
        <f t="shared" si="304"/>
        <v>-37</v>
      </c>
      <c r="U142" s="28">
        <f t="shared" si="305"/>
        <v>-31</v>
      </c>
      <c r="V142" s="28">
        <f t="shared" si="306"/>
        <v>-28</v>
      </c>
      <c r="W142" s="28">
        <f t="shared" si="307"/>
        <v>-26</v>
      </c>
      <c r="X142" s="28">
        <f t="shared" si="308"/>
        <v>1</v>
      </c>
      <c r="Y142" s="28">
        <f t="shared" si="309"/>
        <v>-1</v>
      </c>
      <c r="Z142" s="53"/>
      <c r="AA142" s="66">
        <f t="shared" si="313"/>
        <v>-0.967741935483871</v>
      </c>
    </row>
    <row r="143" spans="2:27" ht="12.75" customHeight="1">
      <c r="B143" s="12" t="s">
        <v>52</v>
      </c>
      <c r="C143" s="13">
        <f>SUM(C135:C142)</f>
        <v>-152</v>
      </c>
      <c r="D143" s="13">
        <f>SUM(D135:D142)</f>
        <v>-2981</v>
      </c>
      <c r="E143" s="13">
        <f>SUM(E135:E142)</f>
        <v>-1841</v>
      </c>
      <c r="F143" s="13">
        <f>SUM(F135:F142)</f>
        <v>-507</v>
      </c>
      <c r="H143" s="13">
        <f>SUM(H135:H142)</f>
        <v>-312</v>
      </c>
      <c r="I143" s="13">
        <f>SUM(I135:I142)</f>
        <v>-235</v>
      </c>
      <c r="J143" s="13">
        <f>SUM(J135:J142)</f>
        <v>-197</v>
      </c>
      <c r="K143" s="13">
        <f>SUM(K135:K142)</f>
        <v>-1097</v>
      </c>
      <c r="L143" s="13">
        <f>SUM(L135:L142)</f>
        <v>-187</v>
      </c>
      <c r="M143" s="13">
        <f>SUM(M135:M142)</f>
        <v>-50</v>
      </c>
      <c r="N143" s="13">
        <f>SUM(N135:N142)</f>
        <v>-61</v>
      </c>
      <c r="O143" s="13">
        <f>SUM(O135:O142)</f>
        <v>-209</v>
      </c>
      <c r="P143" s="13">
        <f>SUM(P135:P142)</f>
        <v>-139</v>
      </c>
      <c r="Q143" s="13">
        <f>SUM(Q135:Q142)</f>
        <v>-22</v>
      </c>
      <c r="S143" s="13">
        <f>SUM(S135:S142)</f>
        <v>-1841</v>
      </c>
      <c r="T143" s="13">
        <f>SUM(T135:T142)</f>
        <v>-1716</v>
      </c>
      <c r="U143" s="13">
        <f>SUM(U135:U142)</f>
        <v>-1531</v>
      </c>
      <c r="V143" s="13">
        <f>SUM(V135:V142)</f>
        <v>-1395</v>
      </c>
      <c r="W143" s="13">
        <f>SUM(W135:W142)</f>
        <v>-507</v>
      </c>
      <c r="X143" s="13">
        <f>SUM(X135:X142)</f>
        <v>-459</v>
      </c>
      <c r="Y143" s="13">
        <f>SUM(Y135:Y142)</f>
        <v>-431</v>
      </c>
      <c r="Z143" s="37"/>
      <c r="AA143" s="67">
        <f>SUM(Y143/U143)-1</f>
        <v>-0.71848465055519273</v>
      </c>
    </row>
    <row r="144" spans="2:27" ht="5.0999999999999996" customHeight="1">
      <c r="B144" s="8"/>
      <c r="C144" s="58"/>
      <c r="D144" s="58"/>
      <c r="E144" s="58"/>
      <c r="F144" s="58"/>
      <c r="G144" s="28"/>
      <c r="H144" s="58"/>
      <c r="I144" s="58"/>
      <c r="J144" s="58"/>
      <c r="K144" s="58"/>
      <c r="L144" s="58"/>
      <c r="M144" s="58"/>
      <c r="N144" s="58"/>
      <c r="O144" s="58"/>
      <c r="P144" s="58"/>
      <c r="Q144" s="58"/>
      <c r="S144" s="11"/>
      <c r="T144" s="11"/>
      <c r="U144" s="11"/>
      <c r="V144" s="11"/>
      <c r="W144" s="11"/>
      <c r="X144" s="11"/>
      <c r="Y144" s="11"/>
      <c r="Z144" s="11"/>
      <c r="AA144" s="40"/>
    </row>
    <row r="145" spans="2:27" ht="5.0999999999999996" customHeight="1">
      <c r="B145" s="63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11"/>
      <c r="AA145" s="40"/>
    </row>
    <row r="146" spans="2:27">
      <c r="B146" s="141" t="s">
        <v>86</v>
      </c>
      <c r="C146" s="150">
        <v>3119</v>
      </c>
      <c r="D146" s="146">
        <f t="shared" ref="D146:E146" si="314">C153</f>
        <v>6267</v>
      </c>
      <c r="E146" s="146">
        <f t="shared" si="314"/>
        <v>2885</v>
      </c>
      <c r="F146" s="146">
        <f t="shared" ref="F146" si="315">E153</f>
        <v>2460</v>
      </c>
      <c r="G146" s="146"/>
      <c r="H146" s="146">
        <f>E146</f>
        <v>2885</v>
      </c>
      <c r="I146" s="146">
        <f t="shared" ref="I146:Q146" si="316">H153</f>
        <v>2109</v>
      </c>
      <c r="J146" s="146">
        <f t="shared" si="316"/>
        <v>1714</v>
      </c>
      <c r="K146" s="146">
        <f t="shared" si="316"/>
        <v>1804</v>
      </c>
      <c r="L146" s="146">
        <f t="shared" si="316"/>
        <v>2460</v>
      </c>
      <c r="M146" s="146">
        <f t="shared" si="316"/>
        <v>2384</v>
      </c>
      <c r="N146" s="146">
        <f t="shared" si="316"/>
        <v>2315</v>
      </c>
      <c r="O146" s="146">
        <f t="shared" si="316"/>
        <v>2443</v>
      </c>
      <c r="P146" s="146">
        <f t="shared" si="316"/>
        <v>2661</v>
      </c>
      <c r="Q146" s="146">
        <f t="shared" si="316"/>
        <v>2673</v>
      </c>
      <c r="R146" s="146"/>
      <c r="S146" s="146">
        <f t="shared" ref="S146:S147" si="317">K146</f>
        <v>1804</v>
      </c>
      <c r="T146" s="146">
        <f t="shared" ref="T146:X146" si="318">S153</f>
        <v>2460</v>
      </c>
      <c r="U146" s="146">
        <f t="shared" si="318"/>
        <v>2384</v>
      </c>
      <c r="V146" s="146">
        <f t="shared" si="318"/>
        <v>2315</v>
      </c>
      <c r="W146" s="146">
        <f t="shared" si="318"/>
        <v>2443</v>
      </c>
      <c r="X146" s="146">
        <f t="shared" si="318"/>
        <v>2661</v>
      </c>
      <c r="Y146" s="156">
        <f>X153</f>
        <v>2673</v>
      </c>
      <c r="Z146" s="11"/>
      <c r="AA146" s="40"/>
    </row>
    <row r="147" spans="2:27">
      <c r="B147" s="142" t="s">
        <v>83</v>
      </c>
      <c r="C147" s="74">
        <v>0</v>
      </c>
      <c r="D147" s="28">
        <f t="shared" ref="D147:E147" si="319">-C151</f>
        <v>0</v>
      </c>
      <c r="E147" s="28">
        <f t="shared" si="319"/>
        <v>0</v>
      </c>
      <c r="F147" s="28">
        <f t="shared" ref="F147" si="320">-E151</f>
        <v>0</v>
      </c>
      <c r="G147" s="28"/>
      <c r="H147" s="28">
        <f t="shared" ref="H147" si="321">E147</f>
        <v>0</v>
      </c>
      <c r="I147" s="28">
        <f>-H151</f>
        <v>0</v>
      </c>
      <c r="J147" s="28">
        <f t="shared" ref="J147:Q147" si="322">-I151</f>
        <v>0</v>
      </c>
      <c r="K147" s="28">
        <f t="shared" si="322"/>
        <v>0</v>
      </c>
      <c r="L147" s="28">
        <f t="shared" si="322"/>
        <v>0</v>
      </c>
      <c r="M147" s="28">
        <f t="shared" si="322"/>
        <v>0</v>
      </c>
      <c r="N147" s="28">
        <f t="shared" si="322"/>
        <v>0</v>
      </c>
      <c r="O147" s="28">
        <f t="shared" si="322"/>
        <v>0</v>
      </c>
      <c r="P147" s="28">
        <f t="shared" si="322"/>
        <v>0</v>
      </c>
      <c r="Q147" s="28">
        <f t="shared" si="322"/>
        <v>0</v>
      </c>
      <c r="R147" s="28"/>
      <c r="S147" s="28">
        <f t="shared" si="317"/>
        <v>0</v>
      </c>
      <c r="T147" s="28">
        <f t="shared" ref="T147:Y147" si="323">-S151</f>
        <v>0</v>
      </c>
      <c r="U147" s="28">
        <f t="shared" si="323"/>
        <v>0</v>
      </c>
      <c r="V147" s="28">
        <f t="shared" si="323"/>
        <v>0</v>
      </c>
      <c r="W147" s="28">
        <f t="shared" si="323"/>
        <v>0</v>
      </c>
      <c r="X147" s="28">
        <f t="shared" si="323"/>
        <v>0</v>
      </c>
      <c r="Y147" s="137">
        <f t="shared" si="323"/>
        <v>0</v>
      </c>
      <c r="Z147" s="11"/>
      <c r="AA147" s="40"/>
    </row>
    <row r="148" spans="2:27">
      <c r="B148" s="143" t="s">
        <v>66</v>
      </c>
      <c r="C148" s="111">
        <f t="shared" ref="C148:E148" si="324">SUM(C146:C147)</f>
        <v>3119</v>
      </c>
      <c r="D148" s="111">
        <f t="shared" si="324"/>
        <v>6267</v>
      </c>
      <c r="E148" s="111">
        <f t="shared" si="324"/>
        <v>2885</v>
      </c>
      <c r="F148" s="111">
        <f t="shared" ref="F148" si="325">SUM(F146:F147)</f>
        <v>2460</v>
      </c>
      <c r="G148" s="28"/>
      <c r="H148" s="111">
        <f t="shared" ref="H148:Q148" si="326">SUM(H146:H147)</f>
        <v>2885</v>
      </c>
      <c r="I148" s="111">
        <f t="shared" si="326"/>
        <v>2109</v>
      </c>
      <c r="J148" s="111">
        <f t="shared" si="326"/>
        <v>1714</v>
      </c>
      <c r="K148" s="111">
        <f t="shared" si="326"/>
        <v>1804</v>
      </c>
      <c r="L148" s="111">
        <f t="shared" si="326"/>
        <v>2460</v>
      </c>
      <c r="M148" s="111">
        <f t="shared" si="326"/>
        <v>2384</v>
      </c>
      <c r="N148" s="111">
        <f t="shared" si="326"/>
        <v>2315</v>
      </c>
      <c r="O148" s="111">
        <f t="shared" si="326"/>
        <v>2443</v>
      </c>
      <c r="P148" s="111">
        <f t="shared" si="326"/>
        <v>2661</v>
      </c>
      <c r="Q148" s="111">
        <f t="shared" si="326"/>
        <v>2673</v>
      </c>
      <c r="R148" s="28"/>
      <c r="S148" s="111">
        <f t="shared" ref="S148:T148" si="327">SUM(S146:S147)</f>
        <v>1804</v>
      </c>
      <c r="T148" s="111">
        <f t="shared" si="327"/>
        <v>2460</v>
      </c>
      <c r="U148" s="111">
        <f t="shared" ref="U148" si="328">SUM(U146:U147)</f>
        <v>2384</v>
      </c>
      <c r="V148" s="111">
        <f t="shared" ref="V148" si="329">SUM(V146:V147)</f>
        <v>2315</v>
      </c>
      <c r="W148" s="111">
        <f t="shared" ref="W148" si="330">SUM(W146:W147)</f>
        <v>2443</v>
      </c>
      <c r="X148" s="111">
        <f t="shared" ref="X148" si="331">SUM(X146:X147)</f>
        <v>2661</v>
      </c>
      <c r="Y148" s="138">
        <f t="shared" ref="Y148" si="332">SUM(Y146:Y147)</f>
        <v>2673</v>
      </c>
      <c r="Z148" s="11"/>
      <c r="AA148" s="40"/>
    </row>
    <row r="149" spans="2:27" ht="5.0999999999999996" customHeight="1">
      <c r="B149" s="144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137"/>
      <c r="Z149" s="11"/>
      <c r="AA149" s="40"/>
    </row>
    <row r="150" spans="2:27">
      <c r="B150" s="142" t="s">
        <v>84</v>
      </c>
      <c r="C150" s="74">
        <v>-48</v>
      </c>
      <c r="D150" s="74">
        <v>-94</v>
      </c>
      <c r="E150" s="74">
        <v>-1</v>
      </c>
      <c r="F150" s="74">
        <v>-56</v>
      </c>
      <c r="G150" s="28"/>
      <c r="H150" s="74">
        <v>3</v>
      </c>
      <c r="I150" s="74">
        <f>4-H150</f>
        <v>1</v>
      </c>
      <c r="J150" s="74">
        <f>-24-I150-H150</f>
        <v>-28</v>
      </c>
      <c r="K150" s="28">
        <f t="shared" ref="K150" si="333">SUM(E150-SUM(H150:J150))</f>
        <v>23</v>
      </c>
      <c r="L150" s="74">
        <v>-21</v>
      </c>
      <c r="M150" s="74">
        <f>-30-L150</f>
        <v>-9</v>
      </c>
      <c r="N150" s="74">
        <f>14-M150-L150</f>
        <v>44</v>
      </c>
      <c r="O150" s="28">
        <f t="shared" ref="O150" si="334">SUM(F150-SUM(L150:N150))</f>
        <v>-70</v>
      </c>
      <c r="P150" s="74">
        <v>40</v>
      </c>
      <c r="Q150" s="74">
        <f>84-P150</f>
        <v>44</v>
      </c>
      <c r="R150" s="28"/>
      <c r="S150" s="28">
        <f t="shared" ref="S150:X152" si="335">K150</f>
        <v>23</v>
      </c>
      <c r="T150" s="28">
        <f t="shared" si="335"/>
        <v>-21</v>
      </c>
      <c r="U150" s="28">
        <f t="shared" si="335"/>
        <v>-9</v>
      </c>
      <c r="V150" s="28">
        <f t="shared" si="335"/>
        <v>44</v>
      </c>
      <c r="W150" s="28">
        <f t="shared" si="335"/>
        <v>-70</v>
      </c>
      <c r="X150" s="28">
        <f t="shared" si="335"/>
        <v>40</v>
      </c>
      <c r="Y150" s="137">
        <f>Q150</f>
        <v>44</v>
      </c>
      <c r="Z150" s="11"/>
      <c r="AA150" s="40"/>
    </row>
    <row r="151" spans="2:27">
      <c r="B151" s="142" t="s">
        <v>85</v>
      </c>
      <c r="C151" s="74">
        <v>0</v>
      </c>
      <c r="D151" s="74">
        <v>0</v>
      </c>
      <c r="E151" s="74">
        <v>0</v>
      </c>
      <c r="F151" s="74">
        <v>0</v>
      </c>
      <c r="G151" s="28"/>
      <c r="H151" s="74">
        <v>0</v>
      </c>
      <c r="I151" s="74">
        <v>0</v>
      </c>
      <c r="J151" s="74">
        <v>0</v>
      </c>
      <c r="K151" s="28">
        <f>E151</f>
        <v>0</v>
      </c>
      <c r="L151" s="74">
        <v>0</v>
      </c>
      <c r="M151" s="74">
        <v>0</v>
      </c>
      <c r="N151" s="74">
        <v>0</v>
      </c>
      <c r="O151" s="28">
        <f>F151</f>
        <v>0</v>
      </c>
      <c r="P151" s="74">
        <v>0</v>
      </c>
      <c r="Q151" s="74">
        <v>0</v>
      </c>
      <c r="R151" s="28"/>
      <c r="S151" s="28">
        <f t="shared" si="335"/>
        <v>0</v>
      </c>
      <c r="T151" s="28">
        <f t="shared" si="335"/>
        <v>0</v>
      </c>
      <c r="U151" s="28">
        <f t="shared" si="335"/>
        <v>0</v>
      </c>
      <c r="V151" s="28">
        <f t="shared" si="335"/>
        <v>0</v>
      </c>
      <c r="W151" s="28">
        <f t="shared" si="335"/>
        <v>0</v>
      </c>
      <c r="X151" s="28">
        <f t="shared" si="335"/>
        <v>0</v>
      </c>
      <c r="Y151" s="137">
        <f t="shared" ref="Y151:Y152" si="336">Q151</f>
        <v>0</v>
      </c>
      <c r="Z151" s="11"/>
      <c r="AA151" s="40"/>
    </row>
    <row r="152" spans="2:27">
      <c r="B152" s="142" t="s">
        <v>56</v>
      </c>
      <c r="C152" s="28">
        <f>+C143+C132+C124</f>
        <v>3196</v>
      </c>
      <c r="D152" s="28">
        <f>+D143+D132+D124</f>
        <v>-3288</v>
      </c>
      <c r="E152" s="28">
        <f>+E143+E132+E124</f>
        <v>-424</v>
      </c>
      <c r="F152" s="28">
        <f>+F143+F132+F124</f>
        <v>257</v>
      </c>
      <c r="G152" s="28"/>
      <c r="H152" s="148">
        <f>+H143+H132+H124</f>
        <v>-779</v>
      </c>
      <c r="I152" s="28">
        <f>+I143+I132+I124</f>
        <v>-396</v>
      </c>
      <c r="J152" s="28">
        <f>+J143+J132+J124</f>
        <v>118</v>
      </c>
      <c r="K152" s="28">
        <f>+K143+K132+K124</f>
        <v>633</v>
      </c>
      <c r="L152" s="28">
        <f>+L143+L132+L124</f>
        <v>-55</v>
      </c>
      <c r="M152" s="28">
        <f>+M143+M132+M124</f>
        <v>-60</v>
      </c>
      <c r="N152" s="28">
        <f>+N143+N132+N124</f>
        <v>84</v>
      </c>
      <c r="O152" s="28">
        <f>+O143+O132+O124</f>
        <v>288</v>
      </c>
      <c r="P152" s="28">
        <f>+P143+P132+P124</f>
        <v>-28</v>
      </c>
      <c r="Q152" s="28">
        <f>+Q143+Q132+Q124</f>
        <v>22</v>
      </c>
      <c r="R152" s="28"/>
      <c r="S152" s="28">
        <f t="shared" si="335"/>
        <v>633</v>
      </c>
      <c r="T152" s="28">
        <f t="shared" si="335"/>
        <v>-55</v>
      </c>
      <c r="U152" s="28">
        <f t="shared" si="335"/>
        <v>-60</v>
      </c>
      <c r="V152" s="28">
        <f t="shared" si="335"/>
        <v>84</v>
      </c>
      <c r="W152" s="28">
        <f t="shared" si="335"/>
        <v>288</v>
      </c>
      <c r="X152" s="28">
        <f t="shared" si="335"/>
        <v>-28</v>
      </c>
      <c r="Y152" s="137">
        <f t="shared" si="336"/>
        <v>22</v>
      </c>
      <c r="Z152" s="11"/>
      <c r="AA152" s="40"/>
    </row>
    <row r="153" spans="2:27">
      <c r="B153" s="143" t="s">
        <v>67</v>
      </c>
      <c r="C153" s="111">
        <f t="shared" ref="C153:E153" si="337">SUM(C148:C152)</f>
        <v>6267</v>
      </c>
      <c r="D153" s="111">
        <f t="shared" si="337"/>
        <v>2885</v>
      </c>
      <c r="E153" s="111">
        <f t="shared" si="337"/>
        <v>2460</v>
      </c>
      <c r="F153" s="111">
        <f t="shared" ref="F153:Q153" si="338">SUM(F148:F152)</f>
        <v>2661</v>
      </c>
      <c r="G153" s="28"/>
      <c r="H153" s="111">
        <f t="shared" si="338"/>
        <v>2109</v>
      </c>
      <c r="I153" s="111">
        <f t="shared" si="338"/>
        <v>1714</v>
      </c>
      <c r="J153" s="111">
        <f t="shared" si="338"/>
        <v>1804</v>
      </c>
      <c r="K153" s="111">
        <f t="shared" si="338"/>
        <v>2460</v>
      </c>
      <c r="L153" s="111">
        <f t="shared" si="338"/>
        <v>2384</v>
      </c>
      <c r="M153" s="111">
        <f t="shared" si="338"/>
        <v>2315</v>
      </c>
      <c r="N153" s="111">
        <f t="shared" si="338"/>
        <v>2443</v>
      </c>
      <c r="O153" s="111">
        <f t="shared" si="338"/>
        <v>2661</v>
      </c>
      <c r="P153" s="111">
        <f t="shared" si="338"/>
        <v>2673</v>
      </c>
      <c r="Q153" s="111">
        <f t="shared" si="338"/>
        <v>2739</v>
      </c>
      <c r="R153" s="28"/>
      <c r="S153" s="111">
        <f t="shared" ref="S153:Y153" si="339">SUM(S148:S152)</f>
        <v>2460</v>
      </c>
      <c r="T153" s="111">
        <f t="shared" si="339"/>
        <v>2384</v>
      </c>
      <c r="U153" s="111">
        <f t="shared" si="339"/>
        <v>2315</v>
      </c>
      <c r="V153" s="111">
        <f t="shared" si="339"/>
        <v>2443</v>
      </c>
      <c r="W153" s="111">
        <f t="shared" si="339"/>
        <v>2661</v>
      </c>
      <c r="X153" s="111">
        <f t="shared" si="339"/>
        <v>2673</v>
      </c>
      <c r="Y153" s="138">
        <f t="shared" si="339"/>
        <v>2739</v>
      </c>
      <c r="Z153" s="11"/>
      <c r="AA153" s="40"/>
    </row>
    <row r="154" spans="2:27" ht="5.0999999999999996" customHeight="1">
      <c r="B154" s="145"/>
      <c r="C154" s="58"/>
      <c r="D154" s="58"/>
      <c r="E154" s="58"/>
      <c r="F154" s="58"/>
      <c r="G154" s="28"/>
      <c r="H154" s="58"/>
      <c r="I154" s="58"/>
      <c r="J154" s="58"/>
      <c r="K154" s="58"/>
      <c r="L154" s="58"/>
      <c r="M154" s="58"/>
      <c r="N154" s="58"/>
      <c r="O154" s="58"/>
      <c r="P154" s="58"/>
      <c r="Q154" s="58"/>
      <c r="S154" s="11"/>
      <c r="T154" s="11"/>
      <c r="U154" s="11"/>
      <c r="V154" s="11"/>
      <c r="W154" s="11"/>
      <c r="X154" s="11"/>
      <c r="Y154" s="139"/>
      <c r="Z154" s="11"/>
      <c r="AA154" s="40"/>
    </row>
    <row r="155" spans="2:27">
      <c r="B155" s="159" t="s">
        <v>193</v>
      </c>
      <c r="C155" s="135">
        <f>C153-C53</f>
        <v>0</v>
      </c>
      <c r="D155" s="135">
        <f>D153-D53</f>
        <v>0</v>
      </c>
      <c r="E155" s="135">
        <f>E153-E53</f>
        <v>0</v>
      </c>
      <c r="F155" s="135">
        <f>F153-F53</f>
        <v>0</v>
      </c>
      <c r="G155" s="136"/>
      <c r="H155" s="135">
        <f>H153-H53</f>
        <v>0</v>
      </c>
      <c r="I155" s="135">
        <f>I153-I53</f>
        <v>0</v>
      </c>
      <c r="J155" s="135">
        <f>J153-J53</f>
        <v>0</v>
      </c>
      <c r="K155" s="135">
        <f>K153-K53</f>
        <v>0</v>
      </c>
      <c r="L155" s="135">
        <f>L153-L53</f>
        <v>0</v>
      </c>
      <c r="M155" s="135">
        <f>M153-M53</f>
        <v>0</v>
      </c>
      <c r="N155" s="135">
        <f>N153-N53</f>
        <v>0</v>
      </c>
      <c r="O155" s="135">
        <f>O153-O53</f>
        <v>0</v>
      </c>
      <c r="P155" s="135">
        <f>P153-P53</f>
        <v>0</v>
      </c>
      <c r="Q155" s="135">
        <f>Q153-Q53</f>
        <v>0</v>
      </c>
      <c r="R155" s="135"/>
      <c r="S155" s="135">
        <f>S153-S53</f>
        <v>0</v>
      </c>
      <c r="T155" s="135">
        <f>T153-T53</f>
        <v>0</v>
      </c>
      <c r="U155" s="135">
        <f>U153-U53</f>
        <v>0</v>
      </c>
      <c r="V155" s="135">
        <f>V153-V53</f>
        <v>0</v>
      </c>
      <c r="W155" s="135">
        <f>W153-W53</f>
        <v>0</v>
      </c>
      <c r="X155" s="135">
        <f>X153-X53</f>
        <v>0</v>
      </c>
      <c r="Y155" s="140">
        <f>Y153-Y53</f>
        <v>0</v>
      </c>
      <c r="Z155" s="11"/>
      <c r="AA155" s="40"/>
    </row>
    <row r="156" spans="2:27" ht="5.0999999999999996" customHeight="1">
      <c r="B156" s="8"/>
      <c r="C156" s="58"/>
      <c r="D156" s="58"/>
      <c r="E156" s="58"/>
      <c r="F156" s="58"/>
      <c r="G156" s="28"/>
      <c r="H156" s="58"/>
      <c r="I156" s="58"/>
      <c r="J156" s="58"/>
      <c r="K156" s="58"/>
      <c r="L156" s="58"/>
      <c r="M156" s="58"/>
      <c r="N156" s="58"/>
      <c r="O156" s="58"/>
      <c r="P156" s="58"/>
      <c r="Q156" s="58"/>
      <c r="S156" s="11"/>
      <c r="T156" s="11"/>
      <c r="U156" s="11"/>
      <c r="V156" s="11"/>
      <c r="W156" s="11"/>
      <c r="X156" s="11"/>
      <c r="Y156" s="11"/>
      <c r="Z156" s="11"/>
      <c r="AA156" s="40"/>
    </row>
    <row r="157" spans="2:27">
      <c r="B157" s="110" t="s">
        <v>79</v>
      </c>
      <c r="C157" s="58"/>
      <c r="D157" s="58"/>
      <c r="E157" s="58"/>
      <c r="F157" s="58"/>
      <c r="G157" s="28"/>
      <c r="H157" s="58"/>
      <c r="I157" s="58"/>
      <c r="J157" s="58"/>
      <c r="K157" s="58"/>
      <c r="L157" s="58"/>
      <c r="M157" s="58"/>
      <c r="N157" s="58"/>
      <c r="O157" s="58"/>
      <c r="P157" s="58"/>
      <c r="Q157" s="58"/>
      <c r="S157" s="11"/>
      <c r="T157" s="11"/>
      <c r="U157" s="11"/>
      <c r="V157" s="11"/>
      <c r="W157" s="11"/>
      <c r="X157" s="11"/>
      <c r="Y157" s="11"/>
      <c r="Z157" s="11"/>
      <c r="AA157" s="40"/>
    </row>
    <row r="158" spans="2:27">
      <c r="B158" s="75" t="s">
        <v>82</v>
      </c>
      <c r="C158" s="58">
        <v>970</v>
      </c>
      <c r="D158" s="58">
        <v>920</v>
      </c>
      <c r="E158" s="58">
        <v>901</v>
      </c>
      <c r="F158" s="58">
        <v>833</v>
      </c>
      <c r="G158" s="28"/>
      <c r="H158" s="74">
        <v>275</v>
      </c>
      <c r="I158" s="74">
        <f>449-H158</f>
        <v>174</v>
      </c>
      <c r="J158" s="74">
        <f>696-I158-H158</f>
        <v>247</v>
      </c>
      <c r="K158" s="28">
        <f>SUM(D158-SUM(H158:J158))</f>
        <v>224</v>
      </c>
      <c r="L158" s="74">
        <v>229</v>
      </c>
      <c r="M158" s="74">
        <f>418-L158</f>
        <v>189</v>
      </c>
      <c r="N158" s="74">
        <f>676-M158-L158</f>
        <v>258</v>
      </c>
      <c r="O158" s="28">
        <f>SUM(E158-SUM(L158:N158))</f>
        <v>225</v>
      </c>
      <c r="P158" s="74">
        <v>264</v>
      </c>
      <c r="Q158" s="74">
        <f>411-P158</f>
        <v>147</v>
      </c>
      <c r="S158" s="28">
        <f t="shared" ref="S158:S159" si="340">SUM(H158:K158)</f>
        <v>920</v>
      </c>
      <c r="T158" s="28">
        <f t="shared" ref="T158:T159" si="341">SUM(I158:L158)</f>
        <v>874</v>
      </c>
      <c r="U158" s="28">
        <f t="shared" ref="U158:U159" si="342">SUM(J158:M158)</f>
        <v>889</v>
      </c>
      <c r="V158" s="28">
        <f t="shared" ref="V158:V159" si="343">SUM(K158:N158)</f>
        <v>900</v>
      </c>
      <c r="W158" s="28">
        <f t="shared" ref="W158:W159" si="344">SUM(L158:O158)</f>
        <v>901</v>
      </c>
      <c r="X158" s="28">
        <f t="shared" ref="X158:X159" si="345">SUM(M158:P158)</f>
        <v>936</v>
      </c>
      <c r="Y158" s="28">
        <f t="shared" ref="Y158:Y159" si="346">SUM(N158:Q158)</f>
        <v>894</v>
      </c>
      <c r="Z158" s="11"/>
      <c r="AA158" s="40"/>
    </row>
    <row r="159" spans="2:27">
      <c r="B159" s="75" t="s">
        <v>81</v>
      </c>
      <c r="C159" s="58">
        <f>291+43</f>
        <v>334</v>
      </c>
      <c r="D159" s="58">
        <f>61+12</f>
        <v>73</v>
      </c>
      <c r="E159" s="58">
        <f>85+22</f>
        <v>107</v>
      </c>
      <c r="F159" s="58">
        <v>184</v>
      </c>
      <c r="G159" s="28"/>
      <c r="H159" s="74">
        <f>-8+2</f>
        <v>-6</v>
      </c>
      <c r="I159" s="74">
        <f>56+14-H159</f>
        <v>76</v>
      </c>
      <c r="J159" s="74">
        <f>-17+19-I159-H159</f>
        <v>-68</v>
      </c>
      <c r="K159" s="28">
        <f>SUM(D159-SUM(H159:J159))</f>
        <v>71</v>
      </c>
      <c r="L159" s="74">
        <v>27</v>
      </c>
      <c r="M159" s="74">
        <f>174-L159</f>
        <v>147</v>
      </c>
      <c r="N159" s="74">
        <f>68-M159-L159</f>
        <v>-106</v>
      </c>
      <c r="O159" s="28">
        <f>SUM(E159-SUM(L159:N159))</f>
        <v>39</v>
      </c>
      <c r="P159" s="74">
        <v>27</v>
      </c>
      <c r="Q159" s="74">
        <f>180-P159</f>
        <v>153</v>
      </c>
      <c r="S159" s="28">
        <f t="shared" si="340"/>
        <v>73</v>
      </c>
      <c r="T159" s="28">
        <f t="shared" si="341"/>
        <v>106</v>
      </c>
      <c r="U159" s="28">
        <f t="shared" si="342"/>
        <v>177</v>
      </c>
      <c r="V159" s="28">
        <f t="shared" si="343"/>
        <v>139</v>
      </c>
      <c r="W159" s="28">
        <f t="shared" si="344"/>
        <v>107</v>
      </c>
      <c r="X159" s="28">
        <f t="shared" si="345"/>
        <v>107</v>
      </c>
      <c r="Y159" s="28">
        <f t="shared" si="346"/>
        <v>113</v>
      </c>
      <c r="Z159" s="11"/>
      <c r="AA159" s="40"/>
    </row>
    <row r="160" spans="2:27" ht="5.0999999999999996" customHeight="1" thickBot="1">
      <c r="B160" s="64"/>
      <c r="C160" s="65"/>
      <c r="D160" s="65"/>
      <c r="E160" s="65"/>
      <c r="F160" s="65"/>
      <c r="G160" s="64"/>
      <c r="H160" s="64"/>
      <c r="I160" s="64"/>
      <c r="J160" s="64"/>
      <c r="K160" s="64"/>
      <c r="L160" s="64"/>
      <c r="M160" s="64"/>
      <c r="N160" s="64"/>
      <c r="O160" s="64"/>
      <c r="P160" s="64"/>
      <c r="Q160" s="64"/>
      <c r="R160" s="64"/>
      <c r="S160" s="64"/>
      <c r="T160" s="64"/>
      <c r="U160" s="64"/>
      <c r="V160" s="64"/>
      <c r="W160" s="64"/>
      <c r="X160" s="64"/>
      <c r="Y160" s="64"/>
      <c r="AA160" s="40"/>
    </row>
    <row r="161" spans="3:17" ht="12.75" customHeight="1">
      <c r="C161" s="50"/>
      <c r="D161" s="50"/>
      <c r="E161" s="50"/>
      <c r="F161" s="50"/>
    </row>
    <row r="162" spans="3:17" ht="12.75" customHeight="1">
      <c r="C162" s="50"/>
      <c r="D162" s="50"/>
      <c r="E162" s="50"/>
      <c r="F162" s="50"/>
    </row>
    <row r="163" spans="3:17" ht="12.75" customHeight="1">
      <c r="C163" s="50"/>
      <c r="D163" s="50"/>
      <c r="E163" s="50"/>
      <c r="F163" s="50"/>
    </row>
    <row r="164" spans="3:17" ht="12.75" customHeight="1">
      <c r="C164" s="50"/>
      <c r="D164" s="50"/>
      <c r="E164" s="50"/>
      <c r="F164" s="50"/>
    </row>
    <row r="165" spans="3:17" ht="12.75" customHeight="1">
      <c r="C165" s="50"/>
      <c r="D165" s="50"/>
      <c r="E165" s="50"/>
      <c r="F165" s="50"/>
      <c r="H165" s="77"/>
      <c r="I165" s="77"/>
      <c r="J165" s="77"/>
      <c r="K165" s="77"/>
      <c r="L165" s="77"/>
      <c r="M165" s="77"/>
      <c r="N165" s="77"/>
      <c r="O165" s="77"/>
      <c r="P165" s="77"/>
      <c r="Q165" s="77"/>
    </row>
    <row r="166" spans="3:17" ht="12.75" customHeight="1">
      <c r="C166" s="50"/>
      <c r="D166" s="50"/>
      <c r="E166" s="50"/>
      <c r="F166" s="50"/>
    </row>
    <row r="167" spans="3:17" ht="12.75" customHeight="1">
      <c r="C167" s="50"/>
      <c r="D167" s="50"/>
      <c r="E167" s="50"/>
      <c r="F167" s="50"/>
      <c r="H167" s="77"/>
      <c r="I167" s="77"/>
      <c r="J167" s="77"/>
      <c r="K167" s="77"/>
      <c r="L167" s="77"/>
      <c r="M167" s="77"/>
      <c r="N167" s="77"/>
      <c r="O167" s="77"/>
      <c r="P167" s="77"/>
      <c r="Q167" s="77"/>
    </row>
    <row r="168" spans="3:17">
      <c r="H168" s="77"/>
      <c r="I168" s="77"/>
      <c r="J168" s="77"/>
      <c r="K168" s="77"/>
      <c r="L168" s="77"/>
      <c r="M168" s="77"/>
      <c r="N168" s="77"/>
      <c r="O168" s="77"/>
      <c r="P168" s="77"/>
      <c r="Q168" s="77"/>
    </row>
    <row r="169" spans="3:17">
      <c r="H169" s="77"/>
      <c r="I169" s="77"/>
      <c r="J169" s="77"/>
      <c r="K169" s="77"/>
      <c r="L169" s="77"/>
      <c r="M169" s="77"/>
      <c r="N169" s="77"/>
      <c r="O169" s="77"/>
      <c r="P169" s="77"/>
      <c r="Q169" s="77"/>
    </row>
    <row r="171" spans="3:17">
      <c r="H171" s="77"/>
      <c r="I171" s="77"/>
      <c r="J171" s="77"/>
      <c r="K171" s="77"/>
      <c r="L171" s="77"/>
      <c r="M171" s="77"/>
      <c r="N171" s="77"/>
      <c r="O171" s="77"/>
      <c r="P171" s="77"/>
      <c r="Q171" s="77"/>
    </row>
    <row r="172" spans="3:17">
      <c r="H172" s="77"/>
      <c r="I172" s="77"/>
      <c r="J172" s="77"/>
      <c r="K172" s="77"/>
      <c r="L172" s="77"/>
      <c r="M172" s="77"/>
      <c r="N172" s="77"/>
      <c r="O172" s="77"/>
      <c r="P172" s="77"/>
      <c r="Q172" s="77"/>
    </row>
  </sheetData>
  <mergeCells count="3">
    <mergeCell ref="AA6:AA8"/>
    <mergeCell ref="AA48:AA50"/>
    <mergeCell ref="AA103:AA105"/>
  </mergeCells>
  <pageMargins left="0.7" right="0.7" top="0.75" bottom="0.75" header="0.3" footer="0.3"/>
  <ignoredErrors>
    <ignoredError sqref="G57" formulaRange="1"/>
    <ignoredError sqref="AA132:AA134 AA124:AA126" evalError="1"/>
    <ignoredError sqref="L109:P110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177D2-8829-42BE-A7B1-460B1A987ED3}">
  <sheetPr>
    <tabColor rgb="FFC00000"/>
  </sheetPr>
  <dimension ref="A2:Y76"/>
  <sheetViews>
    <sheetView showGridLines="0" zoomScaleNormal="100" workbookViewId="0">
      <selection activeCell="M24" sqref="M24"/>
    </sheetView>
  </sheetViews>
  <sheetFormatPr defaultRowHeight="12" outlineLevelRow="1" outlineLevelCol="1"/>
  <cols>
    <col min="1" max="1" width="1.5" style="8" customWidth="1"/>
    <col min="2" max="2" width="46.5" style="8" bestFit="1" customWidth="1"/>
    <col min="3" max="6" width="8.625" style="8" bestFit="1" customWidth="1"/>
    <col min="7" max="7" width="1.5" style="8" customWidth="1"/>
    <col min="8" max="9" width="8" style="8" customWidth="1" outlineLevel="1"/>
    <col min="10" max="11" width="8.75" style="8" customWidth="1" outlineLevel="1"/>
    <col min="12" max="12" width="8.5" style="8" customWidth="1" outlineLevel="1"/>
    <col min="13" max="13" width="8.25" style="8" customWidth="1" outlineLevel="1"/>
    <col min="14" max="14" width="8.5" style="8" bestFit="1" customWidth="1"/>
    <col min="15" max="17" width="9.125" style="8" bestFit="1" customWidth="1"/>
    <col min="18" max="18" width="1.5" style="8" customWidth="1"/>
    <col min="19" max="20" width="8.75" style="8" customWidth="1" outlineLevel="1"/>
    <col min="21" max="21" width="8.75" style="8" customWidth="1"/>
    <col min="22" max="24" width="8.75" style="8" customWidth="1" outlineLevel="1"/>
    <col min="25" max="25" width="8.75" style="8" customWidth="1"/>
    <col min="26" max="16384" width="9" style="8"/>
  </cols>
  <sheetData>
    <row r="2" spans="1:25" s="5" customFormat="1" ht="12.75" customHeight="1">
      <c r="B2" s="1" t="str">
        <f>'Historical Financials'!B2</f>
        <v>Paramount Global  (NASDAQ: PARA)</v>
      </c>
      <c r="C2" s="2" t="s">
        <v>0</v>
      </c>
      <c r="D2" s="2"/>
      <c r="E2" s="2"/>
      <c r="F2" s="2"/>
      <c r="G2" s="3"/>
      <c r="H2" s="2"/>
      <c r="I2" s="2"/>
      <c r="J2" s="2"/>
      <c r="K2" s="2"/>
      <c r="L2" s="2"/>
      <c r="M2" s="2"/>
      <c r="N2" s="2" t="s">
        <v>1</v>
      </c>
      <c r="O2" s="2"/>
      <c r="P2" s="2"/>
      <c r="Q2" s="2"/>
      <c r="R2" s="3"/>
      <c r="S2" s="2"/>
      <c r="T2" s="2"/>
      <c r="U2" s="2" t="s">
        <v>10</v>
      </c>
      <c r="V2" s="2"/>
      <c r="W2" s="2"/>
      <c r="X2" s="2"/>
      <c r="Y2" s="2"/>
    </row>
    <row r="3" spans="1:25" s="5" customFormat="1" ht="12.75" customHeight="1">
      <c r="B3" s="6" t="s">
        <v>62</v>
      </c>
      <c r="C3" s="7">
        <f>'Historical Financials'!C7</f>
        <v>2021</v>
      </c>
      <c r="D3" s="7">
        <f>'Historical Financials'!D7</f>
        <v>2022</v>
      </c>
      <c r="E3" s="7">
        <f>'Historical Financials'!E7</f>
        <v>2023</v>
      </c>
      <c r="F3" s="7">
        <f>'Historical Financials'!F7</f>
        <v>2024</v>
      </c>
      <c r="G3" s="3"/>
      <c r="H3" s="7" t="str">
        <f>'Historical Financials'!H7</f>
        <v>1Q23</v>
      </c>
      <c r="I3" s="7" t="str">
        <f>'Historical Financials'!I7</f>
        <v>2Q23</v>
      </c>
      <c r="J3" s="7" t="str">
        <f>'Historical Financials'!J7</f>
        <v>3Q23</v>
      </c>
      <c r="K3" s="7" t="str">
        <f>'Historical Financials'!K7</f>
        <v>4Q23</v>
      </c>
      <c r="L3" s="7" t="str">
        <f>'Historical Financials'!L7</f>
        <v>1Q24</v>
      </c>
      <c r="M3" s="7" t="str">
        <f>'Historical Financials'!M7</f>
        <v>2Q24</v>
      </c>
      <c r="N3" s="7" t="str">
        <f>'Historical Financials'!N7</f>
        <v>3Q24</v>
      </c>
      <c r="O3" s="7" t="str">
        <f>'Historical Financials'!O7</f>
        <v>4Q24</v>
      </c>
      <c r="P3" s="7" t="str">
        <f>'Historical Financials'!P7</f>
        <v>1Q25</v>
      </c>
      <c r="Q3" s="7" t="str">
        <f>'Historical Financials'!Q7</f>
        <v>2Q25</v>
      </c>
      <c r="R3" s="4"/>
      <c r="S3" s="4" t="str">
        <f>K3</f>
        <v>4Q23</v>
      </c>
      <c r="T3" s="4" t="str">
        <f>L3</f>
        <v>1Q24</v>
      </c>
      <c r="U3" s="4" t="str">
        <f>M3</f>
        <v>2Q24</v>
      </c>
      <c r="V3" s="4" t="str">
        <f>N3</f>
        <v>3Q24</v>
      </c>
      <c r="W3" s="4" t="str">
        <f>O3</f>
        <v>4Q24</v>
      </c>
      <c r="X3" s="4" t="str">
        <f>P3</f>
        <v>1Q25</v>
      </c>
      <c r="Y3" s="4" t="str">
        <f>Q3</f>
        <v>2Q25</v>
      </c>
    </row>
    <row r="4" spans="1:25" s="5" customFormat="1" ht="12.75" customHeight="1">
      <c r="B4" s="6" t="s">
        <v>87</v>
      </c>
      <c r="C4" s="3">
        <f>'Historical Financials'!C8</f>
        <v>44561</v>
      </c>
      <c r="D4" s="3">
        <f>'Historical Financials'!D8</f>
        <v>44926</v>
      </c>
      <c r="E4" s="3">
        <f>'Historical Financials'!E8</f>
        <v>45291</v>
      </c>
      <c r="F4" s="3">
        <f>'Historical Financials'!F8</f>
        <v>45657</v>
      </c>
      <c r="G4" s="3"/>
      <c r="H4" s="3">
        <f>'Historical Financials'!H8</f>
        <v>45016</v>
      </c>
      <c r="I4" s="3">
        <f>'Historical Financials'!I8</f>
        <v>45107</v>
      </c>
      <c r="J4" s="3">
        <f>'Historical Financials'!J8</f>
        <v>45199</v>
      </c>
      <c r="K4" s="3">
        <f>'Historical Financials'!K8</f>
        <v>44926</v>
      </c>
      <c r="L4" s="3">
        <f>'Historical Financials'!L8</f>
        <v>45382</v>
      </c>
      <c r="M4" s="3">
        <f>'Historical Financials'!M8</f>
        <v>45473</v>
      </c>
      <c r="N4" s="3">
        <f>'Historical Financials'!N8</f>
        <v>45565</v>
      </c>
      <c r="O4" s="3">
        <f>'Historical Financials'!O8</f>
        <v>45291</v>
      </c>
      <c r="P4" s="3">
        <f>'Historical Financials'!P8</f>
        <v>45747</v>
      </c>
      <c r="Q4" s="3">
        <f>'Historical Financials'!Q8</f>
        <v>45838</v>
      </c>
      <c r="R4" s="3"/>
      <c r="S4" s="3">
        <f>K4</f>
        <v>44926</v>
      </c>
      <c r="T4" s="3">
        <f>L4</f>
        <v>45382</v>
      </c>
      <c r="U4" s="3">
        <f>M4</f>
        <v>45473</v>
      </c>
      <c r="V4" s="3">
        <f>N4</f>
        <v>45565</v>
      </c>
      <c r="W4" s="3">
        <f>O4</f>
        <v>45291</v>
      </c>
      <c r="X4" s="3">
        <f>P4</f>
        <v>45747</v>
      </c>
      <c r="Y4" s="3">
        <f>Q4</f>
        <v>45838</v>
      </c>
    </row>
    <row r="5" spans="1:25" ht="5.0999999999999996" customHeight="1"/>
    <row r="6" spans="1:25">
      <c r="A6" s="31" t="s">
        <v>15</v>
      </c>
      <c r="B6" s="1" t="s">
        <v>89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5.0999999999999996" customHeight="1"/>
    <row r="8" spans="1:25" ht="12.75" customHeight="1">
      <c r="A8" s="72" t="s">
        <v>15</v>
      </c>
      <c r="B8" s="70" t="s">
        <v>167</v>
      </c>
      <c r="C8" s="10"/>
      <c r="D8" s="10"/>
      <c r="E8" s="10"/>
      <c r="F8" s="10"/>
      <c r="G8" s="10"/>
      <c r="H8" s="79"/>
      <c r="I8" s="79"/>
      <c r="J8" s="79"/>
      <c r="K8" s="28"/>
      <c r="L8" s="79"/>
      <c r="M8" s="79"/>
      <c r="N8" s="79"/>
      <c r="O8" s="28"/>
      <c r="P8" s="79"/>
      <c r="Q8" s="79"/>
      <c r="R8" s="5"/>
      <c r="S8" s="11"/>
      <c r="T8" s="11"/>
      <c r="U8" s="11"/>
      <c r="V8" s="11"/>
      <c r="W8" s="11"/>
      <c r="X8" s="11"/>
      <c r="Y8" s="11"/>
    </row>
    <row r="9" spans="1:25" ht="12.75" customHeight="1">
      <c r="A9" s="72"/>
      <c r="B9" s="9" t="s">
        <v>168</v>
      </c>
      <c r="C9" s="73">
        <v>11412</v>
      </c>
      <c r="D9" s="73">
        <v>10890</v>
      </c>
      <c r="E9" s="73">
        <v>9989</v>
      </c>
      <c r="F9" s="73">
        <v>10295</v>
      </c>
      <c r="G9" s="10"/>
      <c r="H9" s="73">
        <v>2651</v>
      </c>
      <c r="I9" s="73">
        <v>2395</v>
      </c>
      <c r="J9" s="73">
        <v>2133</v>
      </c>
      <c r="K9" s="28">
        <f>SUM(E9-SUM(H9:J9))</f>
        <v>2810</v>
      </c>
      <c r="L9" s="73">
        <v>3096</v>
      </c>
      <c r="M9" s="73">
        <v>2251</v>
      </c>
      <c r="N9" s="73">
        <v>2174</v>
      </c>
      <c r="O9" s="28">
        <f>SUM(F9-SUM(L9:N9))</f>
        <v>2774</v>
      </c>
      <c r="P9" s="73">
        <v>2513</v>
      </c>
      <c r="Q9" s="73">
        <v>2152</v>
      </c>
      <c r="R9" s="5"/>
      <c r="S9" s="28">
        <f t="shared" ref="S9:X9" si="0">SUM(H9:K9)</f>
        <v>9989</v>
      </c>
      <c r="T9" s="28">
        <f t="shared" si="0"/>
        <v>10434</v>
      </c>
      <c r="U9" s="28">
        <f t="shared" si="0"/>
        <v>10290</v>
      </c>
      <c r="V9" s="28">
        <f t="shared" si="0"/>
        <v>10331</v>
      </c>
      <c r="W9" s="28">
        <f t="shared" si="0"/>
        <v>10295</v>
      </c>
      <c r="X9" s="28">
        <f t="shared" si="0"/>
        <v>9712</v>
      </c>
      <c r="Y9" s="28">
        <f>SUM(N9:Q9)</f>
        <v>9613</v>
      </c>
    </row>
    <row r="10" spans="1:25" ht="12.75" customHeight="1">
      <c r="A10" s="72"/>
      <c r="B10" s="9" t="s">
        <v>169</v>
      </c>
      <c r="C10" s="73">
        <v>10442</v>
      </c>
      <c r="D10" s="73">
        <v>11551</v>
      </c>
      <c r="E10" s="73">
        <v>13018</v>
      </c>
      <c r="F10" s="73">
        <v>13153</v>
      </c>
      <c r="G10" s="10"/>
      <c r="H10" s="73">
        <v>3179</v>
      </c>
      <c r="I10" s="73">
        <v>3235</v>
      </c>
      <c r="J10" s="73">
        <v>3262</v>
      </c>
      <c r="K10" s="28">
        <f t="shared" ref="K10:K12" si="1">SUM(E10-SUM(H10:J10))</f>
        <v>3342</v>
      </c>
      <c r="L10" s="73">
        <v>3357</v>
      </c>
      <c r="M10" s="73">
        <v>3275</v>
      </c>
      <c r="N10" s="73">
        <v>3215</v>
      </c>
      <c r="O10" s="28">
        <f t="shared" ref="O10:O12" si="2">SUM(F10-SUM(L10:N10))</f>
        <v>3306</v>
      </c>
      <c r="P10" s="73">
        <v>3397</v>
      </c>
      <c r="Q10" s="73">
        <v>3445</v>
      </c>
      <c r="R10" s="5"/>
      <c r="S10" s="28">
        <f t="shared" ref="S10:S12" si="3">SUM(H10:K10)</f>
        <v>13018</v>
      </c>
      <c r="T10" s="28">
        <f t="shared" ref="T10:T12" si="4">SUM(I10:L10)</f>
        <v>13196</v>
      </c>
      <c r="U10" s="28">
        <f t="shared" ref="U10:U12" si="5">SUM(J10:M10)</f>
        <v>13236</v>
      </c>
      <c r="V10" s="28">
        <f t="shared" ref="V10:V12" si="6">SUM(K10:N10)</f>
        <v>13189</v>
      </c>
      <c r="W10" s="28">
        <f t="shared" ref="W10:W12" si="7">SUM(L10:O10)</f>
        <v>13153</v>
      </c>
      <c r="X10" s="28">
        <f t="shared" ref="X10:X12" si="8">SUM(M10:P10)</f>
        <v>13193</v>
      </c>
      <c r="Y10" s="28">
        <f t="shared" ref="Y10:Y12" si="9">SUM(N10:Q10)</f>
        <v>13363</v>
      </c>
    </row>
    <row r="11" spans="1:25" ht="12.75" customHeight="1">
      <c r="A11" s="72"/>
      <c r="B11" s="9" t="s">
        <v>170</v>
      </c>
      <c r="C11" s="73">
        <v>241</v>
      </c>
      <c r="D11" s="73">
        <v>1223</v>
      </c>
      <c r="E11" s="73">
        <v>813</v>
      </c>
      <c r="F11" s="73">
        <v>813</v>
      </c>
      <c r="G11" s="10"/>
      <c r="H11" s="73">
        <v>127</v>
      </c>
      <c r="I11" s="73">
        <v>231</v>
      </c>
      <c r="J11" s="73">
        <v>377</v>
      </c>
      <c r="K11" s="28">
        <f t="shared" si="1"/>
        <v>78</v>
      </c>
      <c r="L11" s="73">
        <v>153</v>
      </c>
      <c r="M11" s="73">
        <v>138</v>
      </c>
      <c r="N11" s="73">
        <v>108</v>
      </c>
      <c r="O11" s="28">
        <f t="shared" si="2"/>
        <v>414</v>
      </c>
      <c r="P11" s="73">
        <v>148</v>
      </c>
      <c r="Q11" s="73">
        <v>254</v>
      </c>
      <c r="R11" s="5"/>
      <c r="S11" s="28">
        <f t="shared" si="3"/>
        <v>813</v>
      </c>
      <c r="T11" s="28">
        <f t="shared" si="4"/>
        <v>839</v>
      </c>
      <c r="U11" s="28">
        <f t="shared" si="5"/>
        <v>746</v>
      </c>
      <c r="V11" s="28">
        <f t="shared" si="6"/>
        <v>477</v>
      </c>
      <c r="W11" s="28">
        <f t="shared" si="7"/>
        <v>813</v>
      </c>
      <c r="X11" s="28">
        <f t="shared" si="8"/>
        <v>808</v>
      </c>
      <c r="Y11" s="28">
        <f t="shared" si="9"/>
        <v>924</v>
      </c>
    </row>
    <row r="12" spans="1:25" ht="12.75" customHeight="1">
      <c r="A12" s="72"/>
      <c r="B12" s="9" t="s">
        <v>171</v>
      </c>
      <c r="C12" s="73">
        <v>6491</v>
      </c>
      <c r="D12" s="73">
        <v>6490</v>
      </c>
      <c r="E12" s="73">
        <v>5832</v>
      </c>
      <c r="F12" s="73">
        <v>4952</v>
      </c>
      <c r="G12" s="10"/>
      <c r="H12" s="73">
        <v>1308</v>
      </c>
      <c r="I12" s="73">
        <v>1755</v>
      </c>
      <c r="J12" s="73">
        <v>1361</v>
      </c>
      <c r="K12" s="28">
        <f t="shared" si="1"/>
        <v>1408</v>
      </c>
      <c r="L12" s="73">
        <v>1079</v>
      </c>
      <c r="M12" s="73">
        <v>1149</v>
      </c>
      <c r="N12" s="73">
        <v>1234</v>
      </c>
      <c r="O12" s="28">
        <f t="shared" si="2"/>
        <v>1490</v>
      </c>
      <c r="P12" s="73">
        <v>1134</v>
      </c>
      <c r="Q12" s="73">
        <v>998</v>
      </c>
      <c r="R12" s="5"/>
      <c r="S12" s="28">
        <f t="shared" si="3"/>
        <v>5832</v>
      </c>
      <c r="T12" s="28">
        <f t="shared" si="4"/>
        <v>5603</v>
      </c>
      <c r="U12" s="28">
        <f t="shared" si="5"/>
        <v>4997</v>
      </c>
      <c r="V12" s="28">
        <f t="shared" si="6"/>
        <v>4870</v>
      </c>
      <c r="W12" s="28">
        <f t="shared" si="7"/>
        <v>4952</v>
      </c>
      <c r="X12" s="28">
        <f t="shared" si="8"/>
        <v>5007</v>
      </c>
      <c r="Y12" s="28">
        <f t="shared" si="9"/>
        <v>4856</v>
      </c>
    </row>
    <row r="13" spans="1:25">
      <c r="B13" s="12" t="s">
        <v>63</v>
      </c>
      <c r="C13" s="13">
        <f>SUM(C9:C12)</f>
        <v>28586</v>
      </c>
      <c r="D13" s="13">
        <f>SUM(D9:D12)</f>
        <v>30154</v>
      </c>
      <c r="E13" s="13">
        <f>SUM(E9:E12)</f>
        <v>29652</v>
      </c>
      <c r="F13" s="13">
        <f>SUM(F9:F12)</f>
        <v>29213</v>
      </c>
      <c r="G13" s="11"/>
      <c r="H13" s="13">
        <f t="shared" ref="H13:Q13" si="10">SUM(H9:H12)</f>
        <v>7265</v>
      </c>
      <c r="I13" s="13">
        <f t="shared" si="10"/>
        <v>7616</v>
      </c>
      <c r="J13" s="13">
        <f t="shared" si="10"/>
        <v>7133</v>
      </c>
      <c r="K13" s="13">
        <f t="shared" si="10"/>
        <v>7638</v>
      </c>
      <c r="L13" s="13">
        <f t="shared" si="10"/>
        <v>7685</v>
      </c>
      <c r="M13" s="13">
        <f t="shared" si="10"/>
        <v>6813</v>
      </c>
      <c r="N13" s="13">
        <f t="shared" si="10"/>
        <v>6731</v>
      </c>
      <c r="O13" s="13">
        <f t="shared" si="10"/>
        <v>7984</v>
      </c>
      <c r="P13" s="13">
        <f t="shared" si="10"/>
        <v>7192</v>
      </c>
      <c r="Q13" s="13">
        <f t="shared" si="10"/>
        <v>6849</v>
      </c>
      <c r="R13" s="5"/>
      <c r="S13" s="13">
        <f t="shared" ref="S13:Y13" si="11">SUM(S9:S12)</f>
        <v>29652</v>
      </c>
      <c r="T13" s="13">
        <f t="shared" si="11"/>
        <v>30072</v>
      </c>
      <c r="U13" s="13">
        <f t="shared" si="11"/>
        <v>29269</v>
      </c>
      <c r="V13" s="13">
        <f t="shared" si="11"/>
        <v>28867</v>
      </c>
      <c r="W13" s="13">
        <f t="shared" si="11"/>
        <v>29213</v>
      </c>
      <c r="X13" s="13">
        <f t="shared" si="11"/>
        <v>28720</v>
      </c>
      <c r="Y13" s="13">
        <f t="shared" si="11"/>
        <v>28756</v>
      </c>
    </row>
    <row r="14" spans="1:25" outlineLevel="1">
      <c r="B14" s="112" t="s">
        <v>176</v>
      </c>
      <c r="C14" s="71">
        <f>+C13-'Historical Financials'!C11</f>
        <v>0</v>
      </c>
      <c r="D14" s="71">
        <f>+D13-'Historical Financials'!D11</f>
        <v>0</v>
      </c>
      <c r="E14" s="71">
        <f>+E13-'Historical Financials'!E11</f>
        <v>0</v>
      </c>
      <c r="F14" s="71">
        <f>+F13-'Historical Financials'!F11</f>
        <v>0</v>
      </c>
      <c r="G14" s="11"/>
      <c r="H14" s="71">
        <f>+H13-'Historical Financials'!H11</f>
        <v>0</v>
      </c>
      <c r="I14" s="71">
        <f>+I13-'Historical Financials'!I11</f>
        <v>0</v>
      </c>
      <c r="J14" s="71">
        <f>+J13-'Historical Financials'!J11</f>
        <v>0</v>
      </c>
      <c r="K14" s="71">
        <f>+K13-'Historical Financials'!K11</f>
        <v>0</v>
      </c>
      <c r="L14" s="71">
        <f>+L13-'Historical Financials'!L11</f>
        <v>0</v>
      </c>
      <c r="M14" s="71">
        <f>+M13-'Historical Financials'!M11</f>
        <v>0</v>
      </c>
      <c r="N14" s="71">
        <f>+N13-'Historical Financials'!N11</f>
        <v>0</v>
      </c>
      <c r="O14" s="71">
        <f>+O13-'Historical Financials'!O11</f>
        <v>0</v>
      </c>
      <c r="P14" s="71">
        <f>+P13-'Historical Financials'!P11</f>
        <v>0</v>
      </c>
      <c r="Q14" s="71">
        <f>+Q13-'Historical Financials'!Q11</f>
        <v>0</v>
      </c>
      <c r="R14" s="71"/>
      <c r="S14" s="71">
        <f>+S13-'Historical Financials'!S11</f>
        <v>0</v>
      </c>
      <c r="T14" s="71">
        <f>+T13-'Historical Financials'!T11</f>
        <v>0</v>
      </c>
      <c r="U14" s="71">
        <f>+U13-'Historical Financials'!U11</f>
        <v>0</v>
      </c>
      <c r="V14" s="71">
        <f>+V13-'Historical Financials'!V11</f>
        <v>0</v>
      </c>
      <c r="W14" s="71">
        <f>+W13-'Historical Financials'!W11</f>
        <v>0</v>
      </c>
      <c r="X14" s="71">
        <f>+X13-'Historical Financials'!X11</f>
        <v>0</v>
      </c>
      <c r="Y14" s="71">
        <f>+Y13-'Historical Financials'!Y11</f>
        <v>0</v>
      </c>
    </row>
    <row r="15" spans="1:25">
      <c r="B15" s="16"/>
      <c r="C15" s="17"/>
      <c r="D15" s="17"/>
      <c r="E15" s="17"/>
      <c r="F15" s="17"/>
      <c r="G15" s="18"/>
      <c r="H15" s="19"/>
      <c r="I15" s="19"/>
      <c r="J15" s="19"/>
      <c r="K15" s="20"/>
      <c r="L15" s="19"/>
      <c r="M15" s="19"/>
      <c r="N15" s="19"/>
      <c r="O15" s="19"/>
      <c r="P15" s="19"/>
      <c r="Q15" s="19"/>
      <c r="R15" s="18"/>
      <c r="S15" s="18"/>
      <c r="T15" s="18"/>
      <c r="U15" s="18"/>
      <c r="V15" s="18"/>
      <c r="W15" s="18"/>
      <c r="X15" s="18"/>
      <c r="Y15" s="18"/>
    </row>
    <row r="16" spans="1:25">
      <c r="B16" s="113" t="str">
        <f>B9&amp;"(%)"</f>
        <v>Advertising(%)</v>
      </c>
      <c r="C16" s="125">
        <f t="shared" ref="C16:F19" si="12">SUM(C9/C$13)</f>
        <v>0.39921639963618555</v>
      </c>
      <c r="D16" s="125">
        <f t="shared" si="12"/>
        <v>0.36114611660144591</v>
      </c>
      <c r="E16" s="125">
        <f t="shared" si="12"/>
        <v>0.33687440982058547</v>
      </c>
      <c r="F16" s="125">
        <f t="shared" si="12"/>
        <v>0.35241159757642143</v>
      </c>
      <c r="G16" s="114"/>
      <c r="H16" s="125">
        <f t="shared" ref="H16:Q16" si="13">SUM(H9/H$13)</f>
        <v>0.36490020646937371</v>
      </c>
      <c r="I16" s="125">
        <f t="shared" si="13"/>
        <v>0.31446953781512604</v>
      </c>
      <c r="J16" s="125">
        <f t="shared" si="13"/>
        <v>0.29903266507780735</v>
      </c>
      <c r="K16" s="125">
        <f t="shared" si="13"/>
        <v>0.36789735532862006</v>
      </c>
      <c r="L16" s="125">
        <f t="shared" si="13"/>
        <v>0.40286271958360442</v>
      </c>
      <c r="M16" s="125">
        <f t="shared" si="13"/>
        <v>0.33039776897108469</v>
      </c>
      <c r="N16" s="125">
        <f t="shared" si="13"/>
        <v>0.32298321200415986</v>
      </c>
      <c r="O16" s="125">
        <f t="shared" si="13"/>
        <v>0.34744488977955912</v>
      </c>
      <c r="P16" s="125">
        <f t="shared" si="13"/>
        <v>0.34941601779755282</v>
      </c>
      <c r="Q16" s="125">
        <f t="shared" si="13"/>
        <v>0.31420645349686088</v>
      </c>
      <c r="R16" s="114"/>
      <c r="S16" s="115">
        <f t="shared" ref="S16:Y16" si="14">SUM(S9/S$13)</f>
        <v>0.33687440982058547</v>
      </c>
      <c r="T16" s="115">
        <f t="shared" si="14"/>
        <v>0.34696727853152431</v>
      </c>
      <c r="U16" s="115">
        <f t="shared" si="14"/>
        <v>0.35156650380949128</v>
      </c>
      <c r="V16" s="115">
        <f t="shared" si="14"/>
        <v>0.35788270343298578</v>
      </c>
      <c r="W16" s="115">
        <f t="shared" si="14"/>
        <v>0.35241159757642143</v>
      </c>
      <c r="X16" s="115">
        <f t="shared" si="14"/>
        <v>0.33816155988857938</v>
      </c>
      <c r="Y16" s="116">
        <f t="shared" si="14"/>
        <v>0.33429545138405897</v>
      </c>
    </row>
    <row r="17" spans="1:25">
      <c r="B17" s="117" t="str">
        <f>B10&amp;"(%)"</f>
        <v>Affiliate and subscription(%)</v>
      </c>
      <c r="C17" s="127">
        <f t="shared" si="12"/>
        <v>0.36528370531029175</v>
      </c>
      <c r="D17" s="127">
        <f t="shared" si="12"/>
        <v>0.38306692312794322</v>
      </c>
      <c r="E17" s="127">
        <f t="shared" si="12"/>
        <v>0.4390260353433158</v>
      </c>
      <c r="F17" s="127">
        <f t="shared" si="12"/>
        <v>0.45024475404785541</v>
      </c>
      <c r="G17" s="118"/>
      <c r="H17" s="127">
        <f t="shared" ref="H17:Q17" si="15">SUM(H10/H$13)</f>
        <v>0.4375774260151411</v>
      </c>
      <c r="I17" s="127">
        <f t="shared" si="15"/>
        <v>0.42476365546218486</v>
      </c>
      <c r="J17" s="127">
        <f t="shared" si="15"/>
        <v>0.45731108930323849</v>
      </c>
      <c r="K17" s="127">
        <f t="shared" si="15"/>
        <v>0.43754909662215241</v>
      </c>
      <c r="L17" s="127">
        <f t="shared" si="15"/>
        <v>0.43682498373454781</v>
      </c>
      <c r="M17" s="127">
        <f t="shared" si="15"/>
        <v>0.48069866431821517</v>
      </c>
      <c r="N17" s="127">
        <f t="shared" si="15"/>
        <v>0.47764076660228794</v>
      </c>
      <c r="O17" s="127">
        <f t="shared" si="15"/>
        <v>0.41407815631262523</v>
      </c>
      <c r="P17" s="127">
        <f t="shared" si="15"/>
        <v>0.47233036707452725</v>
      </c>
      <c r="Q17" s="127">
        <f t="shared" si="15"/>
        <v>0.50299313768433351</v>
      </c>
      <c r="R17" s="118"/>
      <c r="S17" s="119">
        <f t="shared" ref="S17:Y17" si="16">SUM(S10/S$13)</f>
        <v>0.4390260353433158</v>
      </c>
      <c r="T17" s="119">
        <f t="shared" si="16"/>
        <v>0.43881351423250864</v>
      </c>
      <c r="U17" s="119">
        <f t="shared" si="16"/>
        <v>0.45221907137244183</v>
      </c>
      <c r="V17" s="119">
        <f t="shared" si="16"/>
        <v>0.45688848858558218</v>
      </c>
      <c r="W17" s="119">
        <f t="shared" si="16"/>
        <v>0.45024475404785541</v>
      </c>
      <c r="X17" s="119">
        <f t="shared" si="16"/>
        <v>0.45936629526462397</v>
      </c>
      <c r="Y17" s="120">
        <f t="shared" si="16"/>
        <v>0.46470301850048684</v>
      </c>
    </row>
    <row r="18" spans="1:25">
      <c r="B18" s="117" t="str">
        <f>B11&amp;"(%)"</f>
        <v>Theatrical(%)</v>
      </c>
      <c r="C18" s="127">
        <f t="shared" si="12"/>
        <v>8.4307003428251599E-3</v>
      </c>
      <c r="D18" s="127">
        <f t="shared" si="12"/>
        <v>4.0558466538436026E-2</v>
      </c>
      <c r="E18" s="127">
        <f t="shared" si="12"/>
        <v>2.7418049372723595E-2</v>
      </c>
      <c r="F18" s="127">
        <f t="shared" si="12"/>
        <v>2.7830075651251156E-2</v>
      </c>
      <c r="G18" s="118"/>
      <c r="H18" s="127">
        <f t="shared" ref="H18:Q18" si="17">SUM(H11/H$13)</f>
        <v>1.7481073640743288E-2</v>
      </c>
      <c r="I18" s="127">
        <f t="shared" si="17"/>
        <v>3.0330882352941176E-2</v>
      </c>
      <c r="J18" s="127">
        <f t="shared" si="17"/>
        <v>5.2852937053133327E-2</v>
      </c>
      <c r="K18" s="127">
        <f t="shared" si="17"/>
        <v>1.0212097407698351E-2</v>
      </c>
      <c r="L18" s="127">
        <f t="shared" si="17"/>
        <v>1.9908913467794404E-2</v>
      </c>
      <c r="M18" s="127">
        <f t="shared" si="17"/>
        <v>2.0255394099515631E-2</v>
      </c>
      <c r="N18" s="127">
        <f t="shared" si="17"/>
        <v>1.6045164165800031E-2</v>
      </c>
      <c r="O18" s="127">
        <f t="shared" si="17"/>
        <v>5.1853707414829663E-2</v>
      </c>
      <c r="P18" s="127">
        <f t="shared" si="17"/>
        <v>2.0578420467185762E-2</v>
      </c>
      <c r="Q18" s="127">
        <f t="shared" si="17"/>
        <v>3.7085705942473353E-2</v>
      </c>
      <c r="R18" s="118"/>
      <c r="S18" s="119">
        <f t="shared" ref="S18:Y18" si="18">SUM(S11/S$13)</f>
        <v>2.7418049372723595E-2</v>
      </c>
      <c r="T18" s="119">
        <f t="shared" si="18"/>
        <v>2.7899707368981112E-2</v>
      </c>
      <c r="U18" s="119">
        <f t="shared" si="18"/>
        <v>2.5487717380163314E-2</v>
      </c>
      <c r="V18" s="119">
        <f t="shared" si="18"/>
        <v>1.6524058613641875E-2</v>
      </c>
      <c r="W18" s="119">
        <f t="shared" si="18"/>
        <v>2.7830075651251156E-2</v>
      </c>
      <c r="X18" s="119">
        <f t="shared" si="18"/>
        <v>2.8133704735376044E-2</v>
      </c>
      <c r="Y18" s="120">
        <f t="shared" si="18"/>
        <v>3.2132424537487832E-2</v>
      </c>
    </row>
    <row r="19" spans="1:25" ht="12.75" customHeight="1">
      <c r="B19" s="121" t="str">
        <f>B12&amp;"(%)"</f>
        <v>Licensing and other(%)</v>
      </c>
      <c r="C19" s="126">
        <f t="shared" si="12"/>
        <v>0.22706919471069753</v>
      </c>
      <c r="D19" s="126">
        <f t="shared" si="12"/>
        <v>0.21522849373217484</v>
      </c>
      <c r="E19" s="126">
        <f t="shared" si="12"/>
        <v>0.19668150546337515</v>
      </c>
      <c r="F19" s="126">
        <f t="shared" si="12"/>
        <v>0.16951357272447198</v>
      </c>
      <c r="G19" s="122"/>
      <c r="H19" s="126">
        <f t="shared" ref="H19:Q19" si="19">SUM(H12/H$13)</f>
        <v>0.18004129387474191</v>
      </c>
      <c r="I19" s="126">
        <f t="shared" si="19"/>
        <v>0.23043592436974789</v>
      </c>
      <c r="J19" s="126">
        <f t="shared" si="19"/>
        <v>0.19080330856582084</v>
      </c>
      <c r="K19" s="126">
        <f t="shared" si="19"/>
        <v>0.18434145064152921</v>
      </c>
      <c r="L19" s="126">
        <f t="shared" si="19"/>
        <v>0.14040338321405335</v>
      </c>
      <c r="M19" s="126">
        <f t="shared" si="19"/>
        <v>0.1686481726111845</v>
      </c>
      <c r="N19" s="126">
        <f t="shared" si="19"/>
        <v>0.18333085722775219</v>
      </c>
      <c r="O19" s="126">
        <f t="shared" si="19"/>
        <v>0.18662324649298598</v>
      </c>
      <c r="P19" s="126">
        <f t="shared" si="19"/>
        <v>0.15767519466073415</v>
      </c>
      <c r="Q19" s="126">
        <f t="shared" si="19"/>
        <v>0.14571470287633231</v>
      </c>
      <c r="R19" s="122"/>
      <c r="S19" s="123">
        <f t="shared" ref="S19:Y19" si="20">SUM(S12/S$13)</f>
        <v>0.19668150546337515</v>
      </c>
      <c r="T19" s="123">
        <f t="shared" si="20"/>
        <v>0.1863194998669859</v>
      </c>
      <c r="U19" s="123">
        <f t="shared" si="20"/>
        <v>0.17072670743790358</v>
      </c>
      <c r="V19" s="123">
        <f t="shared" si="20"/>
        <v>0.1687047493677902</v>
      </c>
      <c r="W19" s="123">
        <f t="shared" si="20"/>
        <v>0.16951357272447198</v>
      </c>
      <c r="X19" s="123">
        <f t="shared" si="20"/>
        <v>0.17433844011142061</v>
      </c>
      <c r="Y19" s="124">
        <f t="shared" si="20"/>
        <v>0.16886910557796633</v>
      </c>
    </row>
    <row r="20" spans="1:25">
      <c r="B20" s="16"/>
      <c r="C20" s="17"/>
      <c r="D20" s="17"/>
      <c r="E20" s="17"/>
      <c r="F20" s="17"/>
      <c r="G20" s="18"/>
      <c r="H20" s="19"/>
      <c r="I20" s="19"/>
      <c r="J20" s="19"/>
      <c r="K20" s="20"/>
      <c r="L20" s="19"/>
      <c r="M20" s="19"/>
      <c r="N20" s="19"/>
      <c r="O20" s="19"/>
      <c r="P20" s="19"/>
      <c r="Q20" s="19"/>
      <c r="R20" s="18"/>
      <c r="S20" s="18"/>
      <c r="T20" s="18"/>
      <c r="U20" s="18"/>
      <c r="V20" s="18"/>
      <c r="W20" s="18"/>
      <c r="X20" s="18"/>
      <c r="Y20" s="18"/>
    </row>
    <row r="21" spans="1:25" ht="12.75" customHeight="1">
      <c r="A21" s="72" t="s">
        <v>15</v>
      </c>
      <c r="B21" s="70" t="s">
        <v>167</v>
      </c>
      <c r="C21" s="10"/>
      <c r="D21" s="10"/>
      <c r="E21" s="10"/>
      <c r="F21" s="10"/>
      <c r="G21" s="10"/>
      <c r="H21" s="79"/>
      <c r="I21" s="79"/>
      <c r="J21" s="79"/>
      <c r="K21" s="28"/>
      <c r="L21" s="79"/>
      <c r="M21" s="79"/>
      <c r="N21" s="79"/>
      <c r="O21" s="28"/>
      <c r="P21" s="79"/>
      <c r="Q21" s="79"/>
      <c r="R21" s="5"/>
      <c r="S21" s="11"/>
      <c r="T21" s="11"/>
      <c r="U21" s="11"/>
      <c r="V21" s="11"/>
      <c r="W21" s="11"/>
      <c r="X21" s="11"/>
      <c r="Y21" s="11"/>
    </row>
    <row r="22" spans="1:25" ht="12.75" customHeight="1">
      <c r="A22" s="72"/>
      <c r="B22" s="9" t="s">
        <v>172</v>
      </c>
      <c r="C22" s="73">
        <v>22734</v>
      </c>
      <c r="D22" s="73">
        <v>21732</v>
      </c>
      <c r="E22" s="73">
        <v>20085</v>
      </c>
      <c r="F22" s="73">
        <v>18779</v>
      </c>
      <c r="G22" s="10"/>
      <c r="H22" s="73">
        <v>5193</v>
      </c>
      <c r="I22" s="73">
        <v>5157</v>
      </c>
      <c r="J22" s="73">
        <v>4567</v>
      </c>
      <c r="K22" s="28">
        <f t="shared" ref="K22:K25" si="21">SUM(E22-SUM(H22:J22))</f>
        <v>5168</v>
      </c>
      <c r="L22" s="73">
        <v>5231</v>
      </c>
      <c r="M22" s="73">
        <v>4271</v>
      </c>
      <c r="N22" s="73">
        <v>4298</v>
      </c>
      <c r="O22" s="28">
        <f t="shared" ref="O22:O25" si="22">SUM(F22-SUM(L22:N22))</f>
        <v>4979</v>
      </c>
      <c r="P22" s="73">
        <v>4538</v>
      </c>
      <c r="Q22" s="73">
        <v>4011</v>
      </c>
      <c r="R22" s="5"/>
      <c r="S22" s="28">
        <f t="shared" ref="S22:S25" si="23">SUM(H22:K22)</f>
        <v>20085</v>
      </c>
      <c r="T22" s="28">
        <f t="shared" ref="T22:T25" si="24">SUM(I22:L22)</f>
        <v>20123</v>
      </c>
      <c r="U22" s="28">
        <f t="shared" ref="U22:U25" si="25">SUM(J22:M22)</f>
        <v>19237</v>
      </c>
      <c r="V22" s="28">
        <f t="shared" ref="V22:V25" si="26">SUM(K22:N22)</f>
        <v>18968</v>
      </c>
      <c r="W22" s="28">
        <f t="shared" ref="W22:W25" si="27">SUM(L22:O22)</f>
        <v>18779</v>
      </c>
      <c r="X22" s="28">
        <f t="shared" ref="X22:X25" si="28">SUM(M22:P22)</f>
        <v>18086</v>
      </c>
      <c r="Y22" s="28">
        <f t="shared" ref="Y22:Y25" si="29">SUM(N22:Q22)</f>
        <v>17826</v>
      </c>
    </row>
    <row r="23" spans="1:25" ht="12.75" customHeight="1">
      <c r="A23" s="72"/>
      <c r="B23" s="9" t="s">
        <v>173</v>
      </c>
      <c r="C23" s="73">
        <v>3327</v>
      </c>
      <c r="D23" s="73">
        <v>4904</v>
      </c>
      <c r="E23" s="73">
        <v>6736</v>
      </c>
      <c r="F23" s="73">
        <v>7632</v>
      </c>
      <c r="G23" s="10"/>
      <c r="H23" s="73">
        <v>1510</v>
      </c>
      <c r="I23" s="73">
        <v>1665</v>
      </c>
      <c r="J23" s="73">
        <v>1692</v>
      </c>
      <c r="K23" s="28">
        <f t="shared" si="21"/>
        <v>1869</v>
      </c>
      <c r="L23" s="73">
        <v>1879</v>
      </c>
      <c r="M23" s="73">
        <v>1880</v>
      </c>
      <c r="N23" s="73">
        <v>1860</v>
      </c>
      <c r="O23" s="28">
        <f t="shared" si="22"/>
        <v>2013</v>
      </c>
      <c r="P23" s="73">
        <v>2044</v>
      </c>
      <c r="Q23" s="73">
        <v>2160</v>
      </c>
      <c r="R23" s="5"/>
      <c r="S23" s="28">
        <f t="shared" si="23"/>
        <v>6736</v>
      </c>
      <c r="T23" s="28">
        <f t="shared" si="24"/>
        <v>7105</v>
      </c>
      <c r="U23" s="28">
        <f t="shared" si="25"/>
        <v>7320</v>
      </c>
      <c r="V23" s="28">
        <f t="shared" si="26"/>
        <v>7488</v>
      </c>
      <c r="W23" s="28">
        <f t="shared" si="27"/>
        <v>7632</v>
      </c>
      <c r="X23" s="28">
        <f t="shared" si="28"/>
        <v>7797</v>
      </c>
      <c r="Y23" s="28">
        <f t="shared" si="29"/>
        <v>8077</v>
      </c>
    </row>
    <row r="24" spans="1:25" ht="12.75" customHeight="1">
      <c r="A24" s="72"/>
      <c r="B24" s="9" t="s">
        <v>174</v>
      </c>
      <c r="C24" s="73">
        <v>2687</v>
      </c>
      <c r="D24" s="73">
        <v>3706</v>
      </c>
      <c r="E24" s="73">
        <v>2957</v>
      </c>
      <c r="F24" s="73">
        <v>2955</v>
      </c>
      <c r="G24" s="10"/>
      <c r="H24" s="73">
        <v>588</v>
      </c>
      <c r="I24" s="73">
        <v>831</v>
      </c>
      <c r="J24" s="73">
        <v>891</v>
      </c>
      <c r="K24" s="28">
        <f t="shared" si="21"/>
        <v>647</v>
      </c>
      <c r="L24" s="73">
        <v>605</v>
      </c>
      <c r="M24" s="73">
        <v>679</v>
      </c>
      <c r="N24" s="73">
        <v>590</v>
      </c>
      <c r="O24" s="28">
        <f t="shared" si="22"/>
        <v>1081</v>
      </c>
      <c r="P24" s="73">
        <v>627</v>
      </c>
      <c r="Q24" s="73">
        <v>690</v>
      </c>
      <c r="R24" s="5"/>
      <c r="S24" s="28">
        <f t="shared" si="23"/>
        <v>2957</v>
      </c>
      <c r="T24" s="28">
        <f t="shared" si="24"/>
        <v>2974</v>
      </c>
      <c r="U24" s="28">
        <f t="shared" si="25"/>
        <v>2822</v>
      </c>
      <c r="V24" s="28">
        <f t="shared" si="26"/>
        <v>2521</v>
      </c>
      <c r="W24" s="28">
        <f t="shared" si="27"/>
        <v>2955</v>
      </c>
      <c r="X24" s="28">
        <f t="shared" si="28"/>
        <v>2977</v>
      </c>
      <c r="Y24" s="28">
        <f t="shared" si="29"/>
        <v>2988</v>
      </c>
    </row>
    <row r="25" spans="1:25" ht="12.75" customHeight="1">
      <c r="A25" s="72"/>
      <c r="B25" s="9" t="s">
        <v>175</v>
      </c>
      <c r="C25" s="73">
        <v>-162</v>
      </c>
      <c r="D25" s="73">
        <v>-188</v>
      </c>
      <c r="E25" s="73">
        <v>-126</v>
      </c>
      <c r="F25" s="73">
        <v>-153</v>
      </c>
      <c r="G25" s="10"/>
      <c r="H25" s="73">
        <v>-26</v>
      </c>
      <c r="I25" s="73">
        <v>-37</v>
      </c>
      <c r="J25" s="73">
        <v>-17</v>
      </c>
      <c r="K25" s="28">
        <f t="shared" si="21"/>
        <v>-46</v>
      </c>
      <c r="L25" s="73">
        <v>-30</v>
      </c>
      <c r="M25" s="73">
        <v>-17</v>
      </c>
      <c r="N25" s="73">
        <v>-17</v>
      </c>
      <c r="O25" s="28">
        <f t="shared" si="22"/>
        <v>-89</v>
      </c>
      <c r="P25" s="73">
        <v>-17</v>
      </c>
      <c r="Q25" s="73">
        <v>-12</v>
      </c>
      <c r="R25" s="5"/>
      <c r="S25" s="28">
        <f t="shared" si="23"/>
        <v>-126</v>
      </c>
      <c r="T25" s="28">
        <f t="shared" si="24"/>
        <v>-130</v>
      </c>
      <c r="U25" s="28">
        <f t="shared" si="25"/>
        <v>-110</v>
      </c>
      <c r="V25" s="28">
        <f t="shared" si="26"/>
        <v>-110</v>
      </c>
      <c r="W25" s="28">
        <f t="shared" si="27"/>
        <v>-153</v>
      </c>
      <c r="X25" s="28">
        <f t="shared" si="28"/>
        <v>-140</v>
      </c>
      <c r="Y25" s="28">
        <f t="shared" si="29"/>
        <v>-135</v>
      </c>
    </row>
    <row r="26" spans="1:25">
      <c r="B26" s="12" t="s">
        <v>63</v>
      </c>
      <c r="C26" s="13">
        <f>SUM(C22:C25)</f>
        <v>28586</v>
      </c>
      <c r="D26" s="13">
        <f>SUM(D22:D25)</f>
        <v>30154</v>
      </c>
      <c r="E26" s="13">
        <f>SUM(E22:E25)</f>
        <v>29652</v>
      </c>
      <c r="F26" s="13">
        <f>SUM(F22:F25)</f>
        <v>29213</v>
      </c>
      <c r="G26" s="11"/>
      <c r="H26" s="13">
        <f t="shared" ref="H26:Q26" si="30">SUM(H22:H25)</f>
        <v>7265</v>
      </c>
      <c r="I26" s="13">
        <f t="shared" si="30"/>
        <v>7616</v>
      </c>
      <c r="J26" s="13">
        <f t="shared" si="30"/>
        <v>7133</v>
      </c>
      <c r="K26" s="13">
        <f t="shared" si="30"/>
        <v>7638</v>
      </c>
      <c r="L26" s="13">
        <f t="shared" si="30"/>
        <v>7685</v>
      </c>
      <c r="M26" s="13">
        <f t="shared" si="30"/>
        <v>6813</v>
      </c>
      <c r="N26" s="13">
        <f t="shared" si="30"/>
        <v>6731</v>
      </c>
      <c r="O26" s="13">
        <f t="shared" si="30"/>
        <v>7984</v>
      </c>
      <c r="P26" s="13">
        <f t="shared" si="30"/>
        <v>7192</v>
      </c>
      <c r="Q26" s="13">
        <f t="shared" si="30"/>
        <v>6849</v>
      </c>
      <c r="R26" s="5"/>
      <c r="S26" s="13">
        <f t="shared" ref="S26:Y26" si="31">SUM(S22:S25)</f>
        <v>29652</v>
      </c>
      <c r="T26" s="13">
        <f t="shared" si="31"/>
        <v>30072</v>
      </c>
      <c r="U26" s="13">
        <f t="shared" si="31"/>
        <v>29269</v>
      </c>
      <c r="V26" s="13">
        <f t="shared" si="31"/>
        <v>28867</v>
      </c>
      <c r="W26" s="13">
        <f t="shared" si="31"/>
        <v>29213</v>
      </c>
      <c r="X26" s="13">
        <f t="shared" si="31"/>
        <v>28720</v>
      </c>
      <c r="Y26" s="13">
        <f t="shared" si="31"/>
        <v>28756</v>
      </c>
    </row>
    <row r="27" spans="1:25" outlineLevel="1">
      <c r="B27" s="112" t="s">
        <v>176</v>
      </c>
      <c r="C27" s="71">
        <f>+C26-C13</f>
        <v>0</v>
      </c>
      <c r="D27" s="71">
        <f t="shared" ref="D27:F27" si="32">+D26-D13</f>
        <v>0</v>
      </c>
      <c r="E27" s="71">
        <f t="shared" si="32"/>
        <v>0</v>
      </c>
      <c r="F27" s="71">
        <f t="shared" si="32"/>
        <v>0</v>
      </c>
      <c r="G27" s="11"/>
      <c r="H27" s="71">
        <f t="shared" ref="H27" si="33">+H26-H13</f>
        <v>0</v>
      </c>
      <c r="I27" s="71">
        <f t="shared" ref="I27" si="34">+I26-I13</f>
        <v>0</v>
      </c>
      <c r="J27" s="71">
        <f t="shared" ref="J27" si="35">+J26-J13</f>
        <v>0</v>
      </c>
      <c r="K27" s="71">
        <f t="shared" ref="K27" si="36">+K26-K13</f>
        <v>0</v>
      </c>
      <c r="L27" s="71">
        <f t="shared" ref="L27" si="37">+L26-L13</f>
        <v>0</v>
      </c>
      <c r="M27" s="71">
        <f t="shared" ref="M27" si="38">+M26-M13</f>
        <v>0</v>
      </c>
      <c r="N27" s="71">
        <f t="shared" ref="N27" si="39">+N26-N13</f>
        <v>0</v>
      </c>
      <c r="O27" s="71">
        <f t="shared" ref="O27" si="40">+O26-O13</f>
        <v>0</v>
      </c>
      <c r="P27" s="71">
        <f t="shared" ref="P27" si="41">+P26-P13</f>
        <v>0</v>
      </c>
      <c r="Q27" s="71">
        <f t="shared" ref="Q27" si="42">+Q26-Q13</f>
        <v>0</v>
      </c>
      <c r="R27" s="71"/>
      <c r="S27" s="71">
        <f t="shared" ref="S27" si="43">+S26-S13</f>
        <v>0</v>
      </c>
      <c r="T27" s="71">
        <f t="shared" ref="T27" si="44">+T26-T13</f>
        <v>0</v>
      </c>
      <c r="U27" s="71">
        <f t="shared" ref="U27" si="45">+U26-U13</f>
        <v>0</v>
      </c>
      <c r="V27" s="71">
        <f t="shared" ref="V27" si="46">+V26-V13</f>
        <v>0</v>
      </c>
      <c r="W27" s="71">
        <f t="shared" ref="W27" si="47">+W26-W13</f>
        <v>0</v>
      </c>
      <c r="X27" s="71">
        <f t="shared" ref="X27" si="48">+X26-X13</f>
        <v>0</v>
      </c>
      <c r="Y27" s="71">
        <f t="shared" ref="Y27" si="49">+Y26-Y13</f>
        <v>0</v>
      </c>
    </row>
    <row r="28" spans="1:25">
      <c r="B28" s="16"/>
      <c r="C28" s="17"/>
      <c r="D28" s="17"/>
      <c r="E28" s="17"/>
      <c r="F28" s="17"/>
      <c r="G28" s="18"/>
      <c r="H28" s="19"/>
      <c r="I28" s="19"/>
      <c r="J28" s="19"/>
      <c r="K28" s="20"/>
      <c r="L28" s="19"/>
      <c r="M28" s="19"/>
      <c r="N28" s="19"/>
      <c r="O28" s="19"/>
      <c r="P28" s="19"/>
      <c r="Q28" s="19"/>
      <c r="R28" s="18"/>
      <c r="S28" s="18"/>
      <c r="T28" s="18"/>
      <c r="U28" s="18"/>
      <c r="V28" s="18"/>
      <c r="W28" s="18"/>
      <c r="X28" s="18"/>
      <c r="Y28" s="18"/>
    </row>
    <row r="29" spans="1:25">
      <c r="B29" s="113" t="str">
        <f>B22&amp;"(%)"</f>
        <v>TV Media(%)</v>
      </c>
      <c r="C29" s="125">
        <f>SUM(C22/C$26)</f>
        <v>0.79528440495347374</v>
      </c>
      <c r="D29" s="125">
        <f t="shared" ref="D29:F29" si="50">SUM(D22/D$26)</f>
        <v>0.72070040458977247</v>
      </c>
      <c r="E29" s="125">
        <f t="shared" si="50"/>
        <v>0.67735734520437074</v>
      </c>
      <c r="F29" s="125">
        <f t="shared" si="50"/>
        <v>0.642830246807928</v>
      </c>
      <c r="G29" s="114"/>
      <c r="H29" s="125">
        <f t="shared" ref="H29:Q29" si="51">SUM(H22/H$26)</f>
        <v>0.71479697178251889</v>
      </c>
      <c r="I29" s="125">
        <f t="shared" si="51"/>
        <v>0.67712710084033612</v>
      </c>
      <c r="J29" s="125">
        <f t="shared" si="51"/>
        <v>0.64026356371793069</v>
      </c>
      <c r="K29" s="125">
        <f t="shared" si="51"/>
        <v>0.6766169154228856</v>
      </c>
      <c r="L29" s="125">
        <f t="shared" si="51"/>
        <v>0.68067664281067009</v>
      </c>
      <c r="M29" s="125">
        <f t="shared" si="51"/>
        <v>0.62688976955819753</v>
      </c>
      <c r="N29" s="125">
        <f t="shared" si="51"/>
        <v>0.6385381072648938</v>
      </c>
      <c r="O29" s="125">
        <f t="shared" si="51"/>
        <v>0.62362224448897796</v>
      </c>
      <c r="P29" s="125">
        <f t="shared" si="51"/>
        <v>0.63097886540600667</v>
      </c>
      <c r="Q29" s="125">
        <f t="shared" si="51"/>
        <v>0.58563293911519931</v>
      </c>
      <c r="R29" s="114"/>
      <c r="S29" s="115">
        <f t="shared" ref="S29:Y29" si="52">SUM(S22/S$26)</f>
        <v>0.67735734520437074</v>
      </c>
      <c r="T29" s="115">
        <f t="shared" si="52"/>
        <v>0.6691606810321894</v>
      </c>
      <c r="U29" s="115">
        <f t="shared" si="52"/>
        <v>0.65724828316649009</v>
      </c>
      <c r="V29" s="115">
        <f t="shared" si="52"/>
        <v>0.65708248172653894</v>
      </c>
      <c r="W29" s="115">
        <f t="shared" si="52"/>
        <v>0.642830246807928</v>
      </c>
      <c r="X29" s="115">
        <f t="shared" si="52"/>
        <v>0.6297353760445682</v>
      </c>
      <c r="Y29" s="116">
        <f t="shared" si="52"/>
        <v>0.61990541104465158</v>
      </c>
    </row>
    <row r="30" spans="1:25">
      <c r="B30" s="117" t="str">
        <f>B23&amp;"(%)"</f>
        <v>Direct-to-Consumer(%)</v>
      </c>
      <c r="C30" s="127">
        <f t="shared" ref="C30:F31" si="53">SUM(C23/C$26)</f>
        <v>0.11638564332190583</v>
      </c>
      <c r="D30" s="127">
        <f t="shared" si="53"/>
        <v>0.16263182330702394</v>
      </c>
      <c r="E30" s="127">
        <f t="shared" si="53"/>
        <v>0.22716848779171725</v>
      </c>
      <c r="F30" s="127">
        <f t="shared" si="53"/>
        <v>0.26125355150104407</v>
      </c>
      <c r="G30" s="118"/>
      <c r="H30" s="127">
        <f t="shared" ref="H30:Q30" si="54">SUM(H23/H$26)</f>
        <v>0.20784583620096353</v>
      </c>
      <c r="I30" s="127">
        <f t="shared" si="54"/>
        <v>0.2186186974789916</v>
      </c>
      <c r="J30" s="127">
        <f t="shared" si="54"/>
        <v>0.23720734613766997</v>
      </c>
      <c r="K30" s="127">
        <f t="shared" si="54"/>
        <v>0.24469756480754123</v>
      </c>
      <c r="L30" s="127">
        <f t="shared" si="54"/>
        <v>0.24450227716330514</v>
      </c>
      <c r="M30" s="127">
        <f t="shared" si="54"/>
        <v>0.27594305005137237</v>
      </c>
      <c r="N30" s="127">
        <f t="shared" si="54"/>
        <v>0.27633338285544495</v>
      </c>
      <c r="O30" s="127">
        <f t="shared" si="54"/>
        <v>0.25212925851703405</v>
      </c>
      <c r="P30" s="127">
        <f t="shared" si="54"/>
        <v>0.28420467185761955</v>
      </c>
      <c r="Q30" s="127">
        <f t="shared" si="54"/>
        <v>0.31537450722733246</v>
      </c>
      <c r="R30" s="118"/>
      <c r="S30" s="119">
        <f t="shared" ref="S30:Y30" si="55">SUM(S23/S$26)</f>
        <v>0.22716848779171725</v>
      </c>
      <c r="T30" s="119">
        <f t="shared" si="55"/>
        <v>0.23626629422718809</v>
      </c>
      <c r="U30" s="119">
        <f t="shared" si="55"/>
        <v>0.2500939560627285</v>
      </c>
      <c r="V30" s="119">
        <f t="shared" si="55"/>
        <v>0.25939654276509511</v>
      </c>
      <c r="W30" s="119">
        <f t="shared" si="55"/>
        <v>0.26125355150104407</v>
      </c>
      <c r="X30" s="119">
        <f t="shared" si="55"/>
        <v>0.27148328690807799</v>
      </c>
      <c r="Y30" s="120">
        <f t="shared" si="55"/>
        <v>0.28088051189317015</v>
      </c>
    </row>
    <row r="31" spans="1:25">
      <c r="B31" s="121" t="str">
        <f>B24&amp;"(%)"</f>
        <v>Filmed Entertainment(%)</v>
      </c>
      <c r="C31" s="126">
        <f t="shared" si="53"/>
        <v>9.3997061498635695E-2</v>
      </c>
      <c r="D31" s="126">
        <f t="shared" si="53"/>
        <v>0.12290243417125422</v>
      </c>
      <c r="E31" s="126">
        <f t="shared" si="53"/>
        <v>9.9723458788614591E-2</v>
      </c>
      <c r="F31" s="126">
        <f t="shared" si="53"/>
        <v>0.10115359600178003</v>
      </c>
      <c r="G31" s="122"/>
      <c r="H31" s="126">
        <f t="shared" ref="H31:Q31" si="56">SUM(H24/H$26)</f>
        <v>8.0935994494150038E-2</v>
      </c>
      <c r="I31" s="126">
        <f t="shared" si="56"/>
        <v>0.10911239495798319</v>
      </c>
      <c r="J31" s="126">
        <f t="shared" si="56"/>
        <v>0.12491237908313473</v>
      </c>
      <c r="K31" s="126">
        <f t="shared" si="56"/>
        <v>8.4708038753600418E-2</v>
      </c>
      <c r="L31" s="126">
        <f t="shared" si="56"/>
        <v>7.8724788549121669E-2</v>
      </c>
      <c r="M31" s="126">
        <f t="shared" si="56"/>
        <v>9.9662410098341411E-2</v>
      </c>
      <c r="N31" s="126">
        <f t="shared" si="56"/>
        <v>8.7654137572426086E-2</v>
      </c>
      <c r="O31" s="126">
        <f t="shared" si="56"/>
        <v>0.13539579158316634</v>
      </c>
      <c r="P31" s="126">
        <f t="shared" si="56"/>
        <v>8.7180200222469417E-2</v>
      </c>
      <c r="Q31" s="126">
        <f t="shared" si="56"/>
        <v>0.10074463425317565</v>
      </c>
      <c r="R31" s="122"/>
      <c r="S31" s="123">
        <f t="shared" ref="S31:Y31" si="57">SUM(S24/S$26)</f>
        <v>9.9723458788614591E-2</v>
      </c>
      <c r="T31" s="123">
        <f t="shared" si="57"/>
        <v>9.889598297419526E-2</v>
      </c>
      <c r="U31" s="123">
        <f t="shared" si="57"/>
        <v>9.6416003279920739E-2</v>
      </c>
      <c r="V31" s="123">
        <f t="shared" si="57"/>
        <v>8.7331555062874558E-2</v>
      </c>
      <c r="W31" s="123">
        <f t="shared" si="57"/>
        <v>0.10115359600178003</v>
      </c>
      <c r="X31" s="123">
        <f t="shared" si="57"/>
        <v>0.10365598885793872</v>
      </c>
      <c r="Y31" s="124">
        <f t="shared" si="57"/>
        <v>0.10390874947836973</v>
      </c>
    </row>
    <row r="32" spans="1:25">
      <c r="B32" s="16"/>
      <c r="C32" s="17"/>
      <c r="D32" s="17"/>
      <c r="E32" s="17"/>
      <c r="F32" s="17"/>
      <c r="G32" s="18"/>
      <c r="H32" s="19"/>
      <c r="I32" s="19"/>
      <c r="J32" s="19"/>
      <c r="K32" s="20"/>
      <c r="L32" s="19"/>
      <c r="M32" s="19"/>
      <c r="N32" s="19"/>
      <c r="O32" s="19"/>
      <c r="P32" s="19"/>
      <c r="Q32" s="19"/>
      <c r="R32" s="18"/>
      <c r="S32" s="18"/>
      <c r="T32" s="18"/>
      <c r="U32" s="18"/>
      <c r="V32" s="18"/>
      <c r="W32" s="18"/>
      <c r="X32" s="18"/>
      <c r="Y32" s="18"/>
    </row>
    <row r="33" spans="1:25">
      <c r="A33" s="31" t="s">
        <v>15</v>
      </c>
      <c r="B33" s="1" t="s">
        <v>187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5.0999999999999996" customHeight="1"/>
    <row r="35" spans="1:25" ht="12.75" customHeight="1">
      <c r="A35" s="72" t="s">
        <v>15</v>
      </c>
      <c r="B35" s="70" t="s">
        <v>177</v>
      </c>
      <c r="C35" s="10"/>
      <c r="D35" s="10"/>
      <c r="E35" s="10"/>
      <c r="F35" s="10"/>
      <c r="G35" s="10"/>
      <c r="H35" s="79"/>
      <c r="I35" s="79"/>
      <c r="J35" s="79"/>
      <c r="K35" s="28"/>
      <c r="L35" s="79"/>
      <c r="M35" s="79"/>
      <c r="N35" s="79"/>
      <c r="O35" s="28"/>
      <c r="P35" s="79"/>
      <c r="Q35" s="79"/>
      <c r="R35" s="5"/>
      <c r="S35" s="11"/>
      <c r="T35" s="11"/>
      <c r="U35" s="11"/>
      <c r="V35" s="11"/>
      <c r="W35" s="11"/>
      <c r="X35" s="11"/>
      <c r="Y35" s="11"/>
    </row>
    <row r="36" spans="1:25" ht="12.75" customHeight="1">
      <c r="A36" s="72"/>
      <c r="B36" s="9" t="s">
        <v>168</v>
      </c>
      <c r="C36" s="73">
        <v>10105</v>
      </c>
      <c r="D36" s="73">
        <v>9350</v>
      </c>
      <c r="E36" s="73">
        <v>8188</v>
      </c>
      <c r="F36" s="73">
        <v>8180</v>
      </c>
      <c r="G36" s="10"/>
      <c r="H36" s="73">
        <v>2256</v>
      </c>
      <c r="I36" s="73">
        <v>1946</v>
      </c>
      <c r="J36" s="73">
        <v>1703</v>
      </c>
      <c r="K36" s="28">
        <f t="shared" ref="K36:K38" si="58">SUM(E36-SUM(H36:J36))</f>
        <v>2283</v>
      </c>
      <c r="L36" s="73">
        <v>2582</v>
      </c>
      <c r="M36" s="73">
        <v>1733</v>
      </c>
      <c r="N36" s="73">
        <v>1666</v>
      </c>
      <c r="O36" s="28">
        <f t="shared" ref="O36:O38" si="59">SUM(F36-SUM(L36:N36))</f>
        <v>2199</v>
      </c>
      <c r="P36" s="73">
        <v>2038</v>
      </c>
      <c r="Q36" s="73">
        <v>1657</v>
      </c>
      <c r="R36" s="5"/>
      <c r="S36" s="28">
        <f t="shared" ref="S36:S38" si="60">SUM(H36:K36)</f>
        <v>8188</v>
      </c>
      <c r="T36" s="28">
        <f t="shared" ref="T36:T38" si="61">SUM(I36:L36)</f>
        <v>8514</v>
      </c>
      <c r="U36" s="28">
        <f t="shared" ref="U36:U38" si="62">SUM(J36:M36)</f>
        <v>8301</v>
      </c>
      <c r="V36" s="28">
        <f t="shared" ref="V36:V38" si="63">SUM(K36:N36)</f>
        <v>8264</v>
      </c>
      <c r="W36" s="28">
        <f t="shared" ref="W36:W38" si="64">SUM(L36:O36)</f>
        <v>8180</v>
      </c>
      <c r="X36" s="28">
        <f t="shared" ref="X36:X38" si="65">SUM(M36:P36)</f>
        <v>7636</v>
      </c>
      <c r="Y36" s="28">
        <f t="shared" ref="Y36:Y38" si="66">SUM(N36:Q36)</f>
        <v>7560</v>
      </c>
    </row>
    <row r="37" spans="1:25" ht="12.75" customHeight="1">
      <c r="A37" s="72"/>
      <c r="B37" s="9" t="s">
        <v>169</v>
      </c>
      <c r="C37" s="73">
        <v>8413</v>
      </c>
      <c r="D37" s="73">
        <v>8180</v>
      </c>
      <c r="E37" s="73">
        <v>8085</v>
      </c>
      <c r="F37" s="73">
        <v>7647</v>
      </c>
      <c r="G37" s="10"/>
      <c r="H37" s="73">
        <v>2067</v>
      </c>
      <c r="I37" s="73">
        <v>2011</v>
      </c>
      <c r="J37" s="73">
        <v>2004</v>
      </c>
      <c r="K37" s="28">
        <f t="shared" si="58"/>
        <v>2003</v>
      </c>
      <c r="L37" s="73">
        <v>1998</v>
      </c>
      <c r="M37" s="73">
        <v>1908</v>
      </c>
      <c r="N37" s="73">
        <v>1872</v>
      </c>
      <c r="O37" s="28">
        <f t="shared" si="59"/>
        <v>1869</v>
      </c>
      <c r="P37" s="73">
        <v>1826</v>
      </c>
      <c r="Q37" s="73">
        <v>1780</v>
      </c>
      <c r="R37" s="5"/>
      <c r="S37" s="28">
        <f t="shared" si="60"/>
        <v>8085</v>
      </c>
      <c r="T37" s="28">
        <f t="shared" si="61"/>
        <v>8016</v>
      </c>
      <c r="U37" s="28">
        <f t="shared" si="62"/>
        <v>7913</v>
      </c>
      <c r="V37" s="28">
        <f t="shared" si="63"/>
        <v>7781</v>
      </c>
      <c r="W37" s="28">
        <f t="shared" si="64"/>
        <v>7647</v>
      </c>
      <c r="X37" s="28">
        <f t="shared" si="65"/>
        <v>7475</v>
      </c>
      <c r="Y37" s="28">
        <f t="shared" si="66"/>
        <v>7347</v>
      </c>
    </row>
    <row r="38" spans="1:25">
      <c r="A38" s="72"/>
      <c r="B38" s="9" t="s">
        <v>171</v>
      </c>
      <c r="C38" s="73">
        <v>4216</v>
      </c>
      <c r="D38" s="73">
        <v>4202</v>
      </c>
      <c r="E38" s="73">
        <v>3812</v>
      </c>
      <c r="F38" s="73">
        <v>2952</v>
      </c>
      <c r="G38" s="10"/>
      <c r="H38" s="73">
        <v>870</v>
      </c>
      <c r="I38" s="73">
        <v>1200</v>
      </c>
      <c r="J38" s="73">
        <v>860</v>
      </c>
      <c r="K38" s="28">
        <f t="shared" si="58"/>
        <v>882</v>
      </c>
      <c r="L38" s="73">
        <v>651</v>
      </c>
      <c r="M38" s="73">
        <v>630</v>
      </c>
      <c r="N38" s="73">
        <v>760</v>
      </c>
      <c r="O38" s="28">
        <f t="shared" si="59"/>
        <v>911</v>
      </c>
      <c r="P38" s="73">
        <v>674</v>
      </c>
      <c r="Q38" s="73">
        <v>574</v>
      </c>
      <c r="R38" s="5"/>
      <c r="S38" s="28">
        <f t="shared" si="60"/>
        <v>3812</v>
      </c>
      <c r="T38" s="28">
        <f t="shared" si="61"/>
        <v>3593</v>
      </c>
      <c r="U38" s="28">
        <f t="shared" si="62"/>
        <v>3023</v>
      </c>
      <c r="V38" s="28">
        <f t="shared" si="63"/>
        <v>2923</v>
      </c>
      <c r="W38" s="28">
        <f t="shared" si="64"/>
        <v>2952</v>
      </c>
      <c r="X38" s="28">
        <f t="shared" si="65"/>
        <v>2975</v>
      </c>
      <c r="Y38" s="28">
        <f t="shared" si="66"/>
        <v>2919</v>
      </c>
    </row>
    <row r="39" spans="1:25">
      <c r="B39" s="12" t="s">
        <v>181</v>
      </c>
      <c r="C39" s="13">
        <f>SUM(C36:C38)</f>
        <v>22734</v>
      </c>
      <c r="D39" s="13">
        <f>SUM(D36:D38)</f>
        <v>21732</v>
      </c>
      <c r="E39" s="13">
        <f>SUM(E36:E38)</f>
        <v>20085</v>
      </c>
      <c r="F39" s="13">
        <f>SUM(F36:F38)</f>
        <v>18779</v>
      </c>
      <c r="G39" s="11"/>
      <c r="H39" s="13">
        <f t="shared" ref="H39:Q39" si="67">SUM(H36:H38)</f>
        <v>5193</v>
      </c>
      <c r="I39" s="13">
        <f t="shared" si="67"/>
        <v>5157</v>
      </c>
      <c r="J39" s="13">
        <f t="shared" si="67"/>
        <v>4567</v>
      </c>
      <c r="K39" s="13">
        <f t="shared" si="67"/>
        <v>5168</v>
      </c>
      <c r="L39" s="13">
        <f t="shared" si="67"/>
        <v>5231</v>
      </c>
      <c r="M39" s="13">
        <f t="shared" si="67"/>
        <v>4271</v>
      </c>
      <c r="N39" s="13">
        <f t="shared" si="67"/>
        <v>4298</v>
      </c>
      <c r="O39" s="13">
        <f t="shared" si="67"/>
        <v>4979</v>
      </c>
      <c r="P39" s="13">
        <f t="shared" si="67"/>
        <v>4538</v>
      </c>
      <c r="Q39" s="13">
        <f t="shared" si="67"/>
        <v>4011</v>
      </c>
      <c r="R39" s="5"/>
      <c r="S39" s="13">
        <f t="shared" ref="S39:Y39" si="68">SUM(S36:S38)</f>
        <v>20085</v>
      </c>
      <c r="T39" s="13">
        <f t="shared" si="68"/>
        <v>20123</v>
      </c>
      <c r="U39" s="13">
        <f t="shared" si="68"/>
        <v>19237</v>
      </c>
      <c r="V39" s="13">
        <f t="shared" si="68"/>
        <v>18968</v>
      </c>
      <c r="W39" s="13">
        <f t="shared" si="68"/>
        <v>18779</v>
      </c>
      <c r="X39" s="13">
        <f t="shared" si="68"/>
        <v>18086</v>
      </c>
      <c r="Y39" s="13">
        <f t="shared" si="68"/>
        <v>17826</v>
      </c>
    </row>
    <row r="40" spans="1:25" outlineLevel="1">
      <c r="B40" s="112" t="s">
        <v>176</v>
      </c>
      <c r="C40" s="71">
        <f>+C39-C22</f>
        <v>0</v>
      </c>
      <c r="D40" s="71">
        <f t="shared" ref="D40:F40" si="69">+D39-D22</f>
        <v>0</v>
      </c>
      <c r="E40" s="71">
        <f t="shared" si="69"/>
        <v>0</v>
      </c>
      <c r="F40" s="71">
        <f t="shared" si="69"/>
        <v>0</v>
      </c>
      <c r="G40" s="11"/>
      <c r="H40" s="71">
        <f t="shared" ref="H40" si="70">+H39-H22</f>
        <v>0</v>
      </c>
      <c r="I40" s="71">
        <f t="shared" ref="I40" si="71">+I39-I22</f>
        <v>0</v>
      </c>
      <c r="J40" s="71">
        <f t="shared" ref="J40" si="72">+J39-J22</f>
        <v>0</v>
      </c>
      <c r="K40" s="71">
        <f t="shared" ref="K40" si="73">+K39-K22</f>
        <v>0</v>
      </c>
      <c r="L40" s="71">
        <f t="shared" ref="L40" si="74">+L39-L22</f>
        <v>0</v>
      </c>
      <c r="M40" s="71">
        <f t="shared" ref="M40" si="75">+M39-M22</f>
        <v>0</v>
      </c>
      <c r="N40" s="71">
        <f t="shared" ref="N40" si="76">+N39-N22</f>
        <v>0</v>
      </c>
      <c r="O40" s="71">
        <f t="shared" ref="O40" si="77">+O39-O22</f>
        <v>0</v>
      </c>
      <c r="P40" s="71">
        <f t="shared" ref="P40" si="78">+P39-P22</f>
        <v>0</v>
      </c>
      <c r="Q40" s="71">
        <f t="shared" ref="Q40" si="79">+Q39-Q22</f>
        <v>0</v>
      </c>
      <c r="R40" s="5"/>
      <c r="S40" s="71">
        <f t="shared" ref="S40" si="80">+S39-S22</f>
        <v>0</v>
      </c>
      <c r="T40" s="71">
        <f t="shared" ref="T40" si="81">+T39-T22</f>
        <v>0</v>
      </c>
      <c r="U40" s="71">
        <f t="shared" ref="U40" si="82">+U39-U22</f>
        <v>0</v>
      </c>
      <c r="V40" s="71">
        <f t="shared" ref="V40" si="83">+V39-V22</f>
        <v>0</v>
      </c>
      <c r="W40" s="71">
        <f t="shared" ref="W40" si="84">+W39-W22</f>
        <v>0</v>
      </c>
      <c r="X40" s="71">
        <f t="shared" ref="X40" si="85">+X39-X22</f>
        <v>0</v>
      </c>
      <c r="Y40" s="71">
        <f t="shared" ref="Y40" si="86">+Y39-Y22</f>
        <v>0</v>
      </c>
    </row>
    <row r="41" spans="1:25">
      <c r="B41" s="16"/>
      <c r="C41" s="17"/>
      <c r="D41" s="17"/>
      <c r="E41" s="17"/>
      <c r="F41" s="17"/>
      <c r="G41" s="18"/>
      <c r="H41" s="19"/>
      <c r="I41" s="19"/>
      <c r="J41" s="19"/>
      <c r="K41" s="20"/>
      <c r="L41" s="19"/>
      <c r="M41" s="19"/>
      <c r="N41" s="19"/>
      <c r="O41" s="19"/>
      <c r="P41" s="19"/>
      <c r="Q41" s="19"/>
      <c r="R41" s="18"/>
      <c r="S41" s="18"/>
      <c r="T41" s="18"/>
      <c r="U41" s="18"/>
      <c r="V41" s="18"/>
      <c r="W41" s="18"/>
      <c r="X41" s="18"/>
      <c r="Y41" s="18"/>
    </row>
    <row r="42" spans="1:25">
      <c r="B42" s="113" t="str">
        <f>B36&amp;"(%)"</f>
        <v>Advertising(%)</v>
      </c>
      <c r="C42" s="125">
        <f t="shared" ref="C42:F44" si="87">C36/C$39</f>
        <v>0.44448843142429839</v>
      </c>
      <c r="D42" s="125">
        <f t="shared" si="87"/>
        <v>0.43024111908706053</v>
      </c>
      <c r="E42" s="125">
        <f t="shared" si="87"/>
        <v>0.40766741349265623</v>
      </c>
      <c r="F42" s="125">
        <f t="shared" si="87"/>
        <v>0.43559294957132966</v>
      </c>
      <c r="G42" s="114"/>
      <c r="H42" s="125">
        <f t="shared" ref="H42:Q42" si="88">H36/H$39</f>
        <v>0.43443096476025417</v>
      </c>
      <c r="I42" s="125">
        <f t="shared" si="88"/>
        <v>0.37735117316269151</v>
      </c>
      <c r="J42" s="125">
        <f t="shared" si="88"/>
        <v>0.37289248959929933</v>
      </c>
      <c r="K42" s="125">
        <f t="shared" si="88"/>
        <v>0.44175696594427244</v>
      </c>
      <c r="L42" s="125">
        <f t="shared" si="88"/>
        <v>0.49359587077040717</v>
      </c>
      <c r="M42" s="125">
        <f t="shared" si="88"/>
        <v>0.40575977522828377</v>
      </c>
      <c r="N42" s="125">
        <f t="shared" si="88"/>
        <v>0.38762214983713356</v>
      </c>
      <c r="O42" s="125">
        <f t="shared" si="88"/>
        <v>0.441654950793332</v>
      </c>
      <c r="P42" s="125">
        <f t="shared" si="88"/>
        <v>0.44909651828999558</v>
      </c>
      <c r="Q42" s="125">
        <f t="shared" si="88"/>
        <v>0.41311393667414609</v>
      </c>
      <c r="R42" s="114"/>
      <c r="S42" s="115">
        <f t="shared" ref="S42:Y42" si="89">S36/S$39</f>
        <v>0.40766741349265623</v>
      </c>
      <c r="T42" s="115">
        <f t="shared" si="89"/>
        <v>0.42309794762212394</v>
      </c>
      <c r="U42" s="115">
        <f t="shared" si="89"/>
        <v>0.43151219005042368</v>
      </c>
      <c r="V42" s="115">
        <f t="shared" si="89"/>
        <v>0.43568114719527623</v>
      </c>
      <c r="W42" s="115">
        <f t="shared" si="89"/>
        <v>0.43559294957132966</v>
      </c>
      <c r="X42" s="115">
        <f t="shared" si="89"/>
        <v>0.42220502045781266</v>
      </c>
      <c r="Y42" s="116">
        <f t="shared" si="89"/>
        <v>0.4240996297542915</v>
      </c>
    </row>
    <row r="43" spans="1:25" ht="12.75" customHeight="1">
      <c r="B43" s="117" t="str">
        <f>B37&amp;"(%)"</f>
        <v>Affiliate and subscription(%)</v>
      </c>
      <c r="C43" s="127">
        <f t="shared" si="87"/>
        <v>0.3700624615113926</v>
      </c>
      <c r="D43" s="127">
        <f t="shared" si="87"/>
        <v>0.37640346033498989</v>
      </c>
      <c r="E43" s="127">
        <f t="shared" si="87"/>
        <v>0.40253920836445106</v>
      </c>
      <c r="F43" s="127">
        <f t="shared" si="87"/>
        <v>0.40721018158581396</v>
      </c>
      <c r="G43" s="118"/>
      <c r="H43" s="127">
        <f t="shared" ref="H43:Q43" si="90">H37/H$39</f>
        <v>0.39803581744656269</v>
      </c>
      <c r="I43" s="127">
        <f t="shared" si="90"/>
        <v>0.38995540042660459</v>
      </c>
      <c r="J43" s="127">
        <f t="shared" si="90"/>
        <v>0.43880008758484784</v>
      </c>
      <c r="K43" s="127">
        <f t="shared" si="90"/>
        <v>0.38757739938080493</v>
      </c>
      <c r="L43" s="127">
        <f t="shared" si="90"/>
        <v>0.38195373733511756</v>
      </c>
      <c r="M43" s="127">
        <f t="shared" si="90"/>
        <v>0.4467337859985952</v>
      </c>
      <c r="N43" s="127">
        <f t="shared" si="90"/>
        <v>0.43555141926477431</v>
      </c>
      <c r="O43" s="127">
        <f t="shared" si="90"/>
        <v>0.37537658164290016</v>
      </c>
      <c r="P43" s="127">
        <f t="shared" si="90"/>
        <v>0.4023799030409872</v>
      </c>
      <c r="Q43" s="127">
        <f t="shared" si="90"/>
        <v>0.44377960608327099</v>
      </c>
      <c r="R43" s="118"/>
      <c r="S43" s="119">
        <f t="shared" ref="S43:Y43" si="91">S37/S$39</f>
        <v>0.40253920836445106</v>
      </c>
      <c r="T43" s="119">
        <f t="shared" si="91"/>
        <v>0.39835014659841972</v>
      </c>
      <c r="U43" s="119">
        <f t="shared" si="91"/>
        <v>0.41134272495711388</v>
      </c>
      <c r="V43" s="119">
        <f t="shared" si="91"/>
        <v>0.41021720792914385</v>
      </c>
      <c r="W43" s="119">
        <f t="shared" si="91"/>
        <v>0.40721018158581396</v>
      </c>
      <c r="X43" s="119">
        <f t="shared" si="91"/>
        <v>0.41330310737587084</v>
      </c>
      <c r="Y43" s="120">
        <f t="shared" si="91"/>
        <v>0.41215079097946822</v>
      </c>
    </row>
    <row r="44" spans="1:25" ht="12.75" customHeight="1">
      <c r="B44" s="121" t="str">
        <f>B38&amp;"(%)"</f>
        <v>Licensing and other(%)</v>
      </c>
      <c r="C44" s="126">
        <f t="shared" si="87"/>
        <v>0.18544910706430898</v>
      </c>
      <c r="D44" s="126">
        <f t="shared" si="87"/>
        <v>0.19335542057794958</v>
      </c>
      <c r="E44" s="126">
        <f t="shared" si="87"/>
        <v>0.18979337814289271</v>
      </c>
      <c r="F44" s="126">
        <f t="shared" si="87"/>
        <v>0.15719686884285639</v>
      </c>
      <c r="G44" s="122"/>
      <c r="H44" s="126">
        <f t="shared" ref="H44:Q44" si="92">H38/H$39</f>
        <v>0.16753321779318314</v>
      </c>
      <c r="I44" s="126">
        <f t="shared" si="92"/>
        <v>0.2326934264107039</v>
      </c>
      <c r="J44" s="126">
        <f t="shared" si="92"/>
        <v>0.18830742281585286</v>
      </c>
      <c r="K44" s="126">
        <f t="shared" si="92"/>
        <v>0.1706656346749226</v>
      </c>
      <c r="L44" s="126">
        <f t="shared" si="92"/>
        <v>0.12445039189447524</v>
      </c>
      <c r="M44" s="126">
        <f t="shared" si="92"/>
        <v>0.14750643877312106</v>
      </c>
      <c r="N44" s="126">
        <f t="shared" si="92"/>
        <v>0.17682643089809214</v>
      </c>
      <c r="O44" s="126">
        <f t="shared" si="92"/>
        <v>0.18296846756376783</v>
      </c>
      <c r="P44" s="126">
        <f t="shared" si="92"/>
        <v>0.14852357866901719</v>
      </c>
      <c r="Q44" s="126">
        <f t="shared" si="92"/>
        <v>0.14310645724258289</v>
      </c>
      <c r="R44" s="122"/>
      <c r="S44" s="123">
        <f t="shared" ref="S44:Y44" si="93">S38/S$39</f>
        <v>0.18979337814289271</v>
      </c>
      <c r="T44" s="123">
        <f t="shared" si="93"/>
        <v>0.17855190577945634</v>
      </c>
      <c r="U44" s="123">
        <f t="shared" si="93"/>
        <v>0.15714508499246244</v>
      </c>
      <c r="V44" s="123">
        <f t="shared" si="93"/>
        <v>0.15410164487557992</v>
      </c>
      <c r="W44" s="123">
        <f t="shared" si="93"/>
        <v>0.15719686884285639</v>
      </c>
      <c r="X44" s="123">
        <f t="shared" si="93"/>
        <v>0.1644918721663165</v>
      </c>
      <c r="Y44" s="124">
        <f t="shared" si="93"/>
        <v>0.16374957926624031</v>
      </c>
    </row>
    <row r="46" spans="1:25">
      <c r="A46" s="31" t="s">
        <v>15</v>
      </c>
      <c r="B46" s="1" t="s">
        <v>178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5.0999999999999996" customHeight="1"/>
    <row r="48" spans="1:25" ht="12.75" customHeight="1">
      <c r="A48" s="72" t="s">
        <v>15</v>
      </c>
      <c r="B48" s="70" t="s">
        <v>179</v>
      </c>
      <c r="C48" s="10"/>
      <c r="D48" s="10"/>
      <c r="E48" s="10"/>
      <c r="F48" s="10"/>
      <c r="G48" s="10"/>
      <c r="H48" s="79"/>
      <c r="I48" s="79"/>
      <c r="J48" s="79"/>
      <c r="K48" s="28"/>
      <c r="L48" s="79"/>
      <c r="M48" s="79"/>
      <c r="N48" s="79"/>
      <c r="O48" s="28"/>
      <c r="P48" s="79"/>
      <c r="Q48" s="79"/>
      <c r="R48" s="5"/>
      <c r="S48" s="11"/>
      <c r="T48" s="11"/>
      <c r="U48" s="11"/>
      <c r="V48" s="11"/>
      <c r="W48" s="11"/>
      <c r="X48" s="11"/>
      <c r="Y48" s="11"/>
    </row>
    <row r="49" spans="1:25" ht="12.75" customHeight="1">
      <c r="A49" s="72"/>
      <c r="B49" s="9" t="s">
        <v>168</v>
      </c>
      <c r="C49" s="73">
        <v>1298</v>
      </c>
      <c r="D49" s="73">
        <v>1533</v>
      </c>
      <c r="E49" s="73">
        <v>1795</v>
      </c>
      <c r="F49" s="73">
        <v>2114</v>
      </c>
      <c r="G49" s="10"/>
      <c r="H49" s="73">
        <v>398</v>
      </c>
      <c r="I49" s="73">
        <v>441</v>
      </c>
      <c r="J49" s="73">
        <v>430</v>
      </c>
      <c r="K49" s="28">
        <f t="shared" ref="K49:K50" si="94">SUM(E49-SUM(H49:J49))</f>
        <v>526</v>
      </c>
      <c r="L49" s="73">
        <v>520</v>
      </c>
      <c r="M49" s="73">
        <v>513</v>
      </c>
      <c r="N49" s="73">
        <v>507</v>
      </c>
      <c r="O49" s="28">
        <f t="shared" ref="O49:O50" si="95">SUM(F49-SUM(L49:N49))</f>
        <v>574</v>
      </c>
      <c r="P49" s="73">
        <v>473</v>
      </c>
      <c r="Q49" s="73">
        <v>494</v>
      </c>
      <c r="R49" s="5"/>
      <c r="S49" s="28">
        <f t="shared" ref="S49:S50" si="96">SUM(H49:K49)</f>
        <v>1795</v>
      </c>
      <c r="T49" s="28">
        <f t="shared" ref="T49:T50" si="97">SUM(I49:L49)</f>
        <v>1917</v>
      </c>
      <c r="U49" s="28">
        <f t="shared" ref="U49:U50" si="98">SUM(J49:M49)</f>
        <v>1989</v>
      </c>
      <c r="V49" s="28">
        <f t="shared" ref="V49:V50" si="99">SUM(K49:N49)</f>
        <v>2066</v>
      </c>
      <c r="W49" s="28">
        <f t="shared" ref="W49:W50" si="100">SUM(L49:O49)</f>
        <v>2114</v>
      </c>
      <c r="X49" s="28">
        <f t="shared" ref="X49:X50" si="101">SUM(M49:P49)</f>
        <v>2067</v>
      </c>
      <c r="Y49" s="28">
        <f t="shared" ref="Y49:Y50" si="102">SUM(N49:Q49)</f>
        <v>2048</v>
      </c>
    </row>
    <row r="50" spans="1:25">
      <c r="A50" s="72"/>
      <c r="B50" s="9" t="s">
        <v>183</v>
      </c>
      <c r="C50" s="73">
        <v>2029</v>
      </c>
      <c r="D50" s="73">
        <v>3371</v>
      </c>
      <c r="E50" s="73">
        <f>4933+8</f>
        <v>4941</v>
      </c>
      <c r="F50" s="73">
        <f>5506+12</f>
        <v>5518</v>
      </c>
      <c r="G50" s="10"/>
      <c r="H50" s="73">
        <v>1112</v>
      </c>
      <c r="I50" s="73">
        <v>1224</v>
      </c>
      <c r="J50" s="73">
        <f>1258+4</f>
        <v>1262</v>
      </c>
      <c r="K50" s="28">
        <f t="shared" si="94"/>
        <v>1343</v>
      </c>
      <c r="L50" s="73">
        <v>1359</v>
      </c>
      <c r="M50" s="73">
        <v>1367</v>
      </c>
      <c r="N50" s="73">
        <f>1343+10</f>
        <v>1353</v>
      </c>
      <c r="O50" s="28">
        <f t="shared" si="95"/>
        <v>1439</v>
      </c>
      <c r="P50" s="73">
        <v>1571</v>
      </c>
      <c r="Q50" s="73">
        <f>1665+1</f>
        <v>1666</v>
      </c>
      <c r="R50" s="5"/>
      <c r="S50" s="28">
        <f t="shared" si="96"/>
        <v>4941</v>
      </c>
      <c r="T50" s="28">
        <f t="shared" si="97"/>
        <v>5188</v>
      </c>
      <c r="U50" s="28">
        <f t="shared" si="98"/>
        <v>5331</v>
      </c>
      <c r="V50" s="28">
        <f t="shared" si="99"/>
        <v>5422</v>
      </c>
      <c r="W50" s="28">
        <f t="shared" si="100"/>
        <v>5518</v>
      </c>
      <c r="X50" s="28">
        <f t="shared" si="101"/>
        <v>5730</v>
      </c>
      <c r="Y50" s="28">
        <f t="shared" si="102"/>
        <v>6029</v>
      </c>
    </row>
    <row r="51" spans="1:25">
      <c r="B51" s="12" t="s">
        <v>180</v>
      </c>
      <c r="C51" s="13">
        <f>SUM(C49:C50)</f>
        <v>3327</v>
      </c>
      <c r="D51" s="13">
        <f>SUM(D49:D50)</f>
        <v>4904</v>
      </c>
      <c r="E51" s="13">
        <f>SUM(E49:E50)</f>
        <v>6736</v>
      </c>
      <c r="F51" s="13">
        <f>SUM(F49:F50)</f>
        <v>7632</v>
      </c>
      <c r="G51" s="11"/>
      <c r="H51" s="13">
        <f t="shared" ref="H51:Q51" si="103">SUM(H49:H50)</f>
        <v>1510</v>
      </c>
      <c r="I51" s="13">
        <f t="shared" si="103"/>
        <v>1665</v>
      </c>
      <c r="J51" s="13">
        <f t="shared" si="103"/>
        <v>1692</v>
      </c>
      <c r="K51" s="13">
        <f t="shared" si="103"/>
        <v>1869</v>
      </c>
      <c r="L51" s="13">
        <f t="shared" si="103"/>
        <v>1879</v>
      </c>
      <c r="M51" s="13">
        <f t="shared" si="103"/>
        <v>1880</v>
      </c>
      <c r="N51" s="13">
        <f t="shared" si="103"/>
        <v>1860</v>
      </c>
      <c r="O51" s="13">
        <f t="shared" si="103"/>
        <v>2013</v>
      </c>
      <c r="P51" s="13">
        <f t="shared" si="103"/>
        <v>2044</v>
      </c>
      <c r="Q51" s="13">
        <f t="shared" si="103"/>
        <v>2160</v>
      </c>
      <c r="R51" s="5"/>
      <c r="S51" s="13">
        <f t="shared" ref="S51:Y51" si="104">SUM(S49:S50)</f>
        <v>6736</v>
      </c>
      <c r="T51" s="13">
        <f t="shared" si="104"/>
        <v>7105</v>
      </c>
      <c r="U51" s="13">
        <f t="shared" si="104"/>
        <v>7320</v>
      </c>
      <c r="V51" s="13">
        <f t="shared" si="104"/>
        <v>7488</v>
      </c>
      <c r="W51" s="13">
        <f t="shared" si="104"/>
        <v>7632</v>
      </c>
      <c r="X51" s="13">
        <f t="shared" si="104"/>
        <v>7797</v>
      </c>
      <c r="Y51" s="13">
        <f t="shared" si="104"/>
        <v>8077</v>
      </c>
    </row>
    <row r="52" spans="1:25" outlineLevel="1">
      <c r="B52" s="112" t="s">
        <v>176</v>
      </c>
      <c r="C52" s="71">
        <f>+C51-C23</f>
        <v>0</v>
      </c>
      <c r="D52" s="71">
        <f t="shared" ref="D52:F52" si="105">+D51-D23</f>
        <v>0</v>
      </c>
      <c r="E52" s="71">
        <f t="shared" si="105"/>
        <v>0</v>
      </c>
      <c r="F52" s="71">
        <f t="shared" si="105"/>
        <v>0</v>
      </c>
      <c r="G52" s="11"/>
      <c r="H52" s="71">
        <f t="shared" ref="H52" si="106">+H51-H23</f>
        <v>0</v>
      </c>
      <c r="I52" s="71">
        <f t="shared" ref="I52" si="107">+I51-I23</f>
        <v>0</v>
      </c>
      <c r="J52" s="71">
        <f t="shared" ref="J52" si="108">+J51-J23</f>
        <v>0</v>
      </c>
      <c r="K52" s="71">
        <f t="shared" ref="K52" si="109">+K51-K23</f>
        <v>0</v>
      </c>
      <c r="L52" s="71">
        <f t="shared" ref="L52" si="110">+L51-L23</f>
        <v>0</v>
      </c>
      <c r="M52" s="71">
        <f t="shared" ref="M52" si="111">+M51-M23</f>
        <v>0</v>
      </c>
      <c r="N52" s="71">
        <f t="shared" ref="N52" si="112">+N51-N23</f>
        <v>0</v>
      </c>
      <c r="O52" s="71">
        <f t="shared" ref="O52" si="113">+O51-O23</f>
        <v>0</v>
      </c>
      <c r="P52" s="71">
        <f t="shared" ref="P52" si="114">+P51-P23</f>
        <v>0</v>
      </c>
      <c r="Q52" s="71">
        <f t="shared" ref="Q52" si="115">+Q51-Q23</f>
        <v>0</v>
      </c>
      <c r="R52" s="5"/>
      <c r="S52" s="71">
        <f t="shared" ref="S52" si="116">+S51-S23</f>
        <v>0</v>
      </c>
      <c r="T52" s="71">
        <f t="shared" ref="T52" si="117">+T51-T23</f>
        <v>0</v>
      </c>
      <c r="U52" s="71">
        <f t="shared" ref="U52" si="118">+U51-U23</f>
        <v>0</v>
      </c>
      <c r="V52" s="71">
        <f t="shared" ref="V52" si="119">+V51-V23</f>
        <v>0</v>
      </c>
      <c r="W52" s="71">
        <f t="shared" ref="W52" si="120">+W51-W23</f>
        <v>0</v>
      </c>
      <c r="X52" s="71">
        <f t="shared" ref="X52" si="121">+X51-X23</f>
        <v>0</v>
      </c>
      <c r="Y52" s="71">
        <f t="shared" ref="Y52" si="122">+Y51-Y23</f>
        <v>0</v>
      </c>
    </row>
    <row r="53" spans="1:25">
      <c r="B53" s="16"/>
      <c r="C53" s="17"/>
      <c r="D53" s="17"/>
      <c r="E53" s="17"/>
      <c r="F53" s="17"/>
      <c r="G53" s="18"/>
      <c r="H53" s="19"/>
      <c r="I53" s="19"/>
      <c r="J53" s="19"/>
      <c r="K53" s="20"/>
      <c r="L53" s="19"/>
      <c r="M53" s="19"/>
      <c r="N53" s="19"/>
      <c r="O53" s="19"/>
      <c r="P53" s="19"/>
      <c r="Q53" s="19"/>
      <c r="R53" s="18"/>
      <c r="S53" s="18"/>
      <c r="T53" s="18"/>
      <c r="U53" s="18"/>
      <c r="V53" s="18"/>
      <c r="W53" s="18"/>
      <c r="X53" s="18"/>
      <c r="Y53" s="18"/>
    </row>
    <row r="54" spans="1:25">
      <c r="B54" s="113" t="str">
        <f>B49&amp;"(%)"</f>
        <v>Advertising(%)</v>
      </c>
      <c r="C54" s="125">
        <f t="shared" ref="C54:F55" si="123">C49/C$51</f>
        <v>0.39014126840997898</v>
      </c>
      <c r="D54" s="125">
        <f t="shared" si="123"/>
        <v>0.31260195758564435</v>
      </c>
      <c r="E54" s="125">
        <f t="shared" si="123"/>
        <v>0.26647862232779096</v>
      </c>
      <c r="F54" s="125">
        <f t="shared" si="123"/>
        <v>0.27699161425576518</v>
      </c>
      <c r="G54" s="114"/>
      <c r="H54" s="125">
        <f t="shared" ref="H54:Q54" si="124">H49/H$51</f>
        <v>0.26357615894039738</v>
      </c>
      <c r="I54" s="125">
        <f t="shared" si="124"/>
        <v>0.26486486486486488</v>
      </c>
      <c r="J54" s="125">
        <f t="shared" si="124"/>
        <v>0.25413711583924348</v>
      </c>
      <c r="K54" s="125">
        <f t="shared" si="124"/>
        <v>0.28143392188336008</v>
      </c>
      <c r="L54" s="125">
        <f t="shared" si="124"/>
        <v>0.27674294837679619</v>
      </c>
      <c r="M54" s="125">
        <f t="shared" si="124"/>
        <v>0.27287234042553193</v>
      </c>
      <c r="N54" s="125">
        <f t="shared" si="124"/>
        <v>0.27258064516129032</v>
      </c>
      <c r="O54" s="125">
        <f t="shared" si="124"/>
        <v>0.28514654744162943</v>
      </c>
      <c r="P54" s="125">
        <f t="shared" si="124"/>
        <v>0.23140900195694716</v>
      </c>
      <c r="Q54" s="125">
        <f t="shared" si="124"/>
        <v>0.22870370370370371</v>
      </c>
      <c r="R54" s="114"/>
      <c r="S54" s="115">
        <f t="shared" ref="S54:Y54" si="125">S49/S$51</f>
        <v>0.26647862232779096</v>
      </c>
      <c r="T54" s="115">
        <f t="shared" si="125"/>
        <v>0.26980999296270231</v>
      </c>
      <c r="U54" s="115">
        <f t="shared" si="125"/>
        <v>0.27172131147540984</v>
      </c>
      <c r="V54" s="115">
        <f t="shared" si="125"/>
        <v>0.27590811965811968</v>
      </c>
      <c r="W54" s="115">
        <f t="shared" si="125"/>
        <v>0.27699161425576518</v>
      </c>
      <c r="X54" s="115">
        <f t="shared" si="125"/>
        <v>0.26510196229318966</v>
      </c>
      <c r="Y54" s="116">
        <f t="shared" si="125"/>
        <v>0.25355948990961991</v>
      </c>
    </row>
    <row r="55" spans="1:25" ht="12.75" customHeight="1">
      <c r="B55" s="121" t="str">
        <f>B50&amp;"(%)"</f>
        <v>Subscription &amp; Licensing(%)</v>
      </c>
      <c r="C55" s="126">
        <f t="shared" si="123"/>
        <v>0.60985873159002102</v>
      </c>
      <c r="D55" s="126">
        <f t="shared" si="123"/>
        <v>0.68739804241435565</v>
      </c>
      <c r="E55" s="126">
        <f t="shared" si="123"/>
        <v>0.73352137767220904</v>
      </c>
      <c r="F55" s="126">
        <f t="shared" si="123"/>
        <v>0.72300838574423476</v>
      </c>
      <c r="G55" s="122"/>
      <c r="H55" s="126">
        <f t="shared" ref="H55:Q55" si="126">H50/H$51</f>
        <v>0.73642384105960268</v>
      </c>
      <c r="I55" s="126">
        <f t="shared" si="126"/>
        <v>0.73513513513513518</v>
      </c>
      <c r="J55" s="126">
        <f t="shared" si="126"/>
        <v>0.74586288416075652</v>
      </c>
      <c r="K55" s="126">
        <f t="shared" si="126"/>
        <v>0.71856607811663986</v>
      </c>
      <c r="L55" s="126">
        <f t="shared" si="126"/>
        <v>0.72325705162320386</v>
      </c>
      <c r="M55" s="126">
        <f t="shared" si="126"/>
        <v>0.72712765957446812</v>
      </c>
      <c r="N55" s="126">
        <f t="shared" si="126"/>
        <v>0.72741935483870968</v>
      </c>
      <c r="O55" s="126">
        <f t="shared" si="126"/>
        <v>0.71485345255837063</v>
      </c>
      <c r="P55" s="126">
        <f t="shared" si="126"/>
        <v>0.76859099804305286</v>
      </c>
      <c r="Q55" s="126">
        <f t="shared" si="126"/>
        <v>0.77129629629629626</v>
      </c>
      <c r="R55" s="122"/>
      <c r="S55" s="123">
        <f t="shared" ref="S55:Y55" si="127">S50/S$51</f>
        <v>0.73352137767220904</v>
      </c>
      <c r="T55" s="123">
        <f t="shared" si="127"/>
        <v>0.73019000703729764</v>
      </c>
      <c r="U55" s="123">
        <f t="shared" si="127"/>
        <v>0.72827868852459021</v>
      </c>
      <c r="V55" s="123">
        <f t="shared" si="127"/>
        <v>0.72409188034188032</v>
      </c>
      <c r="W55" s="123">
        <f t="shared" si="127"/>
        <v>0.72300838574423476</v>
      </c>
      <c r="X55" s="123">
        <f t="shared" si="127"/>
        <v>0.73489803770681028</v>
      </c>
      <c r="Y55" s="124">
        <f t="shared" si="127"/>
        <v>0.74644051009038004</v>
      </c>
    </row>
    <row r="57" spans="1:25">
      <c r="B57" s="70" t="s">
        <v>182</v>
      </c>
    </row>
    <row r="58" spans="1:25" ht="5.0999999999999996" customHeight="1"/>
    <row r="59" spans="1:25">
      <c r="B59" s="9" t="s">
        <v>184</v>
      </c>
      <c r="C59" s="151">
        <v>32.799999999999997</v>
      </c>
      <c r="D59" s="151">
        <v>55.9</v>
      </c>
      <c r="E59" s="151">
        <v>67.5</v>
      </c>
      <c r="F59" s="151">
        <v>77.5</v>
      </c>
      <c r="G59" s="151"/>
      <c r="H59" s="151">
        <v>60</v>
      </c>
      <c r="I59" s="151">
        <v>60.7</v>
      </c>
      <c r="J59" s="151">
        <v>63.4</v>
      </c>
      <c r="K59" s="160">
        <f>E59</f>
        <v>67.5</v>
      </c>
      <c r="L59" s="151">
        <v>71.2</v>
      </c>
      <c r="M59" s="151">
        <v>68.400000000000006</v>
      </c>
      <c r="N59" s="151">
        <v>71.900000000000006</v>
      </c>
      <c r="O59" s="160">
        <f>F59</f>
        <v>77.5</v>
      </c>
      <c r="P59" s="151">
        <v>79</v>
      </c>
      <c r="Q59" s="151">
        <v>77.7</v>
      </c>
      <c r="S59" s="160">
        <f t="shared" ref="S59:X59" si="128">K59</f>
        <v>67.5</v>
      </c>
      <c r="T59" s="160">
        <f t="shared" si="128"/>
        <v>71.2</v>
      </c>
      <c r="U59" s="160">
        <f t="shared" si="128"/>
        <v>68.400000000000006</v>
      </c>
      <c r="V59" s="160">
        <f t="shared" si="128"/>
        <v>71.900000000000006</v>
      </c>
      <c r="W59" s="160">
        <f t="shared" si="128"/>
        <v>77.5</v>
      </c>
      <c r="X59" s="160">
        <f t="shared" si="128"/>
        <v>79</v>
      </c>
      <c r="Y59" s="160">
        <f>Q59</f>
        <v>77.7</v>
      </c>
    </row>
    <row r="61" spans="1:25" ht="12.75" customHeight="1">
      <c r="A61" s="72" t="s">
        <v>15</v>
      </c>
      <c r="B61" s="70" t="s">
        <v>185</v>
      </c>
      <c r="C61" s="10"/>
      <c r="D61" s="10"/>
      <c r="E61" s="10"/>
      <c r="F61" s="10"/>
      <c r="G61" s="10"/>
      <c r="H61" s="79"/>
      <c r="I61" s="79"/>
      <c r="J61" s="79"/>
      <c r="K61" s="28"/>
      <c r="L61" s="79"/>
      <c r="M61" s="79"/>
      <c r="N61" s="79"/>
      <c r="O61" s="28"/>
      <c r="P61" s="79"/>
      <c r="Q61" s="79"/>
      <c r="R61" s="5"/>
      <c r="S61" s="11"/>
      <c r="T61" s="11"/>
      <c r="U61" s="11"/>
      <c r="V61" s="11"/>
      <c r="W61" s="11"/>
      <c r="X61" s="11"/>
      <c r="Y61" s="11"/>
    </row>
    <row r="62" spans="1:25" ht="12.75" customHeight="1">
      <c r="A62" s="72"/>
      <c r="B62" s="9" t="s">
        <v>185</v>
      </c>
      <c r="C62" s="73">
        <v>1347</v>
      </c>
      <c r="D62" s="73">
        <v>2767</v>
      </c>
      <c r="E62" s="73">
        <v>4446</v>
      </c>
      <c r="F62" s="73">
        <v>5896</v>
      </c>
      <c r="G62" s="10"/>
      <c r="H62" s="73">
        <v>965</v>
      </c>
      <c r="I62" s="73">
        <v>990</v>
      </c>
      <c r="J62" s="73">
        <v>1138</v>
      </c>
      <c r="K62" s="28">
        <f>SUM(E62-SUM(H62:J62))</f>
        <v>1353</v>
      </c>
      <c r="L62" s="73">
        <v>1459</v>
      </c>
      <c r="M62" s="73">
        <v>1445</v>
      </c>
      <c r="N62" s="73">
        <v>1428</v>
      </c>
      <c r="O62" s="28">
        <f>SUM(F62-SUM(L62:N62))</f>
        <v>1564</v>
      </c>
      <c r="P62" s="73">
        <v>1686</v>
      </c>
      <c r="Q62" s="73">
        <v>1771</v>
      </c>
      <c r="R62" s="5"/>
      <c r="S62" s="28">
        <f t="shared" ref="S62" si="129">SUM(H62:K62)</f>
        <v>4446</v>
      </c>
      <c r="T62" s="28">
        <f t="shared" ref="T62" si="130">SUM(I62:L62)</f>
        <v>4940</v>
      </c>
      <c r="U62" s="28">
        <f t="shared" ref="U62" si="131">SUM(J62:M62)</f>
        <v>5395</v>
      </c>
      <c r="V62" s="28">
        <f t="shared" ref="V62" si="132">SUM(K62:N62)</f>
        <v>5685</v>
      </c>
      <c r="W62" s="28">
        <f t="shared" ref="W62" si="133">SUM(L62:O62)</f>
        <v>5896</v>
      </c>
      <c r="X62" s="28">
        <f t="shared" ref="X62" si="134">SUM(M62:P62)</f>
        <v>6123</v>
      </c>
      <c r="Y62" s="28">
        <f>SUM(N62:Q62)</f>
        <v>6449</v>
      </c>
    </row>
    <row r="63" spans="1:25">
      <c r="B63" s="12" t="s">
        <v>186</v>
      </c>
      <c r="C63" s="13">
        <f>SUM(C62:C62)</f>
        <v>1347</v>
      </c>
      <c r="D63" s="13">
        <f>SUM(D62:D62)</f>
        <v>2767</v>
      </c>
      <c r="E63" s="13">
        <f>SUM(E62:E62)</f>
        <v>4446</v>
      </c>
      <c r="F63" s="13">
        <f>SUM(F62:F62)</f>
        <v>5896</v>
      </c>
      <c r="G63" s="11"/>
      <c r="H63" s="13">
        <f t="shared" ref="H63:Q63" si="135">SUM(H62:H62)</f>
        <v>965</v>
      </c>
      <c r="I63" s="13">
        <f t="shared" si="135"/>
        <v>990</v>
      </c>
      <c r="J63" s="13">
        <f t="shared" si="135"/>
        <v>1138</v>
      </c>
      <c r="K63" s="13">
        <f t="shared" si="135"/>
        <v>1353</v>
      </c>
      <c r="L63" s="13">
        <f t="shared" si="135"/>
        <v>1459</v>
      </c>
      <c r="M63" s="13">
        <f t="shared" si="135"/>
        <v>1445</v>
      </c>
      <c r="N63" s="13">
        <f t="shared" si="135"/>
        <v>1428</v>
      </c>
      <c r="O63" s="13">
        <f t="shared" si="135"/>
        <v>1564</v>
      </c>
      <c r="P63" s="13">
        <f t="shared" si="135"/>
        <v>1686</v>
      </c>
      <c r="Q63" s="13">
        <f t="shared" si="135"/>
        <v>1771</v>
      </c>
      <c r="R63" s="5"/>
      <c r="S63" s="13">
        <f t="shared" ref="S63:Y63" si="136">SUM(S62:S62)</f>
        <v>4446</v>
      </c>
      <c r="T63" s="13">
        <f t="shared" si="136"/>
        <v>4940</v>
      </c>
      <c r="U63" s="13">
        <f t="shared" si="136"/>
        <v>5395</v>
      </c>
      <c r="V63" s="13">
        <f t="shared" si="136"/>
        <v>5685</v>
      </c>
      <c r="W63" s="13">
        <f t="shared" si="136"/>
        <v>5896</v>
      </c>
      <c r="X63" s="13">
        <f t="shared" si="136"/>
        <v>6123</v>
      </c>
      <c r="Y63" s="13">
        <f t="shared" si="136"/>
        <v>6449</v>
      </c>
    </row>
    <row r="65" spans="1:25">
      <c r="A65" s="31" t="s">
        <v>15</v>
      </c>
      <c r="B65" s="1" t="s">
        <v>188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5.0999999999999996" customHeight="1"/>
    <row r="67" spans="1:25" ht="12.75" customHeight="1">
      <c r="A67" s="72" t="s">
        <v>15</v>
      </c>
      <c r="B67" s="70" t="s">
        <v>189</v>
      </c>
      <c r="C67" s="10"/>
      <c r="D67" s="10"/>
      <c r="E67" s="10"/>
      <c r="F67" s="10"/>
      <c r="G67" s="10"/>
      <c r="H67" s="79"/>
      <c r="I67" s="79"/>
      <c r="J67" s="79"/>
      <c r="K67" s="28"/>
      <c r="L67" s="79"/>
      <c r="M67" s="79"/>
      <c r="N67" s="79"/>
      <c r="O67" s="28"/>
      <c r="P67" s="79"/>
      <c r="Q67" s="79"/>
      <c r="R67" s="5"/>
      <c r="S67" s="11"/>
      <c r="T67" s="11"/>
      <c r="U67" s="11"/>
      <c r="V67" s="11"/>
      <c r="W67" s="11"/>
      <c r="X67" s="11"/>
      <c r="Y67" s="11"/>
    </row>
    <row r="68" spans="1:25" ht="12.75" customHeight="1">
      <c r="A68" s="72"/>
      <c r="B68" s="9" t="s">
        <v>168</v>
      </c>
      <c r="C68" s="73">
        <v>18</v>
      </c>
      <c r="D68" s="73">
        <v>23</v>
      </c>
      <c r="E68" s="73">
        <v>24</v>
      </c>
      <c r="F68" s="73">
        <v>16</v>
      </c>
      <c r="G68" s="10"/>
      <c r="H68" s="73">
        <v>5</v>
      </c>
      <c r="I68" s="73">
        <v>11</v>
      </c>
      <c r="J68" s="73">
        <v>5</v>
      </c>
      <c r="K68" s="28">
        <f t="shared" ref="K68:K70" si="137">SUM(E68-SUM(H68:J68))</f>
        <v>3</v>
      </c>
      <c r="L68" s="73">
        <v>1</v>
      </c>
      <c r="M68" s="73">
        <v>7</v>
      </c>
      <c r="N68" s="73">
        <v>2</v>
      </c>
      <c r="O68" s="28">
        <f t="shared" ref="O68:O70" si="138">SUM(F68-SUM(L68:N68))</f>
        <v>6</v>
      </c>
      <c r="P68" s="73">
        <v>3</v>
      </c>
      <c r="Q68" s="73">
        <v>2</v>
      </c>
      <c r="R68" s="5"/>
      <c r="S68" s="28">
        <f t="shared" ref="S68:S70" si="139">SUM(H68:K68)</f>
        <v>24</v>
      </c>
      <c r="T68" s="28">
        <f t="shared" ref="T68:T70" si="140">SUM(I68:L68)</f>
        <v>20</v>
      </c>
      <c r="U68" s="28">
        <f t="shared" ref="U68:U70" si="141">SUM(J68:M68)</f>
        <v>16</v>
      </c>
      <c r="V68" s="28">
        <f t="shared" ref="V68:V70" si="142">SUM(K68:N68)</f>
        <v>13</v>
      </c>
      <c r="W68" s="28">
        <f t="shared" ref="W68:W70" si="143">SUM(L68:O68)</f>
        <v>16</v>
      </c>
      <c r="X68" s="28">
        <f t="shared" ref="X68:X70" si="144">SUM(M68:P68)</f>
        <v>18</v>
      </c>
      <c r="Y68" s="28">
        <f t="shared" ref="Y68:Y70" si="145">SUM(N68:Q68)</f>
        <v>13</v>
      </c>
    </row>
    <row r="69" spans="1:25" ht="12.75" customHeight="1">
      <c r="A69" s="72"/>
      <c r="B69" s="9" t="s">
        <v>170</v>
      </c>
      <c r="C69" s="73">
        <v>241</v>
      </c>
      <c r="D69" s="73">
        <v>1223</v>
      </c>
      <c r="E69" s="73">
        <v>813</v>
      </c>
      <c r="F69" s="73">
        <v>813</v>
      </c>
      <c r="G69" s="10"/>
      <c r="H69" s="73">
        <v>127</v>
      </c>
      <c r="I69" s="73">
        <v>231</v>
      </c>
      <c r="J69" s="73">
        <v>377</v>
      </c>
      <c r="K69" s="28">
        <f t="shared" si="137"/>
        <v>78</v>
      </c>
      <c r="L69" s="73">
        <v>153</v>
      </c>
      <c r="M69" s="73">
        <v>138</v>
      </c>
      <c r="N69" s="73">
        <v>108</v>
      </c>
      <c r="O69" s="28">
        <f t="shared" si="138"/>
        <v>414</v>
      </c>
      <c r="P69" s="73">
        <v>148</v>
      </c>
      <c r="Q69" s="73">
        <v>254</v>
      </c>
      <c r="R69" s="5"/>
      <c r="S69" s="28">
        <f t="shared" si="139"/>
        <v>813</v>
      </c>
      <c r="T69" s="28">
        <f t="shared" si="140"/>
        <v>839</v>
      </c>
      <c r="U69" s="28">
        <f t="shared" si="141"/>
        <v>746</v>
      </c>
      <c r="V69" s="28">
        <f t="shared" si="142"/>
        <v>477</v>
      </c>
      <c r="W69" s="28">
        <f t="shared" si="143"/>
        <v>813</v>
      </c>
      <c r="X69" s="28">
        <f t="shared" si="144"/>
        <v>808</v>
      </c>
      <c r="Y69" s="28">
        <f t="shared" si="145"/>
        <v>924</v>
      </c>
    </row>
    <row r="70" spans="1:25">
      <c r="A70" s="72"/>
      <c r="B70" s="9" t="s">
        <v>171</v>
      </c>
      <c r="C70" s="73">
        <v>2428</v>
      </c>
      <c r="D70" s="73">
        <v>2460</v>
      </c>
      <c r="E70" s="73">
        <v>2120</v>
      </c>
      <c r="F70" s="73">
        <v>2126</v>
      </c>
      <c r="G70" s="10"/>
      <c r="H70" s="73">
        <v>456</v>
      </c>
      <c r="I70" s="73">
        <v>589</v>
      </c>
      <c r="J70" s="73">
        <v>509</v>
      </c>
      <c r="K70" s="28">
        <f t="shared" si="137"/>
        <v>566</v>
      </c>
      <c r="L70" s="73">
        <v>451</v>
      </c>
      <c r="M70" s="73">
        <v>534</v>
      </c>
      <c r="N70" s="73">
        <v>480</v>
      </c>
      <c r="O70" s="28">
        <f t="shared" si="138"/>
        <v>661</v>
      </c>
      <c r="P70" s="73">
        <v>476</v>
      </c>
      <c r="Q70" s="73">
        <v>434</v>
      </c>
      <c r="R70" s="5"/>
      <c r="S70" s="28">
        <f t="shared" si="139"/>
        <v>2120</v>
      </c>
      <c r="T70" s="28">
        <f t="shared" si="140"/>
        <v>2115</v>
      </c>
      <c r="U70" s="28">
        <f t="shared" si="141"/>
        <v>2060</v>
      </c>
      <c r="V70" s="28">
        <f t="shared" si="142"/>
        <v>2031</v>
      </c>
      <c r="W70" s="28">
        <f t="shared" si="143"/>
        <v>2126</v>
      </c>
      <c r="X70" s="28">
        <f t="shared" si="144"/>
        <v>2151</v>
      </c>
      <c r="Y70" s="28">
        <f t="shared" si="145"/>
        <v>2051</v>
      </c>
    </row>
    <row r="71" spans="1:25">
      <c r="B71" s="12" t="s">
        <v>190</v>
      </c>
      <c r="C71" s="13">
        <f>SUM(C68:C70)</f>
        <v>2687</v>
      </c>
      <c r="D71" s="13">
        <f>SUM(D68:D70)</f>
        <v>3706</v>
      </c>
      <c r="E71" s="13">
        <f>SUM(E68:E70)</f>
        <v>2957</v>
      </c>
      <c r="F71" s="13">
        <f>SUM(F68:F70)</f>
        <v>2955</v>
      </c>
      <c r="G71" s="11"/>
      <c r="H71" s="13">
        <f t="shared" ref="H71:Q71" si="146">SUM(H68:H70)</f>
        <v>588</v>
      </c>
      <c r="I71" s="13">
        <f t="shared" si="146"/>
        <v>831</v>
      </c>
      <c r="J71" s="13">
        <f t="shared" si="146"/>
        <v>891</v>
      </c>
      <c r="K71" s="13">
        <f t="shared" si="146"/>
        <v>647</v>
      </c>
      <c r="L71" s="13">
        <f t="shared" si="146"/>
        <v>605</v>
      </c>
      <c r="M71" s="13">
        <f t="shared" si="146"/>
        <v>679</v>
      </c>
      <c r="N71" s="13">
        <f t="shared" si="146"/>
        <v>590</v>
      </c>
      <c r="O71" s="13">
        <f t="shared" si="146"/>
        <v>1081</v>
      </c>
      <c r="P71" s="13">
        <f t="shared" si="146"/>
        <v>627</v>
      </c>
      <c r="Q71" s="13">
        <f t="shared" si="146"/>
        <v>690</v>
      </c>
      <c r="R71" s="5"/>
      <c r="S71" s="13">
        <f t="shared" ref="S71:Y71" si="147">SUM(S68:S70)</f>
        <v>2957</v>
      </c>
      <c r="T71" s="13">
        <f t="shared" si="147"/>
        <v>2974</v>
      </c>
      <c r="U71" s="13">
        <f t="shared" si="147"/>
        <v>2822</v>
      </c>
      <c r="V71" s="13">
        <f t="shared" si="147"/>
        <v>2521</v>
      </c>
      <c r="W71" s="13">
        <f t="shared" si="147"/>
        <v>2955</v>
      </c>
      <c r="X71" s="13">
        <f t="shared" si="147"/>
        <v>2977</v>
      </c>
      <c r="Y71" s="13">
        <f t="shared" si="147"/>
        <v>2988</v>
      </c>
    </row>
    <row r="72" spans="1:25" outlineLevel="1">
      <c r="B72" s="112" t="s">
        <v>176</v>
      </c>
      <c r="C72" s="71">
        <f>+C71-C24</f>
        <v>0</v>
      </c>
      <c r="D72" s="71">
        <f t="shared" ref="D72:F72" si="148">+D71-D24</f>
        <v>0</v>
      </c>
      <c r="E72" s="71">
        <f t="shared" si="148"/>
        <v>0</v>
      </c>
      <c r="F72" s="71">
        <f t="shared" si="148"/>
        <v>0</v>
      </c>
      <c r="G72" s="11"/>
      <c r="H72" s="71">
        <f t="shared" ref="H72" si="149">+H71-H24</f>
        <v>0</v>
      </c>
      <c r="I72" s="71">
        <f t="shared" ref="I72" si="150">+I71-I24</f>
        <v>0</v>
      </c>
      <c r="J72" s="71">
        <f t="shared" ref="J72" si="151">+J71-J24</f>
        <v>0</v>
      </c>
      <c r="K72" s="71">
        <f t="shared" ref="K72" si="152">+K71-K24</f>
        <v>0</v>
      </c>
      <c r="L72" s="71">
        <f t="shared" ref="L72" si="153">+L71-L24</f>
        <v>0</v>
      </c>
      <c r="M72" s="71">
        <f t="shared" ref="M72" si="154">+M71-M24</f>
        <v>0</v>
      </c>
      <c r="N72" s="71">
        <f t="shared" ref="N72" si="155">+N71-N24</f>
        <v>0</v>
      </c>
      <c r="O72" s="71">
        <f t="shared" ref="O72" si="156">+O71-O24</f>
        <v>0</v>
      </c>
      <c r="P72" s="71">
        <f t="shared" ref="P72" si="157">+P71-P24</f>
        <v>0</v>
      </c>
      <c r="Q72" s="71">
        <f t="shared" ref="Q72" si="158">+Q71-Q24</f>
        <v>0</v>
      </c>
      <c r="R72" s="5"/>
      <c r="S72" s="71">
        <f t="shared" ref="S72" si="159">+S71-S24</f>
        <v>0</v>
      </c>
      <c r="T72" s="71">
        <f t="shared" ref="T72" si="160">+T71-T24</f>
        <v>0</v>
      </c>
      <c r="U72" s="71">
        <f t="shared" ref="U72" si="161">+U71-U24</f>
        <v>0</v>
      </c>
      <c r="V72" s="71">
        <f t="shared" ref="V72" si="162">+V71-V24</f>
        <v>0</v>
      </c>
      <c r="W72" s="71">
        <f t="shared" ref="W72" si="163">+W71-W24</f>
        <v>0</v>
      </c>
      <c r="X72" s="71">
        <f t="shared" ref="X72" si="164">+X71-X24</f>
        <v>0</v>
      </c>
      <c r="Y72" s="71">
        <f t="shared" ref="Y72" si="165">+Y71-Y24</f>
        <v>0</v>
      </c>
    </row>
    <row r="73" spans="1:25">
      <c r="B73" s="16"/>
      <c r="C73" s="17"/>
      <c r="D73" s="17"/>
      <c r="E73" s="17"/>
      <c r="F73" s="17"/>
      <c r="G73" s="18"/>
      <c r="H73" s="19"/>
      <c r="I73" s="19"/>
      <c r="J73" s="19"/>
      <c r="K73" s="20"/>
      <c r="L73" s="19"/>
      <c r="M73" s="19"/>
      <c r="N73" s="19"/>
      <c r="O73" s="19"/>
      <c r="P73" s="19"/>
      <c r="Q73" s="19"/>
      <c r="R73" s="18"/>
      <c r="S73" s="18"/>
      <c r="T73" s="18"/>
      <c r="U73" s="18"/>
      <c r="V73" s="18"/>
      <c r="W73" s="18"/>
      <c r="X73" s="18"/>
      <c r="Y73" s="18"/>
    </row>
    <row r="74" spans="1:25">
      <c r="B74" s="113" t="str">
        <f>B68&amp;"(%)"</f>
        <v>Advertising(%)</v>
      </c>
      <c r="C74" s="125">
        <f t="shared" ref="C74:F76" si="166">C68/C$39</f>
        <v>7.9176563737133805E-4</v>
      </c>
      <c r="D74" s="125">
        <f t="shared" si="166"/>
        <v>1.0583471378612184E-3</v>
      </c>
      <c r="E74" s="125">
        <f t="shared" si="166"/>
        <v>1.1949215832710979E-3</v>
      </c>
      <c r="F74" s="125">
        <f t="shared" si="166"/>
        <v>8.5201554928377441E-4</v>
      </c>
      <c r="G74" s="114"/>
      <c r="H74" s="125">
        <f t="shared" ref="H74:Q74" si="167">H68/H$39</f>
        <v>9.6283458501829388E-4</v>
      </c>
      <c r="I74" s="125">
        <f t="shared" si="167"/>
        <v>2.1330230754314523E-3</v>
      </c>
      <c r="J74" s="125">
        <f t="shared" si="167"/>
        <v>1.0948105977665863E-3</v>
      </c>
      <c r="K74" s="125">
        <f t="shared" si="167"/>
        <v>5.8049535603715168E-4</v>
      </c>
      <c r="L74" s="125">
        <f t="shared" si="167"/>
        <v>1.9116803670426305E-4</v>
      </c>
      <c r="M74" s="125">
        <f t="shared" si="167"/>
        <v>1.6389604308124561E-3</v>
      </c>
      <c r="N74" s="125">
        <f t="shared" si="167"/>
        <v>4.6533271288971617E-4</v>
      </c>
      <c r="O74" s="125">
        <f t="shared" si="167"/>
        <v>1.2050612572805785E-3</v>
      </c>
      <c r="P74" s="125">
        <f t="shared" si="167"/>
        <v>6.6108417805200526E-4</v>
      </c>
      <c r="Q74" s="125">
        <f t="shared" si="167"/>
        <v>4.9862877088007981E-4</v>
      </c>
      <c r="R74" s="114"/>
      <c r="S74" s="115">
        <f t="shared" ref="S74:Y74" si="168">S68/S$39</f>
        <v>1.1949215832710979E-3</v>
      </c>
      <c r="T74" s="115">
        <f t="shared" si="168"/>
        <v>9.9388759131342243E-4</v>
      </c>
      <c r="U74" s="115">
        <f t="shared" si="168"/>
        <v>8.3173051931174295E-4</v>
      </c>
      <c r="V74" s="115">
        <f t="shared" si="168"/>
        <v>6.8536482496836775E-4</v>
      </c>
      <c r="W74" s="115">
        <f t="shared" si="168"/>
        <v>8.5201554928377441E-4</v>
      </c>
      <c r="X74" s="115">
        <f t="shared" si="168"/>
        <v>9.9524494083821739E-4</v>
      </c>
      <c r="Y74" s="116">
        <f t="shared" si="168"/>
        <v>7.2927185010658591E-4</v>
      </c>
    </row>
    <row r="75" spans="1:25" ht="12.75" customHeight="1">
      <c r="B75" s="117" t="str">
        <f>B69&amp;"(%)"</f>
        <v>Theatrical(%)</v>
      </c>
      <c r="C75" s="127">
        <f t="shared" si="166"/>
        <v>1.0600862144805137E-2</v>
      </c>
      <c r="D75" s="127">
        <f t="shared" si="166"/>
        <v>5.627645867844653E-2</v>
      </c>
      <c r="E75" s="127">
        <f t="shared" si="166"/>
        <v>4.0477968633308437E-2</v>
      </c>
      <c r="F75" s="127">
        <f t="shared" si="166"/>
        <v>4.3293040097981787E-2</v>
      </c>
      <c r="G75" s="118"/>
      <c r="H75" s="127">
        <f t="shared" ref="H75:Q75" si="169">H69/H$39</f>
        <v>2.4455998459464664E-2</v>
      </c>
      <c r="I75" s="127">
        <f t="shared" si="169"/>
        <v>4.4793484584060503E-2</v>
      </c>
      <c r="J75" s="127">
        <f t="shared" si="169"/>
        <v>8.2548719071600607E-2</v>
      </c>
      <c r="K75" s="127">
        <f t="shared" si="169"/>
        <v>1.5092879256965945E-2</v>
      </c>
      <c r="L75" s="127">
        <f t="shared" si="169"/>
        <v>2.9248709615752246E-2</v>
      </c>
      <c r="M75" s="127">
        <f t="shared" si="169"/>
        <v>3.231093420744556E-2</v>
      </c>
      <c r="N75" s="127">
        <f t="shared" si="169"/>
        <v>2.5127966496044672E-2</v>
      </c>
      <c r="O75" s="127">
        <f t="shared" si="169"/>
        <v>8.3149226752359917E-2</v>
      </c>
      <c r="P75" s="127">
        <f t="shared" si="169"/>
        <v>3.2613486117232263E-2</v>
      </c>
      <c r="Q75" s="127">
        <f t="shared" si="169"/>
        <v>6.3325853901770132E-2</v>
      </c>
      <c r="R75" s="118"/>
      <c r="S75" s="119">
        <f t="shared" ref="S75:Y75" si="170">S69/S$39</f>
        <v>4.0477968633308437E-2</v>
      </c>
      <c r="T75" s="119">
        <f t="shared" si="170"/>
        <v>4.1693584455598072E-2</v>
      </c>
      <c r="U75" s="119">
        <f t="shared" si="170"/>
        <v>3.8779435462910017E-2</v>
      </c>
      <c r="V75" s="119">
        <f t="shared" si="170"/>
        <v>2.5147617039223955E-2</v>
      </c>
      <c r="W75" s="119">
        <f t="shared" si="170"/>
        <v>4.3293040097981787E-2</v>
      </c>
      <c r="X75" s="119">
        <f t="shared" si="170"/>
        <v>4.467543956651554E-2</v>
      </c>
      <c r="Y75" s="120">
        <f t="shared" si="170"/>
        <v>5.1834399192191183E-2</v>
      </c>
    </row>
    <row r="76" spans="1:25" ht="12.75" customHeight="1">
      <c r="B76" s="121" t="str">
        <f>B70&amp;"(%)"</f>
        <v>Licensing and other(%)</v>
      </c>
      <c r="C76" s="126">
        <f t="shared" si="166"/>
        <v>0.10680038708542272</v>
      </c>
      <c r="D76" s="126">
        <f t="shared" si="166"/>
        <v>0.11319712865819989</v>
      </c>
      <c r="E76" s="126">
        <f t="shared" si="166"/>
        <v>0.1055514065222803</v>
      </c>
      <c r="F76" s="126">
        <f t="shared" si="166"/>
        <v>0.11321156611108153</v>
      </c>
      <c r="G76" s="122"/>
      <c r="H76" s="126">
        <f t="shared" ref="H76:Q76" si="171">H70/H$39</f>
        <v>8.7810514153668404E-2</v>
      </c>
      <c r="I76" s="126">
        <f t="shared" si="171"/>
        <v>0.1142136901299205</v>
      </c>
      <c r="J76" s="126">
        <f t="shared" si="171"/>
        <v>0.11145171885263849</v>
      </c>
      <c r="K76" s="126">
        <f t="shared" si="171"/>
        <v>0.10952012383900929</v>
      </c>
      <c r="L76" s="126">
        <f t="shared" si="171"/>
        <v>8.6216784553622638E-2</v>
      </c>
      <c r="M76" s="126">
        <f t="shared" si="171"/>
        <v>0.12502926715055021</v>
      </c>
      <c r="N76" s="126">
        <f t="shared" si="171"/>
        <v>0.11167985109353187</v>
      </c>
      <c r="O76" s="126">
        <f t="shared" si="171"/>
        <v>0.13275758184374373</v>
      </c>
      <c r="P76" s="126">
        <f t="shared" si="171"/>
        <v>0.10489202291758484</v>
      </c>
      <c r="Q76" s="126">
        <f t="shared" si="171"/>
        <v>0.10820244328097731</v>
      </c>
      <c r="R76" s="122"/>
      <c r="S76" s="123">
        <f t="shared" ref="S76:Y76" si="172">S70/S$39</f>
        <v>0.1055514065222803</v>
      </c>
      <c r="T76" s="123">
        <f t="shared" si="172"/>
        <v>0.10510361278139442</v>
      </c>
      <c r="U76" s="123">
        <f t="shared" si="172"/>
        <v>0.10708530436138691</v>
      </c>
      <c r="V76" s="123">
        <f t="shared" si="172"/>
        <v>0.10707507380851961</v>
      </c>
      <c r="W76" s="123">
        <f t="shared" si="172"/>
        <v>0.11321156611108153</v>
      </c>
      <c r="X76" s="123">
        <f t="shared" si="172"/>
        <v>0.11893177043016698</v>
      </c>
      <c r="Y76" s="124">
        <f t="shared" si="172"/>
        <v>0.11505665881296982</v>
      </c>
    </row>
  </sheetData>
  <pageMargins left="0.7" right="0.7" top="0.75" bottom="0.75" header="0.3" footer="0.3"/>
  <ignoredErrors>
    <ignoredError sqref="H42:Q43 H44:Q44" evalErro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627CF-47F2-43ED-8CCB-3D99E5377DA5}">
  <sheetPr>
    <tabColor theme="6" tint="-0.249977111117893"/>
  </sheetPr>
  <dimension ref="A2:AA85"/>
  <sheetViews>
    <sheetView showGridLines="0" tabSelected="1" zoomScaleNormal="100" workbookViewId="0">
      <selection activeCell="Q55" sqref="Q55"/>
    </sheetView>
  </sheetViews>
  <sheetFormatPr defaultRowHeight="12" outlineLevelCol="1"/>
  <cols>
    <col min="1" max="1" width="1.5" style="8" customWidth="1"/>
    <col min="2" max="2" width="41.625" style="8" customWidth="1"/>
    <col min="3" max="3" width="8.625" style="8" customWidth="1"/>
    <col min="4" max="4" width="9" style="8" bestFit="1"/>
    <col min="5" max="5" width="9.25" style="8" bestFit="1" customWidth="1"/>
    <col min="6" max="6" width="9" style="8"/>
    <col min="7" max="7" width="1.5" style="8" customWidth="1"/>
    <col min="8" max="10" width="8" style="8" customWidth="1"/>
    <col min="11" max="11" width="8.75" style="8" customWidth="1"/>
    <col min="12" max="13" width="8" style="8" customWidth="1"/>
    <col min="14" max="17" width="8.875" style="8" customWidth="1"/>
    <col min="18" max="18" width="1.625" style="8" customWidth="1"/>
    <col min="19" max="19" width="9.75" style="8" customWidth="1" outlineLevel="1"/>
    <col min="20" max="20" width="9" style="8" customWidth="1" outlineLevel="1"/>
    <col min="21" max="21" width="9" style="8"/>
    <col min="22" max="23" width="9" style="8" customWidth="1" outlineLevel="1"/>
    <col min="24" max="24" width="8.5" style="8" customWidth="1" outlineLevel="1"/>
    <col min="25" max="25" width="8.5" style="8" bestFit="1" customWidth="1"/>
    <col min="26" max="26" width="1.5" style="8" customWidth="1"/>
    <col min="27" max="27" width="7.5" style="109" bestFit="1" customWidth="1"/>
    <col min="28" max="16384" width="9" style="8"/>
  </cols>
  <sheetData>
    <row r="2" spans="2:27" s="5" customFormat="1" ht="12.75" customHeight="1">
      <c r="B2" s="1" t="str">
        <f>'Historical Financials'!B2</f>
        <v>Paramount Global  (NASDAQ: PARA)</v>
      </c>
      <c r="C2" s="2"/>
      <c r="D2" s="2" t="s">
        <v>0</v>
      </c>
      <c r="E2" s="2"/>
      <c r="F2" s="2"/>
      <c r="G2" s="3"/>
      <c r="H2" s="2" t="s">
        <v>1</v>
      </c>
      <c r="I2" s="2"/>
      <c r="J2" s="2"/>
      <c r="K2" s="2"/>
      <c r="L2" s="2"/>
      <c r="M2" s="2"/>
      <c r="N2" s="2"/>
      <c r="O2" s="2"/>
      <c r="P2" s="2"/>
      <c r="Q2" s="2"/>
      <c r="R2" s="3"/>
      <c r="S2" s="2"/>
      <c r="T2" s="2" t="s">
        <v>10</v>
      </c>
      <c r="U2" s="2" t="s">
        <v>10</v>
      </c>
      <c r="V2" s="2"/>
      <c r="W2" s="2"/>
      <c r="X2" s="2"/>
      <c r="Y2" s="2"/>
      <c r="Z2" s="3"/>
      <c r="AA2" s="155" t="s">
        <v>20</v>
      </c>
    </row>
    <row r="3" spans="2:27" s="5" customFormat="1" ht="12.75" customHeight="1">
      <c r="B3" s="6" t="s">
        <v>21</v>
      </c>
      <c r="C3" s="7">
        <f>'Historical Financials'!C7</f>
        <v>2021</v>
      </c>
      <c r="D3" s="7">
        <f>'Historical Financials'!D7</f>
        <v>2022</v>
      </c>
      <c r="E3" s="7">
        <f>'Historical Financials'!E7</f>
        <v>2023</v>
      </c>
      <c r="F3" s="7">
        <f>'Historical Financials'!F7</f>
        <v>2024</v>
      </c>
      <c r="G3" s="3"/>
      <c r="H3" s="7" t="str">
        <f>'Historical Financials'!H7</f>
        <v>1Q23</v>
      </c>
      <c r="I3" s="7" t="str">
        <f>'Historical Financials'!I7</f>
        <v>2Q23</v>
      </c>
      <c r="J3" s="7" t="str">
        <f>'Historical Financials'!J7</f>
        <v>3Q23</v>
      </c>
      <c r="K3" s="7" t="str">
        <f>'Historical Financials'!K7</f>
        <v>4Q23</v>
      </c>
      <c r="L3" s="7" t="str">
        <f>'Historical Financials'!L7</f>
        <v>1Q24</v>
      </c>
      <c r="M3" s="7" t="str">
        <f>'Historical Financials'!M7</f>
        <v>2Q24</v>
      </c>
      <c r="N3" s="7" t="str">
        <f>'Historical Financials'!N7</f>
        <v>3Q24</v>
      </c>
      <c r="O3" s="7" t="str">
        <f>'Historical Financials'!O7</f>
        <v>4Q24</v>
      </c>
      <c r="P3" s="7" t="str">
        <f>'Historical Financials'!P7</f>
        <v>1Q25</v>
      </c>
      <c r="Q3" s="7" t="str">
        <f>'Historical Financials'!Q7</f>
        <v>2Q25</v>
      </c>
      <c r="R3" s="3"/>
      <c r="S3" s="4" t="str">
        <f>K3</f>
        <v>4Q23</v>
      </c>
      <c r="T3" s="4" t="str">
        <f>L3</f>
        <v>1Q24</v>
      </c>
      <c r="U3" s="4" t="str">
        <f>M3</f>
        <v>2Q24</v>
      </c>
      <c r="V3" s="4" t="str">
        <f>N3</f>
        <v>3Q24</v>
      </c>
      <c r="W3" s="4" t="str">
        <f>O3</f>
        <v>4Q24</v>
      </c>
      <c r="X3" s="4" t="str">
        <f>P3</f>
        <v>1Q25</v>
      </c>
      <c r="Y3" s="4" t="str">
        <f>Q3</f>
        <v>2Q25</v>
      </c>
      <c r="Z3" s="3"/>
      <c r="AA3" s="155"/>
    </row>
    <row r="4" spans="2:27" s="5" customFormat="1" ht="12.75" customHeight="1">
      <c r="B4" s="6" t="s">
        <v>87</v>
      </c>
      <c r="C4" s="3">
        <f>'Historical Financials'!C8</f>
        <v>44561</v>
      </c>
      <c r="D4" s="3">
        <f>'Historical Financials'!D8</f>
        <v>44926</v>
      </c>
      <c r="E4" s="3">
        <f>'Historical Financials'!E8</f>
        <v>45291</v>
      </c>
      <c r="F4" s="3">
        <f>'Historical Financials'!F8</f>
        <v>45657</v>
      </c>
      <c r="G4" s="3"/>
      <c r="H4" s="3">
        <f>'Historical Financials'!H8</f>
        <v>45016</v>
      </c>
      <c r="I4" s="3">
        <f>'Historical Financials'!I8</f>
        <v>45107</v>
      </c>
      <c r="J4" s="3">
        <f>'Historical Financials'!J8</f>
        <v>45199</v>
      </c>
      <c r="K4" s="3">
        <f>'Historical Financials'!K8</f>
        <v>44926</v>
      </c>
      <c r="L4" s="3">
        <f>'Historical Financials'!L8</f>
        <v>45382</v>
      </c>
      <c r="M4" s="3">
        <f>'Historical Financials'!M8</f>
        <v>45473</v>
      </c>
      <c r="N4" s="3">
        <f>'Historical Financials'!N8</f>
        <v>45565</v>
      </c>
      <c r="O4" s="3">
        <f>'Historical Financials'!O8</f>
        <v>45291</v>
      </c>
      <c r="P4" s="3">
        <f>'Historical Financials'!P8</f>
        <v>45747</v>
      </c>
      <c r="Q4" s="3">
        <f>'Historical Financials'!Q8</f>
        <v>45838</v>
      </c>
      <c r="R4" s="3"/>
      <c r="S4" s="3">
        <f>K4</f>
        <v>44926</v>
      </c>
      <c r="T4" s="3">
        <f>L4</f>
        <v>45382</v>
      </c>
      <c r="U4" s="3">
        <f>M4</f>
        <v>45473</v>
      </c>
      <c r="V4" s="3">
        <f>N4</f>
        <v>45565</v>
      </c>
      <c r="W4" s="3">
        <f>O4</f>
        <v>45291</v>
      </c>
      <c r="X4" s="3">
        <f>P4</f>
        <v>45747</v>
      </c>
      <c r="Y4" s="3">
        <f>Q4</f>
        <v>45838</v>
      </c>
      <c r="Z4" s="3"/>
      <c r="AA4" s="155"/>
    </row>
    <row r="5" spans="2:27" ht="5.0999999999999996" customHeight="1">
      <c r="AA5" s="105"/>
    </row>
    <row r="6" spans="2:27" ht="12.75" customHeight="1">
      <c r="B6" s="9" t="str">
        <f>'Revenue Drivers'!B9</f>
        <v>Advertising</v>
      </c>
      <c r="C6" s="78">
        <f>'Revenue Drivers'!C9</f>
        <v>11412</v>
      </c>
      <c r="D6" s="78">
        <f>'Revenue Drivers'!D9</f>
        <v>10890</v>
      </c>
      <c r="E6" s="78">
        <f>'Revenue Drivers'!E9</f>
        <v>9989</v>
      </c>
      <c r="F6" s="78">
        <f>'Revenue Drivers'!F9</f>
        <v>10295</v>
      </c>
      <c r="G6" s="10"/>
      <c r="H6" s="78">
        <f>'Revenue Drivers'!H9</f>
        <v>2651</v>
      </c>
      <c r="I6" s="78">
        <f>'Revenue Drivers'!I9</f>
        <v>2395</v>
      </c>
      <c r="J6" s="78">
        <f>'Revenue Drivers'!J9</f>
        <v>2133</v>
      </c>
      <c r="K6" s="78">
        <f>'Revenue Drivers'!K9</f>
        <v>2810</v>
      </c>
      <c r="L6" s="78">
        <f>'Revenue Drivers'!L9</f>
        <v>3096</v>
      </c>
      <c r="M6" s="78">
        <f>'Revenue Drivers'!M9</f>
        <v>2251</v>
      </c>
      <c r="N6" s="78">
        <f>'Revenue Drivers'!N9</f>
        <v>2174</v>
      </c>
      <c r="O6" s="78">
        <f>'Revenue Drivers'!O9</f>
        <v>2774</v>
      </c>
      <c r="P6" s="78">
        <f>'Revenue Drivers'!P9</f>
        <v>2513</v>
      </c>
      <c r="Q6" s="78">
        <f>'Revenue Drivers'!Q9</f>
        <v>2152</v>
      </c>
      <c r="R6" s="5"/>
      <c r="S6" s="129">
        <f t="shared" ref="S6:X6" si="0">SUM(H6:K6)</f>
        <v>9989</v>
      </c>
      <c r="T6" s="129">
        <f t="shared" si="0"/>
        <v>10434</v>
      </c>
      <c r="U6" s="129">
        <f t="shared" si="0"/>
        <v>10290</v>
      </c>
      <c r="V6" s="129">
        <f t="shared" si="0"/>
        <v>10331</v>
      </c>
      <c r="W6" s="129">
        <f t="shared" si="0"/>
        <v>10295</v>
      </c>
      <c r="X6" s="129">
        <f t="shared" si="0"/>
        <v>9712</v>
      </c>
      <c r="Y6" s="129">
        <f>SUM(N6:Q6)</f>
        <v>9613</v>
      </c>
      <c r="AA6" s="106">
        <f t="shared" ref="AA6:AA9" si="1">SUM(Y6/U6)-1</f>
        <v>-6.5792031098153569E-2</v>
      </c>
    </row>
    <row r="7" spans="2:27" ht="12.75" customHeight="1">
      <c r="B7" s="9" t="str">
        <f>'Revenue Drivers'!B10</f>
        <v>Affiliate and subscription</v>
      </c>
      <c r="C7" s="78">
        <f>'Revenue Drivers'!C10</f>
        <v>10442</v>
      </c>
      <c r="D7" s="78">
        <f>'Revenue Drivers'!D10</f>
        <v>11551</v>
      </c>
      <c r="E7" s="78">
        <f>'Revenue Drivers'!E10</f>
        <v>13018</v>
      </c>
      <c r="F7" s="78">
        <f>'Revenue Drivers'!F10</f>
        <v>13153</v>
      </c>
      <c r="G7" s="10"/>
      <c r="H7" s="78">
        <f>'Revenue Drivers'!H10</f>
        <v>3179</v>
      </c>
      <c r="I7" s="78">
        <f>'Revenue Drivers'!I10</f>
        <v>3235</v>
      </c>
      <c r="J7" s="78">
        <f>'Revenue Drivers'!J10</f>
        <v>3262</v>
      </c>
      <c r="K7" s="78">
        <f>'Revenue Drivers'!K10</f>
        <v>3342</v>
      </c>
      <c r="L7" s="78">
        <f>'Revenue Drivers'!L10</f>
        <v>3357</v>
      </c>
      <c r="M7" s="78">
        <f>'Revenue Drivers'!M10</f>
        <v>3275</v>
      </c>
      <c r="N7" s="78">
        <f>'Revenue Drivers'!N10</f>
        <v>3215</v>
      </c>
      <c r="O7" s="78">
        <f>'Revenue Drivers'!O10</f>
        <v>3306</v>
      </c>
      <c r="P7" s="78">
        <f>'Revenue Drivers'!P10</f>
        <v>3397</v>
      </c>
      <c r="Q7" s="78">
        <f>'Revenue Drivers'!Q10</f>
        <v>3445</v>
      </c>
      <c r="R7" s="5"/>
      <c r="S7" s="129">
        <f t="shared" ref="S7:S9" si="2">SUM(H7:K7)</f>
        <v>13018</v>
      </c>
      <c r="T7" s="129">
        <f t="shared" ref="T7:T9" si="3">SUM(I7:L7)</f>
        <v>13196</v>
      </c>
      <c r="U7" s="129">
        <f t="shared" ref="U7:U9" si="4">SUM(J7:M7)</f>
        <v>13236</v>
      </c>
      <c r="V7" s="129">
        <f t="shared" ref="V7:V9" si="5">SUM(K7:N7)</f>
        <v>13189</v>
      </c>
      <c r="W7" s="129">
        <f t="shared" ref="W7:W9" si="6">SUM(L7:O7)</f>
        <v>13153</v>
      </c>
      <c r="X7" s="129">
        <f t="shared" ref="X7:X9" si="7">SUM(M7:P7)</f>
        <v>13193</v>
      </c>
      <c r="Y7" s="129">
        <f t="shared" ref="Y7:Y9" si="8">SUM(N7:Q7)</f>
        <v>13363</v>
      </c>
      <c r="AA7" s="106">
        <f t="shared" si="1"/>
        <v>9.595043819885074E-3</v>
      </c>
    </row>
    <row r="8" spans="2:27" ht="12.75" customHeight="1">
      <c r="B8" s="9" t="str">
        <f>'Revenue Drivers'!B11</f>
        <v>Theatrical</v>
      </c>
      <c r="C8" s="78">
        <f>'Revenue Drivers'!C11</f>
        <v>241</v>
      </c>
      <c r="D8" s="78">
        <f>'Revenue Drivers'!D11</f>
        <v>1223</v>
      </c>
      <c r="E8" s="78">
        <f>'Revenue Drivers'!E11</f>
        <v>813</v>
      </c>
      <c r="F8" s="78">
        <f>'Revenue Drivers'!F11</f>
        <v>813</v>
      </c>
      <c r="G8" s="10"/>
      <c r="H8" s="78">
        <f>'Revenue Drivers'!H11</f>
        <v>127</v>
      </c>
      <c r="I8" s="78">
        <f>'Revenue Drivers'!I11</f>
        <v>231</v>
      </c>
      <c r="J8" s="78">
        <f>'Revenue Drivers'!J11</f>
        <v>377</v>
      </c>
      <c r="K8" s="78">
        <f>'Revenue Drivers'!K11</f>
        <v>78</v>
      </c>
      <c r="L8" s="78">
        <f>'Revenue Drivers'!L11</f>
        <v>153</v>
      </c>
      <c r="M8" s="78">
        <f>'Revenue Drivers'!M11</f>
        <v>138</v>
      </c>
      <c r="N8" s="78">
        <f>'Revenue Drivers'!N11</f>
        <v>108</v>
      </c>
      <c r="O8" s="78">
        <f>'Revenue Drivers'!O11</f>
        <v>414</v>
      </c>
      <c r="P8" s="78">
        <f>'Revenue Drivers'!P11</f>
        <v>148</v>
      </c>
      <c r="Q8" s="78">
        <f>'Revenue Drivers'!Q11</f>
        <v>254</v>
      </c>
      <c r="R8" s="5"/>
      <c r="S8" s="129">
        <f t="shared" si="2"/>
        <v>813</v>
      </c>
      <c r="T8" s="129">
        <f t="shared" si="3"/>
        <v>839</v>
      </c>
      <c r="U8" s="129">
        <f t="shared" si="4"/>
        <v>746</v>
      </c>
      <c r="V8" s="129">
        <f t="shared" si="5"/>
        <v>477</v>
      </c>
      <c r="W8" s="129">
        <f t="shared" si="6"/>
        <v>813</v>
      </c>
      <c r="X8" s="129">
        <f t="shared" si="7"/>
        <v>808</v>
      </c>
      <c r="Y8" s="129">
        <f t="shared" si="8"/>
        <v>924</v>
      </c>
      <c r="AA8" s="106">
        <f t="shared" si="1"/>
        <v>0.23860589812332433</v>
      </c>
    </row>
    <row r="9" spans="2:27" ht="12.75" customHeight="1">
      <c r="B9" s="9" t="str">
        <f>'Revenue Drivers'!B12</f>
        <v>Licensing and other</v>
      </c>
      <c r="C9" s="78">
        <f>'Revenue Drivers'!C12</f>
        <v>6491</v>
      </c>
      <c r="D9" s="78">
        <f>'Revenue Drivers'!D12</f>
        <v>6490</v>
      </c>
      <c r="E9" s="78">
        <f>'Revenue Drivers'!E12</f>
        <v>5832</v>
      </c>
      <c r="F9" s="78">
        <f>'Revenue Drivers'!F12</f>
        <v>4952</v>
      </c>
      <c r="G9" s="10"/>
      <c r="H9" s="78">
        <f>'Revenue Drivers'!H12</f>
        <v>1308</v>
      </c>
      <c r="I9" s="78">
        <f>'Revenue Drivers'!I12</f>
        <v>1755</v>
      </c>
      <c r="J9" s="78">
        <f>'Revenue Drivers'!J12</f>
        <v>1361</v>
      </c>
      <c r="K9" s="78">
        <f>'Revenue Drivers'!K12</f>
        <v>1408</v>
      </c>
      <c r="L9" s="78">
        <f>'Revenue Drivers'!L12</f>
        <v>1079</v>
      </c>
      <c r="M9" s="78">
        <f>'Revenue Drivers'!M12</f>
        <v>1149</v>
      </c>
      <c r="N9" s="78">
        <f>'Revenue Drivers'!N12</f>
        <v>1234</v>
      </c>
      <c r="O9" s="78">
        <f>'Revenue Drivers'!O12</f>
        <v>1490</v>
      </c>
      <c r="P9" s="78">
        <f>'Revenue Drivers'!P12</f>
        <v>1134</v>
      </c>
      <c r="Q9" s="78">
        <f>'Revenue Drivers'!Q12</f>
        <v>998</v>
      </c>
      <c r="R9" s="5"/>
      <c r="S9" s="129">
        <f t="shared" si="2"/>
        <v>5832</v>
      </c>
      <c r="T9" s="129">
        <f t="shared" si="3"/>
        <v>5603</v>
      </c>
      <c r="U9" s="129">
        <f t="shared" si="4"/>
        <v>4997</v>
      </c>
      <c r="V9" s="129">
        <f t="shared" si="5"/>
        <v>4870</v>
      </c>
      <c r="W9" s="129">
        <f t="shared" si="6"/>
        <v>4952</v>
      </c>
      <c r="X9" s="129">
        <f t="shared" si="7"/>
        <v>5007</v>
      </c>
      <c r="Y9" s="129">
        <f t="shared" si="8"/>
        <v>4856</v>
      </c>
      <c r="AA9" s="106">
        <f t="shared" si="1"/>
        <v>-2.8216930158094899E-2</v>
      </c>
    </row>
    <row r="10" spans="2:27" ht="12.75" customHeight="1">
      <c r="B10" s="12" t="s">
        <v>12</v>
      </c>
      <c r="C10" s="13">
        <f>SUM(C6:C9)</f>
        <v>28586</v>
      </c>
      <c r="D10" s="13">
        <f>SUM(D6:D9)</f>
        <v>30154</v>
      </c>
      <c r="E10" s="13">
        <f>SUM(E6:E9)</f>
        <v>29652</v>
      </c>
      <c r="F10" s="13">
        <f>SUM(F6:F9)</f>
        <v>29213</v>
      </c>
      <c r="G10" s="10"/>
      <c r="H10" s="13">
        <f>SUM(H6:H9)</f>
        <v>7265</v>
      </c>
      <c r="I10" s="13">
        <f>SUM(I6:I9)</f>
        <v>7616</v>
      </c>
      <c r="J10" s="13">
        <f>SUM(J6:J9)</f>
        <v>7133</v>
      </c>
      <c r="K10" s="13">
        <f>SUM(K6:K9)</f>
        <v>7638</v>
      </c>
      <c r="L10" s="13">
        <f>SUM(L6:L9)</f>
        <v>7685</v>
      </c>
      <c r="M10" s="13">
        <f>SUM(M6:M9)</f>
        <v>6813</v>
      </c>
      <c r="N10" s="13">
        <f>SUM(N6:N9)</f>
        <v>6731</v>
      </c>
      <c r="O10" s="13">
        <f>SUM(O6:O9)</f>
        <v>7984</v>
      </c>
      <c r="P10" s="13">
        <f>SUM(P6:P9)</f>
        <v>7192</v>
      </c>
      <c r="Q10" s="13">
        <f>SUM(Q6:Q9)</f>
        <v>6849</v>
      </c>
      <c r="R10" s="5"/>
      <c r="S10" s="13">
        <f>SUM(S6:S9)</f>
        <v>29652</v>
      </c>
      <c r="T10" s="13">
        <f>SUM(T6:T9)</f>
        <v>30072</v>
      </c>
      <c r="U10" s="13">
        <f>SUM(U6:U9)</f>
        <v>29269</v>
      </c>
      <c r="V10" s="13">
        <f>SUM(V6:V9)</f>
        <v>28867</v>
      </c>
      <c r="W10" s="13">
        <f>SUM(W6:W9)</f>
        <v>29213</v>
      </c>
      <c r="X10" s="13">
        <f>SUM(X6:X9)</f>
        <v>28720</v>
      </c>
      <c r="Y10" s="13">
        <f>SUM(Y6:Y9)</f>
        <v>28756</v>
      </c>
      <c r="AA10" s="107">
        <f>SUM(Y10/U10)-1</f>
        <v>-1.7527076428986321E-2</v>
      </c>
    </row>
    <row r="11" spans="2:27" ht="12.75" customHeight="1">
      <c r="B11" s="14" t="s">
        <v>24</v>
      </c>
      <c r="C11" s="97"/>
      <c r="D11" s="15">
        <f>SUM(D10/C10)-1</f>
        <v>5.4852025467011734E-2</v>
      </c>
      <c r="E11" s="15">
        <f>SUM(E10/D10)-1</f>
        <v>-1.6647874245539596E-2</v>
      </c>
      <c r="F11" s="15">
        <f>SUM(F10/E10)-1</f>
        <v>-1.4805072170511302E-2</v>
      </c>
      <c r="G11" s="11"/>
      <c r="H11" s="97"/>
      <c r="I11" s="97"/>
      <c r="J11" s="97"/>
      <c r="K11" s="97"/>
      <c r="L11" s="15">
        <f t="shared" ref="L11:Q11" si="9">SUM(L10/H10)-1</f>
        <v>5.7811424638678499E-2</v>
      </c>
      <c r="M11" s="15">
        <f t="shared" si="9"/>
        <v>-0.10543592436974791</v>
      </c>
      <c r="N11" s="15">
        <f t="shared" si="9"/>
        <v>-5.6357773727744309E-2</v>
      </c>
      <c r="O11" s="15">
        <f t="shared" si="9"/>
        <v>4.5299816705943963E-2</v>
      </c>
      <c r="P11" s="15">
        <f t="shared" si="9"/>
        <v>-6.4150943396226401E-2</v>
      </c>
      <c r="Q11" s="15">
        <f t="shared" si="9"/>
        <v>5.2840158520475189E-3</v>
      </c>
      <c r="R11" s="5"/>
      <c r="S11" s="97"/>
      <c r="T11" s="97"/>
      <c r="U11" s="97"/>
      <c r="V11" s="97"/>
      <c r="W11" s="15">
        <f t="shared" ref="W11" si="10">SUM(W10/S10)-1</f>
        <v>-1.4805072170511302E-2</v>
      </c>
      <c r="X11" s="15">
        <f t="shared" ref="X11" si="11">SUM(X10/T10)-1</f>
        <v>-4.4958765629156683E-2</v>
      </c>
      <c r="Y11" s="15">
        <f t="shared" ref="Y11" si="12">SUM(Y10/U10)-1</f>
        <v>-1.7527076428986321E-2</v>
      </c>
      <c r="AA11" s="108">
        <f>SUM(Y11-U11)*10000</f>
        <v>-175.27076428986322</v>
      </c>
    </row>
    <row r="12" spans="2:27" ht="12.75" customHeight="1">
      <c r="B12" s="14" t="s">
        <v>25</v>
      </c>
      <c r="C12" s="15" t="s">
        <v>26</v>
      </c>
      <c r="D12" s="15" t="s">
        <v>26</v>
      </c>
      <c r="E12" s="15" t="s">
        <v>26</v>
      </c>
      <c r="F12" s="15" t="s">
        <v>26</v>
      </c>
      <c r="G12" s="11"/>
      <c r="H12" s="97"/>
      <c r="I12" s="15">
        <f>SUM(I10/H10)-1</f>
        <v>4.8313833448038634E-2</v>
      </c>
      <c r="J12" s="15">
        <f>SUM(J10/I10)-1</f>
        <v>-6.3419117647058876E-2</v>
      </c>
      <c r="K12" s="15">
        <f>SUM(K10/J10)-1</f>
        <v>7.079770082714143E-2</v>
      </c>
      <c r="L12" s="15">
        <f>SUM(L10/K10)-1</f>
        <v>6.1534433097669705E-3</v>
      </c>
      <c r="M12" s="15">
        <f t="shared" ref="M12:Q12" si="13">SUM(M10/L10)-1</f>
        <v>-0.11346779440468446</v>
      </c>
      <c r="N12" s="15">
        <f t="shared" si="13"/>
        <v>-1.203581388521946E-2</v>
      </c>
      <c r="O12" s="15">
        <f t="shared" si="13"/>
        <v>0.18615361759025406</v>
      </c>
      <c r="P12" s="15">
        <f t="shared" si="13"/>
        <v>-9.9198396793587218E-2</v>
      </c>
      <c r="Q12" s="15">
        <f t="shared" si="13"/>
        <v>-4.769187986651835E-2</v>
      </c>
      <c r="R12" s="5"/>
      <c r="S12" s="15" t="s">
        <v>26</v>
      </c>
      <c r="T12" s="15" t="s">
        <v>26</v>
      </c>
      <c r="U12" s="15" t="s">
        <v>26</v>
      </c>
      <c r="V12" s="15" t="s">
        <v>26</v>
      </c>
      <c r="W12" s="15" t="s">
        <v>26</v>
      </c>
      <c r="X12" s="15" t="s">
        <v>26</v>
      </c>
      <c r="Y12" s="15" t="s">
        <v>26</v>
      </c>
      <c r="AA12" s="105"/>
    </row>
    <row r="13" spans="2:27" ht="5.0999999999999996" customHeight="1">
      <c r="B13" s="16"/>
      <c r="C13" s="17"/>
      <c r="D13" s="17"/>
      <c r="E13" s="17"/>
      <c r="F13" s="17"/>
      <c r="G13" s="18"/>
      <c r="H13" s="19"/>
      <c r="I13" s="19"/>
      <c r="J13" s="19"/>
      <c r="K13" s="19"/>
      <c r="L13" s="19"/>
      <c r="M13" s="19"/>
      <c r="N13" s="19"/>
      <c r="O13" s="20"/>
      <c r="P13" s="19"/>
      <c r="Q13" s="19"/>
      <c r="R13" s="18"/>
      <c r="S13" s="18"/>
      <c r="T13" s="18"/>
      <c r="U13" s="18"/>
      <c r="V13" s="18"/>
      <c r="W13" s="18"/>
      <c r="X13" s="18"/>
      <c r="Y13" s="18"/>
      <c r="AA13" s="105"/>
    </row>
    <row r="14" spans="2:27" ht="12.75" customHeight="1">
      <c r="B14" s="21" t="s">
        <v>196</v>
      </c>
      <c r="C14" s="130">
        <f>'Historical Financials'!C13</f>
        <v>-17744</v>
      </c>
      <c r="D14" s="130">
        <f>'Historical Financials'!D13</f>
        <v>-19845</v>
      </c>
      <c r="E14" s="130">
        <f>'Historical Financials'!E13</f>
        <v>-20017</v>
      </c>
      <c r="F14" s="130">
        <f>'Historical Financials'!F13</f>
        <v>-19437</v>
      </c>
      <c r="G14" s="78"/>
      <c r="H14" s="130">
        <f>'Historical Financials'!H13</f>
        <v>-4964</v>
      </c>
      <c r="I14" s="130">
        <f>'Historical Financials'!I13</f>
        <v>-5227</v>
      </c>
      <c r="J14" s="130">
        <f>'Historical Financials'!J13</f>
        <v>-4681</v>
      </c>
      <c r="K14" s="130">
        <f>'Historical Financials'!K13</f>
        <v>-5145</v>
      </c>
      <c r="L14" s="130">
        <f>'Historical Financials'!L13</f>
        <v>-5036</v>
      </c>
      <c r="M14" s="130">
        <f>'Historical Financials'!M13</f>
        <v>-4367</v>
      </c>
      <c r="N14" s="130">
        <f>'Historical Financials'!N13</f>
        <v>-4342</v>
      </c>
      <c r="O14" s="130">
        <f>'Historical Financials'!O13</f>
        <v>-5692</v>
      </c>
      <c r="P14" s="130">
        <f>'Historical Financials'!P13</f>
        <v>-4961</v>
      </c>
      <c r="Q14" s="130">
        <f>'Historical Financials'!Q13</f>
        <v>-4624</v>
      </c>
      <c r="R14" s="5"/>
      <c r="S14" s="129">
        <f t="shared" ref="S14:S20" si="14">SUM(H14:K14)</f>
        <v>-20017</v>
      </c>
      <c r="T14" s="129">
        <f t="shared" ref="T14:T20" si="15">SUM(I14:L14)</f>
        <v>-20089</v>
      </c>
      <c r="U14" s="129">
        <f t="shared" ref="U14:U20" si="16">SUM(J14:M14)</f>
        <v>-19229</v>
      </c>
      <c r="V14" s="129">
        <f t="shared" ref="V14:V20" si="17">SUM(K14:N14)</f>
        <v>-18890</v>
      </c>
      <c r="W14" s="129">
        <f t="shared" ref="W14:W20" si="18">SUM(L14:O14)</f>
        <v>-19437</v>
      </c>
      <c r="X14" s="129">
        <f t="shared" ref="X14:X20" si="19">SUM(M14:P14)</f>
        <v>-19362</v>
      </c>
      <c r="Y14" s="129">
        <f t="shared" ref="Y14:Y20" si="20">SUM(N14:Q14)</f>
        <v>-19619</v>
      </c>
      <c r="AA14" s="106">
        <f t="shared" ref="AA14:AA19" si="21">SUM(Y14/U14)-1</f>
        <v>2.0281865931665699E-2</v>
      </c>
    </row>
    <row r="15" spans="2:27" ht="12.75" customHeight="1">
      <c r="B15" s="21" t="s">
        <v>197</v>
      </c>
      <c r="C15" s="130">
        <f>'Historical Financials'!C14</f>
        <v>0</v>
      </c>
      <c r="D15" s="130">
        <f>'Historical Financials'!D14</f>
        <v>0</v>
      </c>
      <c r="E15" s="130">
        <f>'Historical Financials'!E14</f>
        <v>-2371</v>
      </c>
      <c r="F15" s="130">
        <f>'Historical Financials'!F14</f>
        <v>-1118</v>
      </c>
      <c r="G15" s="78"/>
      <c r="H15" s="130">
        <f>'Historical Financials'!H14</f>
        <v>-1674</v>
      </c>
      <c r="I15" s="130">
        <f>'Historical Financials'!I14</f>
        <v>-697</v>
      </c>
      <c r="J15" s="130">
        <f>'Historical Financials'!J14</f>
        <v>0</v>
      </c>
      <c r="K15" s="130">
        <f>'Historical Financials'!K14</f>
        <v>0</v>
      </c>
      <c r="L15" s="130">
        <f>'Historical Financials'!L14</f>
        <v>-1118</v>
      </c>
      <c r="M15" s="130">
        <f>'Historical Financials'!M14</f>
        <v>0</v>
      </c>
      <c r="N15" s="130">
        <f>'Historical Financials'!N14</f>
        <v>0</v>
      </c>
      <c r="O15" s="130">
        <f>'Historical Financials'!O14</f>
        <v>0</v>
      </c>
      <c r="P15" s="130">
        <f>'Historical Financials'!P14</f>
        <v>0</v>
      </c>
      <c r="Q15" s="130">
        <f>'Historical Financials'!Q14</f>
        <v>0</v>
      </c>
      <c r="R15" s="5"/>
      <c r="S15" s="129">
        <f t="shared" ref="S15:S17" si="22">SUM(H15:K15)</f>
        <v>-2371</v>
      </c>
      <c r="T15" s="129">
        <f t="shared" ref="T15:T17" si="23">SUM(I15:L15)</f>
        <v>-1815</v>
      </c>
      <c r="U15" s="129">
        <f t="shared" ref="U15:U17" si="24">SUM(J15:M15)</f>
        <v>-1118</v>
      </c>
      <c r="V15" s="129">
        <f t="shared" ref="V15:V17" si="25">SUM(K15:N15)</f>
        <v>-1118</v>
      </c>
      <c r="W15" s="129">
        <f t="shared" ref="W15:W17" si="26">SUM(L15:O15)</f>
        <v>-1118</v>
      </c>
      <c r="X15" s="129">
        <f t="shared" ref="X15:X17" si="27">SUM(M15:P15)</f>
        <v>0</v>
      </c>
      <c r="Y15" s="129">
        <f t="shared" ref="Y15:Y17" si="28">SUM(N15:Q15)</f>
        <v>0</v>
      </c>
      <c r="AA15" s="106">
        <f t="shared" ref="AA15:AA17" si="29">SUM(Y15/U15)-1</f>
        <v>-1</v>
      </c>
    </row>
    <row r="16" spans="2:27" ht="12.75" customHeight="1">
      <c r="B16" s="21" t="s">
        <v>198</v>
      </c>
      <c r="C16" s="130">
        <f>'Historical Financials'!C15</f>
        <v>-6398</v>
      </c>
      <c r="D16" s="130">
        <f>'Historical Financials'!D15</f>
        <v>-7033</v>
      </c>
      <c r="E16" s="130">
        <f>'Historical Financials'!E15</f>
        <v>-7245</v>
      </c>
      <c r="F16" s="130">
        <f>'Historical Financials'!F15</f>
        <v>-6658</v>
      </c>
      <c r="G16" s="78"/>
      <c r="H16" s="130">
        <f>'Historical Financials'!H15</f>
        <v>-1753</v>
      </c>
      <c r="I16" s="130">
        <f>'Historical Financials'!I15</f>
        <v>-1783</v>
      </c>
      <c r="J16" s="130">
        <f>'Historical Financials'!J15</f>
        <v>-1736</v>
      </c>
      <c r="K16" s="130">
        <f>'Historical Financials'!K15</f>
        <v>-1973</v>
      </c>
      <c r="L16" s="130">
        <f>'Historical Financials'!L15</f>
        <v>-1662</v>
      </c>
      <c r="M16" s="130">
        <f>'Historical Financials'!M15</f>
        <v>-1579</v>
      </c>
      <c r="N16" s="130">
        <f>'Historical Financials'!N15</f>
        <v>-1531</v>
      </c>
      <c r="O16" s="130">
        <f>'Historical Financials'!O15</f>
        <v>-1886</v>
      </c>
      <c r="P16" s="130">
        <f>'Historical Financials'!P15</f>
        <v>-1543</v>
      </c>
      <c r="Q16" s="130">
        <f>'Historical Financials'!Q15</f>
        <v>-1401</v>
      </c>
      <c r="R16" s="5"/>
      <c r="S16" s="129">
        <f t="shared" si="22"/>
        <v>-7245</v>
      </c>
      <c r="T16" s="129">
        <f t="shared" si="23"/>
        <v>-7154</v>
      </c>
      <c r="U16" s="129">
        <f t="shared" si="24"/>
        <v>-6950</v>
      </c>
      <c r="V16" s="129">
        <f t="shared" si="25"/>
        <v>-6745</v>
      </c>
      <c r="W16" s="129">
        <f t="shared" si="26"/>
        <v>-6658</v>
      </c>
      <c r="X16" s="129">
        <f t="shared" si="27"/>
        <v>-6539</v>
      </c>
      <c r="Y16" s="129">
        <f t="shared" si="28"/>
        <v>-6361</v>
      </c>
      <c r="AA16" s="106">
        <f t="shared" si="29"/>
        <v>-8.4748201438848869E-2</v>
      </c>
    </row>
    <row r="17" spans="2:27" ht="12.75" customHeight="1">
      <c r="B17" s="21" t="s">
        <v>199</v>
      </c>
      <c r="C17" s="130">
        <f>'Historical Financials'!C16</f>
        <v>-390</v>
      </c>
      <c r="D17" s="130">
        <f>'Historical Financials'!D16</f>
        <v>-378</v>
      </c>
      <c r="E17" s="130">
        <f>'Historical Financials'!E16</f>
        <v>-418</v>
      </c>
      <c r="F17" s="130">
        <f>'Historical Financials'!F16</f>
        <v>-392</v>
      </c>
      <c r="G17" s="78"/>
      <c r="H17" s="130">
        <f>'Historical Financials'!H16</f>
        <v>-100</v>
      </c>
      <c r="I17" s="130">
        <f>'Historical Financials'!I16</f>
        <v>-105</v>
      </c>
      <c r="J17" s="130">
        <f>'Historical Financials'!J16</f>
        <v>-105</v>
      </c>
      <c r="K17" s="130">
        <f>'Historical Financials'!K16</f>
        <v>-108</v>
      </c>
      <c r="L17" s="130">
        <f>'Historical Financials'!L16</f>
        <v>-100</v>
      </c>
      <c r="M17" s="130">
        <f>'Historical Financials'!M16</f>
        <v>-101</v>
      </c>
      <c r="N17" s="130">
        <f>'Historical Financials'!N16</f>
        <v>-96</v>
      </c>
      <c r="O17" s="130">
        <f>'Historical Financials'!O16</f>
        <v>-95</v>
      </c>
      <c r="P17" s="130">
        <f>'Historical Financials'!P16</f>
        <v>-88</v>
      </c>
      <c r="Q17" s="130">
        <f>'Historical Financials'!Q16</f>
        <v>-87</v>
      </c>
      <c r="R17" s="5"/>
      <c r="S17" s="129">
        <f t="shared" si="22"/>
        <v>-418</v>
      </c>
      <c r="T17" s="129">
        <f t="shared" si="23"/>
        <v>-418</v>
      </c>
      <c r="U17" s="129">
        <f t="shared" si="24"/>
        <v>-414</v>
      </c>
      <c r="V17" s="129">
        <f t="shared" si="25"/>
        <v>-405</v>
      </c>
      <c r="W17" s="129">
        <f t="shared" si="26"/>
        <v>-392</v>
      </c>
      <c r="X17" s="129">
        <f t="shared" si="27"/>
        <v>-380</v>
      </c>
      <c r="Y17" s="129">
        <f t="shared" si="28"/>
        <v>-366</v>
      </c>
      <c r="AA17" s="106">
        <f t="shared" si="29"/>
        <v>-0.11594202898550721</v>
      </c>
    </row>
    <row r="18" spans="2:27" ht="12.75" customHeight="1">
      <c r="B18" s="21" t="s">
        <v>200</v>
      </c>
      <c r="C18" s="130">
        <f>'Historical Financials'!C17</f>
        <v>0</v>
      </c>
      <c r="D18" s="130">
        <f>'Historical Financials'!D17</f>
        <v>-27</v>
      </c>
      <c r="E18" s="130">
        <f>'Historical Financials'!E17</f>
        <v>-83</v>
      </c>
      <c r="F18" s="130">
        <f>'Historical Financials'!F17</f>
        <v>-6130</v>
      </c>
      <c r="G18" s="78"/>
      <c r="H18" s="130">
        <f>'Historical Financials'!H17</f>
        <v>0</v>
      </c>
      <c r="I18" s="130">
        <f>'Historical Financials'!I17</f>
        <v>0</v>
      </c>
      <c r="J18" s="130">
        <f>'Historical Financials'!J17</f>
        <v>0</v>
      </c>
      <c r="K18" s="130">
        <f>'Historical Financials'!K17</f>
        <v>-83</v>
      </c>
      <c r="L18" s="130">
        <f>'Historical Financials'!L17</f>
        <v>-186</v>
      </c>
      <c r="M18" s="130">
        <f>'Historical Financials'!M17</f>
        <v>-5996</v>
      </c>
      <c r="N18" s="130">
        <f>'Historical Financials'!N17</f>
        <v>-104</v>
      </c>
      <c r="O18" s="130">
        <f>'Historical Financials'!O17</f>
        <v>156</v>
      </c>
      <c r="P18" s="130">
        <f>'Historical Financials'!P17</f>
        <v>0</v>
      </c>
      <c r="Q18" s="130">
        <f>'Historical Financials'!Q17</f>
        <v>-157</v>
      </c>
      <c r="R18" s="5"/>
      <c r="S18" s="129">
        <f t="shared" si="14"/>
        <v>-83</v>
      </c>
      <c r="T18" s="129">
        <f t="shared" si="15"/>
        <v>-269</v>
      </c>
      <c r="U18" s="129">
        <f t="shared" si="16"/>
        <v>-6265</v>
      </c>
      <c r="V18" s="129">
        <f t="shared" si="17"/>
        <v>-6369</v>
      </c>
      <c r="W18" s="129">
        <f t="shared" si="18"/>
        <v>-6130</v>
      </c>
      <c r="X18" s="129">
        <f t="shared" si="19"/>
        <v>-5944</v>
      </c>
      <c r="Y18" s="129">
        <f t="shared" si="20"/>
        <v>-105</v>
      </c>
      <c r="AA18" s="106">
        <f t="shared" si="21"/>
        <v>-0.98324022346368711</v>
      </c>
    </row>
    <row r="19" spans="2:27" ht="12.75" customHeight="1">
      <c r="B19" s="21" t="s">
        <v>201</v>
      </c>
      <c r="C19" s="130">
        <f>'Historical Financials'!C18</f>
        <v>-100</v>
      </c>
      <c r="D19" s="130">
        <f>'Historical Financials'!D18</f>
        <v>-585</v>
      </c>
      <c r="E19" s="130">
        <f>'Historical Financials'!E18</f>
        <v>31</v>
      </c>
      <c r="F19" s="130">
        <f>'Historical Financials'!F18</f>
        <v>-747</v>
      </c>
      <c r="G19" s="78"/>
      <c r="H19" s="130">
        <f>'Historical Financials'!H18</f>
        <v>0</v>
      </c>
      <c r="I19" s="130">
        <f>'Historical Financials'!I18</f>
        <v>-54</v>
      </c>
      <c r="J19" s="130">
        <f>'Historical Financials'!J18</f>
        <v>10</v>
      </c>
      <c r="K19" s="130">
        <f>'Historical Financials'!K18</f>
        <v>75</v>
      </c>
      <c r="L19" s="130">
        <f>'Historical Financials'!L18</f>
        <v>0</v>
      </c>
      <c r="M19" s="130">
        <f>'Historical Financials'!M18</f>
        <v>-88</v>
      </c>
      <c r="N19" s="130">
        <f>'Historical Financials'!N18</f>
        <v>-321</v>
      </c>
      <c r="O19" s="130">
        <f>'Historical Financials'!O18</f>
        <v>-338</v>
      </c>
      <c r="P19" s="130">
        <f>'Historical Financials'!P18</f>
        <v>-85</v>
      </c>
      <c r="Q19" s="130">
        <f>'Historical Financials'!Q18</f>
        <v>-181</v>
      </c>
      <c r="R19" s="5"/>
      <c r="S19" s="129">
        <f t="shared" si="14"/>
        <v>31</v>
      </c>
      <c r="T19" s="129">
        <f t="shared" si="15"/>
        <v>31</v>
      </c>
      <c r="U19" s="129">
        <f t="shared" si="16"/>
        <v>-3</v>
      </c>
      <c r="V19" s="129">
        <f t="shared" si="17"/>
        <v>-334</v>
      </c>
      <c r="W19" s="129">
        <f t="shared" si="18"/>
        <v>-747</v>
      </c>
      <c r="X19" s="129">
        <f t="shared" si="19"/>
        <v>-832</v>
      </c>
      <c r="Y19" s="129">
        <f t="shared" si="20"/>
        <v>-925</v>
      </c>
      <c r="AA19" s="106">
        <f t="shared" si="21"/>
        <v>307.33333333333331</v>
      </c>
    </row>
    <row r="20" spans="2:27" ht="12.75" customHeight="1">
      <c r="B20" s="21" t="s">
        <v>202</v>
      </c>
      <c r="C20" s="130">
        <f>'Historical Financials'!C19</f>
        <v>2343</v>
      </c>
      <c r="D20" s="130">
        <f>'Historical Financials'!D19</f>
        <v>56</v>
      </c>
      <c r="E20" s="130">
        <f>'Historical Financials'!E19</f>
        <v>0</v>
      </c>
      <c r="F20" s="130">
        <f>'Historical Financials'!F19</f>
        <v>0</v>
      </c>
      <c r="G20" s="78"/>
      <c r="H20" s="130">
        <f>'Historical Financials'!H19</f>
        <v>0</v>
      </c>
      <c r="I20" s="130">
        <f>'Historical Financials'!I19</f>
        <v>0</v>
      </c>
      <c r="J20" s="130">
        <f>'Historical Financials'!J19</f>
        <v>0</v>
      </c>
      <c r="K20" s="130">
        <f>'Historical Financials'!K19</f>
        <v>0</v>
      </c>
      <c r="L20" s="130">
        <f>'Historical Financials'!L19</f>
        <v>0</v>
      </c>
      <c r="M20" s="130">
        <f>'Historical Financials'!M19</f>
        <v>0</v>
      </c>
      <c r="N20" s="130">
        <f>'Historical Financials'!N19</f>
        <v>0</v>
      </c>
      <c r="O20" s="130">
        <f>'Historical Financials'!O19</f>
        <v>0</v>
      </c>
      <c r="P20" s="130">
        <f>'Historical Financials'!P19</f>
        <v>35</v>
      </c>
      <c r="Q20" s="130">
        <f>'Historical Financials'!Q19</f>
        <v>0</v>
      </c>
      <c r="R20" s="5"/>
      <c r="S20" s="129">
        <f t="shared" si="14"/>
        <v>0</v>
      </c>
      <c r="T20" s="129">
        <f t="shared" si="15"/>
        <v>0</v>
      </c>
      <c r="U20" s="129">
        <f t="shared" si="16"/>
        <v>0</v>
      </c>
      <c r="V20" s="129">
        <f t="shared" si="17"/>
        <v>0</v>
      </c>
      <c r="W20" s="129">
        <f t="shared" si="18"/>
        <v>0</v>
      </c>
      <c r="X20" s="129">
        <f t="shared" si="19"/>
        <v>35</v>
      </c>
      <c r="Y20" s="129">
        <f t="shared" si="20"/>
        <v>35</v>
      </c>
      <c r="AA20" s="106" t="e">
        <f>SUM(Y20/U20)-1</f>
        <v>#DIV/0!</v>
      </c>
    </row>
    <row r="21" spans="2:27" ht="12.75" customHeight="1">
      <c r="B21" s="12" t="s">
        <v>27</v>
      </c>
      <c r="C21" s="13">
        <f>SUM(C10+SUM(C14:C20))</f>
        <v>6297</v>
      </c>
      <c r="D21" s="13">
        <f>SUM(D10+SUM(D14:D20))</f>
        <v>2342</v>
      </c>
      <c r="E21" s="13">
        <f>SUM(E10+SUM(E14:E20))</f>
        <v>-451</v>
      </c>
      <c r="F21" s="13">
        <f>SUM(F10+SUM(F14:F20))</f>
        <v>-5269</v>
      </c>
      <c r="G21" s="11"/>
      <c r="H21" s="13">
        <f>SUM(H10+SUM(H14:H20))</f>
        <v>-1226</v>
      </c>
      <c r="I21" s="13">
        <f>SUM(I10+SUM(I14:I20))</f>
        <v>-250</v>
      </c>
      <c r="J21" s="13">
        <f>SUM(J10+SUM(J14:J20))</f>
        <v>621</v>
      </c>
      <c r="K21" s="13">
        <f>SUM(K10+SUM(K14:K20))</f>
        <v>404</v>
      </c>
      <c r="L21" s="13">
        <f>SUM(L10+SUM(L14:L20))</f>
        <v>-417</v>
      </c>
      <c r="M21" s="13">
        <f>SUM(M10+SUM(M14:M20))</f>
        <v>-5318</v>
      </c>
      <c r="N21" s="13">
        <f>SUM(N10+SUM(N14:N20))</f>
        <v>337</v>
      </c>
      <c r="O21" s="13">
        <f>SUM(O10+SUM(O14:O20))</f>
        <v>129</v>
      </c>
      <c r="P21" s="13">
        <f>SUM(P10+SUM(P14:P20))</f>
        <v>550</v>
      </c>
      <c r="Q21" s="13">
        <f>SUM(Q10+SUM(Q14:Q20))</f>
        <v>399</v>
      </c>
      <c r="R21" s="5"/>
      <c r="S21" s="13">
        <f>SUM(S10+SUM(S14:S20))</f>
        <v>-451</v>
      </c>
      <c r="T21" s="13">
        <f>SUM(T10+SUM(T14:T20))</f>
        <v>358</v>
      </c>
      <c r="U21" s="13">
        <f>SUM(U10+SUM(U14:U20))</f>
        <v>-4710</v>
      </c>
      <c r="V21" s="13">
        <f>SUM(V10+SUM(V14:V20))</f>
        <v>-4994</v>
      </c>
      <c r="W21" s="13">
        <f>SUM(W10+SUM(W14:W20))</f>
        <v>-5269</v>
      </c>
      <c r="X21" s="13">
        <f>SUM(X10+SUM(X14:X20))</f>
        <v>-4302</v>
      </c>
      <c r="Y21" s="13">
        <f>SUM(Y10+SUM(Y14:Y20))</f>
        <v>1415</v>
      </c>
      <c r="AA21" s="107">
        <f>SUM(Y21/U21)-1</f>
        <v>-1.3004246284501062</v>
      </c>
    </row>
    <row r="22" spans="2:27" ht="12.75" customHeight="1">
      <c r="B22" s="14" t="s">
        <v>28</v>
      </c>
      <c r="C22" s="15">
        <f>C21/C10</f>
        <v>0.22028265584551879</v>
      </c>
      <c r="D22" s="15">
        <f>D21/D10</f>
        <v>7.7667971081780196E-2</v>
      </c>
      <c r="E22" s="15">
        <f>E21/E10</f>
        <v>-1.520976662619722E-2</v>
      </c>
      <c r="F22" s="15">
        <f>F21/F10</f>
        <v>-0.18036490603498442</v>
      </c>
      <c r="G22" s="25"/>
      <c r="H22" s="15">
        <f>H21/H10</f>
        <v>-0.16875430144528561</v>
      </c>
      <c r="I22" s="15">
        <f>I21/I10</f>
        <v>-3.2825630252100842E-2</v>
      </c>
      <c r="J22" s="15">
        <f>J21/J10</f>
        <v>8.7060142997336318E-2</v>
      </c>
      <c r="K22" s="15">
        <f>K21/K10</f>
        <v>5.2893427598847867E-2</v>
      </c>
      <c r="L22" s="15">
        <f>L21/L10</f>
        <v>-5.4261548471047492E-2</v>
      </c>
      <c r="M22" s="15">
        <f>M21/M10</f>
        <v>-0.78056656392191404</v>
      </c>
      <c r="N22" s="15">
        <f>N21/N10</f>
        <v>5.0066854850690831E-2</v>
      </c>
      <c r="O22" s="15">
        <f>O21/O10</f>
        <v>1.6157314629258516E-2</v>
      </c>
      <c r="P22" s="15">
        <f>P21/P10</f>
        <v>7.6473859844271408E-2</v>
      </c>
      <c r="Q22" s="15">
        <f>Q21/Q10</f>
        <v>5.8256679807271138E-2</v>
      </c>
      <c r="R22" s="26"/>
      <c r="S22" s="15">
        <f>S21/S10</f>
        <v>-1.520976662619722E-2</v>
      </c>
      <c r="T22" s="15">
        <f>T21/T10</f>
        <v>1.1904761904761904E-2</v>
      </c>
      <c r="U22" s="15">
        <f>U21/U10</f>
        <v>-0.16092111107314908</v>
      </c>
      <c r="V22" s="15">
        <f>V21/V10</f>
        <v>-0.17300031177469083</v>
      </c>
      <c r="W22" s="15">
        <f>W21/W10</f>
        <v>-0.18036490603498442</v>
      </c>
      <c r="X22" s="15">
        <f>X21/X10</f>
        <v>-0.14979108635097493</v>
      </c>
      <c r="Y22" s="15">
        <f>Y21/Y10</f>
        <v>4.9207121991932119E-2</v>
      </c>
      <c r="AA22" s="108">
        <f>SUM(Y22-U22)*10000</f>
        <v>2101.2823306508117</v>
      </c>
    </row>
    <row r="23" spans="2:27" ht="5.0999999999999996" customHeight="1">
      <c r="AA23" s="105"/>
    </row>
    <row r="24" spans="2:27" ht="12.75" customHeight="1">
      <c r="B24" s="27" t="s">
        <v>90</v>
      </c>
      <c r="C24" s="133">
        <f>-C17</f>
        <v>390</v>
      </c>
      <c r="D24" s="133">
        <f t="shared" ref="D24:Q24" si="30">-D17</f>
        <v>378</v>
      </c>
      <c r="E24" s="133">
        <f t="shared" si="30"/>
        <v>418</v>
      </c>
      <c r="F24" s="133">
        <f t="shared" si="30"/>
        <v>392</v>
      </c>
      <c r="H24" s="133">
        <f t="shared" si="30"/>
        <v>100</v>
      </c>
      <c r="I24" s="133">
        <f t="shared" si="30"/>
        <v>105</v>
      </c>
      <c r="J24" s="133">
        <f t="shared" si="30"/>
        <v>105</v>
      </c>
      <c r="K24" s="133">
        <f t="shared" si="30"/>
        <v>108</v>
      </c>
      <c r="L24" s="133">
        <f t="shared" si="30"/>
        <v>100</v>
      </c>
      <c r="M24" s="133">
        <f t="shared" si="30"/>
        <v>101</v>
      </c>
      <c r="N24" s="133">
        <f t="shared" si="30"/>
        <v>96</v>
      </c>
      <c r="O24" s="133">
        <f t="shared" si="30"/>
        <v>95</v>
      </c>
      <c r="P24" s="133">
        <f t="shared" si="30"/>
        <v>88</v>
      </c>
      <c r="Q24" s="133">
        <f t="shared" si="30"/>
        <v>87</v>
      </c>
      <c r="S24" s="129">
        <f t="shared" ref="S24" si="31">SUM(H24:K24)</f>
        <v>418</v>
      </c>
      <c r="T24" s="129">
        <f t="shared" ref="T24" si="32">SUM(I24:L24)</f>
        <v>418</v>
      </c>
      <c r="U24" s="129">
        <f t="shared" ref="U24" si="33">SUM(J24:M24)</f>
        <v>414</v>
      </c>
      <c r="V24" s="129">
        <f t="shared" ref="V24" si="34">SUM(K24:N24)</f>
        <v>405</v>
      </c>
      <c r="W24" s="129">
        <f t="shared" ref="W24" si="35">SUM(L24:O24)</f>
        <v>392</v>
      </c>
      <c r="X24" s="129">
        <f t="shared" ref="X24" si="36">SUM(M24:P24)</f>
        <v>380</v>
      </c>
      <c r="Y24" s="129">
        <f>SUM(N24:Q24)</f>
        <v>366</v>
      </c>
      <c r="AA24" s="106">
        <f>SUM(Y24/U24)-1</f>
        <v>-0.11594202898550721</v>
      </c>
    </row>
    <row r="25" spans="2:27" ht="12.75" customHeight="1">
      <c r="B25" s="23" t="s">
        <v>11</v>
      </c>
      <c r="C25" s="24">
        <f>SUM(C21+SUM(C24:C24))</f>
        <v>6687</v>
      </c>
      <c r="D25" s="24">
        <f>SUM(D21+SUM(D24:D24))</f>
        <v>2720</v>
      </c>
      <c r="E25" s="24">
        <f>SUM(E21+SUM(E24:E24))</f>
        <v>-33</v>
      </c>
      <c r="F25" s="24">
        <f>SUM(F21+SUM(F24:F24))</f>
        <v>-4877</v>
      </c>
      <c r="H25" s="24">
        <f>SUM(H21+SUM(H24:H24))</f>
        <v>-1126</v>
      </c>
      <c r="I25" s="24">
        <f>SUM(I21+SUM(I24:I24))</f>
        <v>-145</v>
      </c>
      <c r="J25" s="24">
        <f>SUM(J21+SUM(J24:J24))</f>
        <v>726</v>
      </c>
      <c r="K25" s="24">
        <f>SUM(K21+SUM(K24:K24))</f>
        <v>512</v>
      </c>
      <c r="L25" s="24">
        <f>SUM(L21+SUM(L24:L24))</f>
        <v>-317</v>
      </c>
      <c r="M25" s="24">
        <f>SUM(M21+SUM(M24:M24))</f>
        <v>-5217</v>
      </c>
      <c r="N25" s="24">
        <f>SUM(N21+SUM(N24:N24))</f>
        <v>433</v>
      </c>
      <c r="O25" s="24">
        <f>SUM(O21+SUM(O24:O24))</f>
        <v>224</v>
      </c>
      <c r="P25" s="24">
        <f>SUM(P21+SUM(P24:P24))</f>
        <v>638</v>
      </c>
      <c r="Q25" s="24">
        <f>SUM(Q21+SUM(Q24:Q24))</f>
        <v>486</v>
      </c>
      <c r="S25" s="24">
        <f>SUM(S21+SUM(S24:S24))</f>
        <v>-33</v>
      </c>
      <c r="T25" s="24">
        <f>SUM(T21+SUM(T24:T24))</f>
        <v>776</v>
      </c>
      <c r="U25" s="24">
        <f>SUM(U21+SUM(U24:U24))</f>
        <v>-4296</v>
      </c>
      <c r="V25" s="24">
        <f>SUM(V21+SUM(V24:V24))</f>
        <v>-4589</v>
      </c>
      <c r="W25" s="24">
        <f>SUM(W21+SUM(W24:W24))</f>
        <v>-4877</v>
      </c>
      <c r="X25" s="24">
        <f>SUM(X21+SUM(X24:X24))</f>
        <v>-3922</v>
      </c>
      <c r="Y25" s="24">
        <f>SUM(Y21+SUM(Y24:Y24))</f>
        <v>1781</v>
      </c>
      <c r="AA25" s="107">
        <f>SUM(Y25/U25)-1</f>
        <v>-1.4145716945996276</v>
      </c>
    </row>
    <row r="26" spans="2:27" ht="12.75" customHeight="1">
      <c r="B26" s="14" t="s">
        <v>29</v>
      </c>
      <c r="C26" s="15">
        <f>C25/C10</f>
        <v>0.23392569789407403</v>
      </c>
      <c r="D26" s="15">
        <f>D25/D10</f>
        <v>9.0203621410094845E-2</v>
      </c>
      <c r="E26" s="15">
        <f>E25/E10</f>
        <v>-1.1129097531363821E-3</v>
      </c>
      <c r="F26" s="15">
        <f>F25/F10</f>
        <v>-0.16694622257214253</v>
      </c>
      <c r="H26" s="15">
        <f>H25/H10</f>
        <v>-0.15498967653131451</v>
      </c>
      <c r="I26" s="15">
        <f>I25/I10</f>
        <v>-1.9038865546218486E-2</v>
      </c>
      <c r="J26" s="15">
        <f>J25/J10</f>
        <v>0.10178045703070238</v>
      </c>
      <c r="K26" s="15">
        <f>K25/K10</f>
        <v>6.7033254778737894E-2</v>
      </c>
      <c r="L26" s="15">
        <f>L25/L10</f>
        <v>-4.1249186727391023E-2</v>
      </c>
      <c r="M26" s="15">
        <f>M25/M10</f>
        <v>-0.76574196389255833</v>
      </c>
      <c r="N26" s="15">
        <f>N25/N10</f>
        <v>6.4329222998068633E-2</v>
      </c>
      <c r="O26" s="15">
        <f>O25/O10</f>
        <v>2.8056112224448898E-2</v>
      </c>
      <c r="P26" s="15">
        <f>P25/P10</f>
        <v>8.8709677419354843E-2</v>
      </c>
      <c r="Q26" s="15">
        <f>Q25/Q10</f>
        <v>7.0959264126149807E-2</v>
      </c>
      <c r="S26" s="15">
        <f>S25/S10</f>
        <v>-1.1129097531363821E-3</v>
      </c>
      <c r="T26" s="15">
        <f>T25/T10</f>
        <v>2.5804735301942005E-2</v>
      </c>
      <c r="U26" s="15">
        <f>U25/U10</f>
        <v>-0.14677645290238819</v>
      </c>
      <c r="V26" s="15">
        <f>V25/V10</f>
        <v>-0.15897045068763641</v>
      </c>
      <c r="W26" s="15">
        <f>W25/W10</f>
        <v>-0.16694622257214253</v>
      </c>
      <c r="X26" s="15">
        <f>X25/X10</f>
        <v>-0.1365598885793872</v>
      </c>
      <c r="Y26" s="15">
        <f>Y25/Y10</f>
        <v>6.193490054249548E-2</v>
      </c>
      <c r="AA26" s="108">
        <f>SUM(Y26-U26)*10000</f>
        <v>2087.1135344488366</v>
      </c>
    </row>
    <row r="27" spans="2:27" ht="5.0999999999999996" customHeight="1">
      <c r="AA27" s="105"/>
    </row>
    <row r="28" spans="2:27" ht="12.75" customHeight="1">
      <c r="B28" s="27" t="s">
        <v>205</v>
      </c>
      <c r="C28" s="130">
        <f>'Historical Financials'!C116</f>
        <v>192</v>
      </c>
      <c r="D28" s="130">
        <f>'Historical Financials'!D116</f>
        <v>172</v>
      </c>
      <c r="E28" s="130">
        <f>'Historical Financials'!E116</f>
        <v>177</v>
      </c>
      <c r="F28" s="130">
        <f>'Historical Financials'!F116</f>
        <v>245</v>
      </c>
      <c r="H28" s="130">
        <f>'Historical Financials'!H116</f>
        <v>39</v>
      </c>
      <c r="I28" s="130">
        <f>'Historical Financials'!I116</f>
        <v>49</v>
      </c>
      <c r="J28" s="130">
        <f>'Historical Financials'!J116</f>
        <v>43</v>
      </c>
      <c r="K28" s="130">
        <f>'Historical Financials'!K116</f>
        <v>46</v>
      </c>
      <c r="L28" s="130">
        <f>'Historical Financials'!L116</f>
        <v>47</v>
      </c>
      <c r="M28" s="130">
        <f>'Historical Financials'!M116</f>
        <v>62</v>
      </c>
      <c r="N28" s="130">
        <f>'Historical Financials'!N116</f>
        <v>66</v>
      </c>
      <c r="O28" s="130">
        <f>'Historical Financials'!O116</f>
        <v>70</v>
      </c>
      <c r="P28" s="130">
        <f>'Historical Financials'!P116</f>
        <v>44</v>
      </c>
      <c r="Q28" s="130">
        <f>'Historical Financials'!Q116</f>
        <v>43</v>
      </c>
      <c r="S28" s="129">
        <f t="shared" ref="S28:S31" si="37">SUM(H28:K28)</f>
        <v>177</v>
      </c>
      <c r="T28" s="129">
        <f t="shared" ref="T28:T31" si="38">SUM(I28:L28)</f>
        <v>185</v>
      </c>
      <c r="U28" s="129">
        <f t="shared" ref="U28:U31" si="39">SUM(J28:M28)</f>
        <v>198</v>
      </c>
      <c r="V28" s="129">
        <f t="shared" ref="V28:V31" si="40">SUM(K28:N28)</f>
        <v>221</v>
      </c>
      <c r="W28" s="129">
        <f t="shared" ref="W28:W31" si="41">SUM(L28:O28)</f>
        <v>245</v>
      </c>
      <c r="X28" s="129">
        <f t="shared" ref="X28:X31" si="42">SUM(M28:P28)</f>
        <v>242</v>
      </c>
      <c r="Y28" s="129">
        <f t="shared" ref="Y28:Y31" si="43">SUM(N28:Q28)</f>
        <v>223</v>
      </c>
      <c r="AA28" s="106">
        <f>SUM(Y28/U28)-1</f>
        <v>0.1262626262626263</v>
      </c>
    </row>
    <row r="29" spans="2:27" ht="12.75" customHeight="1">
      <c r="B29" s="27" t="s">
        <v>203</v>
      </c>
      <c r="C29" s="133">
        <f>-C18</f>
        <v>0</v>
      </c>
      <c r="D29" s="133">
        <f t="shared" ref="D29:F29" si="44">-D18</f>
        <v>27</v>
      </c>
      <c r="E29" s="133">
        <f t="shared" si="44"/>
        <v>83</v>
      </c>
      <c r="F29" s="133">
        <f t="shared" si="44"/>
        <v>6130</v>
      </c>
      <c r="H29" s="133">
        <f t="shared" ref="H29:Q29" si="45">-H18</f>
        <v>0</v>
      </c>
      <c r="I29" s="133">
        <f t="shared" si="45"/>
        <v>0</v>
      </c>
      <c r="J29" s="133">
        <f t="shared" si="45"/>
        <v>0</v>
      </c>
      <c r="K29" s="133">
        <f t="shared" si="45"/>
        <v>83</v>
      </c>
      <c r="L29" s="133">
        <f t="shared" si="45"/>
        <v>186</v>
      </c>
      <c r="M29" s="133">
        <f t="shared" si="45"/>
        <v>5996</v>
      </c>
      <c r="N29" s="133">
        <f t="shared" si="45"/>
        <v>104</v>
      </c>
      <c r="O29" s="133">
        <f t="shared" si="45"/>
        <v>-156</v>
      </c>
      <c r="P29" s="133">
        <f t="shared" si="45"/>
        <v>0</v>
      </c>
      <c r="Q29" s="133">
        <f t="shared" si="45"/>
        <v>157</v>
      </c>
      <c r="S29" s="129">
        <f t="shared" ref="S29:S30" si="46">SUM(H29:K29)</f>
        <v>83</v>
      </c>
      <c r="T29" s="129">
        <f t="shared" ref="T29:T30" si="47">SUM(I29:L29)</f>
        <v>269</v>
      </c>
      <c r="U29" s="129">
        <f t="shared" ref="U29:U30" si="48">SUM(J29:M29)</f>
        <v>6265</v>
      </c>
      <c r="V29" s="129">
        <f t="shared" ref="V29:V30" si="49">SUM(K29:N29)</f>
        <v>6369</v>
      </c>
      <c r="W29" s="129">
        <f t="shared" ref="W29:W30" si="50">SUM(L29:O29)</f>
        <v>6130</v>
      </c>
      <c r="X29" s="129">
        <f t="shared" ref="X29:X30" si="51">SUM(M29:P29)</f>
        <v>5944</v>
      </c>
      <c r="Y29" s="129">
        <f t="shared" ref="Y29:Y30" si="52">SUM(N29:Q29)</f>
        <v>105</v>
      </c>
      <c r="AA29" s="106">
        <f t="shared" ref="AA29:AA30" si="53">SUM(Y29/U29)-1</f>
        <v>-0.98324022346368711</v>
      </c>
    </row>
    <row r="30" spans="2:27" ht="12.75" customHeight="1">
      <c r="B30" s="27" t="s">
        <v>204</v>
      </c>
      <c r="C30" s="133">
        <f t="shared" ref="C30:F31" si="54">-C19</f>
        <v>100</v>
      </c>
      <c r="D30" s="133">
        <f t="shared" si="54"/>
        <v>585</v>
      </c>
      <c r="E30" s="133">
        <f t="shared" si="54"/>
        <v>-31</v>
      </c>
      <c r="F30" s="133">
        <f t="shared" si="54"/>
        <v>747</v>
      </c>
      <c r="H30" s="133">
        <f t="shared" ref="H30:Q30" si="55">-H19</f>
        <v>0</v>
      </c>
      <c r="I30" s="133">
        <f t="shared" si="55"/>
        <v>54</v>
      </c>
      <c r="J30" s="133">
        <f t="shared" si="55"/>
        <v>-10</v>
      </c>
      <c r="K30" s="133">
        <f t="shared" si="55"/>
        <v>-75</v>
      </c>
      <c r="L30" s="133">
        <f t="shared" si="55"/>
        <v>0</v>
      </c>
      <c r="M30" s="133">
        <f t="shared" si="55"/>
        <v>88</v>
      </c>
      <c r="N30" s="133">
        <f t="shared" si="55"/>
        <v>321</v>
      </c>
      <c r="O30" s="133">
        <f t="shared" si="55"/>
        <v>338</v>
      </c>
      <c r="P30" s="133">
        <f t="shared" si="55"/>
        <v>85</v>
      </c>
      <c r="Q30" s="133">
        <f t="shared" si="55"/>
        <v>181</v>
      </c>
      <c r="S30" s="129">
        <f t="shared" si="46"/>
        <v>-31</v>
      </c>
      <c r="T30" s="129">
        <f t="shared" si="47"/>
        <v>-31</v>
      </c>
      <c r="U30" s="129">
        <f t="shared" si="48"/>
        <v>3</v>
      </c>
      <c r="V30" s="129">
        <f t="shared" si="49"/>
        <v>334</v>
      </c>
      <c r="W30" s="129">
        <f t="shared" si="50"/>
        <v>747</v>
      </c>
      <c r="X30" s="129">
        <f t="shared" si="51"/>
        <v>832</v>
      </c>
      <c r="Y30" s="129">
        <f t="shared" si="52"/>
        <v>925</v>
      </c>
      <c r="AA30" s="106">
        <f t="shared" si="53"/>
        <v>307.33333333333331</v>
      </c>
    </row>
    <row r="31" spans="2:27" ht="12.75" customHeight="1">
      <c r="B31" s="27" t="s">
        <v>206</v>
      </c>
      <c r="C31" s="133">
        <f t="shared" si="54"/>
        <v>-2343</v>
      </c>
      <c r="D31" s="133">
        <f t="shared" si="54"/>
        <v>-56</v>
      </c>
      <c r="E31" s="133">
        <f t="shared" si="54"/>
        <v>0</v>
      </c>
      <c r="F31" s="133">
        <f t="shared" si="54"/>
        <v>0</v>
      </c>
      <c r="H31" s="133">
        <f t="shared" ref="H31:Q31" si="56">-H20</f>
        <v>0</v>
      </c>
      <c r="I31" s="133">
        <f t="shared" si="56"/>
        <v>0</v>
      </c>
      <c r="J31" s="133">
        <f t="shared" si="56"/>
        <v>0</v>
      </c>
      <c r="K31" s="133">
        <f t="shared" si="56"/>
        <v>0</v>
      </c>
      <c r="L31" s="133">
        <f t="shared" si="56"/>
        <v>0</v>
      </c>
      <c r="M31" s="133">
        <f t="shared" si="56"/>
        <v>0</v>
      </c>
      <c r="N31" s="133">
        <f t="shared" si="56"/>
        <v>0</v>
      </c>
      <c r="O31" s="133">
        <f t="shared" si="56"/>
        <v>0</v>
      </c>
      <c r="P31" s="133">
        <f t="shared" si="56"/>
        <v>-35</v>
      </c>
      <c r="Q31" s="133">
        <f t="shared" si="56"/>
        <v>0</v>
      </c>
      <c r="S31" s="129">
        <f t="shared" si="37"/>
        <v>0</v>
      </c>
      <c r="T31" s="129">
        <f t="shared" si="38"/>
        <v>0</v>
      </c>
      <c r="U31" s="129">
        <f t="shared" si="39"/>
        <v>0</v>
      </c>
      <c r="V31" s="129">
        <f t="shared" si="40"/>
        <v>0</v>
      </c>
      <c r="W31" s="129">
        <f t="shared" si="41"/>
        <v>0</v>
      </c>
      <c r="X31" s="129">
        <f t="shared" si="42"/>
        <v>-35</v>
      </c>
      <c r="Y31" s="129">
        <f t="shared" si="43"/>
        <v>-35</v>
      </c>
      <c r="AA31" s="106" t="e">
        <f>SUM(Y31/U31)-1</f>
        <v>#DIV/0!</v>
      </c>
    </row>
    <row r="32" spans="2:27" ht="12.75" customHeight="1">
      <c r="B32" s="12" t="s">
        <v>30</v>
      </c>
      <c r="C32" s="13">
        <f t="shared" ref="C32:F32" si="57">+SUM(C25+SUM(C28:C28))</f>
        <v>6879</v>
      </c>
      <c r="D32" s="13">
        <f t="shared" si="57"/>
        <v>2892</v>
      </c>
      <c r="E32" s="13">
        <f t="shared" si="57"/>
        <v>144</v>
      </c>
      <c r="F32" s="13">
        <f t="shared" si="57"/>
        <v>-4632</v>
      </c>
      <c r="G32" s="11"/>
      <c r="H32" s="13">
        <f>+SUM(H25+SUM(H28:H28))</f>
        <v>-1087</v>
      </c>
      <c r="I32" s="13">
        <f>+SUM(I25+SUM(I28:I28))</f>
        <v>-96</v>
      </c>
      <c r="J32" s="13">
        <f>+SUM(J25+SUM(J28:J28))</f>
        <v>769</v>
      </c>
      <c r="K32" s="13">
        <f>+SUM(K25+SUM(K28:K28))</f>
        <v>558</v>
      </c>
      <c r="L32" s="13">
        <f t="shared" ref="L32:Q32" si="58">+SUM(L25+SUM(L28:L28))</f>
        <v>-270</v>
      </c>
      <c r="M32" s="13">
        <f t="shared" si="58"/>
        <v>-5155</v>
      </c>
      <c r="N32" s="13">
        <f t="shared" si="58"/>
        <v>499</v>
      </c>
      <c r="O32" s="13">
        <f t="shared" si="58"/>
        <v>294</v>
      </c>
      <c r="P32" s="13">
        <f t="shared" si="58"/>
        <v>682</v>
      </c>
      <c r="Q32" s="13">
        <f t="shared" si="58"/>
        <v>529</v>
      </c>
      <c r="S32" s="13">
        <f>+SUM(S25+SUM(S28:S28))</f>
        <v>144</v>
      </c>
      <c r="T32" s="13">
        <f>+SUM(T25+SUM(T28:T28))</f>
        <v>961</v>
      </c>
      <c r="U32" s="13">
        <f>+SUM(U25+SUM(U28:U28))</f>
        <v>-4098</v>
      </c>
      <c r="V32" s="13">
        <f>+SUM(V25+SUM(V28:V28))</f>
        <v>-4368</v>
      </c>
      <c r="W32" s="13">
        <f>+SUM(W25+SUM(W28:W28))</f>
        <v>-4632</v>
      </c>
      <c r="X32" s="13">
        <f>+SUM(X25+SUM(X28:X28))</f>
        <v>-3680</v>
      </c>
      <c r="Y32" s="13">
        <f>+SUM(Y25+SUM(Y28:Y28))</f>
        <v>2004</v>
      </c>
      <c r="AA32" s="107">
        <f>SUM(Y32/U32)-1</f>
        <v>-1.4890190336749634</v>
      </c>
    </row>
    <row r="33" spans="2:27" ht="12.75" customHeight="1">
      <c r="B33" s="14" t="s">
        <v>31</v>
      </c>
      <c r="C33" s="15">
        <f>C32/C10</f>
        <v>0.24064227244105507</v>
      </c>
      <c r="D33" s="15">
        <f>D32/D10</f>
        <v>9.5907673940439073E-2</v>
      </c>
      <c r="E33" s="15">
        <f>E32/E10</f>
        <v>4.8563334682314848E-3</v>
      </c>
      <c r="F33" s="15">
        <f>F32/F10</f>
        <v>-0.15855954540786635</v>
      </c>
      <c r="H33" s="15">
        <f>H32/H10</f>
        <v>-0.14962147281486579</v>
      </c>
      <c r="I33" s="15">
        <f>I32/I10</f>
        <v>-1.2605042016806723E-2</v>
      </c>
      <c r="J33" s="15">
        <f>J32/J10</f>
        <v>0.10780877611103322</v>
      </c>
      <c r="K33" s="15">
        <f>K32/K10</f>
        <v>7.3055773762765119E-2</v>
      </c>
      <c r="L33" s="15">
        <f>L32/L10</f>
        <v>-3.5133376707872477E-2</v>
      </c>
      <c r="M33" s="15">
        <f>M32/M10</f>
        <v>-0.7566417143695876</v>
      </c>
      <c r="N33" s="15">
        <f>N32/N10</f>
        <v>7.4134601099390879E-2</v>
      </c>
      <c r="O33" s="15">
        <f>O32/O10</f>
        <v>3.682364729458918E-2</v>
      </c>
      <c r="P33" s="15">
        <f>P32/P10</f>
        <v>9.4827586206896547E-2</v>
      </c>
      <c r="Q33" s="15">
        <f>Q32/Q10</f>
        <v>7.7237552927434658E-2</v>
      </c>
      <c r="S33" s="15">
        <f>S32/S10</f>
        <v>4.8563334682314848E-3</v>
      </c>
      <c r="T33" s="15">
        <f>T32/T10</f>
        <v>3.1956637403564775E-2</v>
      </c>
      <c r="U33" s="15">
        <f>U32/U10</f>
        <v>-0.14001161638593734</v>
      </c>
      <c r="V33" s="15">
        <f>V32/V10</f>
        <v>-0.15131464994630547</v>
      </c>
      <c r="W33" s="15">
        <f>W32/W10</f>
        <v>-0.15855954540786635</v>
      </c>
      <c r="X33" s="15">
        <f>X32/X10</f>
        <v>-0.12813370473537605</v>
      </c>
      <c r="Y33" s="15">
        <f>Y32/Y10</f>
        <v>6.9689803867019062E-2</v>
      </c>
      <c r="AA33" s="108">
        <f>SUM(Y33-U33)*10000</f>
        <v>2097.014202529564</v>
      </c>
    </row>
    <row r="34" spans="2:27" ht="5.0999999999999996" customHeight="1">
      <c r="AA34" s="105"/>
    </row>
    <row r="35" spans="2:27" ht="12.75" customHeight="1">
      <c r="B35" s="21" t="s">
        <v>32</v>
      </c>
      <c r="C35" s="130">
        <f>'Historical Financials'!C128</f>
        <v>-354</v>
      </c>
      <c r="D35" s="130">
        <f>'Historical Financials'!D128</f>
        <v>-358</v>
      </c>
      <c r="E35" s="130">
        <f>'Historical Financials'!E128</f>
        <v>-328</v>
      </c>
      <c r="F35" s="130">
        <f>'Historical Financials'!F128</f>
        <v>-263</v>
      </c>
      <c r="H35" s="130">
        <f>'Historical Financials'!H128</f>
        <v>-71</v>
      </c>
      <c r="I35" s="130">
        <f>'Historical Financials'!I128</f>
        <v>-69</v>
      </c>
      <c r="J35" s="130">
        <f>'Historical Financials'!J128</f>
        <v>-73</v>
      </c>
      <c r="K35" s="130">
        <f>'Historical Financials'!K128</f>
        <v>-115</v>
      </c>
      <c r="L35" s="130">
        <f>'Historical Financials'!L128</f>
        <v>-51</v>
      </c>
      <c r="M35" s="130">
        <f>'Historical Financials'!M128</f>
        <v>-49</v>
      </c>
      <c r="N35" s="130">
        <f>'Historical Financials'!N128</f>
        <v>-51</v>
      </c>
      <c r="O35" s="130">
        <f>'Historical Financials'!O128</f>
        <v>-112</v>
      </c>
      <c r="P35" s="130">
        <f>'Historical Financials'!P128</f>
        <v>-57</v>
      </c>
      <c r="Q35" s="130">
        <f>'Historical Financials'!Q128</f>
        <v>-45</v>
      </c>
      <c r="S35" s="129">
        <f t="shared" ref="S35:S41" si="59">SUM(H35:K35)</f>
        <v>-328</v>
      </c>
      <c r="T35" s="129">
        <f t="shared" ref="T35:T41" si="60">SUM(I35:L35)</f>
        <v>-308</v>
      </c>
      <c r="U35" s="129">
        <f t="shared" ref="U35:U41" si="61">SUM(J35:M35)</f>
        <v>-288</v>
      </c>
      <c r="V35" s="129">
        <f t="shared" ref="V35:V41" si="62">SUM(K35:N35)</f>
        <v>-266</v>
      </c>
      <c r="W35" s="129">
        <f t="shared" ref="W35:W41" si="63">SUM(L35:O35)</f>
        <v>-263</v>
      </c>
      <c r="X35" s="129">
        <f t="shared" ref="X35:X41" si="64">SUM(M35:P35)</f>
        <v>-269</v>
      </c>
      <c r="Y35" s="129">
        <f t="shared" ref="Y35:Y41" si="65">SUM(N35:Q35)</f>
        <v>-265</v>
      </c>
      <c r="AA35" s="106">
        <f t="shared" ref="AA35:AA42" si="66">SUM(Y35/U35)-1</f>
        <v>-7.986111111111116E-2</v>
      </c>
    </row>
    <row r="36" spans="2:27" ht="12.75" customHeight="1">
      <c r="B36" s="21" t="s">
        <v>33</v>
      </c>
      <c r="C36" s="130">
        <f>-'Historical Financials'!C159</f>
        <v>-334</v>
      </c>
      <c r="D36" s="130">
        <f>-'Historical Financials'!D159</f>
        <v>-73</v>
      </c>
      <c r="E36" s="130">
        <f>-'Historical Financials'!E159</f>
        <v>-107</v>
      </c>
      <c r="F36" s="130">
        <f>-'Historical Financials'!F159</f>
        <v>-184</v>
      </c>
      <c r="H36" s="130">
        <f>-'Historical Financials'!H159</f>
        <v>6</v>
      </c>
      <c r="I36" s="130">
        <f>-'Historical Financials'!I159</f>
        <v>-76</v>
      </c>
      <c r="J36" s="130">
        <f>-'Historical Financials'!J159</f>
        <v>68</v>
      </c>
      <c r="K36" s="130">
        <f>-'Historical Financials'!K159</f>
        <v>-71</v>
      </c>
      <c r="L36" s="130">
        <f>-'Historical Financials'!L159</f>
        <v>-27</v>
      </c>
      <c r="M36" s="130">
        <f>-'Historical Financials'!M159</f>
        <v>-147</v>
      </c>
      <c r="N36" s="130">
        <f>-'Historical Financials'!N159</f>
        <v>106</v>
      </c>
      <c r="O36" s="130">
        <f>-'Historical Financials'!O159</f>
        <v>-39</v>
      </c>
      <c r="P36" s="130">
        <f>-'Historical Financials'!P159</f>
        <v>-27</v>
      </c>
      <c r="Q36" s="130">
        <f>-'Historical Financials'!Q159</f>
        <v>-153</v>
      </c>
      <c r="S36" s="129">
        <f t="shared" si="59"/>
        <v>-73</v>
      </c>
      <c r="T36" s="129">
        <f t="shared" si="60"/>
        <v>-106</v>
      </c>
      <c r="U36" s="129">
        <f t="shared" si="61"/>
        <v>-177</v>
      </c>
      <c r="V36" s="129">
        <f t="shared" si="62"/>
        <v>-139</v>
      </c>
      <c r="W36" s="129">
        <f t="shared" si="63"/>
        <v>-107</v>
      </c>
      <c r="X36" s="129">
        <f t="shared" si="64"/>
        <v>-107</v>
      </c>
      <c r="Y36" s="129">
        <f t="shared" si="65"/>
        <v>-113</v>
      </c>
      <c r="AA36" s="106">
        <f t="shared" si="66"/>
        <v>-0.3615819209039548</v>
      </c>
    </row>
    <row r="37" spans="2:27" ht="12.75" customHeight="1">
      <c r="B37" s="21" t="s">
        <v>68</v>
      </c>
      <c r="C37" s="130">
        <f>-'Historical Financials'!C158</f>
        <v>-970</v>
      </c>
      <c r="D37" s="130">
        <f>-'Historical Financials'!D158</f>
        <v>-920</v>
      </c>
      <c r="E37" s="130">
        <f>-'Historical Financials'!E158</f>
        <v>-901</v>
      </c>
      <c r="F37" s="130">
        <f>-'Historical Financials'!F158</f>
        <v>-833</v>
      </c>
      <c r="H37" s="130">
        <f>-'Historical Financials'!H158</f>
        <v>-275</v>
      </c>
      <c r="I37" s="130">
        <f>-'Historical Financials'!I158</f>
        <v>-174</v>
      </c>
      <c r="J37" s="130">
        <f>-'Historical Financials'!J158</f>
        <v>-247</v>
      </c>
      <c r="K37" s="130">
        <f>-'Historical Financials'!K158</f>
        <v>-224</v>
      </c>
      <c r="L37" s="130">
        <f>-'Historical Financials'!L158</f>
        <v>-229</v>
      </c>
      <c r="M37" s="130">
        <f>-'Historical Financials'!M158</f>
        <v>-189</v>
      </c>
      <c r="N37" s="130">
        <f>-'Historical Financials'!N158</f>
        <v>-258</v>
      </c>
      <c r="O37" s="130">
        <f>-'Historical Financials'!O158</f>
        <v>-225</v>
      </c>
      <c r="P37" s="130">
        <f>-'Historical Financials'!P158</f>
        <v>-264</v>
      </c>
      <c r="Q37" s="130">
        <f>-'Historical Financials'!Q158</f>
        <v>-147</v>
      </c>
      <c r="S37" s="129">
        <f t="shared" si="59"/>
        <v>-920</v>
      </c>
      <c r="T37" s="129">
        <f t="shared" si="60"/>
        <v>-874</v>
      </c>
      <c r="U37" s="129">
        <f t="shared" si="61"/>
        <v>-889</v>
      </c>
      <c r="V37" s="129">
        <f t="shared" si="62"/>
        <v>-900</v>
      </c>
      <c r="W37" s="129">
        <f t="shared" si="63"/>
        <v>-901</v>
      </c>
      <c r="X37" s="129">
        <f t="shared" si="64"/>
        <v>-936</v>
      </c>
      <c r="Y37" s="129">
        <f t="shared" si="65"/>
        <v>-894</v>
      </c>
      <c r="AA37" s="106">
        <f t="shared" si="66"/>
        <v>5.6242969628796935E-3</v>
      </c>
    </row>
    <row r="38" spans="2:27" ht="12.75" customHeight="1">
      <c r="B38" s="21" t="s">
        <v>207</v>
      </c>
      <c r="C38" s="130">
        <f>'Historical Financials'!C137</f>
        <v>-30</v>
      </c>
      <c r="D38" s="130">
        <f>'Historical Financials'!D137</f>
        <v>-58</v>
      </c>
      <c r="E38" s="130">
        <f>'Historical Financials'!E137</f>
        <v>-58</v>
      </c>
      <c r="F38" s="130">
        <f>'Historical Financials'!F137</f>
        <v>-29</v>
      </c>
      <c r="H38" s="130">
        <f>'Historical Financials'!H137</f>
        <v>-14</v>
      </c>
      <c r="I38" s="130">
        <f>'Historical Financials'!I137</f>
        <v>-15</v>
      </c>
      <c r="J38" s="130">
        <f>'Historical Financials'!J137</f>
        <v>-14</v>
      </c>
      <c r="K38" s="130">
        <f>'Historical Financials'!K137</f>
        <v>-15</v>
      </c>
      <c r="L38" s="130">
        <f>'Historical Financials'!L137</f>
        <v>-14</v>
      </c>
      <c r="M38" s="130">
        <f>'Historical Financials'!M137</f>
        <v>-15</v>
      </c>
      <c r="N38" s="130">
        <f>'Historical Financials'!N137</f>
        <v>0</v>
      </c>
      <c r="O38" s="130">
        <f>'Historical Financials'!O137</f>
        <v>0</v>
      </c>
      <c r="P38" s="130">
        <f>'Historical Financials'!P137</f>
        <v>0</v>
      </c>
      <c r="Q38" s="130">
        <f>'Historical Financials'!Q137</f>
        <v>0</v>
      </c>
      <c r="S38" s="129">
        <f t="shared" ref="S38" si="67">SUM(H38:K38)</f>
        <v>-58</v>
      </c>
      <c r="T38" s="129">
        <f t="shared" ref="T38" si="68">SUM(I38:L38)</f>
        <v>-58</v>
      </c>
      <c r="U38" s="129">
        <f t="shared" ref="U38" si="69">SUM(J38:M38)</f>
        <v>-58</v>
      </c>
      <c r="V38" s="129">
        <f t="shared" ref="V38" si="70">SUM(K38:N38)</f>
        <v>-44</v>
      </c>
      <c r="W38" s="129">
        <f t="shared" ref="W38" si="71">SUM(L38:O38)</f>
        <v>-29</v>
      </c>
      <c r="X38" s="129">
        <f t="shared" ref="X38" si="72">SUM(M38:P38)</f>
        <v>-15</v>
      </c>
      <c r="Y38" s="129">
        <f t="shared" ref="Y38" si="73">SUM(N38:Q38)</f>
        <v>0</v>
      </c>
      <c r="AA38" s="106"/>
    </row>
    <row r="39" spans="2:27" ht="12.75" customHeight="1">
      <c r="B39" s="21" t="s">
        <v>208</v>
      </c>
      <c r="C39" s="130">
        <f>'Historical Financials'!C138</f>
        <v>-617</v>
      </c>
      <c r="D39" s="130">
        <f>'Historical Financials'!D138</f>
        <v>-631</v>
      </c>
      <c r="E39" s="130">
        <f>'Historical Financials'!E138</f>
        <v>-389</v>
      </c>
      <c r="F39" s="130">
        <f>'Historical Financials'!F138</f>
        <v>-139</v>
      </c>
      <c r="H39" s="130">
        <f>'Historical Financials'!H138</f>
        <v>-166</v>
      </c>
      <c r="I39" s="130">
        <f>'Historical Financials'!I138</f>
        <v>-151</v>
      </c>
      <c r="J39" s="130">
        <f>'Historical Financials'!J138</f>
        <v>-34</v>
      </c>
      <c r="K39" s="130">
        <f>'Historical Financials'!K138</f>
        <v>-38</v>
      </c>
      <c r="L39" s="130">
        <f>'Historical Financials'!L138</f>
        <v>-35</v>
      </c>
      <c r="M39" s="130">
        <f>'Historical Financials'!M138</f>
        <v>-33</v>
      </c>
      <c r="N39" s="130">
        <f>'Historical Financials'!N138</f>
        <v>-34</v>
      </c>
      <c r="O39" s="130">
        <f>'Historical Financials'!O138</f>
        <v>-37</v>
      </c>
      <c r="P39" s="130">
        <f>'Historical Financials'!P138</f>
        <v>-36</v>
      </c>
      <c r="Q39" s="130">
        <f>'Historical Financials'!Q138</f>
        <v>-34</v>
      </c>
      <c r="S39" s="129">
        <f t="shared" si="59"/>
        <v>-389</v>
      </c>
      <c r="T39" s="129">
        <f t="shared" si="60"/>
        <v>-258</v>
      </c>
      <c r="U39" s="129">
        <f t="shared" si="61"/>
        <v>-140</v>
      </c>
      <c r="V39" s="129">
        <f t="shared" si="62"/>
        <v>-140</v>
      </c>
      <c r="W39" s="129">
        <f t="shared" si="63"/>
        <v>-139</v>
      </c>
      <c r="X39" s="129">
        <f t="shared" si="64"/>
        <v>-140</v>
      </c>
      <c r="Y39" s="129">
        <f t="shared" si="65"/>
        <v>-141</v>
      </c>
      <c r="AA39" s="106">
        <f t="shared" si="66"/>
        <v>7.1428571428571175E-3</v>
      </c>
    </row>
    <row r="40" spans="2:27" ht="12.75" customHeight="1">
      <c r="B40" s="21" t="s">
        <v>209</v>
      </c>
      <c r="C40" s="130">
        <f>'Historical Financials'!C140</f>
        <v>-235</v>
      </c>
      <c r="D40" s="130">
        <f>'Historical Financials'!D140</f>
        <v>-218</v>
      </c>
      <c r="E40" s="130">
        <f>'Historical Financials'!E140</f>
        <v>-93</v>
      </c>
      <c r="F40" s="130">
        <f>'Historical Financials'!F140</f>
        <v>-127</v>
      </c>
      <c r="H40" s="130">
        <f>'Historical Financials'!H140</f>
        <v>-89</v>
      </c>
      <c r="I40" s="130">
        <f>'Historical Financials'!I140</f>
        <v>-4</v>
      </c>
      <c r="J40" s="130">
        <f>'Historical Financials'!J140</f>
        <v>-4</v>
      </c>
      <c r="K40" s="130">
        <f>'Historical Financials'!K140</f>
        <v>4</v>
      </c>
      <c r="L40" s="130">
        <f>'Historical Financials'!L140</f>
        <v>-94</v>
      </c>
      <c r="M40" s="130">
        <f>'Historical Financials'!M140</f>
        <v>-3</v>
      </c>
      <c r="N40" s="130">
        <f>'Historical Financials'!N140</f>
        <v>-23</v>
      </c>
      <c r="O40" s="130">
        <f>'Historical Financials'!O140</f>
        <v>-7</v>
      </c>
      <c r="P40" s="130">
        <f>'Historical Financials'!P140</f>
        <v>-77</v>
      </c>
      <c r="Q40" s="130">
        <f>'Historical Financials'!Q140</f>
        <v>12</v>
      </c>
      <c r="S40" s="129">
        <f t="shared" ref="S40" si="74">SUM(H40:K40)</f>
        <v>-93</v>
      </c>
      <c r="T40" s="129">
        <f t="shared" ref="T40" si="75">SUM(I40:L40)</f>
        <v>-98</v>
      </c>
      <c r="U40" s="129">
        <f t="shared" ref="U40" si="76">SUM(J40:M40)</f>
        <v>-97</v>
      </c>
      <c r="V40" s="129">
        <f t="shared" ref="V40" si="77">SUM(K40:N40)</f>
        <v>-116</v>
      </c>
      <c r="W40" s="129">
        <f t="shared" ref="W40" si="78">SUM(L40:O40)</f>
        <v>-127</v>
      </c>
      <c r="X40" s="129">
        <f t="shared" ref="X40" si="79">SUM(M40:P40)</f>
        <v>-110</v>
      </c>
      <c r="Y40" s="129">
        <f t="shared" ref="Y40" si="80">SUM(N40:Q40)</f>
        <v>-95</v>
      </c>
      <c r="AA40" s="106">
        <f t="shared" ref="AA40" si="81">SUM(Y40/U40)-1</f>
        <v>-2.0618556701030966E-2</v>
      </c>
    </row>
    <row r="41" spans="2:27" ht="12.75" customHeight="1">
      <c r="B41" s="21" t="s">
        <v>34</v>
      </c>
      <c r="C41" s="130">
        <f>'Historical Financials'!C123</f>
        <v>-15738</v>
      </c>
      <c r="D41" s="130">
        <f>'Historical Financials'!D123</f>
        <v>-16520</v>
      </c>
      <c r="E41" s="130">
        <f>'Historical Financials'!E123</f>
        <v>-15456</v>
      </c>
      <c r="F41" s="130">
        <f>'Historical Financials'!F123</f>
        <v>-14776</v>
      </c>
      <c r="H41" s="130">
        <f>'Historical Financials'!H123</f>
        <v>-778</v>
      </c>
      <c r="I41" s="130">
        <f>'Historical Financials'!I123</f>
        <v>-420</v>
      </c>
      <c r="J41" s="130">
        <f>'Historical Financials'!J123</f>
        <v>-28</v>
      </c>
      <c r="K41" s="130">
        <f>'Historical Financials'!K123</f>
        <v>-14230</v>
      </c>
      <c r="L41" s="130">
        <f>'Historical Financials'!L123</f>
        <v>-315</v>
      </c>
      <c r="M41" s="130">
        <f>'Historical Financials'!M123</f>
        <v>-412</v>
      </c>
      <c r="N41" s="130">
        <f>'Historical Financials'!N123</f>
        <v>-48</v>
      </c>
      <c r="O41" s="130">
        <f>'Historical Financials'!O123</f>
        <v>-14001</v>
      </c>
      <c r="P41" s="130">
        <f>'Historical Financials'!P123</f>
        <v>-196</v>
      </c>
      <c r="Q41" s="130">
        <f>'Historical Financials'!Q123</f>
        <v>-233</v>
      </c>
      <c r="S41" s="129">
        <f t="shared" si="59"/>
        <v>-15456</v>
      </c>
      <c r="T41" s="129">
        <f t="shared" si="60"/>
        <v>-14993</v>
      </c>
      <c r="U41" s="129">
        <f t="shared" si="61"/>
        <v>-14985</v>
      </c>
      <c r="V41" s="129">
        <f t="shared" si="62"/>
        <v>-15005</v>
      </c>
      <c r="W41" s="129">
        <f t="shared" si="63"/>
        <v>-14776</v>
      </c>
      <c r="X41" s="129">
        <f t="shared" si="64"/>
        <v>-14657</v>
      </c>
      <c r="Y41" s="129">
        <f t="shared" si="65"/>
        <v>-14478</v>
      </c>
      <c r="AA41" s="106">
        <f t="shared" si="66"/>
        <v>-3.3833833833833871E-2</v>
      </c>
    </row>
    <row r="42" spans="2:27" ht="12.75" customHeight="1">
      <c r="B42" s="12" t="s">
        <v>35</v>
      </c>
      <c r="C42" s="13">
        <f>SUM(C32+SUM(C35:C41))</f>
        <v>-11399</v>
      </c>
      <c r="D42" s="13">
        <f>SUM(D32+SUM(D35:D41))</f>
        <v>-15886</v>
      </c>
      <c r="E42" s="13">
        <f>SUM(E32+SUM(E35:E41))</f>
        <v>-17188</v>
      </c>
      <c r="F42" s="13">
        <f>SUM(F32+SUM(F35:F41))</f>
        <v>-20983</v>
      </c>
      <c r="H42" s="13">
        <f>SUM(H32+SUM(H35:H41))</f>
        <v>-2474</v>
      </c>
      <c r="I42" s="13">
        <f>SUM(I32+SUM(I35:I41))</f>
        <v>-1005</v>
      </c>
      <c r="J42" s="13">
        <f>SUM(J32+SUM(J35:J41))</f>
        <v>437</v>
      </c>
      <c r="K42" s="13">
        <f>SUM(K32+SUM(K35:K41))</f>
        <v>-14131</v>
      </c>
      <c r="L42" s="13">
        <f t="shared" ref="L42:Q42" si="82">SUM(L32+SUM(L35:L41))</f>
        <v>-1035</v>
      </c>
      <c r="M42" s="13">
        <f t="shared" si="82"/>
        <v>-6003</v>
      </c>
      <c r="N42" s="13">
        <f t="shared" si="82"/>
        <v>191</v>
      </c>
      <c r="O42" s="13">
        <f t="shared" si="82"/>
        <v>-14127</v>
      </c>
      <c r="P42" s="13">
        <f t="shared" si="82"/>
        <v>25</v>
      </c>
      <c r="Q42" s="13">
        <f t="shared" si="82"/>
        <v>-71</v>
      </c>
      <c r="S42" s="13">
        <f t="shared" ref="S42:W42" si="83">SUM(S32+SUM(S35:S41))</f>
        <v>-17173</v>
      </c>
      <c r="T42" s="13">
        <f t="shared" si="83"/>
        <v>-15734</v>
      </c>
      <c r="U42" s="13">
        <f t="shared" si="83"/>
        <v>-20732</v>
      </c>
      <c r="V42" s="13">
        <f t="shared" si="83"/>
        <v>-20978</v>
      </c>
      <c r="W42" s="13">
        <f t="shared" si="83"/>
        <v>-20974</v>
      </c>
      <c r="X42" s="13">
        <f>SUM(X32+SUM(X35:X41))</f>
        <v>-19914</v>
      </c>
      <c r="Y42" s="13">
        <f>SUM(Y32+SUM(Y35:Y41))</f>
        <v>-13982</v>
      </c>
      <c r="AA42" s="107">
        <f t="shared" si="66"/>
        <v>-0.3255836388192167</v>
      </c>
    </row>
    <row r="43" spans="2:27" ht="5.0999999999999996" customHeight="1"/>
    <row r="44" spans="2:27" ht="12.75" customHeight="1">
      <c r="B44" s="27" t="s">
        <v>210</v>
      </c>
      <c r="C44" s="130">
        <f>'Historical Financials'!C129</f>
        <v>2974</v>
      </c>
      <c r="D44" s="130">
        <f>'Historical Financials'!D129</f>
        <v>95</v>
      </c>
      <c r="E44" s="130">
        <f>'Historical Financials'!E129</f>
        <v>71</v>
      </c>
      <c r="F44" s="130">
        <f>'Historical Financials'!F129</f>
        <v>554</v>
      </c>
      <c r="G44" s="28"/>
      <c r="H44" s="130">
        <f>'Historical Financials'!H129</f>
        <v>0</v>
      </c>
      <c r="I44" s="130">
        <f>'Historical Financials'!I129</f>
        <v>0</v>
      </c>
      <c r="J44" s="130">
        <f>'Historical Financials'!J129</f>
        <v>0</v>
      </c>
      <c r="K44" s="130">
        <f>'Historical Financials'!K129</f>
        <v>71</v>
      </c>
      <c r="L44" s="130">
        <f>'Historical Financials'!L129</f>
        <v>0</v>
      </c>
      <c r="M44" s="130">
        <f>'Historical Financials'!M129</f>
        <v>0</v>
      </c>
      <c r="N44" s="130">
        <f>'Historical Financials'!N129</f>
        <v>0</v>
      </c>
      <c r="O44" s="130">
        <f>'Historical Financials'!O129</f>
        <v>554</v>
      </c>
      <c r="P44" s="130">
        <f>'Historical Financials'!P129</f>
        <v>61</v>
      </c>
      <c r="Q44" s="130">
        <f>'Historical Financials'!Q129</f>
        <v>5</v>
      </c>
      <c r="S44" s="129">
        <f t="shared" ref="S44:S49" si="84">SUM(H44:K44)</f>
        <v>71</v>
      </c>
      <c r="T44" s="129">
        <f t="shared" ref="T44:T49" si="85">SUM(I44:L44)</f>
        <v>71</v>
      </c>
      <c r="U44" s="129">
        <f t="shared" ref="U44:U49" si="86">SUM(J44:M44)</f>
        <v>71</v>
      </c>
      <c r="V44" s="129">
        <f t="shared" ref="V44:V49" si="87">SUM(K44:N44)</f>
        <v>71</v>
      </c>
      <c r="W44" s="129">
        <f t="shared" ref="W44:W49" si="88">SUM(L44:O44)</f>
        <v>554</v>
      </c>
      <c r="X44" s="129">
        <f t="shared" ref="X44:X49" si="89">SUM(M44:P44)</f>
        <v>615</v>
      </c>
      <c r="Y44" s="129">
        <f t="shared" ref="Y44:Y49" si="90">SUM(N44:Q44)</f>
        <v>620</v>
      </c>
    </row>
    <row r="45" spans="2:27" ht="12.75" customHeight="1">
      <c r="B45" s="27" t="s">
        <v>211</v>
      </c>
      <c r="C45" s="130">
        <f>'Historical Financials'!C120</f>
        <v>96</v>
      </c>
      <c r="D45" s="130">
        <f>'Historical Financials'!D120</f>
        <v>207</v>
      </c>
      <c r="E45" s="130">
        <f>'Historical Financials'!E120</f>
        <v>363</v>
      </c>
      <c r="F45" s="130">
        <f>'Historical Financials'!F120</f>
        <v>304</v>
      </c>
      <c r="G45" s="28"/>
      <c r="H45" s="130">
        <f>'Historical Financials'!H120</f>
        <v>75</v>
      </c>
      <c r="I45" s="130">
        <f>'Historical Financials'!I120</f>
        <v>109</v>
      </c>
      <c r="J45" s="130">
        <f>'Historical Financials'!J120</f>
        <v>75</v>
      </c>
      <c r="K45" s="130">
        <f>'Historical Financials'!K120</f>
        <v>104</v>
      </c>
      <c r="L45" s="130">
        <f>'Historical Financials'!L120</f>
        <v>90</v>
      </c>
      <c r="M45" s="130">
        <f>'Historical Financials'!M120</f>
        <v>78</v>
      </c>
      <c r="N45" s="130">
        <f>'Historical Financials'!N120</f>
        <v>60</v>
      </c>
      <c r="O45" s="130">
        <f>'Historical Financials'!O120</f>
        <v>76</v>
      </c>
      <c r="P45" s="130">
        <f>'Historical Financials'!P120</f>
        <v>73</v>
      </c>
      <c r="Q45" s="130">
        <f>'Historical Financials'!Q120</f>
        <v>68</v>
      </c>
      <c r="S45" s="129">
        <f t="shared" si="84"/>
        <v>363</v>
      </c>
      <c r="T45" s="129">
        <f t="shared" si="85"/>
        <v>378</v>
      </c>
      <c r="U45" s="129">
        <f t="shared" si="86"/>
        <v>347</v>
      </c>
      <c r="V45" s="129">
        <f t="shared" si="87"/>
        <v>332</v>
      </c>
      <c r="W45" s="129">
        <f t="shared" si="88"/>
        <v>304</v>
      </c>
      <c r="X45" s="129">
        <f t="shared" si="89"/>
        <v>287</v>
      </c>
      <c r="Y45" s="129">
        <f t="shared" si="90"/>
        <v>277</v>
      </c>
    </row>
    <row r="46" spans="2:27" ht="12.75" customHeight="1">
      <c r="B46" s="27" t="s">
        <v>212</v>
      </c>
      <c r="C46" s="130">
        <f>'Historical Financials'!C114</f>
        <v>13649</v>
      </c>
      <c r="D46" s="130">
        <f>'Historical Financials'!D114</f>
        <v>14951</v>
      </c>
      <c r="E46" s="130">
        <f>'Historical Financials'!E114</f>
        <v>14713</v>
      </c>
      <c r="F46" s="130">
        <f>'Historical Financials'!F114</f>
        <v>13888</v>
      </c>
      <c r="G46" s="28"/>
      <c r="H46" s="130">
        <f>'Historical Financials'!H114</f>
        <v>0</v>
      </c>
      <c r="I46" s="130">
        <f>'Historical Financials'!I114</f>
        <v>0</v>
      </c>
      <c r="J46" s="130">
        <f>'Historical Financials'!J114</f>
        <v>0</v>
      </c>
      <c r="K46" s="130">
        <f>'Historical Financials'!K114</f>
        <v>14713</v>
      </c>
      <c r="L46" s="130">
        <f>'Historical Financials'!L114</f>
        <v>0</v>
      </c>
      <c r="M46" s="130">
        <f>'Historical Financials'!M114</f>
        <v>0</v>
      </c>
      <c r="N46" s="130">
        <f>'Historical Financials'!N114</f>
        <v>0</v>
      </c>
      <c r="O46" s="130">
        <f>'Historical Financials'!O114</f>
        <v>13888</v>
      </c>
      <c r="P46" s="130">
        <f>'Historical Financials'!P114</f>
        <v>0</v>
      </c>
      <c r="Q46" s="130">
        <f>'Historical Financials'!Q114</f>
        <v>0</v>
      </c>
      <c r="S46" s="129">
        <f t="shared" si="84"/>
        <v>14713</v>
      </c>
      <c r="T46" s="129">
        <f t="shared" si="85"/>
        <v>14713</v>
      </c>
      <c r="U46" s="129">
        <f t="shared" si="86"/>
        <v>14713</v>
      </c>
      <c r="V46" s="129">
        <f t="shared" si="87"/>
        <v>14713</v>
      </c>
      <c r="W46" s="129">
        <f t="shared" si="88"/>
        <v>13888</v>
      </c>
      <c r="X46" s="129">
        <f t="shared" si="89"/>
        <v>13888</v>
      </c>
      <c r="Y46" s="129">
        <f t="shared" si="90"/>
        <v>13888</v>
      </c>
    </row>
    <row r="47" spans="2:27" ht="12.75" customHeight="1">
      <c r="B47" s="27" t="s">
        <v>213</v>
      </c>
      <c r="C47" s="130">
        <f>SUM('Historical Financials'!C135:C136)</f>
        <v>-2172</v>
      </c>
      <c r="D47" s="130">
        <f>SUM('Historical Financials'!D135:D136)</f>
        <v>-2002</v>
      </c>
      <c r="E47" s="130">
        <f>SUM('Historical Financials'!E135:E136)</f>
        <v>-1232</v>
      </c>
      <c r="F47" s="130">
        <f>SUM('Historical Financials'!F135:F136)</f>
        <v>-126</v>
      </c>
      <c r="G47" s="28"/>
      <c r="H47" s="130">
        <f>SUM('Historical Financials'!H135:H136)</f>
        <v>3</v>
      </c>
      <c r="I47" s="130">
        <f>SUM('Historical Financials'!I135:I136)</f>
        <v>-58</v>
      </c>
      <c r="J47" s="130">
        <f>SUM('Historical Financials'!J135:J136)</f>
        <v>-139</v>
      </c>
      <c r="K47" s="130">
        <f>SUM('Historical Financials'!K135:K136)</f>
        <v>-1038</v>
      </c>
      <c r="L47" s="130">
        <f>SUM('Historical Financials'!L135:L136)</f>
        <v>0</v>
      </c>
      <c r="M47" s="130">
        <f>SUM('Historical Financials'!M135:M136)</f>
        <v>0</v>
      </c>
      <c r="N47" s="130">
        <f>SUM('Historical Financials'!N135:N136)</f>
        <v>0</v>
      </c>
      <c r="O47" s="130">
        <f>SUM('Historical Financials'!O135:O136)</f>
        <v>-126</v>
      </c>
      <c r="P47" s="130">
        <f>SUM('Historical Financials'!P135:P136)</f>
        <v>0</v>
      </c>
      <c r="Q47" s="130">
        <f>SUM('Historical Financials'!Q135:Q136)</f>
        <v>0</v>
      </c>
      <c r="S47" s="129">
        <f t="shared" si="84"/>
        <v>-1232</v>
      </c>
      <c r="T47" s="129">
        <f t="shared" si="85"/>
        <v>-1235</v>
      </c>
      <c r="U47" s="129">
        <f t="shared" si="86"/>
        <v>-1177</v>
      </c>
      <c r="V47" s="129">
        <f t="shared" si="87"/>
        <v>-1038</v>
      </c>
      <c r="W47" s="129">
        <f t="shared" si="88"/>
        <v>-126</v>
      </c>
      <c r="X47" s="129">
        <f t="shared" si="89"/>
        <v>-126</v>
      </c>
      <c r="Y47" s="129">
        <f t="shared" si="90"/>
        <v>-126</v>
      </c>
    </row>
    <row r="48" spans="2:27" ht="12.75" customHeight="1">
      <c r="B48" s="27" t="s">
        <v>214</v>
      </c>
      <c r="C48" s="130">
        <f>'Historical Financials'!C141</f>
        <v>3063</v>
      </c>
      <c r="D48" s="130">
        <f>'Historical Financials'!D141</f>
        <v>0</v>
      </c>
      <c r="E48" s="130">
        <f>'Historical Financials'!E141</f>
        <v>0</v>
      </c>
      <c r="F48" s="130">
        <f>'Historical Financials'!F141</f>
        <v>0</v>
      </c>
      <c r="G48" s="28"/>
      <c r="H48" s="130">
        <f>'Historical Financials'!H141</f>
        <v>0</v>
      </c>
      <c r="I48" s="130">
        <f>'Historical Financials'!I141</f>
        <v>0</v>
      </c>
      <c r="J48" s="130">
        <f>'Historical Financials'!J141</f>
        <v>0</v>
      </c>
      <c r="K48" s="130">
        <f>'Historical Financials'!K141</f>
        <v>0</v>
      </c>
      <c r="L48" s="130">
        <f>'Historical Financials'!L141</f>
        <v>0</v>
      </c>
      <c r="M48" s="130">
        <f>'Historical Financials'!M141</f>
        <v>0</v>
      </c>
      <c r="N48" s="130">
        <f>'Historical Financials'!N141</f>
        <v>0</v>
      </c>
      <c r="O48" s="130">
        <f>'Historical Financials'!O141</f>
        <v>0</v>
      </c>
      <c r="P48" s="130">
        <f>'Historical Financials'!P141</f>
        <v>0</v>
      </c>
      <c r="Q48" s="130">
        <f>'Historical Financials'!Q141</f>
        <v>0</v>
      </c>
      <c r="S48" s="129">
        <f t="shared" si="84"/>
        <v>0</v>
      </c>
      <c r="T48" s="129">
        <f t="shared" si="85"/>
        <v>0</v>
      </c>
      <c r="U48" s="129">
        <f t="shared" si="86"/>
        <v>0</v>
      </c>
      <c r="V48" s="129">
        <f t="shared" si="87"/>
        <v>0</v>
      </c>
      <c r="W48" s="129">
        <f t="shared" si="88"/>
        <v>0</v>
      </c>
      <c r="X48" s="129">
        <f t="shared" si="89"/>
        <v>0</v>
      </c>
      <c r="Y48" s="129">
        <f t="shared" si="90"/>
        <v>0</v>
      </c>
    </row>
    <row r="49" spans="1:25" ht="12.75" customHeight="1">
      <c r="B49" s="27" t="s">
        <v>64</v>
      </c>
      <c r="C49" s="131"/>
      <c r="D49" s="131">
        <f t="shared" ref="D49:F49" si="91">SUM(D54)-SUM(C54)-SUM(D42:D48)</f>
        <v>-747</v>
      </c>
      <c r="E49" s="131">
        <f t="shared" si="91"/>
        <v>2848</v>
      </c>
      <c r="F49" s="131">
        <f t="shared" si="91"/>
        <v>6564</v>
      </c>
      <c r="G49" s="28"/>
      <c r="H49" s="131">
        <f>SUM(H54)-SUM(D54)-SUM(H42:H48)</f>
        <v>1620</v>
      </c>
      <c r="I49" s="131">
        <f t="shared" ref="I49" si="92">SUM(I54)-SUM(H54)-SUM(I42:I48)</f>
        <v>559</v>
      </c>
      <c r="J49" s="131">
        <f t="shared" ref="J49" si="93">SUM(J54)-SUM(I54)-SUM(J42:J48)</f>
        <v>-283</v>
      </c>
      <c r="K49" s="131">
        <f t="shared" ref="K49" si="94">SUM(K54)-SUM(J54)-SUM(K42:K48)</f>
        <v>937</v>
      </c>
      <c r="L49" s="131">
        <f t="shared" ref="L49" si="95">SUM(L54)-SUM(K54)-SUM(L42:L48)</f>
        <v>869</v>
      </c>
      <c r="M49" s="131">
        <f t="shared" ref="M49" si="96">SUM(M54)-SUM(L54)-SUM(M42:M48)</f>
        <v>5856</v>
      </c>
      <c r="N49" s="131">
        <f t="shared" ref="N49" si="97">SUM(N54)-SUM(M54)-SUM(N42:N48)</f>
        <v>-123</v>
      </c>
      <c r="O49" s="131">
        <f t="shared" ref="O49" si="98">SUM(O54)-SUM(N54)-SUM(O42:O48)</f>
        <v>-47</v>
      </c>
      <c r="P49" s="131">
        <f t="shared" ref="P49" si="99">SUM(P54)-SUM(O54)-SUM(P42:P48)</f>
        <v>-147</v>
      </c>
      <c r="Q49" s="131">
        <f t="shared" ref="Q49" si="100">SUM(Q54)-SUM(P54)-SUM(Q42:Q48)</f>
        <v>64</v>
      </c>
      <c r="S49" s="129">
        <f t="shared" si="84"/>
        <v>2833</v>
      </c>
      <c r="T49" s="129">
        <f t="shared" si="85"/>
        <v>2082</v>
      </c>
      <c r="U49" s="129">
        <f t="shared" si="86"/>
        <v>7379</v>
      </c>
      <c r="V49" s="129">
        <f t="shared" si="87"/>
        <v>7539</v>
      </c>
      <c r="W49" s="129">
        <f t="shared" si="88"/>
        <v>6555</v>
      </c>
      <c r="X49" s="129">
        <f t="shared" si="89"/>
        <v>5539</v>
      </c>
      <c r="Y49" s="129">
        <f t="shared" si="90"/>
        <v>-253</v>
      </c>
    </row>
    <row r="50" spans="1:25" ht="12.75" customHeight="1">
      <c r="B50" s="12" t="s">
        <v>36</v>
      </c>
      <c r="C50" s="13">
        <f t="shared" ref="C50:F50" si="101">SUM(C42+SUM(C44:C49))</f>
        <v>6211</v>
      </c>
      <c r="D50" s="13">
        <f t="shared" si="101"/>
        <v>-3382</v>
      </c>
      <c r="E50" s="13">
        <f t="shared" si="101"/>
        <v>-425</v>
      </c>
      <c r="F50" s="13">
        <f t="shared" si="101"/>
        <v>201</v>
      </c>
      <c r="H50" s="13">
        <f t="shared" ref="H50:Q50" si="102">SUM(H42+SUM(H44:H49))</f>
        <v>-776</v>
      </c>
      <c r="I50" s="13">
        <f t="shared" si="102"/>
        <v>-395</v>
      </c>
      <c r="J50" s="13">
        <f t="shared" si="102"/>
        <v>90</v>
      </c>
      <c r="K50" s="13">
        <f t="shared" si="102"/>
        <v>656</v>
      </c>
      <c r="L50" s="13">
        <f t="shared" si="102"/>
        <v>-76</v>
      </c>
      <c r="M50" s="13">
        <f t="shared" si="102"/>
        <v>-69</v>
      </c>
      <c r="N50" s="13">
        <f t="shared" si="102"/>
        <v>128</v>
      </c>
      <c r="O50" s="13">
        <f t="shared" si="102"/>
        <v>218</v>
      </c>
      <c r="P50" s="13">
        <f t="shared" si="102"/>
        <v>12</v>
      </c>
      <c r="Q50" s="13">
        <f t="shared" si="102"/>
        <v>66</v>
      </c>
      <c r="S50" s="13">
        <f t="shared" ref="S50:Y50" si="103">SUM(S42+SUM(S44:S49))</f>
        <v>-425</v>
      </c>
      <c r="T50" s="13">
        <f t="shared" si="103"/>
        <v>275</v>
      </c>
      <c r="U50" s="13">
        <f t="shared" si="103"/>
        <v>601</v>
      </c>
      <c r="V50" s="13">
        <f t="shared" si="103"/>
        <v>639</v>
      </c>
      <c r="W50" s="13">
        <f t="shared" si="103"/>
        <v>201</v>
      </c>
      <c r="X50" s="13">
        <f t="shared" si="103"/>
        <v>289</v>
      </c>
      <c r="Y50" s="13">
        <f t="shared" si="103"/>
        <v>424</v>
      </c>
    </row>
    <row r="51" spans="1:25" ht="5.0999999999999996" customHeight="1"/>
    <row r="52" spans="1:25" ht="12.75" customHeight="1">
      <c r="A52" s="5"/>
      <c r="B52" s="29" t="s">
        <v>37</v>
      </c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</row>
    <row r="53" spans="1:25" ht="5.0999999999999996" customHeight="1"/>
    <row r="54" spans="1:25" ht="12.75" customHeight="1">
      <c r="B54" s="8" t="s">
        <v>38</v>
      </c>
      <c r="C54" s="78">
        <f>'Historical Financials'!C53</f>
        <v>6267</v>
      </c>
      <c r="D54" s="78">
        <f>'Historical Financials'!D53</f>
        <v>2885</v>
      </c>
      <c r="E54" s="78">
        <f>'Historical Financials'!E53</f>
        <v>2460</v>
      </c>
      <c r="F54" s="78">
        <f>'Historical Financials'!F53</f>
        <v>2661</v>
      </c>
      <c r="G54" s="28"/>
      <c r="H54" s="78">
        <f>'Historical Financials'!H53</f>
        <v>2109</v>
      </c>
      <c r="I54" s="78">
        <f>'Historical Financials'!I53</f>
        <v>1714</v>
      </c>
      <c r="J54" s="78">
        <f>'Historical Financials'!J53</f>
        <v>1804</v>
      </c>
      <c r="K54" s="78">
        <f>'Historical Financials'!K53</f>
        <v>2460</v>
      </c>
      <c r="L54" s="78">
        <f>'Historical Financials'!L53</f>
        <v>2384</v>
      </c>
      <c r="M54" s="78">
        <f>'Historical Financials'!M53</f>
        <v>2315</v>
      </c>
      <c r="N54" s="78">
        <f>'Historical Financials'!N53</f>
        <v>2443</v>
      </c>
      <c r="O54" s="78">
        <f>'Historical Financials'!O53</f>
        <v>2661</v>
      </c>
      <c r="P54" s="78">
        <f>'Historical Financials'!P53</f>
        <v>2673</v>
      </c>
      <c r="Q54" s="78">
        <f>'Historical Financials'!Q53</f>
        <v>2739</v>
      </c>
      <c r="S54" s="10">
        <f t="shared" ref="S54:X55" si="104">K54</f>
        <v>2460</v>
      </c>
      <c r="T54" s="10">
        <f t="shared" si="104"/>
        <v>2384</v>
      </c>
      <c r="U54" s="10">
        <f t="shared" si="104"/>
        <v>2315</v>
      </c>
      <c r="V54" s="10">
        <f t="shared" si="104"/>
        <v>2443</v>
      </c>
      <c r="W54" s="10">
        <f t="shared" si="104"/>
        <v>2661</v>
      </c>
      <c r="X54" s="10">
        <f t="shared" si="104"/>
        <v>2673</v>
      </c>
      <c r="Y54" s="10">
        <f>Q54</f>
        <v>2739</v>
      </c>
    </row>
    <row r="55" spans="1:25" ht="12.75" customHeight="1">
      <c r="B55" s="8" t="s">
        <v>216</v>
      </c>
      <c r="C55" s="73">
        <v>3500</v>
      </c>
      <c r="D55" s="73">
        <v>3500</v>
      </c>
      <c r="E55" s="73">
        <v>3500</v>
      </c>
      <c r="F55" s="73">
        <v>3500</v>
      </c>
      <c r="G55" s="28"/>
      <c r="H55" s="73">
        <v>3500</v>
      </c>
      <c r="I55" s="73">
        <v>3500</v>
      </c>
      <c r="J55" s="73">
        <v>3500</v>
      </c>
      <c r="K55" s="73">
        <v>3500</v>
      </c>
      <c r="L55" s="73">
        <v>3500</v>
      </c>
      <c r="M55" s="73">
        <v>3500</v>
      </c>
      <c r="N55" s="73">
        <v>3500</v>
      </c>
      <c r="O55" s="73">
        <v>3500</v>
      </c>
      <c r="P55" s="73">
        <v>3500</v>
      </c>
      <c r="Q55" s="73">
        <v>3500</v>
      </c>
      <c r="S55" s="10">
        <f t="shared" si="104"/>
        <v>3500</v>
      </c>
      <c r="T55" s="10">
        <f t="shared" si="104"/>
        <v>3500</v>
      </c>
      <c r="U55" s="10">
        <f t="shared" si="104"/>
        <v>3500</v>
      </c>
      <c r="V55" s="10">
        <f t="shared" si="104"/>
        <v>3500</v>
      </c>
      <c r="W55" s="10">
        <f t="shared" si="104"/>
        <v>3500</v>
      </c>
      <c r="X55" s="10">
        <f t="shared" si="104"/>
        <v>3500</v>
      </c>
      <c r="Y55" s="10">
        <f>Q55</f>
        <v>3500</v>
      </c>
    </row>
    <row r="56" spans="1:25" ht="12.75" customHeight="1">
      <c r="B56" s="12" t="s">
        <v>39</v>
      </c>
      <c r="C56" s="13">
        <f>SUM(C54:C55)</f>
        <v>9767</v>
      </c>
      <c r="D56" s="13">
        <f>SUM(D54:D55)</f>
        <v>6385</v>
      </c>
      <c r="E56" s="13">
        <f>SUM(E54:E55)</f>
        <v>5960</v>
      </c>
      <c r="F56" s="13">
        <f>SUM(F54:F55)</f>
        <v>6161</v>
      </c>
      <c r="G56" s="28"/>
      <c r="H56" s="13">
        <f>SUM(H54:H55)</f>
        <v>5609</v>
      </c>
      <c r="I56" s="13">
        <f>SUM(I54:I55)</f>
        <v>5214</v>
      </c>
      <c r="J56" s="13">
        <f>SUM(J54:J55)</f>
        <v>5304</v>
      </c>
      <c r="K56" s="13">
        <f>SUM(K54:K55)</f>
        <v>5960</v>
      </c>
      <c r="L56" s="13">
        <f>SUM(L54:L55)</f>
        <v>5884</v>
      </c>
      <c r="M56" s="13">
        <f>SUM(M54:M55)</f>
        <v>5815</v>
      </c>
      <c r="N56" s="13">
        <f>SUM(N54:N55)</f>
        <v>5943</v>
      </c>
      <c r="O56" s="13">
        <f>SUM(O54:O55)</f>
        <v>6161</v>
      </c>
      <c r="P56" s="13">
        <f>SUM(P54:P55)</f>
        <v>6173</v>
      </c>
      <c r="Q56" s="13">
        <f>SUM(Q54:Q55)</f>
        <v>6239</v>
      </c>
      <c r="S56" s="13">
        <f>SUM(S54:S55)</f>
        <v>5960</v>
      </c>
      <c r="T56" s="13">
        <f>SUM(T54:T55)</f>
        <v>5884</v>
      </c>
      <c r="U56" s="13">
        <f>SUM(U54:U55)</f>
        <v>5815</v>
      </c>
      <c r="V56" s="13">
        <f>SUM(V54:V55)</f>
        <v>5943</v>
      </c>
      <c r="W56" s="13">
        <f>SUM(W54:W55)</f>
        <v>6161</v>
      </c>
      <c r="X56" s="13">
        <f>SUM(X54:X55)</f>
        <v>6173</v>
      </c>
      <c r="Y56" s="13">
        <f>SUM(Y54:Y55)</f>
        <v>6239</v>
      </c>
    </row>
    <row r="57" spans="1:25" ht="5.0999999999999996" customHeight="1"/>
    <row r="58" spans="1:25" ht="12.75" customHeight="1">
      <c r="B58" s="30" t="s">
        <v>40</v>
      </c>
    </row>
    <row r="59" spans="1:25" ht="12.75" customHeight="1">
      <c r="B59" s="8" t="s">
        <v>117</v>
      </c>
      <c r="C59" s="78">
        <f>'Historical Financials'!C54</f>
        <v>6984</v>
      </c>
      <c r="D59" s="78">
        <f>'Historical Financials'!D54</f>
        <v>7412</v>
      </c>
      <c r="E59" s="78">
        <f>'Historical Financials'!E54</f>
        <v>7115</v>
      </c>
      <c r="F59" s="78">
        <f>'Historical Financials'!F54</f>
        <v>6920</v>
      </c>
      <c r="H59" s="78">
        <f>'Historical Financials'!H54</f>
        <v>7448</v>
      </c>
      <c r="I59" s="78">
        <f>'Historical Financials'!I54</f>
        <v>7186</v>
      </c>
      <c r="J59" s="78">
        <f>'Historical Financials'!J54</f>
        <v>6939</v>
      </c>
      <c r="K59" s="78">
        <f>'Historical Financials'!K54</f>
        <v>7115</v>
      </c>
      <c r="L59" s="78">
        <f>'Historical Financials'!L54</f>
        <v>7096</v>
      </c>
      <c r="M59" s="78">
        <f>'Historical Financials'!M54</f>
        <v>6545</v>
      </c>
      <c r="N59" s="78">
        <f>'Historical Financials'!N54</f>
        <v>6327</v>
      </c>
      <c r="O59" s="78">
        <f>'Historical Financials'!O54</f>
        <v>6920</v>
      </c>
      <c r="P59" s="78">
        <f>'Historical Financials'!P54</f>
        <v>6835</v>
      </c>
      <c r="Q59" s="78">
        <f>'Historical Financials'!Q54</f>
        <v>6291</v>
      </c>
      <c r="R59" s="10"/>
      <c r="S59" s="10">
        <f t="shared" ref="S59:S65" si="105">K59</f>
        <v>7115</v>
      </c>
      <c r="T59" s="10">
        <f t="shared" ref="T59:T65" si="106">L59</f>
        <v>7096</v>
      </c>
      <c r="U59" s="10">
        <f t="shared" ref="U59:U65" si="107">M59</f>
        <v>6545</v>
      </c>
      <c r="V59" s="10">
        <f t="shared" ref="V59:V65" si="108">N59</f>
        <v>6327</v>
      </c>
      <c r="W59" s="10">
        <f t="shared" ref="W59:W65" si="109">O59</f>
        <v>6920</v>
      </c>
      <c r="X59" s="10">
        <f t="shared" ref="X59:X65" si="110">P59</f>
        <v>6835</v>
      </c>
      <c r="Y59" s="10">
        <f t="shared" ref="Y59:Y65" si="111">Q59</f>
        <v>6291</v>
      </c>
    </row>
    <row r="60" spans="1:25" ht="12.75" customHeight="1">
      <c r="B60" s="8" t="s">
        <v>118</v>
      </c>
      <c r="C60" s="78">
        <f>'Historical Financials'!C55+'Historical Financials'!C61</f>
        <v>14862</v>
      </c>
      <c r="D60" s="78">
        <f>'Historical Financials'!D55+'Historical Financials'!D61</f>
        <v>17620</v>
      </c>
      <c r="E60" s="78">
        <f>'Historical Financials'!E55+'Historical Financials'!E61</f>
        <v>15265</v>
      </c>
      <c r="F60" s="78">
        <f>'Historical Financials'!F55+'Historical Financials'!F61</f>
        <v>15353</v>
      </c>
      <c r="H60" s="78">
        <f>'Historical Financials'!H55+'Historical Financials'!H61</f>
        <v>16777</v>
      </c>
      <c r="I60" s="78">
        <f>'Historical Financials'!I55+'Historical Financials'!I61</f>
        <v>16135</v>
      </c>
      <c r="J60" s="78">
        <f>'Historical Financials'!J55+'Historical Financials'!J61</f>
        <v>15598</v>
      </c>
      <c r="K60" s="78">
        <f>'Historical Financials'!K55+'Historical Financials'!K61</f>
        <v>15265</v>
      </c>
      <c r="L60" s="78">
        <f>'Historical Financials'!L55+'Historical Financials'!L61</f>
        <v>14312</v>
      </c>
      <c r="M60" s="78">
        <f>'Historical Financials'!M55+'Historical Financials'!M61</f>
        <v>14994</v>
      </c>
      <c r="N60" s="78">
        <f>'Historical Financials'!N55+'Historical Financials'!N61</f>
        <v>15612</v>
      </c>
      <c r="O60" s="78">
        <f>'Historical Financials'!O55+'Historical Financials'!O61</f>
        <v>15353</v>
      </c>
      <c r="P60" s="78">
        <f>'Historical Financials'!P55+'Historical Financials'!P61</f>
        <v>15086</v>
      </c>
      <c r="Q60" s="78">
        <f>'Historical Financials'!Q55+'Historical Financials'!Q61</f>
        <v>15331</v>
      </c>
      <c r="R60" s="10"/>
      <c r="S60" s="10">
        <f t="shared" si="105"/>
        <v>15265</v>
      </c>
      <c r="T60" s="10">
        <f t="shared" si="106"/>
        <v>14312</v>
      </c>
      <c r="U60" s="10">
        <f t="shared" si="107"/>
        <v>14994</v>
      </c>
      <c r="V60" s="10">
        <f t="shared" si="108"/>
        <v>15612</v>
      </c>
      <c r="W60" s="10">
        <f t="shared" si="109"/>
        <v>15353</v>
      </c>
      <c r="X60" s="10">
        <f t="shared" si="110"/>
        <v>15086</v>
      </c>
      <c r="Y60" s="10">
        <f t="shared" si="111"/>
        <v>15331</v>
      </c>
    </row>
    <row r="61" spans="1:25" ht="12.75" customHeight="1">
      <c r="B61" s="8" t="s">
        <v>120</v>
      </c>
      <c r="C61" s="78">
        <f>'Historical Financials'!C60</f>
        <v>1736</v>
      </c>
      <c r="D61" s="78">
        <f>'Historical Financials'!D60</f>
        <v>1762</v>
      </c>
      <c r="E61" s="78">
        <f>'Historical Financials'!E60</f>
        <v>1666</v>
      </c>
      <c r="F61" s="78">
        <f>'Historical Financials'!F60</f>
        <v>1566</v>
      </c>
      <c r="H61" s="78">
        <f>'Historical Financials'!H60</f>
        <v>1718</v>
      </c>
      <c r="I61" s="78">
        <f>'Historical Financials'!I60</f>
        <v>1689</v>
      </c>
      <c r="J61" s="78">
        <f>'Historical Financials'!J60</f>
        <v>1668</v>
      </c>
      <c r="K61" s="78">
        <f>'Historical Financials'!K60</f>
        <v>1666</v>
      </c>
      <c r="L61" s="78">
        <f>'Historical Financials'!L60</f>
        <v>1612</v>
      </c>
      <c r="M61" s="78">
        <f>'Historical Financials'!M60</f>
        <v>1567</v>
      </c>
      <c r="N61" s="78">
        <f>'Historical Financials'!N60</f>
        <v>1545</v>
      </c>
      <c r="O61" s="78">
        <f>'Historical Financials'!O60</f>
        <v>1566</v>
      </c>
      <c r="P61" s="78">
        <f>'Historical Financials'!P60</f>
        <v>1519</v>
      </c>
      <c r="Q61" s="78">
        <f>'Historical Financials'!Q60</f>
        <v>1494</v>
      </c>
      <c r="R61" s="10"/>
      <c r="S61" s="10">
        <f t="shared" ref="S61" si="112">K61</f>
        <v>1666</v>
      </c>
      <c r="T61" s="10">
        <f t="shared" ref="T61" si="113">L61</f>
        <v>1612</v>
      </c>
      <c r="U61" s="10">
        <f t="shared" ref="U61" si="114">M61</f>
        <v>1567</v>
      </c>
      <c r="V61" s="10">
        <f t="shared" ref="V61" si="115">N61</f>
        <v>1545</v>
      </c>
      <c r="W61" s="10">
        <f t="shared" ref="W61" si="116">O61</f>
        <v>1566</v>
      </c>
      <c r="X61" s="10">
        <f t="shared" ref="X61" si="117">P61</f>
        <v>1519</v>
      </c>
      <c r="Y61" s="10">
        <f t="shared" ref="Y61" si="118">Q61</f>
        <v>1494</v>
      </c>
    </row>
    <row r="62" spans="1:25" ht="12.75" customHeight="1">
      <c r="B62" s="8" t="s">
        <v>126</v>
      </c>
      <c r="C62" s="78">
        <f>'Historical Financials'!C70</f>
        <v>800</v>
      </c>
      <c r="D62" s="78">
        <f>'Historical Financials'!D70</f>
        <v>1403</v>
      </c>
      <c r="E62" s="78">
        <f>'Historical Financials'!E70</f>
        <v>1100</v>
      </c>
      <c r="F62" s="78">
        <f>'Historical Financials'!F70</f>
        <v>953</v>
      </c>
      <c r="H62" s="78">
        <f>'Historical Financials'!H70</f>
        <v>1235</v>
      </c>
      <c r="I62" s="78">
        <f>'Historical Financials'!I70</f>
        <v>1210</v>
      </c>
      <c r="J62" s="78">
        <f>'Historical Financials'!J70</f>
        <v>953</v>
      </c>
      <c r="K62" s="78">
        <f>'Historical Financials'!K70</f>
        <v>1100</v>
      </c>
      <c r="L62" s="78">
        <f>'Historical Financials'!L70</f>
        <v>787</v>
      </c>
      <c r="M62" s="78">
        <f>'Historical Financials'!M70</f>
        <v>826</v>
      </c>
      <c r="N62" s="78">
        <f>'Historical Financials'!N70</f>
        <v>826</v>
      </c>
      <c r="O62" s="78">
        <f>'Historical Financials'!O70</f>
        <v>953</v>
      </c>
      <c r="P62" s="78">
        <f>'Historical Financials'!P70</f>
        <v>735</v>
      </c>
      <c r="Q62" s="78">
        <f>'Historical Financials'!Q70</f>
        <v>822</v>
      </c>
      <c r="R62" s="10"/>
      <c r="S62" s="10">
        <f t="shared" si="105"/>
        <v>1100</v>
      </c>
      <c r="T62" s="10">
        <f t="shared" si="106"/>
        <v>787</v>
      </c>
      <c r="U62" s="10">
        <f t="shared" si="107"/>
        <v>826</v>
      </c>
      <c r="V62" s="10">
        <f t="shared" si="108"/>
        <v>826</v>
      </c>
      <c r="W62" s="10">
        <f t="shared" si="109"/>
        <v>953</v>
      </c>
      <c r="X62" s="10">
        <f t="shared" si="110"/>
        <v>735</v>
      </c>
      <c r="Y62" s="10">
        <f t="shared" si="111"/>
        <v>822</v>
      </c>
    </row>
    <row r="63" spans="1:25" ht="12.75" customHeight="1">
      <c r="B63" s="8" t="s">
        <v>130</v>
      </c>
      <c r="C63" s="78">
        <f>'Historical Financials'!C74</f>
        <v>1091</v>
      </c>
      <c r="D63" s="78">
        <f>'Historical Financials'!D74</f>
        <v>973</v>
      </c>
      <c r="E63" s="78">
        <f>'Historical Financials'!E74</f>
        <v>746</v>
      </c>
      <c r="F63" s="78">
        <f>'Historical Financials'!F74</f>
        <v>825</v>
      </c>
      <c r="H63" s="78">
        <f>'Historical Financials'!H74</f>
        <v>1092</v>
      </c>
      <c r="I63" s="78">
        <f>'Historical Financials'!I74</f>
        <v>921</v>
      </c>
      <c r="J63" s="78">
        <f>'Historical Financials'!J74</f>
        <v>848</v>
      </c>
      <c r="K63" s="78">
        <f>'Historical Financials'!K74</f>
        <v>746</v>
      </c>
      <c r="L63" s="78">
        <f>'Historical Financials'!L74</f>
        <v>671</v>
      </c>
      <c r="M63" s="78">
        <f>'Historical Financials'!M74</f>
        <v>708</v>
      </c>
      <c r="N63" s="78">
        <f>'Historical Financials'!N74</f>
        <v>824</v>
      </c>
      <c r="O63" s="78">
        <f>'Historical Financials'!O74</f>
        <v>825</v>
      </c>
      <c r="P63" s="78">
        <f>'Historical Financials'!P74</f>
        <v>765</v>
      </c>
      <c r="Q63" s="78">
        <f>'Historical Financials'!Q74</f>
        <v>753</v>
      </c>
      <c r="R63" s="10"/>
      <c r="S63" s="10">
        <f t="shared" si="105"/>
        <v>746</v>
      </c>
      <c r="T63" s="10">
        <f t="shared" si="106"/>
        <v>671</v>
      </c>
      <c r="U63" s="10">
        <f t="shared" si="107"/>
        <v>708</v>
      </c>
      <c r="V63" s="10">
        <f t="shared" si="108"/>
        <v>824</v>
      </c>
      <c r="W63" s="10">
        <f t="shared" si="109"/>
        <v>825</v>
      </c>
      <c r="X63" s="10">
        <f t="shared" si="110"/>
        <v>765</v>
      </c>
      <c r="Y63" s="10">
        <f t="shared" si="111"/>
        <v>753</v>
      </c>
    </row>
    <row r="64" spans="1:25" ht="12.75" customHeight="1">
      <c r="B64" s="8" t="s">
        <v>41</v>
      </c>
      <c r="C64" s="78">
        <f>'Historical Financials'!C77</f>
        <v>9479</v>
      </c>
      <c r="D64" s="78">
        <f>'Historical Financials'!D77</f>
        <v>11191</v>
      </c>
      <c r="E64" s="78">
        <f>'Historical Financials'!E77</f>
        <v>9656</v>
      </c>
      <c r="F64" s="78">
        <f>'Historical Financials'!F77</f>
        <v>9631</v>
      </c>
      <c r="G64" s="78"/>
      <c r="H64" s="78">
        <f>'Historical Financials'!H77</f>
        <v>11295</v>
      </c>
      <c r="I64" s="78">
        <f>'Historical Financials'!I77</f>
        <v>10670</v>
      </c>
      <c r="J64" s="78">
        <f>'Historical Financials'!J77</f>
        <v>10050</v>
      </c>
      <c r="K64" s="78">
        <f>'Historical Financials'!K77</f>
        <v>9656</v>
      </c>
      <c r="L64" s="78">
        <f>'Historical Financials'!L77</f>
        <v>9244</v>
      </c>
      <c r="M64" s="78">
        <f>'Historical Financials'!M77</f>
        <v>9006</v>
      </c>
      <c r="N64" s="78">
        <f>'Historical Financials'!N77</f>
        <v>9354</v>
      </c>
      <c r="O64" s="78">
        <f>'Historical Financials'!O77</f>
        <v>9631</v>
      </c>
      <c r="P64" s="78">
        <f>'Historical Financials'!P77</f>
        <v>9292</v>
      </c>
      <c r="Q64" s="78">
        <f>'Historical Financials'!Q77</f>
        <v>8730</v>
      </c>
      <c r="S64" s="10">
        <f t="shared" si="105"/>
        <v>9656</v>
      </c>
      <c r="T64" s="10">
        <f t="shared" si="106"/>
        <v>9244</v>
      </c>
      <c r="U64" s="10">
        <f t="shared" si="107"/>
        <v>9006</v>
      </c>
      <c r="V64" s="10">
        <f t="shared" si="108"/>
        <v>9354</v>
      </c>
      <c r="W64" s="10">
        <f t="shared" si="109"/>
        <v>9631</v>
      </c>
      <c r="X64" s="10">
        <f t="shared" si="110"/>
        <v>9292</v>
      </c>
      <c r="Y64" s="10">
        <f t="shared" si="111"/>
        <v>8730</v>
      </c>
    </row>
    <row r="65" spans="1:25" ht="12.75" customHeight="1">
      <c r="B65" s="8" t="s">
        <v>14</v>
      </c>
      <c r="C65" s="78">
        <f>'Historical Financials'!C87</f>
        <v>35650</v>
      </c>
      <c r="D65" s="78">
        <f>'Historical Financials'!D87</f>
        <v>34787</v>
      </c>
      <c r="E65" s="78">
        <f>'Historical Financials'!E87</f>
        <v>30493</v>
      </c>
      <c r="F65" s="78">
        <f>'Historical Financials'!F87</f>
        <v>29390</v>
      </c>
      <c r="G65" s="78"/>
      <c r="H65" s="78">
        <f>'Historical Financials'!H87</f>
        <v>34218</v>
      </c>
      <c r="I65" s="78">
        <f>'Historical Financials'!I87</f>
        <v>33204</v>
      </c>
      <c r="J65" s="78">
        <f>'Historical Financials'!J87</f>
        <v>32262</v>
      </c>
      <c r="K65" s="78">
        <f>'Historical Financials'!K87</f>
        <v>30493</v>
      </c>
      <c r="L65" s="78">
        <f>'Historical Financials'!L87</f>
        <v>29690</v>
      </c>
      <c r="M65" s="78">
        <f>'Historical Financials'!M87</f>
        <v>28944</v>
      </c>
      <c r="N65" s="78">
        <f>'Historical Financials'!N87</f>
        <v>29175</v>
      </c>
      <c r="O65" s="78">
        <f>'Historical Financials'!O87</f>
        <v>29390</v>
      </c>
      <c r="P65" s="78">
        <f>'Historical Financials'!P87</f>
        <v>28468</v>
      </c>
      <c r="Q65" s="78">
        <f>'Historical Financials'!Q87</f>
        <v>27815</v>
      </c>
      <c r="S65" s="10">
        <f t="shared" si="105"/>
        <v>30493</v>
      </c>
      <c r="T65" s="10">
        <f t="shared" si="106"/>
        <v>29690</v>
      </c>
      <c r="U65" s="10">
        <f t="shared" si="107"/>
        <v>28944</v>
      </c>
      <c r="V65" s="10">
        <f t="shared" si="108"/>
        <v>29175</v>
      </c>
      <c r="W65" s="10">
        <f t="shared" si="109"/>
        <v>29390</v>
      </c>
      <c r="X65" s="10">
        <f t="shared" si="110"/>
        <v>28468</v>
      </c>
      <c r="Y65" s="10">
        <f t="shared" si="111"/>
        <v>27815</v>
      </c>
    </row>
    <row r="66" spans="1:25" ht="5.0999999999999996" customHeight="1">
      <c r="F66" s="10"/>
      <c r="H66" s="10"/>
      <c r="I66" s="10"/>
      <c r="J66" s="10"/>
      <c r="K66" s="10"/>
      <c r="L66" s="10"/>
      <c r="M66" s="10"/>
      <c r="N66" s="10"/>
      <c r="O66" s="10"/>
      <c r="P66" s="10"/>
      <c r="Q66" s="10"/>
    </row>
    <row r="67" spans="1:25">
      <c r="B67" s="30" t="s">
        <v>91</v>
      </c>
      <c r="F67" s="10"/>
      <c r="H67" s="10"/>
      <c r="I67" s="10"/>
      <c r="J67" s="10"/>
      <c r="K67" s="10"/>
      <c r="L67" s="10"/>
      <c r="M67" s="10"/>
      <c r="N67" s="10"/>
      <c r="O67" s="10"/>
      <c r="P67" s="10"/>
      <c r="Q67" s="10"/>
    </row>
    <row r="68" spans="1:25">
      <c r="B68" s="8" t="s">
        <v>92</v>
      </c>
      <c r="C68" s="78">
        <f>'Historical Financials'!C75</f>
        <v>11</v>
      </c>
      <c r="D68" s="78">
        <f>'Historical Financials'!D75</f>
        <v>239</v>
      </c>
      <c r="E68" s="78">
        <f>'Historical Financials'!E75</f>
        <v>1</v>
      </c>
      <c r="F68" s="78">
        <f>'Historical Financials'!F75</f>
        <v>0</v>
      </c>
      <c r="H68" s="78">
        <f>'Historical Financials'!H75</f>
        <v>240</v>
      </c>
      <c r="I68" s="78">
        <f>'Historical Financials'!I75</f>
        <v>180</v>
      </c>
      <c r="J68" s="78">
        <f>'Historical Financials'!J75</f>
        <v>38</v>
      </c>
      <c r="K68" s="78">
        <f>'Historical Financials'!K75</f>
        <v>1</v>
      </c>
      <c r="L68" s="78">
        <f>'Historical Financials'!L75</f>
        <v>1</v>
      </c>
      <c r="M68" s="78">
        <f>'Historical Financials'!M75</f>
        <v>126</v>
      </c>
      <c r="N68" s="78">
        <f>'Historical Financials'!N75</f>
        <v>125</v>
      </c>
      <c r="O68" s="78">
        <f>'Historical Financials'!O75</f>
        <v>0</v>
      </c>
      <c r="P68" s="78">
        <f>'Historical Financials'!P75</f>
        <v>346</v>
      </c>
      <c r="Q68" s="78">
        <f>'Historical Financials'!Q75</f>
        <v>346</v>
      </c>
      <c r="S68" s="10">
        <f t="shared" ref="S68:S69" si="119">K68</f>
        <v>1</v>
      </c>
      <c r="T68" s="10">
        <f t="shared" ref="T68:T69" si="120">L68</f>
        <v>1</v>
      </c>
      <c r="U68" s="10">
        <f t="shared" ref="U68:U69" si="121">M68</f>
        <v>126</v>
      </c>
      <c r="V68" s="10">
        <f t="shared" ref="V68:V69" si="122">N68</f>
        <v>125</v>
      </c>
      <c r="W68" s="10">
        <f t="shared" ref="W68:W69" si="123">O68</f>
        <v>0</v>
      </c>
      <c r="X68" s="10">
        <f t="shared" ref="X68:X69" si="124">P68</f>
        <v>346</v>
      </c>
      <c r="Y68" s="10">
        <f t="shared" ref="Y68:Y69" si="125">Q68</f>
        <v>346</v>
      </c>
    </row>
    <row r="69" spans="1:25">
      <c r="B69" s="8" t="s">
        <v>93</v>
      </c>
      <c r="C69" s="78">
        <f>'Historical Financials'!C80</f>
        <v>17698</v>
      </c>
      <c r="D69" s="78">
        <f>'Historical Financials'!D80</f>
        <v>15607</v>
      </c>
      <c r="E69" s="78">
        <f>'Historical Financials'!E80</f>
        <v>14601</v>
      </c>
      <c r="F69" s="78">
        <f>'Historical Financials'!F80</f>
        <v>14501</v>
      </c>
      <c r="H69" s="78">
        <f>'Historical Financials'!H80</f>
        <v>15613</v>
      </c>
      <c r="I69" s="78">
        <f>'Historical Financials'!I80</f>
        <v>15620</v>
      </c>
      <c r="J69" s="78">
        <f>'Historical Financials'!J80</f>
        <v>15627</v>
      </c>
      <c r="K69" s="78">
        <f>'Historical Financials'!K80</f>
        <v>14601</v>
      </c>
      <c r="L69" s="78">
        <f>'Historical Financials'!L80</f>
        <v>14607</v>
      </c>
      <c r="M69" s="78">
        <f>'Historical Financials'!M80</f>
        <v>14488</v>
      </c>
      <c r="N69" s="78">
        <f>'Historical Financials'!N80</f>
        <v>14495</v>
      </c>
      <c r="O69" s="78">
        <f>'Historical Financials'!O80</f>
        <v>14501</v>
      </c>
      <c r="P69" s="78">
        <f>'Historical Financials'!P80</f>
        <v>14161</v>
      </c>
      <c r="Q69" s="78">
        <f>'Historical Financials'!Q80</f>
        <v>14168</v>
      </c>
      <c r="S69" s="10">
        <f t="shared" si="119"/>
        <v>14601</v>
      </c>
      <c r="T69" s="10">
        <f t="shared" si="120"/>
        <v>14607</v>
      </c>
      <c r="U69" s="10">
        <f t="shared" si="121"/>
        <v>14488</v>
      </c>
      <c r="V69" s="10">
        <f t="shared" si="122"/>
        <v>14495</v>
      </c>
      <c r="W69" s="10">
        <f t="shared" si="123"/>
        <v>14501</v>
      </c>
      <c r="X69" s="10">
        <f t="shared" si="124"/>
        <v>14161</v>
      </c>
      <c r="Y69" s="10">
        <f t="shared" si="125"/>
        <v>14168</v>
      </c>
    </row>
    <row r="70" spans="1:25">
      <c r="F70" s="10"/>
    </row>
    <row r="71" spans="1:25">
      <c r="B71" s="128" t="s">
        <v>215</v>
      </c>
      <c r="C71" s="104">
        <f>SUM(C68:C69)</f>
        <v>17709</v>
      </c>
      <c r="D71" s="104">
        <f t="shared" ref="D71:Q71" si="126">SUM(D68:D69)</f>
        <v>15846</v>
      </c>
      <c r="E71" s="104">
        <f t="shared" si="126"/>
        <v>14602</v>
      </c>
      <c r="F71" s="104">
        <f t="shared" si="126"/>
        <v>14501</v>
      </c>
      <c r="H71" s="104">
        <f t="shared" si="126"/>
        <v>15853</v>
      </c>
      <c r="I71" s="104">
        <f t="shared" si="126"/>
        <v>15800</v>
      </c>
      <c r="J71" s="104">
        <f t="shared" si="126"/>
        <v>15665</v>
      </c>
      <c r="K71" s="104">
        <f t="shared" si="126"/>
        <v>14602</v>
      </c>
      <c r="L71" s="104">
        <f t="shared" si="126"/>
        <v>14608</v>
      </c>
      <c r="M71" s="104">
        <f t="shared" si="126"/>
        <v>14614</v>
      </c>
      <c r="N71" s="104">
        <f t="shared" si="126"/>
        <v>14620</v>
      </c>
      <c r="O71" s="104">
        <f t="shared" si="126"/>
        <v>14501</v>
      </c>
      <c r="P71" s="104">
        <f t="shared" si="126"/>
        <v>14507</v>
      </c>
      <c r="Q71" s="104">
        <f t="shared" si="126"/>
        <v>14514</v>
      </c>
      <c r="S71" s="10">
        <f t="shared" ref="S71" si="127">K71</f>
        <v>14602</v>
      </c>
      <c r="T71" s="10">
        <f t="shared" ref="T71" si="128">L71</f>
        <v>14608</v>
      </c>
      <c r="U71" s="10">
        <f t="shared" ref="U71" si="129">M71</f>
        <v>14614</v>
      </c>
      <c r="V71" s="10">
        <f t="shared" ref="V71" si="130">N71</f>
        <v>14620</v>
      </c>
      <c r="W71" s="10">
        <f t="shared" ref="W71" si="131">O71</f>
        <v>14501</v>
      </c>
      <c r="X71" s="10">
        <f t="shared" ref="X71" si="132">P71</f>
        <v>14507</v>
      </c>
      <c r="Y71" s="10">
        <f t="shared" ref="Y71" si="133">Q71</f>
        <v>14514</v>
      </c>
    </row>
    <row r="72" spans="1:25" ht="12.75" customHeight="1">
      <c r="B72" s="12" t="s">
        <v>19</v>
      </c>
      <c r="C72" s="13">
        <f>SUM(C71:C71)</f>
        <v>17709</v>
      </c>
      <c r="D72" s="13">
        <f>SUM(D71:D71)</f>
        <v>15846</v>
      </c>
      <c r="E72" s="13">
        <f>SUM(E71:E71)</f>
        <v>14602</v>
      </c>
      <c r="F72" s="13">
        <f>SUM(F71:F71)</f>
        <v>14501</v>
      </c>
      <c r="H72" s="13">
        <f>SUM(H71:H71)</f>
        <v>15853</v>
      </c>
      <c r="I72" s="13">
        <f>SUM(I71:I71)</f>
        <v>15800</v>
      </c>
      <c r="J72" s="13">
        <f>SUM(J71:J71)</f>
        <v>15665</v>
      </c>
      <c r="K72" s="13">
        <f>SUM(K71:K71)</f>
        <v>14602</v>
      </c>
      <c r="L72" s="13">
        <f>SUM(L71:L71)</f>
        <v>14608</v>
      </c>
      <c r="M72" s="13">
        <f>SUM(M71:M71)</f>
        <v>14614</v>
      </c>
      <c r="N72" s="13">
        <f>SUM(N71:N71)</f>
        <v>14620</v>
      </c>
      <c r="O72" s="13">
        <f>SUM(O71:O71)</f>
        <v>14501</v>
      </c>
      <c r="P72" s="13">
        <f>SUM(P71:P71)</f>
        <v>14507</v>
      </c>
      <c r="Q72" s="13">
        <f>SUM(Q71:Q71)</f>
        <v>14514</v>
      </c>
      <c r="S72" s="13">
        <f>SUM(S71:S71)</f>
        <v>14602</v>
      </c>
      <c r="T72" s="13">
        <f>SUM(T71:T71)</f>
        <v>14608</v>
      </c>
      <c r="U72" s="13">
        <f>SUM(U71:U71)</f>
        <v>14614</v>
      </c>
      <c r="V72" s="13">
        <f>SUM(V71:V71)</f>
        <v>14620</v>
      </c>
      <c r="W72" s="13">
        <f>SUM(W71:W71)</f>
        <v>14501</v>
      </c>
      <c r="X72" s="13">
        <f>SUM(X71:X71)</f>
        <v>14507</v>
      </c>
      <c r="Y72" s="13">
        <f>SUM(Y71:Y71)</f>
        <v>14514</v>
      </c>
    </row>
    <row r="73" spans="1:25" ht="5.0999999999999996" customHeight="1"/>
    <row r="74" spans="1:25" ht="12.75" customHeight="1">
      <c r="B74" s="8" t="s">
        <v>42</v>
      </c>
      <c r="C74" s="78">
        <f>'Historical Financials'!C97</f>
        <v>22970</v>
      </c>
      <c r="D74" s="78">
        <f>'Historical Financials'!D97</f>
        <v>23606</v>
      </c>
      <c r="E74" s="78">
        <f>'Historical Financials'!E97</f>
        <v>23050</v>
      </c>
      <c r="F74" s="78">
        <f>'Historical Financials'!F97</f>
        <v>16782</v>
      </c>
      <c r="H74" s="78">
        <f>'Historical Financials'!H97</f>
        <v>22343</v>
      </c>
      <c r="I74" s="78">
        <f>'Historical Financials'!I97</f>
        <v>22157</v>
      </c>
      <c r="J74" s="78">
        <f>'Historical Financials'!J97</f>
        <v>22378</v>
      </c>
      <c r="K74" s="78">
        <f>'Historical Financials'!K97</f>
        <v>23050</v>
      </c>
      <c r="L74" s="78">
        <f>'Historical Financials'!L97</f>
        <v>22337</v>
      </c>
      <c r="M74" s="78">
        <f>'Historical Financials'!M97</f>
        <v>16946</v>
      </c>
      <c r="N74" s="78">
        <f>'Historical Financials'!N97</f>
        <v>17075</v>
      </c>
      <c r="O74" s="78">
        <f>'Historical Financials'!O97</f>
        <v>16782</v>
      </c>
      <c r="P74" s="78">
        <f>'Historical Financials'!P97</f>
        <v>16928</v>
      </c>
      <c r="Q74" s="78">
        <f>'Historical Financials'!Q97</f>
        <v>17111</v>
      </c>
      <c r="S74" s="10">
        <f t="shared" ref="S74" si="134">K74</f>
        <v>23050</v>
      </c>
      <c r="T74" s="10">
        <f t="shared" ref="T74" si="135">L74</f>
        <v>22337</v>
      </c>
      <c r="U74" s="10">
        <f t="shared" ref="U74" si="136">M74</f>
        <v>16946</v>
      </c>
      <c r="V74" s="10">
        <f t="shared" ref="V74" si="137">N74</f>
        <v>17075</v>
      </c>
      <c r="W74" s="10">
        <f t="shared" ref="W74" si="138">O74</f>
        <v>16782</v>
      </c>
      <c r="X74" s="10">
        <f t="shared" ref="X74" si="139">P74</f>
        <v>16928</v>
      </c>
      <c r="Y74" s="10">
        <f>Q74</f>
        <v>17111</v>
      </c>
    </row>
    <row r="75" spans="1:25" ht="12.75" customHeight="1">
      <c r="B75" s="12" t="s">
        <v>43</v>
      </c>
      <c r="C75" s="13">
        <f t="shared" ref="C75:F75" si="140">SUM(C72:C74)</f>
        <v>40679</v>
      </c>
      <c r="D75" s="13">
        <f t="shared" si="140"/>
        <v>39452</v>
      </c>
      <c r="E75" s="13">
        <f t="shared" si="140"/>
        <v>37652</v>
      </c>
      <c r="F75" s="13">
        <f t="shared" si="140"/>
        <v>31283</v>
      </c>
      <c r="H75" s="13">
        <f>SUM(H72:H74)</f>
        <v>38196</v>
      </c>
      <c r="I75" s="13">
        <f>SUM(I72:I74)</f>
        <v>37957</v>
      </c>
      <c r="J75" s="13">
        <f>SUM(J72:J74)</f>
        <v>38043</v>
      </c>
      <c r="K75" s="13">
        <f>SUM(K72:K74)</f>
        <v>37652</v>
      </c>
      <c r="L75" s="13">
        <f t="shared" ref="L75:Q75" si="141">SUM(L72:L74)</f>
        <v>36945</v>
      </c>
      <c r="M75" s="13">
        <f t="shared" si="141"/>
        <v>31560</v>
      </c>
      <c r="N75" s="13">
        <f t="shared" si="141"/>
        <v>31695</v>
      </c>
      <c r="O75" s="13">
        <f t="shared" si="141"/>
        <v>31283</v>
      </c>
      <c r="P75" s="13">
        <f t="shared" si="141"/>
        <v>31435</v>
      </c>
      <c r="Q75" s="13">
        <f t="shared" si="141"/>
        <v>31625</v>
      </c>
      <c r="S75" s="13">
        <f t="shared" ref="S75:W75" si="142">SUM(S72:S74)</f>
        <v>37652</v>
      </c>
      <c r="T75" s="13">
        <f t="shared" si="142"/>
        <v>36945</v>
      </c>
      <c r="U75" s="13">
        <f t="shared" si="142"/>
        <v>31560</v>
      </c>
      <c r="V75" s="13">
        <f t="shared" si="142"/>
        <v>31695</v>
      </c>
      <c r="W75" s="13">
        <f t="shared" si="142"/>
        <v>31283</v>
      </c>
      <c r="X75" s="13">
        <f>SUM(X72:X74)</f>
        <v>31435</v>
      </c>
      <c r="Y75" s="13">
        <f>SUM(Y72:Y74)</f>
        <v>31625</v>
      </c>
    </row>
    <row r="76" spans="1:25" ht="5.0999999999999996" customHeight="1"/>
    <row r="77" spans="1:25" ht="12.75" customHeight="1">
      <c r="A77" s="5"/>
      <c r="B77" s="29" t="s">
        <v>65</v>
      </c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</row>
    <row r="78" spans="1:25" ht="5.0999999999999996" customHeight="1"/>
    <row r="79" spans="1:25" ht="12.75" customHeight="1">
      <c r="B79" s="27" t="s">
        <v>94</v>
      </c>
      <c r="C79" s="132">
        <f>C72/C32</f>
        <v>2.5743567378979502</v>
      </c>
      <c r="D79" s="132">
        <f>D72/D32</f>
        <v>5.4792531120331951</v>
      </c>
      <c r="E79" s="132">
        <f>E72/E32</f>
        <v>101.40277777777777</v>
      </c>
      <c r="F79" s="132">
        <f>F72/F32</f>
        <v>-3.1306131260794472</v>
      </c>
      <c r="H79" s="134"/>
      <c r="I79" s="134"/>
      <c r="J79" s="134"/>
      <c r="K79" s="132">
        <f>SUM(K72/SUM(H32:K32))</f>
        <v>101.40277777777777</v>
      </c>
      <c r="L79" s="132">
        <f>SUM(L72/SUM(I32:L32))</f>
        <v>15.200832466181062</v>
      </c>
      <c r="M79" s="132">
        <f>SUM(M72/SUM(J32:M32))</f>
        <v>-3.5661298194241091</v>
      </c>
      <c r="N79" s="132">
        <f>SUM(N72/SUM(K32:N32))</f>
        <v>-3.3470695970695972</v>
      </c>
      <c r="O79" s="132">
        <f>SUM(O72/SUM(L32:O32))</f>
        <v>-3.1306131260794472</v>
      </c>
      <c r="P79" s="132">
        <f>SUM(P72/SUM(M32:P32))</f>
        <v>-3.9421195652173915</v>
      </c>
      <c r="Q79" s="132">
        <f>SUM(Q72/SUM(N32:Q32))</f>
        <v>7.2425149700598803</v>
      </c>
      <c r="R79" s="132"/>
      <c r="S79" s="132">
        <f>S72/S32</f>
        <v>101.40277777777777</v>
      </c>
      <c r="T79" s="132">
        <f>T72/T32</f>
        <v>15.200832466181062</v>
      </c>
      <c r="U79" s="132">
        <f>U72/U32</f>
        <v>-3.5661298194241091</v>
      </c>
      <c r="V79" s="132">
        <f>V72/V32</f>
        <v>-3.3470695970695972</v>
      </c>
      <c r="W79" s="132">
        <f>W72/W32</f>
        <v>-3.1306131260794472</v>
      </c>
      <c r="X79" s="132">
        <f>X72/X32</f>
        <v>-3.9421195652173915</v>
      </c>
      <c r="Y79" s="132">
        <f>Y72/Y32</f>
        <v>7.2425149700598803</v>
      </c>
    </row>
    <row r="80" spans="1:25" ht="12.75" customHeight="1">
      <c r="B80" s="27" t="s">
        <v>95</v>
      </c>
      <c r="C80" s="132">
        <f>SUM(C72-C54)/C32</f>
        <v>1.6633231574356737</v>
      </c>
      <c r="D80" s="132">
        <f>SUM(D72-D54)/D32</f>
        <v>4.481673582295989</v>
      </c>
      <c r="E80" s="132">
        <f>SUM(E72-E54)/E32</f>
        <v>84.319444444444443</v>
      </c>
      <c r="F80" s="132">
        <f>SUM(F72-F54)/F32</f>
        <v>-2.5561312607944733</v>
      </c>
      <c r="H80" s="134"/>
      <c r="I80" s="134"/>
      <c r="J80" s="134"/>
      <c r="K80" s="132">
        <f>SUM(K72-K54)/SUM(H32:K32)</f>
        <v>84.319444444444443</v>
      </c>
      <c r="L80" s="132">
        <f>SUM(L72-L54)/SUM(I32:L32)</f>
        <v>12.720083246618106</v>
      </c>
      <c r="M80" s="132">
        <f>SUM(M72-M54)/SUM(J32:M32)</f>
        <v>-3.0012201073694484</v>
      </c>
      <c r="N80" s="132">
        <f>SUM(N72-N54)/SUM(K32:N32)</f>
        <v>-2.7877747252747254</v>
      </c>
      <c r="O80" s="132">
        <f>SUM(O72-O54)/SUM(L32:O32)</f>
        <v>-2.5561312607944733</v>
      </c>
      <c r="P80" s="132">
        <f>SUM(P72-P54)/SUM(M32:P32)</f>
        <v>-3.2157608695652176</v>
      </c>
      <c r="Q80" s="132">
        <f>SUM(Q72-Q54)/SUM(N32:Q32)</f>
        <v>5.8757485029940124</v>
      </c>
      <c r="R80" s="132"/>
      <c r="S80" s="132">
        <f>SUM(S72-S54)/S32</f>
        <v>84.319444444444443</v>
      </c>
      <c r="T80" s="132">
        <f>SUM(T72-T54)/T32</f>
        <v>12.720083246618106</v>
      </c>
      <c r="U80" s="132">
        <f>SUM(U72-U54)/U32</f>
        <v>-3.0012201073694484</v>
      </c>
      <c r="V80" s="132">
        <f>SUM(V72-V54)/V32</f>
        <v>-2.7877747252747254</v>
      </c>
      <c r="W80" s="132">
        <f>SUM(W72-W54)/W32</f>
        <v>-2.5561312607944733</v>
      </c>
      <c r="X80" s="132">
        <f>SUM(X72-X54)/X32</f>
        <v>-3.2157608695652176</v>
      </c>
      <c r="Y80" s="132">
        <f>SUM(Y72-Y54)/Y32</f>
        <v>5.8757485029940124</v>
      </c>
    </row>
    <row r="81" spans="2:25" ht="12.75" customHeight="1">
      <c r="B81" s="27" t="s">
        <v>96</v>
      </c>
      <c r="C81" s="132">
        <f>C32/-C37</f>
        <v>7.0917525773195873</v>
      </c>
      <c r="D81" s="132">
        <f>D32/-D37</f>
        <v>3.1434782608695651</v>
      </c>
      <c r="E81" s="132">
        <f>E32/-E37</f>
        <v>0.15982241953385129</v>
      </c>
      <c r="F81" s="132">
        <f>F32/-F37</f>
        <v>-5.5606242496998801</v>
      </c>
      <c r="H81" s="134"/>
      <c r="I81" s="134"/>
      <c r="J81" s="134"/>
      <c r="K81" s="132" cm="1">
        <f t="array" ref="K81">SUM(H32:K32)/SUM(-H37:K37)</f>
        <v>0.15652173913043479</v>
      </c>
      <c r="L81" s="132" cm="1">
        <f t="array" ref="L81">SUM(I32:L32)/SUM(-I37:L37)</f>
        <v>1.0995423340961099</v>
      </c>
      <c r="M81" s="132" cm="1">
        <f t="array" ref="M81">SUM(J32:M32)/SUM(-J37:M37)</f>
        <v>-4.6096737907761529</v>
      </c>
      <c r="N81" s="132" cm="1">
        <f t="array" ref="N81">SUM(K32:N32)/SUM(-K37:N37)</f>
        <v>-4.8533333333333335</v>
      </c>
      <c r="O81" s="132" cm="1">
        <f t="array" ref="O81">SUM(L32:O32)/SUM(-L37:O37)</f>
        <v>-5.1409544950055492</v>
      </c>
      <c r="P81" s="132" cm="1">
        <f t="array" ref="P81">SUM(M32:P32)/SUM(-M37:P37)</f>
        <v>-3.9316239316239314</v>
      </c>
      <c r="Q81" s="132" cm="1">
        <f t="array" ref="Q81">SUM(N32:Q32)/SUM(-N37:Q37)</f>
        <v>2.2416107382550337</v>
      </c>
      <c r="R81" s="132"/>
      <c r="S81" s="132">
        <f>S32/-S37</f>
        <v>0.15652173913043479</v>
      </c>
      <c r="T81" s="132">
        <f>T32/-T37</f>
        <v>1.0995423340961099</v>
      </c>
      <c r="U81" s="132">
        <f>U32/-U37</f>
        <v>-4.6096737907761529</v>
      </c>
      <c r="V81" s="132">
        <f>V32/-V37</f>
        <v>-4.8533333333333335</v>
      </c>
      <c r="W81" s="132">
        <f>W32/-W37</f>
        <v>-5.1409544950055492</v>
      </c>
      <c r="X81" s="132">
        <f>X32/-X37</f>
        <v>-3.9316239316239314</v>
      </c>
      <c r="Y81" s="132">
        <f>Y32/-Y37</f>
        <v>2.2416107382550337</v>
      </c>
    </row>
    <row r="82" spans="2:25" ht="12.75" customHeight="1">
      <c r="B82" s="27" t="s">
        <v>97</v>
      </c>
      <c r="C82" s="132" cm="1">
        <f t="array" ref="C82">SUM(C32+C35)/SUM(-C36:C37)</f>
        <v>5.0038343558282206</v>
      </c>
      <c r="D82" s="132" cm="1">
        <f t="array" ref="D82">SUM(D32+D35)/SUM(-D36:D37)</f>
        <v>2.5518630412890233</v>
      </c>
      <c r="E82" s="132" cm="1">
        <f t="array" ref="E82">SUM(E32+E35)/SUM(-E36:E37)</f>
        <v>-0.18253968253968253</v>
      </c>
      <c r="F82" s="132" cm="1">
        <f t="array" ref="F82">SUM(F32+F35)/SUM(-F36:F37)</f>
        <v>-4.8131760078662733</v>
      </c>
      <c r="H82" s="134"/>
      <c r="I82" s="134"/>
      <c r="J82" s="134"/>
      <c r="K82" s="132" cm="1">
        <f t="array" ref="K82">SUM(H32:K32+H35:K35)/SUM(-H36:K37)</f>
        <v>-0.18529707955689828</v>
      </c>
      <c r="L82" s="132" cm="1">
        <f t="array" ref="L82">SUM(I32:L32+I35:L35)/SUM(-I36:L37)</f>
        <v>0.66632653061224489</v>
      </c>
      <c r="M82" s="132" cm="1">
        <f t="array" ref="M82">SUM(J32:M32+J35:M35)/SUM(-J36:M37)</f>
        <v>-4.1144465290806753</v>
      </c>
      <c r="N82" s="132" cm="1">
        <f t="array" ref="N82">SUM(K32:N32+K35:N35)/SUM(-K36:N37)</f>
        <v>-4.4600577478344565</v>
      </c>
      <c r="O82" s="132" cm="1">
        <f t="array" ref="O82">SUM(L32:O32+L35:O35)/SUM(-L36:O37)</f>
        <v>-4.8561507936507935</v>
      </c>
      <c r="P82" s="132" cm="1">
        <f t="array" ref="P82">SUM(M32:P32+M35:P35)/SUM(-M36:P37)</f>
        <v>-3.7861936720997122</v>
      </c>
      <c r="Q82" s="132" cm="1">
        <f t="array" ref="Q82">SUM(N32:Q32+N35:Q35)/SUM(-N36:Q37)</f>
        <v>1.7269116186693148</v>
      </c>
      <c r="R82" s="132"/>
      <c r="S82" s="132" cm="1">
        <f t="array" ref="S82">SUM(S32+S35)/SUM(-S36:S37)</f>
        <v>-0.18529707955689828</v>
      </c>
      <c r="T82" s="132" cm="1">
        <f t="array" ref="T82">SUM(T32+T35)/SUM(-T36:T37)</f>
        <v>0.66632653061224489</v>
      </c>
      <c r="U82" s="132" cm="1">
        <f t="array" ref="U82">SUM(U32+U35)/SUM(-U36:U37)</f>
        <v>-4.1144465290806753</v>
      </c>
      <c r="V82" s="132" cm="1">
        <f t="array" ref="V82">SUM(V32+V35)/SUM(-V36:V37)</f>
        <v>-4.4600577478344565</v>
      </c>
      <c r="W82" s="132" cm="1">
        <f t="array" ref="W82">SUM(W32+W35)/SUM(-W36:W37)</f>
        <v>-4.8561507936507935</v>
      </c>
      <c r="X82" s="132" cm="1">
        <f t="array" ref="X82">SUM(X32+X35)/SUM(-X36:X37)</f>
        <v>-3.7861936720997122</v>
      </c>
      <c r="Y82" s="132" cm="1">
        <f t="array" ref="Y82">SUM(Y32+Y35)/SUM(-Y36:Y37)</f>
        <v>1.7269116186693148</v>
      </c>
    </row>
    <row r="83" spans="2:25" ht="12.75" customHeight="1">
      <c r="B83" s="27" t="s">
        <v>98</v>
      </c>
      <c r="C83" s="132" cm="1">
        <f t="array" ref="C83">SUM(C32)/SUM(-C35:C37)</f>
        <v>4.1489746682750299</v>
      </c>
      <c r="D83" s="132" cm="1">
        <f t="array" ref="D83">SUM(D32)/SUM(-D35:D37)</f>
        <v>2.1406365655070316</v>
      </c>
      <c r="E83" s="132" cm="1">
        <f t="array" ref="E83">SUM(E32)/SUM(-E35:E37)</f>
        <v>0.10778443113772455</v>
      </c>
      <c r="F83" s="132" cm="1">
        <f t="array" ref="F83">SUM(F32)/SUM(-F35:F37)</f>
        <v>-3.6187499999999999</v>
      </c>
      <c r="H83" s="134"/>
      <c r="I83" s="134"/>
      <c r="J83" s="134"/>
      <c r="K83" s="132" cm="1">
        <f t="array" ref="K83">SUM(H32:K32)/SUM(-H35:K37)</f>
        <v>0.10900832702498107</v>
      </c>
      <c r="L83" s="132" cm="1">
        <f t="array" ref="L83">SUM(I32:L32)/SUM(-I35:L37)</f>
        <v>0.7461180124223602</v>
      </c>
      <c r="M83" s="132" cm="1">
        <f t="array" ref="M83">SUM(J32:M32)/SUM(-J35:M37)</f>
        <v>-3.0265878877400296</v>
      </c>
      <c r="N83" s="132" cm="1">
        <f t="array" ref="N83">SUM(K32:N32)/SUM(-K35:N37)</f>
        <v>-3.3471264367816094</v>
      </c>
      <c r="O83" s="132" cm="1">
        <f t="array" ref="O83">SUM(L32:O32)/SUM(-L35:O37)</f>
        <v>-3.6443745082612118</v>
      </c>
      <c r="P83" s="132" cm="1">
        <f t="array" ref="P83">SUM(M32:P32)/SUM(-M35:P37)</f>
        <v>-2.8048780487804876</v>
      </c>
      <c r="Q83" s="132" cm="1">
        <f t="array" ref="Q83">SUM(N32:Q32)/SUM(-N35:Q37)</f>
        <v>1.5754716981132075</v>
      </c>
      <c r="R83" s="132"/>
      <c r="S83" s="132" cm="1">
        <f t="array" ref="S83">SUM(S32)/SUM(-S35:S37)</f>
        <v>0.10900832702498107</v>
      </c>
      <c r="T83" s="132" cm="1">
        <f t="array" ref="T83">SUM(T32)/SUM(-T35:T37)</f>
        <v>0.7461180124223602</v>
      </c>
      <c r="U83" s="132" cm="1">
        <f t="array" ref="U83">SUM(U32)/SUM(-U35:U37)</f>
        <v>-3.0265878877400296</v>
      </c>
      <c r="V83" s="132" cm="1">
        <f t="array" ref="V83">SUM(V32)/SUM(-V35:V37)</f>
        <v>-3.3471264367816094</v>
      </c>
      <c r="W83" s="132" cm="1">
        <f t="array" ref="W83">SUM(W32)/SUM(-W35:W37)</f>
        <v>-3.6443745082612118</v>
      </c>
      <c r="X83" s="132" cm="1">
        <f t="array" ref="X83">SUM(X32)/SUM(-X35:X37)</f>
        <v>-2.8048780487804876</v>
      </c>
      <c r="Y83" s="132" cm="1">
        <f t="array" ref="Y83">SUM(Y32)/SUM(-Y35:Y37)</f>
        <v>1.5754716981132075</v>
      </c>
    </row>
    <row r="84" spans="2:25" ht="12.75" customHeight="1">
      <c r="B84" s="8" t="s">
        <v>44</v>
      </c>
      <c r="C84" s="132">
        <f t="shared" ref="C84:F84" si="143">C75/C72</f>
        <v>2.297080580495793</v>
      </c>
      <c r="D84" s="132">
        <f t="shared" si="143"/>
        <v>2.4897134923640034</v>
      </c>
      <c r="E84" s="132">
        <f t="shared" si="143"/>
        <v>2.5785508834406246</v>
      </c>
      <c r="F84" s="132">
        <f t="shared" si="143"/>
        <v>2.1572994965864423</v>
      </c>
      <c r="H84" s="134"/>
      <c r="I84" s="134"/>
      <c r="J84" s="134"/>
      <c r="K84" s="132">
        <f t="shared" ref="K84:Q84" si="144">K75/K72</f>
        <v>2.5785508834406246</v>
      </c>
      <c r="L84" s="132">
        <f t="shared" si="144"/>
        <v>2.5290936473165391</v>
      </c>
      <c r="M84" s="132">
        <f t="shared" si="144"/>
        <v>2.1595730121801013</v>
      </c>
      <c r="N84" s="132">
        <f t="shared" si="144"/>
        <v>2.1679206566347471</v>
      </c>
      <c r="O84" s="132">
        <f t="shared" si="144"/>
        <v>2.1572994965864423</v>
      </c>
      <c r="P84" s="132">
        <f t="shared" si="144"/>
        <v>2.1668849520920936</v>
      </c>
      <c r="Q84" s="132">
        <f t="shared" si="144"/>
        <v>2.178930687611961</v>
      </c>
      <c r="R84" s="132"/>
      <c r="S84" s="132">
        <f t="shared" ref="S84:W84" si="145">S75/S72</f>
        <v>2.5785508834406246</v>
      </c>
      <c r="T84" s="132">
        <f t="shared" si="145"/>
        <v>2.5290936473165391</v>
      </c>
      <c r="U84" s="132">
        <f t="shared" si="145"/>
        <v>2.1595730121801013</v>
      </c>
      <c r="V84" s="132">
        <f t="shared" si="145"/>
        <v>2.1679206566347471</v>
      </c>
      <c r="W84" s="132">
        <f t="shared" si="145"/>
        <v>2.1572994965864423</v>
      </c>
      <c r="X84" s="132">
        <f>X75/X72</f>
        <v>2.1668849520920936</v>
      </c>
      <c r="Y84" s="132">
        <f>Y75/Y72</f>
        <v>2.178930687611961</v>
      </c>
    </row>
    <row r="85" spans="2:25" ht="5.0999999999999996" customHeight="1" thickBot="1"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</row>
  </sheetData>
  <mergeCells count="1">
    <mergeCell ref="AA2:AA4"/>
  </mergeCells>
  <pageMargins left="0.7" right="0.7" top="0.75" bottom="0.75" header="0.3" footer="0.3"/>
  <ignoredErrors>
    <ignoredError sqref="C44:F47 H44:Q47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Historical Financials</vt:lpstr>
      <vt:lpstr>Revenue Drivers</vt:lpstr>
      <vt:lpstr>FCF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Garcia</dc:creator>
  <cp:lastModifiedBy>Felix Garcia</cp:lastModifiedBy>
  <dcterms:created xsi:type="dcterms:W3CDTF">2024-08-10T06:01:52Z</dcterms:created>
  <dcterms:modified xsi:type="dcterms:W3CDTF">2026-01-19T21:42:20Z</dcterms:modified>
</cp:coreProperties>
</file>