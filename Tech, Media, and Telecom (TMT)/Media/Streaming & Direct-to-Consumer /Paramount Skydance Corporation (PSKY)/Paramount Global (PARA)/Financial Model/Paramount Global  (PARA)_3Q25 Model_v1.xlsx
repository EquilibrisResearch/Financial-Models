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B99B6902-070C-46DB-A190-CDD6020371E4}" xr6:coauthVersionLast="47" xr6:coauthVersionMax="47" xr10:uidLastSave="{00000000-0000-0000-0000-000000000000}"/>
  <bookViews>
    <workbookView xWindow="-120" yWindow="-120" windowWidth="29040" windowHeight="15720" xr2:uid="{BC9106CE-9107-4097-8948-317996376CB5}"/>
  </bookViews>
  <sheets>
    <sheet name="Historical Financials" sheetId="8" r:id="rId1"/>
    <sheet name="Revenue Drivers" sheetId="10" r:id="rId2"/>
    <sheet name="FCF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2" i="10" l="1"/>
  <c r="AD72" i="10"/>
  <c r="AC72" i="10"/>
  <c r="AB72" i="10"/>
  <c r="AA72" i="10"/>
  <c r="Z72" i="10"/>
  <c r="Y72" i="10"/>
  <c r="X72" i="10"/>
  <c r="W72" i="10"/>
  <c r="V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F72" i="10"/>
  <c r="E72" i="10"/>
  <c r="D72" i="10"/>
  <c r="C72" i="10"/>
  <c r="T76" i="10"/>
  <c r="R76" i="10"/>
  <c r="Q76" i="10"/>
  <c r="P76" i="10"/>
  <c r="N76" i="10"/>
  <c r="M76" i="10"/>
  <c r="L76" i="10"/>
  <c r="J76" i="10"/>
  <c r="I76" i="10"/>
  <c r="H76" i="10"/>
  <c r="F76" i="10"/>
  <c r="E76" i="10"/>
  <c r="D76" i="10"/>
  <c r="C76" i="10"/>
  <c r="B76" i="10"/>
  <c r="T75" i="10"/>
  <c r="R75" i="10"/>
  <c r="Q75" i="10"/>
  <c r="P75" i="10"/>
  <c r="N75" i="10"/>
  <c r="M75" i="10"/>
  <c r="L75" i="10"/>
  <c r="J75" i="10"/>
  <c r="I75" i="10"/>
  <c r="H75" i="10"/>
  <c r="F75" i="10"/>
  <c r="E75" i="10"/>
  <c r="D75" i="10"/>
  <c r="C75" i="10"/>
  <c r="B75" i="10"/>
  <c r="T74" i="10"/>
  <c r="R74" i="10"/>
  <c r="Q74" i="10"/>
  <c r="P74" i="10"/>
  <c r="N74" i="10"/>
  <c r="M74" i="10"/>
  <c r="L74" i="10"/>
  <c r="J74" i="10"/>
  <c r="I74" i="10"/>
  <c r="H74" i="10"/>
  <c r="F74" i="10"/>
  <c r="E74" i="10"/>
  <c r="D74" i="10"/>
  <c r="C74" i="10"/>
  <c r="B74" i="10"/>
  <c r="T71" i="10"/>
  <c r="R71" i="10"/>
  <c r="Q71" i="10"/>
  <c r="P71" i="10"/>
  <c r="N71" i="10"/>
  <c r="M71" i="10"/>
  <c r="L71" i="10"/>
  <c r="J71" i="10"/>
  <c r="I71" i="10"/>
  <c r="H71" i="10"/>
  <c r="F71" i="10"/>
  <c r="E71" i="10"/>
  <c r="D71" i="10"/>
  <c r="C71" i="10"/>
  <c r="S70" i="10"/>
  <c r="AE70" i="10" s="1"/>
  <c r="AE76" i="10" s="1"/>
  <c r="O70" i="10"/>
  <c r="AB70" i="10" s="1"/>
  <c r="AB76" i="10" s="1"/>
  <c r="K70" i="10"/>
  <c r="Y70" i="10" s="1"/>
  <c r="Y76" i="10" s="1"/>
  <c r="S69" i="10"/>
  <c r="AD69" i="10" s="1"/>
  <c r="AD75" i="10" s="1"/>
  <c r="O69" i="10"/>
  <c r="AB69" i="10" s="1"/>
  <c r="AB75" i="10" s="1"/>
  <c r="K69" i="10"/>
  <c r="V69" i="10" s="1"/>
  <c r="V75" i="10" s="1"/>
  <c r="S68" i="10"/>
  <c r="O68" i="10"/>
  <c r="AA68" i="10" s="1"/>
  <c r="K68" i="10"/>
  <c r="T63" i="10"/>
  <c r="R63" i="10"/>
  <c r="Q63" i="10"/>
  <c r="P63" i="10"/>
  <c r="N63" i="10"/>
  <c r="M63" i="10"/>
  <c r="L63" i="10"/>
  <c r="J63" i="10"/>
  <c r="I63" i="10"/>
  <c r="H63" i="10"/>
  <c r="E63" i="10"/>
  <c r="D63" i="10"/>
  <c r="C63" i="10"/>
  <c r="S62" i="10"/>
  <c r="AE62" i="10" s="1"/>
  <c r="O62" i="10"/>
  <c r="AB62" i="10" s="1"/>
  <c r="K62" i="10"/>
  <c r="X62" i="10" s="1"/>
  <c r="E50" i="10"/>
  <c r="E51" i="10" s="1"/>
  <c r="E52" i="10" s="1"/>
  <c r="F50" i="10"/>
  <c r="F51" i="10" s="1"/>
  <c r="F52" i="10" s="1"/>
  <c r="B55" i="10"/>
  <c r="B54" i="10"/>
  <c r="T51" i="10"/>
  <c r="T52" i="10" s="1"/>
  <c r="R51" i="10"/>
  <c r="R52" i="10" s="1"/>
  <c r="Q51" i="10"/>
  <c r="Q52" i="10" s="1"/>
  <c r="P51" i="10"/>
  <c r="P52" i="10" s="1"/>
  <c r="N51" i="10"/>
  <c r="N52" i="10" s="1"/>
  <c r="M51" i="10"/>
  <c r="M52" i="10" s="1"/>
  <c r="L51" i="10"/>
  <c r="L52" i="10" s="1"/>
  <c r="J51" i="10"/>
  <c r="J52" i="10" s="1"/>
  <c r="I51" i="10"/>
  <c r="I52" i="10" s="1"/>
  <c r="H51" i="10"/>
  <c r="H52" i="10" s="1"/>
  <c r="D51" i="10"/>
  <c r="D52" i="10" s="1"/>
  <c r="C51" i="10"/>
  <c r="C52" i="10" s="1"/>
  <c r="O50" i="10"/>
  <c r="AC50" i="10" s="1"/>
  <c r="K50" i="10"/>
  <c r="Y50" i="10" s="1"/>
  <c r="S49" i="10"/>
  <c r="O49" i="10"/>
  <c r="AA49" i="10" s="1"/>
  <c r="K49" i="10"/>
  <c r="B31" i="10"/>
  <c r="B30" i="10"/>
  <c r="B29" i="10"/>
  <c r="T26" i="10"/>
  <c r="T31" i="10" s="1"/>
  <c r="R26" i="10"/>
  <c r="R30" i="10" s="1"/>
  <c r="Q26" i="10"/>
  <c r="Q30" i="10" s="1"/>
  <c r="P26" i="10"/>
  <c r="P30" i="10" s="1"/>
  <c r="N26" i="10"/>
  <c r="N30" i="10" s="1"/>
  <c r="M26" i="10"/>
  <c r="M29" i="10" s="1"/>
  <c r="L26" i="10"/>
  <c r="L31" i="10" s="1"/>
  <c r="J26" i="10"/>
  <c r="J31" i="10" s="1"/>
  <c r="I26" i="10"/>
  <c r="I31" i="10" s="1"/>
  <c r="H26" i="10"/>
  <c r="H30" i="10" s="1"/>
  <c r="F26" i="10"/>
  <c r="F30" i="10" s="1"/>
  <c r="E26" i="10"/>
  <c r="E30" i="10" s="1"/>
  <c r="D26" i="10"/>
  <c r="D31" i="10" s="1"/>
  <c r="C26" i="10"/>
  <c r="C31" i="10" s="1"/>
  <c r="S25" i="10"/>
  <c r="O25" i="10"/>
  <c r="AA25" i="10" s="1"/>
  <c r="K25" i="10"/>
  <c r="Y25" i="10" s="1"/>
  <c r="S24" i="10"/>
  <c r="AE24" i="10" s="1"/>
  <c r="O24" i="10"/>
  <c r="Z24" i="10" s="1"/>
  <c r="K24" i="10"/>
  <c r="X24" i="10" s="1"/>
  <c r="S23" i="10"/>
  <c r="AE23" i="10" s="1"/>
  <c r="O23" i="10"/>
  <c r="AC23" i="10" s="1"/>
  <c r="K23" i="10"/>
  <c r="W23" i="10" s="1"/>
  <c r="S22" i="10"/>
  <c r="O22" i="10"/>
  <c r="K22" i="10"/>
  <c r="Y22" i="10" s="1"/>
  <c r="K12" i="10"/>
  <c r="V12" i="10" s="1"/>
  <c r="O12" i="10"/>
  <c r="AA12" i="10" s="1"/>
  <c r="S12" i="10"/>
  <c r="AE12" i="10" s="1"/>
  <c r="B19" i="10"/>
  <c r="B18" i="10"/>
  <c r="B17" i="10"/>
  <c r="S11" i="10"/>
  <c r="AE11" i="10" s="1"/>
  <c r="O11" i="10"/>
  <c r="Z11" i="10" s="1"/>
  <c r="K11" i="10"/>
  <c r="V11" i="10" s="1"/>
  <c r="S10" i="10"/>
  <c r="AE10" i="10" s="1"/>
  <c r="O10" i="10"/>
  <c r="AC10" i="10" s="1"/>
  <c r="K10" i="10"/>
  <c r="W10" i="10" s="1"/>
  <c r="C87" i="8"/>
  <c r="C97" i="8"/>
  <c r="C77" i="8"/>
  <c r="C67" i="8"/>
  <c r="AE20" i="8"/>
  <c r="AD20" i="8"/>
  <c r="AC20" i="8"/>
  <c r="AB20" i="8"/>
  <c r="AA20" i="8"/>
  <c r="Z20" i="8"/>
  <c r="Y20" i="8"/>
  <c r="X20" i="8"/>
  <c r="W20" i="8"/>
  <c r="V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F20" i="8"/>
  <c r="E20" i="8"/>
  <c r="D20" i="8"/>
  <c r="C20" i="8"/>
  <c r="S148" i="8"/>
  <c r="O148" i="8"/>
  <c r="K148" i="8"/>
  <c r="S147" i="8"/>
  <c r="S146" i="8"/>
  <c r="S145" i="8"/>
  <c r="S144" i="8"/>
  <c r="AE144" i="8" s="1"/>
  <c r="S143" i="8"/>
  <c r="AE143" i="8" s="1"/>
  <c r="S142" i="8"/>
  <c r="AE142" i="8" s="1"/>
  <c r="O147" i="8"/>
  <c r="AC147" i="8" s="1"/>
  <c r="O146" i="8"/>
  <c r="O145" i="8"/>
  <c r="O144" i="8"/>
  <c r="AC144" i="8" s="1"/>
  <c r="O143" i="8"/>
  <c r="O142" i="8"/>
  <c r="K146" i="8"/>
  <c r="V146" i="8" s="1"/>
  <c r="K145" i="8"/>
  <c r="Y145" i="8" s="1"/>
  <c r="C135" i="8"/>
  <c r="D87" i="8"/>
  <c r="K87" i="8" s="1"/>
  <c r="V87" i="8" s="1"/>
  <c r="D77" i="8"/>
  <c r="D67" i="8"/>
  <c r="K67" i="8" s="1"/>
  <c r="V67" i="8" s="1"/>
  <c r="AE147" i="8"/>
  <c r="K147" i="8"/>
  <c r="W147" i="8" s="1"/>
  <c r="K144" i="8"/>
  <c r="W144" i="8" s="1"/>
  <c r="AA143" i="8"/>
  <c r="K143" i="8"/>
  <c r="X143" i="8" s="1"/>
  <c r="S136" i="8"/>
  <c r="AD136" i="8" s="1"/>
  <c r="O136" i="8"/>
  <c r="AC136" i="8" s="1"/>
  <c r="K136" i="8"/>
  <c r="V136" i="8" s="1"/>
  <c r="S135" i="8"/>
  <c r="AE135" i="8" s="1"/>
  <c r="O135" i="8"/>
  <c r="AB135" i="8" s="1"/>
  <c r="K135" i="8"/>
  <c r="Y135" i="8" s="1"/>
  <c r="S122" i="8"/>
  <c r="AE122" i="8" s="1"/>
  <c r="O122" i="8"/>
  <c r="AB122" i="8" s="1"/>
  <c r="K122" i="8"/>
  <c r="X122" i="8" s="1"/>
  <c r="S127" i="8"/>
  <c r="AD127" i="8" s="1"/>
  <c r="O127" i="8"/>
  <c r="AC127" i="8" s="1"/>
  <c r="K127" i="8"/>
  <c r="W127" i="8" s="1"/>
  <c r="S126" i="8"/>
  <c r="AD126" i="8" s="1"/>
  <c r="O126" i="8"/>
  <c r="AB126" i="8" s="1"/>
  <c r="K126" i="8"/>
  <c r="X126" i="8" s="1"/>
  <c r="S125" i="8"/>
  <c r="AE125" i="8" s="1"/>
  <c r="O125" i="8"/>
  <c r="AA125" i="8" s="1"/>
  <c r="K125" i="8"/>
  <c r="Y125" i="8" s="1"/>
  <c r="S115" i="8"/>
  <c r="AD115" i="8" s="1"/>
  <c r="O115" i="8"/>
  <c r="AC115" i="8" s="1"/>
  <c r="K115" i="8"/>
  <c r="X115" i="8" s="1"/>
  <c r="S114" i="8"/>
  <c r="AD114" i="8" s="1"/>
  <c r="O114" i="8"/>
  <c r="AB114" i="8" s="1"/>
  <c r="K114" i="8"/>
  <c r="V114" i="8" s="1"/>
  <c r="S113" i="8"/>
  <c r="AD113" i="8" s="1"/>
  <c r="O113" i="8"/>
  <c r="AB113" i="8" s="1"/>
  <c r="K113" i="8"/>
  <c r="Y113" i="8" s="1"/>
  <c r="AE97" i="8"/>
  <c r="AC97" i="8"/>
  <c r="AB97" i="8"/>
  <c r="AA97" i="8"/>
  <c r="Y97" i="8"/>
  <c r="X97" i="8"/>
  <c r="W97" i="8"/>
  <c r="S97" i="8"/>
  <c r="AD97" i="8" s="1"/>
  <c r="O97" i="8"/>
  <c r="Z97" i="8" s="1"/>
  <c r="K97" i="8"/>
  <c r="V97" i="8" s="1"/>
  <c r="F58" i="8"/>
  <c r="F68" i="8" s="1"/>
  <c r="AE93" i="8"/>
  <c r="AC93" i="8"/>
  <c r="AB93" i="8"/>
  <c r="AA93" i="8"/>
  <c r="Y93" i="8"/>
  <c r="X93" i="8"/>
  <c r="W93" i="8"/>
  <c r="S93" i="8"/>
  <c r="AD93" i="8" s="1"/>
  <c r="O93" i="8"/>
  <c r="Z93" i="8" s="1"/>
  <c r="K93" i="8"/>
  <c r="V93" i="8" s="1"/>
  <c r="AE92" i="8"/>
  <c r="AC92" i="8"/>
  <c r="AB92" i="8"/>
  <c r="AA92" i="8"/>
  <c r="Y92" i="8"/>
  <c r="X92" i="8"/>
  <c r="W92" i="8"/>
  <c r="S92" i="8"/>
  <c r="AD92" i="8" s="1"/>
  <c r="O92" i="8"/>
  <c r="Z92" i="8" s="1"/>
  <c r="K92" i="8"/>
  <c r="V92" i="8" s="1"/>
  <c r="AE91" i="8"/>
  <c r="AC91" i="8"/>
  <c r="AB91" i="8"/>
  <c r="AA91" i="8"/>
  <c r="Y91" i="8"/>
  <c r="X91" i="8"/>
  <c r="W91" i="8"/>
  <c r="S91" i="8"/>
  <c r="AD91" i="8" s="1"/>
  <c r="O91" i="8"/>
  <c r="Z91" i="8" s="1"/>
  <c r="K91" i="8"/>
  <c r="V91" i="8" s="1"/>
  <c r="AE82" i="8"/>
  <c r="AC82" i="8"/>
  <c r="AB82" i="8"/>
  <c r="AA82" i="8"/>
  <c r="Y82" i="8"/>
  <c r="X82" i="8"/>
  <c r="W82" i="8"/>
  <c r="S82" i="8"/>
  <c r="AD82" i="8" s="1"/>
  <c r="O82" i="8"/>
  <c r="Z82" i="8" s="1"/>
  <c r="K82" i="8"/>
  <c r="V82" i="8" s="1"/>
  <c r="AE75" i="8"/>
  <c r="AC75" i="8"/>
  <c r="AB75" i="8"/>
  <c r="AA75" i="8"/>
  <c r="Y75" i="8"/>
  <c r="X75" i="8"/>
  <c r="W75" i="8"/>
  <c r="S75" i="8"/>
  <c r="AD75" i="8" s="1"/>
  <c r="O75" i="8"/>
  <c r="Z75" i="8" s="1"/>
  <c r="K75" i="8"/>
  <c r="V75" i="8" s="1"/>
  <c r="AE74" i="8"/>
  <c r="AC74" i="8"/>
  <c r="AB74" i="8"/>
  <c r="AA74" i="8"/>
  <c r="Y74" i="8"/>
  <c r="X74" i="8"/>
  <c r="W74" i="8"/>
  <c r="S74" i="8"/>
  <c r="AD74" i="8" s="1"/>
  <c r="O74" i="8"/>
  <c r="Z74" i="8" s="1"/>
  <c r="K74" i="8"/>
  <c r="V74" i="8" s="1"/>
  <c r="AE63" i="8"/>
  <c r="AC63" i="8"/>
  <c r="AB63" i="8"/>
  <c r="AA63" i="8"/>
  <c r="Y63" i="8"/>
  <c r="X63" i="8"/>
  <c r="W63" i="8"/>
  <c r="S63" i="8"/>
  <c r="AD63" i="8" s="1"/>
  <c r="O63" i="8"/>
  <c r="Z63" i="8" s="1"/>
  <c r="K63" i="8"/>
  <c r="V63" i="8" s="1"/>
  <c r="AE62" i="8"/>
  <c r="AC62" i="8"/>
  <c r="AB62" i="8"/>
  <c r="AA62" i="8"/>
  <c r="Y62" i="8"/>
  <c r="X62" i="8"/>
  <c r="W62" i="8"/>
  <c r="S62" i="8"/>
  <c r="AD62" i="8" s="1"/>
  <c r="O62" i="8"/>
  <c r="Z62" i="8" s="1"/>
  <c r="K62" i="8"/>
  <c r="V62" i="8" s="1"/>
  <c r="S35" i="8"/>
  <c r="AE35" i="8" s="1"/>
  <c r="O35" i="8"/>
  <c r="K35" i="8"/>
  <c r="Y35" i="8" s="1"/>
  <c r="S32" i="8"/>
  <c r="AE32" i="8" s="1"/>
  <c r="O32" i="8"/>
  <c r="Z32" i="8" s="1"/>
  <c r="K32" i="8"/>
  <c r="Y32" i="8" s="1"/>
  <c r="S31" i="8"/>
  <c r="O31" i="8"/>
  <c r="AC31" i="8" s="1"/>
  <c r="K31" i="8"/>
  <c r="Y31" i="8" s="1"/>
  <c r="S25" i="8"/>
  <c r="AE25" i="8" s="1"/>
  <c r="O25" i="8"/>
  <c r="AC25" i="8" s="1"/>
  <c r="K25" i="8"/>
  <c r="W25" i="8" s="1"/>
  <c r="S24" i="8"/>
  <c r="AE24" i="8" s="1"/>
  <c r="O24" i="8"/>
  <c r="AC24" i="8" s="1"/>
  <c r="K24" i="8"/>
  <c r="V24" i="8" s="1"/>
  <c r="S18" i="8"/>
  <c r="AE18" i="8" s="1"/>
  <c r="O18" i="8"/>
  <c r="AC18" i="8" s="1"/>
  <c r="K18" i="8"/>
  <c r="W18" i="8" s="1"/>
  <c r="S19" i="8"/>
  <c r="AD19" i="8" s="1"/>
  <c r="O19" i="8"/>
  <c r="AC19" i="8" s="1"/>
  <c r="K19" i="8"/>
  <c r="X19" i="8" s="1"/>
  <c r="S17" i="8"/>
  <c r="AD17" i="8" s="1"/>
  <c r="O17" i="8"/>
  <c r="AB17" i="8" s="1"/>
  <c r="K17" i="8"/>
  <c r="V17" i="8" s="1"/>
  <c r="S16" i="8"/>
  <c r="AD16" i="8" s="1"/>
  <c r="O16" i="8"/>
  <c r="AB16" i="8" s="1"/>
  <c r="K16" i="8"/>
  <c r="Y16" i="8" s="1"/>
  <c r="S15" i="8"/>
  <c r="AE15" i="8" s="1"/>
  <c r="O15" i="8"/>
  <c r="Z15" i="8" s="1"/>
  <c r="K15" i="8"/>
  <c r="W15" i="8" s="1"/>
  <c r="AE40" i="11"/>
  <c r="AG40" i="11" s="1"/>
  <c r="AD40" i="11"/>
  <c r="AC40" i="11"/>
  <c r="AB40" i="11"/>
  <c r="AA40" i="11"/>
  <c r="Z40" i="11"/>
  <c r="Y40" i="11"/>
  <c r="X40" i="11"/>
  <c r="W40" i="11"/>
  <c r="V40" i="11"/>
  <c r="AE23" i="11"/>
  <c r="AD23" i="11"/>
  <c r="AC23" i="11"/>
  <c r="AB23" i="11"/>
  <c r="AA23" i="11"/>
  <c r="Z23" i="11"/>
  <c r="Y23" i="11"/>
  <c r="X23" i="11"/>
  <c r="W23" i="11"/>
  <c r="V23" i="11"/>
  <c r="AE22" i="11"/>
  <c r="AD22" i="11"/>
  <c r="AC22" i="11"/>
  <c r="AB22" i="11"/>
  <c r="AA22" i="11"/>
  <c r="Z22" i="11"/>
  <c r="Y22" i="11"/>
  <c r="X22" i="11"/>
  <c r="W22" i="11"/>
  <c r="V22" i="11"/>
  <c r="AE21" i="11"/>
  <c r="AD21" i="11"/>
  <c r="AC21" i="11"/>
  <c r="AB21" i="11"/>
  <c r="AA21" i="11"/>
  <c r="Z21" i="11"/>
  <c r="Y21" i="11"/>
  <c r="X21" i="11"/>
  <c r="W21" i="11"/>
  <c r="V21" i="11"/>
  <c r="W54" i="11"/>
  <c r="AC54" i="11"/>
  <c r="W55" i="11"/>
  <c r="AA55" i="11"/>
  <c r="AB55" i="11"/>
  <c r="K56" i="11"/>
  <c r="O56" i="11"/>
  <c r="Z56" i="11" s="1"/>
  <c r="S56" i="11"/>
  <c r="AD56" i="11" s="1"/>
  <c r="X54" i="11"/>
  <c r="Y54" i="11"/>
  <c r="AC55" i="11"/>
  <c r="AD78" i="11"/>
  <c r="AC78" i="11"/>
  <c r="AB78" i="11"/>
  <c r="AA78" i="11"/>
  <c r="Z78" i="11"/>
  <c r="Y78" i="11"/>
  <c r="X78" i="11"/>
  <c r="W78" i="11"/>
  <c r="V78" i="11"/>
  <c r="AE78" i="11"/>
  <c r="AC75" i="11"/>
  <c r="AB75" i="11"/>
  <c r="AA75" i="11"/>
  <c r="Y75" i="11"/>
  <c r="X75" i="11"/>
  <c r="W75" i="11"/>
  <c r="AC74" i="11"/>
  <c r="AB74" i="11"/>
  <c r="AA74" i="11"/>
  <c r="Y74" i="11"/>
  <c r="X74" i="11"/>
  <c r="W74" i="11"/>
  <c r="AC73" i="11"/>
  <c r="AB73" i="11"/>
  <c r="AA73" i="11"/>
  <c r="Y73" i="11"/>
  <c r="X73" i="11"/>
  <c r="W73" i="11"/>
  <c r="AC72" i="11"/>
  <c r="AB72" i="11"/>
  <c r="AA72" i="11"/>
  <c r="Y72" i="11"/>
  <c r="X72" i="11"/>
  <c r="W72" i="11"/>
  <c r="AE75" i="11"/>
  <c r="AE74" i="11"/>
  <c r="AE73" i="11"/>
  <c r="AE72" i="11"/>
  <c r="AD70" i="11"/>
  <c r="AC70" i="11"/>
  <c r="AB70" i="11"/>
  <c r="AA70" i="11"/>
  <c r="Z70" i="11"/>
  <c r="Y70" i="11"/>
  <c r="X70" i="11"/>
  <c r="W70" i="11"/>
  <c r="V70" i="11"/>
  <c r="AD69" i="11"/>
  <c r="AC69" i="11"/>
  <c r="AB69" i="11"/>
  <c r="AA69" i="11"/>
  <c r="Z69" i="11"/>
  <c r="Y69" i="11"/>
  <c r="X69" i="11"/>
  <c r="W69" i="11"/>
  <c r="V69" i="11"/>
  <c r="AE70" i="11"/>
  <c r="AE69" i="11"/>
  <c r="AD66" i="11"/>
  <c r="AC66" i="11"/>
  <c r="AB66" i="11"/>
  <c r="AA66" i="11"/>
  <c r="Z66" i="11"/>
  <c r="Y66" i="11"/>
  <c r="X66" i="11"/>
  <c r="W66" i="11"/>
  <c r="V66" i="11"/>
  <c r="AD65" i="11"/>
  <c r="AC65" i="11"/>
  <c r="AB65" i="11"/>
  <c r="AA65" i="11"/>
  <c r="Z65" i="11"/>
  <c r="Y65" i="11"/>
  <c r="X65" i="11"/>
  <c r="W65" i="11"/>
  <c r="V65" i="11"/>
  <c r="AD64" i="11"/>
  <c r="AC64" i="11"/>
  <c r="AB64" i="11"/>
  <c r="AA64" i="11"/>
  <c r="Z64" i="11"/>
  <c r="Y64" i="11"/>
  <c r="X64" i="11"/>
  <c r="W64" i="11"/>
  <c r="V64" i="11"/>
  <c r="AD63" i="11"/>
  <c r="AC63" i="11"/>
  <c r="AB63" i="11"/>
  <c r="AA63" i="11"/>
  <c r="Z63" i="11"/>
  <c r="Y63" i="11"/>
  <c r="X63" i="11"/>
  <c r="W63" i="11"/>
  <c r="V63" i="11"/>
  <c r="AD62" i="11"/>
  <c r="AC62" i="11"/>
  <c r="AB62" i="11"/>
  <c r="AA62" i="11"/>
  <c r="Z62" i="11"/>
  <c r="Y62" i="11"/>
  <c r="X62" i="11"/>
  <c r="W62" i="11"/>
  <c r="V62" i="11"/>
  <c r="AD61" i="11"/>
  <c r="AC61" i="11"/>
  <c r="AB61" i="11"/>
  <c r="AA61" i="11"/>
  <c r="Z61" i="11"/>
  <c r="Y61" i="11"/>
  <c r="X61" i="11"/>
  <c r="W61" i="11"/>
  <c r="V61" i="11"/>
  <c r="AD60" i="11"/>
  <c r="AC60" i="11"/>
  <c r="AB60" i="11"/>
  <c r="AA60" i="11"/>
  <c r="Z60" i="11"/>
  <c r="Y60" i="11"/>
  <c r="X60" i="11"/>
  <c r="W60" i="11"/>
  <c r="V60" i="11"/>
  <c r="AE66" i="11"/>
  <c r="AE65" i="11"/>
  <c r="AE64" i="11"/>
  <c r="AE63" i="11"/>
  <c r="AE62" i="11"/>
  <c r="AE61" i="11"/>
  <c r="AE60" i="11"/>
  <c r="AC56" i="11"/>
  <c r="AB56" i="11"/>
  <c r="AA56" i="11"/>
  <c r="Y56" i="11"/>
  <c r="X56" i="11"/>
  <c r="W56" i="11"/>
  <c r="V56" i="11"/>
  <c r="Y55" i="11"/>
  <c r="X55" i="11"/>
  <c r="AB54" i="11"/>
  <c r="AA54" i="11"/>
  <c r="AE56" i="11"/>
  <c r="AE55" i="11"/>
  <c r="AE54" i="11"/>
  <c r="S38" i="10"/>
  <c r="AD38" i="10" s="1"/>
  <c r="S37" i="10"/>
  <c r="AE37" i="10" s="1"/>
  <c r="S36" i="10"/>
  <c r="AE36" i="10" s="1"/>
  <c r="O38" i="10"/>
  <c r="AA38" i="10" s="1"/>
  <c r="O37" i="10"/>
  <c r="AC37" i="10" s="1"/>
  <c r="O36" i="10"/>
  <c r="AA36" i="10" s="1"/>
  <c r="K38" i="10"/>
  <c r="X38" i="10" s="1"/>
  <c r="K37" i="10"/>
  <c r="W37" i="10" s="1"/>
  <c r="K36" i="10"/>
  <c r="Y36" i="10" s="1"/>
  <c r="AD159" i="8"/>
  <c r="AE155" i="8" s="1"/>
  <c r="AC159" i="8"/>
  <c r="AD155" i="8" s="1"/>
  <c r="AB159" i="8"/>
  <c r="AA159" i="8"/>
  <c r="AB155" i="8" s="1"/>
  <c r="Z159" i="8"/>
  <c r="AA155" i="8" s="1"/>
  <c r="Y159" i="8"/>
  <c r="Z155" i="8" s="1"/>
  <c r="X159" i="8"/>
  <c r="W159" i="8"/>
  <c r="X155" i="8" s="1"/>
  <c r="V159" i="8"/>
  <c r="W155" i="8" s="1"/>
  <c r="AC158" i="8"/>
  <c r="AB158" i="8"/>
  <c r="AA158" i="8"/>
  <c r="Y158" i="8"/>
  <c r="X158" i="8"/>
  <c r="W158" i="8"/>
  <c r="AE159" i="8"/>
  <c r="AE158" i="8"/>
  <c r="AE94" i="8"/>
  <c r="AC94" i="8"/>
  <c r="AB94" i="8"/>
  <c r="AA94" i="8"/>
  <c r="Y94" i="8"/>
  <c r="X94" i="8"/>
  <c r="W94" i="8"/>
  <c r="AE90" i="8"/>
  <c r="AC90" i="8"/>
  <c r="AB90" i="8"/>
  <c r="AA90" i="8"/>
  <c r="Y90" i="8"/>
  <c r="X90" i="8"/>
  <c r="W90" i="8"/>
  <c r="AE87" i="8"/>
  <c r="AC87" i="8"/>
  <c r="AB87" i="8"/>
  <c r="AA87" i="8"/>
  <c r="Y87" i="8"/>
  <c r="X87" i="8"/>
  <c r="W87" i="8"/>
  <c r="AE86" i="8"/>
  <c r="AC86" i="8"/>
  <c r="AB86" i="8"/>
  <c r="AA86" i="8"/>
  <c r="Y86" i="8"/>
  <c r="X86" i="8"/>
  <c r="W86" i="8"/>
  <c r="AE85" i="8"/>
  <c r="AC85" i="8"/>
  <c r="AB85" i="8"/>
  <c r="AA85" i="8"/>
  <c r="Y85" i="8"/>
  <c r="X85" i="8"/>
  <c r="W85" i="8"/>
  <c r="AE84" i="8"/>
  <c r="AC84" i="8"/>
  <c r="AB84" i="8"/>
  <c r="AA84" i="8"/>
  <c r="Y84" i="8"/>
  <c r="X84" i="8"/>
  <c r="W84" i="8"/>
  <c r="AE83" i="8"/>
  <c r="AC83" i="8"/>
  <c r="AB83" i="8"/>
  <c r="AA83" i="8"/>
  <c r="Y83" i="8"/>
  <c r="X83" i="8"/>
  <c r="W83" i="8"/>
  <c r="AE81" i="8"/>
  <c r="AC81" i="8"/>
  <c r="AB81" i="8"/>
  <c r="AA81" i="8"/>
  <c r="Y81" i="8"/>
  <c r="X81" i="8"/>
  <c r="W81" i="8"/>
  <c r="AE77" i="8"/>
  <c r="AC77" i="8"/>
  <c r="AB77" i="8"/>
  <c r="AA77" i="8"/>
  <c r="Y77" i="8"/>
  <c r="X77" i="8"/>
  <c r="W77" i="8"/>
  <c r="AE76" i="8"/>
  <c r="AC76" i="8"/>
  <c r="AB76" i="8"/>
  <c r="AA76" i="8"/>
  <c r="Y76" i="8"/>
  <c r="X76" i="8"/>
  <c r="W76" i="8"/>
  <c r="AE73" i="8"/>
  <c r="AC73" i="8"/>
  <c r="AB73" i="8"/>
  <c r="AA73" i="8"/>
  <c r="Y73" i="8"/>
  <c r="X73" i="8"/>
  <c r="W73" i="8"/>
  <c r="AE72" i="8"/>
  <c r="AC72" i="8"/>
  <c r="AB72" i="8"/>
  <c r="AA72" i="8"/>
  <c r="Y72" i="8"/>
  <c r="X72" i="8"/>
  <c r="W72" i="8"/>
  <c r="AE71" i="8"/>
  <c r="AC71" i="8"/>
  <c r="AB71" i="8"/>
  <c r="AA71" i="8"/>
  <c r="Y71" i="8"/>
  <c r="X71" i="8"/>
  <c r="W71" i="8"/>
  <c r="AE67" i="8"/>
  <c r="AC67" i="8"/>
  <c r="AB67" i="8"/>
  <c r="AA67" i="8"/>
  <c r="Y67" i="8"/>
  <c r="X67" i="8"/>
  <c r="W67" i="8"/>
  <c r="AE66" i="8"/>
  <c r="AC66" i="8"/>
  <c r="AB66" i="8"/>
  <c r="AA66" i="8"/>
  <c r="Y66" i="8"/>
  <c r="X66" i="8"/>
  <c r="W66" i="8"/>
  <c r="AE65" i="8"/>
  <c r="AC65" i="8"/>
  <c r="AB65" i="8"/>
  <c r="AA65" i="8"/>
  <c r="Y65" i="8"/>
  <c r="X65" i="8"/>
  <c r="W65" i="8"/>
  <c r="AE64" i="8"/>
  <c r="AC64" i="8"/>
  <c r="AB64" i="8"/>
  <c r="AA64" i="8"/>
  <c r="Y64" i="8"/>
  <c r="X64" i="8"/>
  <c r="W64" i="8"/>
  <c r="AE61" i="8"/>
  <c r="AC61" i="8"/>
  <c r="AB61" i="8"/>
  <c r="AA61" i="8"/>
  <c r="Y61" i="8"/>
  <c r="X61" i="8"/>
  <c r="W61" i="8"/>
  <c r="AE57" i="8"/>
  <c r="AC57" i="8"/>
  <c r="AB57" i="8"/>
  <c r="AA57" i="8"/>
  <c r="Y57" i="8"/>
  <c r="X57" i="8"/>
  <c r="W57" i="8"/>
  <c r="AE56" i="8"/>
  <c r="AC56" i="8"/>
  <c r="AB56" i="8"/>
  <c r="AA56" i="8"/>
  <c r="Y56" i="8"/>
  <c r="X56" i="8"/>
  <c r="W56" i="8"/>
  <c r="AE55" i="8"/>
  <c r="AC55" i="8"/>
  <c r="AB55" i="8"/>
  <c r="AA55" i="8"/>
  <c r="Y55" i="8"/>
  <c r="X55" i="8"/>
  <c r="W55" i="8"/>
  <c r="AE54" i="8"/>
  <c r="AC54" i="8"/>
  <c r="AB54" i="8"/>
  <c r="AA54" i="8"/>
  <c r="Y54" i="8"/>
  <c r="X54" i="8"/>
  <c r="W54" i="8"/>
  <c r="AE53" i="8"/>
  <c r="AC53" i="8"/>
  <c r="AB53" i="8"/>
  <c r="AA53" i="8"/>
  <c r="Y53" i="8"/>
  <c r="X53" i="8"/>
  <c r="W53" i="8"/>
  <c r="AE45" i="8"/>
  <c r="AC45" i="8"/>
  <c r="AB45" i="8"/>
  <c r="AA45" i="8"/>
  <c r="Y45" i="8"/>
  <c r="X45" i="8"/>
  <c r="W45" i="8"/>
  <c r="AC42" i="8"/>
  <c r="AB42" i="8"/>
  <c r="AA42" i="8"/>
  <c r="Y42" i="8"/>
  <c r="X42" i="8"/>
  <c r="W42" i="8"/>
  <c r="AE42" i="8"/>
  <c r="AC8" i="8"/>
  <c r="AB8" i="8"/>
  <c r="AA8" i="8"/>
  <c r="Y8" i="8"/>
  <c r="X8" i="8"/>
  <c r="W8" i="8"/>
  <c r="AD7" i="8"/>
  <c r="AC7" i="8"/>
  <c r="AB7" i="8"/>
  <c r="AA7" i="8"/>
  <c r="Z7" i="8"/>
  <c r="Y7" i="8"/>
  <c r="X7" i="8"/>
  <c r="W7" i="8"/>
  <c r="V7" i="8"/>
  <c r="AE8" i="8"/>
  <c r="AE7" i="8"/>
  <c r="S150" i="8"/>
  <c r="AE150" i="8" s="1"/>
  <c r="O150" i="8"/>
  <c r="AB150" i="8" s="1"/>
  <c r="K150" i="8"/>
  <c r="Y150" i="8" s="1"/>
  <c r="S149" i="8"/>
  <c r="AD149" i="8" s="1"/>
  <c r="O149" i="8"/>
  <c r="AC149" i="8" s="1"/>
  <c r="K149" i="8"/>
  <c r="Y149" i="8" s="1"/>
  <c r="Z142" i="8"/>
  <c r="K142" i="8"/>
  <c r="Y142" i="8" s="1"/>
  <c r="S137" i="8"/>
  <c r="AE137" i="8" s="1"/>
  <c r="O137" i="8"/>
  <c r="AC137" i="8" s="1"/>
  <c r="K137" i="8"/>
  <c r="W137" i="8" s="1"/>
  <c r="S134" i="8"/>
  <c r="AE134" i="8" s="1"/>
  <c r="O134" i="8"/>
  <c r="AA134" i="8" s="1"/>
  <c r="K134" i="8"/>
  <c r="Y134" i="8" s="1"/>
  <c r="S129" i="8"/>
  <c r="AE129" i="8" s="1"/>
  <c r="O129" i="8"/>
  <c r="AC129" i="8" s="1"/>
  <c r="K129" i="8"/>
  <c r="V129" i="8" s="1"/>
  <c r="S128" i="8"/>
  <c r="AE128" i="8" s="1"/>
  <c r="O128" i="8"/>
  <c r="AC128" i="8" s="1"/>
  <c r="K128" i="8"/>
  <c r="W128" i="8" s="1"/>
  <c r="S121" i="8"/>
  <c r="AE121" i="8" s="1"/>
  <c r="O121" i="8"/>
  <c r="AC121" i="8" s="1"/>
  <c r="K121" i="8"/>
  <c r="W121" i="8" s="1"/>
  <c r="S120" i="8"/>
  <c r="AE120" i="8" s="1"/>
  <c r="O120" i="8"/>
  <c r="AC120" i="8" s="1"/>
  <c r="K120" i="8"/>
  <c r="Y120" i="8" s="1"/>
  <c r="S119" i="8"/>
  <c r="AE119" i="8" s="1"/>
  <c r="O119" i="8"/>
  <c r="AA119" i="8" s="1"/>
  <c r="K119" i="8"/>
  <c r="Y119" i="8" s="1"/>
  <c r="S118" i="8"/>
  <c r="AE118" i="8" s="1"/>
  <c r="O118" i="8"/>
  <c r="AC118" i="8" s="1"/>
  <c r="K118" i="8"/>
  <c r="Y118" i="8" s="1"/>
  <c r="S117" i="8"/>
  <c r="AE117" i="8" s="1"/>
  <c r="O117" i="8"/>
  <c r="AC117" i="8" s="1"/>
  <c r="K117" i="8"/>
  <c r="X117" i="8" s="1"/>
  <c r="S116" i="8"/>
  <c r="AE116" i="8" s="1"/>
  <c r="O116" i="8"/>
  <c r="AC116" i="8" s="1"/>
  <c r="K116" i="8"/>
  <c r="Y116" i="8" s="1"/>
  <c r="S87" i="8"/>
  <c r="AD87" i="8" s="1"/>
  <c r="O87" i="8"/>
  <c r="Z87" i="8" s="1"/>
  <c r="S86" i="8"/>
  <c r="AD86" i="8" s="1"/>
  <c r="O86" i="8"/>
  <c r="Z86" i="8" s="1"/>
  <c r="K86" i="8"/>
  <c r="V86" i="8" s="1"/>
  <c r="S85" i="8"/>
  <c r="AD85" i="8" s="1"/>
  <c r="O85" i="8"/>
  <c r="Z85" i="8" s="1"/>
  <c r="K85" i="8"/>
  <c r="V85" i="8" s="1"/>
  <c r="S84" i="8"/>
  <c r="AD84" i="8" s="1"/>
  <c r="O84" i="8"/>
  <c r="Z84" i="8" s="1"/>
  <c r="K84" i="8"/>
  <c r="V84" i="8" s="1"/>
  <c r="S83" i="8"/>
  <c r="AD83" i="8" s="1"/>
  <c r="O83" i="8"/>
  <c r="Z83" i="8" s="1"/>
  <c r="K83" i="8"/>
  <c r="V83" i="8" s="1"/>
  <c r="S55" i="8"/>
  <c r="AD55" i="8" s="1"/>
  <c r="O55" i="8"/>
  <c r="Z55" i="8" s="1"/>
  <c r="K55" i="8"/>
  <c r="V55" i="8" s="1"/>
  <c r="S65" i="8"/>
  <c r="AD65" i="8" s="1"/>
  <c r="O65" i="8"/>
  <c r="Z65" i="8" s="1"/>
  <c r="K65" i="8"/>
  <c r="V65" i="8" s="1"/>
  <c r="S64" i="8"/>
  <c r="AD64" i="8" s="1"/>
  <c r="O64" i="8"/>
  <c r="Z64" i="8" s="1"/>
  <c r="K64" i="8"/>
  <c r="V64" i="8" s="1"/>
  <c r="S26" i="8"/>
  <c r="AE26" i="8" s="1"/>
  <c r="O26" i="8"/>
  <c r="AC26" i="8" s="1"/>
  <c r="K26" i="8"/>
  <c r="Y26" i="8" s="1"/>
  <c r="S14" i="8"/>
  <c r="AE14" i="8" s="1"/>
  <c r="O14" i="8"/>
  <c r="AC14" i="8" s="1"/>
  <c r="K14" i="8"/>
  <c r="Y14" i="8" s="1"/>
  <c r="V48" i="11"/>
  <c r="S141" i="8"/>
  <c r="AE141" i="8" s="1"/>
  <c r="O141" i="8"/>
  <c r="AB141" i="8" s="1"/>
  <c r="K141" i="8"/>
  <c r="Y141" i="8" s="1"/>
  <c r="S133" i="8"/>
  <c r="AE133" i="8" s="1"/>
  <c r="O133" i="8"/>
  <c r="AC133" i="8" s="1"/>
  <c r="K133" i="8"/>
  <c r="Y133" i="8" s="1"/>
  <c r="S94" i="8"/>
  <c r="AD94" i="8" s="1"/>
  <c r="O94" i="8"/>
  <c r="Z94" i="8" s="1"/>
  <c r="K94" i="8"/>
  <c r="V94" i="8" s="1"/>
  <c r="S90" i="8"/>
  <c r="AD90" i="8" s="1"/>
  <c r="O90" i="8"/>
  <c r="Z90" i="8" s="1"/>
  <c r="K90" i="8"/>
  <c r="V90" i="8" s="1"/>
  <c r="S81" i="8"/>
  <c r="AD81" i="8" s="1"/>
  <c r="O81" i="8"/>
  <c r="Z81" i="8" s="1"/>
  <c r="K81" i="8"/>
  <c r="V81" i="8" s="1"/>
  <c r="S77" i="8"/>
  <c r="AD77" i="8" s="1"/>
  <c r="O77" i="8"/>
  <c r="Z77" i="8" s="1"/>
  <c r="K77" i="8"/>
  <c r="V77" i="8" s="1"/>
  <c r="S76" i="8"/>
  <c r="AD76" i="8" s="1"/>
  <c r="O76" i="8"/>
  <c r="Z76" i="8" s="1"/>
  <c r="K76" i="8"/>
  <c r="V76" i="8" s="1"/>
  <c r="S73" i="8"/>
  <c r="AD73" i="8" s="1"/>
  <c r="O73" i="8"/>
  <c r="Z73" i="8" s="1"/>
  <c r="K73" i="8"/>
  <c r="V73" i="8" s="1"/>
  <c r="S72" i="8"/>
  <c r="AD72" i="8" s="1"/>
  <c r="O72" i="8"/>
  <c r="Z72" i="8" s="1"/>
  <c r="K72" i="8"/>
  <c r="V72" i="8" s="1"/>
  <c r="S71" i="8"/>
  <c r="AD71" i="8" s="1"/>
  <c r="O71" i="8"/>
  <c r="Z71" i="8" s="1"/>
  <c r="K71" i="8"/>
  <c r="V71" i="8" s="1"/>
  <c r="S67" i="8"/>
  <c r="AD67" i="8" s="1"/>
  <c r="O67" i="8"/>
  <c r="Z67" i="8" s="1"/>
  <c r="S66" i="8"/>
  <c r="AD66" i="8" s="1"/>
  <c r="O66" i="8"/>
  <c r="Z66" i="8" s="1"/>
  <c r="K66" i="8"/>
  <c r="V66" i="8" s="1"/>
  <c r="S61" i="8"/>
  <c r="AD61" i="8" s="1"/>
  <c r="O61" i="8"/>
  <c r="Z61" i="8" s="1"/>
  <c r="K61" i="8"/>
  <c r="V61" i="8" s="1"/>
  <c r="T4" i="11"/>
  <c r="AE4" i="11" s="1"/>
  <c r="T3" i="11"/>
  <c r="AE3" i="11" s="1"/>
  <c r="B44" i="10"/>
  <c r="B43" i="10"/>
  <c r="B42" i="10"/>
  <c r="S9" i="10"/>
  <c r="AD9" i="10" s="1"/>
  <c r="T13" i="10"/>
  <c r="T18" i="10" s="1"/>
  <c r="T4" i="10"/>
  <c r="AE4" i="10" s="1"/>
  <c r="T3" i="10"/>
  <c r="AE3" i="10" s="1"/>
  <c r="T58" i="8"/>
  <c r="T68" i="8" s="1"/>
  <c r="R78" i="8"/>
  <c r="T106" i="8"/>
  <c r="T151" i="8"/>
  <c r="T138" i="8"/>
  <c r="T105" i="8"/>
  <c r="T95" i="8"/>
  <c r="T98" i="8" s="1"/>
  <c r="T50" i="8"/>
  <c r="T49" i="8"/>
  <c r="T11" i="8"/>
  <c r="S74" i="11"/>
  <c r="AD74" i="11" s="1"/>
  <c r="S73" i="11"/>
  <c r="AD73" i="11" s="1"/>
  <c r="S72" i="11"/>
  <c r="AD72" i="11" s="1"/>
  <c r="S3" i="11"/>
  <c r="AD3" i="11" s="1"/>
  <c r="R4" i="11"/>
  <c r="AC4" i="11" s="1"/>
  <c r="R3" i="11"/>
  <c r="AC3" i="11" s="1"/>
  <c r="S3" i="10"/>
  <c r="AD3" i="10" s="1"/>
  <c r="R13" i="10"/>
  <c r="R17" i="10" s="1"/>
  <c r="AE17" i="10" s="1"/>
  <c r="R4" i="10"/>
  <c r="AC4" i="10" s="1"/>
  <c r="R3" i="10"/>
  <c r="AC3" i="10" s="1"/>
  <c r="S167" i="8"/>
  <c r="AD167" i="8" s="1"/>
  <c r="S166" i="8"/>
  <c r="AE166" i="8" s="1"/>
  <c r="S57" i="8"/>
  <c r="AD57" i="8" s="1"/>
  <c r="S56" i="8"/>
  <c r="AD56" i="8" s="1"/>
  <c r="S54" i="8"/>
  <c r="T155" i="8" s="1"/>
  <c r="S53" i="8"/>
  <c r="AD53" i="8" s="1"/>
  <c r="S45" i="8"/>
  <c r="AD45" i="8" s="1"/>
  <c r="S42" i="8"/>
  <c r="AD42" i="8" s="1"/>
  <c r="S38" i="8"/>
  <c r="AE38" i="8" s="1"/>
  <c r="S27" i="8"/>
  <c r="AE27" i="8" s="1"/>
  <c r="S23" i="8"/>
  <c r="AE23" i="8" s="1"/>
  <c r="S13" i="8"/>
  <c r="AE13" i="8" s="1"/>
  <c r="S10" i="8"/>
  <c r="S11" i="8" s="1"/>
  <c r="S8" i="8"/>
  <c r="S4" i="10" s="1"/>
  <c r="AD4" i="10" s="1"/>
  <c r="S155" i="8"/>
  <c r="R106" i="8"/>
  <c r="S105" i="8"/>
  <c r="R105" i="8"/>
  <c r="R95" i="8"/>
  <c r="R98" i="8" s="1"/>
  <c r="R58" i="8"/>
  <c r="R68" i="8" s="1"/>
  <c r="R50" i="8"/>
  <c r="S49" i="8"/>
  <c r="R49" i="8"/>
  <c r="R11" i="8"/>
  <c r="O8" i="8"/>
  <c r="O4" i="11" s="1"/>
  <c r="Z4" i="11" s="1"/>
  <c r="K8" i="8"/>
  <c r="K4" i="10" s="1"/>
  <c r="V4" i="10" s="1"/>
  <c r="J76" i="11"/>
  <c r="O158" i="8"/>
  <c r="Z158" i="8" s="1"/>
  <c r="H76" i="11"/>
  <c r="X48" i="11"/>
  <c r="W48" i="11"/>
  <c r="W44" i="11"/>
  <c r="F138" i="8"/>
  <c r="F151" i="8"/>
  <c r="O74" i="11"/>
  <c r="Z74" i="11" s="1"/>
  <c r="O73" i="11"/>
  <c r="Z73" i="11" s="1"/>
  <c r="O72" i="11"/>
  <c r="Z72" i="11" s="1"/>
  <c r="K74" i="11"/>
  <c r="V74" i="11" s="1"/>
  <c r="K73" i="11"/>
  <c r="V73" i="11" s="1"/>
  <c r="K72" i="11"/>
  <c r="V72" i="11" s="1"/>
  <c r="AE20" i="11"/>
  <c r="AD20" i="11"/>
  <c r="AE16" i="11"/>
  <c r="AD16" i="11"/>
  <c r="M76" i="11"/>
  <c r="E76" i="11"/>
  <c r="D76" i="11"/>
  <c r="C76" i="11"/>
  <c r="F76" i="11"/>
  <c r="Q4" i="11"/>
  <c r="AB4" i="11" s="1"/>
  <c r="P4" i="11"/>
  <c r="AA4" i="11" s="1"/>
  <c r="N4" i="11"/>
  <c r="Y4" i="11" s="1"/>
  <c r="M4" i="11"/>
  <c r="X4" i="11" s="1"/>
  <c r="L4" i="11"/>
  <c r="W4" i="11" s="1"/>
  <c r="J4" i="11"/>
  <c r="I4" i="11"/>
  <c r="Q3" i="11"/>
  <c r="AB3" i="11" s="1"/>
  <c r="P3" i="11"/>
  <c r="AA3" i="11" s="1"/>
  <c r="O3" i="11"/>
  <c r="Z3" i="11" s="1"/>
  <c r="N3" i="11"/>
  <c r="Y3" i="11" s="1"/>
  <c r="M3" i="11"/>
  <c r="X3" i="11" s="1"/>
  <c r="L3" i="11"/>
  <c r="W3" i="11" s="1"/>
  <c r="K3" i="11"/>
  <c r="V3" i="11" s="1"/>
  <c r="J3" i="11"/>
  <c r="I3" i="11"/>
  <c r="H4" i="11"/>
  <c r="H3" i="11"/>
  <c r="E4" i="11"/>
  <c r="D4" i="11"/>
  <c r="C4" i="11"/>
  <c r="E3" i="11"/>
  <c r="D3" i="11"/>
  <c r="C3" i="11"/>
  <c r="F3" i="11"/>
  <c r="F4" i="11"/>
  <c r="B2" i="11"/>
  <c r="F13" i="10"/>
  <c r="F19" i="10" s="1"/>
  <c r="F4" i="10"/>
  <c r="F3" i="10"/>
  <c r="R155" i="8"/>
  <c r="Q155" i="8"/>
  <c r="O155" i="8"/>
  <c r="N155" i="8"/>
  <c r="M155" i="8"/>
  <c r="K155" i="8"/>
  <c r="V155" i="8" s="1"/>
  <c r="J155" i="8"/>
  <c r="I155" i="8"/>
  <c r="F155" i="8"/>
  <c r="O54" i="8"/>
  <c r="Z54" i="8" s="1"/>
  <c r="K54" i="8"/>
  <c r="L155" i="8" s="1"/>
  <c r="F106" i="8"/>
  <c r="F105" i="8"/>
  <c r="F95" i="8"/>
  <c r="F98" i="8" s="1"/>
  <c r="F50" i="8"/>
  <c r="F49" i="8"/>
  <c r="F11" i="8"/>
  <c r="Q4" i="10"/>
  <c r="AB4" i="10" s="1"/>
  <c r="P4" i="10"/>
  <c r="AA4" i="10" s="1"/>
  <c r="N4" i="10"/>
  <c r="Y4" i="10" s="1"/>
  <c r="M4" i="10"/>
  <c r="X4" i="10" s="1"/>
  <c r="L4" i="10"/>
  <c r="W4" i="10" s="1"/>
  <c r="J4" i="10"/>
  <c r="I4" i="10"/>
  <c r="Q3" i="10"/>
  <c r="AB3" i="10" s="1"/>
  <c r="P3" i="10"/>
  <c r="AA3" i="10" s="1"/>
  <c r="O3" i="10"/>
  <c r="Z3" i="10" s="1"/>
  <c r="N3" i="10"/>
  <c r="Y3" i="10" s="1"/>
  <c r="M3" i="10"/>
  <c r="X3" i="10" s="1"/>
  <c r="L3" i="10"/>
  <c r="W3" i="10" s="1"/>
  <c r="K3" i="10"/>
  <c r="V3" i="10" s="1"/>
  <c r="J3" i="10"/>
  <c r="I3" i="10"/>
  <c r="H4" i="10"/>
  <c r="H3" i="10"/>
  <c r="D4" i="10"/>
  <c r="C4" i="10"/>
  <c r="D3" i="10"/>
  <c r="C3" i="10"/>
  <c r="E4" i="10"/>
  <c r="E3" i="10"/>
  <c r="O9" i="10"/>
  <c r="AC9" i="10" s="1"/>
  <c r="K9" i="10"/>
  <c r="Y9" i="10" s="1"/>
  <c r="K71" i="10" l="1"/>
  <c r="Z69" i="10"/>
  <c r="Z75" i="10" s="1"/>
  <c r="AE69" i="10"/>
  <c r="AE75" i="10" s="1"/>
  <c r="S71" i="10"/>
  <c r="V68" i="10"/>
  <c r="V74" i="10" s="1"/>
  <c r="W69" i="10"/>
  <c r="W75" i="10" s="1"/>
  <c r="W68" i="10"/>
  <c r="W74" i="10" s="1"/>
  <c r="X69" i="10"/>
  <c r="X75" i="10" s="1"/>
  <c r="X70" i="10"/>
  <c r="X76" i="10" s="1"/>
  <c r="K75" i="10"/>
  <c r="X68" i="10"/>
  <c r="Y69" i="10"/>
  <c r="Y75" i="10" s="1"/>
  <c r="Z70" i="10"/>
  <c r="Z76" i="10" s="1"/>
  <c r="Y68" i="10"/>
  <c r="Y74" i="10" s="1"/>
  <c r="AD68" i="10"/>
  <c r="AC69" i="10"/>
  <c r="AC75" i="10" s="1"/>
  <c r="AA74" i="10"/>
  <c r="O74" i="10"/>
  <c r="S75" i="10"/>
  <c r="O76" i="10"/>
  <c r="AC68" i="10"/>
  <c r="AA70" i="10"/>
  <c r="AA76" i="10" s="1"/>
  <c r="O71" i="10"/>
  <c r="Y71" i="10"/>
  <c r="AE68" i="10"/>
  <c r="AC70" i="10"/>
  <c r="AC76" i="10" s="1"/>
  <c r="AB68" i="10"/>
  <c r="AA69" i="10"/>
  <c r="AA75" i="10" s="1"/>
  <c r="V70" i="10"/>
  <c r="V76" i="10" s="1"/>
  <c r="AD70" i="10"/>
  <c r="AD76" i="10" s="1"/>
  <c r="K74" i="10"/>
  <c r="S74" i="10"/>
  <c r="O75" i="10"/>
  <c r="K76" i="10"/>
  <c r="S76" i="10"/>
  <c r="W70" i="10"/>
  <c r="W76" i="10" s="1"/>
  <c r="Z68" i="10"/>
  <c r="AD74" i="10"/>
  <c r="Y62" i="10"/>
  <c r="Y63" i="10" s="1"/>
  <c r="AC49" i="10"/>
  <c r="AC51" i="10" s="1"/>
  <c r="AC52" i="10" s="1"/>
  <c r="P55" i="10"/>
  <c r="P54" i="10"/>
  <c r="M54" i="10"/>
  <c r="Q54" i="10"/>
  <c r="K51" i="10"/>
  <c r="K55" i="10" s="1"/>
  <c r="V62" i="10"/>
  <c r="W62" i="10"/>
  <c r="Z62" i="10"/>
  <c r="AA62" i="10"/>
  <c r="AC62" i="10"/>
  <c r="AD62" i="10"/>
  <c r="K63" i="10"/>
  <c r="S63" i="10"/>
  <c r="F63" i="10"/>
  <c r="F14" i="10"/>
  <c r="S50" i="10"/>
  <c r="AE50" i="10" s="1"/>
  <c r="F55" i="10"/>
  <c r="H55" i="10"/>
  <c r="L55" i="10"/>
  <c r="E54" i="10"/>
  <c r="M55" i="10"/>
  <c r="H54" i="10"/>
  <c r="F54" i="10"/>
  <c r="N54" i="10"/>
  <c r="I55" i="10"/>
  <c r="Q55" i="10"/>
  <c r="E55" i="10"/>
  <c r="J55" i="10"/>
  <c r="R55" i="10"/>
  <c r="T55" i="10"/>
  <c r="I54" i="10"/>
  <c r="R54" i="10"/>
  <c r="J54" i="10"/>
  <c r="N55" i="10"/>
  <c r="D54" i="10"/>
  <c r="L54" i="10"/>
  <c r="T54" i="10"/>
  <c r="C54" i="10"/>
  <c r="C55" i="10"/>
  <c r="D55" i="10"/>
  <c r="AA50" i="10"/>
  <c r="O51" i="10"/>
  <c r="O52" i="10" s="1"/>
  <c r="V49" i="10"/>
  <c r="W49" i="10"/>
  <c r="X49" i="10"/>
  <c r="AB49" i="10"/>
  <c r="Z50" i="10"/>
  <c r="AD49" i="10"/>
  <c r="AB50" i="10"/>
  <c r="AE49" i="10"/>
  <c r="V50" i="10"/>
  <c r="Y49" i="10"/>
  <c r="W50" i="10"/>
  <c r="Z49" i="10"/>
  <c r="X50" i="10"/>
  <c r="E31" i="10"/>
  <c r="I29" i="10"/>
  <c r="Y24" i="10"/>
  <c r="I30" i="10"/>
  <c r="M31" i="10"/>
  <c r="T27" i="10"/>
  <c r="N29" i="10"/>
  <c r="J30" i="10"/>
  <c r="L30" i="10"/>
  <c r="T30" i="10"/>
  <c r="D29" i="10"/>
  <c r="F31" i="10"/>
  <c r="E29" i="10"/>
  <c r="H29" i="10"/>
  <c r="P29" i="10"/>
  <c r="N31" i="10"/>
  <c r="F27" i="10"/>
  <c r="F29" i="10"/>
  <c r="Y23" i="10"/>
  <c r="D30" i="10"/>
  <c r="J29" i="10"/>
  <c r="R29" i="10"/>
  <c r="M30" i="10"/>
  <c r="H31" i="10"/>
  <c r="P31" i="10"/>
  <c r="Q29" i="10"/>
  <c r="Q31" i="10"/>
  <c r="R27" i="10"/>
  <c r="C29" i="10"/>
  <c r="L29" i="10"/>
  <c r="T29" i="10"/>
  <c r="R31" i="10"/>
  <c r="C30" i="10"/>
  <c r="O26" i="10"/>
  <c r="O30" i="10" s="1"/>
  <c r="Z23" i="10"/>
  <c r="AA22" i="10"/>
  <c r="AD23" i="10"/>
  <c r="AD22" i="10"/>
  <c r="AE22" i="10"/>
  <c r="X23" i="10"/>
  <c r="W24" i="10"/>
  <c r="V23" i="10"/>
  <c r="W25" i="10"/>
  <c r="X25" i="10"/>
  <c r="AC22" i="10"/>
  <c r="AA24" i="10"/>
  <c r="V25" i="10"/>
  <c r="AD25" i="10"/>
  <c r="AB25" i="10"/>
  <c r="AC25" i="10"/>
  <c r="AB24" i="10"/>
  <c r="AE25" i="10"/>
  <c r="W22" i="10"/>
  <c r="AC24" i="10"/>
  <c r="X22" i="10"/>
  <c r="AA23" i="10"/>
  <c r="V24" i="10"/>
  <c r="AD24" i="10"/>
  <c r="V22" i="10"/>
  <c r="S26" i="10"/>
  <c r="S30" i="10" s="1"/>
  <c r="AB23" i="10"/>
  <c r="Z25" i="10"/>
  <c r="AB22" i="10"/>
  <c r="K26" i="10"/>
  <c r="K29" i="10" s="1"/>
  <c r="Z22" i="10"/>
  <c r="AD12" i="10"/>
  <c r="AB12" i="10"/>
  <c r="Y12" i="10"/>
  <c r="X12" i="10"/>
  <c r="W12" i="10"/>
  <c r="F18" i="10"/>
  <c r="Z12" i="10"/>
  <c r="AC12" i="10"/>
  <c r="AB36" i="10"/>
  <c r="T17" i="10"/>
  <c r="R19" i="10"/>
  <c r="AE19" i="10" s="1"/>
  <c r="F17" i="10"/>
  <c r="R18" i="10"/>
  <c r="AE18" i="10" s="1"/>
  <c r="T19" i="10"/>
  <c r="Y10" i="10"/>
  <c r="AA10" i="10"/>
  <c r="V38" i="10"/>
  <c r="AD36" i="10"/>
  <c r="W38" i="10"/>
  <c r="AD37" i="10"/>
  <c r="AA11" i="10"/>
  <c r="AD11" i="10"/>
  <c r="X10" i="10"/>
  <c r="AB11" i="10"/>
  <c r="Z10" i="10"/>
  <c r="AC11" i="10"/>
  <c r="AB10" i="10"/>
  <c r="W11" i="10"/>
  <c r="X11" i="10"/>
  <c r="V10" i="10"/>
  <c r="AD10" i="10"/>
  <c r="Y11" i="10"/>
  <c r="W9" i="10"/>
  <c r="X9" i="10"/>
  <c r="Y37" i="10"/>
  <c r="Z9" i="10"/>
  <c r="AE38" i="10"/>
  <c r="X145" i="8"/>
  <c r="V145" i="8"/>
  <c r="W145" i="8"/>
  <c r="Y146" i="8"/>
  <c r="X146" i="8"/>
  <c r="W146" i="8"/>
  <c r="AG143" i="8"/>
  <c r="Y144" i="8"/>
  <c r="Z144" i="8"/>
  <c r="Y143" i="8"/>
  <c r="AD143" i="8"/>
  <c r="AA144" i="8"/>
  <c r="AG144" i="8" s="1"/>
  <c r="AD144" i="8"/>
  <c r="V143" i="8"/>
  <c r="W143" i="8"/>
  <c r="V144" i="8"/>
  <c r="X144" i="8"/>
  <c r="X147" i="8"/>
  <c r="AB143" i="8"/>
  <c r="AC143" i="8"/>
  <c r="Y147" i="8"/>
  <c r="Z147" i="8"/>
  <c r="AA147" i="8"/>
  <c r="AG147" i="8" s="1"/>
  <c r="AB147" i="8"/>
  <c r="Z143" i="8"/>
  <c r="AB144" i="8"/>
  <c r="V147" i="8"/>
  <c r="AD147" i="8"/>
  <c r="W135" i="8"/>
  <c r="V135" i="8"/>
  <c r="X135" i="8"/>
  <c r="Z135" i="8"/>
  <c r="Y122" i="8"/>
  <c r="AD135" i="8"/>
  <c r="W136" i="8"/>
  <c r="AA135" i="8"/>
  <c r="AG135" i="8" s="1"/>
  <c r="X136" i="8"/>
  <c r="AC135" i="8"/>
  <c r="Y136" i="8"/>
  <c r="Z136" i="8"/>
  <c r="AE136" i="8"/>
  <c r="AA136" i="8"/>
  <c r="AB136" i="8"/>
  <c r="Z122" i="8"/>
  <c r="AA122" i="8"/>
  <c r="AG122" i="8" s="1"/>
  <c r="AC122" i="8"/>
  <c r="V122" i="8"/>
  <c r="AD122" i="8"/>
  <c r="W122" i="8"/>
  <c r="W125" i="8"/>
  <c r="AE127" i="8"/>
  <c r="AC126" i="8"/>
  <c r="AE126" i="8"/>
  <c r="V126" i="8"/>
  <c r="W126" i="8"/>
  <c r="Y126" i="8"/>
  <c r="X127" i="8"/>
  <c r="Z126" i="8"/>
  <c r="AA127" i="8"/>
  <c r="AG125" i="8"/>
  <c r="AC125" i="8"/>
  <c r="Y127" i="8"/>
  <c r="V125" i="8"/>
  <c r="AD125" i="8"/>
  <c r="Z127" i="8"/>
  <c r="X125" i="8"/>
  <c r="AB127" i="8"/>
  <c r="AB125" i="8"/>
  <c r="AA126" i="8"/>
  <c r="Z125" i="8"/>
  <c r="V127" i="8"/>
  <c r="AC114" i="8"/>
  <c r="AE113" i="8"/>
  <c r="AA115" i="8"/>
  <c r="AA114" i="8"/>
  <c r="X114" i="8"/>
  <c r="Z115" i="8"/>
  <c r="V113" i="8"/>
  <c r="Y114" i="8"/>
  <c r="AA113" i="8"/>
  <c r="Z114" i="8"/>
  <c r="AE115" i="8"/>
  <c r="AC113" i="8"/>
  <c r="W114" i="8"/>
  <c r="AE114" i="8"/>
  <c r="Y115" i="8"/>
  <c r="W113" i="8"/>
  <c r="X113" i="8"/>
  <c r="AB115" i="8"/>
  <c r="Z113" i="8"/>
  <c r="V115" i="8"/>
  <c r="W115" i="8"/>
  <c r="AG92" i="8"/>
  <c r="AG91" i="8"/>
  <c r="AG93" i="8"/>
  <c r="AG82" i="8"/>
  <c r="AG74" i="8"/>
  <c r="AG75" i="8"/>
  <c r="AG62" i="8"/>
  <c r="AG63" i="8"/>
  <c r="AA35" i="8"/>
  <c r="AD35" i="8"/>
  <c r="Z35" i="8"/>
  <c r="AC35" i="8"/>
  <c r="V35" i="8"/>
  <c r="W35" i="8"/>
  <c r="AB35" i="8"/>
  <c r="X35" i="8"/>
  <c r="X32" i="8"/>
  <c r="AB32" i="8"/>
  <c r="AA32" i="8"/>
  <c r="AC32" i="8"/>
  <c r="AD32" i="8"/>
  <c r="V32" i="8"/>
  <c r="W32" i="8"/>
  <c r="Z31" i="8"/>
  <c r="AA31" i="8"/>
  <c r="AB31" i="8"/>
  <c r="V31" i="8"/>
  <c r="AD31" i="8"/>
  <c r="W31" i="8"/>
  <c r="AE31" i="8"/>
  <c r="AE33" i="8" s="1"/>
  <c r="AE36" i="8" s="1"/>
  <c r="AE39" i="8" s="1"/>
  <c r="X31" i="8"/>
  <c r="Z25" i="8"/>
  <c r="AA24" i="8"/>
  <c r="AG24" i="8" s="1"/>
  <c r="AD24" i="8"/>
  <c r="W24" i="8"/>
  <c r="X24" i="8"/>
  <c r="X25" i="8"/>
  <c r="Z24" i="8"/>
  <c r="Y25" i="8"/>
  <c r="Y24" i="8"/>
  <c r="AA25" i="8"/>
  <c r="AG25" i="8" s="1"/>
  <c r="AB25" i="8"/>
  <c r="AB24" i="8"/>
  <c r="V25" i="8"/>
  <c r="AD25" i="8"/>
  <c r="AA18" i="8"/>
  <c r="AG18" i="8" s="1"/>
  <c r="Y18" i="8"/>
  <c r="X18" i="8"/>
  <c r="Z18" i="8"/>
  <c r="AB18" i="8"/>
  <c r="V18" i="8"/>
  <c r="AD18" i="8"/>
  <c r="Z116" i="8"/>
  <c r="V118" i="8"/>
  <c r="Z26" i="8"/>
  <c r="AA26" i="8"/>
  <c r="AG26" i="8" s="1"/>
  <c r="AE16" i="8"/>
  <c r="X15" i="8"/>
  <c r="Z17" i="8"/>
  <c r="AC17" i="8"/>
  <c r="AA16" i="8"/>
  <c r="AE19" i="8"/>
  <c r="AD133" i="8"/>
  <c r="Y15" i="8"/>
  <c r="AA17" i="8"/>
  <c r="AA116" i="8"/>
  <c r="X121" i="8"/>
  <c r="V16" i="8"/>
  <c r="V15" i="8"/>
  <c r="W16" i="8"/>
  <c r="X17" i="8"/>
  <c r="Z19" i="8"/>
  <c r="Z16" i="8"/>
  <c r="Y17" i="8"/>
  <c r="AA19" i="8"/>
  <c r="AA15" i="8"/>
  <c r="AG15" i="8" s="1"/>
  <c r="AC16" i="8"/>
  <c r="W17" i="8"/>
  <c r="AE17" i="8"/>
  <c r="Y19" i="8"/>
  <c r="AD15" i="8"/>
  <c r="X16" i="8"/>
  <c r="AB19" i="8"/>
  <c r="AB15" i="8"/>
  <c r="V19" i="8"/>
  <c r="W19" i="8"/>
  <c r="AC15" i="8"/>
  <c r="AD129" i="8"/>
  <c r="W118" i="8"/>
  <c r="Y121" i="8"/>
  <c r="AD118" i="8"/>
  <c r="AB134" i="8"/>
  <c r="AC134" i="8"/>
  <c r="AB119" i="8"/>
  <c r="X137" i="8"/>
  <c r="V149" i="8"/>
  <c r="O55" i="11"/>
  <c r="Z55" i="11" s="1"/>
  <c r="AC119" i="8"/>
  <c r="Y137" i="8"/>
  <c r="W149" i="8"/>
  <c r="Z14" i="8"/>
  <c r="Z120" i="8"/>
  <c r="X128" i="8"/>
  <c r="V133" i="8"/>
  <c r="AC150" i="8"/>
  <c r="AA14" i="8"/>
  <c r="AG14" i="8" s="1"/>
  <c r="AA120" i="8"/>
  <c r="AG120" i="8" s="1"/>
  <c r="Y128" i="8"/>
  <c r="W133" i="8"/>
  <c r="W129" i="8"/>
  <c r="AC141" i="8"/>
  <c r="AD13" i="8"/>
  <c r="AB14" i="8"/>
  <c r="AD23" i="8"/>
  <c r="AB26" i="8"/>
  <c r="AD38" i="8"/>
  <c r="V54" i="8"/>
  <c r="AD54" i="8"/>
  <c r="AB116" i="8"/>
  <c r="Z117" i="8"/>
  <c r="X118" i="8"/>
  <c r="V119" i="8"/>
  <c r="AD119" i="8"/>
  <c r="AB120" i="8"/>
  <c r="Z121" i="8"/>
  <c r="Z128" i="8"/>
  <c r="X129" i="8"/>
  <c r="X133" i="8"/>
  <c r="V134" i="8"/>
  <c r="AD134" i="8"/>
  <c r="Z137" i="8"/>
  <c r="V141" i="8"/>
  <c r="AD141" i="8"/>
  <c r="AB142" i="8"/>
  <c r="X149" i="8"/>
  <c r="V150" i="8"/>
  <c r="AD150" i="8"/>
  <c r="AA117" i="8"/>
  <c r="AG117" i="8" s="1"/>
  <c r="W119" i="8"/>
  <c r="AA121" i="8"/>
  <c r="AG121" i="8" s="1"/>
  <c r="AA128" i="8"/>
  <c r="AG128" i="8" s="1"/>
  <c r="Y129" i="8"/>
  <c r="W134" i="8"/>
  <c r="AA137" i="8"/>
  <c r="AG137" i="8" s="1"/>
  <c r="W141" i="8"/>
  <c r="AC142" i="8"/>
  <c r="W150" i="8"/>
  <c r="K55" i="11"/>
  <c r="V55" i="11" s="1"/>
  <c r="Y117" i="8"/>
  <c r="AA142" i="8"/>
  <c r="AG142" i="8" s="1"/>
  <c r="AE149" i="8"/>
  <c r="V14" i="8"/>
  <c r="AD14" i="8"/>
  <c r="V26" i="8"/>
  <c r="AD26" i="8"/>
  <c r="V116" i="8"/>
  <c r="AD116" i="8"/>
  <c r="AB117" i="8"/>
  <c r="Z118" i="8"/>
  <c r="X119" i="8"/>
  <c r="V120" i="8"/>
  <c r="AD120" i="8"/>
  <c r="AB121" i="8"/>
  <c r="AB128" i="8"/>
  <c r="Z129" i="8"/>
  <c r="Z133" i="8"/>
  <c r="X134" i="8"/>
  <c r="AB137" i="8"/>
  <c r="X141" i="8"/>
  <c r="V142" i="8"/>
  <c r="AD142" i="8"/>
  <c r="Z149" i="8"/>
  <c r="X150" i="8"/>
  <c r="S54" i="11"/>
  <c r="AD54" i="11" s="1"/>
  <c r="W14" i="8"/>
  <c r="W26" i="8"/>
  <c r="W116" i="8"/>
  <c r="AA118" i="8"/>
  <c r="AG118" i="8" s="1"/>
  <c r="W120" i="8"/>
  <c r="AA129" i="8"/>
  <c r="AG129" i="8" s="1"/>
  <c r="AA133" i="8"/>
  <c r="W142" i="8"/>
  <c r="AA149" i="8"/>
  <c r="X14" i="8"/>
  <c r="X26" i="8"/>
  <c r="AD27" i="8"/>
  <c r="X116" i="8"/>
  <c r="V117" i="8"/>
  <c r="AD117" i="8"/>
  <c r="AB118" i="8"/>
  <c r="Z119" i="8"/>
  <c r="X120" i="8"/>
  <c r="V121" i="8"/>
  <c r="AD121" i="8"/>
  <c r="V128" i="8"/>
  <c r="AD128" i="8"/>
  <c r="AB129" i="8"/>
  <c r="AB133" i="8"/>
  <c r="Z134" i="8"/>
  <c r="V137" i="8"/>
  <c r="AD137" i="8"/>
  <c r="Z141" i="8"/>
  <c r="X142" i="8"/>
  <c r="AB149" i="8"/>
  <c r="Z150" i="8"/>
  <c r="S55" i="11"/>
  <c r="AD55" i="11" s="1"/>
  <c r="W117" i="8"/>
  <c r="AA141" i="8"/>
  <c r="AA150" i="8"/>
  <c r="AG150" i="8" s="1"/>
  <c r="AE10" i="8"/>
  <c r="AD10" i="8"/>
  <c r="AG21" i="11"/>
  <c r="AG22" i="11"/>
  <c r="AG23" i="11"/>
  <c r="AE48" i="11"/>
  <c r="AD38" i="11"/>
  <c r="X44" i="11"/>
  <c r="V44" i="11"/>
  <c r="Y48" i="11"/>
  <c r="AA9" i="10"/>
  <c r="AB9" i="10"/>
  <c r="V9" i="10"/>
  <c r="AB37" i="10"/>
  <c r="Z38" i="10"/>
  <c r="V36" i="10"/>
  <c r="AB38" i="10"/>
  <c r="AC38" i="10"/>
  <c r="X37" i="10"/>
  <c r="Z37" i="10"/>
  <c r="AA37" i="10"/>
  <c r="AC36" i="10"/>
  <c r="Z36" i="10"/>
  <c r="Y38" i="10"/>
  <c r="W36" i="10"/>
  <c r="X36" i="10"/>
  <c r="V37" i="10"/>
  <c r="AE9" i="10"/>
  <c r="D39" i="10"/>
  <c r="J39" i="10"/>
  <c r="N39" i="10"/>
  <c r="Y155" i="8"/>
  <c r="Z8" i="8"/>
  <c r="AD48" i="11"/>
  <c r="V8" i="8"/>
  <c r="AD8" i="8"/>
  <c r="AC48" i="11"/>
  <c r="AD44" i="11"/>
  <c r="AG134" i="8"/>
  <c r="AG119" i="8"/>
  <c r="AG87" i="8"/>
  <c r="AG55" i="8"/>
  <c r="AG84" i="8"/>
  <c r="AG86" i="8"/>
  <c r="AG83" i="8"/>
  <c r="AG85" i="8"/>
  <c r="AG65" i="8"/>
  <c r="AG64" i="8"/>
  <c r="O4" i="10"/>
  <c r="Z4" i="10" s="1"/>
  <c r="AC155" i="8"/>
  <c r="AE28" i="11"/>
  <c r="AB166" i="8"/>
  <c r="R76" i="11"/>
  <c r="R79" i="11" s="1"/>
  <c r="R88" i="11" s="1"/>
  <c r="AE167" i="8"/>
  <c r="S112" i="8"/>
  <c r="AE37" i="11"/>
  <c r="AC166" i="8"/>
  <c r="K4" i="11"/>
  <c r="V4" i="11" s="1"/>
  <c r="S106" i="8"/>
  <c r="T78" i="8"/>
  <c r="AD166" i="8"/>
  <c r="AB167" i="8"/>
  <c r="R151" i="8"/>
  <c r="AC167" i="8"/>
  <c r="R88" i="8"/>
  <c r="R99" i="8" s="1"/>
  <c r="AE38" i="11"/>
  <c r="AE39" i="11"/>
  <c r="AE76" i="11"/>
  <c r="AE79" i="11" s="1"/>
  <c r="T57" i="11"/>
  <c r="T76" i="11"/>
  <c r="T79" i="11" s="1"/>
  <c r="T88" i="11" s="1"/>
  <c r="M39" i="10"/>
  <c r="E39" i="10"/>
  <c r="I39" i="10"/>
  <c r="P39" i="10"/>
  <c r="C39" i="10"/>
  <c r="T12" i="11"/>
  <c r="T17" i="11" s="1"/>
  <c r="R39" i="10"/>
  <c r="Q39" i="10"/>
  <c r="AD32" i="11"/>
  <c r="T39" i="10"/>
  <c r="L39" i="10"/>
  <c r="H39" i="10"/>
  <c r="F39" i="10"/>
  <c r="T14" i="10"/>
  <c r="T16" i="10"/>
  <c r="AB57" i="11"/>
  <c r="S75" i="11"/>
  <c r="S50" i="8"/>
  <c r="S4" i="11"/>
  <c r="AD4" i="11" s="1"/>
  <c r="S95" i="8"/>
  <c r="S98" i="8" s="1"/>
  <c r="R57" i="11"/>
  <c r="S13" i="10"/>
  <c r="R14" i="10"/>
  <c r="R16" i="10"/>
  <c r="R21" i="8"/>
  <c r="R28" i="8"/>
  <c r="R33" i="8" s="1"/>
  <c r="I76" i="11"/>
  <c r="K158" i="8"/>
  <c r="V158" i="8" s="1"/>
  <c r="H12" i="11"/>
  <c r="H17" i="11" s="1"/>
  <c r="H25" i="11" s="1"/>
  <c r="E12" i="11"/>
  <c r="E17" i="11" s="1"/>
  <c r="F12" i="11"/>
  <c r="F17" i="11" s="1"/>
  <c r="F78" i="8"/>
  <c r="K75" i="11"/>
  <c r="V75" i="11" s="1"/>
  <c r="V76" i="11" s="1"/>
  <c r="O75" i="11"/>
  <c r="Z75" i="11" s="1"/>
  <c r="Z76" i="11" s="1"/>
  <c r="AG54" i="8"/>
  <c r="C12" i="11"/>
  <c r="I57" i="11"/>
  <c r="J57" i="11"/>
  <c r="D57" i="11"/>
  <c r="Y76" i="11"/>
  <c r="C57" i="11"/>
  <c r="H57" i="11"/>
  <c r="P76" i="11"/>
  <c r="Q76" i="11"/>
  <c r="M57" i="11"/>
  <c r="E57" i="11"/>
  <c r="L57" i="11"/>
  <c r="AC57" i="11"/>
  <c r="AC76" i="11"/>
  <c r="AE57" i="11"/>
  <c r="Y57" i="11"/>
  <c r="F79" i="11"/>
  <c r="F88" i="11" s="1"/>
  <c r="F57" i="11"/>
  <c r="Q57" i="11"/>
  <c r="N57" i="11"/>
  <c r="P57" i="11"/>
  <c r="P155" i="8"/>
  <c r="F16" i="10"/>
  <c r="AD71" i="10" l="1"/>
  <c r="X71" i="10"/>
  <c r="X74" i="10"/>
  <c r="V71" i="10"/>
  <c r="AB71" i="10"/>
  <c r="AB74" i="10"/>
  <c r="AE74" i="10"/>
  <c r="AE71" i="10"/>
  <c r="W71" i="10"/>
  <c r="Z74" i="10"/>
  <c r="Z71" i="10"/>
  <c r="AC71" i="10"/>
  <c r="AC74" i="10"/>
  <c r="AA71" i="10"/>
  <c r="K54" i="10"/>
  <c r="AC55" i="10"/>
  <c r="AD50" i="10"/>
  <c r="AD51" i="10" s="1"/>
  <c r="V63" i="10"/>
  <c r="S51" i="10"/>
  <c r="S55" i="10" s="1"/>
  <c r="K52" i="10"/>
  <c r="O63" i="10"/>
  <c r="W63" i="10"/>
  <c r="AE63" i="10"/>
  <c r="AD63" i="10"/>
  <c r="X63" i="10"/>
  <c r="AC54" i="10"/>
  <c r="O54" i="10"/>
  <c r="V51" i="10"/>
  <c r="O55" i="10"/>
  <c r="S52" i="10"/>
  <c r="AA51" i="10"/>
  <c r="AA55" i="10" s="1"/>
  <c r="F40" i="10"/>
  <c r="M40" i="10"/>
  <c r="N43" i="10"/>
  <c r="N40" i="10"/>
  <c r="Q42" i="10"/>
  <c r="Q40" i="10"/>
  <c r="H40" i="10"/>
  <c r="P44" i="10"/>
  <c r="P40" i="10"/>
  <c r="J44" i="10"/>
  <c r="J40" i="10"/>
  <c r="R40" i="10"/>
  <c r="L40" i="10"/>
  <c r="I40" i="10"/>
  <c r="D43" i="10"/>
  <c r="D40" i="10"/>
  <c r="C42" i="10"/>
  <c r="C40" i="10"/>
  <c r="T43" i="10"/>
  <c r="T40" i="10"/>
  <c r="E40" i="10"/>
  <c r="X51" i="10"/>
  <c r="Y51" i="10"/>
  <c r="AE51" i="10"/>
  <c r="W51" i="10"/>
  <c r="W52" i="10" s="1"/>
  <c r="Z51" i="10"/>
  <c r="AB51" i="10"/>
  <c r="S29" i="10"/>
  <c r="K30" i="10"/>
  <c r="K31" i="10"/>
  <c r="V26" i="10"/>
  <c r="V29" i="10" s="1"/>
  <c r="Y26" i="10"/>
  <c r="O29" i="10"/>
  <c r="O31" i="10"/>
  <c r="S27" i="10"/>
  <c r="S31" i="10"/>
  <c r="AC26" i="10"/>
  <c r="AC29" i="10" s="1"/>
  <c r="AB26" i="10"/>
  <c r="AB29" i="10" s="1"/>
  <c r="X26" i="10"/>
  <c r="X29" i="10" s="1"/>
  <c r="AA26" i="10"/>
  <c r="AE26" i="10"/>
  <c r="AE29" i="10" s="1"/>
  <c r="AD26" i="10"/>
  <c r="AD29" i="10" s="1"/>
  <c r="W26" i="10"/>
  <c r="Z26" i="10"/>
  <c r="Z30" i="10" s="1"/>
  <c r="AC13" i="10"/>
  <c r="W13" i="10"/>
  <c r="S17" i="10"/>
  <c r="S19" i="10"/>
  <c r="S18" i="10"/>
  <c r="AD13" i="10"/>
  <c r="Y13" i="10"/>
  <c r="X13" i="10"/>
  <c r="D44" i="10"/>
  <c r="AG127" i="8"/>
  <c r="AG136" i="8"/>
  <c r="R36" i="8"/>
  <c r="R39" i="8" s="1"/>
  <c r="R109" i="8"/>
  <c r="AG126" i="8"/>
  <c r="AG113" i="8"/>
  <c r="AG115" i="8"/>
  <c r="AG114" i="8"/>
  <c r="AG17" i="8"/>
  <c r="AG35" i="8"/>
  <c r="AD33" i="8"/>
  <c r="AD36" i="8" s="1"/>
  <c r="AD39" i="8" s="1"/>
  <c r="AG31" i="8"/>
  <c r="AG149" i="8"/>
  <c r="AD57" i="11"/>
  <c r="AG16" i="8"/>
  <c r="AG19" i="8"/>
  <c r="AE112" i="8"/>
  <c r="AD112" i="8"/>
  <c r="V11" i="11"/>
  <c r="AA48" i="11"/>
  <c r="AB8" i="11"/>
  <c r="AB48" i="11"/>
  <c r="Z48" i="11"/>
  <c r="AD39" i="11"/>
  <c r="AE7" i="11"/>
  <c r="AD37" i="11"/>
  <c r="X11" i="11"/>
  <c r="W45" i="11"/>
  <c r="AB76" i="11"/>
  <c r="AD75" i="11"/>
  <c r="AD76" i="11" s="1"/>
  <c r="AD79" i="11" s="1"/>
  <c r="AD88" i="11" s="1"/>
  <c r="X10" i="11"/>
  <c r="AE32" i="11"/>
  <c r="AD28" i="11"/>
  <c r="Y44" i="11"/>
  <c r="AE44" i="11"/>
  <c r="Z11" i="11"/>
  <c r="D12" i="11"/>
  <c r="D17" i="11" s="1"/>
  <c r="D18" i="11" s="1"/>
  <c r="Q12" i="11"/>
  <c r="Q17" i="11" s="1"/>
  <c r="Q25" i="11" s="1"/>
  <c r="J12" i="11"/>
  <c r="J17" i="11" s="1"/>
  <c r="J18" i="11" s="1"/>
  <c r="D42" i="10"/>
  <c r="I42" i="10"/>
  <c r="N44" i="10"/>
  <c r="I44" i="10"/>
  <c r="P12" i="11"/>
  <c r="I43" i="10"/>
  <c r="N12" i="11"/>
  <c r="I12" i="11"/>
  <c r="I17" i="11" s="1"/>
  <c r="I25" i="11" s="1"/>
  <c r="M12" i="11"/>
  <c r="J43" i="10"/>
  <c r="N42" i="10"/>
  <c r="L12" i="11"/>
  <c r="L17" i="11" s="1"/>
  <c r="M42" i="10"/>
  <c r="Z13" i="10"/>
  <c r="AD9" i="11"/>
  <c r="AD7" i="11"/>
  <c r="J42" i="10"/>
  <c r="AD11" i="11"/>
  <c r="Y11" i="11"/>
  <c r="AC8" i="11"/>
  <c r="AC7" i="11"/>
  <c r="E43" i="10"/>
  <c r="R12" i="11"/>
  <c r="R17" i="11" s="1"/>
  <c r="R18" i="11" s="1"/>
  <c r="P43" i="10"/>
  <c r="W7" i="11"/>
  <c r="P42" i="10"/>
  <c r="AA9" i="11"/>
  <c r="AE6" i="11"/>
  <c r="AE10" i="11"/>
  <c r="AG116" i="8"/>
  <c r="R101" i="8"/>
  <c r="S58" i="8"/>
  <c r="S68" i="8" s="1"/>
  <c r="AA76" i="11"/>
  <c r="AD41" i="11"/>
  <c r="S158" i="8"/>
  <c r="AD158" i="8" s="1"/>
  <c r="X76" i="11"/>
  <c r="R138" i="8"/>
  <c r="T88" i="8"/>
  <c r="T99" i="8" s="1"/>
  <c r="N76" i="11"/>
  <c r="W76" i="11"/>
  <c r="S76" i="11"/>
  <c r="S79" i="11" s="1"/>
  <c r="S88" i="11" s="1"/>
  <c r="S57" i="11"/>
  <c r="F44" i="10"/>
  <c r="M43" i="10"/>
  <c r="F43" i="10"/>
  <c r="V13" i="10"/>
  <c r="E42" i="10"/>
  <c r="AA13" i="10"/>
  <c r="C43" i="10"/>
  <c r="AB13" i="10"/>
  <c r="K39" i="10"/>
  <c r="F42" i="10"/>
  <c r="E44" i="10"/>
  <c r="M44" i="10"/>
  <c r="C44" i="10"/>
  <c r="S39" i="10"/>
  <c r="R42" i="10"/>
  <c r="R43" i="10"/>
  <c r="R44" i="10"/>
  <c r="Q44" i="10"/>
  <c r="Q43" i="10"/>
  <c r="T25" i="11"/>
  <c r="T18" i="11"/>
  <c r="L42" i="10"/>
  <c r="L44" i="10"/>
  <c r="L43" i="10"/>
  <c r="T42" i="10"/>
  <c r="T44" i="10"/>
  <c r="H43" i="10"/>
  <c r="H44" i="10"/>
  <c r="H42" i="10"/>
  <c r="O39" i="10"/>
  <c r="S16" i="10"/>
  <c r="T28" i="8"/>
  <c r="T33" i="8" s="1"/>
  <c r="T21" i="8"/>
  <c r="S78" i="8"/>
  <c r="S21" i="8"/>
  <c r="Y46" i="11"/>
  <c r="V45" i="11"/>
  <c r="S138" i="8"/>
  <c r="S151" i="8"/>
  <c r="S14" i="10"/>
  <c r="C17" i="11"/>
  <c r="C18" i="11" s="1"/>
  <c r="C13" i="11"/>
  <c r="R29" i="8"/>
  <c r="L76" i="11"/>
  <c r="F13" i="11"/>
  <c r="F88" i="8"/>
  <c r="F99" i="8" s="1"/>
  <c r="K76" i="11"/>
  <c r="H18" i="11"/>
  <c r="O76" i="11"/>
  <c r="E18" i="11"/>
  <c r="E25" i="11"/>
  <c r="F18" i="11"/>
  <c r="F25" i="11"/>
  <c r="AE88" i="11"/>
  <c r="I18" i="11"/>
  <c r="H29" i="11"/>
  <c r="H26" i="11"/>
  <c r="F28" i="8"/>
  <c r="F33" i="8" s="1"/>
  <c r="F21" i="8"/>
  <c r="S54" i="10" l="1"/>
  <c r="AD52" i="10"/>
  <c r="X52" i="10"/>
  <c r="Z52" i="10"/>
  <c r="V52" i="10"/>
  <c r="AB52" i="10"/>
  <c r="V55" i="10"/>
  <c r="Z63" i="10"/>
  <c r="AA63" i="10"/>
  <c r="AB63" i="10"/>
  <c r="AC63" i="10"/>
  <c r="V54" i="10"/>
  <c r="AA52" i="10"/>
  <c r="AA54" i="10"/>
  <c r="AE52" i="10"/>
  <c r="AE55" i="10"/>
  <c r="Z55" i="10"/>
  <c r="AD55" i="10"/>
  <c r="AB54" i="10"/>
  <c r="AB55" i="10"/>
  <c r="AD54" i="10"/>
  <c r="Z54" i="10"/>
  <c r="AE54" i="10"/>
  <c r="X55" i="10"/>
  <c r="W55" i="10"/>
  <c r="X54" i="10"/>
  <c r="Y52" i="10"/>
  <c r="Y55" i="10"/>
  <c r="Y54" i="10"/>
  <c r="W54" i="10"/>
  <c r="AD31" i="10"/>
  <c r="S40" i="10"/>
  <c r="K43" i="10"/>
  <c r="K40" i="10"/>
  <c r="O40" i="10"/>
  <c r="V31" i="10"/>
  <c r="AD30" i="10"/>
  <c r="AA27" i="10"/>
  <c r="AA30" i="10"/>
  <c r="X27" i="10"/>
  <c r="X31" i="10"/>
  <c r="AA29" i="10"/>
  <c r="AB27" i="10"/>
  <c r="AB31" i="10"/>
  <c r="Y27" i="10"/>
  <c r="Y31" i="10"/>
  <c r="Y29" i="10"/>
  <c r="V27" i="10"/>
  <c r="W27" i="10"/>
  <c r="W30" i="10"/>
  <c r="AA31" i="10"/>
  <c r="W29" i="10"/>
  <c r="Y30" i="10"/>
  <c r="AC27" i="10"/>
  <c r="AC30" i="10"/>
  <c r="Z29" i="10"/>
  <c r="AD27" i="10"/>
  <c r="X30" i="10"/>
  <c r="AB30" i="10"/>
  <c r="Z27" i="10"/>
  <c r="Z31" i="10"/>
  <c r="AE30" i="10"/>
  <c r="AE31" i="10"/>
  <c r="W31" i="10"/>
  <c r="V30" i="10"/>
  <c r="AC31" i="10"/>
  <c r="F36" i="8"/>
  <c r="F39" i="8" s="1"/>
  <c r="F109" i="8"/>
  <c r="T36" i="8"/>
  <c r="T39" i="8" s="1"/>
  <c r="T109" i="8"/>
  <c r="E13" i="11"/>
  <c r="L13" i="11"/>
  <c r="AE45" i="11"/>
  <c r="AD45" i="11"/>
  <c r="AB9" i="11"/>
  <c r="Z8" i="11"/>
  <c r="AC6" i="11"/>
  <c r="AA6" i="11"/>
  <c r="AB6" i="11"/>
  <c r="AB11" i="11"/>
  <c r="AC11" i="11"/>
  <c r="AC46" i="11"/>
  <c r="AB46" i="11"/>
  <c r="Y9" i="11"/>
  <c r="V9" i="11"/>
  <c r="Y6" i="11"/>
  <c r="X6" i="11"/>
  <c r="V6" i="11"/>
  <c r="W6" i="11"/>
  <c r="AA46" i="11"/>
  <c r="AE11" i="11"/>
  <c r="AA7" i="11"/>
  <c r="Z46" i="11"/>
  <c r="AD10" i="11"/>
  <c r="W9" i="11"/>
  <c r="AE9" i="11"/>
  <c r="Z6" i="11"/>
  <c r="AB7" i="11"/>
  <c r="AE24" i="11"/>
  <c r="AD24" i="11"/>
  <c r="AC10" i="11"/>
  <c r="Z10" i="11"/>
  <c r="AB10" i="11"/>
  <c r="AA10" i="11"/>
  <c r="AC44" i="11"/>
  <c r="AB44" i="11"/>
  <c r="AE8" i="11"/>
  <c r="AD8" i="11"/>
  <c r="Y10" i="11"/>
  <c r="W10" i="11"/>
  <c r="V10" i="11"/>
  <c r="AA11" i="11"/>
  <c r="Y45" i="11"/>
  <c r="X45" i="11"/>
  <c r="AC9" i="11"/>
  <c r="Z9" i="11"/>
  <c r="AE46" i="11"/>
  <c r="AD46" i="11"/>
  <c r="AA8" i="11"/>
  <c r="Z44" i="11"/>
  <c r="AE41" i="11"/>
  <c r="AD6" i="11"/>
  <c r="Y7" i="11"/>
  <c r="X7" i="11"/>
  <c r="V7" i="11"/>
  <c r="X46" i="11"/>
  <c r="V46" i="11"/>
  <c r="W46" i="11"/>
  <c r="Y8" i="11"/>
  <c r="X8" i="11"/>
  <c r="V8" i="11"/>
  <c r="W8" i="11"/>
  <c r="W11" i="11"/>
  <c r="X9" i="11"/>
  <c r="AA44" i="11"/>
  <c r="Z7" i="11"/>
  <c r="D13" i="11"/>
  <c r="Q18" i="11"/>
  <c r="M13" i="11"/>
  <c r="P13" i="11"/>
  <c r="I14" i="11"/>
  <c r="M14" i="11"/>
  <c r="J14" i="11"/>
  <c r="J25" i="11"/>
  <c r="J26" i="11" s="1"/>
  <c r="N13" i="11"/>
  <c r="Q14" i="11"/>
  <c r="T13" i="11"/>
  <c r="P17" i="11"/>
  <c r="P25" i="11" s="1"/>
  <c r="P26" i="11" s="1"/>
  <c r="R14" i="11"/>
  <c r="Q13" i="11"/>
  <c r="N17" i="11"/>
  <c r="N18" i="11" s="1"/>
  <c r="M17" i="11"/>
  <c r="M18" i="11" s="1"/>
  <c r="O12" i="11"/>
  <c r="O14" i="11" s="1"/>
  <c r="Y39" i="10"/>
  <c r="N14" i="11"/>
  <c r="X39" i="10"/>
  <c r="R13" i="11"/>
  <c r="V39" i="10"/>
  <c r="AB39" i="10"/>
  <c r="R25" i="11"/>
  <c r="R26" i="11" s="1"/>
  <c r="W39" i="10"/>
  <c r="AA39" i="10"/>
  <c r="K44" i="10"/>
  <c r="AG6" i="11"/>
  <c r="K12" i="11"/>
  <c r="L14" i="11" s="1"/>
  <c r="S12" i="11"/>
  <c r="T14" i="11" s="1"/>
  <c r="K42" i="10"/>
  <c r="S88" i="8"/>
  <c r="S99" i="8" s="1"/>
  <c r="T101" i="8"/>
  <c r="AG141" i="8"/>
  <c r="S43" i="10"/>
  <c r="S42" i="10"/>
  <c r="S44" i="10"/>
  <c r="T26" i="11"/>
  <c r="T29" i="11"/>
  <c r="O42" i="10"/>
  <c r="O43" i="10"/>
  <c r="O44" i="10"/>
  <c r="Z39" i="10"/>
  <c r="AE39" i="10"/>
  <c r="AD39" i="10"/>
  <c r="AC39" i="10"/>
  <c r="S28" i="8"/>
  <c r="S33" i="8" s="1"/>
  <c r="T29" i="8"/>
  <c r="AC45" i="11"/>
  <c r="C25" i="11"/>
  <c r="C29" i="11" s="1"/>
  <c r="C30" i="11" s="1"/>
  <c r="R43" i="8"/>
  <c r="R40" i="8"/>
  <c r="R130" i="8"/>
  <c r="R160" i="8" s="1"/>
  <c r="AC160" i="8" s="1"/>
  <c r="R46" i="8"/>
  <c r="D25" i="11"/>
  <c r="D29" i="11" s="1"/>
  <c r="F101" i="8"/>
  <c r="E29" i="11"/>
  <c r="E26" i="11"/>
  <c r="H34" i="11"/>
  <c r="H30" i="11"/>
  <c r="F29" i="11"/>
  <c r="F26" i="11"/>
  <c r="Q29" i="11"/>
  <c r="Q26" i="11"/>
  <c r="L25" i="11"/>
  <c r="L18" i="11"/>
  <c r="I29" i="11"/>
  <c r="I26" i="11"/>
  <c r="F29" i="8"/>
  <c r="AE40" i="10" l="1"/>
  <c r="X40" i="10"/>
  <c r="V40" i="10"/>
  <c r="Y40" i="10"/>
  <c r="AA40" i="10"/>
  <c r="AC40" i="10"/>
  <c r="AD40" i="10"/>
  <c r="Z40" i="10"/>
  <c r="W40" i="10"/>
  <c r="AB40" i="10"/>
  <c r="S36" i="8"/>
  <c r="S39" i="8" s="1"/>
  <c r="S40" i="8" s="1"/>
  <c r="S109" i="8"/>
  <c r="S130" i="8" s="1"/>
  <c r="S160" i="8" s="1"/>
  <c r="AD160" i="8" s="1"/>
  <c r="J29" i="11"/>
  <c r="AD33" i="11"/>
  <c r="AE33" i="11"/>
  <c r="AA45" i="11"/>
  <c r="Z45" i="11"/>
  <c r="M25" i="11"/>
  <c r="M29" i="11" s="1"/>
  <c r="AE47" i="11"/>
  <c r="AD47" i="11"/>
  <c r="AB45" i="11"/>
  <c r="P29" i="11"/>
  <c r="P30" i="11" s="1"/>
  <c r="AD12" i="11"/>
  <c r="P18" i="11"/>
  <c r="P14" i="11"/>
  <c r="W42" i="10"/>
  <c r="N25" i="11"/>
  <c r="N26" i="11" s="1"/>
  <c r="Y44" i="10"/>
  <c r="Y42" i="10"/>
  <c r="W44" i="10"/>
  <c r="Y43" i="10"/>
  <c r="W43" i="10"/>
  <c r="AA43" i="10"/>
  <c r="AA44" i="10"/>
  <c r="S14" i="11"/>
  <c r="AA42" i="10"/>
  <c r="X43" i="10"/>
  <c r="AB43" i="10"/>
  <c r="V42" i="10"/>
  <c r="AB42" i="10"/>
  <c r="AB44" i="10"/>
  <c r="AB12" i="11"/>
  <c r="S13" i="11"/>
  <c r="X12" i="11"/>
  <c r="X44" i="10"/>
  <c r="X42" i="10"/>
  <c r="S17" i="11"/>
  <c r="S18" i="11" s="1"/>
  <c r="AA12" i="11"/>
  <c r="R29" i="11"/>
  <c r="R30" i="11" s="1"/>
  <c r="V43" i="10"/>
  <c r="V44" i="10"/>
  <c r="Z12" i="11"/>
  <c r="V12" i="11"/>
  <c r="AC12" i="11"/>
  <c r="AG11" i="11"/>
  <c r="Y12" i="11"/>
  <c r="K14" i="11"/>
  <c r="AG7" i="11"/>
  <c r="AE12" i="11"/>
  <c r="AE17" i="11" s="1"/>
  <c r="AE18" i="11" s="1"/>
  <c r="W12" i="11"/>
  <c r="O13" i="11"/>
  <c r="AG8" i="11"/>
  <c r="AG9" i="11"/>
  <c r="AG10" i="11"/>
  <c r="S101" i="8"/>
  <c r="AC42" i="10"/>
  <c r="AE42" i="10"/>
  <c r="T34" i="11"/>
  <c r="T30" i="11"/>
  <c r="AC43" i="10"/>
  <c r="AC44" i="10"/>
  <c r="AD44" i="10"/>
  <c r="AD43" i="10"/>
  <c r="AE44" i="10"/>
  <c r="AE43" i="10"/>
  <c r="AD42" i="10"/>
  <c r="Z42" i="10"/>
  <c r="Z44" i="10"/>
  <c r="Z43" i="10"/>
  <c r="S29" i="8"/>
  <c r="T130" i="8"/>
  <c r="T160" i="8" s="1"/>
  <c r="AE160" i="8" s="1"/>
  <c r="T43" i="8"/>
  <c r="T46" i="8"/>
  <c r="T40" i="8"/>
  <c r="C26" i="11"/>
  <c r="C34" i="11"/>
  <c r="C83" i="11" s="1"/>
  <c r="D26" i="11"/>
  <c r="H35" i="11"/>
  <c r="H42" i="11"/>
  <c r="J34" i="11"/>
  <c r="J30" i="11"/>
  <c r="D30" i="11"/>
  <c r="D34" i="11"/>
  <c r="Q30" i="11"/>
  <c r="Q34" i="11"/>
  <c r="I34" i="11"/>
  <c r="I30" i="11"/>
  <c r="E30" i="11"/>
  <c r="E34" i="11"/>
  <c r="L29" i="11"/>
  <c r="L26" i="11"/>
  <c r="F30" i="11"/>
  <c r="F34" i="11"/>
  <c r="F40" i="8"/>
  <c r="F46" i="8"/>
  <c r="F43" i="8"/>
  <c r="S43" i="8" l="1"/>
  <c r="S46" i="8"/>
  <c r="F130" i="8"/>
  <c r="F160" i="8" s="1"/>
  <c r="P34" i="11"/>
  <c r="P35" i="11" s="1"/>
  <c r="M26" i="11"/>
  <c r="H49" i="11"/>
  <c r="H50" i="11" s="1"/>
  <c r="AD13" i="11"/>
  <c r="N29" i="11"/>
  <c r="N30" i="11" s="1"/>
  <c r="AB13" i="11"/>
  <c r="Z13" i="11"/>
  <c r="AA13" i="11"/>
  <c r="R34" i="11"/>
  <c r="R35" i="11" s="1"/>
  <c r="S25" i="11"/>
  <c r="S29" i="11" s="1"/>
  <c r="S30" i="11" s="1"/>
  <c r="AE25" i="11"/>
  <c r="AE29" i="11" s="1"/>
  <c r="AE34" i="11" s="1"/>
  <c r="AE13" i="11"/>
  <c r="AG12" i="11"/>
  <c r="AC13" i="11"/>
  <c r="T35" i="11"/>
  <c r="T42" i="11"/>
  <c r="T49" i="11" s="1"/>
  <c r="C87" i="11" a="1"/>
  <c r="C87" i="11" s="1"/>
  <c r="C84" i="11"/>
  <c r="C86" i="11" a="1"/>
  <c r="C86" i="11" s="1"/>
  <c r="C35" i="11"/>
  <c r="C42" i="11"/>
  <c r="C85" i="11"/>
  <c r="F87" i="11" a="1"/>
  <c r="F87" i="11" s="1"/>
  <c r="F86" i="11" a="1"/>
  <c r="F86" i="11" s="1"/>
  <c r="F42" i="11"/>
  <c r="F49" i="11" s="1"/>
  <c r="F35" i="11"/>
  <c r="F85" i="11"/>
  <c r="F83" i="11"/>
  <c r="F84" i="11"/>
  <c r="Q42" i="11"/>
  <c r="Q49" i="11" s="1"/>
  <c r="Q35" i="11"/>
  <c r="D87" i="11" a="1"/>
  <c r="D87" i="11" s="1"/>
  <c r="D42" i="11"/>
  <c r="D49" i="11" s="1"/>
  <c r="D83" i="11"/>
  <c r="D86" i="11" a="1"/>
  <c r="D86" i="11" s="1"/>
  <c r="D35" i="11"/>
  <c r="D85" i="11"/>
  <c r="D84" i="11"/>
  <c r="L30" i="11"/>
  <c r="L34" i="11"/>
  <c r="E42" i="11"/>
  <c r="E49" i="11" s="1"/>
  <c r="E35" i="11"/>
  <c r="E87" i="11" a="1"/>
  <c r="E87" i="11" s="1"/>
  <c r="E85" i="11"/>
  <c r="E86" i="11" a="1"/>
  <c r="E86" i="11" s="1"/>
  <c r="E84" i="11"/>
  <c r="E83" i="11"/>
  <c r="M30" i="11"/>
  <c r="M34" i="11"/>
  <c r="P42" i="11"/>
  <c r="I35" i="11"/>
  <c r="I42" i="11"/>
  <c r="I49" i="11" s="1"/>
  <c r="J42" i="11"/>
  <c r="J49" i="11" s="1"/>
  <c r="J35" i="11"/>
  <c r="N34" i="11" l="1"/>
  <c r="N35" i="11" s="1"/>
  <c r="C50" i="11"/>
  <c r="R42" i="11"/>
  <c r="R49" i="11" s="1"/>
  <c r="AG13" i="11"/>
  <c r="AE30" i="11"/>
  <c r="S26" i="11"/>
  <c r="S34" i="11"/>
  <c r="S85" i="11" s="1" a="1"/>
  <c r="S85" i="11" s="1"/>
  <c r="AE26" i="11"/>
  <c r="T50" i="11"/>
  <c r="L42" i="11"/>
  <c r="L35" i="11"/>
  <c r="I50" i="11"/>
  <c r="F50" i="11"/>
  <c r="J50" i="11"/>
  <c r="M42" i="11"/>
  <c r="M49" i="11" s="1"/>
  <c r="M35" i="11"/>
  <c r="AE87" i="11" a="1"/>
  <c r="AE87" i="11" s="1"/>
  <c r="AE42" i="11"/>
  <c r="AE86" i="11" a="1"/>
  <c r="AE86" i="11" s="1"/>
  <c r="AE85" i="11"/>
  <c r="AE35" i="11"/>
  <c r="AE83" i="11"/>
  <c r="AE84" i="11"/>
  <c r="Q50" i="11"/>
  <c r="N42" i="11"/>
  <c r="N49" i="11" s="1"/>
  <c r="E50" i="11"/>
  <c r="D50" i="11"/>
  <c r="S35" i="11" l="1"/>
  <c r="T84" i="11"/>
  <c r="S86" i="11" a="1"/>
  <c r="S86" i="11" s="1"/>
  <c r="S87" i="11" a="1"/>
  <c r="S87" i="11" s="1"/>
  <c r="S83" i="11"/>
  <c r="S84" i="11"/>
  <c r="T86" i="11" a="1"/>
  <c r="T86" i="11" s="1"/>
  <c r="T83" i="11"/>
  <c r="T85" i="11" a="1"/>
  <c r="T85" i="11" s="1"/>
  <c r="S42" i="11"/>
  <c r="T87" i="11" a="1"/>
  <c r="T87" i="11" s="1"/>
  <c r="R50" i="11"/>
  <c r="M50" i="11"/>
  <c r="S49" i="11" l="1"/>
  <c r="AE49" i="11" s="1"/>
  <c r="N50" i="11"/>
  <c r="S50" i="11" l="1"/>
  <c r="B2" i="10"/>
  <c r="B16" i="10"/>
  <c r="J13" i="10"/>
  <c r="J27" i="10" s="1"/>
  <c r="D13" i="10"/>
  <c r="P13" i="10"/>
  <c r="P27" i="10" s="1"/>
  <c r="E13" i="10"/>
  <c r="Q13" i="10"/>
  <c r="Q27" i="10" s="1"/>
  <c r="O13" i="10"/>
  <c r="O27" i="10" s="1"/>
  <c r="N13" i="10"/>
  <c r="N27" i="10" s="1"/>
  <c r="M13" i="10"/>
  <c r="M27" i="10" s="1"/>
  <c r="I13" i="10"/>
  <c r="I27" i="10" s="1"/>
  <c r="C13" i="10"/>
  <c r="C27" i="10" s="1"/>
  <c r="O167" i="8"/>
  <c r="K167" i="8"/>
  <c r="E155" i="8"/>
  <c r="D155" i="8"/>
  <c r="H155" i="8" s="1"/>
  <c r="E27" i="10" l="1"/>
  <c r="E14" i="10"/>
  <c r="D27" i="10"/>
  <c r="D14" i="10"/>
  <c r="P17" i="10"/>
  <c r="AC17" i="10" s="1"/>
  <c r="P19" i="10"/>
  <c r="AC19" i="10" s="1"/>
  <c r="P18" i="10"/>
  <c r="AC18" i="10" s="1"/>
  <c r="N19" i="10"/>
  <c r="AA19" i="10" s="1"/>
  <c r="N18" i="10"/>
  <c r="AA18" i="10" s="1"/>
  <c r="N17" i="10"/>
  <c r="AA17" i="10" s="1"/>
  <c r="Q17" i="10"/>
  <c r="AD17" i="10" s="1"/>
  <c r="Q18" i="10"/>
  <c r="AD18" i="10" s="1"/>
  <c r="Q19" i="10"/>
  <c r="AD19" i="10" s="1"/>
  <c r="E19" i="10"/>
  <c r="E17" i="10"/>
  <c r="E18" i="10"/>
  <c r="C18" i="10"/>
  <c r="C19" i="10"/>
  <c r="C17" i="10"/>
  <c r="D18" i="10"/>
  <c r="D19" i="10"/>
  <c r="D17" i="10"/>
  <c r="I17" i="10"/>
  <c r="V17" i="10" s="1"/>
  <c r="I18" i="10"/>
  <c r="V18" i="10" s="1"/>
  <c r="I19" i="10"/>
  <c r="V19" i="10" s="1"/>
  <c r="J17" i="10"/>
  <c r="W17" i="10" s="1"/>
  <c r="J18" i="10"/>
  <c r="W18" i="10" s="1"/>
  <c r="J19" i="10"/>
  <c r="W19" i="10" s="1"/>
  <c r="M18" i="10"/>
  <c r="Z18" i="10" s="1"/>
  <c r="M19" i="10"/>
  <c r="Z19" i="10" s="1"/>
  <c r="M17" i="10"/>
  <c r="Z17" i="10" s="1"/>
  <c r="O19" i="10"/>
  <c r="AB19" i="10" s="1"/>
  <c r="O18" i="10"/>
  <c r="AB18" i="10" s="1"/>
  <c r="O17" i="10"/>
  <c r="AB17" i="10" s="1"/>
  <c r="Y167" i="8"/>
  <c r="X167" i="8"/>
  <c r="AA167" i="8"/>
  <c r="Z167" i="8"/>
  <c r="W167" i="8"/>
  <c r="V167" i="8"/>
  <c r="AG61" i="8"/>
  <c r="AG66" i="8"/>
  <c r="AG71" i="8"/>
  <c r="AG67" i="8"/>
  <c r="AG72" i="8"/>
  <c r="C16" i="10"/>
  <c r="I16" i="10"/>
  <c r="V16" i="10" s="1"/>
  <c r="E16" i="10"/>
  <c r="M16" i="10"/>
  <c r="Z16" i="10" s="1"/>
  <c r="N16" i="10"/>
  <c r="AA16" i="10" s="1"/>
  <c r="P16" i="10"/>
  <c r="AC16" i="10" s="1"/>
  <c r="D16" i="10"/>
  <c r="O16" i="10"/>
  <c r="AB16" i="10" s="1"/>
  <c r="J16" i="10"/>
  <c r="W16" i="10" s="1"/>
  <c r="Q16" i="10"/>
  <c r="AD16" i="10" s="1"/>
  <c r="AE16" i="10"/>
  <c r="K13" i="10"/>
  <c r="K27" i="10" s="1"/>
  <c r="AE13" i="10"/>
  <c r="H13" i="10"/>
  <c r="H27" i="10" s="1"/>
  <c r="L13" i="10"/>
  <c r="L27" i="10" s="1"/>
  <c r="AE27" i="10" l="1"/>
  <c r="K19" i="10"/>
  <c r="X19" i="10" s="1"/>
  <c r="K17" i="10"/>
  <c r="X17" i="10" s="1"/>
  <c r="K18" i="10"/>
  <c r="X18" i="10" s="1"/>
  <c r="L18" i="10"/>
  <c r="Y18" i="10" s="1"/>
  <c r="L19" i="10"/>
  <c r="Y19" i="10" s="1"/>
  <c r="L17" i="10"/>
  <c r="Y17" i="10" s="1"/>
  <c r="H17" i="10"/>
  <c r="H18" i="10"/>
  <c r="H19" i="10"/>
  <c r="AC47" i="11"/>
  <c r="AB47" i="11"/>
  <c r="AA47" i="11"/>
  <c r="Z47" i="11"/>
  <c r="X47" i="11"/>
  <c r="Y47" i="11"/>
  <c r="W47" i="11"/>
  <c r="V47" i="11"/>
  <c r="H16" i="10"/>
  <c r="L16" i="10"/>
  <c r="Y16" i="10" s="1"/>
  <c r="K16" i="10"/>
  <c r="X16" i="10" s="1"/>
  <c r="O38" i="8" l="1"/>
  <c r="K38" i="8"/>
  <c r="O27" i="8"/>
  <c r="K27" i="8"/>
  <c r="O166" i="8"/>
  <c r="K166" i="8"/>
  <c r="O57" i="8"/>
  <c r="Z57" i="8" s="1"/>
  <c r="K57" i="8"/>
  <c r="V57" i="8" s="1"/>
  <c r="O56" i="8"/>
  <c r="Z56" i="8" s="1"/>
  <c r="K56" i="8"/>
  <c r="V56" i="8" s="1"/>
  <c r="AG53" i="8"/>
  <c r="E151" i="8"/>
  <c r="P151" i="8"/>
  <c r="C151" i="8"/>
  <c r="O53" i="8"/>
  <c r="K53" i="8"/>
  <c r="O23" i="8"/>
  <c r="K23" i="8"/>
  <c r="X27" i="8" l="1"/>
  <c r="W27" i="8"/>
  <c r="V27" i="8"/>
  <c r="Y27" i="8"/>
  <c r="AC27" i="8"/>
  <c r="AB27" i="8"/>
  <c r="AA27" i="8"/>
  <c r="AG27" i="8" s="1"/>
  <c r="Z27" i="8"/>
  <c r="K54" i="11"/>
  <c r="V53" i="8"/>
  <c r="Y23" i="8"/>
  <c r="Y33" i="8" s="1"/>
  <c r="Y36" i="8" s="1"/>
  <c r="X23" i="8"/>
  <c r="X33" i="8" s="1"/>
  <c r="X36" i="8" s="1"/>
  <c r="W23" i="8"/>
  <c r="W33" i="8" s="1"/>
  <c r="W36" i="8" s="1"/>
  <c r="V23" i="8"/>
  <c r="V33" i="8" s="1"/>
  <c r="V36" i="8" s="1"/>
  <c r="AB23" i="8"/>
  <c r="AB33" i="8" s="1"/>
  <c r="AB36" i="8" s="1"/>
  <c r="AA23" i="8"/>
  <c r="AA33" i="8" s="1"/>
  <c r="AA36" i="8" s="1"/>
  <c r="Z23" i="8"/>
  <c r="Z33" i="8" s="1"/>
  <c r="Z36" i="8" s="1"/>
  <c r="AC23" i="8"/>
  <c r="AC33" i="8" s="1"/>
  <c r="AC36" i="8" s="1"/>
  <c r="O54" i="11"/>
  <c r="Z53" i="8"/>
  <c r="Y38" i="8"/>
  <c r="X38" i="8"/>
  <c r="W38" i="8"/>
  <c r="V38" i="8"/>
  <c r="AB38" i="8"/>
  <c r="AA38" i="8"/>
  <c r="Z38" i="8"/>
  <c r="AC38" i="8"/>
  <c r="Z151" i="8"/>
  <c r="Y151" i="8"/>
  <c r="X151" i="8"/>
  <c r="W166" i="8"/>
  <c r="V166" i="8"/>
  <c r="W151" i="8"/>
  <c r="AA166" i="8"/>
  <c r="Y166" i="8"/>
  <c r="X166" i="8"/>
  <c r="Z166" i="8"/>
  <c r="X57" i="11"/>
  <c r="AG57" i="8"/>
  <c r="AG73" i="8"/>
  <c r="AG94" i="8"/>
  <c r="AG81" i="8"/>
  <c r="AG76" i="8"/>
  <c r="AG90" i="8"/>
  <c r="AG56" i="8"/>
  <c r="Q151" i="8"/>
  <c r="J151" i="8"/>
  <c r="D151" i="8"/>
  <c r="H151" i="8"/>
  <c r="I151" i="8"/>
  <c r="L151" i="8"/>
  <c r="M151" i="8"/>
  <c r="N151" i="8"/>
  <c r="K112" i="8"/>
  <c r="AA39" i="8" l="1"/>
  <c r="AB39" i="8"/>
  <c r="V39" i="8"/>
  <c r="W39" i="8"/>
  <c r="X39" i="8"/>
  <c r="Y39" i="8"/>
  <c r="AG36" i="8"/>
  <c r="AC39" i="8"/>
  <c r="Z39" i="8"/>
  <c r="AG33" i="8"/>
  <c r="Z54" i="11"/>
  <c r="Z57" i="11" s="1"/>
  <c r="P49" i="11"/>
  <c r="AD49" i="11" s="1"/>
  <c r="Y112" i="8"/>
  <c r="X112" i="8"/>
  <c r="W112" i="8"/>
  <c r="V112" i="8"/>
  <c r="V54" i="11"/>
  <c r="V57" i="11" s="1"/>
  <c r="L49" i="11"/>
  <c r="Z39" i="11"/>
  <c r="AC39" i="11"/>
  <c r="AA39" i="11"/>
  <c r="AG39" i="11" s="1"/>
  <c r="AB39" i="11"/>
  <c r="AC37" i="11"/>
  <c r="AA37" i="11"/>
  <c r="AG37" i="11" s="1"/>
  <c r="Z37" i="11"/>
  <c r="AB37" i="11"/>
  <c r="Y39" i="11"/>
  <c r="W39" i="11"/>
  <c r="V39" i="11"/>
  <c r="X39" i="11"/>
  <c r="AB38" i="11"/>
  <c r="AC38" i="11"/>
  <c r="Z38" i="11"/>
  <c r="AA38" i="11"/>
  <c r="AG38" i="11" s="1"/>
  <c r="Y37" i="11"/>
  <c r="V37" i="11"/>
  <c r="X37" i="11"/>
  <c r="W37" i="11"/>
  <c r="Y38" i="11"/>
  <c r="W38" i="11"/>
  <c r="V38" i="11"/>
  <c r="X38" i="11"/>
  <c r="AG38" i="8"/>
  <c r="O57" i="11"/>
  <c r="W57" i="11"/>
  <c r="K57" i="11"/>
  <c r="AG23" i="8"/>
  <c r="O151" i="8"/>
  <c r="K151" i="8"/>
  <c r="V151" i="8"/>
  <c r="Y28" i="11" l="1"/>
  <c r="X28" i="11"/>
  <c r="V28" i="11"/>
  <c r="W28" i="11"/>
  <c r="Y32" i="11"/>
  <c r="V32" i="11"/>
  <c r="X32" i="11"/>
  <c r="W32" i="11"/>
  <c r="AC32" i="11"/>
  <c r="AB32" i="11"/>
  <c r="Z32" i="11"/>
  <c r="AA32" i="11"/>
  <c r="AG32" i="11" s="1"/>
  <c r="AE50" i="11"/>
  <c r="P50" i="11"/>
  <c r="L50" i="11"/>
  <c r="AA57" i="11"/>
  <c r="AA151" i="8"/>
  <c r="AC151" i="8"/>
  <c r="AE151" i="8"/>
  <c r="AD151" i="8"/>
  <c r="AB151" i="8"/>
  <c r="Y41" i="11" l="1"/>
  <c r="W41" i="11"/>
  <c r="X41" i="11"/>
  <c r="V41" i="11"/>
  <c r="Q95" i="8"/>
  <c r="Q98" i="8" s="1"/>
  <c r="P95" i="8"/>
  <c r="P98" i="8" s="1"/>
  <c r="N95" i="8"/>
  <c r="N98" i="8" s="1"/>
  <c r="M95" i="8"/>
  <c r="L95" i="8"/>
  <c r="L98" i="8" s="1"/>
  <c r="J95" i="8"/>
  <c r="I95" i="8"/>
  <c r="H95" i="8"/>
  <c r="E95" i="8"/>
  <c r="E98" i="8" s="1"/>
  <c r="D95" i="8"/>
  <c r="D98" i="8" s="1"/>
  <c r="C95" i="8"/>
  <c r="C98" i="8" s="1"/>
  <c r="O45" i="8"/>
  <c r="Z45" i="8" s="1"/>
  <c r="O42" i="8"/>
  <c r="Z42" i="8" s="1"/>
  <c r="O13" i="8"/>
  <c r="O10" i="8"/>
  <c r="K10" i="8"/>
  <c r="K13" i="8"/>
  <c r="V79" i="11" l="1"/>
  <c r="V88" i="11" s="1"/>
  <c r="M98" i="8"/>
  <c r="H79" i="11"/>
  <c r="H98" i="8"/>
  <c r="I79" i="11"/>
  <c r="I98" i="8"/>
  <c r="J79" i="11"/>
  <c r="J98" i="8"/>
  <c r="D79" i="11"/>
  <c r="D88" i="11" s="1"/>
  <c r="C79" i="11"/>
  <c r="C88" i="11" s="1"/>
  <c r="E79" i="11"/>
  <c r="E88" i="11" s="1"/>
  <c r="AB13" i="8"/>
  <c r="AA13" i="8"/>
  <c r="Z13" i="8"/>
  <c r="AC13" i="8"/>
  <c r="Y13" i="8"/>
  <c r="X13" i="8"/>
  <c r="W13" i="8"/>
  <c r="V13" i="8"/>
  <c r="Y10" i="8"/>
  <c r="X10" i="8"/>
  <c r="W10" i="8"/>
  <c r="V10" i="8"/>
  <c r="AC10" i="8"/>
  <c r="AB10" i="8"/>
  <c r="Z10" i="8"/>
  <c r="AA10" i="8"/>
  <c r="AD17" i="11"/>
  <c r="AD25" i="11" s="1"/>
  <c r="Y79" i="11"/>
  <c r="Y88" i="11" s="1"/>
  <c r="M79" i="11"/>
  <c r="M88" i="11" s="1"/>
  <c r="N79" i="11"/>
  <c r="N88" i="11" s="1"/>
  <c r="Z79" i="11"/>
  <c r="Z88" i="11" s="1"/>
  <c r="AC79" i="11"/>
  <c r="AC88" i="11" s="1"/>
  <c r="Q79" i="11"/>
  <c r="Q88" i="11" s="1"/>
  <c r="AB79" i="11"/>
  <c r="AB88" i="11" s="1"/>
  <c r="P79" i="11"/>
  <c r="P88" i="11" s="1"/>
  <c r="L79" i="11"/>
  <c r="L88" i="11" s="1"/>
  <c r="AG42" i="8"/>
  <c r="AG45" i="8"/>
  <c r="V95" i="8"/>
  <c r="V98" i="8" s="1"/>
  <c r="X95" i="8"/>
  <c r="X98" i="8" s="1"/>
  <c r="Z95" i="8"/>
  <c r="Z98" i="8" s="1"/>
  <c r="AA95" i="8"/>
  <c r="AA98" i="8" s="1"/>
  <c r="AB95" i="8"/>
  <c r="AB98" i="8" s="1"/>
  <c r="AD95" i="8"/>
  <c r="AD98" i="8" s="1"/>
  <c r="W95" i="8"/>
  <c r="W98" i="8" s="1"/>
  <c r="K95" i="8"/>
  <c r="K98" i="8" s="1"/>
  <c r="Y95" i="8"/>
  <c r="Y98" i="8" s="1"/>
  <c r="AC95" i="8"/>
  <c r="AC98" i="8" s="1"/>
  <c r="O95" i="8"/>
  <c r="AE95" i="8"/>
  <c r="AE98" i="8" s="1"/>
  <c r="X79" i="11" l="1"/>
  <c r="X88" i="11" s="1"/>
  <c r="O98" i="8"/>
  <c r="Y16" i="11"/>
  <c r="X16" i="11"/>
  <c r="W16" i="11"/>
  <c r="W17" i="11" s="1"/>
  <c r="W18" i="11" s="1"/>
  <c r="V16" i="11"/>
  <c r="V17" i="11" s="1"/>
  <c r="X20" i="11"/>
  <c r="Y20" i="11"/>
  <c r="V20" i="11"/>
  <c r="W20" i="11"/>
  <c r="AC24" i="11"/>
  <c r="AA24" i="11"/>
  <c r="AG24" i="11" s="1"/>
  <c r="AB24" i="11"/>
  <c r="Z24" i="11"/>
  <c r="O17" i="11"/>
  <c r="O25" i="11" s="1"/>
  <c r="Z16" i="11"/>
  <c r="Z17" i="11" s="1"/>
  <c r="Z18" i="11" s="1"/>
  <c r="AC16" i="11"/>
  <c r="AC17" i="11" s="1"/>
  <c r="AC25" i="11" s="1"/>
  <c r="AA16" i="11"/>
  <c r="AA17" i="11" s="1"/>
  <c r="AB16" i="11"/>
  <c r="AB17" i="11" s="1"/>
  <c r="AC20" i="11"/>
  <c r="Z20" i="11"/>
  <c r="AB20" i="11"/>
  <c r="AA20" i="11"/>
  <c r="AG20" i="11" s="1"/>
  <c r="V24" i="11"/>
  <c r="Y24" i="11"/>
  <c r="W24" i="11"/>
  <c r="X24" i="11"/>
  <c r="X17" i="11"/>
  <c r="X18" i="11" s="1"/>
  <c r="Y17" i="11"/>
  <c r="Y18" i="11" s="1"/>
  <c r="K17" i="11"/>
  <c r="K25" i="11" s="1"/>
  <c r="AD18" i="11"/>
  <c r="W79" i="11"/>
  <c r="W88" i="11" s="1"/>
  <c r="K79" i="11"/>
  <c r="K88" i="11" s="1"/>
  <c r="AA79" i="11"/>
  <c r="AA88" i="11" s="1"/>
  <c r="O79" i="11"/>
  <c r="O88" i="11" s="1"/>
  <c r="AB18" i="11"/>
  <c r="O112" i="8"/>
  <c r="AB112" i="8" l="1"/>
  <c r="AA112" i="8"/>
  <c r="AG112" i="8" s="1"/>
  <c r="AC112" i="8"/>
  <c r="Z112" i="8"/>
  <c r="O18" i="11"/>
  <c r="AC33" i="11"/>
  <c r="AB33" i="11"/>
  <c r="AA33" i="11"/>
  <c r="AG33" i="11" s="1"/>
  <c r="Z33" i="11"/>
  <c r="AB25" i="11"/>
  <c r="AB26" i="11" s="1"/>
  <c r="X33" i="11"/>
  <c r="Y33" i="11"/>
  <c r="V33" i="11"/>
  <c r="W33" i="11"/>
  <c r="AC18" i="11"/>
  <c r="X25" i="11"/>
  <c r="X26" i="11" s="1"/>
  <c r="AG16" i="11"/>
  <c r="Y25" i="11"/>
  <c r="Y26" i="11" s="1"/>
  <c r="K18" i="11"/>
  <c r="Z25" i="11"/>
  <c r="Z26" i="11" s="1"/>
  <c r="AA25" i="11"/>
  <c r="W25" i="11"/>
  <c r="W26" i="11" s="1"/>
  <c r="V25" i="11"/>
  <c r="V18" i="11"/>
  <c r="AD29" i="11"/>
  <c r="O26" i="11"/>
  <c r="K26" i="11"/>
  <c r="K29" i="11"/>
  <c r="AG17" i="11"/>
  <c r="AA18" i="11"/>
  <c r="AG18" i="11" s="1"/>
  <c r="AD26" i="11"/>
  <c r="AC26" i="11"/>
  <c r="AG133" i="8"/>
  <c r="AC41" i="11" l="1"/>
  <c r="AA41" i="11"/>
  <c r="AG41" i="11" s="1"/>
  <c r="Z41" i="11"/>
  <c r="AB41" i="11"/>
  <c r="AB28" i="11"/>
  <c r="AB29" i="11" s="1"/>
  <c r="AC28" i="11"/>
  <c r="AC29" i="11" s="1"/>
  <c r="AC34" i="11" s="1"/>
  <c r="Z28" i="11"/>
  <c r="Z29" i="11" s="1"/>
  <c r="Z30" i="11" s="1"/>
  <c r="AA28" i="11"/>
  <c r="AA29" i="11" s="1"/>
  <c r="Y29" i="11"/>
  <c r="O29" i="11"/>
  <c r="O30" i="11" s="1"/>
  <c r="X29" i="11"/>
  <c r="X30" i="11" s="1"/>
  <c r="W29" i="11"/>
  <c r="W30" i="11" s="1"/>
  <c r="V26" i="11"/>
  <c r="V29" i="11"/>
  <c r="AD30" i="11"/>
  <c r="AD34" i="11"/>
  <c r="K30" i="11"/>
  <c r="K34" i="11"/>
  <c r="AA26" i="11"/>
  <c r="AG26" i="11" s="1"/>
  <c r="AG25" i="11"/>
  <c r="AG28" i="11" l="1"/>
  <c r="N83" i="11"/>
  <c r="N86" i="11" a="1"/>
  <c r="N86" i="11" s="1"/>
  <c r="N87" i="11" a="1"/>
  <c r="N87" i="11" s="1"/>
  <c r="N85" i="11" a="1"/>
  <c r="N85" i="11" s="1"/>
  <c r="N84" i="11"/>
  <c r="K87" i="11" a="1"/>
  <c r="K87" i="11" s="1"/>
  <c r="K85" i="11" a="1"/>
  <c r="K85" i="11" s="1"/>
  <c r="M87" i="11" a="1"/>
  <c r="M87" i="11" s="1"/>
  <c r="K84" i="11"/>
  <c r="M84" i="11"/>
  <c r="M83" i="11"/>
  <c r="L85" i="11" a="1"/>
  <c r="L85" i="11" s="1"/>
  <c r="L83" i="11"/>
  <c r="M85" i="11" a="1"/>
  <c r="M85" i="11" s="1"/>
  <c r="L84" i="11"/>
  <c r="L86" i="11" a="1"/>
  <c r="L86" i="11" s="1"/>
  <c r="M86" i="11" a="1"/>
  <c r="M86" i="11" s="1"/>
  <c r="L87" i="11" a="1"/>
  <c r="L87" i="11" s="1"/>
  <c r="K86" i="11" a="1"/>
  <c r="K86" i="11" s="1"/>
  <c r="K83" i="11"/>
  <c r="AB34" i="11"/>
  <c r="AB35" i="11" s="1"/>
  <c r="AB30" i="11"/>
  <c r="AC30" i="11"/>
  <c r="Y34" i="11"/>
  <c r="Y84" i="11" s="1"/>
  <c r="Y30" i="11"/>
  <c r="O34" i="11"/>
  <c r="X34" i="11"/>
  <c r="X42" i="11" s="1"/>
  <c r="W34" i="11"/>
  <c r="W84" i="11" s="1"/>
  <c r="Z34" i="11"/>
  <c r="Z83" i="11" s="1"/>
  <c r="V30" i="11"/>
  <c r="V34" i="11"/>
  <c r="AD35" i="11"/>
  <c r="AD85" i="11"/>
  <c r="AD86" i="11" a="1"/>
  <c r="AD86" i="11" s="1"/>
  <c r="AD42" i="11"/>
  <c r="AD87" i="11" a="1"/>
  <c r="AD87" i="11" s="1"/>
  <c r="AD84" i="11"/>
  <c r="AD83" i="11"/>
  <c r="AA34" i="11"/>
  <c r="AA30" i="11"/>
  <c r="AG30" i="11" s="1"/>
  <c r="AG29" i="11"/>
  <c r="K35" i="11"/>
  <c r="K42" i="11"/>
  <c r="K49" i="11" s="1"/>
  <c r="AC87" i="11" a="1"/>
  <c r="AC87" i="11" s="1"/>
  <c r="AC42" i="11"/>
  <c r="AC85" i="11"/>
  <c r="AC86" i="11" a="1"/>
  <c r="AC86" i="11" s="1"/>
  <c r="AC35" i="11"/>
  <c r="AC83" i="11"/>
  <c r="AC84" i="11"/>
  <c r="P78" i="8"/>
  <c r="N78" i="8"/>
  <c r="P138" i="8"/>
  <c r="L138" i="8"/>
  <c r="H138" i="8"/>
  <c r="O11" i="8"/>
  <c r="O14" i="10" s="1"/>
  <c r="K11" i="8"/>
  <c r="K14" i="10" s="1"/>
  <c r="K45" i="8"/>
  <c r="V45" i="8" s="1"/>
  <c r="K42" i="8"/>
  <c r="V42" i="8" s="1"/>
  <c r="M58" i="8"/>
  <c r="M68" i="8" s="1"/>
  <c r="L58" i="8"/>
  <c r="L68" i="8" s="1"/>
  <c r="H58" i="8"/>
  <c r="H68" i="8" s="1"/>
  <c r="Q106" i="8"/>
  <c r="P106" i="8"/>
  <c r="O106" i="8"/>
  <c r="N106" i="8"/>
  <c r="M106" i="8"/>
  <c r="L106" i="8"/>
  <c r="K106" i="8"/>
  <c r="J106" i="8"/>
  <c r="I106" i="8"/>
  <c r="H106" i="8"/>
  <c r="Q105" i="8"/>
  <c r="P105" i="8"/>
  <c r="O105" i="8"/>
  <c r="N105" i="8"/>
  <c r="M105" i="8"/>
  <c r="L105" i="8"/>
  <c r="K105" i="8"/>
  <c r="J105" i="8"/>
  <c r="I105" i="8"/>
  <c r="H105" i="8"/>
  <c r="I58" i="8"/>
  <c r="I68" i="8" s="1"/>
  <c r="J58" i="8"/>
  <c r="J68" i="8" s="1"/>
  <c r="N58" i="8"/>
  <c r="N68" i="8" s="1"/>
  <c r="P58" i="8"/>
  <c r="P68" i="8" s="1"/>
  <c r="Q58" i="8"/>
  <c r="Q68" i="8" s="1"/>
  <c r="Q50" i="8"/>
  <c r="P50" i="8"/>
  <c r="O50" i="8"/>
  <c r="N50" i="8"/>
  <c r="M50" i="8"/>
  <c r="L50" i="8"/>
  <c r="K50" i="8"/>
  <c r="J50" i="8"/>
  <c r="I50" i="8"/>
  <c r="H50" i="8"/>
  <c r="Q49" i="8"/>
  <c r="P49" i="8"/>
  <c r="O49" i="8"/>
  <c r="N49" i="8"/>
  <c r="M49" i="8"/>
  <c r="L49" i="8"/>
  <c r="K49" i="8"/>
  <c r="J49" i="8"/>
  <c r="I49" i="8"/>
  <c r="H49" i="8"/>
  <c r="E50" i="8"/>
  <c r="D50" i="8"/>
  <c r="C50" i="8"/>
  <c r="E49" i="8"/>
  <c r="D49" i="8"/>
  <c r="C49" i="8"/>
  <c r="Q11" i="8"/>
  <c r="P11" i="8"/>
  <c r="N11" i="8"/>
  <c r="M11" i="8"/>
  <c r="L11" i="8"/>
  <c r="J11" i="8"/>
  <c r="J14" i="10" s="1"/>
  <c r="I11" i="8"/>
  <c r="I14" i="10" s="1"/>
  <c r="H11" i="8"/>
  <c r="H14" i="10" s="1"/>
  <c r="AB86" i="11" l="1" a="1"/>
  <c r="AB86" i="11" s="1"/>
  <c r="AB87" i="11" a="1"/>
  <c r="AB87" i="11" s="1"/>
  <c r="AB84" i="11"/>
  <c r="AB83" i="11"/>
  <c r="AB85" i="11"/>
  <c r="AB42" i="11"/>
  <c r="R85" i="11" a="1"/>
  <c r="R85" i="11" s="1"/>
  <c r="R87" i="11" a="1"/>
  <c r="R87" i="11" s="1"/>
  <c r="R84" i="11"/>
  <c r="R83" i="11"/>
  <c r="R86" i="11" a="1"/>
  <c r="R86" i="11" s="1"/>
  <c r="Q84" i="11"/>
  <c r="P86" i="11" a="1"/>
  <c r="P86" i="11" s="1"/>
  <c r="Q86" i="11" a="1"/>
  <c r="Q86" i="11" s="1"/>
  <c r="P85" i="11" a="1"/>
  <c r="P85" i="11" s="1"/>
  <c r="O87" i="11" a="1"/>
  <c r="O87" i="11" s="1"/>
  <c r="Q87" i="11" a="1"/>
  <c r="Q87" i="11" s="1"/>
  <c r="O84" i="11"/>
  <c r="Q83" i="11"/>
  <c r="P87" i="11" a="1"/>
  <c r="P87" i="11" s="1"/>
  <c r="P83" i="11"/>
  <c r="Q85" i="11" a="1"/>
  <c r="Q85" i="11" s="1"/>
  <c r="O86" i="11" a="1"/>
  <c r="O86" i="11" s="1"/>
  <c r="P84" i="11"/>
  <c r="O83" i="11"/>
  <c r="O85" i="11" a="1"/>
  <c r="O85" i="11" s="1"/>
  <c r="W83" i="11"/>
  <c r="W87" i="11" a="1"/>
  <c r="W87" i="11" s="1"/>
  <c r="Y42" i="11"/>
  <c r="Y86" i="11" a="1"/>
  <c r="Y86" i="11" s="1"/>
  <c r="Y85" i="11"/>
  <c r="O42" i="11"/>
  <c r="O49" i="11" s="1"/>
  <c r="W86" i="11" a="1"/>
  <c r="W86" i="11" s="1"/>
  <c r="W85" i="11"/>
  <c r="W35" i="11"/>
  <c r="O35" i="11"/>
  <c r="Y87" i="11" a="1"/>
  <c r="Y87" i="11" s="1"/>
  <c r="Y83" i="11"/>
  <c r="Y35" i="11"/>
  <c r="W42" i="11"/>
  <c r="X87" i="11" a="1"/>
  <c r="X87" i="11" s="1"/>
  <c r="Z84" i="11"/>
  <c r="Z42" i="11"/>
  <c r="Z35" i="11"/>
  <c r="Z85" i="11"/>
  <c r="Z86" i="11" a="1"/>
  <c r="Z86" i="11" s="1"/>
  <c r="Z87" i="11" a="1"/>
  <c r="Z87" i="11" s="1"/>
  <c r="X86" i="11" a="1"/>
  <c r="X86" i="11" s="1"/>
  <c r="X83" i="11"/>
  <c r="X85" i="11"/>
  <c r="X84" i="11"/>
  <c r="X35" i="11"/>
  <c r="V86" i="11" a="1"/>
  <c r="V86" i="11" s="1"/>
  <c r="V84" i="11"/>
  <c r="V85" i="11"/>
  <c r="V83" i="11"/>
  <c r="V35" i="11"/>
  <c r="V87" i="11" a="1"/>
  <c r="V87" i="11" s="1"/>
  <c r="V42" i="11"/>
  <c r="P28" i="8"/>
  <c r="P33" i="8" s="1"/>
  <c r="P14" i="10"/>
  <c r="Q14" i="10"/>
  <c r="L14" i="10"/>
  <c r="N14" i="10"/>
  <c r="M14" i="10"/>
  <c r="AA87" i="11" a="1"/>
  <c r="AA87" i="11" s="1"/>
  <c r="AA86" i="11" a="1"/>
  <c r="AA86" i="11" s="1"/>
  <c r="AA35" i="11"/>
  <c r="AG35" i="11" s="1"/>
  <c r="AA42" i="11"/>
  <c r="AG42" i="11" s="1"/>
  <c r="AG34" i="11"/>
  <c r="AA83" i="11"/>
  <c r="AA85" i="11"/>
  <c r="AA84" i="11"/>
  <c r="N88" i="8"/>
  <c r="N99" i="8" s="1"/>
  <c r="L78" i="8"/>
  <c r="Q78" i="8"/>
  <c r="I78" i="8"/>
  <c r="H78" i="8"/>
  <c r="M78" i="8"/>
  <c r="E78" i="8"/>
  <c r="J78" i="8"/>
  <c r="Q138" i="8"/>
  <c r="O138" i="8"/>
  <c r="I138" i="8"/>
  <c r="M138" i="8"/>
  <c r="N138" i="8"/>
  <c r="O78" i="8"/>
  <c r="O58" i="8"/>
  <c r="O68" i="8" s="1"/>
  <c r="K58" i="8"/>
  <c r="K68" i="8" s="1"/>
  <c r="K78" i="8"/>
  <c r="P36" i="8" l="1"/>
  <c r="P39" i="8" s="1"/>
  <c r="P109" i="8"/>
  <c r="P130" i="8" s="1"/>
  <c r="Y49" i="11"/>
  <c r="Y50" i="11" s="1"/>
  <c r="W49" i="11"/>
  <c r="W50" i="11" s="1"/>
  <c r="V49" i="11"/>
  <c r="V50" i="11" s="1"/>
  <c r="X49" i="11"/>
  <c r="X50" i="11" s="1"/>
  <c r="AC49" i="11"/>
  <c r="AC50" i="11" s="1"/>
  <c r="AB49" i="11"/>
  <c r="AB50" i="11" s="1"/>
  <c r="AA49" i="11"/>
  <c r="AA50" i="11" s="1"/>
  <c r="Z49" i="11"/>
  <c r="Z50" i="11" s="1"/>
  <c r="Q28" i="8"/>
  <c r="P21" i="8"/>
  <c r="M28" i="8"/>
  <c r="K50" i="11"/>
  <c r="O50" i="11"/>
  <c r="P29" i="8"/>
  <c r="AD50" i="11"/>
  <c r="N28" i="8"/>
  <c r="N33" i="8" s="1"/>
  <c r="H28" i="8"/>
  <c r="H33" i="8" s="1"/>
  <c r="L28" i="8"/>
  <c r="L33" i="8" s="1"/>
  <c r="N101" i="8"/>
  <c r="H21" i="8"/>
  <c r="O88" i="8"/>
  <c r="O99" i="8" s="1"/>
  <c r="L88" i="8"/>
  <c r="L99" i="8" s="1"/>
  <c r="J88" i="8"/>
  <c r="J99" i="8" s="1"/>
  <c r="E88" i="8"/>
  <c r="E99" i="8" s="1"/>
  <c r="I88" i="8"/>
  <c r="I99" i="8" s="1"/>
  <c r="K88" i="8"/>
  <c r="K99" i="8" s="1"/>
  <c r="Q88" i="8"/>
  <c r="Q99" i="8" s="1"/>
  <c r="H88" i="8"/>
  <c r="H99" i="8" s="1"/>
  <c r="M88" i="8"/>
  <c r="M99" i="8" s="1"/>
  <c r="P88" i="8"/>
  <c r="P99" i="8" s="1"/>
  <c r="J138" i="8"/>
  <c r="K138" i="8"/>
  <c r="O28" i="8"/>
  <c r="O33" i="8" s="1"/>
  <c r="K28" i="8"/>
  <c r="K33" i="8" s="1"/>
  <c r="N21" i="8"/>
  <c r="L21" i="8"/>
  <c r="L36" i="8" l="1"/>
  <c r="L39" i="8" s="1"/>
  <c r="L109" i="8"/>
  <c r="L130" i="8" s="1"/>
  <c r="H36" i="8"/>
  <c r="H39" i="8" s="1"/>
  <c r="H109" i="8"/>
  <c r="H130" i="8" s="1"/>
  <c r="H160" i="8" s="1"/>
  <c r="N36" i="8"/>
  <c r="N39" i="8" s="1"/>
  <c r="N109" i="8"/>
  <c r="N130" i="8" s="1"/>
  <c r="O36" i="8"/>
  <c r="O39" i="8" s="1"/>
  <c r="O109" i="8"/>
  <c r="O130" i="8" s="1"/>
  <c r="K36" i="8"/>
  <c r="K39" i="8" s="1"/>
  <c r="K109" i="8"/>
  <c r="K130" i="8" s="1"/>
  <c r="M29" i="8"/>
  <c r="M33" i="8"/>
  <c r="Q29" i="8"/>
  <c r="Q33" i="8"/>
  <c r="Q109" i="8" s="1"/>
  <c r="Q21" i="8"/>
  <c r="M21" i="8"/>
  <c r="O29" i="8"/>
  <c r="N29" i="8"/>
  <c r="L29" i="8"/>
  <c r="K29" i="8"/>
  <c r="H29" i="8"/>
  <c r="P46" i="8"/>
  <c r="P40" i="8"/>
  <c r="P43" i="8"/>
  <c r="J28" i="8"/>
  <c r="J33" i="8" s="1"/>
  <c r="I28" i="8"/>
  <c r="I33" i="8" s="1"/>
  <c r="L101" i="8"/>
  <c r="I21" i="8"/>
  <c r="J21" i="8"/>
  <c r="K101" i="8"/>
  <c r="O101" i="8"/>
  <c r="J101" i="8"/>
  <c r="I101" i="8"/>
  <c r="Q101" i="8"/>
  <c r="P101" i="8"/>
  <c r="M101" i="8"/>
  <c r="H101" i="8"/>
  <c r="K21" i="8"/>
  <c r="O21" i="8"/>
  <c r="I36" i="8" l="1"/>
  <c r="I39" i="8" s="1"/>
  <c r="I109" i="8"/>
  <c r="M36" i="8"/>
  <c r="M39" i="8" s="1"/>
  <c r="M109" i="8"/>
  <c r="J36" i="8"/>
  <c r="J39" i="8" s="1"/>
  <c r="J109" i="8"/>
  <c r="J130" i="8" s="1"/>
  <c r="Q36" i="8"/>
  <c r="Q39" i="8" s="1"/>
  <c r="Q130" i="8" s="1"/>
  <c r="Q160" i="8" s="1"/>
  <c r="AB160" i="8" s="1"/>
  <c r="M43" i="8"/>
  <c r="I29" i="8"/>
  <c r="I130" i="8"/>
  <c r="J29" i="8"/>
  <c r="H43" i="8"/>
  <c r="H40" i="8"/>
  <c r="H46" i="8"/>
  <c r="L43" i="8"/>
  <c r="L46" i="8"/>
  <c r="L40" i="8"/>
  <c r="N46" i="8"/>
  <c r="N40" i="8"/>
  <c r="N43" i="8"/>
  <c r="O46" i="8"/>
  <c r="O40" i="8"/>
  <c r="O43" i="8"/>
  <c r="K40" i="8"/>
  <c r="K43" i="8"/>
  <c r="K46" i="8"/>
  <c r="P160" i="8"/>
  <c r="AA160" i="8" s="1"/>
  <c r="L160" i="8"/>
  <c r="W160" i="8" s="1"/>
  <c r="N160" i="8"/>
  <c r="Y160" i="8" s="1"/>
  <c r="M130" i="8" l="1"/>
  <c r="M160" i="8" s="1"/>
  <c r="X160" i="8" s="1"/>
  <c r="M40" i="8"/>
  <c r="M46" i="8"/>
  <c r="Q43" i="8"/>
  <c r="Q40" i="8"/>
  <c r="Q46" i="8"/>
  <c r="J46" i="8"/>
  <c r="J40" i="8"/>
  <c r="J43" i="8"/>
  <c r="I46" i="8"/>
  <c r="I40" i="8"/>
  <c r="I43" i="8"/>
  <c r="I160" i="8" l="1"/>
  <c r="J160" i="8"/>
  <c r="B106" i="8" l="1"/>
  <c r="B105" i="8"/>
  <c r="E106" i="8"/>
  <c r="D106" i="8"/>
  <c r="C106" i="8"/>
  <c r="E105" i="8"/>
  <c r="D105" i="8"/>
  <c r="C105" i="8"/>
  <c r="B50" i="8"/>
  <c r="B49" i="8"/>
  <c r="AE50" i="8"/>
  <c r="AD50" i="8"/>
  <c r="AC50" i="8"/>
  <c r="AA50" i="8"/>
  <c r="Z50" i="8"/>
  <c r="Y50" i="8"/>
  <c r="W50" i="8"/>
  <c r="V50" i="8"/>
  <c r="AB50" i="8"/>
  <c r="X50" i="8"/>
  <c r="AE49" i="8"/>
  <c r="AD49" i="8"/>
  <c r="AC49" i="8"/>
  <c r="AB49" i="8"/>
  <c r="AA49" i="8"/>
  <c r="Z49" i="8"/>
  <c r="Y49" i="8"/>
  <c r="X49" i="8"/>
  <c r="W49" i="8"/>
  <c r="V49" i="8"/>
  <c r="X105" i="8" l="1"/>
  <c r="Y105" i="8"/>
  <c r="Y106" i="8"/>
  <c r="AB105" i="8"/>
  <c r="AC105" i="8"/>
  <c r="X106" i="8"/>
  <c r="AC106" i="8"/>
  <c r="AD106" i="8"/>
  <c r="AA105" i="8"/>
  <c r="V105" i="8"/>
  <c r="AD105" i="8"/>
  <c r="AA106" i="8"/>
  <c r="Z106" i="8"/>
  <c r="W105" i="8"/>
  <c r="AE105" i="8"/>
  <c r="AB106" i="8"/>
  <c r="V106" i="8"/>
  <c r="Z105" i="8"/>
  <c r="W106" i="8"/>
  <c r="AE106" i="8"/>
  <c r="Z11" i="8" l="1"/>
  <c r="Z14" i="10" s="1"/>
  <c r="D58" i="8"/>
  <c r="D68" i="8" s="1"/>
  <c r="C58" i="8"/>
  <c r="C68" i="8" s="1"/>
  <c r="E58" i="8"/>
  <c r="E68" i="8" s="1"/>
  <c r="AA11" i="8" l="1"/>
  <c r="AA14" i="10" s="1"/>
  <c r="AA58" i="8"/>
  <c r="AA68" i="8" s="1"/>
  <c r="Y58" i="8"/>
  <c r="Y68" i="8" s="1"/>
  <c r="AA78" i="8"/>
  <c r="AA88" i="8" s="1"/>
  <c r="AA99" i="8" s="1"/>
  <c r="AA101" i="8" s="1"/>
  <c r="Z78" i="8"/>
  <c r="Z88" i="8" s="1"/>
  <c r="Z99" i="8" s="1"/>
  <c r="V78" i="8"/>
  <c r="V88" i="8" s="1"/>
  <c r="V99" i="8" s="1"/>
  <c r="X11" i="8"/>
  <c r="X14" i="10" s="1"/>
  <c r="V58" i="8"/>
  <c r="V68" i="8" s="1"/>
  <c r="Z58" i="8"/>
  <c r="Z68" i="8" s="1"/>
  <c r="Y11" i="8"/>
  <c r="Y14" i="10" s="1"/>
  <c r="W58" i="8"/>
  <c r="W68" i="8" s="1"/>
  <c r="W78" i="8"/>
  <c r="W88" i="8" s="1"/>
  <c r="W99" i="8" s="1"/>
  <c r="W101" i="8" s="1"/>
  <c r="Y78" i="8"/>
  <c r="Y88" i="8" s="1"/>
  <c r="Y99" i="8" s="1"/>
  <c r="Y101" i="8" s="1"/>
  <c r="AC58" i="8"/>
  <c r="AC68" i="8" s="1"/>
  <c r="AC11" i="8"/>
  <c r="AC14" i="10" s="1"/>
  <c r="AC78" i="8"/>
  <c r="AC88" i="8" s="1"/>
  <c r="AC99" i="8" s="1"/>
  <c r="AD78" i="8"/>
  <c r="AD88" i="8" s="1"/>
  <c r="AD99" i="8" s="1"/>
  <c r="AB11" i="8"/>
  <c r="AB14" i="10" s="1"/>
  <c r="AD11" i="8"/>
  <c r="AD14" i="10" s="1"/>
  <c r="AD58" i="8"/>
  <c r="AD68" i="8" s="1"/>
  <c r="V101" i="8" l="1"/>
  <c r="Z101" i="8"/>
  <c r="AD101" i="8"/>
  <c r="AC101" i="8"/>
  <c r="Z28" i="8"/>
  <c r="Z21" i="8"/>
  <c r="AG10" i="8"/>
  <c r="AG13" i="8"/>
  <c r="Z29" i="8" l="1"/>
  <c r="Z109" i="8"/>
  <c r="X28" i="8"/>
  <c r="AC28" i="8"/>
  <c r="AB28" i="8"/>
  <c r="Y28" i="8"/>
  <c r="AA28" i="8"/>
  <c r="AD28" i="8"/>
  <c r="Y21" i="8"/>
  <c r="X21" i="8"/>
  <c r="AA21" i="8"/>
  <c r="AC21" i="8"/>
  <c r="AB21" i="8"/>
  <c r="AD21" i="8"/>
  <c r="AC29" i="8" l="1"/>
  <c r="AC109" i="8"/>
  <c r="AD29" i="8"/>
  <c r="AD109" i="8"/>
  <c r="Y29" i="8"/>
  <c r="X29" i="8"/>
  <c r="X109" i="8"/>
  <c r="AA29" i="8"/>
  <c r="AA109" i="8"/>
  <c r="AB29" i="8"/>
  <c r="AB109" i="8"/>
  <c r="Z40" i="8"/>
  <c r="Z43" i="8"/>
  <c r="Z46" i="8"/>
  <c r="Y40" i="8" l="1"/>
  <c r="Y109" i="8"/>
  <c r="Y46" i="8"/>
  <c r="Y43" i="8"/>
  <c r="AC43" i="8"/>
  <c r="AC40" i="8"/>
  <c r="AC46" i="8"/>
  <c r="AA40" i="8"/>
  <c r="AA43" i="8"/>
  <c r="AA46" i="8"/>
  <c r="X46" i="8"/>
  <c r="X40" i="8"/>
  <c r="X43" i="8"/>
  <c r="AD40" i="8"/>
  <c r="AD43" i="8"/>
  <c r="AD46" i="8"/>
  <c r="AB46" i="8"/>
  <c r="AB40" i="8"/>
  <c r="AB43" i="8"/>
  <c r="X78" i="8" l="1"/>
  <c r="AB78" i="8"/>
  <c r="AB88" i="8" s="1"/>
  <c r="AB99" i="8" s="1"/>
  <c r="X88" i="8" l="1"/>
  <c r="X99" i="8" s="1"/>
  <c r="V138" i="8"/>
  <c r="W138" i="8"/>
  <c r="AA138" i="8"/>
  <c r="X138" i="8"/>
  <c r="Y138" i="8"/>
  <c r="Z138" i="8"/>
  <c r="AB138" i="8"/>
  <c r="AD138" i="8"/>
  <c r="AC138" i="8"/>
  <c r="E11" i="8" l="1"/>
  <c r="D11" i="8"/>
  <c r="C11" i="8"/>
  <c r="C14" i="10" s="1"/>
  <c r="E138" i="8"/>
  <c r="D138" i="8"/>
  <c r="C138" i="8"/>
  <c r="D78" i="8"/>
  <c r="C78" i="8"/>
  <c r="AE11" i="8"/>
  <c r="AE14" i="10" s="1"/>
  <c r="D88" i="8" l="1"/>
  <c r="D99" i="8" s="1"/>
  <c r="C88" i="8"/>
  <c r="C99" i="8" s="1"/>
  <c r="AG11" i="8"/>
  <c r="AE78" i="8"/>
  <c r="AE88" i="8" s="1"/>
  <c r="AE99" i="8" s="1"/>
  <c r="AG95" i="8"/>
  <c r="C28" i="8" l="1"/>
  <c r="C33" i="8" s="1"/>
  <c r="E28" i="8"/>
  <c r="E33" i="8" s="1"/>
  <c r="D28" i="8"/>
  <c r="D33" i="8" s="1"/>
  <c r="C101" i="8"/>
  <c r="C21" i="8"/>
  <c r="D21" i="8"/>
  <c r="E21" i="8"/>
  <c r="AB58" i="8"/>
  <c r="AB68" i="8" s="1"/>
  <c r="AB101" i="8" s="1"/>
  <c r="X58" i="8"/>
  <c r="X68" i="8" s="1"/>
  <c r="X101" i="8" s="1"/>
  <c r="D101" i="8"/>
  <c r="E101" i="8"/>
  <c r="AG88" i="8"/>
  <c r="AG78" i="8"/>
  <c r="AE58" i="8"/>
  <c r="AE68" i="8" s="1"/>
  <c r="AE101" i="8" s="1"/>
  <c r="AE28" i="8"/>
  <c r="AE109" i="8" s="1"/>
  <c r="C109" i="8" l="1"/>
  <c r="C36" i="8"/>
  <c r="C39" i="8" s="1"/>
  <c r="E36" i="8"/>
  <c r="E39" i="8" s="1"/>
  <c r="E109" i="8"/>
  <c r="D36" i="8"/>
  <c r="D39" i="8" s="1"/>
  <c r="D109" i="8"/>
  <c r="D29" i="8"/>
  <c r="E29" i="8"/>
  <c r="C29" i="8"/>
  <c r="AE29" i="8"/>
  <c r="AG29" i="8" s="1"/>
  <c r="AG28" i="8"/>
  <c r="K160" i="8"/>
  <c r="V160" i="8" s="1"/>
  <c r="AG20" i="8"/>
  <c r="AE21" i="8"/>
  <c r="AG21" i="8" s="1"/>
  <c r="AG151" i="8"/>
  <c r="AG99" i="8"/>
  <c r="AG68" i="8"/>
  <c r="AG58" i="8"/>
  <c r="AE138" i="8"/>
  <c r="AG138" i="8" s="1"/>
  <c r="E130" i="8" l="1"/>
  <c r="E160" i="8" s="1"/>
  <c r="D130" i="8"/>
  <c r="D160" i="8" s="1"/>
  <c r="D40" i="8"/>
  <c r="C40" i="8"/>
  <c r="AE43" i="8"/>
  <c r="C46" i="8"/>
  <c r="C43" i="8"/>
  <c r="E43" i="8"/>
  <c r="E46" i="8"/>
  <c r="D46" i="8"/>
  <c r="D43" i="8"/>
  <c r="E40" i="8"/>
  <c r="O160" i="8"/>
  <c r="Z160" i="8" s="1"/>
  <c r="AG39" i="8" l="1"/>
  <c r="AE46" i="8"/>
  <c r="AE40" i="8"/>
  <c r="AG40" i="8" s="1"/>
  <c r="C130" i="8"/>
  <c r="C160" i="8" s="1"/>
  <c r="AA130" i="8"/>
  <c r="AB130" i="8"/>
  <c r="X130" i="8" l="1"/>
  <c r="Y130" i="8"/>
  <c r="Z130" i="8"/>
  <c r="AG43" i="8" l="1"/>
  <c r="AG46" i="8"/>
  <c r="C156" i="8" l="1"/>
  <c r="C161" i="8" l="1"/>
  <c r="D154" i="8" l="1"/>
  <c r="H154" i="8" s="1"/>
  <c r="C163" i="8"/>
  <c r="D156" i="8" l="1"/>
  <c r="D161" i="8" s="1"/>
  <c r="D163" i="8" s="1"/>
  <c r="E154" i="8" l="1"/>
  <c r="E156" i="8" s="1"/>
  <c r="E161" i="8" s="1"/>
  <c r="H156" i="8"/>
  <c r="H161" i="8" l="1"/>
  <c r="H163" i="8" s="1"/>
  <c r="E163" i="8"/>
  <c r="F154" i="8"/>
  <c r="F156" i="8" s="1"/>
  <c r="F161" i="8" s="1"/>
  <c r="F163" i="8" s="1"/>
  <c r="I154" i="8" l="1"/>
  <c r="I156" i="8" s="1"/>
  <c r="I161" i="8" s="1"/>
  <c r="I163" i="8" s="1"/>
  <c r="J154" i="8" l="1"/>
  <c r="J156" i="8" s="1"/>
  <c r="J161" i="8" l="1"/>
  <c r="K154" i="8" l="1"/>
  <c r="J163" i="8"/>
  <c r="K156" i="8" l="1"/>
  <c r="K161" i="8" s="1"/>
  <c r="V154" i="8"/>
  <c r="V156" i="8" s="1"/>
  <c r="V161" i="8" s="1"/>
  <c r="L154" i="8" l="1"/>
  <c r="L156" i="8" s="1"/>
  <c r="K163" i="8"/>
  <c r="L161" i="8" l="1"/>
  <c r="M154" i="8" l="1"/>
  <c r="M156" i="8" s="1"/>
  <c r="L163" i="8"/>
  <c r="M161" i="8" l="1"/>
  <c r="N154" i="8" l="1"/>
  <c r="N156" i="8" s="1"/>
  <c r="M163" i="8"/>
  <c r="N161" i="8" l="1"/>
  <c r="O154" i="8" l="1"/>
  <c r="O156" i="8" s="1"/>
  <c r="N163" i="8"/>
  <c r="O161" i="8" l="1"/>
  <c r="P154" i="8" s="1"/>
  <c r="P156" i="8" s="1"/>
  <c r="W11" i="8"/>
  <c r="W14" i="10" s="1"/>
  <c r="V11" i="8"/>
  <c r="V14" i="10" s="1"/>
  <c r="P161" i="8" l="1"/>
  <c r="Q154" i="8" s="1"/>
  <c r="Q156" i="8" s="1"/>
  <c r="O163" i="8"/>
  <c r="Q161" i="8" l="1"/>
  <c r="P163" i="8"/>
  <c r="V28" i="8"/>
  <c r="V21" i="8"/>
  <c r="Q163" i="8" l="1"/>
  <c r="R154" i="8"/>
  <c r="R156" i="8" s="1"/>
  <c r="R161" i="8" s="1"/>
  <c r="V29" i="8"/>
  <c r="V109" i="8"/>
  <c r="W28" i="8"/>
  <c r="W21" i="8"/>
  <c r="R163" i="8" l="1"/>
  <c r="S154" i="8"/>
  <c r="S156" i="8" s="1"/>
  <c r="S161" i="8" s="1"/>
  <c r="W29" i="8"/>
  <c r="W109" i="8"/>
  <c r="W130" i="8" s="1"/>
  <c r="V46" i="8"/>
  <c r="V40" i="8"/>
  <c r="V43" i="8"/>
  <c r="S163" i="8" l="1"/>
  <c r="T154" i="8"/>
  <c r="T156" i="8" s="1"/>
  <c r="T161" i="8" s="1"/>
  <c r="W43" i="8"/>
  <c r="W40" i="8"/>
  <c r="W46" i="8"/>
  <c r="AC130" i="8"/>
  <c r="AD130" i="8"/>
  <c r="V130" i="8"/>
  <c r="T163" i="8" l="1"/>
  <c r="AE130" i="8"/>
  <c r="AG109" i="8"/>
  <c r="AG130" i="8" l="1"/>
  <c r="W154" i="8" l="1"/>
  <c r="W156" i="8" s="1"/>
  <c r="W161" i="8" s="1"/>
  <c r="V163" i="8" l="1"/>
  <c r="X154" i="8"/>
  <c r="X156" i="8" s="1"/>
  <c r="X161" i="8" s="1"/>
  <c r="W163" i="8" l="1"/>
  <c r="Y154" i="8"/>
  <c r="Y156" i="8" s="1"/>
  <c r="Y161" i="8" s="1"/>
  <c r="X163" i="8" l="1"/>
  <c r="Z154" i="8"/>
  <c r="Z156" i="8" s="1"/>
  <c r="Z161" i="8" s="1"/>
  <c r="Y163" i="8" l="1"/>
  <c r="AA154" i="8"/>
  <c r="AA156" i="8" s="1"/>
  <c r="AA161" i="8" s="1"/>
  <c r="Z163" i="8" l="1"/>
  <c r="AB154" i="8"/>
  <c r="AB156" i="8" s="1"/>
  <c r="AA163" i="8"/>
  <c r="AB161" i="8" l="1"/>
  <c r="AC154" i="8" s="1"/>
  <c r="AC156" i="8" s="1"/>
  <c r="AC161" i="8" s="1"/>
  <c r="AD154" i="8" l="1"/>
  <c r="AD156" i="8" s="1"/>
  <c r="AC163" i="8"/>
  <c r="AB163" i="8"/>
  <c r="AD161" i="8" l="1"/>
  <c r="AE154" i="8" s="1"/>
  <c r="AE156" i="8" s="1"/>
  <c r="AE161" i="8" l="1"/>
  <c r="AE163" i="8" s="1"/>
  <c r="AD163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<sst xmlns="http://schemas.openxmlformats.org/spreadsheetml/2006/main" count="321" uniqueCount="216">
  <si>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</si>
  <si>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</si>
  <si>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</si>
  <si>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</si>
  <si>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</si>
  <si>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</si>
  <si>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</si>
  <si>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</si>
  <si>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</si>
  <si>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</si>
  <si>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</si>
  <si>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</si>
  <si>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</si>
  <si>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Changes in assets and liabilities:</t>
  </si>
  <si>
    <t>Cash-Flows Statement</t>
  </si>
  <si>
    <t>Total Liabilities</t>
  </si>
  <si>
    <t>X</t>
  </si>
  <si>
    <t>Total Current Liabilities</t>
  </si>
  <si>
    <t>Total Current Assets</t>
  </si>
  <si>
    <t>Total Assets</t>
  </si>
  <si>
    <t>Gross Profit</t>
  </si>
  <si>
    <t>Total Debt</t>
  </si>
  <si>
    <t>Variance</t>
  </si>
  <si>
    <t>FCF Analysis</t>
  </si>
  <si>
    <t>1Q25</t>
  </si>
  <si>
    <t>2Q25</t>
  </si>
  <si>
    <t>Y/Y Growth (%)</t>
  </si>
  <si>
    <t>Q/Q Growth (%)</t>
  </si>
  <si>
    <t>N/A</t>
  </si>
  <si>
    <t>(-) Cost of Sales</t>
  </si>
  <si>
    <t>Gross Margin (%)</t>
  </si>
  <si>
    <t>Earning before Interest &amp; Taxes (EBIT)</t>
  </si>
  <si>
    <t>Operating Margin (%)</t>
  </si>
  <si>
    <t>EBITDA Margin (%)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</si>
  <si>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</si>
  <si>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</si>
  <si>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</si>
  <si>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</si>
  <si>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</si>
  <si>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</si>
  <si>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</si>
  <si>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</si>
  <si>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</si>
  <si>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</si>
  <si>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</si>
  <si>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Current Liabilities</t>
  </si>
  <si>
    <t>Total Shareholder Equity</t>
  </si>
  <si>
    <t>Total Book Capitalization</t>
  </si>
  <si>
    <t>Debt-to-Book Capitalization</t>
  </si>
  <si>
    <t>Total liabilities and stockholders' equity</t>
  </si>
  <si>
    <t>Cash-Flows From Operating Activities</t>
  </si>
  <si>
    <t>Depreciation and amortization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</si>
  <si>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</si>
  <si>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</si>
  <si>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</si>
  <si>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</si>
  <si>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</si>
  <si>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</si>
  <si>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</si>
  <si>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</si>
  <si>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</si>
  <si>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Net Margin (%)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</si>
  <si>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</si>
  <si>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</si>
  <si>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</si>
  <si>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</si>
  <si>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</si>
  <si>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</si>
  <si>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</si>
  <si>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</si>
  <si>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Adjusted Cash Position BOP</t>
  </si>
  <si>
    <t>Adjusted Cash Position EOP</t>
  </si>
  <si>
    <t xml:space="preserve">(-) Cash Interest 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</si>
  <si>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</si>
  <si>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</si>
  <si>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</si>
  <si>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</si>
  <si>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</si>
  <si>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</si>
  <si>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EBT Margin (%)</t>
  </si>
  <si>
    <t>Current Assets</t>
  </si>
  <si>
    <t>Non-Current Assets</t>
  </si>
  <si>
    <t>Non-Current Liabilities</t>
  </si>
  <si>
    <t>Supplemental disclosures of other cash flow information:</t>
  </si>
  <si>
    <t>Income tax expense</t>
  </si>
  <si>
    <t>Income taxes paid</t>
  </si>
  <si>
    <t>Interest paid</t>
  </si>
  <si>
    <t>BOP Restricted Cash Adjustment</t>
  </si>
  <si>
    <t>EOP FX Adjustment</t>
  </si>
  <si>
    <t>EOP Restricted Cash Adjustment</t>
  </si>
  <si>
    <t>Unrestricted Cash BOP</t>
  </si>
  <si>
    <t>($ In Millions)</t>
  </si>
  <si>
    <t>($ In Millions, except EPS)</t>
  </si>
  <si>
    <t>Revenue by reportable segment</t>
  </si>
  <si>
    <t>(+) Depreciation and Amortization (D&amp;A)</t>
  </si>
  <si>
    <t>(+) Stock-Based Compensation (SBC)</t>
  </si>
  <si>
    <t>Summary Debt:</t>
  </si>
  <si>
    <t>CPLTD</t>
  </si>
  <si>
    <t>LTD</t>
  </si>
  <si>
    <t>LTM Total Leverage</t>
  </si>
  <si>
    <t>LTM Net Leverage</t>
  </si>
  <si>
    <t xml:space="preserve">LTM Interest Coverage </t>
  </si>
  <si>
    <t>LTM Debt Service Coverage</t>
  </si>
  <si>
    <t>LTM Fixed Charge Coverage</t>
  </si>
  <si>
    <t>3Q25</t>
  </si>
  <si>
    <t>4Q25</t>
  </si>
  <si>
    <t>1Q26</t>
  </si>
  <si>
    <t>XXX</t>
  </si>
  <si>
    <t>(+/-) XXX</t>
  </si>
  <si>
    <t>(+) XXX</t>
  </si>
  <si>
    <t>(-) XXX</t>
  </si>
  <si>
    <t>(-) Mandatory Outflows</t>
  </si>
  <si>
    <t>Operating</t>
  </si>
  <si>
    <t>Programming charges</t>
  </si>
  <si>
    <t>Selling, general and administrative</t>
  </si>
  <si>
    <t>Impairment charges</t>
  </si>
  <si>
    <t>Restructuring, transaction-related items, and other corporate matters</t>
  </si>
  <si>
    <t>—</t>
  </si>
  <si>
    <t>Gains on dispositions</t>
  </si>
  <si>
    <t>Interest expense</t>
  </si>
  <si>
    <t>Interest income</t>
  </si>
  <si>
    <t>Gain (loss) from investments</t>
  </si>
  <si>
    <t>Gain (loss) on extinguishment of debt</t>
  </si>
  <si>
    <t>Other items, net</t>
  </si>
  <si>
    <t>Earnings (loss) from Continuing Operations before Taxes &amp; Equity</t>
  </si>
  <si>
    <t>Net earnings (loss) from continuing operations</t>
  </si>
  <si>
    <t>Equity in loss of investee companies, net of tax</t>
  </si>
  <si>
    <t>Net earnings from discontinued operations, net of tax</t>
  </si>
  <si>
    <t>Net earnings (loss) (Paramount and noncontrolling interests)</t>
  </si>
  <si>
    <t>Net earnings attributable to noncontrolling interests</t>
  </si>
  <si>
    <t>Net earnings (loss) attributable to Paramount</t>
  </si>
  <si>
    <t>Cash and cash equivalents</t>
  </si>
  <si>
    <t>Receivables, net</t>
  </si>
  <si>
    <t>Programming and other inventory</t>
  </si>
  <si>
    <t>Prepaid expenses and other current assets</t>
  </si>
  <si>
    <t>Current assets of discontinued operations</t>
  </si>
  <si>
    <t>Property and equipment, net</t>
  </si>
  <si>
    <t>Goodwill</t>
  </si>
  <si>
    <t>Intangible assets, net</t>
  </si>
  <si>
    <t>Operating lease assets</t>
  </si>
  <si>
    <t>Deferred income tax assets, net</t>
  </si>
  <si>
    <t>Other assets</t>
  </si>
  <si>
    <t>Accounts payable</t>
  </si>
  <si>
    <t>Accrued expenses</t>
  </si>
  <si>
    <t>Participants’ share and royalties payable</t>
  </si>
  <si>
    <t>Accrued programming and production costs</t>
  </si>
  <si>
    <t>Deferred revenues</t>
  </si>
  <si>
    <t>Debt</t>
  </si>
  <si>
    <t>Other current liabilities</t>
  </si>
  <si>
    <t>Long-term debt</t>
  </si>
  <si>
    <t>Pension and postretirement benefit obligations</t>
  </si>
  <si>
    <t>Deferred income tax liabilities, net</t>
  </si>
  <si>
    <t>Operating lease liabilities</t>
  </si>
  <si>
    <t>Program rights obligations</t>
  </si>
  <si>
    <t>Other liabilities</t>
  </si>
  <si>
    <t>Common Stock</t>
  </si>
  <si>
    <t>Additional paid-in capital</t>
  </si>
  <si>
    <t>Retained earnings</t>
  </si>
  <si>
    <t>Accumulated other comprehensive loss</t>
  </si>
  <si>
    <t>Total Paramount stockholders’ equity</t>
  </si>
  <si>
    <t>Noncontrolling interests</t>
  </si>
  <si>
    <t>Total Equity</t>
  </si>
  <si>
    <t>Amortization of content costs and participation and residuals expense</t>
  </si>
  <si>
    <t>Deferred tax benefit</t>
  </si>
  <si>
    <t>Stock-based compensation</t>
  </si>
  <si>
    <t>(Gain) loss from investments</t>
  </si>
  <si>
    <t>(Gain) loss on extinguishment of debt</t>
  </si>
  <si>
    <t>Equity in loss of investee companies, net of tax and distributions</t>
  </si>
  <si>
    <t>Decrease (increase) in receivables</t>
  </si>
  <si>
    <t>Increase in inventory and related program, participation, and residuals liabilities</t>
  </si>
  <si>
    <t>Increase (decrease) in accounts payable and other liabilities</t>
  </si>
  <si>
    <t>Increase (decrease) in pension and postretirement benefit obligations</t>
  </si>
  <si>
    <t>Increase in income taxes</t>
  </si>
  <si>
    <t>Other, net</t>
  </si>
  <si>
    <t>Net cash flow provided by operating activities from discontinued operations</t>
  </si>
  <si>
    <t>Investments</t>
  </si>
  <si>
    <t>Capital expenditures</t>
  </si>
  <si>
    <t>Other investing activities</t>
  </si>
  <si>
    <t>Net cash flow provided by (used for) investing activities from discontinued operations</t>
  </si>
  <si>
    <t>Proceeds from issuance of debt</t>
  </si>
  <si>
    <t>Repayment of debt</t>
  </si>
  <si>
    <t>Dividends paid on preferred stock</t>
  </si>
  <si>
    <t>Dividends paid on common stock</t>
  </si>
  <si>
    <t>Payment of payroll taxes in lieu of issuing shares for stock-based compensation</t>
  </si>
  <si>
    <t>Payments to noncontrolling interests</t>
  </si>
  <si>
    <t>Other financing activities</t>
  </si>
  <si>
    <t>Treasury stock</t>
  </si>
  <si>
    <t>Proceeds from dispositions / (Acquisitions)</t>
  </si>
  <si>
    <t>Proceeds from issuance of preferred stock</t>
  </si>
  <si>
    <t>Proceeds from issuance of common stock</t>
  </si>
  <si>
    <t>Proceeds from exercise of stock options</t>
  </si>
  <si>
    <t xml:space="preserve">Revenue by Type </t>
  </si>
  <si>
    <t>Advertising</t>
  </si>
  <si>
    <t>Affiliate and subscription</t>
  </si>
  <si>
    <t>Theatrical</t>
  </si>
  <si>
    <t>Licensing and other</t>
  </si>
  <si>
    <t>TV Media</t>
  </si>
  <si>
    <t>Direct-to-Consumer</t>
  </si>
  <si>
    <t>Filmed Entertainment</t>
  </si>
  <si>
    <t>Eliminations</t>
  </si>
  <si>
    <t>Variance Check</t>
  </si>
  <si>
    <t>Revenue by TV Media</t>
  </si>
  <si>
    <t>Revenue by product category: Direct to Consumer</t>
  </si>
  <si>
    <t>Revenue by Direct-to-Consumer</t>
  </si>
  <si>
    <t>Total Revenue from Direct-to-Consumer</t>
  </si>
  <si>
    <t>Total Revenue from TV Media</t>
  </si>
  <si>
    <t>Direct-to-Consumer KPIs</t>
  </si>
  <si>
    <t>Subscription &amp; Licensing</t>
  </si>
  <si>
    <t xml:space="preserve">Paramount+ (Global) Streaming Subscribers </t>
  </si>
  <si>
    <t>Paramount+ (Global) Streaming Revenue</t>
  </si>
  <si>
    <t>Total Paramount+ (Global) Streaming Revenue</t>
  </si>
  <si>
    <t>Revenue by product category: Revenue by TV Media</t>
  </si>
  <si>
    <t>Revenue by product category: Filmed Entertainment</t>
  </si>
  <si>
    <t>Revenue by Filmed Entertainment</t>
  </si>
  <si>
    <t>Total Revenue from Filmed Entertainment</t>
  </si>
  <si>
    <t>Paramount Global  (NASDAQ: PARA)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</si>
</sst>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  <numFmt numFmtId="170" formatCode="_(* #,##0.0_);_(* \(#,##0.0\);_(* &quot;-&quot;_);_(@_)"/>
  </numFmts>
  <fonts count="3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i/>
      <sz val="7"/>
      <color rgb="FFFF0000"/>
      <name val="Calibri"/>
      <family val="2"/>
    </font>
    <font>
      <i/>
      <sz val="8"/>
      <color rgb="FF0000CC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67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4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0" fontId="15" fillId="0" borderId="5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5" xfId="0" applyFont="1" applyBorder="1" applyAlignment="1">
      <alignment vertical="top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3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3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7" fillId="3" borderId="0" xfId="1" applyNumberFormat="1" applyFont="1" applyFill="1" applyBorder="1" applyAlignment="1">
      <alignment horizontal="right" vertical="center" wrapText="1"/>
    </xf>
    <xf numFmtId="167" fontId="27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0" fontId="15" fillId="0" borderId="5" xfId="0" applyFont="1" applyBorder="1" applyAlignment="1">
      <alignment wrapText="1"/>
    </xf>
    <xf numFmtId="5" fontId="8" fillId="5" borderId="2" xfId="0" applyNumberFormat="1" applyFont="1" applyFill="1" applyBorder="1" applyAlignment="1">
      <alignment horizontal="right" vertical="top" wrapText="1"/>
    </xf>
    <xf numFmtId="0" fontId="29" fillId="0" borderId="0" xfId="0" applyFont="1" applyAlignment="1">
      <alignment horizontal="right" vertical="center" wrapText="1"/>
    </xf>
    <xf numFmtId="0" fontId="23" fillId="9" borderId="6" xfId="0" applyFont="1" applyFill="1" applyBorder="1"/>
    <xf numFmtId="9" fontId="30" fillId="0" borderId="2" xfId="1" applyFont="1" applyBorder="1"/>
    <xf numFmtId="9" fontId="10" fillId="0" borderId="2" xfId="1" applyFont="1" applyBorder="1"/>
    <xf numFmtId="9" fontId="10" fillId="0" borderId="7" xfId="1" applyFont="1" applyBorder="1"/>
    <xf numFmtId="0" fontId="23" fillId="9" borderId="8" xfId="0" applyFont="1" applyFill="1" applyBorder="1"/>
    <xf numFmtId="9" fontId="30" fillId="0" borderId="0" xfId="1" applyFont="1" applyBorder="1"/>
    <xf numFmtId="9" fontId="10" fillId="0" borderId="0" xfId="1" applyFont="1" applyBorder="1"/>
    <xf numFmtId="9" fontId="10" fillId="0" borderId="9" xfId="1" applyFont="1" applyBorder="1"/>
    <xf numFmtId="0" fontId="23" fillId="9" borderId="10" xfId="0" applyFont="1" applyFill="1" applyBorder="1"/>
    <xf numFmtId="9" fontId="30" fillId="0" borderId="5" xfId="1" applyFont="1" applyBorder="1"/>
    <xf numFmtId="9" fontId="10" fillId="0" borderId="5" xfId="1" applyFont="1" applyBorder="1"/>
    <xf numFmtId="9" fontId="10" fillId="0" borderId="11" xfId="1" applyFont="1" applyBorder="1"/>
    <xf numFmtId="9" fontId="10" fillId="0" borderId="2" xfId="1" applyFont="1" applyBorder="1" applyAlignment="1">
      <alignment horizontal="right"/>
    </xf>
    <xf numFmtId="9" fontId="10" fillId="0" borderId="5" xfId="1" applyFont="1" applyBorder="1" applyAlignment="1">
      <alignment horizontal="right"/>
    </xf>
    <xf numFmtId="9" fontId="10" fillId="0" borderId="0" xfId="1" applyFont="1" applyBorder="1" applyAlignment="1">
      <alignment horizontal="right"/>
    </xf>
    <xf numFmtId="0" fontId="4" fillId="0" borderId="0" xfId="0" quotePrefix="1" applyFont="1" applyAlignment="1">
      <alignment wrapText="1"/>
    </xf>
    <xf numFmtId="41" fontId="4" fillId="0" borderId="0" xfId="0" applyNumberFormat="1" applyFont="1" applyAlignment="1">
      <alignment vertical="center"/>
    </xf>
    <xf numFmtId="41" fontId="25" fillId="0" borderId="0" xfId="0" applyNumberFormat="1" applyFont="1" applyAlignment="1">
      <alignment vertical="center"/>
    </xf>
    <xf numFmtId="41" fontId="6" fillId="0" borderId="0" xfId="0" applyNumberFormat="1" applyFont="1" applyAlignment="1">
      <alignment horizontal="right" vertical="center" wrapText="1"/>
    </xf>
    <xf numFmtId="169" fontId="4" fillId="0" borderId="0" xfId="0" applyNumberFormat="1" applyFont="1"/>
    <xf numFmtId="41" fontId="6" fillId="0" borderId="0" xfId="0" applyNumberFormat="1" applyFont="1" applyAlignment="1">
      <alignment vertical="center"/>
    </xf>
    <xf numFmtId="169" fontId="4" fillId="8" borderId="0" xfId="0" applyNumberFormat="1" applyFont="1" applyFill="1"/>
    <xf numFmtId="43" fontId="21" fillId="0" borderId="12" xfId="0" applyNumberFormat="1" applyFont="1" applyBorder="1" applyAlignment="1">
      <alignment wrapText="1"/>
    </xf>
    <xf numFmtId="41" fontId="6" fillId="0" borderId="12" xfId="0" applyNumberFormat="1" applyFont="1" applyBorder="1" applyAlignment="1">
      <alignment horizontal="right" vertical="top" wrapText="1"/>
    </xf>
    <xf numFmtId="41" fontId="6" fillId="0" borderId="13" xfId="0" applyNumberFormat="1" applyFont="1" applyBorder="1" applyAlignment="1">
      <alignment horizontal="right" vertical="top" wrapText="1"/>
    </xf>
    <xf numFmtId="5" fontId="8" fillId="5" borderId="14" xfId="0" applyNumberFormat="1" applyFont="1" applyFill="1" applyBorder="1" applyAlignment="1">
      <alignment horizontal="right" vertical="top" wrapText="1"/>
    </xf>
    <xf numFmtId="37" fontId="4" fillId="0" borderId="13" xfId="0" applyNumberFormat="1" applyFont="1" applyBorder="1" applyAlignment="1">
      <alignment wrapText="1"/>
    </xf>
    <xf numFmtId="43" fontId="21" fillId="0" borderId="15" xfId="0" applyNumberFormat="1" applyFont="1" applyBorder="1" applyAlignment="1">
      <alignment wrapText="1"/>
    </xf>
    <xf numFmtId="41" fontId="8" fillId="0" borderId="16" xfId="0" applyNumberFormat="1" applyFont="1" applyBorder="1" applyAlignment="1">
      <alignment horizontal="right" vertical="top" wrapText="1"/>
    </xf>
    <xf numFmtId="41" fontId="7" fillId="0" borderId="17" xfId="0" applyNumberFormat="1" applyFont="1" applyBorder="1" applyAlignment="1">
      <alignment horizontal="right" vertical="top" wrapText="1"/>
    </xf>
    <xf numFmtId="0" fontId="8" fillId="5" borderId="17" xfId="0" applyFont="1" applyFill="1" applyBorder="1" applyAlignment="1">
      <alignment horizontal="right" vertical="center" wrapText="1"/>
    </xf>
    <xf numFmtId="41" fontId="8" fillId="0" borderId="17" xfId="0" applyNumberFormat="1" applyFont="1" applyBorder="1" applyAlignment="1">
      <alignment horizontal="right" vertical="top" wrapText="1"/>
    </xf>
    <xf numFmtId="0" fontId="4" fillId="0" borderId="17" xfId="0" applyFont="1" applyBorder="1"/>
    <xf numFmtId="0" fontId="21" fillId="0" borderId="18" xfId="0" applyFont="1" applyBorder="1" applyAlignment="1">
      <alignment horizontal="right" vertical="top" wrapText="1"/>
    </xf>
    <xf numFmtId="41" fontId="6" fillId="0" borderId="19" xfId="0" applyNumberFormat="1" applyFont="1" applyBorder="1" applyAlignment="1">
      <alignment horizontal="right" vertical="top" wrapText="1"/>
    </xf>
    <xf numFmtId="41" fontId="6" fillId="0" borderId="20" xfId="0" applyNumberFormat="1" applyFont="1" applyBorder="1" applyAlignment="1">
      <alignment horizontal="right" vertical="top" wrapText="1"/>
    </xf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wrapText="1"/>
    </xf>
    <xf numFmtId="0" fontId="8" fillId="0" borderId="0" xfId="0" applyFont="1" applyFill="1" applyBorder="1" applyAlignment="1">
      <alignment vertical="top" wrapText="1"/>
    </xf>
    <xf numFmtId="5" fontId="8" fillId="0" borderId="0" xfId="0" applyNumberFormat="1" applyFont="1" applyFill="1" applyBorder="1" applyAlignment="1">
      <alignment horizontal="right" vertical="top" wrapText="1"/>
    </xf>
    <xf numFmtId="165" fontId="15" fillId="0" borderId="0" xfId="0" applyNumberFormat="1" applyFont="1" applyFill="1" applyAlignment="1">
      <alignment wrapText="1"/>
    </xf>
    <xf numFmtId="166" fontId="9" fillId="0" borderId="0" xfId="1" applyNumberFormat="1" applyFont="1" applyFill="1" applyBorder="1" applyAlignment="1">
      <alignment horizontal="right" vertical="center" wrapText="1"/>
    </xf>
    <xf numFmtId="0" fontId="8" fillId="0" borderId="0" xfId="0" applyFont="1" applyFill="1" applyAlignment="1">
      <alignment wrapText="1"/>
    </xf>
    <xf numFmtId="5" fontId="6" fillId="0" borderId="0" xfId="0" applyNumberFormat="1" applyFont="1" applyAlignment="1">
      <alignment horizontal="right" vertical="top" wrapText="1"/>
    </xf>
    <xf numFmtId="41" fontId="8" fillId="0" borderId="2" xfId="0" applyNumberFormat="1" applyFont="1" applyBorder="1" applyAlignment="1">
      <alignment horizontal="right" vertical="top" wrapText="1"/>
    </xf>
    <xf numFmtId="0" fontId="4" fillId="10" borderId="0" xfId="0" applyFont="1" applyFill="1" applyAlignment="1">
      <alignment horizontal="left" indent="1"/>
    </xf>
    <xf numFmtId="41" fontId="11" fillId="10" borderId="0" xfId="0" applyNumberFormat="1" applyFont="1" applyFill="1" applyAlignment="1">
      <alignment horizontal="right" vertical="top" wrapText="1"/>
    </xf>
    <xf numFmtId="41" fontId="11" fillId="0" borderId="19" xfId="0" applyNumberFormat="1" applyFont="1" applyBorder="1" applyAlignment="1">
      <alignment horizontal="right" vertical="top" wrapText="1"/>
    </xf>
    <xf numFmtId="170" fontId="11" fillId="0" borderId="0" xfId="0" applyNumberFormat="1" applyFont="1"/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G180"/>
  <sheetViews>
    <sheetView showGridLines="0" tabSelected="1" zoomScale="115" zoomScaleNormal="115" workbookViewId="0">
      <selection activeCell="B2" sqref="B2"/>
    </sheetView>
  </sheetViews>
  <sheetFormatPr defaultRowHeight="12" outlineLevelCol="1"/>
  <cols>
    <col min="1" max="1" width="1.625" style="5" bestFit="1" customWidth="1"/>
    <col min="2" max="2" width="49.125" style="5" bestFit="1" customWidth="1"/>
    <col min="3" max="3" width="9.125" style="5" customWidth="1" outlineLevel="1"/>
    <col min="4" max="6" width="9.125" style="5" bestFit="1" customWidth="1"/>
    <col min="7" max="7" width="1.5" style="5" customWidth="1"/>
    <col min="8" max="9" width="7.875" style="5" customWidth="1" outlineLevel="1"/>
    <col min="10" max="11" width="8.625" style="5" customWidth="1" outlineLevel="1"/>
    <col min="12" max="13" width="7.875" style="5" customWidth="1" outlineLevel="1"/>
    <col min="14" max="14" width="8.625" style="5" bestFit="1" customWidth="1"/>
    <col min="15" max="15" width="8.625" style="5" customWidth="1"/>
    <col min="16" max="20" width="8" style="5" customWidth="1"/>
    <col min="21" max="21" width="1.5" style="5" customWidth="1"/>
    <col min="22" max="22" width="8" style="5" customWidth="1" outlineLevel="1"/>
    <col min="23" max="23" width="8.625" style="5" bestFit="1" customWidth="1" outlineLevel="1"/>
    <col min="24" max="24" width="8" style="5" customWidth="1" outlineLevel="1"/>
    <col min="25" max="25" width="8.625" style="5" customWidth="1" outlineLevel="1"/>
    <col min="26" max="26" width="8.25" style="5" customWidth="1" outlineLevel="1"/>
    <col min="27" max="27" width="8.25" style="5" bestFit="1" customWidth="1"/>
    <col min="28" max="28" width="8.25" style="5" customWidth="1" outlineLevel="1"/>
    <col min="29" max="29" width="8.625" style="5" customWidth="1" outlineLevel="1"/>
    <col min="30" max="30" width="8.25" style="5" customWidth="1" outlineLevel="1"/>
    <col min="31" max="31" width="8.625" style="5" bestFit="1" customWidth="1"/>
    <col min="32" max="32" width="1.25" style="5" customWidth="1"/>
    <col min="33" max="33" width="10.5" style="5" bestFit="1" customWidth="1"/>
    <col min="34" max="34" width="1.375" style="5" customWidth="1"/>
    <col min="35" max="16384" width="9" style="5"/>
  </cols>
  <sheetData>
    <row r="2" spans="1:33" ht="12.75" customHeight="1">
      <c r="B2" s="1" t="s">
        <v>215</v>
      </c>
      <c r="C2" s="86"/>
      <c r="D2" s="86"/>
      <c r="E2" s="86"/>
      <c r="F2" s="86"/>
      <c r="G2" s="3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3"/>
      <c r="V2" s="86"/>
      <c r="W2" s="86"/>
      <c r="X2" s="86"/>
      <c r="Y2" s="86"/>
      <c r="Z2" s="86"/>
      <c r="AA2" s="86"/>
      <c r="AB2" s="86"/>
      <c r="AC2" s="86"/>
      <c r="AD2" s="86"/>
      <c r="AE2" s="86"/>
      <c r="AF2" s="3"/>
      <c r="AG2" s="1"/>
    </row>
    <row r="3" spans="1:33" ht="12.75" customHeight="1">
      <c r="B3" s="6" t="s">
        <v>75</v>
      </c>
      <c r="C3" s="7"/>
      <c r="D3" s="7"/>
      <c r="E3" s="7"/>
      <c r="F3" s="7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3"/>
      <c r="AG3" s="1"/>
    </row>
    <row r="4" spans="1:33" ht="12.75" customHeight="1">
      <c r="B4" s="6" t="s">
        <v>92</v>
      </c>
      <c r="C4" s="3"/>
      <c r="D4" s="7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1"/>
    </row>
    <row r="6" spans="1:33" ht="12.75" customHeight="1">
      <c r="A6" s="5" t="s">
        <v>16</v>
      </c>
      <c r="B6" s="1" t="s">
        <v>73</v>
      </c>
      <c r="C6" s="2"/>
      <c r="D6" s="2" t="s">
        <v>0</v>
      </c>
      <c r="E6" s="2"/>
      <c r="F6" s="2"/>
      <c r="G6" s="3"/>
      <c r="H6" s="2" t="s">
        <v>1</v>
      </c>
      <c r="I6" s="2"/>
      <c r="J6" s="2"/>
      <c r="K6" s="2"/>
      <c r="L6" s="2"/>
      <c r="M6" s="2"/>
      <c r="N6" s="2" t="s">
        <v>1</v>
      </c>
      <c r="O6" s="2"/>
      <c r="P6" s="2"/>
      <c r="Q6" s="2"/>
      <c r="R6" s="2"/>
      <c r="S6" s="2"/>
      <c r="T6" s="2"/>
      <c r="U6" s="3"/>
      <c r="V6" s="2"/>
      <c r="W6" s="2"/>
      <c r="X6" s="2"/>
      <c r="Y6" s="2"/>
      <c r="Z6" s="2"/>
      <c r="AA6" s="2" t="s">
        <v>10</v>
      </c>
      <c r="AB6" s="2"/>
      <c r="AC6" s="2"/>
      <c r="AD6" s="2"/>
      <c r="AE6" s="2"/>
      <c r="AF6" s="35"/>
      <c r="AG6" s="151" t="s">
        <v>22</v>
      </c>
    </row>
    <row r="7" spans="1:33" ht="12.75" customHeight="1">
      <c r="B7" s="6" t="s">
        <v>76</v>
      </c>
      <c r="C7" s="7">
        <v>2021</v>
      </c>
      <c r="D7" s="7">
        <v>2022</v>
      </c>
      <c r="E7" s="7">
        <v>2023</v>
      </c>
      <c r="F7" s="7">
        <v>2024</v>
      </c>
      <c r="G7" s="3"/>
      <c r="H7" s="4" t="s">
        <v>6</v>
      </c>
      <c r="I7" s="4" t="s">
        <v>7</v>
      </c>
      <c r="J7" s="4" t="s">
        <v>8</v>
      </c>
      <c r="K7" s="4" t="s">
        <v>9</v>
      </c>
      <c r="L7" s="4" t="s">
        <v>2</v>
      </c>
      <c r="M7" s="4" t="s">
        <v>3</v>
      </c>
      <c r="N7" s="4" t="s">
        <v>4</v>
      </c>
      <c r="O7" s="4" t="s">
        <v>5</v>
      </c>
      <c r="P7" s="4" t="s">
        <v>24</v>
      </c>
      <c r="Q7" s="4" t="s">
        <v>25</v>
      </c>
      <c r="R7" s="4" t="s">
        <v>104</v>
      </c>
      <c r="S7" s="4" t="s">
        <v>105</v>
      </c>
      <c r="T7" s="4" t="s">
        <v>106</v>
      </c>
      <c r="U7" s="4"/>
      <c r="V7" s="4" t="str">
        <f t="shared" ref="V7:AE8" si="0">K7</f>
        <v>4Q23</v>
      </c>
      <c r="W7" s="4" t="str">
        <f t="shared" si="0"/>
        <v>1Q24</v>
      </c>
      <c r="X7" s="4" t="str">
        <f t="shared" si="0"/>
        <v>2Q24</v>
      </c>
      <c r="Y7" s="4" t="str">
        <f t="shared" si="0"/>
        <v>3Q24</v>
      </c>
      <c r="Z7" s="4" t="str">
        <f t="shared" si="0"/>
        <v>4Q24</v>
      </c>
      <c r="AA7" s="4" t="str">
        <f t="shared" si="0"/>
        <v>1Q25</v>
      </c>
      <c r="AB7" s="4" t="str">
        <f t="shared" si="0"/>
        <v>2Q25</v>
      </c>
      <c r="AC7" s="4" t="str">
        <f t="shared" si="0"/>
        <v>3Q25</v>
      </c>
      <c r="AD7" s="4" t="str">
        <f t="shared" si="0"/>
        <v>4Q25</v>
      </c>
      <c r="AE7" s="4" t="str">
        <f t="shared" si="0"/>
        <v>1Q26</v>
      </c>
      <c r="AF7" s="35"/>
      <c r="AG7" s="151"/>
    </row>
    <row r="8" spans="1:33" ht="12.75" customHeight="1">
      <c r="B8" s="6" t="s">
        <v>77</v>
      </c>
      <c r="C8" s="3">
        <v>44561</v>
      </c>
      <c r="D8" s="3">
        <v>44926</v>
      </c>
      <c r="E8" s="3">
        <v>45291</v>
      </c>
      <c r="F8" s="3">
        <v>45657</v>
      </c>
      <c r="G8" s="3"/>
      <c r="H8" s="3" t="s">
        <v>107</v>
      </c>
      <c r="I8" s="3" t="s">
        <v>107</v>
      </c>
      <c r="J8" s="3" t="s">
        <v>107</v>
      </c>
      <c r="K8" s="3">
        <f>D8</f>
        <v>44926</v>
      </c>
      <c r="L8" s="3" t="s">
        <v>107</v>
      </c>
      <c r="M8" s="3" t="s">
        <v>107</v>
      </c>
      <c r="N8" s="3" t="s">
        <v>107</v>
      </c>
      <c r="O8" s="3">
        <f>E8</f>
        <v>45291</v>
      </c>
      <c r="P8" s="3" t="s">
        <v>107</v>
      </c>
      <c r="Q8" s="3" t="s">
        <v>107</v>
      </c>
      <c r="R8" s="3" t="s">
        <v>107</v>
      </c>
      <c r="S8" s="3">
        <f>F8</f>
        <v>45657</v>
      </c>
      <c r="T8" s="3" t="s">
        <v>107</v>
      </c>
      <c r="U8" s="3"/>
      <c r="V8" s="3">
        <f t="shared" si="0"/>
        <v>44926</v>
      </c>
      <c r="W8" s="3" t="str">
        <f t="shared" si="0"/>
        <v>XXX</v>
      </c>
      <c r="X8" s="3" t="str">
        <f t="shared" si="0"/>
        <v>XXX</v>
      </c>
      <c r="Y8" s="3" t="str">
        <f t="shared" si="0"/>
        <v>XXX</v>
      </c>
      <c r="Z8" s="3">
        <f t="shared" si="0"/>
        <v>45291</v>
      </c>
      <c r="AA8" s="3" t="str">
        <f t="shared" si="0"/>
        <v>XXX</v>
      </c>
      <c r="AB8" s="3" t="str">
        <f t="shared" si="0"/>
        <v>XXX</v>
      </c>
      <c r="AC8" s="3" t="str">
        <f t="shared" si="0"/>
        <v>XXX</v>
      </c>
      <c r="AD8" s="3">
        <f t="shared" si="0"/>
        <v>45657</v>
      </c>
      <c r="AE8" s="3" t="str">
        <f t="shared" si="0"/>
        <v>XXX</v>
      </c>
      <c r="AF8" s="35"/>
      <c r="AG8" s="151"/>
    </row>
    <row r="9" spans="1:33" ht="5.0999999999999996" customHeight="1">
      <c r="AG9" s="85"/>
    </row>
    <row r="10" spans="1:33" ht="12.75" customHeight="1">
      <c r="B10" s="9" t="s">
        <v>57</v>
      </c>
      <c r="C10" s="81">
        <v>28586</v>
      </c>
      <c r="D10" s="81">
        <v>30154</v>
      </c>
      <c r="E10" s="81">
        <v>29652</v>
      </c>
      <c r="F10" s="81">
        <v>29213</v>
      </c>
      <c r="G10" s="11"/>
      <c r="H10" s="81"/>
      <c r="I10" s="81"/>
      <c r="J10" s="81"/>
      <c r="K10" s="30">
        <f>SUM(D10-SUM(H10:J10))</f>
        <v>30154</v>
      </c>
      <c r="L10" s="81"/>
      <c r="M10" s="81"/>
      <c r="N10" s="81"/>
      <c r="O10" s="30">
        <f>SUM(E10-SUM(L10:N10))</f>
        <v>29652</v>
      </c>
      <c r="P10" s="81"/>
      <c r="Q10" s="81"/>
      <c r="R10" s="81"/>
      <c r="S10" s="30">
        <f>SUM(F10-SUM(P10:R10))</f>
        <v>29213</v>
      </c>
      <c r="T10" s="81"/>
      <c r="U10" s="30"/>
      <c r="V10" s="30">
        <f t="shared" ref="V10:AD10" si="1">SUM(H10:K10)</f>
        <v>30154</v>
      </c>
      <c r="W10" s="30">
        <f t="shared" si="1"/>
        <v>30154</v>
      </c>
      <c r="X10" s="30">
        <f t="shared" si="1"/>
        <v>30154</v>
      </c>
      <c r="Y10" s="30">
        <f t="shared" si="1"/>
        <v>30154</v>
      </c>
      <c r="Z10" s="30">
        <f t="shared" si="1"/>
        <v>29652</v>
      </c>
      <c r="AA10" s="30">
        <f t="shared" si="1"/>
        <v>29652</v>
      </c>
      <c r="AB10" s="30">
        <f t="shared" si="1"/>
        <v>29652</v>
      </c>
      <c r="AC10" s="30">
        <f t="shared" si="1"/>
        <v>29652</v>
      </c>
      <c r="AD10" s="30">
        <f t="shared" si="1"/>
        <v>29213</v>
      </c>
      <c r="AE10" s="30">
        <f>SUM(Q10:T10)</f>
        <v>29213</v>
      </c>
      <c r="AF10" s="37"/>
      <c r="AG10" s="68">
        <f>SUM(AE10/AA10)-1</f>
        <v>-1.4805072170511302E-2</v>
      </c>
    </row>
    <row r="11" spans="1:33" ht="12.75" customHeight="1">
      <c r="B11" s="12" t="s">
        <v>12</v>
      </c>
      <c r="C11" s="13">
        <f t="shared" ref="C11:E11" si="2">+SUM(C10:C10)</f>
        <v>28586</v>
      </c>
      <c r="D11" s="13">
        <f t="shared" si="2"/>
        <v>30154</v>
      </c>
      <c r="E11" s="13">
        <f t="shared" si="2"/>
        <v>29652</v>
      </c>
      <c r="F11" s="13">
        <f t="shared" ref="F11" si="3">+SUM(F10:F10)</f>
        <v>29213</v>
      </c>
      <c r="G11" s="11"/>
      <c r="H11" s="13">
        <f t="shared" ref="H11:Q11" si="4">+SUM(H10:H10)</f>
        <v>0</v>
      </c>
      <c r="I11" s="13">
        <f t="shared" si="4"/>
        <v>0</v>
      </c>
      <c r="J11" s="13">
        <f t="shared" si="4"/>
        <v>0</v>
      </c>
      <c r="K11" s="13">
        <f t="shared" si="4"/>
        <v>30154</v>
      </c>
      <c r="L11" s="13">
        <f t="shared" si="4"/>
        <v>0</v>
      </c>
      <c r="M11" s="13">
        <f t="shared" si="4"/>
        <v>0</v>
      </c>
      <c r="N11" s="13">
        <f t="shared" si="4"/>
        <v>0</v>
      </c>
      <c r="O11" s="13">
        <f t="shared" si="4"/>
        <v>29652</v>
      </c>
      <c r="P11" s="13">
        <f t="shared" si="4"/>
        <v>0</v>
      </c>
      <c r="Q11" s="13">
        <f t="shared" si="4"/>
        <v>0</v>
      </c>
      <c r="R11" s="13">
        <f t="shared" ref="R11:S11" si="5">+SUM(R10:R10)</f>
        <v>0</v>
      </c>
      <c r="S11" s="13">
        <f t="shared" si="5"/>
        <v>29213</v>
      </c>
      <c r="T11" s="13">
        <f t="shared" ref="T11" si="6">+SUM(T10:T10)</f>
        <v>0</v>
      </c>
      <c r="V11" s="13">
        <f t="shared" ref="V11:AE11" si="7">+SUM(V10:V10)</f>
        <v>30154</v>
      </c>
      <c r="W11" s="13">
        <f t="shared" si="7"/>
        <v>30154</v>
      </c>
      <c r="X11" s="13">
        <f t="shared" si="7"/>
        <v>30154</v>
      </c>
      <c r="Y11" s="13">
        <f t="shared" si="7"/>
        <v>30154</v>
      </c>
      <c r="Z11" s="13">
        <f t="shared" si="7"/>
        <v>29652</v>
      </c>
      <c r="AA11" s="13">
        <f t="shared" si="7"/>
        <v>29652</v>
      </c>
      <c r="AB11" s="13">
        <f t="shared" si="7"/>
        <v>29652</v>
      </c>
      <c r="AC11" s="13">
        <f t="shared" si="7"/>
        <v>29652</v>
      </c>
      <c r="AD11" s="13">
        <f t="shared" si="7"/>
        <v>29213</v>
      </c>
      <c r="AE11" s="13">
        <f t="shared" si="7"/>
        <v>29213</v>
      </c>
      <c r="AF11" s="37"/>
      <c r="AG11" s="69">
        <f t="shared" ref="AG11:AG39" si="8">SUM(AE11/AA11)-1</f>
        <v>-1.4805072170511302E-2</v>
      </c>
    </row>
    <row r="12" spans="1:33" s="18" customFormat="1" ht="5.0999999999999996" customHeight="1">
      <c r="B12" s="16"/>
      <c r="C12" s="17"/>
      <c r="D12" s="17"/>
      <c r="E12" s="17"/>
      <c r="F12" s="17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AG12" s="68"/>
    </row>
    <row r="13" spans="1:33" ht="12.75" customHeight="1">
      <c r="B13" s="9" t="s">
        <v>112</v>
      </c>
      <c r="C13" s="76">
        <v>-17744</v>
      </c>
      <c r="D13" s="76">
        <v>-19845</v>
      </c>
      <c r="E13" s="76">
        <v>-20017</v>
      </c>
      <c r="F13" s="76">
        <v>-19437</v>
      </c>
      <c r="G13" s="30"/>
      <c r="H13" s="76"/>
      <c r="I13" s="76"/>
      <c r="J13" s="76"/>
      <c r="K13" s="30">
        <f>SUM(D13-SUM(H13:J13))</f>
        <v>-19845</v>
      </c>
      <c r="L13" s="76"/>
      <c r="M13" s="76"/>
      <c r="N13" s="76"/>
      <c r="O13" s="30">
        <f>SUM(E13-SUM(L13:N13))</f>
        <v>-20017</v>
      </c>
      <c r="P13" s="76"/>
      <c r="Q13" s="76"/>
      <c r="R13" s="76"/>
      <c r="S13" s="30">
        <f t="shared" ref="S13" si="9">SUM(F13-SUM(P13:R13))</f>
        <v>-19437</v>
      </c>
      <c r="T13" s="76"/>
      <c r="V13" s="30">
        <f t="shared" ref="V13:V14" si="10">SUM(H13:K13)</f>
        <v>-19845</v>
      </c>
      <c r="W13" s="30">
        <f t="shared" ref="W13:W14" si="11">SUM(I13:L13)</f>
        <v>-19845</v>
      </c>
      <c r="X13" s="30">
        <f t="shared" ref="X13:X14" si="12">SUM(J13:M13)</f>
        <v>-19845</v>
      </c>
      <c r="Y13" s="30">
        <f t="shared" ref="Y13:Y14" si="13">SUM(K13:N13)</f>
        <v>-19845</v>
      </c>
      <c r="Z13" s="30">
        <f t="shared" ref="Z13:Z14" si="14">SUM(L13:O13)</f>
        <v>-20017</v>
      </c>
      <c r="AA13" s="30">
        <f t="shared" ref="AA13:AA14" si="15">SUM(M13:P13)</f>
        <v>-20017</v>
      </c>
      <c r="AB13" s="30">
        <f t="shared" ref="AB13:AB14" si="16">SUM(N13:Q13)</f>
        <v>-20017</v>
      </c>
      <c r="AC13" s="30">
        <f t="shared" ref="AC13:AC14" si="17">SUM(O13:R13)</f>
        <v>-20017</v>
      </c>
      <c r="AD13" s="30">
        <f t="shared" ref="AD13:AD14" si="18">SUM(P13:S13)</f>
        <v>-19437</v>
      </c>
      <c r="AE13" s="30">
        <f t="shared" ref="AE13:AE14" si="19">SUM(Q13:T13)</f>
        <v>-19437</v>
      </c>
      <c r="AF13" s="11"/>
      <c r="AG13" s="68">
        <f t="shared" si="8"/>
        <v>-2.897537093470548E-2</v>
      </c>
    </row>
    <row r="14" spans="1:33" ht="12.75" customHeight="1">
      <c r="B14" s="9" t="s">
        <v>113</v>
      </c>
      <c r="C14" s="76">
        <v>0</v>
      </c>
      <c r="D14" s="76">
        <v>0</v>
      </c>
      <c r="E14" s="76">
        <v>-2371</v>
      </c>
      <c r="F14" s="76">
        <v>-1118</v>
      </c>
      <c r="G14" s="30"/>
      <c r="H14" s="76"/>
      <c r="I14" s="76"/>
      <c r="J14" s="76"/>
      <c r="K14" s="30">
        <f t="shared" ref="K14" si="20">SUM(D14-SUM(H14:J14))</f>
        <v>0</v>
      </c>
      <c r="L14" s="76"/>
      <c r="M14" s="76"/>
      <c r="N14" s="76"/>
      <c r="O14" s="30">
        <f t="shared" ref="O14" si="21">SUM(E14-SUM(L14:N14))</f>
        <v>-2371</v>
      </c>
      <c r="P14" s="76"/>
      <c r="Q14" s="76"/>
      <c r="R14" s="76"/>
      <c r="S14" s="30">
        <f t="shared" ref="S14" si="22">SUM(F14-SUM(P14:R14))</f>
        <v>-1118</v>
      </c>
      <c r="T14" s="76">
        <v>0</v>
      </c>
      <c r="V14" s="30">
        <f t="shared" si="10"/>
        <v>0</v>
      </c>
      <c r="W14" s="30">
        <f t="shared" si="11"/>
        <v>0</v>
      </c>
      <c r="X14" s="30">
        <f t="shared" si="12"/>
        <v>0</v>
      </c>
      <c r="Y14" s="30">
        <f t="shared" si="13"/>
        <v>0</v>
      </c>
      <c r="Z14" s="30">
        <f t="shared" si="14"/>
        <v>-2371</v>
      </c>
      <c r="AA14" s="30">
        <f t="shared" si="15"/>
        <v>-2371</v>
      </c>
      <c r="AB14" s="30">
        <f t="shared" si="16"/>
        <v>-2371</v>
      </c>
      <c r="AC14" s="30">
        <f t="shared" si="17"/>
        <v>-2371</v>
      </c>
      <c r="AD14" s="30">
        <f t="shared" si="18"/>
        <v>-1118</v>
      </c>
      <c r="AE14" s="30">
        <f t="shared" si="19"/>
        <v>-1118</v>
      </c>
      <c r="AF14" s="11"/>
      <c r="AG14" s="68">
        <f t="shared" ref="AG14" si="23">SUM(AE14/AA14)-1</f>
        <v>-0.52846900042176292</v>
      </c>
    </row>
    <row r="15" spans="1:33" ht="12.75" customHeight="1">
      <c r="B15" s="9" t="s">
        <v>114</v>
      </c>
      <c r="C15" s="76">
        <v>-6398</v>
      </c>
      <c r="D15" s="76">
        <v>-7033</v>
      </c>
      <c r="E15" s="76">
        <v>-7245</v>
      </c>
      <c r="F15" s="76">
        <v>-6658</v>
      </c>
      <c r="G15" s="30"/>
      <c r="H15" s="76"/>
      <c r="I15" s="76"/>
      <c r="J15" s="76"/>
      <c r="K15" s="30">
        <f t="shared" ref="K15:K19" si="24">SUM(D15-SUM(H15:J15))</f>
        <v>-7033</v>
      </c>
      <c r="L15" s="76"/>
      <c r="M15" s="76"/>
      <c r="N15" s="76"/>
      <c r="O15" s="30">
        <f t="shared" ref="O15:O19" si="25">SUM(E15-SUM(L15:N15))</f>
        <v>-7245</v>
      </c>
      <c r="P15" s="76"/>
      <c r="Q15" s="76"/>
      <c r="R15" s="76"/>
      <c r="S15" s="30">
        <f t="shared" ref="S15:S19" si="26">SUM(F15-SUM(P15:R15))</f>
        <v>-6658</v>
      </c>
      <c r="T15" s="76"/>
      <c r="V15" s="30">
        <f t="shared" ref="V15:V19" si="27">SUM(H15:K15)</f>
        <v>-7033</v>
      </c>
      <c r="W15" s="30">
        <f t="shared" ref="W15:W19" si="28">SUM(I15:L15)</f>
        <v>-7033</v>
      </c>
      <c r="X15" s="30">
        <f t="shared" ref="X15:X19" si="29">SUM(J15:M15)</f>
        <v>-7033</v>
      </c>
      <c r="Y15" s="30">
        <f t="shared" ref="Y15:Y19" si="30">SUM(K15:N15)</f>
        <v>-7033</v>
      </c>
      <c r="Z15" s="30">
        <f t="shared" ref="Z15:Z19" si="31">SUM(L15:O15)</f>
        <v>-7245</v>
      </c>
      <c r="AA15" s="30">
        <f t="shared" ref="AA15:AA19" si="32">SUM(M15:P15)</f>
        <v>-7245</v>
      </c>
      <c r="AB15" s="30">
        <f t="shared" ref="AB15:AB19" si="33">SUM(N15:Q15)</f>
        <v>-7245</v>
      </c>
      <c r="AC15" s="30">
        <f t="shared" ref="AC15:AC19" si="34">SUM(O15:R15)</f>
        <v>-7245</v>
      </c>
      <c r="AD15" s="30">
        <f t="shared" ref="AD15:AD19" si="35">SUM(P15:S15)</f>
        <v>-6658</v>
      </c>
      <c r="AE15" s="30">
        <f t="shared" ref="AE15:AE19" si="36">SUM(Q15:T15)</f>
        <v>-6658</v>
      </c>
      <c r="AF15" s="11"/>
      <c r="AG15" s="68">
        <f t="shared" ref="AG15:AG19" si="37">SUM(AE15/AA15)-1</f>
        <v>-8.1021394064872299E-2</v>
      </c>
    </row>
    <row r="16" spans="1:33" ht="12.75" customHeight="1">
      <c r="B16" s="9" t="s">
        <v>51</v>
      </c>
      <c r="C16" s="76">
        <v>-390</v>
      </c>
      <c r="D16" s="76">
        <v>-378</v>
      </c>
      <c r="E16" s="76">
        <v>-418</v>
      </c>
      <c r="F16" s="76">
        <v>-392</v>
      </c>
      <c r="G16" s="30"/>
      <c r="H16" s="76"/>
      <c r="I16" s="76"/>
      <c r="J16" s="76"/>
      <c r="K16" s="30">
        <f t="shared" si="24"/>
        <v>-378</v>
      </c>
      <c r="L16" s="76"/>
      <c r="M16" s="76"/>
      <c r="N16" s="76"/>
      <c r="O16" s="30">
        <f t="shared" si="25"/>
        <v>-418</v>
      </c>
      <c r="P16" s="76"/>
      <c r="Q16" s="76"/>
      <c r="R16" s="76"/>
      <c r="S16" s="30">
        <f t="shared" si="26"/>
        <v>-392</v>
      </c>
      <c r="T16" s="76"/>
      <c r="V16" s="30">
        <f t="shared" si="27"/>
        <v>-378</v>
      </c>
      <c r="W16" s="30">
        <f t="shared" si="28"/>
        <v>-378</v>
      </c>
      <c r="X16" s="30">
        <f t="shared" si="29"/>
        <v>-378</v>
      </c>
      <c r="Y16" s="30">
        <f t="shared" si="30"/>
        <v>-378</v>
      </c>
      <c r="Z16" s="30">
        <f t="shared" si="31"/>
        <v>-418</v>
      </c>
      <c r="AA16" s="30">
        <f t="shared" si="32"/>
        <v>-418</v>
      </c>
      <c r="AB16" s="30">
        <f t="shared" si="33"/>
        <v>-418</v>
      </c>
      <c r="AC16" s="30">
        <f t="shared" si="34"/>
        <v>-418</v>
      </c>
      <c r="AD16" s="30">
        <f t="shared" si="35"/>
        <v>-392</v>
      </c>
      <c r="AE16" s="30">
        <f t="shared" si="36"/>
        <v>-392</v>
      </c>
      <c r="AF16" s="11"/>
      <c r="AG16" s="68">
        <f t="shared" si="37"/>
        <v>-6.2200956937799035E-2</v>
      </c>
    </row>
    <row r="17" spans="2:33" ht="12.75" customHeight="1">
      <c r="B17" s="9" t="s">
        <v>115</v>
      </c>
      <c r="C17" s="76">
        <v>0</v>
      </c>
      <c r="D17" s="76">
        <v>-27</v>
      </c>
      <c r="E17" s="76">
        <v>-83</v>
      </c>
      <c r="F17" s="76">
        <v>-6130</v>
      </c>
      <c r="G17" s="30"/>
      <c r="H17" s="76"/>
      <c r="I17" s="76"/>
      <c r="J17" s="76"/>
      <c r="K17" s="30">
        <f t="shared" si="24"/>
        <v>-27</v>
      </c>
      <c r="L17" s="76"/>
      <c r="M17" s="76"/>
      <c r="N17" s="76"/>
      <c r="O17" s="30">
        <f t="shared" si="25"/>
        <v>-83</v>
      </c>
      <c r="P17" s="76"/>
      <c r="Q17" s="76"/>
      <c r="R17" s="76"/>
      <c r="S17" s="30">
        <f t="shared" si="26"/>
        <v>-6130</v>
      </c>
      <c r="T17" s="76"/>
      <c r="V17" s="30">
        <f t="shared" si="27"/>
        <v>-27</v>
      </c>
      <c r="W17" s="30">
        <f t="shared" si="28"/>
        <v>-27</v>
      </c>
      <c r="X17" s="30">
        <f t="shared" si="29"/>
        <v>-27</v>
      </c>
      <c r="Y17" s="30">
        <f t="shared" si="30"/>
        <v>-27</v>
      </c>
      <c r="Z17" s="30">
        <f t="shared" si="31"/>
        <v>-83</v>
      </c>
      <c r="AA17" s="30">
        <f t="shared" si="32"/>
        <v>-83</v>
      </c>
      <c r="AB17" s="30">
        <f t="shared" si="33"/>
        <v>-83</v>
      </c>
      <c r="AC17" s="30">
        <f t="shared" si="34"/>
        <v>-83</v>
      </c>
      <c r="AD17" s="30">
        <f t="shared" si="35"/>
        <v>-6130</v>
      </c>
      <c r="AE17" s="30">
        <f t="shared" si="36"/>
        <v>-6130</v>
      </c>
      <c r="AF17" s="11"/>
      <c r="AG17" s="68">
        <f t="shared" si="37"/>
        <v>72.855421686746993</v>
      </c>
    </row>
    <row r="18" spans="2:33" ht="12.75" customHeight="1">
      <c r="B18" s="9" t="s">
        <v>116</v>
      </c>
      <c r="C18" s="76">
        <v>-100</v>
      </c>
      <c r="D18" s="76">
        <v>-585</v>
      </c>
      <c r="E18" s="76">
        <v>31</v>
      </c>
      <c r="F18" s="76">
        <v>-747</v>
      </c>
      <c r="G18" s="30"/>
      <c r="H18" s="76"/>
      <c r="I18" s="76"/>
      <c r="J18" s="76"/>
      <c r="K18" s="30">
        <f t="shared" ref="K18" si="38">SUM(D18-SUM(H18:J18))</f>
        <v>-585</v>
      </c>
      <c r="L18" s="76"/>
      <c r="M18" s="76"/>
      <c r="N18" s="76"/>
      <c r="O18" s="30">
        <f t="shared" ref="O18" si="39">SUM(E18-SUM(L18:N18))</f>
        <v>31</v>
      </c>
      <c r="P18" s="76"/>
      <c r="Q18" s="76"/>
      <c r="R18" s="76"/>
      <c r="S18" s="30">
        <f t="shared" ref="S18" si="40">SUM(F18-SUM(P18:R18))</f>
        <v>-747</v>
      </c>
      <c r="T18" s="76"/>
      <c r="V18" s="30">
        <f t="shared" ref="V18" si="41">SUM(H18:K18)</f>
        <v>-585</v>
      </c>
      <c r="W18" s="30">
        <f t="shared" ref="W18" si="42">SUM(I18:L18)</f>
        <v>-585</v>
      </c>
      <c r="X18" s="30">
        <f t="shared" ref="X18" si="43">SUM(J18:M18)</f>
        <v>-585</v>
      </c>
      <c r="Y18" s="30">
        <f t="shared" ref="Y18" si="44">SUM(K18:N18)</f>
        <v>-585</v>
      </c>
      <c r="Z18" s="30">
        <f t="shared" ref="Z18" si="45">SUM(L18:O18)</f>
        <v>31</v>
      </c>
      <c r="AA18" s="30">
        <f t="shared" ref="AA18" si="46">SUM(M18:P18)</f>
        <v>31</v>
      </c>
      <c r="AB18" s="30">
        <f t="shared" ref="AB18" si="47">SUM(N18:Q18)</f>
        <v>31</v>
      </c>
      <c r="AC18" s="30">
        <f t="shared" ref="AC18" si="48">SUM(O18:R18)</f>
        <v>31</v>
      </c>
      <c r="AD18" s="30">
        <f t="shared" ref="AD18" si="49">SUM(P18:S18)</f>
        <v>-747</v>
      </c>
      <c r="AE18" s="30">
        <f t="shared" ref="AE18" si="50">SUM(Q18:T18)</f>
        <v>-747</v>
      </c>
      <c r="AF18" s="11"/>
      <c r="AG18" s="68">
        <f t="shared" ref="AG18" si="51">SUM(AE18/AA18)-1</f>
        <v>-25.096774193548388</v>
      </c>
    </row>
    <row r="19" spans="2:33" ht="12.75" customHeight="1">
      <c r="B19" s="9" t="s">
        <v>118</v>
      </c>
      <c r="C19" s="76">
        <v>2343</v>
      </c>
      <c r="D19" s="76">
        <v>56</v>
      </c>
      <c r="E19" s="76">
        <v>0</v>
      </c>
      <c r="F19" s="76">
        <v>0</v>
      </c>
      <c r="G19" s="30"/>
      <c r="H19" s="76"/>
      <c r="I19" s="76"/>
      <c r="J19" s="76"/>
      <c r="K19" s="30">
        <f t="shared" si="24"/>
        <v>56</v>
      </c>
      <c r="L19" s="76"/>
      <c r="M19" s="76"/>
      <c r="N19" s="76"/>
      <c r="O19" s="30">
        <f t="shared" si="25"/>
        <v>0</v>
      </c>
      <c r="P19" s="76"/>
      <c r="Q19" s="76"/>
      <c r="R19" s="76"/>
      <c r="S19" s="30">
        <f t="shared" si="26"/>
        <v>0</v>
      </c>
      <c r="T19" s="76"/>
      <c r="V19" s="30">
        <f t="shared" si="27"/>
        <v>56</v>
      </c>
      <c r="W19" s="30">
        <f t="shared" si="28"/>
        <v>56</v>
      </c>
      <c r="X19" s="30">
        <f t="shared" si="29"/>
        <v>56</v>
      </c>
      <c r="Y19" s="30">
        <f t="shared" si="30"/>
        <v>56</v>
      </c>
      <c r="Z19" s="30">
        <f t="shared" si="31"/>
        <v>0</v>
      </c>
      <c r="AA19" s="30">
        <f t="shared" si="32"/>
        <v>0</v>
      </c>
      <c r="AB19" s="30">
        <f t="shared" si="33"/>
        <v>0</v>
      </c>
      <c r="AC19" s="30">
        <f t="shared" si="34"/>
        <v>0</v>
      </c>
      <c r="AD19" s="30">
        <f t="shared" si="35"/>
        <v>0</v>
      </c>
      <c r="AE19" s="30">
        <f t="shared" si="36"/>
        <v>0</v>
      </c>
      <c r="AF19" s="11"/>
      <c r="AG19" s="68" t="e">
        <f t="shared" si="37"/>
        <v>#DIV/0!</v>
      </c>
    </row>
    <row r="20" spans="2:33" ht="12.75" customHeight="1">
      <c r="B20" s="23" t="s">
        <v>78</v>
      </c>
      <c r="C20" s="24">
        <f>+SUM(C11+SUM(C13:C19))</f>
        <v>6297</v>
      </c>
      <c r="D20" s="24">
        <f t="shared" ref="D20:F20" si="52">+SUM(D11+SUM(D13:D19))</f>
        <v>2342</v>
      </c>
      <c r="E20" s="24">
        <f t="shared" si="52"/>
        <v>-451</v>
      </c>
      <c r="F20" s="24">
        <f t="shared" si="52"/>
        <v>-5269</v>
      </c>
      <c r="G20" s="30"/>
      <c r="H20" s="24">
        <f t="shared" ref="H20" si="53">+SUM(H11+SUM(H13:H19))</f>
        <v>0</v>
      </c>
      <c r="I20" s="24">
        <f t="shared" ref="I20" si="54">+SUM(I11+SUM(I13:I19))</f>
        <v>0</v>
      </c>
      <c r="J20" s="24">
        <f t="shared" ref="J20" si="55">+SUM(J11+SUM(J13:J19))</f>
        <v>0</v>
      </c>
      <c r="K20" s="24">
        <f t="shared" ref="K20" si="56">+SUM(K11+SUM(K13:K19))</f>
        <v>2342</v>
      </c>
      <c r="L20" s="24">
        <f t="shared" ref="L20" si="57">+SUM(L11+SUM(L13:L19))</f>
        <v>0</v>
      </c>
      <c r="M20" s="24">
        <f t="shared" ref="M20" si="58">+SUM(M11+SUM(M13:M19))</f>
        <v>0</v>
      </c>
      <c r="N20" s="24">
        <f t="shared" ref="N20" si="59">+SUM(N11+SUM(N13:N19))</f>
        <v>0</v>
      </c>
      <c r="O20" s="24">
        <f t="shared" ref="O20" si="60">+SUM(O11+SUM(O13:O19))</f>
        <v>-451</v>
      </c>
      <c r="P20" s="24">
        <f t="shared" ref="P20" si="61">+SUM(P11+SUM(P13:P19))</f>
        <v>0</v>
      </c>
      <c r="Q20" s="24">
        <f t="shared" ref="Q20" si="62">+SUM(Q11+SUM(Q13:Q19))</f>
        <v>0</v>
      </c>
      <c r="R20" s="24">
        <f t="shared" ref="R20" si="63">+SUM(R11+SUM(R13:R19))</f>
        <v>0</v>
      </c>
      <c r="S20" s="24">
        <f t="shared" ref="S20" si="64">+SUM(S11+SUM(S13:S19))</f>
        <v>-5269</v>
      </c>
      <c r="T20" s="24">
        <f t="shared" ref="T20" si="65">+SUM(T11+SUM(T13:T19))</f>
        <v>0</v>
      </c>
      <c r="V20" s="24">
        <f t="shared" ref="V20" si="66">+SUM(V11+SUM(V13:V19))</f>
        <v>2342</v>
      </c>
      <c r="W20" s="24">
        <f t="shared" ref="W20" si="67">+SUM(W11+SUM(W13:W19))</f>
        <v>2342</v>
      </c>
      <c r="X20" s="24">
        <f t="shared" ref="X20" si="68">+SUM(X11+SUM(X13:X19))</f>
        <v>2342</v>
      </c>
      <c r="Y20" s="24">
        <f t="shared" ref="Y20" si="69">+SUM(Y11+SUM(Y13:Y19))</f>
        <v>2342</v>
      </c>
      <c r="Z20" s="24">
        <f t="shared" ref="Z20" si="70">+SUM(Z11+SUM(Z13:Z19))</f>
        <v>-451</v>
      </c>
      <c r="AA20" s="24">
        <f t="shared" ref="AA20" si="71">+SUM(AA11+SUM(AA13:AA19))</f>
        <v>-451</v>
      </c>
      <c r="AB20" s="24">
        <f t="shared" ref="AB20" si="72">+SUM(AB11+SUM(AB13:AB19))</f>
        <v>-451</v>
      </c>
      <c r="AC20" s="24">
        <f t="shared" ref="AC20" si="73">+SUM(AC11+SUM(AC13:AC19))</f>
        <v>-451</v>
      </c>
      <c r="AD20" s="24">
        <f t="shared" ref="AD20" si="74">+SUM(AD11+SUM(AD13:AD19))</f>
        <v>-5269</v>
      </c>
      <c r="AE20" s="24">
        <f t="shared" ref="AE20" si="75">+SUM(AE11+SUM(AE13:AE19))</f>
        <v>-5269</v>
      </c>
      <c r="AF20" s="11"/>
      <c r="AG20" s="69">
        <f t="shared" si="8"/>
        <v>10.682926829268293</v>
      </c>
    </row>
    <row r="21" spans="2:33" ht="12.75" customHeight="1">
      <c r="B21" s="14" t="s">
        <v>32</v>
      </c>
      <c r="C21" s="15">
        <f>C20/C11</f>
        <v>0.22028265584551879</v>
      </c>
      <c r="D21" s="15">
        <f>D20/D11</f>
        <v>7.7667971081780196E-2</v>
      </c>
      <c r="E21" s="15">
        <f>E20/E11</f>
        <v>-1.520976662619722E-2</v>
      </c>
      <c r="F21" s="15">
        <f>F20/F11</f>
        <v>-0.18036490603498442</v>
      </c>
      <c r="G21" s="30"/>
      <c r="H21" s="15" t="e">
        <f>H20/H11</f>
        <v>#DIV/0!</v>
      </c>
      <c r="I21" s="15" t="e">
        <f>I20/I11</f>
        <v>#DIV/0!</v>
      </c>
      <c r="J21" s="15" t="e">
        <f>J20/J11</f>
        <v>#DIV/0!</v>
      </c>
      <c r="K21" s="15">
        <f>K20/K11</f>
        <v>7.7667971081780196E-2</v>
      </c>
      <c r="L21" s="15" t="e">
        <f>L20/L11</f>
        <v>#DIV/0!</v>
      </c>
      <c r="M21" s="15" t="e">
        <f>M20/M11</f>
        <v>#DIV/0!</v>
      </c>
      <c r="N21" s="15" t="e">
        <f>N20/N11</f>
        <v>#DIV/0!</v>
      </c>
      <c r="O21" s="15">
        <f>O20/O11</f>
        <v>-1.520976662619722E-2</v>
      </c>
      <c r="P21" s="15" t="e">
        <f>P20/P11</f>
        <v>#DIV/0!</v>
      </c>
      <c r="Q21" s="15" t="e">
        <f>Q20/Q11</f>
        <v>#DIV/0!</v>
      </c>
      <c r="R21" s="15" t="e">
        <f>R20/R11</f>
        <v>#DIV/0!</v>
      </c>
      <c r="S21" s="15">
        <f>S20/S11</f>
        <v>-0.18036490603498442</v>
      </c>
      <c r="T21" s="15" t="e">
        <f>T20/T11</f>
        <v>#DIV/0!</v>
      </c>
      <c r="V21" s="15">
        <f>V20/V11</f>
        <v>7.7667971081780196E-2</v>
      </c>
      <c r="W21" s="15">
        <f>W20/W11</f>
        <v>7.7667971081780196E-2</v>
      </c>
      <c r="X21" s="15">
        <f>X20/X11</f>
        <v>7.7667971081780196E-2</v>
      </c>
      <c r="Y21" s="15">
        <f>Y20/Y11</f>
        <v>7.7667971081780196E-2</v>
      </c>
      <c r="Z21" s="15">
        <f>Z20/Z11</f>
        <v>-1.520976662619722E-2</v>
      </c>
      <c r="AA21" s="15">
        <f>AA20/AA11</f>
        <v>-1.520976662619722E-2</v>
      </c>
      <c r="AB21" s="15">
        <f>AB20/AB11</f>
        <v>-1.520976662619722E-2</v>
      </c>
      <c r="AC21" s="15">
        <f>AC20/AC11</f>
        <v>-1.520976662619722E-2</v>
      </c>
      <c r="AD21" s="15">
        <f>AD20/AD11</f>
        <v>-0.18036490603498442</v>
      </c>
      <c r="AE21" s="15">
        <f>AE20/AE11</f>
        <v>-0.18036490603498442</v>
      </c>
      <c r="AF21" s="11"/>
      <c r="AG21" s="70">
        <f>SUM(AE21-AA21)*1000</f>
        <v>-165.15513940878719</v>
      </c>
    </row>
    <row r="22" spans="2:33" ht="5.0999999999999996" customHeight="1">
      <c r="B22" s="14"/>
      <c r="C22" s="15"/>
      <c r="D22" s="15"/>
      <c r="E22" s="15"/>
      <c r="F22" s="15"/>
      <c r="G22" s="30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11"/>
      <c r="AG22" s="68"/>
    </row>
    <row r="23" spans="2:33" ht="12.75" customHeight="1">
      <c r="B23" s="9" t="s">
        <v>119</v>
      </c>
      <c r="C23" s="76">
        <v>-986</v>
      </c>
      <c r="D23" s="76">
        <v>-931</v>
      </c>
      <c r="E23" s="76">
        <v>-920</v>
      </c>
      <c r="F23" s="76">
        <v>-860</v>
      </c>
      <c r="G23" s="30"/>
      <c r="H23" s="76"/>
      <c r="I23" s="76"/>
      <c r="J23" s="76"/>
      <c r="K23" s="30">
        <f>SUM(D23-SUM(H23:J23))</f>
        <v>-931</v>
      </c>
      <c r="L23" s="76"/>
      <c r="M23" s="76"/>
      <c r="N23" s="76"/>
      <c r="O23" s="30">
        <f>SUM(E23-SUM(L23:N23))</f>
        <v>-920</v>
      </c>
      <c r="P23" s="76"/>
      <c r="Q23" s="76"/>
      <c r="R23" s="76"/>
      <c r="S23" s="30">
        <f t="shared" ref="S23:S27" si="76">SUM(F23-SUM(P23:R23))</f>
        <v>-860</v>
      </c>
      <c r="T23" s="76"/>
      <c r="V23" s="30">
        <f t="shared" ref="V23:V27" si="77">SUM(H23:K23)</f>
        <v>-931</v>
      </c>
      <c r="W23" s="30">
        <f t="shared" ref="W23:W27" si="78">SUM(I23:L23)</f>
        <v>-931</v>
      </c>
      <c r="X23" s="30">
        <f t="shared" ref="X23:X27" si="79">SUM(J23:M23)</f>
        <v>-931</v>
      </c>
      <c r="Y23" s="30">
        <f t="shared" ref="Y23:Y27" si="80">SUM(K23:N23)</f>
        <v>-931</v>
      </c>
      <c r="Z23" s="30">
        <f t="shared" ref="Z23:Z27" si="81">SUM(L23:O23)</f>
        <v>-920</v>
      </c>
      <c r="AA23" s="30">
        <f t="shared" ref="AA23:AA27" si="82">SUM(M23:P23)</f>
        <v>-920</v>
      </c>
      <c r="AB23" s="30">
        <f t="shared" ref="AB23:AB27" si="83">SUM(N23:Q23)</f>
        <v>-920</v>
      </c>
      <c r="AC23" s="30">
        <f t="shared" ref="AC23:AC27" si="84">SUM(O23:R23)</f>
        <v>-920</v>
      </c>
      <c r="AD23" s="30">
        <f t="shared" ref="AD23:AD27" si="85">SUM(P23:S23)</f>
        <v>-860</v>
      </c>
      <c r="AE23" s="30">
        <f t="shared" ref="AE23:AE27" si="86">SUM(Q23:T23)</f>
        <v>-860</v>
      </c>
      <c r="AF23" s="11"/>
      <c r="AG23" s="68">
        <f t="shared" si="8"/>
        <v>-6.5217391304347783E-2</v>
      </c>
    </row>
    <row r="24" spans="2:33" ht="12.75" customHeight="1">
      <c r="B24" s="9" t="s">
        <v>120</v>
      </c>
      <c r="C24" s="76">
        <v>53</v>
      </c>
      <c r="D24" s="76">
        <v>108</v>
      </c>
      <c r="E24" s="76">
        <v>137</v>
      </c>
      <c r="F24" s="76">
        <v>151</v>
      </c>
      <c r="G24" s="30"/>
      <c r="H24" s="76"/>
      <c r="I24" s="76"/>
      <c r="J24" s="76"/>
      <c r="K24" s="30">
        <f t="shared" ref="K24:K25" si="87">SUM(D24-SUM(H24:J24))</f>
        <v>108</v>
      </c>
      <c r="L24" s="76"/>
      <c r="M24" s="76"/>
      <c r="N24" s="76"/>
      <c r="O24" s="30">
        <f t="shared" ref="O24:O25" si="88">SUM(E24-SUM(L24:N24))</f>
        <v>137</v>
      </c>
      <c r="P24" s="76"/>
      <c r="Q24" s="76"/>
      <c r="R24" s="76"/>
      <c r="S24" s="30">
        <f t="shared" si="76"/>
        <v>151</v>
      </c>
      <c r="T24" s="76"/>
      <c r="V24" s="30">
        <f t="shared" ref="V24:V25" si="89">SUM(H24:K24)</f>
        <v>108</v>
      </c>
      <c r="W24" s="30">
        <f t="shared" ref="W24:W25" si="90">SUM(I24:L24)</f>
        <v>108</v>
      </c>
      <c r="X24" s="30">
        <f t="shared" ref="X24:X25" si="91">SUM(J24:M24)</f>
        <v>108</v>
      </c>
      <c r="Y24" s="30">
        <f t="shared" ref="Y24:Y25" si="92">SUM(K24:N24)</f>
        <v>108</v>
      </c>
      <c r="Z24" s="30">
        <f t="shared" ref="Z24:Z25" si="93">SUM(L24:O24)</f>
        <v>137</v>
      </c>
      <c r="AA24" s="30">
        <f t="shared" ref="AA24:AA25" si="94">SUM(M24:P24)</f>
        <v>137</v>
      </c>
      <c r="AB24" s="30">
        <f t="shared" ref="AB24:AB25" si="95">SUM(N24:Q24)</f>
        <v>137</v>
      </c>
      <c r="AC24" s="30">
        <f t="shared" ref="AC24:AC25" si="96">SUM(O24:R24)</f>
        <v>137</v>
      </c>
      <c r="AD24" s="30">
        <f t="shared" ref="AD24:AD25" si="97">SUM(P24:S24)</f>
        <v>151</v>
      </c>
      <c r="AE24" s="30">
        <f t="shared" ref="AE24:AE25" si="98">SUM(Q24:T24)</f>
        <v>151</v>
      </c>
      <c r="AF24" s="11"/>
      <c r="AG24" s="68">
        <f t="shared" ref="AG24:AG25" si="99">SUM(AE24/AA24)-1</f>
        <v>0.10218978102189791</v>
      </c>
    </row>
    <row r="25" spans="2:33" ht="12.75" customHeight="1">
      <c r="B25" s="9" t="s">
        <v>121</v>
      </c>
      <c r="C25" s="76">
        <v>47</v>
      </c>
      <c r="D25" s="76">
        <v>-9</v>
      </c>
      <c r="E25" s="76">
        <v>168</v>
      </c>
      <c r="F25" s="76">
        <v>-17</v>
      </c>
      <c r="G25" s="30"/>
      <c r="H25" s="76"/>
      <c r="I25" s="76"/>
      <c r="J25" s="76"/>
      <c r="K25" s="30">
        <f t="shared" si="87"/>
        <v>-9</v>
      </c>
      <c r="L25" s="76"/>
      <c r="M25" s="76"/>
      <c r="N25" s="76"/>
      <c r="O25" s="30">
        <f t="shared" si="88"/>
        <v>168</v>
      </c>
      <c r="P25" s="76"/>
      <c r="Q25" s="76"/>
      <c r="R25" s="76"/>
      <c r="S25" s="30">
        <f t="shared" si="76"/>
        <v>-17</v>
      </c>
      <c r="T25" s="76"/>
      <c r="V25" s="30">
        <f t="shared" si="89"/>
        <v>-9</v>
      </c>
      <c r="W25" s="30">
        <f t="shared" si="90"/>
        <v>-9</v>
      </c>
      <c r="X25" s="30">
        <f t="shared" si="91"/>
        <v>-9</v>
      </c>
      <c r="Y25" s="30">
        <f t="shared" si="92"/>
        <v>-9</v>
      </c>
      <c r="Z25" s="30">
        <f t="shared" si="93"/>
        <v>168</v>
      </c>
      <c r="AA25" s="30">
        <f t="shared" si="94"/>
        <v>168</v>
      </c>
      <c r="AB25" s="30">
        <f t="shared" si="95"/>
        <v>168</v>
      </c>
      <c r="AC25" s="30">
        <f t="shared" si="96"/>
        <v>168</v>
      </c>
      <c r="AD25" s="30">
        <f t="shared" si="97"/>
        <v>-17</v>
      </c>
      <c r="AE25" s="30">
        <f t="shared" si="98"/>
        <v>-17</v>
      </c>
      <c r="AF25" s="11"/>
      <c r="AG25" s="68">
        <f t="shared" si="99"/>
        <v>-1.1011904761904763</v>
      </c>
    </row>
    <row r="26" spans="2:33" ht="12.75" customHeight="1">
      <c r="B26" s="9" t="s">
        <v>122</v>
      </c>
      <c r="C26" s="76">
        <v>-128</v>
      </c>
      <c r="D26" s="76">
        <v>-120</v>
      </c>
      <c r="E26" s="76">
        <v>29</v>
      </c>
      <c r="F26" s="76">
        <v>0</v>
      </c>
      <c r="G26" s="30"/>
      <c r="H26" s="76"/>
      <c r="I26" s="76"/>
      <c r="J26" s="76"/>
      <c r="K26" s="30">
        <f>SUM(D26-SUM(H26:J26))</f>
        <v>-120</v>
      </c>
      <c r="L26" s="76"/>
      <c r="M26" s="76"/>
      <c r="N26" s="76"/>
      <c r="O26" s="30">
        <f>SUM(E26-SUM(L26:N26))</f>
        <v>29</v>
      </c>
      <c r="P26" s="76"/>
      <c r="Q26" s="76"/>
      <c r="R26" s="76"/>
      <c r="S26" s="30">
        <f t="shared" ref="S26" si="100">SUM(F26-SUM(P26:R26))</f>
        <v>0</v>
      </c>
      <c r="T26" s="76"/>
      <c r="V26" s="30">
        <f t="shared" si="77"/>
        <v>-120</v>
      </c>
      <c r="W26" s="30">
        <f t="shared" si="78"/>
        <v>-120</v>
      </c>
      <c r="X26" s="30">
        <f t="shared" si="79"/>
        <v>-120</v>
      </c>
      <c r="Y26" s="30">
        <f t="shared" si="80"/>
        <v>-120</v>
      </c>
      <c r="Z26" s="30">
        <f t="shared" si="81"/>
        <v>29</v>
      </c>
      <c r="AA26" s="30">
        <f t="shared" si="82"/>
        <v>29</v>
      </c>
      <c r="AB26" s="30">
        <f t="shared" si="83"/>
        <v>29</v>
      </c>
      <c r="AC26" s="30">
        <f t="shared" si="84"/>
        <v>29</v>
      </c>
      <c r="AD26" s="30">
        <f t="shared" si="85"/>
        <v>0</v>
      </c>
      <c r="AE26" s="30">
        <f t="shared" si="86"/>
        <v>0</v>
      </c>
      <c r="AF26" s="11"/>
      <c r="AG26" s="68">
        <f t="shared" ref="AG26" si="101">SUM(AE26/AA26)-1</f>
        <v>-1</v>
      </c>
    </row>
    <row r="27" spans="2:33" ht="12.75" customHeight="1">
      <c r="B27" s="9" t="s">
        <v>123</v>
      </c>
      <c r="C27" s="76">
        <v>-77</v>
      </c>
      <c r="D27" s="76">
        <v>-124</v>
      </c>
      <c r="E27" s="76">
        <v>-216</v>
      </c>
      <c r="F27" s="76">
        <v>-182</v>
      </c>
      <c r="G27" s="30"/>
      <c r="H27" s="76"/>
      <c r="I27" s="76"/>
      <c r="J27" s="76"/>
      <c r="K27" s="30">
        <f>SUM(D27-SUM(H27:J27))</f>
        <v>-124</v>
      </c>
      <c r="L27" s="76"/>
      <c r="M27" s="76"/>
      <c r="N27" s="76"/>
      <c r="O27" s="30">
        <f>SUM(E27-SUM(L27:N27))</f>
        <v>-216</v>
      </c>
      <c r="P27" s="76"/>
      <c r="Q27" s="76"/>
      <c r="R27" s="76"/>
      <c r="S27" s="30">
        <f t="shared" si="76"/>
        <v>-182</v>
      </c>
      <c r="T27" s="76"/>
      <c r="V27" s="30">
        <f t="shared" si="77"/>
        <v>-124</v>
      </c>
      <c r="W27" s="30">
        <f t="shared" si="78"/>
        <v>-124</v>
      </c>
      <c r="X27" s="30">
        <f t="shared" si="79"/>
        <v>-124</v>
      </c>
      <c r="Y27" s="30">
        <f t="shared" si="80"/>
        <v>-124</v>
      </c>
      <c r="Z27" s="30">
        <f t="shared" si="81"/>
        <v>-216</v>
      </c>
      <c r="AA27" s="30">
        <f t="shared" si="82"/>
        <v>-216</v>
      </c>
      <c r="AB27" s="30">
        <f t="shared" si="83"/>
        <v>-216</v>
      </c>
      <c r="AC27" s="30">
        <f t="shared" si="84"/>
        <v>-216</v>
      </c>
      <c r="AD27" s="30">
        <f t="shared" si="85"/>
        <v>-182</v>
      </c>
      <c r="AE27" s="30">
        <f t="shared" si="86"/>
        <v>-182</v>
      </c>
      <c r="AF27" s="11"/>
      <c r="AG27" s="68">
        <f t="shared" si="8"/>
        <v>-0.15740740740740744</v>
      </c>
    </row>
    <row r="28" spans="2:33" ht="12.75" customHeight="1">
      <c r="B28" s="23" t="s">
        <v>124</v>
      </c>
      <c r="C28" s="24">
        <f>SUM(C23:C27)+C20</f>
        <v>5206</v>
      </c>
      <c r="D28" s="24">
        <f>SUM(D23:D27)+D20</f>
        <v>1266</v>
      </c>
      <c r="E28" s="24">
        <f>SUM(E23:E27)+E20</f>
        <v>-1253</v>
      </c>
      <c r="F28" s="24">
        <f>SUM(F23:F27)+F20</f>
        <v>-6177</v>
      </c>
      <c r="G28" s="30"/>
      <c r="H28" s="24">
        <f>SUM(H23:H27)+H20</f>
        <v>0</v>
      </c>
      <c r="I28" s="24">
        <f>SUM(I23:I27)+I20</f>
        <v>0</v>
      </c>
      <c r="J28" s="24">
        <f>SUM(J23:J27)+J20</f>
        <v>0</v>
      </c>
      <c r="K28" s="24">
        <f>SUM(K23:K27)+K20</f>
        <v>1266</v>
      </c>
      <c r="L28" s="24">
        <f>SUM(L23:L27)+L20</f>
        <v>0</v>
      </c>
      <c r="M28" s="24">
        <f>SUM(M23:M27)+M20</f>
        <v>0</v>
      </c>
      <c r="N28" s="24">
        <f>SUM(N23:N27)+N20</f>
        <v>0</v>
      </c>
      <c r="O28" s="24">
        <f>SUM(O23:O27)+O20</f>
        <v>-1253</v>
      </c>
      <c r="P28" s="24">
        <f>SUM(P23:P27)+P20</f>
        <v>0</v>
      </c>
      <c r="Q28" s="24">
        <f>SUM(Q23:Q27)+Q20</f>
        <v>0</v>
      </c>
      <c r="R28" s="24">
        <f>SUM(R23:R27)+R20</f>
        <v>0</v>
      </c>
      <c r="S28" s="24">
        <f>SUM(S23:S27)+S20</f>
        <v>-6177</v>
      </c>
      <c r="T28" s="24">
        <f>SUM(T23:T27)+T20</f>
        <v>0</v>
      </c>
      <c r="V28" s="24">
        <f>SUM(V23:V27)+V20</f>
        <v>1266</v>
      </c>
      <c r="W28" s="24">
        <f>SUM(W23:W27)+W20</f>
        <v>1266</v>
      </c>
      <c r="X28" s="24">
        <f>SUM(X23:X27)+X20</f>
        <v>1266</v>
      </c>
      <c r="Y28" s="24">
        <f>SUM(Y23:Y27)+Y20</f>
        <v>1266</v>
      </c>
      <c r="Z28" s="24">
        <f>SUM(Z23:Z27)+Z20</f>
        <v>-1253</v>
      </c>
      <c r="AA28" s="24">
        <f>SUM(AA23:AA27)+AA20</f>
        <v>-1253</v>
      </c>
      <c r="AB28" s="24">
        <f>SUM(AB23:AB27)+AB20</f>
        <v>-1253</v>
      </c>
      <c r="AC28" s="24">
        <f>SUM(AC23:AC27)+AC20</f>
        <v>-1253</v>
      </c>
      <c r="AD28" s="24">
        <f>SUM(AD23:AD27)+AD20</f>
        <v>-6177</v>
      </c>
      <c r="AE28" s="24">
        <f>SUM(AE23:AE27)+AE20</f>
        <v>-6177</v>
      </c>
      <c r="AF28" s="11"/>
      <c r="AG28" s="68">
        <f t="shared" si="8"/>
        <v>3.9297685554668798</v>
      </c>
    </row>
    <row r="29" spans="2:33" ht="12.75" customHeight="1">
      <c r="B29" s="14" t="s">
        <v>79</v>
      </c>
      <c r="C29" s="15">
        <f>C28/C11</f>
        <v>0.18211712026866297</v>
      </c>
      <c r="D29" s="15">
        <f>D28/D11</f>
        <v>4.1984479671022083E-2</v>
      </c>
      <c r="E29" s="15">
        <f>E28/E11</f>
        <v>-4.2256846081208686E-2</v>
      </c>
      <c r="F29" s="15">
        <f>F28/F11</f>
        <v>-0.21144695854585288</v>
      </c>
      <c r="G29" s="25"/>
      <c r="H29" s="15" t="e">
        <f>H28/H11</f>
        <v>#DIV/0!</v>
      </c>
      <c r="I29" s="15" t="e">
        <f>I28/I11</f>
        <v>#DIV/0!</v>
      </c>
      <c r="J29" s="15" t="e">
        <f>J28/J11</f>
        <v>#DIV/0!</v>
      </c>
      <c r="K29" s="15">
        <f>K28/K11</f>
        <v>4.1984479671022083E-2</v>
      </c>
      <c r="L29" s="15" t="e">
        <f>L28/L11</f>
        <v>#DIV/0!</v>
      </c>
      <c r="M29" s="15" t="e">
        <f>M28/M11</f>
        <v>#DIV/0!</v>
      </c>
      <c r="N29" s="15" t="e">
        <f>N28/N11</f>
        <v>#DIV/0!</v>
      </c>
      <c r="O29" s="15">
        <f>O28/O11</f>
        <v>-4.2256846081208686E-2</v>
      </c>
      <c r="P29" s="15" t="e">
        <f>P28/P11</f>
        <v>#DIV/0!</v>
      </c>
      <c r="Q29" s="15" t="e">
        <f>Q28/Q11</f>
        <v>#DIV/0!</v>
      </c>
      <c r="R29" s="15" t="e">
        <f>R28/R11</f>
        <v>#DIV/0!</v>
      </c>
      <c r="S29" s="15">
        <f>S28/S11</f>
        <v>-0.21144695854585288</v>
      </c>
      <c r="T29" s="15" t="e">
        <f>T28/T11</f>
        <v>#DIV/0!</v>
      </c>
      <c r="V29" s="15">
        <f>V28/V11</f>
        <v>4.1984479671022083E-2</v>
      </c>
      <c r="W29" s="15">
        <f>W28/W11</f>
        <v>4.1984479671022083E-2</v>
      </c>
      <c r="X29" s="15">
        <f>X28/X11</f>
        <v>4.1984479671022083E-2</v>
      </c>
      <c r="Y29" s="15">
        <f>Y28/Y11</f>
        <v>4.1984479671022083E-2</v>
      </c>
      <c r="Z29" s="15">
        <f>Z28/Z11</f>
        <v>-4.2256846081208686E-2</v>
      </c>
      <c r="AA29" s="15">
        <f>AA28/AA11</f>
        <v>-4.2256846081208686E-2</v>
      </c>
      <c r="AB29" s="15">
        <f>AB28/AB11</f>
        <v>-4.2256846081208686E-2</v>
      </c>
      <c r="AC29" s="15">
        <f>AC28/AC11</f>
        <v>-4.2256846081208686E-2</v>
      </c>
      <c r="AD29" s="15">
        <f>AD28/AD11</f>
        <v>-0.21144695854585288</v>
      </c>
      <c r="AE29" s="15">
        <f>AE28/AE11</f>
        <v>-0.21144695854585288</v>
      </c>
      <c r="AF29" s="40"/>
      <c r="AG29" s="70">
        <f>SUM(AE29-AA29)*1000</f>
        <v>-169.19011246464419</v>
      </c>
    </row>
    <row r="30" spans="2:33" ht="12.75" customHeight="1">
      <c r="B30" s="14"/>
      <c r="C30" s="15"/>
      <c r="D30" s="15"/>
      <c r="E30" s="15"/>
      <c r="F30" s="15"/>
      <c r="G30" s="2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40"/>
      <c r="AG30" s="70"/>
    </row>
    <row r="31" spans="2:33" ht="12.75" customHeight="1">
      <c r="B31" s="9" t="s">
        <v>84</v>
      </c>
      <c r="C31" s="76">
        <v>-646</v>
      </c>
      <c r="D31" s="76">
        <v>-227</v>
      </c>
      <c r="E31" s="76">
        <v>361</v>
      </c>
      <c r="F31" s="76">
        <v>305</v>
      </c>
      <c r="G31" s="30"/>
      <c r="H31" s="76"/>
      <c r="I31" s="76"/>
      <c r="J31" s="76"/>
      <c r="K31" s="30">
        <f>SUM(D31-SUM(H31:J31))</f>
        <v>-227</v>
      </c>
      <c r="L31" s="76"/>
      <c r="M31" s="76"/>
      <c r="N31" s="76"/>
      <c r="O31" s="30">
        <f>SUM(E31-SUM(L31:N31))</f>
        <v>361</v>
      </c>
      <c r="P31" s="76"/>
      <c r="Q31" s="76"/>
      <c r="R31" s="76"/>
      <c r="S31" s="30">
        <f t="shared" ref="S31" si="102">SUM(F31-SUM(P31:R31))</f>
        <v>305</v>
      </c>
      <c r="T31" s="76"/>
      <c r="V31" s="30">
        <f t="shared" ref="V31" si="103">SUM(H31:K31)</f>
        <v>-227</v>
      </c>
      <c r="W31" s="30">
        <f t="shared" ref="W31" si="104">SUM(I31:L31)</f>
        <v>-227</v>
      </c>
      <c r="X31" s="30">
        <f t="shared" ref="X31" si="105">SUM(J31:M31)</f>
        <v>-227</v>
      </c>
      <c r="Y31" s="30">
        <f t="shared" ref="Y31" si="106">SUM(K31:N31)</f>
        <v>-227</v>
      </c>
      <c r="Z31" s="30">
        <f t="shared" ref="Z31" si="107">SUM(L31:O31)</f>
        <v>361</v>
      </c>
      <c r="AA31" s="30">
        <f t="shared" ref="AA31" si="108">SUM(M31:P31)</f>
        <v>361</v>
      </c>
      <c r="AB31" s="30">
        <f t="shared" ref="AB31" si="109">SUM(N31:Q31)</f>
        <v>361</v>
      </c>
      <c r="AC31" s="30">
        <f t="shared" ref="AC31" si="110">SUM(O31:R31)</f>
        <v>361</v>
      </c>
      <c r="AD31" s="30">
        <f t="shared" ref="AD31" si="111">SUM(P31:S31)</f>
        <v>305</v>
      </c>
      <c r="AE31" s="30">
        <f>SUM(Q31:T31)</f>
        <v>305</v>
      </c>
      <c r="AF31" s="11"/>
      <c r="AG31" s="68">
        <f t="shared" ref="AG31:AG33" si="112">SUM(AE31/AA31)-1</f>
        <v>-0.15512465373961215</v>
      </c>
    </row>
    <row r="32" spans="2:33" ht="12.75" customHeight="1">
      <c r="B32" s="9" t="s">
        <v>126</v>
      </c>
      <c r="C32" s="76">
        <v>-91</v>
      </c>
      <c r="D32" s="76">
        <v>-204</v>
      </c>
      <c r="E32" s="76">
        <v>-360</v>
      </c>
      <c r="F32" s="76">
        <v>-291</v>
      </c>
      <c r="G32" s="30"/>
      <c r="H32" s="76"/>
      <c r="I32" s="76"/>
      <c r="J32" s="76"/>
      <c r="K32" s="30">
        <f>SUM(D32-SUM(H32:J32))</f>
        <v>-204</v>
      </c>
      <c r="L32" s="76"/>
      <c r="M32" s="76"/>
      <c r="N32" s="76"/>
      <c r="O32" s="30">
        <f>SUM(E32-SUM(L32:N32))</f>
        <v>-360</v>
      </c>
      <c r="P32" s="76"/>
      <c r="Q32" s="76"/>
      <c r="R32" s="76"/>
      <c r="S32" s="30">
        <f t="shared" ref="S32" si="113">SUM(F32-SUM(P32:R32))</f>
        <v>-291</v>
      </c>
      <c r="T32" s="76"/>
      <c r="V32" s="30">
        <f t="shared" ref="V32" si="114">SUM(H32:K32)</f>
        <v>-204</v>
      </c>
      <c r="W32" s="30">
        <f t="shared" ref="W32" si="115">SUM(I32:L32)</f>
        <v>-204</v>
      </c>
      <c r="X32" s="30">
        <f t="shared" ref="X32" si="116">SUM(J32:M32)</f>
        <v>-204</v>
      </c>
      <c r="Y32" s="30">
        <f t="shared" ref="Y32" si="117">SUM(K32:N32)</f>
        <v>-204</v>
      </c>
      <c r="Z32" s="30">
        <f t="shared" ref="Z32" si="118">SUM(L32:O32)</f>
        <v>-360</v>
      </c>
      <c r="AA32" s="30">
        <f t="shared" ref="AA32" si="119">SUM(M32:P32)</f>
        <v>-360</v>
      </c>
      <c r="AB32" s="30">
        <f t="shared" ref="AB32" si="120">SUM(N32:Q32)</f>
        <v>-360</v>
      </c>
      <c r="AC32" s="30">
        <f t="shared" ref="AC32" si="121">SUM(O32:R32)</f>
        <v>-360</v>
      </c>
      <c r="AD32" s="30">
        <f t="shared" ref="AD32" si="122">SUM(P32:S32)</f>
        <v>-291</v>
      </c>
      <c r="AE32" s="30">
        <f>SUM(Q32:T32)</f>
        <v>-291</v>
      </c>
      <c r="AF32" s="11"/>
      <c r="AG32" s="68"/>
    </row>
    <row r="33" spans="1:33" ht="12.75" customHeight="1">
      <c r="B33" s="12" t="s">
        <v>125</v>
      </c>
      <c r="C33" s="13">
        <f t="shared" ref="C33" si="123">SUM(C28+SUM(C31:C32))</f>
        <v>4469</v>
      </c>
      <c r="D33" s="13">
        <f>SUM(D28+SUM(D31:D32))</f>
        <v>835</v>
      </c>
      <c r="E33" s="13">
        <f t="shared" ref="E33:F33" si="124">SUM(E28+SUM(E31:E32))</f>
        <v>-1252</v>
      </c>
      <c r="F33" s="13">
        <f t="shared" si="124"/>
        <v>-6163</v>
      </c>
      <c r="H33" s="13">
        <f t="shared" ref="H33" si="125">SUM(H28+SUM(H31:H32))</f>
        <v>0</v>
      </c>
      <c r="I33" s="13">
        <f t="shared" ref="I33" si="126">SUM(I28+SUM(I31:I32))</f>
        <v>0</v>
      </c>
      <c r="J33" s="13">
        <f t="shared" ref="J33" si="127">SUM(J28+SUM(J31:J32))</f>
        <v>0</v>
      </c>
      <c r="K33" s="13">
        <f t="shared" ref="K33" si="128">SUM(K28+SUM(K31:K32))</f>
        <v>835</v>
      </c>
      <c r="L33" s="13">
        <f t="shared" ref="L33" si="129">SUM(L28+SUM(L31:L32))</f>
        <v>0</v>
      </c>
      <c r="M33" s="13">
        <f t="shared" ref="M33" si="130">SUM(M28+SUM(M31:M32))</f>
        <v>0</v>
      </c>
      <c r="N33" s="13">
        <f t="shared" ref="N33" si="131">SUM(N28+SUM(N31:N32))</f>
        <v>0</v>
      </c>
      <c r="O33" s="13">
        <f t="shared" ref="O33" si="132">SUM(O28+SUM(O31:O32))</f>
        <v>-1252</v>
      </c>
      <c r="P33" s="13">
        <f t="shared" ref="P33" si="133">SUM(P28+SUM(P31:P32))</f>
        <v>0</v>
      </c>
      <c r="Q33" s="13">
        <f t="shared" ref="Q33" si="134">SUM(Q28+SUM(Q31:Q32))</f>
        <v>0</v>
      </c>
      <c r="R33" s="13">
        <f t="shared" ref="R33" si="135">SUM(R28+SUM(R31:R32))</f>
        <v>0</v>
      </c>
      <c r="S33" s="13">
        <f t="shared" ref="S33" si="136">SUM(S28+SUM(S31:S32))</f>
        <v>-6163</v>
      </c>
      <c r="T33" s="13">
        <f t="shared" ref="T33" si="137">SUM(T28+SUM(T31:T32))</f>
        <v>0</v>
      </c>
      <c r="V33" s="13">
        <f t="shared" ref="V33" si="138">SUM(V23+SUM(V31:V32))</f>
        <v>-1362</v>
      </c>
      <c r="W33" s="13">
        <f t="shared" ref="W33" si="139">SUM(W23+SUM(W31:W32))</f>
        <v>-1362</v>
      </c>
      <c r="X33" s="13">
        <f t="shared" ref="X33" si="140">SUM(X23+SUM(X31:X32))</f>
        <v>-1362</v>
      </c>
      <c r="Y33" s="13">
        <f t="shared" ref="Y33" si="141">SUM(Y23+SUM(Y31:Y32))</f>
        <v>-1362</v>
      </c>
      <c r="Z33" s="13">
        <f t="shared" ref="Z33" si="142">SUM(Z23+SUM(Z31:Z32))</f>
        <v>-919</v>
      </c>
      <c r="AA33" s="13">
        <f t="shared" ref="AA33" si="143">SUM(AA23+SUM(AA31:AA32))</f>
        <v>-919</v>
      </c>
      <c r="AB33" s="13">
        <f t="shared" ref="AB33" si="144">SUM(AB23+SUM(AB31:AB32))</f>
        <v>-919</v>
      </c>
      <c r="AC33" s="13">
        <f t="shared" ref="AC33" si="145">SUM(AC23+SUM(AC31:AC32))</f>
        <v>-919</v>
      </c>
      <c r="AD33" s="13">
        <f t="shared" ref="AD33" si="146">SUM(AD23+SUM(AD31:AD32))</f>
        <v>-846</v>
      </c>
      <c r="AE33" s="13">
        <f t="shared" ref="AE33" si="147">SUM(AE23+SUM(AE31:AE32))</f>
        <v>-846</v>
      </c>
      <c r="AF33" s="39"/>
      <c r="AG33" s="69">
        <f t="shared" si="112"/>
        <v>-7.9434167573449455E-2</v>
      </c>
    </row>
    <row r="34" spans="1:33" s="155" customFormat="1" ht="5.0999999999999996" customHeight="1">
      <c r="B34" s="156"/>
      <c r="C34" s="157"/>
      <c r="D34" s="157"/>
      <c r="E34" s="157"/>
      <c r="F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8"/>
      <c r="AG34" s="159"/>
    </row>
    <row r="35" spans="1:33" ht="12.75" customHeight="1">
      <c r="B35" s="9" t="s">
        <v>127</v>
      </c>
      <c r="C35" s="76">
        <v>162</v>
      </c>
      <c r="D35" s="76">
        <v>379</v>
      </c>
      <c r="E35" s="76">
        <v>676</v>
      </c>
      <c r="F35" s="76">
        <v>14</v>
      </c>
      <c r="G35" s="30"/>
      <c r="H35" s="76"/>
      <c r="I35" s="76"/>
      <c r="J35" s="76"/>
      <c r="K35" s="30">
        <f>SUM(D35-SUM(H35:J35))</f>
        <v>379</v>
      </c>
      <c r="L35" s="76"/>
      <c r="M35" s="76"/>
      <c r="N35" s="76"/>
      <c r="O35" s="30">
        <f>SUM(E35-SUM(L35:N35))</f>
        <v>676</v>
      </c>
      <c r="P35" s="76"/>
      <c r="Q35" s="76"/>
      <c r="R35" s="76"/>
      <c r="S35" s="30">
        <f t="shared" ref="S35" si="148">SUM(F35-SUM(P35:R35))</f>
        <v>14</v>
      </c>
      <c r="T35" s="76"/>
      <c r="V35" s="30">
        <f t="shared" ref="V35" si="149">SUM(H35:K35)</f>
        <v>379</v>
      </c>
      <c r="W35" s="30">
        <f t="shared" ref="W35" si="150">SUM(I35:L35)</f>
        <v>379</v>
      </c>
      <c r="X35" s="30">
        <f t="shared" ref="X35" si="151">SUM(J35:M35)</f>
        <v>379</v>
      </c>
      <c r="Y35" s="30">
        <f t="shared" ref="Y35" si="152">SUM(K35:N35)</f>
        <v>379</v>
      </c>
      <c r="Z35" s="30">
        <f t="shared" ref="Z35" si="153">SUM(L35:O35)</f>
        <v>676</v>
      </c>
      <c r="AA35" s="30">
        <f t="shared" ref="AA35" si="154">SUM(M35:P35)</f>
        <v>676</v>
      </c>
      <c r="AB35" s="30">
        <f t="shared" ref="AB35" si="155">SUM(N35:Q35)</f>
        <v>676</v>
      </c>
      <c r="AC35" s="30">
        <f t="shared" ref="AC35" si="156">SUM(O35:R35)</f>
        <v>676</v>
      </c>
      <c r="AD35" s="30">
        <f t="shared" ref="AD35" si="157">SUM(P35:S35)</f>
        <v>14</v>
      </c>
      <c r="AE35" s="30">
        <f>SUM(Q35:T35)</f>
        <v>14</v>
      </c>
      <c r="AF35" s="11"/>
      <c r="AG35" s="68">
        <f t="shared" ref="AG35" si="158">SUM(AE35/AA35)-1</f>
        <v>-0.97928994082840237</v>
      </c>
    </row>
    <row r="36" spans="1:33" ht="12.75" customHeight="1">
      <c r="B36" s="12" t="s">
        <v>128</v>
      </c>
      <c r="C36" s="13">
        <f t="shared" ref="C36" si="159">SUM(C33)+SUM(C35:C35)</f>
        <v>4631</v>
      </c>
      <c r="D36" s="13">
        <f>SUM(D33)+SUM(D35:D35)</f>
        <v>1214</v>
      </c>
      <c r="E36" s="13">
        <f t="shared" ref="E36:F36" si="160">SUM(E33)+SUM(E35:E35)</f>
        <v>-576</v>
      </c>
      <c r="F36" s="13">
        <f t="shared" si="160"/>
        <v>-6149</v>
      </c>
      <c r="H36" s="13">
        <f t="shared" ref="H36" si="161">SUM(H33)+SUM(H35:H35)</f>
        <v>0</v>
      </c>
      <c r="I36" s="13">
        <f t="shared" ref="I36" si="162">SUM(I33)+SUM(I35:I35)</f>
        <v>0</v>
      </c>
      <c r="J36" s="13">
        <f t="shared" ref="J36" si="163">SUM(J33)+SUM(J35:J35)</f>
        <v>0</v>
      </c>
      <c r="K36" s="13">
        <f t="shared" ref="K36" si="164">SUM(K33)+SUM(K35:K35)</f>
        <v>1214</v>
      </c>
      <c r="L36" s="13">
        <f t="shared" ref="L36" si="165">SUM(L33)+SUM(L35:L35)</f>
        <v>0</v>
      </c>
      <c r="M36" s="13">
        <f t="shared" ref="M36" si="166">SUM(M33)+SUM(M35:M35)</f>
        <v>0</v>
      </c>
      <c r="N36" s="13">
        <f t="shared" ref="N36" si="167">SUM(N33)+SUM(N35:N35)</f>
        <v>0</v>
      </c>
      <c r="O36" s="13">
        <f t="shared" ref="O36" si="168">SUM(O33)+SUM(O35:O35)</f>
        <v>-576</v>
      </c>
      <c r="P36" s="13">
        <f t="shared" ref="P36" si="169">SUM(P33)+SUM(P35:P35)</f>
        <v>0</v>
      </c>
      <c r="Q36" s="13">
        <f t="shared" ref="Q36" si="170">SUM(Q33)+SUM(Q35:Q35)</f>
        <v>0</v>
      </c>
      <c r="R36" s="13">
        <f t="shared" ref="R36" si="171">SUM(R33)+SUM(R35:R35)</f>
        <v>0</v>
      </c>
      <c r="S36" s="13">
        <f t="shared" ref="S36" si="172">SUM(S33)+SUM(S35:S35)</f>
        <v>-6149</v>
      </c>
      <c r="T36" s="13">
        <f t="shared" ref="T36" si="173">SUM(T33)+SUM(T35:T35)</f>
        <v>0</v>
      </c>
      <c r="V36" s="13">
        <f t="shared" ref="V36" si="174">SUM(V33)+SUM(V35:V35)</f>
        <v>-983</v>
      </c>
      <c r="W36" s="13">
        <f t="shared" ref="W36" si="175">SUM(W33)+SUM(W35:W35)</f>
        <v>-983</v>
      </c>
      <c r="X36" s="13">
        <f t="shared" ref="X36" si="176">SUM(X33)+SUM(X35:X35)</f>
        <v>-983</v>
      </c>
      <c r="Y36" s="13">
        <f t="shared" ref="Y36" si="177">SUM(Y33)+SUM(Y35:Y35)</f>
        <v>-983</v>
      </c>
      <c r="Z36" s="13">
        <f t="shared" ref="Z36" si="178">SUM(Z33)+SUM(Z35:Z35)</f>
        <v>-243</v>
      </c>
      <c r="AA36" s="13">
        <f t="shared" ref="AA36" si="179">SUM(AA33)+SUM(AA35:AA35)</f>
        <v>-243</v>
      </c>
      <c r="AB36" s="13">
        <f t="shared" ref="AB36" si="180">SUM(AB33)+SUM(AB35:AB35)</f>
        <v>-243</v>
      </c>
      <c r="AC36" s="13">
        <f t="shared" ref="AC36" si="181">SUM(AC33)+SUM(AC35:AC35)</f>
        <v>-243</v>
      </c>
      <c r="AD36" s="13">
        <f t="shared" ref="AD36" si="182">SUM(AD33)+SUM(AD35:AD35)</f>
        <v>-832</v>
      </c>
      <c r="AE36" s="13">
        <f t="shared" ref="AE36" si="183">SUM(AE33)+SUM(AE35:AE35)</f>
        <v>-832</v>
      </c>
      <c r="AF36" s="39"/>
      <c r="AG36" s="69">
        <f t="shared" ref="AG36" si="184">SUM(AE36/AA36)-1</f>
        <v>2.4238683127572016</v>
      </c>
    </row>
    <row r="37" spans="1:33" ht="5.0999999999999996" customHeight="1">
      <c r="B37" s="9"/>
      <c r="C37" s="76"/>
      <c r="D37" s="76"/>
      <c r="E37" s="76"/>
      <c r="F37" s="76"/>
      <c r="G37" s="30"/>
      <c r="H37" s="76"/>
      <c r="I37" s="76"/>
      <c r="J37" s="76"/>
      <c r="K37" s="30"/>
      <c r="L37" s="76"/>
      <c r="M37" s="76"/>
      <c r="N37" s="76"/>
      <c r="O37" s="30"/>
      <c r="P37" s="76"/>
      <c r="Q37" s="76"/>
      <c r="R37" s="76"/>
      <c r="S37" s="76"/>
      <c r="T37" s="76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11"/>
      <c r="AG37" s="68"/>
    </row>
    <row r="38" spans="1:33" ht="12.75" customHeight="1">
      <c r="B38" s="9" t="s">
        <v>129</v>
      </c>
      <c r="C38" s="76">
        <v>-88</v>
      </c>
      <c r="D38" s="76">
        <v>-110</v>
      </c>
      <c r="E38" s="76">
        <v>-32</v>
      </c>
      <c r="F38" s="76">
        <v>-41</v>
      </c>
      <c r="G38" s="30"/>
      <c r="H38" s="76"/>
      <c r="I38" s="76"/>
      <c r="J38" s="76"/>
      <c r="K38" s="30">
        <f>SUM(D38-SUM(H38:J38))</f>
        <v>-110</v>
      </c>
      <c r="L38" s="76"/>
      <c r="M38" s="76"/>
      <c r="N38" s="76"/>
      <c r="O38" s="30">
        <f>SUM(E38-SUM(L38:N38))</f>
        <v>-32</v>
      </c>
      <c r="P38" s="76"/>
      <c r="Q38" s="76"/>
      <c r="R38" s="76"/>
      <c r="S38" s="30">
        <f t="shared" ref="S38" si="185">SUM(F38-SUM(P38:R38))</f>
        <v>-41</v>
      </c>
      <c r="T38" s="76"/>
      <c r="V38" s="30">
        <f t="shared" ref="V38" si="186">SUM(H38:K38)</f>
        <v>-110</v>
      </c>
      <c r="W38" s="30">
        <f t="shared" ref="W38" si="187">SUM(I38:L38)</f>
        <v>-110</v>
      </c>
      <c r="X38" s="30">
        <f t="shared" ref="X38" si="188">SUM(J38:M38)</f>
        <v>-110</v>
      </c>
      <c r="Y38" s="30">
        <f t="shared" ref="Y38" si="189">SUM(K38:N38)</f>
        <v>-110</v>
      </c>
      <c r="Z38" s="30">
        <f t="shared" ref="Z38" si="190">SUM(L38:O38)</f>
        <v>-32</v>
      </c>
      <c r="AA38" s="30">
        <f t="shared" ref="AA38" si="191">SUM(M38:P38)</f>
        <v>-32</v>
      </c>
      <c r="AB38" s="30">
        <f t="shared" ref="AB38" si="192">SUM(N38:Q38)</f>
        <v>-32</v>
      </c>
      <c r="AC38" s="30">
        <f t="shared" ref="AC38" si="193">SUM(O38:R38)</f>
        <v>-32</v>
      </c>
      <c r="AD38" s="30">
        <f t="shared" ref="AD38" si="194">SUM(P38:S38)</f>
        <v>-41</v>
      </c>
      <c r="AE38" s="30">
        <f>SUM(Q38:T38)</f>
        <v>-41</v>
      </c>
      <c r="AF38" s="11"/>
      <c r="AG38" s="68">
        <f t="shared" si="8"/>
        <v>0.28125</v>
      </c>
    </row>
    <row r="39" spans="1:33" ht="12.75" customHeight="1">
      <c r="B39" s="12" t="s">
        <v>130</v>
      </c>
      <c r="C39" s="13">
        <f>SUM(C36+SUM(C38:C38))</f>
        <v>4543</v>
      </c>
      <c r="D39" s="13">
        <f>SUM(D36+SUM(D38:D38))</f>
        <v>1104</v>
      </c>
      <c r="E39" s="13">
        <f t="shared" ref="E39:F39" si="195">SUM(E36+SUM(E38:E38))</f>
        <v>-608</v>
      </c>
      <c r="F39" s="13">
        <f t="shared" si="195"/>
        <v>-6190</v>
      </c>
      <c r="H39" s="13">
        <f t="shared" ref="H39" si="196">SUM(H36+SUM(H38:H38))</f>
        <v>0</v>
      </c>
      <c r="I39" s="13">
        <f t="shared" ref="I39" si="197">SUM(I36+SUM(I38:I38))</f>
        <v>0</v>
      </c>
      <c r="J39" s="13">
        <f t="shared" ref="J39" si="198">SUM(J36+SUM(J38:J38))</f>
        <v>0</v>
      </c>
      <c r="K39" s="13">
        <f t="shared" ref="K39" si="199">SUM(K36+SUM(K38:K38))</f>
        <v>1104</v>
      </c>
      <c r="L39" s="13">
        <f t="shared" ref="L39" si="200">SUM(L36+SUM(L38:L38))</f>
        <v>0</v>
      </c>
      <c r="M39" s="13">
        <f t="shared" ref="M39" si="201">SUM(M36+SUM(M38:M38))</f>
        <v>0</v>
      </c>
      <c r="N39" s="13">
        <f t="shared" ref="N39" si="202">SUM(N36+SUM(N38:N38))</f>
        <v>0</v>
      </c>
      <c r="O39" s="13">
        <f t="shared" ref="O39" si="203">SUM(O36+SUM(O38:O38))</f>
        <v>-608</v>
      </c>
      <c r="P39" s="13">
        <f t="shared" ref="P39" si="204">SUM(P36+SUM(P38:P38))</f>
        <v>0</v>
      </c>
      <c r="Q39" s="13">
        <f t="shared" ref="Q39" si="205">SUM(Q36+SUM(Q38:Q38))</f>
        <v>0</v>
      </c>
      <c r="R39" s="13">
        <f t="shared" ref="R39" si="206">SUM(R36+SUM(R38:R38))</f>
        <v>0</v>
      </c>
      <c r="S39" s="13">
        <f t="shared" ref="S39" si="207">SUM(S36+SUM(S38:S38))</f>
        <v>-6190</v>
      </c>
      <c r="T39" s="13">
        <f t="shared" ref="T39" si="208">SUM(T36+SUM(T38:T38))</f>
        <v>0</v>
      </c>
      <c r="V39" s="13">
        <f t="shared" ref="V39" si="209">SUM(V36+SUM(V38:V38))</f>
        <v>-1093</v>
      </c>
      <c r="W39" s="13">
        <f t="shared" ref="W39" si="210">SUM(W36+SUM(W38:W38))</f>
        <v>-1093</v>
      </c>
      <c r="X39" s="13">
        <f t="shared" ref="X39" si="211">SUM(X36+SUM(X38:X38))</f>
        <v>-1093</v>
      </c>
      <c r="Y39" s="13">
        <f t="shared" ref="Y39" si="212">SUM(Y36+SUM(Y38:Y38))</f>
        <v>-1093</v>
      </c>
      <c r="Z39" s="13">
        <f t="shared" ref="Z39" si="213">SUM(Z36+SUM(Z38:Z38))</f>
        <v>-275</v>
      </c>
      <c r="AA39" s="13">
        <f t="shared" ref="AA39" si="214">SUM(AA36+SUM(AA38:AA38))</f>
        <v>-275</v>
      </c>
      <c r="AB39" s="13">
        <f t="shared" ref="AB39" si="215">SUM(AB36+SUM(AB38:AB38))</f>
        <v>-275</v>
      </c>
      <c r="AC39" s="13">
        <f t="shared" ref="AC39" si="216">SUM(AC36+SUM(AC38:AC38))</f>
        <v>-275</v>
      </c>
      <c r="AD39" s="13">
        <f t="shared" ref="AD39" si="217">SUM(AD36+SUM(AD38:AD38))</f>
        <v>-873</v>
      </c>
      <c r="AE39" s="13">
        <f t="shared" ref="AE39" si="218">SUM(AE36+SUM(AE38:AE38))</f>
        <v>-873</v>
      </c>
      <c r="AF39" s="39"/>
      <c r="AG39" s="69">
        <f t="shared" si="8"/>
        <v>2.1745454545454543</v>
      </c>
    </row>
    <row r="40" spans="1:33" ht="12.75" customHeight="1">
      <c r="B40" s="14" t="s">
        <v>61</v>
      </c>
      <c r="C40" s="15">
        <f>C39/C11</f>
        <v>0.15892394878611907</v>
      </c>
      <c r="D40" s="15">
        <f>D39/D11</f>
        <v>3.661205810174438E-2</v>
      </c>
      <c r="E40" s="15">
        <f>E39/E11</f>
        <v>-2.0504519088088494E-2</v>
      </c>
      <c r="F40" s="15">
        <f>F39/F11</f>
        <v>-0.21189196590558998</v>
      </c>
      <c r="G40" s="25"/>
      <c r="H40" s="15" t="e">
        <f>H39/H11</f>
        <v>#DIV/0!</v>
      </c>
      <c r="I40" s="15" t="e">
        <f>I39/I11</f>
        <v>#DIV/0!</v>
      </c>
      <c r="J40" s="15" t="e">
        <f>J39/J11</f>
        <v>#DIV/0!</v>
      </c>
      <c r="K40" s="15">
        <f>K39/K11</f>
        <v>3.661205810174438E-2</v>
      </c>
      <c r="L40" s="15" t="e">
        <f>L39/L11</f>
        <v>#DIV/0!</v>
      </c>
      <c r="M40" s="15" t="e">
        <f>M39/M11</f>
        <v>#DIV/0!</v>
      </c>
      <c r="N40" s="15" t="e">
        <f>N39/N11</f>
        <v>#DIV/0!</v>
      </c>
      <c r="O40" s="15">
        <f>O39/O11</f>
        <v>-2.0504519088088494E-2</v>
      </c>
      <c r="P40" s="15" t="e">
        <f>P39/P11</f>
        <v>#DIV/0!</v>
      </c>
      <c r="Q40" s="15" t="e">
        <f>Q39/Q11</f>
        <v>#DIV/0!</v>
      </c>
      <c r="R40" s="15" t="e">
        <f>R39/R11</f>
        <v>#DIV/0!</v>
      </c>
      <c r="S40" s="15">
        <f>S39/S11</f>
        <v>-0.21189196590558998</v>
      </c>
      <c r="T40" s="15" t="e">
        <f>T39/T11</f>
        <v>#DIV/0!</v>
      </c>
      <c r="V40" s="15">
        <f>V39/V11</f>
        <v>-3.6247264044571202E-2</v>
      </c>
      <c r="W40" s="15">
        <f>W39/W11</f>
        <v>-3.6247264044571202E-2</v>
      </c>
      <c r="X40" s="15">
        <f>X39/X11</f>
        <v>-3.6247264044571202E-2</v>
      </c>
      <c r="Y40" s="15">
        <f>Y39/Y11</f>
        <v>-3.6247264044571202E-2</v>
      </c>
      <c r="Z40" s="15">
        <f>Z39/Z11</f>
        <v>-9.2742479428031838E-3</v>
      </c>
      <c r="AA40" s="15">
        <f>AA39/AA11</f>
        <v>-9.2742479428031838E-3</v>
      </c>
      <c r="AB40" s="15">
        <f>AB39/AB11</f>
        <v>-9.2742479428031838E-3</v>
      </c>
      <c r="AC40" s="15">
        <f>AC39/AC11</f>
        <v>-9.2742479428031838E-3</v>
      </c>
      <c r="AD40" s="15">
        <f>AD39/AD11</f>
        <v>-2.9883955773114708E-2</v>
      </c>
      <c r="AE40" s="15">
        <f>AE39/AE11</f>
        <v>-2.9883955773114708E-2</v>
      </c>
      <c r="AF40" s="40"/>
      <c r="AG40" s="70">
        <f>SUM(AE40-AA40)*1000</f>
        <v>-20.609707830311525</v>
      </c>
    </row>
    <row r="41" spans="1:33" ht="5.0999999999999996" customHeight="1">
      <c r="B41" s="14"/>
      <c r="C41" s="15"/>
      <c r="D41" s="15"/>
      <c r="E41" s="15"/>
      <c r="F41" s="15"/>
      <c r="G41" s="2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26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40"/>
      <c r="AG41" s="70"/>
    </row>
    <row r="42" spans="1:33" ht="12.75" customHeight="1">
      <c r="B42" s="41" t="s">
        <v>62</v>
      </c>
      <c r="C42" s="76">
        <v>641</v>
      </c>
      <c r="D42" s="76"/>
      <c r="E42" s="76"/>
      <c r="F42" s="76"/>
      <c r="G42" s="25"/>
      <c r="H42" s="76"/>
      <c r="I42" s="76"/>
      <c r="J42" s="76"/>
      <c r="K42" s="30">
        <f>D42</f>
        <v>0</v>
      </c>
      <c r="L42" s="76"/>
      <c r="M42" s="76"/>
      <c r="N42" s="76"/>
      <c r="O42" s="30">
        <f>E42</f>
        <v>0</v>
      </c>
      <c r="P42" s="76"/>
      <c r="Q42" s="76"/>
      <c r="R42" s="76"/>
      <c r="S42" s="30">
        <f>F42</f>
        <v>0</v>
      </c>
      <c r="T42" s="76"/>
      <c r="U42" s="30"/>
      <c r="V42" s="30">
        <f t="shared" ref="V42:AD42" si="219">K42</f>
        <v>0</v>
      </c>
      <c r="W42" s="30">
        <f t="shared" si="219"/>
        <v>0</v>
      </c>
      <c r="X42" s="30">
        <f t="shared" si="219"/>
        <v>0</v>
      </c>
      <c r="Y42" s="30">
        <f t="shared" si="219"/>
        <v>0</v>
      </c>
      <c r="Z42" s="30">
        <f t="shared" si="219"/>
        <v>0</v>
      </c>
      <c r="AA42" s="30">
        <f t="shared" si="219"/>
        <v>0</v>
      </c>
      <c r="AB42" s="30">
        <f t="shared" si="219"/>
        <v>0</v>
      </c>
      <c r="AC42" s="30">
        <f t="shared" si="219"/>
        <v>0</v>
      </c>
      <c r="AD42" s="30">
        <f t="shared" si="219"/>
        <v>0</v>
      </c>
      <c r="AE42" s="30">
        <f>T42</f>
        <v>0</v>
      </c>
      <c r="AF42" s="40"/>
      <c r="AG42" s="68" t="e">
        <f t="shared" ref="AG42" si="220">SUM(AE42/AA42)-1</f>
        <v>#DIV/0!</v>
      </c>
    </row>
    <row r="43" spans="1:33" ht="12.75" customHeight="1">
      <c r="B43" s="12" t="s">
        <v>63</v>
      </c>
      <c r="C43" s="71">
        <f t="shared" ref="C43:F43" si="221">C39/C42</f>
        <v>7.0873634945397814</v>
      </c>
      <c r="D43" s="71" t="e">
        <f t="shared" si="221"/>
        <v>#DIV/0!</v>
      </c>
      <c r="E43" s="71" t="e">
        <f t="shared" si="221"/>
        <v>#DIV/0!</v>
      </c>
      <c r="F43" s="71" t="e">
        <f t="shared" si="221"/>
        <v>#DIV/0!</v>
      </c>
      <c r="G43" s="11"/>
      <c r="H43" s="71" t="e">
        <f t="shared" ref="H43:Q43" si="222">H39/H42</f>
        <v>#DIV/0!</v>
      </c>
      <c r="I43" s="71" t="e">
        <f t="shared" si="222"/>
        <v>#DIV/0!</v>
      </c>
      <c r="J43" s="71" t="e">
        <f t="shared" si="222"/>
        <v>#DIV/0!</v>
      </c>
      <c r="K43" s="71" t="e">
        <f t="shared" si="222"/>
        <v>#DIV/0!</v>
      </c>
      <c r="L43" s="71" t="e">
        <f t="shared" si="222"/>
        <v>#DIV/0!</v>
      </c>
      <c r="M43" s="71" t="e">
        <f t="shared" si="222"/>
        <v>#DIV/0!</v>
      </c>
      <c r="N43" s="71" t="e">
        <f t="shared" si="222"/>
        <v>#DIV/0!</v>
      </c>
      <c r="O43" s="71" t="e">
        <f t="shared" si="222"/>
        <v>#DIV/0!</v>
      </c>
      <c r="P43" s="71" t="e">
        <f t="shared" si="222"/>
        <v>#DIV/0!</v>
      </c>
      <c r="Q43" s="71" t="e">
        <f t="shared" si="222"/>
        <v>#DIV/0!</v>
      </c>
      <c r="R43" s="71" t="e">
        <f t="shared" ref="R43:T43" si="223">R39/R42</f>
        <v>#DIV/0!</v>
      </c>
      <c r="S43" s="71" t="e">
        <f t="shared" si="223"/>
        <v>#DIV/0!</v>
      </c>
      <c r="T43" s="71" t="e">
        <f t="shared" si="223"/>
        <v>#DIV/0!</v>
      </c>
      <c r="U43" s="30"/>
      <c r="V43" s="71" t="e">
        <f t="shared" ref="V43:AE43" si="224">V39/V42</f>
        <v>#DIV/0!</v>
      </c>
      <c r="W43" s="71" t="e">
        <f t="shared" si="224"/>
        <v>#DIV/0!</v>
      </c>
      <c r="X43" s="71" t="e">
        <f t="shared" si="224"/>
        <v>#DIV/0!</v>
      </c>
      <c r="Y43" s="71" t="e">
        <f t="shared" si="224"/>
        <v>#DIV/0!</v>
      </c>
      <c r="Z43" s="71" t="e">
        <f t="shared" si="224"/>
        <v>#DIV/0!</v>
      </c>
      <c r="AA43" s="71" t="e">
        <f t="shared" si="224"/>
        <v>#DIV/0!</v>
      </c>
      <c r="AB43" s="71" t="e">
        <f t="shared" si="224"/>
        <v>#DIV/0!</v>
      </c>
      <c r="AC43" s="71" t="e">
        <f t="shared" si="224"/>
        <v>#DIV/0!</v>
      </c>
      <c r="AD43" s="71" t="e">
        <f t="shared" si="224"/>
        <v>#DIV/0!</v>
      </c>
      <c r="AE43" s="71" t="e">
        <f t="shared" si="224"/>
        <v>#DIV/0!</v>
      </c>
      <c r="AF43" s="33"/>
      <c r="AG43" s="69" t="e">
        <f>SUM(AE43/AA43)-1</f>
        <v>#DIV/0!</v>
      </c>
    </row>
    <row r="44" spans="1:33" ht="5.0999999999999996" customHeight="1">
      <c r="B44" s="14"/>
      <c r="C44" s="15"/>
      <c r="D44" s="15"/>
      <c r="E44" s="15"/>
      <c r="F44" s="15"/>
      <c r="G44" s="2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26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40"/>
      <c r="AG44" s="70"/>
    </row>
    <row r="45" spans="1:33" ht="12.75" customHeight="1">
      <c r="B45" s="41" t="s">
        <v>64</v>
      </c>
      <c r="C45" s="76">
        <v>655</v>
      </c>
      <c r="D45" s="76"/>
      <c r="E45" s="76"/>
      <c r="F45" s="76"/>
      <c r="G45" s="25"/>
      <c r="H45" s="76"/>
      <c r="I45" s="76"/>
      <c r="J45" s="76"/>
      <c r="K45" s="30">
        <f>D45</f>
        <v>0</v>
      </c>
      <c r="L45" s="76"/>
      <c r="M45" s="76"/>
      <c r="N45" s="76"/>
      <c r="O45" s="30">
        <f>E45</f>
        <v>0</v>
      </c>
      <c r="P45" s="76"/>
      <c r="Q45" s="76"/>
      <c r="R45" s="76"/>
      <c r="S45" s="30">
        <f>F45</f>
        <v>0</v>
      </c>
      <c r="T45" s="76"/>
      <c r="U45" s="30"/>
      <c r="V45" s="30">
        <f t="shared" ref="V45:AE45" si="225">K45</f>
        <v>0</v>
      </c>
      <c r="W45" s="30">
        <f t="shared" si="225"/>
        <v>0</v>
      </c>
      <c r="X45" s="30">
        <f t="shared" si="225"/>
        <v>0</v>
      </c>
      <c r="Y45" s="30">
        <f t="shared" si="225"/>
        <v>0</v>
      </c>
      <c r="Z45" s="30">
        <f t="shared" si="225"/>
        <v>0</v>
      </c>
      <c r="AA45" s="30">
        <f t="shared" si="225"/>
        <v>0</v>
      </c>
      <c r="AB45" s="30">
        <f t="shared" si="225"/>
        <v>0</v>
      </c>
      <c r="AC45" s="30">
        <f t="shared" si="225"/>
        <v>0</v>
      </c>
      <c r="AD45" s="30">
        <f t="shared" si="225"/>
        <v>0</v>
      </c>
      <c r="AE45" s="30">
        <f t="shared" si="225"/>
        <v>0</v>
      </c>
      <c r="AF45" s="40"/>
      <c r="AG45" s="68" t="e">
        <f t="shared" ref="AG45" si="226">SUM(AE45/AA45)-1</f>
        <v>#DIV/0!</v>
      </c>
    </row>
    <row r="46" spans="1:33" ht="12.75" customHeight="1">
      <c r="B46" s="12" t="s">
        <v>65</v>
      </c>
      <c r="C46" s="71">
        <f t="shared" ref="C46:F46" si="227">C39/C45</f>
        <v>6.9358778625954196</v>
      </c>
      <c r="D46" s="71" t="e">
        <f t="shared" si="227"/>
        <v>#DIV/0!</v>
      </c>
      <c r="E46" s="71" t="e">
        <f t="shared" si="227"/>
        <v>#DIV/0!</v>
      </c>
      <c r="F46" s="71" t="e">
        <f t="shared" si="227"/>
        <v>#DIV/0!</v>
      </c>
      <c r="G46" s="25"/>
      <c r="H46" s="71" t="e">
        <f t="shared" ref="H46:Q46" si="228">H39/H45</f>
        <v>#DIV/0!</v>
      </c>
      <c r="I46" s="71" t="e">
        <f t="shared" si="228"/>
        <v>#DIV/0!</v>
      </c>
      <c r="J46" s="71" t="e">
        <f t="shared" si="228"/>
        <v>#DIV/0!</v>
      </c>
      <c r="K46" s="71" t="e">
        <f t="shared" si="228"/>
        <v>#DIV/0!</v>
      </c>
      <c r="L46" s="71" t="e">
        <f t="shared" si="228"/>
        <v>#DIV/0!</v>
      </c>
      <c r="M46" s="71" t="e">
        <f t="shared" si="228"/>
        <v>#DIV/0!</v>
      </c>
      <c r="N46" s="71" t="e">
        <f t="shared" si="228"/>
        <v>#DIV/0!</v>
      </c>
      <c r="O46" s="71" t="e">
        <f t="shared" si="228"/>
        <v>#DIV/0!</v>
      </c>
      <c r="P46" s="71" t="e">
        <f t="shared" si="228"/>
        <v>#DIV/0!</v>
      </c>
      <c r="Q46" s="71" t="e">
        <f t="shared" si="228"/>
        <v>#DIV/0!</v>
      </c>
      <c r="R46" s="71" t="e">
        <f t="shared" ref="R46:T46" si="229">R39/R45</f>
        <v>#DIV/0!</v>
      </c>
      <c r="S46" s="71" t="e">
        <f t="shared" si="229"/>
        <v>#DIV/0!</v>
      </c>
      <c r="T46" s="71" t="e">
        <f t="shared" si="229"/>
        <v>#DIV/0!</v>
      </c>
      <c r="U46" s="30"/>
      <c r="V46" s="71" t="e">
        <f t="shared" ref="V46:AE46" si="230">V39/V45</f>
        <v>#DIV/0!</v>
      </c>
      <c r="W46" s="71" t="e">
        <f t="shared" si="230"/>
        <v>#DIV/0!</v>
      </c>
      <c r="X46" s="71" t="e">
        <f t="shared" si="230"/>
        <v>#DIV/0!</v>
      </c>
      <c r="Y46" s="71" t="e">
        <f t="shared" si="230"/>
        <v>#DIV/0!</v>
      </c>
      <c r="Z46" s="71" t="e">
        <f t="shared" si="230"/>
        <v>#DIV/0!</v>
      </c>
      <c r="AA46" s="71" t="e">
        <f t="shared" si="230"/>
        <v>#DIV/0!</v>
      </c>
      <c r="AB46" s="71" t="e">
        <f t="shared" si="230"/>
        <v>#DIV/0!</v>
      </c>
      <c r="AC46" s="71" t="e">
        <f t="shared" si="230"/>
        <v>#DIV/0!</v>
      </c>
      <c r="AD46" s="71" t="e">
        <f t="shared" si="230"/>
        <v>#DIV/0!</v>
      </c>
      <c r="AE46" s="71" t="e">
        <f t="shared" si="230"/>
        <v>#DIV/0!</v>
      </c>
      <c r="AF46" s="33"/>
      <c r="AG46" s="69" t="e">
        <f>SUM(AE46/AA46)-1</f>
        <v>#DIV/0!</v>
      </c>
    </row>
    <row r="47" spans="1:33">
      <c r="B47" s="14"/>
      <c r="C47" s="15"/>
      <c r="D47" s="15"/>
      <c r="E47" s="76"/>
      <c r="F47" s="76"/>
      <c r="G47" s="2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26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40"/>
    </row>
    <row r="48" spans="1:33" ht="12.75" customHeight="1">
      <c r="A48" s="5" t="s">
        <v>16</v>
      </c>
      <c r="B48" s="91" t="s">
        <v>74</v>
      </c>
      <c r="C48" s="92" t="s">
        <v>0</v>
      </c>
      <c r="D48" s="92"/>
      <c r="E48" s="92"/>
      <c r="F48" s="92"/>
      <c r="G48" s="93"/>
      <c r="H48" s="92"/>
      <c r="I48" s="92"/>
      <c r="J48" s="92"/>
      <c r="K48" s="92"/>
      <c r="L48" s="92"/>
      <c r="M48" s="92"/>
      <c r="N48" s="92" t="s">
        <v>1</v>
      </c>
      <c r="O48" s="92"/>
      <c r="P48" s="92"/>
      <c r="Q48" s="92"/>
      <c r="R48" s="92"/>
      <c r="S48" s="92"/>
      <c r="T48" s="92"/>
      <c r="U48" s="91"/>
      <c r="V48" s="92"/>
      <c r="W48" s="92"/>
      <c r="X48" s="92"/>
      <c r="Y48" s="92"/>
      <c r="Z48" s="92"/>
      <c r="AA48" s="92" t="s">
        <v>10</v>
      </c>
      <c r="AB48" s="92"/>
      <c r="AC48" s="92"/>
      <c r="AD48" s="92"/>
      <c r="AE48" s="92"/>
      <c r="AF48" s="93"/>
      <c r="AG48" s="152" t="s">
        <v>22</v>
      </c>
    </row>
    <row r="49" spans="2:33" ht="12.75" customHeight="1">
      <c r="B49" s="95" t="str">
        <f>B7</f>
        <v>Fiscal Period</v>
      </c>
      <c r="C49" s="94">
        <f>C7</f>
        <v>2021</v>
      </c>
      <c r="D49" s="94">
        <f>D7</f>
        <v>2022</v>
      </c>
      <c r="E49" s="94">
        <f>E7</f>
        <v>2023</v>
      </c>
      <c r="F49" s="94">
        <f>F7</f>
        <v>2024</v>
      </c>
      <c r="G49" s="93"/>
      <c r="H49" s="94" t="str">
        <f>H7</f>
        <v>1Q23</v>
      </c>
      <c r="I49" s="94" t="str">
        <f>I7</f>
        <v>2Q23</v>
      </c>
      <c r="J49" s="94" t="str">
        <f>J7</f>
        <v>3Q23</v>
      </c>
      <c r="K49" s="94" t="str">
        <f>K7</f>
        <v>4Q23</v>
      </c>
      <c r="L49" s="94" t="str">
        <f>L7</f>
        <v>1Q24</v>
      </c>
      <c r="M49" s="94" t="str">
        <f>M7</f>
        <v>2Q24</v>
      </c>
      <c r="N49" s="94" t="str">
        <f>N7</f>
        <v>3Q24</v>
      </c>
      <c r="O49" s="94" t="str">
        <f>O7</f>
        <v>4Q24</v>
      </c>
      <c r="P49" s="94" t="str">
        <f>P7</f>
        <v>1Q25</v>
      </c>
      <c r="Q49" s="94" t="str">
        <f>Q7</f>
        <v>2Q25</v>
      </c>
      <c r="R49" s="94" t="str">
        <f>R7</f>
        <v>3Q25</v>
      </c>
      <c r="S49" s="94" t="str">
        <f>S7</f>
        <v>4Q25</v>
      </c>
      <c r="T49" s="94" t="str">
        <f>T7</f>
        <v>1Q26</v>
      </c>
      <c r="U49" s="96"/>
      <c r="V49" s="94" t="str">
        <f>V7</f>
        <v>4Q23</v>
      </c>
      <c r="W49" s="94" t="str">
        <f>W7</f>
        <v>1Q24</v>
      </c>
      <c r="X49" s="94" t="str">
        <f>X7</f>
        <v>2Q24</v>
      </c>
      <c r="Y49" s="94" t="str">
        <f>Y7</f>
        <v>3Q24</v>
      </c>
      <c r="Z49" s="94" t="str">
        <f>Z7</f>
        <v>4Q24</v>
      </c>
      <c r="AA49" s="94" t="str">
        <f>AA7</f>
        <v>1Q25</v>
      </c>
      <c r="AB49" s="94" t="str">
        <f>AB7</f>
        <v>2Q25</v>
      </c>
      <c r="AC49" s="94" t="str">
        <f>AC7</f>
        <v>3Q25</v>
      </c>
      <c r="AD49" s="94" t="str">
        <f>AD7</f>
        <v>4Q25</v>
      </c>
      <c r="AE49" s="94" t="str">
        <f>AE7</f>
        <v>1Q26</v>
      </c>
      <c r="AF49" s="93"/>
      <c r="AG49" s="152"/>
    </row>
    <row r="50" spans="2:33" ht="12.75" customHeight="1">
      <c r="B50" s="95" t="str">
        <f>B8</f>
        <v>Fiscal Period End Date</v>
      </c>
      <c r="C50" s="97">
        <f>C8</f>
        <v>44561</v>
      </c>
      <c r="D50" s="97">
        <f>D8</f>
        <v>44926</v>
      </c>
      <c r="E50" s="97">
        <f>E8</f>
        <v>45291</v>
      </c>
      <c r="F50" s="97">
        <f>F8</f>
        <v>45657</v>
      </c>
      <c r="G50" s="93"/>
      <c r="H50" s="97" t="str">
        <f>H8</f>
        <v>XXX</v>
      </c>
      <c r="I50" s="97" t="str">
        <f>I8</f>
        <v>XXX</v>
      </c>
      <c r="J50" s="97" t="str">
        <f>J8</f>
        <v>XXX</v>
      </c>
      <c r="K50" s="97">
        <f>K8</f>
        <v>44926</v>
      </c>
      <c r="L50" s="97" t="str">
        <f>L8</f>
        <v>XXX</v>
      </c>
      <c r="M50" s="97" t="str">
        <f>M8</f>
        <v>XXX</v>
      </c>
      <c r="N50" s="97" t="str">
        <f>N8</f>
        <v>XXX</v>
      </c>
      <c r="O50" s="97">
        <f>O8</f>
        <v>45291</v>
      </c>
      <c r="P50" s="97" t="str">
        <f>P8</f>
        <v>XXX</v>
      </c>
      <c r="Q50" s="97" t="str">
        <f>Q8</f>
        <v>XXX</v>
      </c>
      <c r="R50" s="97" t="str">
        <f>R8</f>
        <v>XXX</v>
      </c>
      <c r="S50" s="97">
        <f>S8</f>
        <v>45657</v>
      </c>
      <c r="T50" s="97" t="str">
        <f>T8</f>
        <v>XXX</v>
      </c>
      <c r="U50" s="98"/>
      <c r="V50" s="97">
        <f>V8</f>
        <v>44926</v>
      </c>
      <c r="W50" s="97" t="str">
        <f>W8</f>
        <v>XXX</v>
      </c>
      <c r="X50" s="97" t="str">
        <f>X8</f>
        <v>XXX</v>
      </c>
      <c r="Y50" s="97" t="str">
        <f>Y8</f>
        <v>XXX</v>
      </c>
      <c r="Z50" s="97">
        <f>Z8</f>
        <v>45291</v>
      </c>
      <c r="AA50" s="97" t="str">
        <f>AA8</f>
        <v>XXX</v>
      </c>
      <c r="AB50" s="97" t="str">
        <f>AB8</f>
        <v>XXX</v>
      </c>
      <c r="AC50" s="97" t="str">
        <f>AC8</f>
        <v>XXX</v>
      </c>
      <c r="AD50" s="97">
        <f>AD8</f>
        <v>45657</v>
      </c>
      <c r="AE50" s="97" t="str">
        <f>AE8</f>
        <v>XXX</v>
      </c>
      <c r="AF50" s="93"/>
      <c r="AG50" s="152"/>
    </row>
    <row r="51" spans="2:33" ht="5.0999999999999996" customHeight="1">
      <c r="B51" s="43"/>
      <c r="C51" s="44"/>
      <c r="D51" s="44"/>
      <c r="E51" s="44"/>
      <c r="F51" s="44"/>
    </row>
    <row r="52" spans="2:33">
      <c r="B52" s="72" t="s">
        <v>80</v>
      </c>
      <c r="C52" s="44"/>
      <c r="D52" s="44"/>
      <c r="E52" s="44"/>
      <c r="F52" s="44"/>
    </row>
    <row r="53" spans="2:33" ht="12.75" customHeight="1">
      <c r="B53" s="9" t="s">
        <v>131</v>
      </c>
      <c r="C53" s="105">
        <v>6267</v>
      </c>
      <c r="D53" s="105">
        <v>2885</v>
      </c>
      <c r="E53" s="105">
        <v>2460</v>
      </c>
      <c r="F53" s="105">
        <v>2661</v>
      </c>
      <c r="H53" s="105"/>
      <c r="I53" s="105"/>
      <c r="J53" s="105"/>
      <c r="K53" s="82">
        <f t="shared" ref="K53:K57" si="231">D53</f>
        <v>2885</v>
      </c>
      <c r="L53" s="105"/>
      <c r="M53" s="105"/>
      <c r="N53" s="105"/>
      <c r="O53" s="82">
        <f t="shared" ref="O53:O57" si="232">E53</f>
        <v>2460</v>
      </c>
      <c r="P53" s="105"/>
      <c r="Q53" s="105"/>
      <c r="R53" s="105"/>
      <c r="S53" s="30">
        <f t="shared" ref="S53:S57" si="233">F53</f>
        <v>2661</v>
      </c>
      <c r="T53" s="105"/>
      <c r="U53" s="82"/>
      <c r="V53" s="30">
        <f t="shared" ref="V53" si="234">K53</f>
        <v>2885</v>
      </c>
      <c r="W53" s="30">
        <f t="shared" ref="W53" si="235">L53</f>
        <v>0</v>
      </c>
      <c r="X53" s="30">
        <f t="shared" ref="X53" si="236">M53</f>
        <v>0</v>
      </c>
      <c r="Y53" s="30">
        <f t="shared" ref="Y53" si="237">N53</f>
        <v>0</v>
      </c>
      <c r="Z53" s="30">
        <f t="shared" ref="Z53" si="238">O53</f>
        <v>2460</v>
      </c>
      <c r="AA53" s="30">
        <f t="shared" ref="AA53" si="239">P53</f>
        <v>0</v>
      </c>
      <c r="AB53" s="30">
        <f t="shared" ref="AB53" si="240">Q53</f>
        <v>0</v>
      </c>
      <c r="AC53" s="30">
        <f t="shared" ref="AC53" si="241">R53</f>
        <v>0</v>
      </c>
      <c r="AD53" s="30">
        <f t="shared" ref="AD53" si="242">S53</f>
        <v>2661</v>
      </c>
      <c r="AE53" s="30">
        <f t="shared" ref="AE53" si="243">T53</f>
        <v>0</v>
      </c>
      <c r="AF53" s="11"/>
      <c r="AG53" s="68" t="e">
        <f t="shared" ref="AG53:AG57" si="244">SUM(AE53/AA53)-1</f>
        <v>#DIV/0!</v>
      </c>
    </row>
    <row r="54" spans="2:33" ht="12.75" customHeight="1">
      <c r="B54" s="9" t="s">
        <v>132</v>
      </c>
      <c r="C54" s="105">
        <v>6984</v>
      </c>
      <c r="D54" s="105">
        <v>7412</v>
      </c>
      <c r="E54" s="105">
        <v>7115</v>
      </c>
      <c r="F54" s="105">
        <v>6920</v>
      </c>
      <c r="H54" s="105"/>
      <c r="I54" s="105"/>
      <c r="J54" s="105"/>
      <c r="K54" s="82">
        <f t="shared" si="231"/>
        <v>7412</v>
      </c>
      <c r="L54" s="105"/>
      <c r="M54" s="105"/>
      <c r="N54" s="105"/>
      <c r="O54" s="82">
        <f t="shared" si="232"/>
        <v>7115</v>
      </c>
      <c r="P54" s="105"/>
      <c r="Q54" s="105"/>
      <c r="R54" s="105"/>
      <c r="S54" s="30">
        <f t="shared" si="233"/>
        <v>6920</v>
      </c>
      <c r="T54" s="105"/>
      <c r="U54" s="82"/>
      <c r="V54" s="30">
        <f t="shared" ref="V54:V57" si="245">K54</f>
        <v>7412</v>
      </c>
      <c r="W54" s="30">
        <f t="shared" ref="W54:W57" si="246">L54</f>
        <v>0</v>
      </c>
      <c r="X54" s="30">
        <f t="shared" ref="X54:X57" si="247">M54</f>
        <v>0</v>
      </c>
      <c r="Y54" s="30">
        <f t="shared" ref="Y54:Y57" si="248">N54</f>
        <v>0</v>
      </c>
      <c r="Z54" s="30">
        <f t="shared" ref="Z54:Z57" si="249">O54</f>
        <v>7115</v>
      </c>
      <c r="AA54" s="30">
        <f t="shared" ref="AA54:AA57" si="250">P54</f>
        <v>0</v>
      </c>
      <c r="AB54" s="30">
        <f t="shared" ref="AB54:AB57" si="251">Q54</f>
        <v>0</v>
      </c>
      <c r="AC54" s="30">
        <f t="shared" ref="AC54:AC57" si="252">R54</f>
        <v>0</v>
      </c>
      <c r="AD54" s="30">
        <f t="shared" ref="AD54:AD57" si="253">S54</f>
        <v>6920</v>
      </c>
      <c r="AE54" s="30">
        <f t="shared" ref="AE54:AE57" si="254">T54</f>
        <v>0</v>
      </c>
      <c r="AF54" s="11"/>
      <c r="AG54" s="68" t="e">
        <f t="shared" si="244"/>
        <v>#DIV/0!</v>
      </c>
    </row>
    <row r="55" spans="2:33" ht="12.75" customHeight="1">
      <c r="B55" s="9" t="s">
        <v>133</v>
      </c>
      <c r="C55" s="105">
        <v>1504</v>
      </c>
      <c r="D55" s="105">
        <v>1342</v>
      </c>
      <c r="E55" s="105">
        <v>1414</v>
      </c>
      <c r="F55" s="105">
        <v>1429</v>
      </c>
      <c r="H55" s="105"/>
      <c r="I55" s="105"/>
      <c r="J55" s="105"/>
      <c r="K55" s="82">
        <f t="shared" si="231"/>
        <v>1342</v>
      </c>
      <c r="L55" s="105"/>
      <c r="M55" s="105"/>
      <c r="N55" s="105"/>
      <c r="O55" s="82">
        <f t="shared" si="232"/>
        <v>1414</v>
      </c>
      <c r="P55" s="105"/>
      <c r="Q55" s="105"/>
      <c r="R55" s="105"/>
      <c r="S55" s="30">
        <f t="shared" ref="S55" si="255">F55</f>
        <v>1429</v>
      </c>
      <c r="T55" s="105"/>
      <c r="U55" s="82"/>
      <c r="V55" s="30">
        <f t="shared" si="245"/>
        <v>1342</v>
      </c>
      <c r="W55" s="30">
        <f t="shared" si="246"/>
        <v>0</v>
      </c>
      <c r="X55" s="30">
        <f t="shared" si="247"/>
        <v>0</v>
      </c>
      <c r="Y55" s="30">
        <f t="shared" si="248"/>
        <v>0</v>
      </c>
      <c r="Z55" s="30">
        <f t="shared" si="249"/>
        <v>1414</v>
      </c>
      <c r="AA55" s="30">
        <f t="shared" si="250"/>
        <v>0</v>
      </c>
      <c r="AB55" s="30">
        <f t="shared" si="251"/>
        <v>0</v>
      </c>
      <c r="AC55" s="30">
        <f t="shared" si="252"/>
        <v>0</v>
      </c>
      <c r="AD55" s="30">
        <f t="shared" si="253"/>
        <v>1429</v>
      </c>
      <c r="AE55" s="30">
        <f t="shared" si="254"/>
        <v>0</v>
      </c>
      <c r="AF55" s="11"/>
      <c r="AG55" s="68" t="e">
        <f t="shared" ref="AG55" si="256">SUM(AE55/AA55)-1</f>
        <v>#DIV/0!</v>
      </c>
    </row>
    <row r="56" spans="2:33" ht="12.75" customHeight="1">
      <c r="B56" s="9" t="s">
        <v>134</v>
      </c>
      <c r="C56" s="105">
        <v>1176</v>
      </c>
      <c r="D56" s="105">
        <v>1308</v>
      </c>
      <c r="E56" s="105">
        <v>1677</v>
      </c>
      <c r="F56" s="105">
        <v>1532</v>
      </c>
      <c r="H56" s="105"/>
      <c r="I56" s="105"/>
      <c r="J56" s="105"/>
      <c r="K56" s="82">
        <f t="shared" si="231"/>
        <v>1308</v>
      </c>
      <c r="L56" s="105"/>
      <c r="M56" s="105"/>
      <c r="N56" s="105"/>
      <c r="O56" s="82">
        <f t="shared" si="232"/>
        <v>1677</v>
      </c>
      <c r="P56" s="105"/>
      <c r="Q56" s="105"/>
      <c r="R56" s="105"/>
      <c r="S56" s="30">
        <f t="shared" si="233"/>
        <v>1532</v>
      </c>
      <c r="T56" s="105"/>
      <c r="U56" s="82"/>
      <c r="V56" s="30">
        <f t="shared" si="245"/>
        <v>1308</v>
      </c>
      <c r="W56" s="30">
        <f t="shared" si="246"/>
        <v>0</v>
      </c>
      <c r="X56" s="30">
        <f t="shared" si="247"/>
        <v>0</v>
      </c>
      <c r="Y56" s="30">
        <f t="shared" si="248"/>
        <v>0</v>
      </c>
      <c r="Z56" s="30">
        <f t="shared" si="249"/>
        <v>1677</v>
      </c>
      <c r="AA56" s="30">
        <f t="shared" si="250"/>
        <v>0</v>
      </c>
      <c r="AB56" s="30">
        <f t="shared" si="251"/>
        <v>0</v>
      </c>
      <c r="AC56" s="30">
        <f t="shared" si="252"/>
        <v>0</v>
      </c>
      <c r="AD56" s="30">
        <f t="shared" si="253"/>
        <v>1532</v>
      </c>
      <c r="AE56" s="30">
        <f t="shared" si="254"/>
        <v>0</v>
      </c>
      <c r="AF56" s="11"/>
      <c r="AG56" s="68" t="e">
        <f t="shared" si="244"/>
        <v>#DIV/0!</v>
      </c>
    </row>
    <row r="57" spans="2:33" ht="12.75" customHeight="1">
      <c r="B57" s="9" t="s">
        <v>135</v>
      </c>
      <c r="C57" s="105">
        <v>745</v>
      </c>
      <c r="D57" s="105">
        <v>787</v>
      </c>
      <c r="E57" s="105">
        <v>37</v>
      </c>
      <c r="F57" s="105">
        <v>0</v>
      </c>
      <c r="H57" s="105"/>
      <c r="I57" s="105"/>
      <c r="J57" s="105"/>
      <c r="K57" s="82">
        <f t="shared" si="231"/>
        <v>787</v>
      </c>
      <c r="L57" s="105"/>
      <c r="M57" s="105"/>
      <c r="N57" s="105"/>
      <c r="O57" s="82">
        <f t="shared" si="232"/>
        <v>37</v>
      </c>
      <c r="P57" s="105"/>
      <c r="Q57" s="105"/>
      <c r="R57" s="105"/>
      <c r="S57" s="30">
        <f t="shared" si="233"/>
        <v>0</v>
      </c>
      <c r="T57" s="105"/>
      <c r="U57" s="82"/>
      <c r="V57" s="30">
        <f t="shared" si="245"/>
        <v>787</v>
      </c>
      <c r="W57" s="30">
        <f t="shared" si="246"/>
        <v>0</v>
      </c>
      <c r="X57" s="30">
        <f t="shared" si="247"/>
        <v>0</v>
      </c>
      <c r="Y57" s="30">
        <f t="shared" si="248"/>
        <v>0</v>
      </c>
      <c r="Z57" s="30">
        <f t="shared" si="249"/>
        <v>37</v>
      </c>
      <c r="AA57" s="30">
        <f t="shared" si="250"/>
        <v>0</v>
      </c>
      <c r="AB57" s="30">
        <f t="shared" si="251"/>
        <v>0</v>
      </c>
      <c r="AC57" s="30">
        <f t="shared" si="252"/>
        <v>0</v>
      </c>
      <c r="AD57" s="30">
        <f t="shared" si="253"/>
        <v>0</v>
      </c>
      <c r="AE57" s="30">
        <f t="shared" si="254"/>
        <v>0</v>
      </c>
      <c r="AF57" s="11"/>
      <c r="AG57" s="68" t="e">
        <f t="shared" si="244"/>
        <v>#DIV/0!</v>
      </c>
    </row>
    <row r="58" spans="2:33" ht="12.75" customHeight="1">
      <c r="B58" s="23" t="s">
        <v>18</v>
      </c>
      <c r="C58" s="24">
        <f>SUM(C53:C57)</f>
        <v>16676</v>
      </c>
      <c r="D58" s="24">
        <f>SUM(D53:D57)</f>
        <v>13734</v>
      </c>
      <c r="E58" s="24">
        <f>SUM(E53:E57)</f>
        <v>12703</v>
      </c>
      <c r="F58" s="162">
        <f>SUM(F53:F57)</f>
        <v>12542</v>
      </c>
      <c r="G58" s="45"/>
      <c r="H58" s="24">
        <f>SUM(H53:H57)</f>
        <v>0</v>
      </c>
      <c r="I58" s="24">
        <f>SUM(I53:I57)</f>
        <v>0</v>
      </c>
      <c r="J58" s="24">
        <f>SUM(J53:J57)</f>
        <v>0</v>
      </c>
      <c r="K58" s="24">
        <f>SUM(K53:K57)</f>
        <v>13734</v>
      </c>
      <c r="L58" s="24">
        <f>SUM(L53:L57)</f>
        <v>0</v>
      </c>
      <c r="M58" s="24">
        <f>SUM(M53:M57)</f>
        <v>0</v>
      </c>
      <c r="N58" s="24">
        <f>SUM(N53:N57)</f>
        <v>0</v>
      </c>
      <c r="O58" s="24">
        <f>SUM(O53:O57)</f>
        <v>12703</v>
      </c>
      <c r="P58" s="24">
        <f>SUM(P53:P57)</f>
        <v>0</v>
      </c>
      <c r="Q58" s="24">
        <f>SUM(Q53:Q57)</f>
        <v>0</v>
      </c>
      <c r="R58" s="24">
        <f>SUM(R53:R57)</f>
        <v>0</v>
      </c>
      <c r="S58" s="24">
        <f>SUM(S53:S57)</f>
        <v>12542</v>
      </c>
      <c r="T58" s="24">
        <f>SUM(T53:T57)</f>
        <v>0</v>
      </c>
      <c r="U58" s="45"/>
      <c r="V58" s="24">
        <f>SUM(V53:V57)</f>
        <v>13734</v>
      </c>
      <c r="W58" s="24">
        <f>SUM(W53:W57)</f>
        <v>0</v>
      </c>
      <c r="X58" s="24">
        <f>SUM(X53:X57)</f>
        <v>0</v>
      </c>
      <c r="Y58" s="24">
        <f>SUM(Y53:Y57)</f>
        <v>0</v>
      </c>
      <c r="Z58" s="24">
        <f>SUM(Z53:Z57)</f>
        <v>12703</v>
      </c>
      <c r="AA58" s="24">
        <f>SUM(AA53:AA57)</f>
        <v>0</v>
      </c>
      <c r="AB58" s="24">
        <f>SUM(AB53:AB57)</f>
        <v>0</v>
      </c>
      <c r="AC58" s="24">
        <f>SUM(AC53:AC57)</f>
        <v>0</v>
      </c>
      <c r="AD58" s="24">
        <f>SUM(AD53:AD57)</f>
        <v>12542</v>
      </c>
      <c r="AE58" s="24">
        <f>SUM(AE53:AE57)</f>
        <v>0</v>
      </c>
      <c r="AF58" s="39"/>
      <c r="AG58" s="69" t="e">
        <f>SUM(AE58/AA58)-1</f>
        <v>#DIV/0!</v>
      </c>
    </row>
    <row r="59" spans="2:33" ht="5.0999999999999996" customHeight="1">
      <c r="B59" s="23"/>
      <c r="C59" s="46"/>
      <c r="D59" s="38"/>
      <c r="E59" s="38"/>
      <c r="F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6"/>
    </row>
    <row r="60" spans="2:33" ht="12.75" customHeight="1">
      <c r="B60" s="72" t="s">
        <v>81</v>
      </c>
      <c r="C60" s="76"/>
      <c r="D60" s="76"/>
      <c r="E60" s="76"/>
      <c r="F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11"/>
      <c r="AG60" s="68"/>
    </row>
    <row r="61" spans="2:33" ht="12.75" customHeight="1">
      <c r="B61" s="9" t="s">
        <v>136</v>
      </c>
      <c r="C61" s="76">
        <v>1736</v>
      </c>
      <c r="D61" s="76">
        <v>1762</v>
      </c>
      <c r="E61" s="76">
        <v>1666</v>
      </c>
      <c r="F61" s="76">
        <v>1566</v>
      </c>
      <c r="H61" s="105"/>
      <c r="I61" s="105"/>
      <c r="J61" s="105"/>
      <c r="K61" s="82">
        <f t="shared" ref="K61:K67" si="257">D61</f>
        <v>1762</v>
      </c>
      <c r="L61" s="105"/>
      <c r="M61" s="105"/>
      <c r="N61" s="105"/>
      <c r="O61" s="82">
        <f t="shared" ref="O61:O67" si="258">E61</f>
        <v>1666</v>
      </c>
      <c r="P61" s="105"/>
      <c r="Q61" s="105"/>
      <c r="R61" s="105"/>
      <c r="S61" s="30">
        <f t="shared" ref="S61:S67" si="259">F61</f>
        <v>1566</v>
      </c>
      <c r="T61" s="105"/>
      <c r="V61" s="30">
        <f t="shared" ref="V61:V67" si="260">K61</f>
        <v>1762</v>
      </c>
      <c r="W61" s="30">
        <f t="shared" ref="W61:W67" si="261">L61</f>
        <v>0</v>
      </c>
      <c r="X61" s="30">
        <f t="shared" ref="X61:X67" si="262">M61</f>
        <v>0</v>
      </c>
      <c r="Y61" s="30">
        <f t="shared" ref="Y61:Y67" si="263">N61</f>
        <v>0</v>
      </c>
      <c r="Z61" s="30">
        <f t="shared" ref="Z61:Z67" si="264">O61</f>
        <v>1666</v>
      </c>
      <c r="AA61" s="30">
        <f t="shared" ref="AA61:AA67" si="265">P61</f>
        <v>0</v>
      </c>
      <c r="AB61" s="30">
        <f t="shared" ref="AB61:AB67" si="266">Q61</f>
        <v>0</v>
      </c>
      <c r="AC61" s="30">
        <f t="shared" ref="AC61:AC67" si="267">R61</f>
        <v>0</v>
      </c>
      <c r="AD61" s="30">
        <f t="shared" ref="AD61:AD67" si="268">S61</f>
        <v>1566</v>
      </c>
      <c r="AE61" s="30">
        <f t="shared" ref="AE61:AE67" si="269">T61</f>
        <v>0</v>
      </c>
      <c r="AF61" s="11"/>
      <c r="AG61" s="68" t="e">
        <f t="shared" ref="AG61:AG67" si="270">SUM(AE61/AA61)-1</f>
        <v>#DIV/0!</v>
      </c>
    </row>
    <row r="62" spans="2:33" ht="12.75" customHeight="1">
      <c r="B62" s="9" t="s">
        <v>133</v>
      </c>
      <c r="C62" s="76">
        <v>13358</v>
      </c>
      <c r="D62" s="76">
        <v>16278</v>
      </c>
      <c r="E62" s="76">
        <v>13851</v>
      </c>
      <c r="F62" s="76">
        <v>13924</v>
      </c>
      <c r="H62" s="105"/>
      <c r="I62" s="105"/>
      <c r="J62" s="105"/>
      <c r="K62" s="82">
        <f t="shared" si="257"/>
        <v>16278</v>
      </c>
      <c r="L62" s="105"/>
      <c r="M62" s="105"/>
      <c r="N62" s="105"/>
      <c r="O62" s="82">
        <f t="shared" si="258"/>
        <v>13851</v>
      </c>
      <c r="P62" s="105"/>
      <c r="Q62" s="105"/>
      <c r="R62" s="105"/>
      <c r="S62" s="30">
        <f t="shared" si="259"/>
        <v>13924</v>
      </c>
      <c r="T62" s="105"/>
      <c r="V62" s="30">
        <f t="shared" ref="V62:V63" si="271">K62</f>
        <v>16278</v>
      </c>
      <c r="W62" s="30">
        <f t="shared" ref="W62:W63" si="272">L62</f>
        <v>0</v>
      </c>
      <c r="X62" s="30">
        <f t="shared" ref="X62:X63" si="273">M62</f>
        <v>0</v>
      </c>
      <c r="Y62" s="30">
        <f t="shared" ref="Y62:Y63" si="274">N62</f>
        <v>0</v>
      </c>
      <c r="Z62" s="30">
        <f t="shared" ref="Z62:Z63" si="275">O62</f>
        <v>13851</v>
      </c>
      <c r="AA62" s="30">
        <f t="shared" ref="AA62:AA63" si="276">P62</f>
        <v>0</v>
      </c>
      <c r="AB62" s="30">
        <f t="shared" ref="AB62:AB63" si="277">Q62</f>
        <v>0</v>
      </c>
      <c r="AC62" s="30">
        <f t="shared" ref="AC62:AC63" si="278">R62</f>
        <v>0</v>
      </c>
      <c r="AD62" s="30">
        <f t="shared" ref="AD62:AD63" si="279">S62</f>
        <v>13924</v>
      </c>
      <c r="AE62" s="30">
        <f t="shared" ref="AE62:AE63" si="280">T62</f>
        <v>0</v>
      </c>
      <c r="AF62" s="11"/>
      <c r="AG62" s="68" t="e">
        <f t="shared" si="270"/>
        <v>#DIV/0!</v>
      </c>
    </row>
    <row r="63" spans="2:33" ht="12.75" customHeight="1">
      <c r="B63" s="9" t="s">
        <v>137</v>
      </c>
      <c r="C63" s="76">
        <v>16584</v>
      </c>
      <c r="D63" s="76">
        <v>16499</v>
      </c>
      <c r="E63" s="76">
        <v>16516</v>
      </c>
      <c r="F63" s="76">
        <v>10508</v>
      </c>
      <c r="H63" s="105"/>
      <c r="I63" s="105"/>
      <c r="J63" s="105"/>
      <c r="K63" s="82">
        <f t="shared" si="257"/>
        <v>16499</v>
      </c>
      <c r="L63" s="105"/>
      <c r="M63" s="105"/>
      <c r="N63" s="105"/>
      <c r="O63" s="82">
        <f t="shared" si="258"/>
        <v>16516</v>
      </c>
      <c r="P63" s="105"/>
      <c r="Q63" s="105"/>
      <c r="R63" s="105"/>
      <c r="S63" s="30">
        <f t="shared" si="259"/>
        <v>10508</v>
      </c>
      <c r="T63" s="105"/>
      <c r="V63" s="30">
        <f t="shared" si="271"/>
        <v>16499</v>
      </c>
      <c r="W63" s="30">
        <f t="shared" si="272"/>
        <v>0</v>
      </c>
      <c r="X63" s="30">
        <f t="shared" si="273"/>
        <v>0</v>
      </c>
      <c r="Y63" s="30">
        <f t="shared" si="274"/>
        <v>0</v>
      </c>
      <c r="Z63" s="30">
        <f t="shared" si="275"/>
        <v>16516</v>
      </c>
      <c r="AA63" s="30">
        <f t="shared" si="276"/>
        <v>0</v>
      </c>
      <c r="AB63" s="30">
        <f t="shared" si="277"/>
        <v>0</v>
      </c>
      <c r="AC63" s="30">
        <f t="shared" si="278"/>
        <v>0</v>
      </c>
      <c r="AD63" s="30">
        <f t="shared" si="279"/>
        <v>10508</v>
      </c>
      <c r="AE63" s="30">
        <f t="shared" si="280"/>
        <v>0</v>
      </c>
      <c r="AF63" s="11"/>
      <c r="AG63" s="68" t="e">
        <f t="shared" si="270"/>
        <v>#DIV/0!</v>
      </c>
    </row>
    <row r="64" spans="2:33" ht="12.75" customHeight="1">
      <c r="B64" s="9" t="s">
        <v>138</v>
      </c>
      <c r="C64" s="76">
        <v>2772</v>
      </c>
      <c r="D64" s="76">
        <v>2694</v>
      </c>
      <c r="E64" s="76">
        <v>2589</v>
      </c>
      <c r="F64" s="76">
        <v>2406</v>
      </c>
      <c r="H64" s="105"/>
      <c r="I64" s="105"/>
      <c r="J64" s="105"/>
      <c r="K64" s="82">
        <f t="shared" ref="K64:K65" si="281">D64</f>
        <v>2694</v>
      </c>
      <c r="L64" s="105"/>
      <c r="M64" s="105"/>
      <c r="N64" s="105"/>
      <c r="O64" s="82">
        <f t="shared" ref="O64:O65" si="282">E64</f>
        <v>2589</v>
      </c>
      <c r="P64" s="105"/>
      <c r="Q64" s="105"/>
      <c r="R64" s="105"/>
      <c r="S64" s="30">
        <f t="shared" ref="S64:S65" si="283">F64</f>
        <v>2406</v>
      </c>
      <c r="T64" s="105"/>
      <c r="V64" s="30">
        <f t="shared" si="260"/>
        <v>2694</v>
      </c>
      <c r="W64" s="30">
        <f t="shared" si="261"/>
        <v>0</v>
      </c>
      <c r="X64" s="30">
        <f t="shared" si="262"/>
        <v>0</v>
      </c>
      <c r="Y64" s="30">
        <f t="shared" si="263"/>
        <v>0</v>
      </c>
      <c r="Z64" s="30">
        <f t="shared" si="264"/>
        <v>2589</v>
      </c>
      <c r="AA64" s="30">
        <f t="shared" si="265"/>
        <v>0</v>
      </c>
      <c r="AB64" s="30">
        <f t="shared" si="266"/>
        <v>0</v>
      </c>
      <c r="AC64" s="30">
        <f t="shared" si="267"/>
        <v>0</v>
      </c>
      <c r="AD64" s="30">
        <f t="shared" si="268"/>
        <v>2406</v>
      </c>
      <c r="AE64" s="30">
        <f t="shared" si="269"/>
        <v>0</v>
      </c>
      <c r="AF64" s="11"/>
      <c r="AG64" s="68" t="e">
        <f t="shared" ref="AG64:AG65" si="284">SUM(AE64/AA64)-1</f>
        <v>#DIV/0!</v>
      </c>
    </row>
    <row r="65" spans="2:33" ht="12.75" customHeight="1">
      <c r="B65" s="9" t="s">
        <v>139</v>
      </c>
      <c r="C65" s="76">
        <v>1630</v>
      </c>
      <c r="D65" s="76">
        <v>1391</v>
      </c>
      <c r="E65" s="76">
        <v>1183</v>
      </c>
      <c r="F65" s="76">
        <v>1012</v>
      </c>
      <c r="H65" s="105"/>
      <c r="I65" s="105"/>
      <c r="J65" s="105"/>
      <c r="K65" s="82">
        <f t="shared" si="281"/>
        <v>1391</v>
      </c>
      <c r="L65" s="105"/>
      <c r="M65" s="105"/>
      <c r="N65" s="105"/>
      <c r="O65" s="82">
        <f t="shared" si="282"/>
        <v>1183</v>
      </c>
      <c r="P65" s="105"/>
      <c r="Q65" s="105"/>
      <c r="R65" s="105"/>
      <c r="S65" s="30">
        <f t="shared" si="283"/>
        <v>1012</v>
      </c>
      <c r="T65" s="105"/>
      <c r="V65" s="30">
        <f t="shared" si="260"/>
        <v>1391</v>
      </c>
      <c r="W65" s="30">
        <f t="shared" si="261"/>
        <v>0</v>
      </c>
      <c r="X65" s="30">
        <f t="shared" si="262"/>
        <v>0</v>
      </c>
      <c r="Y65" s="30">
        <f t="shared" si="263"/>
        <v>0</v>
      </c>
      <c r="Z65" s="30">
        <f t="shared" si="264"/>
        <v>1183</v>
      </c>
      <c r="AA65" s="30">
        <f t="shared" si="265"/>
        <v>0</v>
      </c>
      <c r="AB65" s="30">
        <f t="shared" si="266"/>
        <v>0</v>
      </c>
      <c r="AC65" s="30">
        <f t="shared" si="267"/>
        <v>0</v>
      </c>
      <c r="AD65" s="30">
        <f t="shared" si="268"/>
        <v>1012</v>
      </c>
      <c r="AE65" s="30">
        <f t="shared" si="269"/>
        <v>0</v>
      </c>
      <c r="AF65" s="11"/>
      <c r="AG65" s="68" t="e">
        <f t="shared" si="284"/>
        <v>#DIV/0!</v>
      </c>
    </row>
    <row r="66" spans="2:33" ht="12.75" customHeight="1">
      <c r="B66" s="9" t="s">
        <v>140</v>
      </c>
      <c r="C66" s="76">
        <v>1206</v>
      </c>
      <c r="D66" s="76">
        <v>1242</v>
      </c>
      <c r="E66" s="76">
        <v>1242</v>
      </c>
      <c r="F66" s="76">
        <v>1386</v>
      </c>
      <c r="H66" s="105"/>
      <c r="I66" s="105"/>
      <c r="J66" s="105"/>
      <c r="K66" s="82">
        <f t="shared" si="257"/>
        <v>1242</v>
      </c>
      <c r="L66" s="105"/>
      <c r="M66" s="105"/>
      <c r="N66" s="105"/>
      <c r="O66" s="82">
        <f t="shared" si="258"/>
        <v>1242</v>
      </c>
      <c r="P66" s="105"/>
      <c r="Q66" s="105"/>
      <c r="R66" s="105"/>
      <c r="S66" s="30">
        <f t="shared" si="259"/>
        <v>1386</v>
      </c>
      <c r="T66" s="105"/>
      <c r="V66" s="30">
        <f t="shared" si="260"/>
        <v>1242</v>
      </c>
      <c r="W66" s="30">
        <f t="shared" si="261"/>
        <v>0</v>
      </c>
      <c r="X66" s="30">
        <f t="shared" si="262"/>
        <v>0</v>
      </c>
      <c r="Y66" s="30">
        <f t="shared" si="263"/>
        <v>0</v>
      </c>
      <c r="Z66" s="30">
        <f t="shared" si="264"/>
        <v>1242</v>
      </c>
      <c r="AA66" s="30">
        <f t="shared" si="265"/>
        <v>0</v>
      </c>
      <c r="AB66" s="30">
        <f t="shared" si="266"/>
        <v>0</v>
      </c>
      <c r="AC66" s="30">
        <f t="shared" si="267"/>
        <v>0</v>
      </c>
      <c r="AD66" s="30">
        <f t="shared" si="268"/>
        <v>1386</v>
      </c>
      <c r="AE66" s="30">
        <f t="shared" si="269"/>
        <v>0</v>
      </c>
      <c r="AF66" s="11"/>
      <c r="AG66" s="68" t="e">
        <f t="shared" si="270"/>
        <v>#DIV/0!</v>
      </c>
    </row>
    <row r="67" spans="2:33" ht="12.75" customHeight="1">
      <c r="B67" s="9" t="s">
        <v>141</v>
      </c>
      <c r="C67" s="76">
        <f>3824+19+815</f>
        <v>4658</v>
      </c>
      <c r="D67" s="76">
        <f>3991+802</f>
        <v>4793</v>
      </c>
      <c r="E67" s="76">
        <v>3793</v>
      </c>
      <c r="F67" s="76">
        <v>2828</v>
      </c>
      <c r="H67" s="105"/>
      <c r="I67" s="105"/>
      <c r="J67" s="105"/>
      <c r="K67" s="82">
        <f t="shared" si="257"/>
        <v>4793</v>
      </c>
      <c r="L67" s="105"/>
      <c r="M67" s="105"/>
      <c r="N67" s="105"/>
      <c r="O67" s="82">
        <f t="shared" si="258"/>
        <v>3793</v>
      </c>
      <c r="P67" s="105"/>
      <c r="Q67" s="105"/>
      <c r="R67" s="105"/>
      <c r="S67" s="30">
        <f t="shared" si="259"/>
        <v>2828</v>
      </c>
      <c r="T67" s="105"/>
      <c r="V67" s="30">
        <f t="shared" si="260"/>
        <v>4793</v>
      </c>
      <c r="W67" s="30">
        <f t="shared" si="261"/>
        <v>0</v>
      </c>
      <c r="X67" s="30">
        <f t="shared" si="262"/>
        <v>0</v>
      </c>
      <c r="Y67" s="30">
        <f t="shared" si="263"/>
        <v>0</v>
      </c>
      <c r="Z67" s="30">
        <f t="shared" si="264"/>
        <v>3793</v>
      </c>
      <c r="AA67" s="30">
        <f t="shared" si="265"/>
        <v>0</v>
      </c>
      <c r="AB67" s="30">
        <f t="shared" si="266"/>
        <v>0</v>
      </c>
      <c r="AC67" s="30">
        <f t="shared" si="267"/>
        <v>0</v>
      </c>
      <c r="AD67" s="30">
        <f t="shared" si="268"/>
        <v>2828</v>
      </c>
      <c r="AE67" s="30">
        <f t="shared" si="269"/>
        <v>0</v>
      </c>
      <c r="AF67" s="11"/>
      <c r="AG67" s="68" t="e">
        <f t="shared" si="270"/>
        <v>#DIV/0!</v>
      </c>
    </row>
    <row r="68" spans="2:33" ht="12.75" customHeight="1">
      <c r="B68" s="12" t="s">
        <v>19</v>
      </c>
      <c r="C68" s="13">
        <f>SUM(C61:C67)+C58</f>
        <v>58620</v>
      </c>
      <c r="D68" s="13">
        <f>SUM(D61:D67)+D58</f>
        <v>58393</v>
      </c>
      <c r="E68" s="13">
        <f>SUM(E61:E67)+E58</f>
        <v>53543</v>
      </c>
      <c r="F68" s="13">
        <f t="shared" ref="F68" si="285">SUM(F61:F67)+F58</f>
        <v>46172</v>
      </c>
      <c r="H68" s="13">
        <f t="shared" ref="H68" si="286">SUM(H61:H67)+H58</f>
        <v>0</v>
      </c>
      <c r="I68" s="13">
        <f t="shared" ref="I68" si="287">SUM(I61:I67)+I58</f>
        <v>0</v>
      </c>
      <c r="J68" s="13">
        <f t="shared" ref="J68" si="288">SUM(J61:J67)+J58</f>
        <v>0</v>
      </c>
      <c r="K68" s="13">
        <f t="shared" ref="K68" si="289">SUM(K61:K67)+K58</f>
        <v>58393</v>
      </c>
      <c r="L68" s="13">
        <f t="shared" ref="L68" si="290">SUM(L61:L67)+L58</f>
        <v>0</v>
      </c>
      <c r="M68" s="13">
        <f t="shared" ref="M68" si="291">SUM(M61:M67)+M58</f>
        <v>0</v>
      </c>
      <c r="N68" s="13">
        <f t="shared" ref="N68" si="292">SUM(N61:N67)+N58</f>
        <v>0</v>
      </c>
      <c r="O68" s="13">
        <f t="shared" ref="O68" si="293">SUM(O61:O67)+O58</f>
        <v>53543</v>
      </c>
      <c r="P68" s="13">
        <f t="shared" ref="P68" si="294">SUM(P61:P67)+P58</f>
        <v>0</v>
      </c>
      <c r="Q68" s="13">
        <f t="shared" ref="Q68:AE68" si="295">SUM(Q61:Q67)+Q58</f>
        <v>0</v>
      </c>
      <c r="R68" s="13">
        <f t="shared" ref="R68:S68" si="296">SUM(R61:R67)+R58</f>
        <v>0</v>
      </c>
      <c r="S68" s="13">
        <f t="shared" si="296"/>
        <v>46172</v>
      </c>
      <c r="T68" s="13">
        <f>SUM(T61:T67)+T58</f>
        <v>0</v>
      </c>
      <c r="V68" s="13">
        <f t="shared" si="295"/>
        <v>58393</v>
      </c>
      <c r="W68" s="13">
        <f t="shared" si="295"/>
        <v>0</v>
      </c>
      <c r="X68" s="13">
        <f t="shared" si="295"/>
        <v>0</v>
      </c>
      <c r="Y68" s="13">
        <f t="shared" si="295"/>
        <v>0</v>
      </c>
      <c r="Z68" s="13">
        <f t="shared" si="295"/>
        <v>53543</v>
      </c>
      <c r="AA68" s="13">
        <f t="shared" si="295"/>
        <v>0</v>
      </c>
      <c r="AB68" s="13">
        <f t="shared" si="295"/>
        <v>0</v>
      </c>
      <c r="AC68" s="13">
        <f t="shared" si="295"/>
        <v>0</v>
      </c>
      <c r="AD68" s="13">
        <f t="shared" si="295"/>
        <v>46172</v>
      </c>
      <c r="AE68" s="13">
        <f t="shared" si="295"/>
        <v>0</v>
      </c>
      <c r="AF68" s="39"/>
      <c r="AG68" s="69" t="e">
        <f>SUM(AE68/AA68)-1</f>
        <v>#DIV/0!</v>
      </c>
    </row>
    <row r="69" spans="2:33" ht="12.75" customHeight="1">
      <c r="B69" s="23"/>
      <c r="C69" s="47"/>
      <c r="D69" s="38"/>
      <c r="E69" s="38"/>
      <c r="F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6"/>
    </row>
    <row r="70" spans="2:33" ht="12.75" customHeight="1">
      <c r="B70" s="72" t="s">
        <v>45</v>
      </c>
      <c r="C70" s="47"/>
      <c r="D70" s="38"/>
      <c r="E70" s="38"/>
      <c r="F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6"/>
    </row>
    <row r="71" spans="2:33" ht="12.75" customHeight="1">
      <c r="B71" s="9" t="s">
        <v>142</v>
      </c>
      <c r="C71" s="76">
        <v>800</v>
      </c>
      <c r="D71" s="76">
        <v>1403</v>
      </c>
      <c r="E71" s="76">
        <v>1100</v>
      </c>
      <c r="F71" s="76">
        <v>953</v>
      </c>
      <c r="H71" s="105"/>
      <c r="I71" s="105"/>
      <c r="J71" s="105"/>
      <c r="K71" s="82">
        <f t="shared" ref="K71:K77" si="297">D71</f>
        <v>1403</v>
      </c>
      <c r="L71" s="105"/>
      <c r="M71" s="105"/>
      <c r="N71" s="105"/>
      <c r="O71" s="82">
        <f t="shared" ref="O71:O77" si="298">E71</f>
        <v>1100</v>
      </c>
      <c r="P71" s="105"/>
      <c r="Q71" s="105"/>
      <c r="R71" s="105"/>
      <c r="S71" s="30">
        <f t="shared" ref="S71:S77" si="299">F71</f>
        <v>953</v>
      </c>
      <c r="T71" s="105"/>
      <c r="V71" s="30">
        <f t="shared" ref="V71:V77" si="300">K71</f>
        <v>1403</v>
      </c>
      <c r="W71" s="30">
        <f t="shared" ref="W71:W77" si="301">L71</f>
        <v>0</v>
      </c>
      <c r="X71" s="30">
        <f t="shared" ref="X71:X77" si="302">M71</f>
        <v>0</v>
      </c>
      <c r="Y71" s="30">
        <f t="shared" ref="Y71:Y77" si="303">N71</f>
        <v>0</v>
      </c>
      <c r="Z71" s="30">
        <f t="shared" ref="Z71:Z77" si="304">O71</f>
        <v>1100</v>
      </c>
      <c r="AA71" s="30">
        <f t="shared" ref="AA71:AA77" si="305">P71</f>
        <v>0</v>
      </c>
      <c r="AB71" s="30">
        <f t="shared" ref="AB71:AB77" si="306">Q71</f>
        <v>0</v>
      </c>
      <c r="AC71" s="30">
        <f t="shared" ref="AC71:AC77" si="307">R71</f>
        <v>0</v>
      </c>
      <c r="AD71" s="30">
        <f t="shared" ref="AD71:AD77" si="308">S71</f>
        <v>953</v>
      </c>
      <c r="AE71" s="30">
        <f t="shared" ref="AE71:AE77" si="309">T71</f>
        <v>0</v>
      </c>
      <c r="AF71" s="11"/>
      <c r="AG71" s="68" t="e">
        <f t="shared" ref="AG71:AG72" si="310">SUM(AE71/AA71)-1</f>
        <v>#DIV/0!</v>
      </c>
    </row>
    <row r="72" spans="2:33" ht="12.75" customHeight="1">
      <c r="B72" s="9" t="s">
        <v>143</v>
      </c>
      <c r="C72" s="76">
        <v>2323</v>
      </c>
      <c r="D72" s="76">
        <v>2071</v>
      </c>
      <c r="E72" s="76">
        <v>2104</v>
      </c>
      <c r="F72" s="76">
        <v>2199</v>
      </c>
      <c r="H72" s="105"/>
      <c r="I72" s="105"/>
      <c r="J72" s="105"/>
      <c r="K72" s="82">
        <f t="shared" si="297"/>
        <v>2071</v>
      </c>
      <c r="L72" s="105"/>
      <c r="M72" s="105"/>
      <c r="N72" s="105"/>
      <c r="O72" s="82">
        <f t="shared" si="298"/>
        <v>2104</v>
      </c>
      <c r="P72" s="105"/>
      <c r="Q72" s="105"/>
      <c r="R72" s="105"/>
      <c r="S72" s="30">
        <f t="shared" si="299"/>
        <v>2199</v>
      </c>
      <c r="T72" s="105"/>
      <c r="V72" s="30">
        <f t="shared" si="300"/>
        <v>2071</v>
      </c>
      <c r="W72" s="30">
        <f t="shared" si="301"/>
        <v>0</v>
      </c>
      <c r="X72" s="30">
        <f t="shared" si="302"/>
        <v>0</v>
      </c>
      <c r="Y72" s="30">
        <f t="shared" si="303"/>
        <v>0</v>
      </c>
      <c r="Z72" s="30">
        <f t="shared" si="304"/>
        <v>2104</v>
      </c>
      <c r="AA72" s="30">
        <f t="shared" si="305"/>
        <v>0</v>
      </c>
      <c r="AB72" s="30">
        <f t="shared" si="306"/>
        <v>0</v>
      </c>
      <c r="AC72" s="30">
        <f t="shared" si="307"/>
        <v>0</v>
      </c>
      <c r="AD72" s="30">
        <f t="shared" si="308"/>
        <v>2199</v>
      </c>
      <c r="AE72" s="30">
        <f t="shared" si="309"/>
        <v>0</v>
      </c>
      <c r="AF72" s="11"/>
      <c r="AG72" s="68" t="e">
        <f t="shared" si="310"/>
        <v>#DIV/0!</v>
      </c>
    </row>
    <row r="73" spans="2:33" ht="12.75" customHeight="1">
      <c r="B73" s="9" t="s">
        <v>144</v>
      </c>
      <c r="C73" s="76">
        <v>2159</v>
      </c>
      <c r="D73" s="76">
        <v>2416</v>
      </c>
      <c r="E73" s="76">
        <v>2702</v>
      </c>
      <c r="F73" s="76">
        <v>2574</v>
      </c>
      <c r="H73" s="105"/>
      <c r="I73" s="105"/>
      <c r="J73" s="105"/>
      <c r="K73" s="82">
        <f t="shared" si="297"/>
        <v>2416</v>
      </c>
      <c r="L73" s="105"/>
      <c r="M73" s="105"/>
      <c r="N73" s="105"/>
      <c r="O73" s="82">
        <f t="shared" si="298"/>
        <v>2702</v>
      </c>
      <c r="P73" s="105"/>
      <c r="Q73" s="105"/>
      <c r="R73" s="105"/>
      <c r="S73" s="30">
        <f t="shared" si="299"/>
        <v>2574</v>
      </c>
      <c r="T73" s="105"/>
      <c r="V73" s="30">
        <f t="shared" si="300"/>
        <v>2416</v>
      </c>
      <c r="W73" s="30">
        <f t="shared" si="301"/>
        <v>0</v>
      </c>
      <c r="X73" s="30">
        <f t="shared" si="302"/>
        <v>0</v>
      </c>
      <c r="Y73" s="30">
        <f t="shared" si="303"/>
        <v>0</v>
      </c>
      <c r="Z73" s="30">
        <f t="shared" si="304"/>
        <v>2702</v>
      </c>
      <c r="AA73" s="30">
        <f t="shared" si="305"/>
        <v>0</v>
      </c>
      <c r="AB73" s="30">
        <f t="shared" si="306"/>
        <v>0</v>
      </c>
      <c r="AC73" s="30">
        <f t="shared" si="307"/>
        <v>0</v>
      </c>
      <c r="AD73" s="30">
        <f t="shared" si="308"/>
        <v>2574</v>
      </c>
      <c r="AE73" s="30">
        <f t="shared" si="309"/>
        <v>0</v>
      </c>
      <c r="AF73" s="11"/>
      <c r="AG73" s="68" t="e">
        <f t="shared" ref="AG73:AG76" si="311">SUM(AE73/AA73)-1</f>
        <v>#DIV/0!</v>
      </c>
    </row>
    <row r="74" spans="2:33" ht="12.75" customHeight="1">
      <c r="B74" s="9" t="s">
        <v>145</v>
      </c>
      <c r="C74" s="76">
        <v>1342</v>
      </c>
      <c r="D74" s="76">
        <v>2063</v>
      </c>
      <c r="E74" s="76">
        <v>1842</v>
      </c>
      <c r="F74" s="76">
        <v>1720</v>
      </c>
      <c r="H74" s="105"/>
      <c r="I74" s="105"/>
      <c r="J74" s="105"/>
      <c r="K74" s="82">
        <f t="shared" ref="K74:K75" si="312">D74</f>
        <v>2063</v>
      </c>
      <c r="L74" s="105"/>
      <c r="M74" s="105"/>
      <c r="N74" s="105"/>
      <c r="O74" s="82">
        <f t="shared" ref="O74:O75" si="313">E74</f>
        <v>1842</v>
      </c>
      <c r="P74" s="105"/>
      <c r="Q74" s="105"/>
      <c r="R74" s="105"/>
      <c r="S74" s="30">
        <f t="shared" ref="S74:S75" si="314">F74</f>
        <v>1720</v>
      </c>
      <c r="T74" s="105"/>
      <c r="V74" s="30">
        <f t="shared" ref="V74:V75" si="315">K74</f>
        <v>2063</v>
      </c>
      <c r="W74" s="30">
        <f t="shared" ref="W74:W75" si="316">L74</f>
        <v>0</v>
      </c>
      <c r="X74" s="30">
        <f t="shared" ref="X74:X75" si="317">M74</f>
        <v>0</v>
      </c>
      <c r="Y74" s="30">
        <f t="shared" ref="Y74:Y75" si="318">N74</f>
        <v>0</v>
      </c>
      <c r="Z74" s="30">
        <f t="shared" ref="Z74:Z75" si="319">O74</f>
        <v>1842</v>
      </c>
      <c r="AA74" s="30">
        <f t="shared" ref="AA74:AA75" si="320">P74</f>
        <v>0</v>
      </c>
      <c r="AB74" s="30">
        <f t="shared" ref="AB74:AB75" si="321">Q74</f>
        <v>0</v>
      </c>
      <c r="AC74" s="30">
        <f t="shared" ref="AC74:AC75" si="322">R74</f>
        <v>0</v>
      </c>
      <c r="AD74" s="30">
        <f t="shared" ref="AD74:AD75" si="323">S74</f>
        <v>1720</v>
      </c>
      <c r="AE74" s="30">
        <f t="shared" ref="AE74:AE75" si="324">T74</f>
        <v>0</v>
      </c>
      <c r="AF74" s="11"/>
      <c r="AG74" s="68" t="e">
        <f t="shared" ref="AG74:AG75" si="325">SUM(AE74/AA74)-1</f>
        <v>#DIV/0!</v>
      </c>
    </row>
    <row r="75" spans="2:33" ht="12.75" customHeight="1">
      <c r="B75" s="9" t="s">
        <v>146</v>
      </c>
      <c r="C75" s="76">
        <v>1091</v>
      </c>
      <c r="D75" s="76">
        <v>973</v>
      </c>
      <c r="E75" s="76">
        <v>746</v>
      </c>
      <c r="F75" s="76">
        <v>825</v>
      </c>
      <c r="H75" s="105"/>
      <c r="I75" s="105"/>
      <c r="J75" s="105"/>
      <c r="K75" s="82">
        <f t="shared" si="312"/>
        <v>973</v>
      </c>
      <c r="L75" s="105"/>
      <c r="M75" s="105"/>
      <c r="N75" s="105"/>
      <c r="O75" s="82">
        <f t="shared" si="313"/>
        <v>746</v>
      </c>
      <c r="P75" s="105"/>
      <c r="Q75" s="105"/>
      <c r="R75" s="105"/>
      <c r="S75" s="30">
        <f t="shared" si="314"/>
        <v>825</v>
      </c>
      <c r="T75" s="105"/>
      <c r="V75" s="30">
        <f t="shared" si="315"/>
        <v>973</v>
      </c>
      <c r="W75" s="30">
        <f t="shared" si="316"/>
        <v>0</v>
      </c>
      <c r="X75" s="30">
        <f t="shared" si="317"/>
        <v>0</v>
      </c>
      <c r="Y75" s="30">
        <f t="shared" si="318"/>
        <v>0</v>
      </c>
      <c r="Z75" s="30">
        <f t="shared" si="319"/>
        <v>746</v>
      </c>
      <c r="AA75" s="30">
        <f t="shared" si="320"/>
        <v>0</v>
      </c>
      <c r="AB75" s="30">
        <f t="shared" si="321"/>
        <v>0</v>
      </c>
      <c r="AC75" s="30">
        <f t="shared" si="322"/>
        <v>0</v>
      </c>
      <c r="AD75" s="30">
        <f t="shared" si="323"/>
        <v>825</v>
      </c>
      <c r="AE75" s="30">
        <f t="shared" si="324"/>
        <v>0</v>
      </c>
      <c r="AF75" s="11"/>
      <c r="AG75" s="68" t="e">
        <f t="shared" si="325"/>
        <v>#DIV/0!</v>
      </c>
    </row>
    <row r="76" spans="2:33" ht="12.75" customHeight="1">
      <c r="B76" s="9" t="s">
        <v>147</v>
      </c>
      <c r="C76" s="76">
        <v>11</v>
      </c>
      <c r="D76" s="76">
        <v>239</v>
      </c>
      <c r="E76" s="76">
        <v>1</v>
      </c>
      <c r="F76" s="76">
        <v>0</v>
      </c>
      <c r="H76" s="105"/>
      <c r="I76" s="105"/>
      <c r="J76" s="105"/>
      <c r="K76" s="82">
        <f t="shared" si="297"/>
        <v>239</v>
      </c>
      <c r="L76" s="105"/>
      <c r="M76" s="105"/>
      <c r="N76" s="105"/>
      <c r="O76" s="82">
        <f t="shared" si="298"/>
        <v>1</v>
      </c>
      <c r="P76" s="105"/>
      <c r="Q76" s="105"/>
      <c r="R76" s="105"/>
      <c r="S76" s="30">
        <f t="shared" si="299"/>
        <v>0</v>
      </c>
      <c r="T76" s="105"/>
      <c r="V76" s="30">
        <f t="shared" si="300"/>
        <v>239</v>
      </c>
      <c r="W76" s="30">
        <f t="shared" si="301"/>
        <v>0</v>
      </c>
      <c r="X76" s="30">
        <f t="shared" si="302"/>
        <v>0</v>
      </c>
      <c r="Y76" s="30">
        <f t="shared" si="303"/>
        <v>0</v>
      </c>
      <c r="Z76" s="30">
        <f t="shared" si="304"/>
        <v>1</v>
      </c>
      <c r="AA76" s="30">
        <f t="shared" si="305"/>
        <v>0</v>
      </c>
      <c r="AB76" s="30">
        <f t="shared" si="306"/>
        <v>0</v>
      </c>
      <c r="AC76" s="30">
        <f t="shared" si="307"/>
        <v>0</v>
      </c>
      <c r="AD76" s="30">
        <f t="shared" si="308"/>
        <v>0</v>
      </c>
      <c r="AE76" s="30">
        <f t="shared" si="309"/>
        <v>0</v>
      </c>
      <c r="AF76" s="11"/>
      <c r="AG76" s="68" t="e">
        <f t="shared" si="311"/>
        <v>#DIV/0!</v>
      </c>
    </row>
    <row r="77" spans="2:33" ht="12.75" customHeight="1">
      <c r="B77" s="9" t="s">
        <v>148</v>
      </c>
      <c r="C77" s="76">
        <f>1182+571</f>
        <v>1753</v>
      </c>
      <c r="D77" s="76">
        <f>1477+549</f>
        <v>2026</v>
      </c>
      <c r="E77" s="76">
        <v>1161</v>
      </c>
      <c r="F77" s="76">
        <v>1360</v>
      </c>
      <c r="H77" s="105"/>
      <c r="I77" s="105"/>
      <c r="J77" s="105"/>
      <c r="K77" s="82">
        <f t="shared" si="297"/>
        <v>2026</v>
      </c>
      <c r="L77" s="105"/>
      <c r="M77" s="105"/>
      <c r="N77" s="105"/>
      <c r="O77" s="82">
        <f t="shared" si="298"/>
        <v>1161</v>
      </c>
      <c r="P77" s="105"/>
      <c r="Q77" s="105"/>
      <c r="R77" s="105"/>
      <c r="S77" s="30">
        <f t="shared" si="299"/>
        <v>1360</v>
      </c>
      <c r="T77" s="105"/>
      <c r="V77" s="30">
        <f t="shared" si="300"/>
        <v>2026</v>
      </c>
      <c r="W77" s="30">
        <f t="shared" si="301"/>
        <v>0</v>
      </c>
      <c r="X77" s="30">
        <f t="shared" si="302"/>
        <v>0</v>
      </c>
      <c r="Y77" s="30">
        <f t="shared" si="303"/>
        <v>0</v>
      </c>
      <c r="Z77" s="30">
        <f t="shared" si="304"/>
        <v>1161</v>
      </c>
      <c r="AA77" s="30">
        <f t="shared" si="305"/>
        <v>0</v>
      </c>
      <c r="AB77" s="30">
        <f t="shared" si="306"/>
        <v>0</v>
      </c>
      <c r="AC77" s="30">
        <f t="shared" si="307"/>
        <v>0</v>
      </c>
      <c r="AD77" s="30">
        <f t="shared" si="308"/>
        <v>1360</v>
      </c>
      <c r="AE77" s="30">
        <f t="shared" si="309"/>
        <v>0</v>
      </c>
      <c r="AF77" s="11"/>
      <c r="AG77" s="68"/>
    </row>
    <row r="78" spans="2:33" ht="12.75" customHeight="1">
      <c r="B78" s="23" t="s">
        <v>17</v>
      </c>
      <c r="C78" s="24">
        <f>SUM(C71:C77)</f>
        <v>9479</v>
      </c>
      <c r="D78" s="24">
        <f>SUM(D71:D77)</f>
        <v>11191</v>
      </c>
      <c r="E78" s="24">
        <f>SUM(E71:E77)</f>
        <v>9656</v>
      </c>
      <c r="F78" s="24">
        <f>SUM(F71:F77)</f>
        <v>9631</v>
      </c>
      <c r="H78" s="24">
        <f>SUM(H71:H77)</f>
        <v>0</v>
      </c>
      <c r="I78" s="24">
        <f>SUM(I71:I77)</f>
        <v>0</v>
      </c>
      <c r="J78" s="24">
        <f>SUM(J71:J77)</f>
        <v>0</v>
      </c>
      <c r="K78" s="24">
        <f>SUM(K71:K77)</f>
        <v>11191</v>
      </c>
      <c r="L78" s="24">
        <f>SUM(L71:L77)</f>
        <v>0</v>
      </c>
      <c r="M78" s="24">
        <f>SUM(M71:M77)</f>
        <v>0</v>
      </c>
      <c r="N78" s="24">
        <f>SUM(N71:N77)</f>
        <v>0</v>
      </c>
      <c r="O78" s="24">
        <f>SUM(O71:O77)</f>
        <v>9656</v>
      </c>
      <c r="P78" s="24">
        <f>SUM(P71:P77)</f>
        <v>0</v>
      </c>
      <c r="Q78" s="24">
        <f>SUM(Q71:Q77)</f>
        <v>0</v>
      </c>
      <c r="R78" s="24">
        <f>SUM(R71:R77)</f>
        <v>0</v>
      </c>
      <c r="S78" s="24">
        <f>SUM(S71:S77)</f>
        <v>9631</v>
      </c>
      <c r="T78" s="24">
        <f>SUM(T71:T77)</f>
        <v>0</v>
      </c>
      <c r="U78" s="45"/>
      <c r="V78" s="24">
        <f>SUM(V71:V77)</f>
        <v>11191</v>
      </c>
      <c r="W78" s="24">
        <f>SUM(W71:W77)</f>
        <v>0</v>
      </c>
      <c r="X78" s="24">
        <f>SUM(X71:X77)</f>
        <v>0</v>
      </c>
      <c r="Y78" s="24">
        <f>SUM(Y71:Y77)</f>
        <v>0</v>
      </c>
      <c r="Z78" s="24">
        <f>SUM(Z71:Z77)</f>
        <v>9656</v>
      </c>
      <c r="AA78" s="24">
        <f>SUM(AA71:AA77)</f>
        <v>0</v>
      </c>
      <c r="AB78" s="24">
        <f>SUM(AB71:AB77)</f>
        <v>0</v>
      </c>
      <c r="AC78" s="24">
        <f>SUM(AC71:AC77)</f>
        <v>0</v>
      </c>
      <c r="AD78" s="24">
        <f>SUM(AD71:AD77)</f>
        <v>9631</v>
      </c>
      <c r="AE78" s="24">
        <f>SUM(AE71:AE77)</f>
        <v>0</v>
      </c>
      <c r="AF78" s="39"/>
      <c r="AG78" s="69" t="e">
        <f>SUM(AE78/AA78)-1</f>
        <v>#DIV/0!</v>
      </c>
    </row>
    <row r="79" spans="2:33" ht="5.0999999999999996" customHeight="1">
      <c r="B79" s="23"/>
      <c r="C79" s="47"/>
      <c r="D79" s="38"/>
      <c r="E79" s="38"/>
      <c r="F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6"/>
    </row>
    <row r="80" spans="2:33">
      <c r="B80" s="72" t="s">
        <v>82</v>
      </c>
      <c r="C80" s="47"/>
      <c r="D80" s="38"/>
      <c r="E80" s="38"/>
      <c r="F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6"/>
    </row>
    <row r="81" spans="2:33" ht="12.75" customHeight="1">
      <c r="B81" s="104" t="s">
        <v>149</v>
      </c>
      <c r="C81" s="76">
        <v>17698</v>
      </c>
      <c r="D81" s="76">
        <v>15607</v>
      </c>
      <c r="E81" s="76">
        <v>14601</v>
      </c>
      <c r="F81" s="76">
        <v>14501</v>
      </c>
      <c r="H81" s="105"/>
      <c r="I81" s="105"/>
      <c r="J81" s="105"/>
      <c r="K81" s="82">
        <f t="shared" ref="K81:K82" si="326">D81</f>
        <v>15607</v>
      </c>
      <c r="L81" s="105"/>
      <c r="M81" s="105"/>
      <c r="N81" s="105"/>
      <c r="O81" s="82">
        <f t="shared" ref="O81:O82" si="327">E81</f>
        <v>14601</v>
      </c>
      <c r="P81" s="105"/>
      <c r="Q81" s="105"/>
      <c r="R81" s="105"/>
      <c r="S81" s="30">
        <f t="shared" ref="S81:S82" si="328">F81</f>
        <v>14501</v>
      </c>
      <c r="T81" s="105"/>
      <c r="V81" s="30">
        <f t="shared" ref="V81:V87" si="329">K81</f>
        <v>15607</v>
      </c>
      <c r="W81" s="30">
        <f t="shared" ref="W81:W87" si="330">L81</f>
        <v>0</v>
      </c>
      <c r="X81" s="30">
        <f t="shared" ref="X81:X87" si="331">M81</f>
        <v>0</v>
      </c>
      <c r="Y81" s="30">
        <f t="shared" ref="Y81:Y87" si="332">N81</f>
        <v>0</v>
      </c>
      <c r="Z81" s="30">
        <f t="shared" ref="Z81:Z87" si="333">O81</f>
        <v>14601</v>
      </c>
      <c r="AA81" s="30">
        <f t="shared" ref="AA81:AA87" si="334">P81</f>
        <v>0</v>
      </c>
      <c r="AB81" s="30">
        <f t="shared" ref="AB81:AB87" si="335">Q81</f>
        <v>0</v>
      </c>
      <c r="AC81" s="30">
        <f t="shared" ref="AC81:AC87" si="336">R81</f>
        <v>0</v>
      </c>
      <c r="AD81" s="30">
        <f t="shared" ref="AD81:AD87" si="337">S81</f>
        <v>14501</v>
      </c>
      <c r="AE81" s="30">
        <f t="shared" ref="AE81:AE87" si="338">T81</f>
        <v>0</v>
      </c>
      <c r="AF81" s="39"/>
      <c r="AG81" s="68" t="e">
        <f t="shared" ref="AG81:AG82" si="339">SUM(AE81/AA81)-1</f>
        <v>#DIV/0!</v>
      </c>
    </row>
    <row r="82" spans="2:33" ht="12.75" customHeight="1">
      <c r="B82" s="104" t="s">
        <v>144</v>
      </c>
      <c r="C82" s="76">
        <v>1244</v>
      </c>
      <c r="D82" s="76">
        <v>1744</v>
      </c>
      <c r="E82" s="76">
        <v>1394</v>
      </c>
      <c r="F82" s="76">
        <v>1310</v>
      </c>
      <c r="H82" s="105"/>
      <c r="I82" s="105"/>
      <c r="J82" s="105"/>
      <c r="K82" s="82">
        <f t="shared" si="326"/>
        <v>1744</v>
      </c>
      <c r="L82" s="105"/>
      <c r="M82" s="105"/>
      <c r="N82" s="105"/>
      <c r="O82" s="82">
        <f t="shared" si="327"/>
        <v>1394</v>
      </c>
      <c r="P82" s="105"/>
      <c r="Q82" s="105"/>
      <c r="R82" s="105"/>
      <c r="S82" s="30">
        <f t="shared" si="328"/>
        <v>1310</v>
      </c>
      <c r="T82" s="105"/>
      <c r="V82" s="30">
        <f t="shared" ref="V82" si="340">K82</f>
        <v>1744</v>
      </c>
      <c r="W82" s="30">
        <f t="shared" ref="W82" si="341">L82</f>
        <v>0</v>
      </c>
      <c r="X82" s="30">
        <f t="shared" ref="X82" si="342">M82</f>
        <v>0</v>
      </c>
      <c r="Y82" s="30">
        <f t="shared" ref="Y82" si="343">N82</f>
        <v>0</v>
      </c>
      <c r="Z82" s="30">
        <f t="shared" ref="Z82" si="344">O82</f>
        <v>1394</v>
      </c>
      <c r="AA82" s="30">
        <f t="shared" ref="AA82" si="345">P82</f>
        <v>0</v>
      </c>
      <c r="AB82" s="30">
        <f t="shared" ref="AB82" si="346">Q82</f>
        <v>0</v>
      </c>
      <c r="AC82" s="30">
        <f t="shared" ref="AC82" si="347">R82</f>
        <v>0</v>
      </c>
      <c r="AD82" s="30">
        <f t="shared" ref="AD82" si="348">S82</f>
        <v>1310</v>
      </c>
      <c r="AE82" s="30">
        <f t="shared" ref="AE82" si="349">T82</f>
        <v>0</v>
      </c>
      <c r="AF82" s="39"/>
      <c r="AG82" s="68" t="e">
        <f t="shared" si="339"/>
        <v>#DIV/0!</v>
      </c>
    </row>
    <row r="83" spans="2:33" ht="12.75" customHeight="1">
      <c r="B83" s="104" t="s">
        <v>150</v>
      </c>
      <c r="C83" s="76">
        <v>1946</v>
      </c>
      <c r="D83" s="76">
        <v>1458</v>
      </c>
      <c r="E83" s="76">
        <v>1337</v>
      </c>
      <c r="F83" s="76">
        <v>1226</v>
      </c>
      <c r="H83" s="105"/>
      <c r="I83" s="105"/>
      <c r="J83" s="105"/>
      <c r="K83" s="82">
        <f t="shared" ref="K83:K87" si="350">D83</f>
        <v>1458</v>
      </c>
      <c r="L83" s="105"/>
      <c r="M83" s="105"/>
      <c r="N83" s="105"/>
      <c r="O83" s="82">
        <f t="shared" ref="O83:O87" si="351">E83</f>
        <v>1337</v>
      </c>
      <c r="P83" s="105"/>
      <c r="Q83" s="105"/>
      <c r="R83" s="105"/>
      <c r="S83" s="30">
        <f t="shared" ref="S83:S87" si="352">F83</f>
        <v>1226</v>
      </c>
      <c r="T83" s="105"/>
      <c r="V83" s="30">
        <f t="shared" si="329"/>
        <v>1458</v>
      </c>
      <c r="W83" s="30">
        <f t="shared" si="330"/>
        <v>0</v>
      </c>
      <c r="X83" s="30">
        <f t="shared" si="331"/>
        <v>0</v>
      </c>
      <c r="Y83" s="30">
        <f t="shared" si="332"/>
        <v>0</v>
      </c>
      <c r="Z83" s="30">
        <f t="shared" si="333"/>
        <v>1337</v>
      </c>
      <c r="AA83" s="30">
        <f t="shared" si="334"/>
        <v>0</v>
      </c>
      <c r="AB83" s="30">
        <f t="shared" si="335"/>
        <v>0</v>
      </c>
      <c r="AC83" s="30">
        <f t="shared" si="336"/>
        <v>0</v>
      </c>
      <c r="AD83" s="30">
        <f t="shared" si="337"/>
        <v>1226</v>
      </c>
      <c r="AE83" s="30">
        <f t="shared" si="338"/>
        <v>0</v>
      </c>
      <c r="AF83" s="39"/>
      <c r="AG83" s="68" t="e">
        <f t="shared" ref="AG83:AG87" si="353">SUM(AE83/AA83)-1</f>
        <v>#DIV/0!</v>
      </c>
    </row>
    <row r="84" spans="2:33" ht="12.75" customHeight="1">
      <c r="B84" s="104" t="s">
        <v>151</v>
      </c>
      <c r="C84" s="76">
        <v>1063</v>
      </c>
      <c r="D84" s="76">
        <v>1077</v>
      </c>
      <c r="E84" s="76">
        <v>503</v>
      </c>
      <c r="F84" s="76">
        <v>34</v>
      </c>
      <c r="H84" s="105"/>
      <c r="I84" s="105"/>
      <c r="J84" s="105"/>
      <c r="K84" s="82">
        <f t="shared" si="350"/>
        <v>1077</v>
      </c>
      <c r="L84" s="105"/>
      <c r="M84" s="105"/>
      <c r="N84" s="105"/>
      <c r="O84" s="82">
        <f t="shared" si="351"/>
        <v>503</v>
      </c>
      <c r="P84" s="105"/>
      <c r="Q84" s="105"/>
      <c r="R84" s="105"/>
      <c r="S84" s="30">
        <f t="shared" si="352"/>
        <v>34</v>
      </c>
      <c r="T84" s="105"/>
      <c r="V84" s="30">
        <f t="shared" si="329"/>
        <v>1077</v>
      </c>
      <c r="W84" s="30">
        <f t="shared" si="330"/>
        <v>0</v>
      </c>
      <c r="X84" s="30">
        <f t="shared" si="331"/>
        <v>0</v>
      </c>
      <c r="Y84" s="30">
        <f t="shared" si="332"/>
        <v>0</v>
      </c>
      <c r="Z84" s="30">
        <f t="shared" si="333"/>
        <v>503</v>
      </c>
      <c r="AA84" s="30">
        <f t="shared" si="334"/>
        <v>0</v>
      </c>
      <c r="AB84" s="30">
        <f t="shared" si="335"/>
        <v>0</v>
      </c>
      <c r="AC84" s="30">
        <f t="shared" si="336"/>
        <v>0</v>
      </c>
      <c r="AD84" s="30">
        <f t="shared" si="337"/>
        <v>34</v>
      </c>
      <c r="AE84" s="30">
        <f t="shared" si="338"/>
        <v>0</v>
      </c>
      <c r="AF84" s="39"/>
      <c r="AG84" s="68" t="e">
        <f t="shared" si="353"/>
        <v>#DIV/0!</v>
      </c>
    </row>
    <row r="85" spans="2:33" ht="12.75" customHeight="1">
      <c r="B85" s="104" t="s">
        <v>152</v>
      </c>
      <c r="C85" s="76">
        <v>1598</v>
      </c>
      <c r="D85" s="76">
        <v>1428</v>
      </c>
      <c r="E85" s="76">
        <v>1256</v>
      </c>
      <c r="F85" s="76">
        <v>1048</v>
      </c>
      <c r="H85" s="105"/>
      <c r="I85" s="105"/>
      <c r="J85" s="105"/>
      <c r="K85" s="82">
        <f t="shared" si="350"/>
        <v>1428</v>
      </c>
      <c r="L85" s="105"/>
      <c r="M85" s="105"/>
      <c r="N85" s="105"/>
      <c r="O85" s="82">
        <f t="shared" si="351"/>
        <v>1256</v>
      </c>
      <c r="P85" s="105"/>
      <c r="Q85" s="105"/>
      <c r="R85" s="105"/>
      <c r="S85" s="30">
        <f t="shared" si="352"/>
        <v>1048</v>
      </c>
      <c r="T85" s="105"/>
      <c r="V85" s="30">
        <f t="shared" si="329"/>
        <v>1428</v>
      </c>
      <c r="W85" s="30">
        <f t="shared" si="330"/>
        <v>0</v>
      </c>
      <c r="X85" s="30">
        <f t="shared" si="331"/>
        <v>0</v>
      </c>
      <c r="Y85" s="30">
        <f t="shared" si="332"/>
        <v>0</v>
      </c>
      <c r="Z85" s="30">
        <f t="shared" si="333"/>
        <v>1256</v>
      </c>
      <c r="AA85" s="30">
        <f t="shared" si="334"/>
        <v>0</v>
      </c>
      <c r="AB85" s="30">
        <f t="shared" si="335"/>
        <v>0</v>
      </c>
      <c r="AC85" s="30">
        <f t="shared" si="336"/>
        <v>0</v>
      </c>
      <c r="AD85" s="30">
        <f t="shared" si="337"/>
        <v>1048</v>
      </c>
      <c r="AE85" s="30">
        <f t="shared" si="338"/>
        <v>0</v>
      </c>
      <c r="AF85" s="39"/>
      <c r="AG85" s="68" t="e">
        <f t="shared" si="353"/>
        <v>#DIV/0!</v>
      </c>
    </row>
    <row r="86" spans="2:33" ht="12.75" customHeight="1">
      <c r="B86" s="104" t="s">
        <v>153</v>
      </c>
      <c r="C86" s="76">
        <v>404</v>
      </c>
      <c r="D86" s="76">
        <v>367</v>
      </c>
      <c r="E86" s="76">
        <v>204</v>
      </c>
      <c r="F86" s="76">
        <v>260</v>
      </c>
      <c r="H86" s="105"/>
      <c r="I86" s="105"/>
      <c r="J86" s="105"/>
      <c r="K86" s="82">
        <f t="shared" si="350"/>
        <v>367</v>
      </c>
      <c r="L86" s="105"/>
      <c r="M86" s="105"/>
      <c r="N86" s="105"/>
      <c r="O86" s="82">
        <f t="shared" si="351"/>
        <v>204</v>
      </c>
      <c r="P86" s="105"/>
      <c r="Q86" s="105"/>
      <c r="R86" s="105"/>
      <c r="S86" s="30">
        <f t="shared" si="352"/>
        <v>260</v>
      </c>
      <c r="T86" s="105"/>
      <c r="V86" s="30">
        <f t="shared" si="329"/>
        <v>367</v>
      </c>
      <c r="W86" s="30">
        <f t="shared" si="330"/>
        <v>0</v>
      </c>
      <c r="X86" s="30">
        <f t="shared" si="331"/>
        <v>0</v>
      </c>
      <c r="Y86" s="30">
        <f t="shared" si="332"/>
        <v>0</v>
      </c>
      <c r="Z86" s="30">
        <f t="shared" si="333"/>
        <v>204</v>
      </c>
      <c r="AA86" s="30">
        <f t="shared" si="334"/>
        <v>0</v>
      </c>
      <c r="AB86" s="30">
        <f t="shared" si="335"/>
        <v>0</v>
      </c>
      <c r="AC86" s="30">
        <f t="shared" si="336"/>
        <v>0</v>
      </c>
      <c r="AD86" s="30">
        <f t="shared" si="337"/>
        <v>260</v>
      </c>
      <c r="AE86" s="30">
        <f t="shared" si="338"/>
        <v>0</v>
      </c>
      <c r="AF86" s="39"/>
      <c r="AG86" s="68" t="e">
        <f t="shared" si="353"/>
        <v>#DIV/0!</v>
      </c>
    </row>
    <row r="87" spans="2:33" ht="12.75" customHeight="1">
      <c r="B87" s="104" t="s">
        <v>154</v>
      </c>
      <c r="C87" s="76">
        <f>1898+213+107</f>
        <v>2218</v>
      </c>
      <c r="D87" s="76">
        <f>1715+200</f>
        <v>1915</v>
      </c>
      <c r="E87" s="76">
        <v>1542</v>
      </c>
      <c r="F87" s="76">
        <v>1380</v>
      </c>
      <c r="H87" s="105"/>
      <c r="I87" s="105"/>
      <c r="J87" s="105"/>
      <c r="K87" s="82">
        <f t="shared" si="350"/>
        <v>1915</v>
      </c>
      <c r="L87" s="105"/>
      <c r="M87" s="105"/>
      <c r="N87" s="105"/>
      <c r="O87" s="82">
        <f t="shared" si="351"/>
        <v>1542</v>
      </c>
      <c r="P87" s="105"/>
      <c r="Q87" s="105"/>
      <c r="R87" s="105"/>
      <c r="S87" s="30">
        <f t="shared" si="352"/>
        <v>1380</v>
      </c>
      <c r="T87" s="105"/>
      <c r="V87" s="30">
        <f t="shared" si="329"/>
        <v>1915</v>
      </c>
      <c r="W87" s="30">
        <f t="shared" si="330"/>
        <v>0</v>
      </c>
      <c r="X87" s="30">
        <f t="shared" si="331"/>
        <v>0</v>
      </c>
      <c r="Y87" s="30">
        <f t="shared" si="332"/>
        <v>0</v>
      </c>
      <c r="Z87" s="30">
        <f t="shared" si="333"/>
        <v>1542</v>
      </c>
      <c r="AA87" s="30">
        <f t="shared" si="334"/>
        <v>0</v>
      </c>
      <c r="AB87" s="30">
        <f t="shared" si="335"/>
        <v>0</v>
      </c>
      <c r="AC87" s="30">
        <f t="shared" si="336"/>
        <v>0</v>
      </c>
      <c r="AD87" s="30">
        <f t="shared" si="337"/>
        <v>1380</v>
      </c>
      <c r="AE87" s="30">
        <f t="shared" si="338"/>
        <v>0</v>
      </c>
      <c r="AF87" s="39"/>
      <c r="AG87" s="68" t="e">
        <f t="shared" si="353"/>
        <v>#DIV/0!</v>
      </c>
    </row>
    <row r="88" spans="2:33" ht="12.75" customHeight="1">
      <c r="B88" s="12" t="s">
        <v>15</v>
      </c>
      <c r="C88" s="13">
        <f>SUM(C81:C87)+C78</f>
        <v>35650</v>
      </c>
      <c r="D88" s="13">
        <f>SUM(D81:D87)+D78</f>
        <v>34787</v>
      </c>
      <c r="E88" s="13">
        <f>SUM(E81:E87)+E78</f>
        <v>30493</v>
      </c>
      <c r="F88" s="13">
        <f>SUM(F81:F87)+F78</f>
        <v>29390</v>
      </c>
      <c r="H88" s="13">
        <f t="shared" ref="H88:Q88" si="354">SUM(H81:H87)+H78</f>
        <v>0</v>
      </c>
      <c r="I88" s="13">
        <f t="shared" si="354"/>
        <v>0</v>
      </c>
      <c r="J88" s="13">
        <f t="shared" si="354"/>
        <v>0</v>
      </c>
      <c r="K88" s="13">
        <f t="shared" si="354"/>
        <v>34787</v>
      </c>
      <c r="L88" s="13">
        <f t="shared" si="354"/>
        <v>0</v>
      </c>
      <c r="M88" s="13">
        <f t="shared" si="354"/>
        <v>0</v>
      </c>
      <c r="N88" s="13">
        <f t="shared" si="354"/>
        <v>0</v>
      </c>
      <c r="O88" s="13">
        <f t="shared" si="354"/>
        <v>30493</v>
      </c>
      <c r="P88" s="13">
        <f t="shared" si="354"/>
        <v>0</v>
      </c>
      <c r="Q88" s="13">
        <f t="shared" si="354"/>
        <v>0</v>
      </c>
      <c r="R88" s="13">
        <f>SUM(R81:R87)+R78</f>
        <v>0</v>
      </c>
      <c r="S88" s="13">
        <f>SUM(S81:S87)+S78</f>
        <v>29390</v>
      </c>
      <c r="T88" s="13">
        <f>SUM(T81:T87)+T78</f>
        <v>0</v>
      </c>
      <c r="V88" s="13">
        <f t="shared" ref="V88:AE88" si="355">SUM(V81:V87)+V78</f>
        <v>34787</v>
      </c>
      <c r="W88" s="13">
        <f t="shared" si="355"/>
        <v>0</v>
      </c>
      <c r="X88" s="13">
        <f t="shared" si="355"/>
        <v>0</v>
      </c>
      <c r="Y88" s="13">
        <f t="shared" si="355"/>
        <v>0</v>
      </c>
      <c r="Z88" s="13">
        <f t="shared" si="355"/>
        <v>30493</v>
      </c>
      <c r="AA88" s="13">
        <f t="shared" si="355"/>
        <v>0</v>
      </c>
      <c r="AB88" s="13">
        <f t="shared" si="355"/>
        <v>0</v>
      </c>
      <c r="AC88" s="13">
        <f t="shared" si="355"/>
        <v>0</v>
      </c>
      <c r="AD88" s="13">
        <f t="shared" si="355"/>
        <v>29390</v>
      </c>
      <c r="AE88" s="13">
        <f t="shared" si="355"/>
        <v>0</v>
      </c>
      <c r="AF88" s="39"/>
      <c r="AG88" s="69" t="e">
        <f>SUM(AE88/AA88)-1</f>
        <v>#DIV/0!</v>
      </c>
    </row>
    <row r="89" spans="2:33" ht="5.0999999999999996" customHeight="1">
      <c r="B89" s="23"/>
      <c r="C89" s="46"/>
      <c r="D89" s="38"/>
      <c r="E89" s="38"/>
      <c r="F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6"/>
    </row>
    <row r="90" spans="2:33" ht="12.75" customHeight="1">
      <c r="B90" s="104" t="s">
        <v>155</v>
      </c>
      <c r="C90" s="76">
        <v>1</v>
      </c>
      <c r="D90" s="76">
        <v>1</v>
      </c>
      <c r="E90" s="76">
        <v>1</v>
      </c>
      <c r="F90" s="76">
        <v>1</v>
      </c>
      <c r="H90" s="105"/>
      <c r="I90" s="105"/>
      <c r="J90" s="105"/>
      <c r="K90" s="82">
        <f t="shared" ref="K90:K94" si="356">D90</f>
        <v>1</v>
      </c>
      <c r="L90" s="105"/>
      <c r="M90" s="105"/>
      <c r="N90" s="105"/>
      <c r="O90" s="82">
        <f t="shared" ref="O90:O94" si="357">E90</f>
        <v>1</v>
      </c>
      <c r="P90" s="105"/>
      <c r="Q90" s="105"/>
      <c r="R90" s="105"/>
      <c r="S90" s="30">
        <f t="shared" ref="S90:S94" si="358">F90</f>
        <v>1</v>
      </c>
      <c r="T90" s="105"/>
      <c r="V90" s="30">
        <f t="shared" ref="V90:V94" si="359">K90</f>
        <v>1</v>
      </c>
      <c r="W90" s="30">
        <f t="shared" ref="W90:W94" si="360">L90</f>
        <v>0</v>
      </c>
      <c r="X90" s="30">
        <f t="shared" ref="X90:X94" si="361">M90</f>
        <v>0</v>
      </c>
      <c r="Y90" s="30">
        <f t="shared" ref="Y90:Y94" si="362">N90</f>
        <v>0</v>
      </c>
      <c r="Z90" s="30">
        <f t="shared" ref="Z90:Z94" si="363">O90</f>
        <v>1</v>
      </c>
      <c r="AA90" s="30">
        <f t="shared" ref="AA90:AA94" si="364">P90</f>
        <v>0</v>
      </c>
      <c r="AB90" s="30">
        <f t="shared" ref="AB90:AB94" si="365">Q90</f>
        <v>0</v>
      </c>
      <c r="AC90" s="30">
        <f t="shared" ref="AC90:AC94" si="366">R90</f>
        <v>0</v>
      </c>
      <c r="AD90" s="30">
        <f t="shared" ref="AD90:AD94" si="367">S90</f>
        <v>1</v>
      </c>
      <c r="AE90" s="30">
        <f t="shared" ref="AE90:AE94" si="368">T90</f>
        <v>0</v>
      </c>
      <c r="AF90" s="11"/>
      <c r="AG90" s="68" t="e">
        <f t="shared" ref="AG90:AG94" si="369">SUM(AE90/AA90)-1</f>
        <v>#DIV/0!</v>
      </c>
    </row>
    <row r="91" spans="2:33" ht="12.75" customHeight="1">
      <c r="B91" s="104" t="s">
        <v>156</v>
      </c>
      <c r="C91" s="76">
        <v>32918</v>
      </c>
      <c r="D91" s="76">
        <v>33063</v>
      </c>
      <c r="E91" s="76">
        <v>33210</v>
      </c>
      <c r="F91" s="76">
        <v>33394</v>
      </c>
      <c r="H91" s="105"/>
      <c r="I91" s="105"/>
      <c r="J91" s="105"/>
      <c r="K91" s="82">
        <f t="shared" ref="K91:K93" si="370">D91</f>
        <v>33063</v>
      </c>
      <c r="L91" s="105"/>
      <c r="M91" s="105"/>
      <c r="N91" s="105"/>
      <c r="O91" s="82">
        <f t="shared" ref="O91:O93" si="371">E91</f>
        <v>33210</v>
      </c>
      <c r="P91" s="105"/>
      <c r="Q91" s="105"/>
      <c r="R91" s="105"/>
      <c r="S91" s="30">
        <f t="shared" ref="S91:S93" si="372">F91</f>
        <v>33394</v>
      </c>
      <c r="T91" s="105"/>
      <c r="V91" s="30">
        <f t="shared" ref="V91:V93" si="373">K91</f>
        <v>33063</v>
      </c>
      <c r="W91" s="30">
        <f t="shared" ref="W91:W93" si="374">L91</f>
        <v>0</v>
      </c>
      <c r="X91" s="30">
        <f t="shared" ref="X91:X93" si="375">M91</f>
        <v>0</v>
      </c>
      <c r="Y91" s="30">
        <f t="shared" ref="Y91:Y93" si="376">N91</f>
        <v>0</v>
      </c>
      <c r="Z91" s="30">
        <f t="shared" ref="Z91:Z93" si="377">O91</f>
        <v>33210</v>
      </c>
      <c r="AA91" s="30">
        <f t="shared" ref="AA91:AA93" si="378">P91</f>
        <v>0</v>
      </c>
      <c r="AB91" s="30">
        <f t="shared" ref="AB91:AB93" si="379">Q91</f>
        <v>0</v>
      </c>
      <c r="AC91" s="30">
        <f t="shared" ref="AC91:AC93" si="380">R91</f>
        <v>0</v>
      </c>
      <c r="AD91" s="30">
        <f t="shared" ref="AD91:AD93" si="381">S91</f>
        <v>33394</v>
      </c>
      <c r="AE91" s="30">
        <f t="shared" ref="AE91:AE93" si="382">T91</f>
        <v>0</v>
      </c>
      <c r="AF91" s="11"/>
      <c r="AG91" s="68" t="e">
        <f t="shared" ref="AG91:AG93" si="383">SUM(AE91/AA91)-1</f>
        <v>#DIV/0!</v>
      </c>
    </row>
    <row r="92" spans="2:33" ht="12.75" customHeight="1">
      <c r="B92" s="104" t="s">
        <v>186</v>
      </c>
      <c r="C92" s="76">
        <v>-22958</v>
      </c>
      <c r="D92" s="76">
        <v>-22958</v>
      </c>
      <c r="E92" s="76">
        <v>-22958</v>
      </c>
      <c r="F92" s="76">
        <v>-22958</v>
      </c>
      <c r="H92" s="105"/>
      <c r="I92" s="105"/>
      <c r="J92" s="105"/>
      <c r="K92" s="82">
        <f t="shared" si="370"/>
        <v>-22958</v>
      </c>
      <c r="L92" s="105"/>
      <c r="M92" s="105"/>
      <c r="N92" s="105"/>
      <c r="O92" s="82">
        <f t="shared" si="371"/>
        <v>-22958</v>
      </c>
      <c r="P92" s="105"/>
      <c r="Q92" s="105"/>
      <c r="R92" s="105"/>
      <c r="S92" s="30">
        <f t="shared" si="372"/>
        <v>-22958</v>
      </c>
      <c r="T92" s="105"/>
      <c r="V92" s="30">
        <f t="shared" si="373"/>
        <v>-22958</v>
      </c>
      <c r="W92" s="30">
        <f t="shared" si="374"/>
        <v>0</v>
      </c>
      <c r="X92" s="30">
        <f t="shared" si="375"/>
        <v>0</v>
      </c>
      <c r="Y92" s="30">
        <f t="shared" si="376"/>
        <v>0</v>
      </c>
      <c r="Z92" s="30">
        <f t="shared" si="377"/>
        <v>-22958</v>
      </c>
      <c r="AA92" s="30">
        <f t="shared" si="378"/>
        <v>0</v>
      </c>
      <c r="AB92" s="30">
        <f t="shared" si="379"/>
        <v>0</v>
      </c>
      <c r="AC92" s="30">
        <f t="shared" si="380"/>
        <v>0</v>
      </c>
      <c r="AD92" s="30">
        <f t="shared" si="381"/>
        <v>-22958</v>
      </c>
      <c r="AE92" s="30">
        <f t="shared" si="382"/>
        <v>0</v>
      </c>
      <c r="AF92" s="11"/>
      <c r="AG92" s="68" t="e">
        <f t="shared" si="383"/>
        <v>#DIV/0!</v>
      </c>
    </row>
    <row r="93" spans="2:33" ht="12.75" customHeight="1">
      <c r="B93" s="104" t="s">
        <v>157</v>
      </c>
      <c r="C93" s="76">
        <v>14343</v>
      </c>
      <c r="D93" s="76">
        <v>14737</v>
      </c>
      <c r="E93" s="76">
        <v>13829</v>
      </c>
      <c r="F93" s="76">
        <v>7487</v>
      </c>
      <c r="H93" s="105"/>
      <c r="I93" s="105"/>
      <c r="J93" s="105"/>
      <c r="K93" s="82">
        <f t="shared" si="370"/>
        <v>14737</v>
      </c>
      <c r="L93" s="105"/>
      <c r="M93" s="105"/>
      <c r="N93" s="105"/>
      <c r="O93" s="82">
        <f t="shared" si="371"/>
        <v>13829</v>
      </c>
      <c r="P93" s="105"/>
      <c r="Q93" s="105"/>
      <c r="R93" s="105"/>
      <c r="S93" s="30">
        <f t="shared" si="372"/>
        <v>7487</v>
      </c>
      <c r="T93" s="105"/>
      <c r="V93" s="30">
        <f t="shared" si="373"/>
        <v>14737</v>
      </c>
      <c r="W93" s="30">
        <f t="shared" si="374"/>
        <v>0</v>
      </c>
      <c r="X93" s="30">
        <f t="shared" si="375"/>
        <v>0</v>
      </c>
      <c r="Y93" s="30">
        <f t="shared" si="376"/>
        <v>0</v>
      </c>
      <c r="Z93" s="30">
        <f t="shared" si="377"/>
        <v>13829</v>
      </c>
      <c r="AA93" s="30">
        <f t="shared" si="378"/>
        <v>0</v>
      </c>
      <c r="AB93" s="30">
        <f t="shared" si="379"/>
        <v>0</v>
      </c>
      <c r="AC93" s="30">
        <f t="shared" si="380"/>
        <v>0</v>
      </c>
      <c r="AD93" s="30">
        <f t="shared" si="381"/>
        <v>7487</v>
      </c>
      <c r="AE93" s="30">
        <f t="shared" si="382"/>
        <v>0</v>
      </c>
      <c r="AF93" s="11"/>
      <c r="AG93" s="68" t="e">
        <f t="shared" si="383"/>
        <v>#DIV/0!</v>
      </c>
    </row>
    <row r="94" spans="2:33" ht="12.75" customHeight="1">
      <c r="B94" s="104" t="s">
        <v>158</v>
      </c>
      <c r="C94" s="76">
        <v>-1902</v>
      </c>
      <c r="D94" s="76">
        <v>-1807</v>
      </c>
      <c r="E94" s="76">
        <v>-1556</v>
      </c>
      <c r="F94" s="76">
        <v>-1604</v>
      </c>
      <c r="H94" s="105"/>
      <c r="I94" s="105"/>
      <c r="J94" s="105"/>
      <c r="K94" s="82">
        <f t="shared" si="356"/>
        <v>-1807</v>
      </c>
      <c r="L94" s="105"/>
      <c r="M94" s="105"/>
      <c r="N94" s="105"/>
      <c r="O94" s="82">
        <f t="shared" si="357"/>
        <v>-1556</v>
      </c>
      <c r="P94" s="105"/>
      <c r="Q94" s="105"/>
      <c r="R94" s="105"/>
      <c r="S94" s="30">
        <f t="shared" si="358"/>
        <v>-1604</v>
      </c>
      <c r="T94" s="105"/>
      <c r="V94" s="30">
        <f t="shared" si="359"/>
        <v>-1807</v>
      </c>
      <c r="W94" s="30">
        <f t="shared" si="360"/>
        <v>0</v>
      </c>
      <c r="X94" s="30">
        <f t="shared" si="361"/>
        <v>0</v>
      </c>
      <c r="Y94" s="30">
        <f t="shared" si="362"/>
        <v>0</v>
      </c>
      <c r="Z94" s="30">
        <f t="shared" si="363"/>
        <v>-1556</v>
      </c>
      <c r="AA94" s="30">
        <f t="shared" si="364"/>
        <v>0</v>
      </c>
      <c r="AB94" s="30">
        <f t="shared" si="365"/>
        <v>0</v>
      </c>
      <c r="AC94" s="30">
        <f t="shared" si="366"/>
        <v>0</v>
      </c>
      <c r="AD94" s="30">
        <f t="shared" si="367"/>
        <v>-1604</v>
      </c>
      <c r="AE94" s="30">
        <f t="shared" si="368"/>
        <v>0</v>
      </c>
      <c r="AF94" s="11"/>
      <c r="AG94" s="68" t="e">
        <f t="shared" si="369"/>
        <v>#DIV/0!</v>
      </c>
    </row>
    <row r="95" spans="2:33" ht="12.75" customHeight="1">
      <c r="B95" s="12" t="s">
        <v>159</v>
      </c>
      <c r="C95" s="13">
        <f>SUM(C90:C94)</f>
        <v>22402</v>
      </c>
      <c r="D95" s="13">
        <f>SUM(D90:D94)</f>
        <v>23036</v>
      </c>
      <c r="E95" s="13">
        <f>SUM(E90:E94)</f>
        <v>22526</v>
      </c>
      <c r="F95" s="13">
        <f>SUM(F90:F94)</f>
        <v>16320</v>
      </c>
      <c r="G95" s="48"/>
      <c r="H95" s="13">
        <f>SUM(H90:H94)</f>
        <v>0</v>
      </c>
      <c r="I95" s="13">
        <f>SUM(I90:I94)</f>
        <v>0</v>
      </c>
      <c r="J95" s="13">
        <f>SUM(J90:J94)</f>
        <v>0</v>
      </c>
      <c r="K95" s="13">
        <f>SUM(K90:K94)</f>
        <v>23036</v>
      </c>
      <c r="L95" s="13">
        <f>SUM(L90:L94)</f>
        <v>0</v>
      </c>
      <c r="M95" s="13">
        <f>SUM(M90:M94)</f>
        <v>0</v>
      </c>
      <c r="N95" s="13">
        <f>SUM(N90:N94)</f>
        <v>0</v>
      </c>
      <c r="O95" s="13">
        <f>SUM(O90:O94)</f>
        <v>22526</v>
      </c>
      <c r="P95" s="13">
        <f>SUM(P90:P94)</f>
        <v>0</v>
      </c>
      <c r="Q95" s="13">
        <f>SUM(Q90:Q94)</f>
        <v>0</v>
      </c>
      <c r="R95" s="13">
        <f>SUM(R90:R94)</f>
        <v>0</v>
      </c>
      <c r="S95" s="13">
        <f>SUM(S90:S94)</f>
        <v>16320</v>
      </c>
      <c r="T95" s="13">
        <f>SUM(T90:T94)</f>
        <v>0</v>
      </c>
      <c r="V95" s="13">
        <f>SUM(V90:V94)</f>
        <v>23036</v>
      </c>
      <c r="W95" s="13">
        <f>SUM(W90:W94)</f>
        <v>0</v>
      </c>
      <c r="X95" s="13">
        <f>SUM(X90:X94)</f>
        <v>0</v>
      </c>
      <c r="Y95" s="13">
        <f>SUM(Y90:Y94)</f>
        <v>0</v>
      </c>
      <c r="Z95" s="13">
        <f>SUM(Z90:Z94)</f>
        <v>22526</v>
      </c>
      <c r="AA95" s="13">
        <f>SUM(AA90:AA94)</f>
        <v>0</v>
      </c>
      <c r="AB95" s="13">
        <f>SUM(AB90:AB94)</f>
        <v>0</v>
      </c>
      <c r="AC95" s="13">
        <f>SUM(AC90:AC94)</f>
        <v>0</v>
      </c>
      <c r="AD95" s="13">
        <f>SUM(AD90:AD94)</f>
        <v>16320</v>
      </c>
      <c r="AE95" s="13">
        <f>SUM(AE90:AE94)</f>
        <v>0</v>
      </c>
      <c r="AF95" s="39"/>
      <c r="AG95" s="69" t="e">
        <f>SUM(AE95/AA95)-1</f>
        <v>#DIV/0!</v>
      </c>
    </row>
    <row r="96" spans="2:33" s="155" customFormat="1" ht="5.0999999999999996" customHeight="1">
      <c r="B96" s="156"/>
      <c r="C96" s="157"/>
      <c r="D96" s="157"/>
      <c r="E96" s="157"/>
      <c r="F96" s="157"/>
      <c r="G96" s="160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F96" s="158"/>
      <c r="AG96" s="159"/>
    </row>
    <row r="97" spans="1:33" s="155" customFormat="1" ht="12.75" customHeight="1">
      <c r="B97" s="104" t="s">
        <v>160</v>
      </c>
      <c r="C97" s="76">
        <f>568</f>
        <v>568</v>
      </c>
      <c r="D97" s="76">
        <v>570</v>
      </c>
      <c r="E97" s="76">
        <v>524</v>
      </c>
      <c r="F97" s="76">
        <v>462</v>
      </c>
      <c r="G97" s="160"/>
      <c r="H97" s="105"/>
      <c r="I97" s="105"/>
      <c r="J97" s="105"/>
      <c r="K97" s="82">
        <f t="shared" ref="K97" si="384">D97</f>
        <v>570</v>
      </c>
      <c r="L97" s="105"/>
      <c r="M97" s="105"/>
      <c r="N97" s="105"/>
      <c r="O97" s="82">
        <f t="shared" ref="O97" si="385">E97</f>
        <v>524</v>
      </c>
      <c r="P97" s="105"/>
      <c r="Q97" s="105"/>
      <c r="R97" s="105"/>
      <c r="S97" s="30">
        <f t="shared" ref="S97" si="386">F97</f>
        <v>462</v>
      </c>
      <c r="T97" s="105"/>
      <c r="V97" s="30">
        <f t="shared" ref="V97" si="387">K97</f>
        <v>570</v>
      </c>
      <c r="W97" s="30">
        <f t="shared" ref="W97" si="388">L97</f>
        <v>0</v>
      </c>
      <c r="X97" s="30">
        <f t="shared" ref="X97" si="389">M97</f>
        <v>0</v>
      </c>
      <c r="Y97" s="30">
        <f t="shared" ref="Y97" si="390">N97</f>
        <v>0</v>
      </c>
      <c r="Z97" s="30">
        <f t="shared" ref="Z97" si="391">O97</f>
        <v>524</v>
      </c>
      <c r="AA97" s="30">
        <f t="shared" ref="AA97" si="392">P97</f>
        <v>0</v>
      </c>
      <c r="AB97" s="30">
        <f t="shared" ref="AB97" si="393">Q97</f>
        <v>0</v>
      </c>
      <c r="AC97" s="30">
        <f t="shared" ref="AC97" si="394">R97</f>
        <v>0</v>
      </c>
      <c r="AD97" s="30">
        <f t="shared" ref="AD97" si="395">S97</f>
        <v>462</v>
      </c>
      <c r="AE97" s="30">
        <f t="shared" ref="AE97" si="396">T97</f>
        <v>0</v>
      </c>
      <c r="AF97" s="158"/>
      <c r="AG97" s="159"/>
    </row>
    <row r="98" spans="1:33" s="155" customFormat="1" ht="12.75" customHeight="1">
      <c r="B98" s="12" t="s">
        <v>161</v>
      </c>
      <c r="C98" s="13">
        <f t="shared" ref="C98:E98" si="397">SUM(C95+C97)</f>
        <v>22970</v>
      </c>
      <c r="D98" s="13">
        <f t="shared" si="397"/>
        <v>23606</v>
      </c>
      <c r="E98" s="13">
        <f t="shared" si="397"/>
        <v>23050</v>
      </c>
      <c r="F98" s="13">
        <f>SUM(F95+F97)</f>
        <v>16782</v>
      </c>
      <c r="G98" s="160"/>
      <c r="H98" s="13">
        <f>SUM(H95+H97)</f>
        <v>0</v>
      </c>
      <c r="I98" s="13">
        <f t="shared" ref="I98:V98" si="398">SUM(I95+I97)</f>
        <v>0</v>
      </c>
      <c r="J98" s="13">
        <f t="shared" si="398"/>
        <v>0</v>
      </c>
      <c r="K98" s="13">
        <f t="shared" si="398"/>
        <v>23606</v>
      </c>
      <c r="L98" s="13">
        <f t="shared" si="398"/>
        <v>0</v>
      </c>
      <c r="M98" s="13">
        <f t="shared" si="398"/>
        <v>0</v>
      </c>
      <c r="N98" s="13">
        <f t="shared" si="398"/>
        <v>0</v>
      </c>
      <c r="O98" s="13">
        <f t="shared" si="398"/>
        <v>23050</v>
      </c>
      <c r="P98" s="13">
        <f t="shared" si="398"/>
        <v>0</v>
      </c>
      <c r="Q98" s="13">
        <f t="shared" si="398"/>
        <v>0</v>
      </c>
      <c r="R98" s="13">
        <f t="shared" si="398"/>
        <v>0</v>
      </c>
      <c r="S98" s="13">
        <f t="shared" si="398"/>
        <v>16782</v>
      </c>
      <c r="T98" s="13">
        <f t="shared" si="398"/>
        <v>0</v>
      </c>
      <c r="V98" s="13">
        <f t="shared" si="398"/>
        <v>23606</v>
      </c>
      <c r="W98" s="13">
        <f t="shared" ref="W98" si="399">SUM(W95+W97)</f>
        <v>0</v>
      </c>
      <c r="X98" s="13">
        <f t="shared" ref="X98" si="400">SUM(X95+X97)</f>
        <v>0</v>
      </c>
      <c r="Y98" s="13">
        <f t="shared" ref="Y98" si="401">SUM(Y95+Y97)</f>
        <v>0</v>
      </c>
      <c r="Z98" s="13">
        <f t="shared" ref="Z98" si="402">SUM(Z95+Z97)</f>
        <v>23050</v>
      </c>
      <c r="AA98" s="13">
        <f t="shared" ref="AA98" si="403">SUM(AA95+AA97)</f>
        <v>0</v>
      </c>
      <c r="AB98" s="13">
        <f t="shared" ref="AB98" si="404">SUM(AB95+AB97)</f>
        <v>0</v>
      </c>
      <c r="AC98" s="13">
        <f t="shared" ref="AC98" si="405">SUM(AC95+AC97)</f>
        <v>0</v>
      </c>
      <c r="AD98" s="13">
        <f t="shared" ref="AD98" si="406">SUM(AD95+AD97)</f>
        <v>16782</v>
      </c>
      <c r="AE98" s="13">
        <f t="shared" ref="AE98" si="407">SUM(AE95+AE97)</f>
        <v>0</v>
      </c>
      <c r="AF98" s="158"/>
      <c r="AG98" s="159"/>
    </row>
    <row r="99" spans="1:33" ht="12.75" customHeight="1">
      <c r="B99" s="23" t="s">
        <v>49</v>
      </c>
      <c r="C99" s="161">
        <f t="shared" ref="C99:E99" si="408">SUM(C98+C88)</f>
        <v>58620</v>
      </c>
      <c r="D99" s="161">
        <f t="shared" si="408"/>
        <v>58393</v>
      </c>
      <c r="E99" s="161">
        <f t="shared" si="408"/>
        <v>53543</v>
      </c>
      <c r="F99" s="161">
        <f>SUM(F98+F88)</f>
        <v>46172</v>
      </c>
      <c r="G99" s="30"/>
      <c r="H99" s="161">
        <f>SUM(H98+H88)</f>
        <v>0</v>
      </c>
      <c r="I99" s="161">
        <f t="shared" ref="I99:T99" si="409">SUM(I98+I88)</f>
        <v>0</v>
      </c>
      <c r="J99" s="161">
        <f t="shared" si="409"/>
        <v>0</v>
      </c>
      <c r="K99" s="161">
        <f t="shared" si="409"/>
        <v>58393</v>
      </c>
      <c r="L99" s="161">
        <f t="shared" si="409"/>
        <v>0</v>
      </c>
      <c r="M99" s="161">
        <f t="shared" si="409"/>
        <v>0</v>
      </c>
      <c r="N99" s="161">
        <f t="shared" si="409"/>
        <v>0</v>
      </c>
      <c r="O99" s="161">
        <f t="shared" si="409"/>
        <v>53543</v>
      </c>
      <c r="P99" s="161">
        <f t="shared" si="409"/>
        <v>0</v>
      </c>
      <c r="Q99" s="161">
        <f t="shared" si="409"/>
        <v>0</v>
      </c>
      <c r="R99" s="161">
        <f t="shared" si="409"/>
        <v>0</v>
      </c>
      <c r="S99" s="161">
        <f t="shared" si="409"/>
        <v>46172</v>
      </c>
      <c r="T99" s="161">
        <f t="shared" si="409"/>
        <v>0</v>
      </c>
      <c r="U99" s="30"/>
      <c r="V99" s="161">
        <f t="shared" ref="V99" si="410">SUM(V98+V88)</f>
        <v>58393</v>
      </c>
      <c r="W99" s="161">
        <f t="shared" ref="W99" si="411">SUM(W98+W88)</f>
        <v>0</v>
      </c>
      <c r="X99" s="161">
        <f t="shared" ref="X99" si="412">SUM(X98+X88)</f>
        <v>0</v>
      </c>
      <c r="Y99" s="161">
        <f t="shared" ref="Y99" si="413">SUM(Y98+Y88)</f>
        <v>0</v>
      </c>
      <c r="Z99" s="161">
        <f t="shared" ref="Z99" si="414">SUM(Z98+Z88)</f>
        <v>53543</v>
      </c>
      <c r="AA99" s="161">
        <f t="shared" ref="AA99" si="415">SUM(AA98+AA88)</f>
        <v>0</v>
      </c>
      <c r="AB99" s="161">
        <f t="shared" ref="AB99" si="416">SUM(AB98+AB88)</f>
        <v>0</v>
      </c>
      <c r="AC99" s="161">
        <f t="shared" ref="AC99" si="417">SUM(AC98+AC88)</f>
        <v>0</v>
      </c>
      <c r="AD99" s="161">
        <f t="shared" ref="AD99" si="418">SUM(AD98+AD88)</f>
        <v>46172</v>
      </c>
      <c r="AE99" s="161">
        <f t="shared" ref="AE99" si="419">SUM(AE98+AE88)</f>
        <v>0</v>
      </c>
      <c r="AF99" s="11"/>
      <c r="AG99" s="69" t="e">
        <f>SUM(AE99/AA99)-1</f>
        <v>#DIV/0!</v>
      </c>
    </row>
    <row r="100" spans="1:33" ht="5.0999999999999996" customHeight="1">
      <c r="B100" s="23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11"/>
    </row>
    <row r="101" spans="1:33" ht="12.75" customHeight="1">
      <c r="B101" s="62" t="s">
        <v>59</v>
      </c>
      <c r="C101" s="63">
        <f>C99-C68</f>
        <v>0</v>
      </c>
      <c r="D101" s="63">
        <f>D99-D68</f>
        <v>0</v>
      </c>
      <c r="E101" s="63">
        <f>E99-E68</f>
        <v>0</v>
      </c>
      <c r="F101" s="63">
        <f>F99-F68</f>
        <v>0</v>
      </c>
      <c r="G101" s="64"/>
      <c r="H101" s="63">
        <f>H99-H68</f>
        <v>0</v>
      </c>
      <c r="I101" s="63">
        <f>I99-I68</f>
        <v>0</v>
      </c>
      <c r="J101" s="63">
        <f>J99-J68</f>
        <v>0</v>
      </c>
      <c r="K101" s="63">
        <f>K99-K68</f>
        <v>0</v>
      </c>
      <c r="L101" s="63">
        <f>L99-L68</f>
        <v>0</v>
      </c>
      <c r="M101" s="63">
        <f>M99-M68</f>
        <v>0</v>
      </c>
      <c r="N101" s="63">
        <f>N99-N68</f>
        <v>0</v>
      </c>
      <c r="O101" s="63">
        <f>O99-O68</f>
        <v>0</v>
      </c>
      <c r="P101" s="63">
        <f>P99-P68</f>
        <v>0</v>
      </c>
      <c r="Q101" s="63">
        <f>Q99-Q68</f>
        <v>0</v>
      </c>
      <c r="R101" s="63">
        <f>R99-R68</f>
        <v>0</v>
      </c>
      <c r="S101" s="63">
        <f>S99-S68</f>
        <v>0</v>
      </c>
      <c r="T101" s="63">
        <f>T99-T68</f>
        <v>0</v>
      </c>
      <c r="U101" s="26"/>
      <c r="V101" s="63">
        <f t="shared" ref="V101:AE101" si="420">V99-V68</f>
        <v>0</v>
      </c>
      <c r="W101" s="63">
        <f t="shared" si="420"/>
        <v>0</v>
      </c>
      <c r="X101" s="63">
        <f t="shared" si="420"/>
        <v>0</v>
      </c>
      <c r="Y101" s="63">
        <f t="shared" si="420"/>
        <v>0</v>
      </c>
      <c r="Z101" s="63">
        <f t="shared" si="420"/>
        <v>0</v>
      </c>
      <c r="AA101" s="63">
        <f t="shared" si="420"/>
        <v>0</v>
      </c>
      <c r="AB101" s="63">
        <f t="shared" si="420"/>
        <v>0</v>
      </c>
      <c r="AC101" s="63">
        <f t="shared" si="420"/>
        <v>0</v>
      </c>
      <c r="AD101" s="63">
        <f t="shared" si="420"/>
        <v>0</v>
      </c>
      <c r="AE101" s="63">
        <f t="shared" si="420"/>
        <v>0</v>
      </c>
    </row>
    <row r="102" spans="1:33" ht="5.0999999999999996" customHeight="1" thickBot="1">
      <c r="B102" s="100"/>
      <c r="C102" s="101"/>
      <c r="D102" s="101"/>
      <c r="E102" s="101"/>
      <c r="F102" s="101"/>
      <c r="G102" s="102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3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66"/>
      <c r="AG102" s="66"/>
    </row>
    <row r="103" spans="1:33">
      <c r="B103" s="61"/>
      <c r="C103" s="22"/>
      <c r="D103" s="22"/>
      <c r="E103" s="22"/>
      <c r="F103" s="22"/>
      <c r="G103" s="49"/>
    </row>
    <row r="104" spans="1:33" ht="12.75" customHeight="1">
      <c r="A104" s="5" t="s">
        <v>16</v>
      </c>
      <c r="B104" s="83" t="s">
        <v>14</v>
      </c>
      <c r="C104" s="87" t="s">
        <v>0</v>
      </c>
      <c r="D104" s="87"/>
      <c r="E104" s="87"/>
      <c r="F104" s="87"/>
      <c r="G104" s="88"/>
      <c r="H104" s="87"/>
      <c r="I104" s="87"/>
      <c r="J104" s="87"/>
      <c r="K104" s="87"/>
      <c r="L104" s="87"/>
      <c r="M104" s="87"/>
      <c r="N104" s="87" t="s">
        <v>1</v>
      </c>
      <c r="O104" s="87"/>
      <c r="P104" s="87"/>
      <c r="Q104" s="87"/>
      <c r="R104" s="87"/>
      <c r="S104" s="87"/>
      <c r="T104" s="87"/>
      <c r="U104" s="83"/>
      <c r="V104" s="87"/>
      <c r="W104" s="87"/>
      <c r="X104" s="87"/>
      <c r="Y104" s="87"/>
      <c r="Z104" s="87"/>
      <c r="AA104" s="87" t="s">
        <v>10</v>
      </c>
      <c r="AB104" s="87"/>
      <c r="AC104" s="87"/>
      <c r="AD104" s="87"/>
      <c r="AE104" s="87"/>
      <c r="AF104" s="88"/>
      <c r="AG104" s="153" t="s">
        <v>22</v>
      </c>
    </row>
    <row r="105" spans="1:33" ht="12.75" customHeight="1">
      <c r="B105" s="84" t="str">
        <f>B7</f>
        <v>Fiscal Period</v>
      </c>
      <c r="C105" s="89">
        <f>C7</f>
        <v>2021</v>
      </c>
      <c r="D105" s="89">
        <f>D7</f>
        <v>2022</v>
      </c>
      <c r="E105" s="89">
        <f>E7</f>
        <v>2023</v>
      </c>
      <c r="F105" s="89">
        <f>F7</f>
        <v>2024</v>
      </c>
      <c r="G105" s="88"/>
      <c r="H105" s="89" t="str">
        <f>H7</f>
        <v>1Q23</v>
      </c>
      <c r="I105" s="89" t="str">
        <f>I7</f>
        <v>2Q23</v>
      </c>
      <c r="J105" s="89" t="str">
        <f>J7</f>
        <v>3Q23</v>
      </c>
      <c r="K105" s="89" t="str">
        <f>K7</f>
        <v>4Q23</v>
      </c>
      <c r="L105" s="89" t="str">
        <f>L7</f>
        <v>1Q24</v>
      </c>
      <c r="M105" s="89" t="str">
        <f>M7</f>
        <v>2Q24</v>
      </c>
      <c r="N105" s="89" t="str">
        <f>N7</f>
        <v>3Q24</v>
      </c>
      <c r="O105" s="89" t="str">
        <f>O7</f>
        <v>4Q24</v>
      </c>
      <c r="P105" s="89" t="str">
        <f>P7</f>
        <v>1Q25</v>
      </c>
      <c r="Q105" s="89" t="str">
        <f>Q7</f>
        <v>2Q25</v>
      </c>
      <c r="R105" s="89" t="str">
        <f>R7</f>
        <v>3Q25</v>
      </c>
      <c r="S105" s="89" t="str">
        <f>S7</f>
        <v>4Q25</v>
      </c>
      <c r="T105" s="89" t="str">
        <f>T7</f>
        <v>1Q26</v>
      </c>
      <c r="U105" s="89"/>
      <c r="V105" s="89" t="str">
        <f>V7</f>
        <v>4Q23</v>
      </c>
      <c r="W105" s="89" t="str">
        <f>W7</f>
        <v>1Q24</v>
      </c>
      <c r="X105" s="89" t="str">
        <f>X7</f>
        <v>2Q24</v>
      </c>
      <c r="Y105" s="89" t="str">
        <f>Y7</f>
        <v>3Q24</v>
      </c>
      <c r="Z105" s="89" t="str">
        <f>Z7</f>
        <v>4Q24</v>
      </c>
      <c r="AA105" s="89" t="str">
        <f>AA7</f>
        <v>1Q25</v>
      </c>
      <c r="AB105" s="89" t="str">
        <f>AB7</f>
        <v>2Q25</v>
      </c>
      <c r="AC105" s="89" t="str">
        <f>AC7</f>
        <v>3Q25</v>
      </c>
      <c r="AD105" s="89" t="str">
        <f>AD7</f>
        <v>4Q25</v>
      </c>
      <c r="AE105" s="89" t="str">
        <f>AE7</f>
        <v>1Q26</v>
      </c>
      <c r="AF105" s="88"/>
      <c r="AG105" s="153"/>
    </row>
    <row r="106" spans="1:33" ht="12.75" customHeight="1">
      <c r="B106" s="84" t="str">
        <f>B8</f>
        <v>Fiscal Period End Date</v>
      </c>
      <c r="C106" s="90">
        <f>C8</f>
        <v>44561</v>
      </c>
      <c r="D106" s="90">
        <f>D8</f>
        <v>44926</v>
      </c>
      <c r="E106" s="90">
        <f>E8</f>
        <v>45291</v>
      </c>
      <c r="F106" s="90">
        <f>F8</f>
        <v>45657</v>
      </c>
      <c r="G106" s="88"/>
      <c r="H106" s="90" t="str">
        <f>H8</f>
        <v>XXX</v>
      </c>
      <c r="I106" s="90" t="str">
        <f>I8</f>
        <v>XXX</v>
      </c>
      <c r="J106" s="90" t="str">
        <f>J8</f>
        <v>XXX</v>
      </c>
      <c r="K106" s="90">
        <f>K8</f>
        <v>44926</v>
      </c>
      <c r="L106" s="90" t="str">
        <f>L8</f>
        <v>XXX</v>
      </c>
      <c r="M106" s="90" t="str">
        <f>M8</f>
        <v>XXX</v>
      </c>
      <c r="N106" s="90" t="str">
        <f>N8</f>
        <v>XXX</v>
      </c>
      <c r="O106" s="90">
        <f>O8</f>
        <v>45291</v>
      </c>
      <c r="P106" s="90" t="str">
        <f>P8</f>
        <v>XXX</v>
      </c>
      <c r="Q106" s="90" t="str">
        <f>Q8</f>
        <v>XXX</v>
      </c>
      <c r="R106" s="90" t="str">
        <f>R8</f>
        <v>XXX</v>
      </c>
      <c r="S106" s="90">
        <f>S8</f>
        <v>45657</v>
      </c>
      <c r="T106" s="90" t="str">
        <f>T8</f>
        <v>XXX</v>
      </c>
      <c r="U106" s="90"/>
      <c r="V106" s="90">
        <f>V8</f>
        <v>44926</v>
      </c>
      <c r="W106" s="90" t="str">
        <f>W8</f>
        <v>XXX</v>
      </c>
      <c r="X106" s="90" t="str">
        <f>X8</f>
        <v>XXX</v>
      </c>
      <c r="Y106" s="90" t="str">
        <f>Y8</f>
        <v>XXX</v>
      </c>
      <c r="Z106" s="90">
        <f>Z8</f>
        <v>45291</v>
      </c>
      <c r="AA106" s="90" t="str">
        <f>AA8</f>
        <v>XXX</v>
      </c>
      <c r="AB106" s="90" t="str">
        <f>AB8</f>
        <v>XXX</v>
      </c>
      <c r="AC106" s="90" t="str">
        <f>AC8</f>
        <v>XXX</v>
      </c>
      <c r="AD106" s="90">
        <f>AD8</f>
        <v>45657</v>
      </c>
      <c r="AE106" s="90" t="str">
        <f>AE8</f>
        <v>XXX</v>
      </c>
      <c r="AF106" s="88"/>
      <c r="AG106" s="153"/>
    </row>
    <row r="107" spans="1:33" ht="5.0999999999999996" customHeight="1">
      <c r="B107" s="50"/>
      <c r="C107" s="44"/>
      <c r="D107" s="44"/>
      <c r="E107" s="44"/>
      <c r="F107" s="44"/>
    </row>
    <row r="108" spans="1:33" ht="12.75" customHeight="1">
      <c r="B108" s="51" t="s">
        <v>50</v>
      </c>
      <c r="C108" s="52"/>
      <c r="D108" s="52"/>
      <c r="E108" s="52"/>
      <c r="F108" s="52"/>
    </row>
    <row r="109" spans="1:33" ht="12.75" customHeight="1">
      <c r="B109" s="53" t="s">
        <v>125</v>
      </c>
      <c r="C109" s="30">
        <f t="shared" ref="C109:F109" si="421">C33</f>
        <v>4469</v>
      </c>
      <c r="D109" s="30">
        <f t="shared" si="421"/>
        <v>835</v>
      </c>
      <c r="E109" s="30">
        <f t="shared" si="421"/>
        <v>-1252</v>
      </c>
      <c r="F109" s="30">
        <f>F33</f>
        <v>-6163</v>
      </c>
      <c r="G109" s="30"/>
      <c r="H109" s="30">
        <f t="shared" ref="H109:T109" si="422">H33</f>
        <v>0</v>
      </c>
      <c r="I109" s="30">
        <f t="shared" si="422"/>
        <v>0</v>
      </c>
      <c r="J109" s="30">
        <f t="shared" si="422"/>
        <v>0</v>
      </c>
      <c r="K109" s="30">
        <f t="shared" si="422"/>
        <v>835</v>
      </c>
      <c r="L109" s="30">
        <f t="shared" si="422"/>
        <v>0</v>
      </c>
      <c r="M109" s="30">
        <f t="shared" si="422"/>
        <v>0</v>
      </c>
      <c r="N109" s="30">
        <f t="shared" si="422"/>
        <v>0</v>
      </c>
      <c r="O109" s="30">
        <f t="shared" si="422"/>
        <v>-1252</v>
      </c>
      <c r="P109" s="30">
        <f t="shared" si="422"/>
        <v>0</v>
      </c>
      <c r="Q109" s="30">
        <f t="shared" si="422"/>
        <v>0</v>
      </c>
      <c r="R109" s="30">
        <f t="shared" si="422"/>
        <v>0</v>
      </c>
      <c r="S109" s="30">
        <f t="shared" si="422"/>
        <v>-6163</v>
      </c>
      <c r="T109" s="30">
        <f t="shared" si="422"/>
        <v>0</v>
      </c>
      <c r="V109" s="30">
        <f t="shared" ref="V109:AE109" si="423">V39</f>
        <v>-1093</v>
      </c>
      <c r="W109" s="30">
        <f t="shared" si="423"/>
        <v>-1093</v>
      </c>
      <c r="X109" s="30">
        <f t="shared" si="423"/>
        <v>-1093</v>
      </c>
      <c r="Y109" s="30">
        <f t="shared" si="423"/>
        <v>-1093</v>
      </c>
      <c r="Z109" s="30">
        <f t="shared" si="423"/>
        <v>-275</v>
      </c>
      <c r="AA109" s="30">
        <f t="shared" si="423"/>
        <v>-275</v>
      </c>
      <c r="AB109" s="30">
        <f t="shared" si="423"/>
        <v>-275</v>
      </c>
      <c r="AC109" s="30">
        <f t="shared" si="423"/>
        <v>-275</v>
      </c>
      <c r="AD109" s="30">
        <f t="shared" si="423"/>
        <v>-873</v>
      </c>
      <c r="AE109" s="30">
        <f t="shared" si="423"/>
        <v>-873</v>
      </c>
      <c r="AF109" s="11"/>
      <c r="AG109" s="68">
        <f>SUM(AE109/AA109)-1</f>
        <v>2.1745454545454543</v>
      </c>
    </row>
    <row r="110" spans="1:33" ht="5.0999999999999996" customHeight="1"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11"/>
      <c r="AG110" s="68"/>
    </row>
    <row r="111" spans="1:33" ht="12.75" customHeight="1">
      <c r="B111" s="33" t="s">
        <v>58</v>
      </c>
      <c r="C111" s="30"/>
      <c r="D111" s="30"/>
      <c r="E111" s="30"/>
      <c r="F111" s="30"/>
      <c r="G111" s="30"/>
      <c r="H111" s="76"/>
      <c r="I111" s="76"/>
      <c r="J111" s="76"/>
      <c r="K111" s="30"/>
      <c r="L111" s="76"/>
      <c r="M111" s="76"/>
      <c r="N111" s="76"/>
      <c r="O111" s="30"/>
      <c r="P111" s="76"/>
      <c r="Q111" s="76"/>
      <c r="R111" s="76"/>
      <c r="S111" s="76"/>
      <c r="T111" s="76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55"/>
      <c r="AG111" s="68"/>
    </row>
    <row r="112" spans="1:33" ht="12.75" customHeight="1">
      <c r="B112" s="56" t="s">
        <v>113</v>
      </c>
      <c r="C112" s="76" t="s">
        <v>117</v>
      </c>
      <c r="D112" s="76">
        <v>0</v>
      </c>
      <c r="E112" s="76">
        <v>2371</v>
      </c>
      <c r="F112" s="76">
        <v>1118</v>
      </c>
      <c r="G112" s="30"/>
      <c r="H112" s="76"/>
      <c r="I112" s="76"/>
      <c r="J112" s="76"/>
      <c r="K112" s="30">
        <f>SUM(D112-SUM(H112:J112))</f>
        <v>0</v>
      </c>
      <c r="L112" s="76"/>
      <c r="M112" s="76"/>
      <c r="N112" s="76"/>
      <c r="O112" s="30">
        <f>SUM(E112-SUM(L112:N112))</f>
        <v>2371</v>
      </c>
      <c r="P112" s="76"/>
      <c r="Q112" s="76"/>
      <c r="R112" s="76"/>
      <c r="S112" s="30">
        <f t="shared" ref="S112:S115" si="424">SUM(F112-SUM(P112:R112))</f>
        <v>1118</v>
      </c>
      <c r="T112" s="76"/>
      <c r="V112" s="30">
        <f t="shared" ref="V112:V121" si="425">SUM(H112:K112)</f>
        <v>0</v>
      </c>
      <c r="W112" s="30">
        <f t="shared" ref="W112:W121" si="426">SUM(I112:L112)</f>
        <v>0</v>
      </c>
      <c r="X112" s="30">
        <f t="shared" ref="X112:X121" si="427">SUM(J112:M112)</f>
        <v>0</v>
      </c>
      <c r="Y112" s="30">
        <f t="shared" ref="Y112:Y121" si="428">SUM(K112:N112)</f>
        <v>0</v>
      </c>
      <c r="Z112" s="30">
        <f t="shared" ref="Z112:Z121" si="429">SUM(L112:O112)</f>
        <v>2371</v>
      </c>
      <c r="AA112" s="30">
        <f t="shared" ref="AA112:AA121" si="430">SUM(M112:P112)</f>
        <v>2371</v>
      </c>
      <c r="AB112" s="30">
        <f t="shared" ref="AB112:AB121" si="431">SUM(N112:Q112)</f>
        <v>2371</v>
      </c>
      <c r="AC112" s="30">
        <f t="shared" ref="AC112:AC121" si="432">SUM(O112:R112)</f>
        <v>2371</v>
      </c>
      <c r="AD112" s="30">
        <f t="shared" ref="AD112:AD121" si="433">SUM(P112:S112)</f>
        <v>1118</v>
      </c>
      <c r="AE112" s="30">
        <f t="shared" ref="AE112:AE121" si="434">SUM(Q112:T112)</f>
        <v>1118</v>
      </c>
      <c r="AF112" s="11"/>
      <c r="AG112" s="68">
        <f t="shared" ref="AG112:AG115" si="435">SUM(AE112/AA112)-1</f>
        <v>-0.52846900042176292</v>
      </c>
    </row>
    <row r="113" spans="2:33" ht="12.75" customHeight="1">
      <c r="B113" s="56" t="s">
        <v>51</v>
      </c>
      <c r="C113" s="76">
        <v>390</v>
      </c>
      <c r="D113" s="76">
        <v>378</v>
      </c>
      <c r="E113" s="76">
        <v>418</v>
      </c>
      <c r="F113" s="76">
        <v>392</v>
      </c>
      <c r="G113" s="30"/>
      <c r="H113" s="76"/>
      <c r="I113" s="76"/>
      <c r="J113" s="76"/>
      <c r="K113" s="30">
        <f t="shared" ref="K113:K115" si="436">SUM(D113-SUM(H113:J113))</f>
        <v>378</v>
      </c>
      <c r="L113" s="76"/>
      <c r="M113" s="76"/>
      <c r="N113" s="76"/>
      <c r="O113" s="30">
        <f t="shared" ref="O113:O115" si="437">SUM(E113-SUM(L113:N113))</f>
        <v>418</v>
      </c>
      <c r="P113" s="76"/>
      <c r="Q113" s="76"/>
      <c r="R113" s="76"/>
      <c r="S113" s="30">
        <f t="shared" si="424"/>
        <v>392</v>
      </c>
      <c r="T113" s="76"/>
      <c r="V113" s="30">
        <f t="shared" ref="V113:V115" si="438">SUM(H113:K113)</f>
        <v>378</v>
      </c>
      <c r="W113" s="30">
        <f t="shared" ref="W113:W115" si="439">SUM(I113:L113)</f>
        <v>378</v>
      </c>
      <c r="X113" s="30">
        <f t="shared" ref="X113:X115" si="440">SUM(J113:M113)</f>
        <v>378</v>
      </c>
      <c r="Y113" s="30">
        <f t="shared" ref="Y113:Y115" si="441">SUM(K113:N113)</f>
        <v>378</v>
      </c>
      <c r="Z113" s="30">
        <f t="shared" ref="Z113:Z115" si="442">SUM(L113:O113)</f>
        <v>418</v>
      </c>
      <c r="AA113" s="30">
        <f t="shared" ref="AA113:AA115" si="443">SUM(M113:P113)</f>
        <v>418</v>
      </c>
      <c r="AB113" s="30">
        <f t="shared" ref="AB113:AB115" si="444">SUM(N113:Q113)</f>
        <v>418</v>
      </c>
      <c r="AC113" s="30">
        <f t="shared" ref="AC113:AC115" si="445">SUM(O113:R113)</f>
        <v>418</v>
      </c>
      <c r="AD113" s="30">
        <f t="shared" ref="AD113:AD115" si="446">SUM(P113:S113)</f>
        <v>392</v>
      </c>
      <c r="AE113" s="30">
        <f t="shared" ref="AE113:AE115" si="447">SUM(Q113:T113)</f>
        <v>392</v>
      </c>
      <c r="AF113" s="11"/>
      <c r="AG113" s="68">
        <f t="shared" si="435"/>
        <v>-6.2200956937799035E-2</v>
      </c>
    </row>
    <row r="114" spans="2:33" ht="12.75" customHeight="1">
      <c r="B114" s="56" t="s">
        <v>115</v>
      </c>
      <c r="C114" s="76" t="s">
        <v>117</v>
      </c>
      <c r="D114" s="76">
        <v>27</v>
      </c>
      <c r="E114" s="76">
        <v>83</v>
      </c>
      <c r="F114" s="76">
        <v>6130</v>
      </c>
      <c r="G114" s="30"/>
      <c r="H114" s="76"/>
      <c r="I114" s="76"/>
      <c r="J114" s="76"/>
      <c r="K114" s="30">
        <f t="shared" si="436"/>
        <v>27</v>
      </c>
      <c r="L114" s="76"/>
      <c r="M114" s="76"/>
      <c r="N114" s="76"/>
      <c r="O114" s="30">
        <f t="shared" si="437"/>
        <v>83</v>
      </c>
      <c r="P114" s="76"/>
      <c r="Q114" s="76"/>
      <c r="R114" s="76"/>
      <c r="S114" s="30">
        <f t="shared" si="424"/>
        <v>6130</v>
      </c>
      <c r="T114" s="76"/>
      <c r="V114" s="30">
        <f t="shared" si="438"/>
        <v>27</v>
      </c>
      <c r="W114" s="30">
        <f t="shared" si="439"/>
        <v>27</v>
      </c>
      <c r="X114" s="30">
        <f t="shared" si="440"/>
        <v>27</v>
      </c>
      <c r="Y114" s="30">
        <f t="shared" si="441"/>
        <v>27</v>
      </c>
      <c r="Z114" s="30">
        <f t="shared" si="442"/>
        <v>83</v>
      </c>
      <c r="AA114" s="30">
        <f t="shared" si="443"/>
        <v>83</v>
      </c>
      <c r="AB114" s="30">
        <f t="shared" si="444"/>
        <v>83</v>
      </c>
      <c r="AC114" s="30">
        <f t="shared" si="445"/>
        <v>83</v>
      </c>
      <c r="AD114" s="30">
        <f t="shared" si="446"/>
        <v>6130</v>
      </c>
      <c r="AE114" s="30">
        <f t="shared" si="447"/>
        <v>6130</v>
      </c>
      <c r="AF114" s="11"/>
      <c r="AG114" s="68">
        <f t="shared" si="435"/>
        <v>72.855421686746993</v>
      </c>
    </row>
    <row r="115" spans="2:33" ht="12.75" customHeight="1">
      <c r="B115" s="56" t="s">
        <v>162</v>
      </c>
      <c r="C115" s="76">
        <v>13649</v>
      </c>
      <c r="D115" s="76">
        <v>14951</v>
      </c>
      <c r="E115" s="76">
        <v>14713</v>
      </c>
      <c r="F115" s="76">
        <v>13888</v>
      </c>
      <c r="G115" s="30"/>
      <c r="H115" s="76"/>
      <c r="I115" s="76"/>
      <c r="J115" s="76"/>
      <c r="K115" s="30">
        <f t="shared" si="436"/>
        <v>14951</v>
      </c>
      <c r="L115" s="76"/>
      <c r="M115" s="76"/>
      <c r="N115" s="76"/>
      <c r="O115" s="30">
        <f t="shared" si="437"/>
        <v>14713</v>
      </c>
      <c r="P115" s="76"/>
      <c r="Q115" s="76"/>
      <c r="R115" s="76"/>
      <c r="S115" s="30">
        <f t="shared" si="424"/>
        <v>13888</v>
      </c>
      <c r="T115" s="76"/>
      <c r="V115" s="30">
        <f t="shared" si="438"/>
        <v>14951</v>
      </c>
      <c r="W115" s="30">
        <f t="shared" si="439"/>
        <v>14951</v>
      </c>
      <c r="X115" s="30">
        <f t="shared" si="440"/>
        <v>14951</v>
      </c>
      <c r="Y115" s="30">
        <f t="shared" si="441"/>
        <v>14951</v>
      </c>
      <c r="Z115" s="30">
        <f t="shared" si="442"/>
        <v>14713</v>
      </c>
      <c r="AA115" s="30">
        <f t="shared" si="443"/>
        <v>14713</v>
      </c>
      <c r="AB115" s="30">
        <f t="shared" si="444"/>
        <v>14713</v>
      </c>
      <c r="AC115" s="30">
        <f t="shared" si="445"/>
        <v>14713</v>
      </c>
      <c r="AD115" s="30">
        <f t="shared" si="446"/>
        <v>13888</v>
      </c>
      <c r="AE115" s="30">
        <f t="shared" si="447"/>
        <v>13888</v>
      </c>
      <c r="AF115" s="11"/>
      <c r="AG115" s="68">
        <f t="shared" si="435"/>
        <v>-5.6072860735404073E-2</v>
      </c>
    </row>
    <row r="116" spans="2:33" ht="12.75" customHeight="1">
      <c r="B116" s="56" t="s">
        <v>163</v>
      </c>
      <c r="C116" s="76">
        <v>90</v>
      </c>
      <c r="D116" s="76">
        <v>-106</v>
      </c>
      <c r="E116" s="76">
        <v>-650</v>
      </c>
      <c r="F116" s="76">
        <v>-630</v>
      </c>
      <c r="G116" s="30"/>
      <c r="H116" s="76"/>
      <c r="I116" s="76"/>
      <c r="J116" s="76"/>
      <c r="K116" s="30">
        <f>SUM(D116-SUM(H116:J116))</f>
        <v>-106</v>
      </c>
      <c r="L116" s="76"/>
      <c r="M116" s="76"/>
      <c r="N116" s="76"/>
      <c r="O116" s="30">
        <f>SUM(E116-SUM(L116:N116))</f>
        <v>-650</v>
      </c>
      <c r="P116" s="76"/>
      <c r="Q116" s="76"/>
      <c r="R116" s="76"/>
      <c r="S116" s="30">
        <f t="shared" ref="S116" si="448">SUM(F116-SUM(P116:R116))</f>
        <v>-630</v>
      </c>
      <c r="T116" s="76"/>
      <c r="V116" s="30">
        <f t="shared" si="425"/>
        <v>-106</v>
      </c>
      <c r="W116" s="30">
        <f t="shared" si="426"/>
        <v>-106</v>
      </c>
      <c r="X116" s="30">
        <f t="shared" si="427"/>
        <v>-106</v>
      </c>
      <c r="Y116" s="30">
        <f t="shared" si="428"/>
        <v>-106</v>
      </c>
      <c r="Z116" s="30">
        <f t="shared" si="429"/>
        <v>-650</v>
      </c>
      <c r="AA116" s="30">
        <f t="shared" si="430"/>
        <v>-650</v>
      </c>
      <c r="AB116" s="30">
        <f t="shared" si="431"/>
        <v>-650</v>
      </c>
      <c r="AC116" s="30">
        <f t="shared" si="432"/>
        <v>-650</v>
      </c>
      <c r="AD116" s="30">
        <f t="shared" si="433"/>
        <v>-630</v>
      </c>
      <c r="AE116" s="30">
        <f t="shared" si="434"/>
        <v>-630</v>
      </c>
      <c r="AF116" s="11"/>
      <c r="AG116" s="68">
        <f t="shared" ref="AG116" si="449">SUM(AE116/AA116)-1</f>
        <v>-3.0769230769230771E-2</v>
      </c>
    </row>
    <row r="117" spans="2:33" ht="12.75" customHeight="1">
      <c r="B117" s="56" t="s">
        <v>164</v>
      </c>
      <c r="C117" s="76">
        <v>192</v>
      </c>
      <c r="D117" s="76">
        <v>172</v>
      </c>
      <c r="E117" s="76">
        <v>177</v>
      </c>
      <c r="F117" s="76">
        <v>245</v>
      </c>
      <c r="G117" s="30"/>
      <c r="H117" s="76"/>
      <c r="I117" s="76"/>
      <c r="J117" s="76"/>
      <c r="K117" s="30">
        <f t="shared" ref="K117:K121" si="450">SUM(D117-SUM(H117:J117))</f>
        <v>172</v>
      </c>
      <c r="L117" s="76"/>
      <c r="M117" s="76"/>
      <c r="N117" s="76"/>
      <c r="O117" s="30">
        <f t="shared" ref="O117:O121" si="451">SUM(E117-SUM(L117:N117))</f>
        <v>177</v>
      </c>
      <c r="P117" s="76"/>
      <c r="Q117" s="76"/>
      <c r="R117" s="76"/>
      <c r="S117" s="30">
        <f t="shared" ref="S117:S121" si="452">SUM(F117-SUM(P117:R117))</f>
        <v>245</v>
      </c>
      <c r="T117" s="76"/>
      <c r="V117" s="30">
        <f t="shared" si="425"/>
        <v>172</v>
      </c>
      <c r="W117" s="30">
        <f t="shared" si="426"/>
        <v>172</v>
      </c>
      <c r="X117" s="30">
        <f t="shared" si="427"/>
        <v>172</v>
      </c>
      <c r="Y117" s="30">
        <f t="shared" si="428"/>
        <v>172</v>
      </c>
      <c r="Z117" s="30">
        <f t="shared" si="429"/>
        <v>177</v>
      </c>
      <c r="AA117" s="30">
        <f t="shared" si="430"/>
        <v>177</v>
      </c>
      <c r="AB117" s="30">
        <f t="shared" si="431"/>
        <v>177</v>
      </c>
      <c r="AC117" s="30">
        <f t="shared" si="432"/>
        <v>177</v>
      </c>
      <c r="AD117" s="30">
        <f t="shared" si="433"/>
        <v>245</v>
      </c>
      <c r="AE117" s="30">
        <f t="shared" si="434"/>
        <v>245</v>
      </c>
      <c r="AF117" s="11"/>
      <c r="AG117" s="68">
        <f t="shared" ref="AG117:AG121" si="453">SUM(AE117/AA117)-1</f>
        <v>0.38418079096045199</v>
      </c>
    </row>
    <row r="118" spans="2:33" ht="12.75" customHeight="1">
      <c r="B118" s="56" t="s">
        <v>118</v>
      </c>
      <c r="C118" s="76">
        <v>-2343</v>
      </c>
      <c r="D118" s="76">
        <v>-56</v>
      </c>
      <c r="E118" s="76">
        <v>0</v>
      </c>
      <c r="F118" s="76">
        <v>0</v>
      </c>
      <c r="G118" s="30"/>
      <c r="H118" s="76"/>
      <c r="I118" s="76"/>
      <c r="J118" s="76"/>
      <c r="K118" s="30">
        <f t="shared" si="450"/>
        <v>-56</v>
      </c>
      <c r="L118" s="76"/>
      <c r="M118" s="76"/>
      <c r="N118" s="76"/>
      <c r="O118" s="30">
        <f t="shared" si="451"/>
        <v>0</v>
      </c>
      <c r="P118" s="76"/>
      <c r="Q118" s="76"/>
      <c r="R118" s="76"/>
      <c r="S118" s="30">
        <f t="shared" si="452"/>
        <v>0</v>
      </c>
      <c r="T118" s="76"/>
      <c r="V118" s="30">
        <f t="shared" si="425"/>
        <v>-56</v>
      </c>
      <c r="W118" s="30">
        <f t="shared" si="426"/>
        <v>-56</v>
      </c>
      <c r="X118" s="30">
        <f t="shared" si="427"/>
        <v>-56</v>
      </c>
      <c r="Y118" s="30">
        <f t="shared" si="428"/>
        <v>-56</v>
      </c>
      <c r="Z118" s="30">
        <f t="shared" si="429"/>
        <v>0</v>
      </c>
      <c r="AA118" s="30">
        <f t="shared" si="430"/>
        <v>0</v>
      </c>
      <c r="AB118" s="30">
        <f t="shared" si="431"/>
        <v>0</v>
      </c>
      <c r="AC118" s="30">
        <f t="shared" si="432"/>
        <v>0</v>
      </c>
      <c r="AD118" s="30">
        <f t="shared" si="433"/>
        <v>0</v>
      </c>
      <c r="AE118" s="30">
        <f t="shared" si="434"/>
        <v>0</v>
      </c>
      <c r="AF118" s="11"/>
      <c r="AG118" s="68" t="e">
        <f t="shared" si="453"/>
        <v>#DIV/0!</v>
      </c>
    </row>
    <row r="119" spans="2:33" ht="12.75" customHeight="1">
      <c r="B119" s="56" t="s">
        <v>165</v>
      </c>
      <c r="C119" s="76">
        <v>-47</v>
      </c>
      <c r="D119" s="76">
        <v>9</v>
      </c>
      <c r="E119" s="76">
        <v>-168</v>
      </c>
      <c r="F119" s="76">
        <v>17</v>
      </c>
      <c r="G119" s="30"/>
      <c r="H119" s="76"/>
      <c r="I119" s="76"/>
      <c r="J119" s="76"/>
      <c r="K119" s="30">
        <f t="shared" si="450"/>
        <v>9</v>
      </c>
      <c r="L119" s="76"/>
      <c r="M119" s="76"/>
      <c r="N119" s="76"/>
      <c r="O119" s="30">
        <f t="shared" si="451"/>
        <v>-168</v>
      </c>
      <c r="P119" s="76"/>
      <c r="Q119" s="76"/>
      <c r="R119" s="76"/>
      <c r="S119" s="30">
        <f t="shared" si="452"/>
        <v>17</v>
      </c>
      <c r="T119" s="76"/>
      <c r="V119" s="30">
        <f t="shared" si="425"/>
        <v>9</v>
      </c>
      <c r="W119" s="30">
        <f t="shared" si="426"/>
        <v>9</v>
      </c>
      <c r="X119" s="30">
        <f t="shared" si="427"/>
        <v>9</v>
      </c>
      <c r="Y119" s="30">
        <f t="shared" si="428"/>
        <v>9</v>
      </c>
      <c r="Z119" s="30">
        <f t="shared" si="429"/>
        <v>-168</v>
      </c>
      <c r="AA119" s="30">
        <f t="shared" si="430"/>
        <v>-168</v>
      </c>
      <c r="AB119" s="30">
        <f t="shared" si="431"/>
        <v>-168</v>
      </c>
      <c r="AC119" s="30">
        <f t="shared" si="432"/>
        <v>-168</v>
      </c>
      <c r="AD119" s="30">
        <f t="shared" si="433"/>
        <v>17</v>
      </c>
      <c r="AE119" s="30">
        <f t="shared" si="434"/>
        <v>17</v>
      </c>
      <c r="AF119" s="11"/>
      <c r="AG119" s="68">
        <f t="shared" si="453"/>
        <v>-1.1011904761904763</v>
      </c>
    </row>
    <row r="120" spans="2:33" ht="12.75" customHeight="1">
      <c r="B120" s="56" t="s">
        <v>166</v>
      </c>
      <c r="C120" s="76">
        <v>128</v>
      </c>
      <c r="D120" s="76">
        <v>120</v>
      </c>
      <c r="E120" s="76">
        <v>-29</v>
      </c>
      <c r="F120" s="76">
        <v>0</v>
      </c>
      <c r="G120" s="30"/>
      <c r="H120" s="76"/>
      <c r="I120" s="76"/>
      <c r="J120" s="76"/>
      <c r="K120" s="30">
        <f t="shared" si="450"/>
        <v>120</v>
      </c>
      <c r="L120" s="76"/>
      <c r="M120" s="76"/>
      <c r="N120" s="76"/>
      <c r="O120" s="30">
        <f t="shared" si="451"/>
        <v>-29</v>
      </c>
      <c r="P120" s="76"/>
      <c r="Q120" s="76"/>
      <c r="R120" s="76"/>
      <c r="S120" s="30">
        <f t="shared" si="452"/>
        <v>0</v>
      </c>
      <c r="T120" s="76"/>
      <c r="V120" s="30">
        <f t="shared" si="425"/>
        <v>120</v>
      </c>
      <c r="W120" s="30">
        <f t="shared" si="426"/>
        <v>120</v>
      </c>
      <c r="X120" s="30">
        <f t="shared" si="427"/>
        <v>120</v>
      </c>
      <c r="Y120" s="30">
        <f t="shared" si="428"/>
        <v>120</v>
      </c>
      <c r="Z120" s="30">
        <f t="shared" si="429"/>
        <v>-29</v>
      </c>
      <c r="AA120" s="30">
        <f t="shared" si="430"/>
        <v>-29</v>
      </c>
      <c r="AB120" s="30">
        <f t="shared" si="431"/>
        <v>-29</v>
      </c>
      <c r="AC120" s="30">
        <f t="shared" si="432"/>
        <v>-29</v>
      </c>
      <c r="AD120" s="30">
        <f t="shared" si="433"/>
        <v>0</v>
      </c>
      <c r="AE120" s="30">
        <f t="shared" si="434"/>
        <v>0</v>
      </c>
      <c r="AF120" s="11"/>
      <c r="AG120" s="68">
        <f t="shared" si="453"/>
        <v>-1</v>
      </c>
    </row>
    <row r="121" spans="2:33" ht="12.75" customHeight="1">
      <c r="B121" s="56" t="s">
        <v>167</v>
      </c>
      <c r="C121" s="76">
        <v>96</v>
      </c>
      <c r="D121" s="76">
        <v>207</v>
      </c>
      <c r="E121" s="76">
        <v>363</v>
      </c>
      <c r="F121" s="76">
        <v>304</v>
      </c>
      <c r="G121" s="30"/>
      <c r="H121" s="76"/>
      <c r="I121" s="76"/>
      <c r="J121" s="76"/>
      <c r="K121" s="30">
        <f t="shared" si="450"/>
        <v>207</v>
      </c>
      <c r="L121" s="76"/>
      <c r="M121" s="76"/>
      <c r="N121" s="76"/>
      <c r="O121" s="30">
        <f t="shared" si="451"/>
        <v>363</v>
      </c>
      <c r="P121" s="76"/>
      <c r="Q121" s="76"/>
      <c r="R121" s="76"/>
      <c r="S121" s="30">
        <f t="shared" si="452"/>
        <v>304</v>
      </c>
      <c r="T121" s="76"/>
      <c r="V121" s="30">
        <f t="shared" si="425"/>
        <v>207</v>
      </c>
      <c r="W121" s="30">
        <f t="shared" si="426"/>
        <v>207</v>
      </c>
      <c r="X121" s="30">
        <f t="shared" si="427"/>
        <v>207</v>
      </c>
      <c r="Y121" s="30">
        <f t="shared" si="428"/>
        <v>207</v>
      </c>
      <c r="Z121" s="30">
        <f t="shared" si="429"/>
        <v>363</v>
      </c>
      <c r="AA121" s="30">
        <f t="shared" si="430"/>
        <v>363</v>
      </c>
      <c r="AB121" s="30">
        <f t="shared" si="431"/>
        <v>363</v>
      </c>
      <c r="AC121" s="30">
        <f t="shared" si="432"/>
        <v>363</v>
      </c>
      <c r="AD121" s="30">
        <f t="shared" si="433"/>
        <v>304</v>
      </c>
      <c r="AE121" s="30">
        <f t="shared" si="434"/>
        <v>304</v>
      </c>
      <c r="AF121" s="11"/>
      <c r="AG121" s="68">
        <f t="shared" si="453"/>
        <v>-0.16253443526170797</v>
      </c>
    </row>
    <row r="122" spans="2:33" ht="12.75" customHeight="1">
      <c r="B122" s="56" t="s">
        <v>173</v>
      </c>
      <c r="C122" s="76">
        <v>-51</v>
      </c>
      <c r="D122" s="76">
        <v>-159</v>
      </c>
      <c r="E122" s="76">
        <v>-186</v>
      </c>
      <c r="F122" s="76">
        <v>227</v>
      </c>
      <c r="G122" s="30"/>
      <c r="H122" s="76"/>
      <c r="I122" s="76"/>
      <c r="J122" s="76"/>
      <c r="K122" s="30">
        <f t="shared" ref="K122" si="454">SUM(D122-SUM(H122:J122))</f>
        <v>-159</v>
      </c>
      <c r="L122" s="76"/>
      <c r="M122" s="76"/>
      <c r="N122" s="76"/>
      <c r="O122" s="30">
        <f t="shared" ref="O122" si="455">SUM(E122-SUM(L122:N122))</f>
        <v>-186</v>
      </c>
      <c r="P122" s="76"/>
      <c r="Q122" s="76"/>
      <c r="R122" s="76"/>
      <c r="S122" s="30">
        <f t="shared" ref="S122" si="456">SUM(F122-SUM(P122:R122))</f>
        <v>227</v>
      </c>
      <c r="T122" s="76"/>
      <c r="V122" s="30">
        <f t="shared" ref="V122" si="457">SUM(H122:K122)</f>
        <v>-159</v>
      </c>
      <c r="W122" s="30">
        <f t="shared" ref="W122" si="458">SUM(I122:L122)</f>
        <v>-159</v>
      </c>
      <c r="X122" s="30">
        <f t="shared" ref="X122" si="459">SUM(J122:M122)</f>
        <v>-159</v>
      </c>
      <c r="Y122" s="30">
        <f t="shared" ref="Y122" si="460">SUM(K122:N122)</f>
        <v>-159</v>
      </c>
      <c r="Z122" s="30">
        <f t="shared" ref="Z122" si="461">SUM(L122:O122)</f>
        <v>-186</v>
      </c>
      <c r="AA122" s="30">
        <f t="shared" ref="AA122" si="462">SUM(M122:P122)</f>
        <v>-186</v>
      </c>
      <c r="AB122" s="30">
        <f t="shared" ref="AB122" si="463">SUM(N122:Q122)</f>
        <v>-186</v>
      </c>
      <c r="AC122" s="30">
        <f t="shared" ref="AC122" si="464">SUM(O122:R122)</f>
        <v>-186</v>
      </c>
      <c r="AD122" s="30">
        <f t="shared" ref="AD122" si="465">SUM(P122:S122)</f>
        <v>227</v>
      </c>
      <c r="AE122" s="30">
        <f t="shared" ref="AE122" si="466">SUM(Q122:T122)</f>
        <v>227</v>
      </c>
      <c r="AF122" s="11"/>
      <c r="AG122" s="68">
        <f t="shared" ref="AG122" si="467">SUM(AE122/AA122)-1</f>
        <v>-2.220430107526882</v>
      </c>
    </row>
    <row r="123" spans="2:33" ht="12.75" customHeight="1">
      <c r="B123" s="163" t="s">
        <v>174</v>
      </c>
      <c r="C123" s="164">
        <v>118</v>
      </c>
      <c r="D123" s="164">
        <v>361</v>
      </c>
      <c r="E123" s="164">
        <v>91</v>
      </c>
      <c r="F123" s="164">
        <v>0</v>
      </c>
      <c r="G123" s="30"/>
      <c r="H123" s="76"/>
      <c r="I123" s="76"/>
      <c r="J123" s="76"/>
      <c r="K123" s="30"/>
      <c r="L123" s="76"/>
      <c r="M123" s="76"/>
      <c r="N123" s="76"/>
      <c r="O123" s="30"/>
      <c r="P123" s="76"/>
      <c r="Q123" s="76"/>
      <c r="R123" s="76"/>
      <c r="S123" s="30"/>
      <c r="T123" s="76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11"/>
      <c r="AG123" s="68"/>
    </row>
    <row r="124" spans="2:33" ht="12.75" customHeight="1">
      <c r="B124" s="33" t="s">
        <v>13</v>
      </c>
      <c r="C124" s="76"/>
      <c r="D124" s="76"/>
      <c r="E124" s="76"/>
      <c r="F124" s="76"/>
      <c r="G124" s="30"/>
      <c r="H124" s="76"/>
      <c r="I124" s="76"/>
      <c r="J124" s="76"/>
      <c r="K124" s="30"/>
      <c r="L124" s="76"/>
      <c r="M124" s="76"/>
      <c r="N124" s="76"/>
      <c r="O124" s="30"/>
      <c r="P124" s="76"/>
      <c r="Q124" s="76"/>
      <c r="R124" s="76"/>
      <c r="S124" s="76"/>
      <c r="T124" s="76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55"/>
      <c r="AG124" s="68"/>
    </row>
    <row r="125" spans="2:33" ht="12.75" customHeight="1">
      <c r="B125" s="56" t="s">
        <v>168</v>
      </c>
      <c r="C125" s="76">
        <v>179</v>
      </c>
      <c r="D125" s="76">
        <v>-180</v>
      </c>
      <c r="E125" s="76">
        <v>523</v>
      </c>
      <c r="F125" s="76">
        <v>548</v>
      </c>
      <c r="G125" s="30"/>
      <c r="H125" s="76"/>
      <c r="I125" s="76"/>
      <c r="J125" s="76"/>
      <c r="K125" s="30">
        <f t="shared" ref="K125:K127" si="468">SUM(D125-SUM(H125:J125))</f>
        <v>-180</v>
      </c>
      <c r="L125" s="76"/>
      <c r="M125" s="76"/>
      <c r="N125" s="76"/>
      <c r="O125" s="30">
        <f t="shared" ref="O125:O127" si="469">SUM(E125-SUM(L125:N125))</f>
        <v>523</v>
      </c>
      <c r="P125" s="76"/>
      <c r="Q125" s="76"/>
      <c r="R125" s="76"/>
      <c r="S125" s="30">
        <f t="shared" ref="S125:S127" si="470">SUM(F125-SUM(P125:R125))</f>
        <v>548</v>
      </c>
      <c r="T125" s="76"/>
      <c r="V125" s="30">
        <f t="shared" ref="V125:V127" si="471">SUM(H125:K125)</f>
        <v>-180</v>
      </c>
      <c r="W125" s="30">
        <f t="shared" ref="W125:W127" si="472">SUM(I125:L125)</f>
        <v>-180</v>
      </c>
      <c r="X125" s="30">
        <f t="shared" ref="X125:X127" si="473">SUM(J125:M125)</f>
        <v>-180</v>
      </c>
      <c r="Y125" s="30">
        <f t="shared" ref="Y125:Y127" si="474">SUM(K125:N125)</f>
        <v>-180</v>
      </c>
      <c r="Z125" s="30">
        <f t="shared" ref="Z125:Z127" si="475">SUM(L125:O125)</f>
        <v>523</v>
      </c>
      <c r="AA125" s="30">
        <f t="shared" ref="AA125:AA127" si="476">SUM(M125:P125)</f>
        <v>523</v>
      </c>
      <c r="AB125" s="30">
        <f t="shared" ref="AB125:AB127" si="477">SUM(N125:Q125)</f>
        <v>523</v>
      </c>
      <c r="AC125" s="30">
        <f t="shared" ref="AC125:AC127" si="478">SUM(O125:R125)</f>
        <v>523</v>
      </c>
      <c r="AD125" s="30">
        <f t="shared" ref="AD125:AD127" si="479">SUM(P125:S125)</f>
        <v>548</v>
      </c>
      <c r="AE125" s="30">
        <f t="shared" ref="AE125:AE127" si="480">SUM(Q125:T125)</f>
        <v>548</v>
      </c>
      <c r="AF125" s="55"/>
      <c r="AG125" s="68">
        <f t="shared" ref="AG125:AG127" si="481">SUM(AE125/AA125)-1</f>
        <v>4.780114722753348E-2</v>
      </c>
    </row>
    <row r="126" spans="2:33" ht="12.75" customHeight="1">
      <c r="B126" s="56" t="s">
        <v>169</v>
      </c>
      <c r="C126" s="76">
        <v>-16763</v>
      </c>
      <c r="D126" s="76">
        <v>-17164</v>
      </c>
      <c r="E126" s="76">
        <v>-15518</v>
      </c>
      <c r="F126" s="76">
        <v>-15812</v>
      </c>
      <c r="G126" s="30"/>
      <c r="H126" s="76"/>
      <c r="I126" s="76"/>
      <c r="J126" s="76"/>
      <c r="K126" s="30">
        <f t="shared" si="468"/>
        <v>-17164</v>
      </c>
      <c r="L126" s="76"/>
      <c r="M126" s="76"/>
      <c r="N126" s="76"/>
      <c r="O126" s="30">
        <f t="shared" si="469"/>
        <v>-15518</v>
      </c>
      <c r="P126" s="76"/>
      <c r="Q126" s="76"/>
      <c r="R126" s="76"/>
      <c r="S126" s="30">
        <f t="shared" si="470"/>
        <v>-15812</v>
      </c>
      <c r="T126" s="76"/>
      <c r="V126" s="30">
        <f t="shared" si="471"/>
        <v>-17164</v>
      </c>
      <c r="W126" s="30">
        <f t="shared" si="472"/>
        <v>-17164</v>
      </c>
      <c r="X126" s="30">
        <f t="shared" si="473"/>
        <v>-17164</v>
      </c>
      <c r="Y126" s="30">
        <f t="shared" si="474"/>
        <v>-17164</v>
      </c>
      <c r="Z126" s="30">
        <f t="shared" si="475"/>
        <v>-15518</v>
      </c>
      <c r="AA126" s="30">
        <f t="shared" si="476"/>
        <v>-15518</v>
      </c>
      <c r="AB126" s="30">
        <f t="shared" si="477"/>
        <v>-15518</v>
      </c>
      <c r="AC126" s="30">
        <f t="shared" si="478"/>
        <v>-15518</v>
      </c>
      <c r="AD126" s="30">
        <f t="shared" si="479"/>
        <v>-15812</v>
      </c>
      <c r="AE126" s="30">
        <f t="shared" si="480"/>
        <v>-15812</v>
      </c>
      <c r="AF126" s="55"/>
      <c r="AG126" s="68">
        <f t="shared" si="481"/>
        <v>1.8945740430467817E-2</v>
      </c>
    </row>
    <row r="127" spans="2:33" ht="12.75" customHeight="1">
      <c r="B127" s="56" t="s">
        <v>170</v>
      </c>
      <c r="C127" s="76">
        <v>642</v>
      </c>
      <c r="D127" s="76">
        <v>596</v>
      </c>
      <c r="E127" s="76">
        <v>-659</v>
      </c>
      <c r="F127" s="76">
        <v>324</v>
      </c>
      <c r="G127" s="30"/>
      <c r="H127" s="76"/>
      <c r="I127" s="76"/>
      <c r="J127" s="76"/>
      <c r="K127" s="30">
        <f t="shared" si="468"/>
        <v>596</v>
      </c>
      <c r="L127" s="76"/>
      <c r="M127" s="76"/>
      <c r="N127" s="76"/>
      <c r="O127" s="30">
        <f t="shared" si="469"/>
        <v>-659</v>
      </c>
      <c r="P127" s="76"/>
      <c r="Q127" s="76"/>
      <c r="R127" s="76"/>
      <c r="S127" s="30">
        <f t="shared" si="470"/>
        <v>324</v>
      </c>
      <c r="T127" s="76"/>
      <c r="V127" s="30">
        <f t="shared" si="471"/>
        <v>596</v>
      </c>
      <c r="W127" s="30">
        <f t="shared" si="472"/>
        <v>596</v>
      </c>
      <c r="X127" s="30">
        <f t="shared" si="473"/>
        <v>596</v>
      </c>
      <c r="Y127" s="30">
        <f t="shared" si="474"/>
        <v>596</v>
      </c>
      <c r="Z127" s="30">
        <f t="shared" si="475"/>
        <v>-659</v>
      </c>
      <c r="AA127" s="30">
        <f t="shared" si="476"/>
        <v>-659</v>
      </c>
      <c r="AB127" s="30">
        <f t="shared" si="477"/>
        <v>-659</v>
      </c>
      <c r="AC127" s="30">
        <f t="shared" si="478"/>
        <v>-659</v>
      </c>
      <c r="AD127" s="30">
        <f t="shared" si="479"/>
        <v>324</v>
      </c>
      <c r="AE127" s="30">
        <f t="shared" si="480"/>
        <v>324</v>
      </c>
      <c r="AF127" s="55"/>
      <c r="AG127" s="68">
        <f t="shared" si="481"/>
        <v>-1.4916540212443095</v>
      </c>
    </row>
    <row r="128" spans="2:33" ht="12.75" customHeight="1">
      <c r="B128" s="56" t="s">
        <v>171</v>
      </c>
      <c r="C128" s="76">
        <v>-61</v>
      </c>
      <c r="D128" s="76">
        <v>-44</v>
      </c>
      <c r="E128" s="76">
        <v>-69</v>
      </c>
      <c r="F128" s="76">
        <v>23</v>
      </c>
      <c r="G128" s="30"/>
      <c r="H128" s="76"/>
      <c r="I128" s="76"/>
      <c r="J128" s="76"/>
      <c r="K128" s="30">
        <f>SUM(D128-SUM(H128:J128))</f>
        <v>-44</v>
      </c>
      <c r="L128" s="76"/>
      <c r="M128" s="76"/>
      <c r="N128" s="76"/>
      <c r="O128" s="30">
        <f>SUM(E128-SUM(L128:N128))</f>
        <v>-69</v>
      </c>
      <c r="P128" s="76"/>
      <c r="Q128" s="76"/>
      <c r="R128" s="76"/>
      <c r="S128" s="30">
        <f t="shared" ref="S128" si="482">SUM(F128-SUM(P128:R128))</f>
        <v>23</v>
      </c>
      <c r="T128" s="76"/>
      <c r="V128" s="30">
        <f t="shared" ref="V128:V129" si="483">SUM(H128:K128)</f>
        <v>-44</v>
      </c>
      <c r="W128" s="30">
        <f t="shared" ref="W128:W129" si="484">SUM(I128:L128)</f>
        <v>-44</v>
      </c>
      <c r="X128" s="30">
        <f t="shared" ref="X128:X129" si="485">SUM(J128:M128)</f>
        <v>-44</v>
      </c>
      <c r="Y128" s="30">
        <f t="shared" ref="Y128:Y129" si="486">SUM(K128:N128)</f>
        <v>-44</v>
      </c>
      <c r="Z128" s="30">
        <f t="shared" ref="Z128:Z129" si="487">SUM(L128:O128)</f>
        <v>-69</v>
      </c>
      <c r="AA128" s="30">
        <f t="shared" ref="AA128:AA129" si="488">SUM(M128:P128)</f>
        <v>-69</v>
      </c>
      <c r="AB128" s="30">
        <f t="shared" ref="AB128:AB129" si="489">SUM(N128:Q128)</f>
        <v>-69</v>
      </c>
      <c r="AC128" s="30">
        <f t="shared" ref="AC128:AC129" si="490">SUM(O128:R128)</f>
        <v>-69</v>
      </c>
      <c r="AD128" s="30">
        <f t="shared" ref="AD128:AD129" si="491">SUM(P128:S128)</f>
        <v>23</v>
      </c>
      <c r="AE128" s="30">
        <f t="shared" ref="AE128:AE129" si="492">SUM(Q128:T128)</f>
        <v>23</v>
      </c>
      <c r="AF128" s="55"/>
      <c r="AG128" s="68">
        <f t="shared" ref="AG128" si="493">SUM(AE128/AA128)-1</f>
        <v>-1.3333333333333333</v>
      </c>
    </row>
    <row r="129" spans="2:33" ht="12.75" customHeight="1">
      <c r="B129" s="56" t="s">
        <v>172</v>
      </c>
      <c r="C129" s="76">
        <v>265</v>
      </c>
      <c r="D129" s="76">
        <v>272</v>
      </c>
      <c r="E129" s="76">
        <v>267</v>
      </c>
      <c r="F129" s="76">
        <v>141</v>
      </c>
      <c r="G129" s="30"/>
      <c r="H129" s="76"/>
      <c r="I129" s="76"/>
      <c r="J129" s="76"/>
      <c r="K129" s="30">
        <f t="shared" ref="K129" si="494">SUM(D129-SUM(H129:J129))</f>
        <v>272</v>
      </c>
      <c r="L129" s="76"/>
      <c r="M129" s="76"/>
      <c r="N129" s="76"/>
      <c r="O129" s="30">
        <f t="shared" ref="O129" si="495">SUM(E129-SUM(L129:N129))</f>
        <v>267</v>
      </c>
      <c r="P129" s="76"/>
      <c r="Q129" s="76"/>
      <c r="R129" s="76"/>
      <c r="S129" s="30">
        <f t="shared" ref="S129" si="496">SUM(F129-SUM(P129:R129))</f>
        <v>141</v>
      </c>
      <c r="T129" s="76"/>
      <c r="V129" s="30">
        <f t="shared" si="483"/>
        <v>272</v>
      </c>
      <c r="W129" s="30">
        <f t="shared" si="484"/>
        <v>272</v>
      </c>
      <c r="X129" s="30">
        <f t="shared" si="485"/>
        <v>272</v>
      </c>
      <c r="Y129" s="30">
        <f t="shared" si="486"/>
        <v>272</v>
      </c>
      <c r="Z129" s="30">
        <f t="shared" si="487"/>
        <v>267</v>
      </c>
      <c r="AA129" s="30">
        <f t="shared" si="488"/>
        <v>267</v>
      </c>
      <c r="AB129" s="30">
        <f t="shared" si="489"/>
        <v>267</v>
      </c>
      <c r="AC129" s="30">
        <f t="shared" si="490"/>
        <v>267</v>
      </c>
      <c r="AD129" s="30">
        <f t="shared" si="491"/>
        <v>141</v>
      </c>
      <c r="AE129" s="30">
        <f t="shared" si="492"/>
        <v>141</v>
      </c>
      <c r="AF129" s="55"/>
      <c r="AG129" s="68">
        <f t="shared" ref="AG129" si="497">SUM(AE129/AA129)-1</f>
        <v>-0.4719101123595506</v>
      </c>
    </row>
    <row r="130" spans="2:33" ht="12.75" customHeight="1">
      <c r="B130" s="12" t="s">
        <v>52</v>
      </c>
      <c r="C130" s="13">
        <f>SUM(C109:C129)</f>
        <v>953</v>
      </c>
      <c r="D130" s="13">
        <f>SUM(D109:D129)</f>
        <v>219</v>
      </c>
      <c r="E130" s="13">
        <f>SUM(E109:E129)</f>
        <v>475</v>
      </c>
      <c r="F130" s="13">
        <f>SUM(F109:F129)</f>
        <v>752</v>
      </c>
      <c r="H130" s="13">
        <f>SUM(H109:H129)</f>
        <v>0</v>
      </c>
      <c r="I130" s="13">
        <f>SUM(I109:I129)</f>
        <v>0</v>
      </c>
      <c r="J130" s="13">
        <f>SUM(J109:J129)</f>
        <v>0</v>
      </c>
      <c r="K130" s="13">
        <f>SUM(K109:K129)</f>
        <v>-142</v>
      </c>
      <c r="L130" s="13">
        <f>SUM(L109:L129)</f>
        <v>0</v>
      </c>
      <c r="M130" s="13">
        <f>SUM(M109:M129)</f>
        <v>0</v>
      </c>
      <c r="N130" s="13">
        <f>SUM(N109:N129)</f>
        <v>0</v>
      </c>
      <c r="O130" s="13">
        <f>SUM(O109:O129)</f>
        <v>384</v>
      </c>
      <c r="P130" s="13">
        <f>SUM(P109:P129)</f>
        <v>0</v>
      </c>
      <c r="Q130" s="13">
        <f>SUM(Q109:Q129)</f>
        <v>0</v>
      </c>
      <c r="R130" s="13">
        <f>SUM(R109:R129)</f>
        <v>0</v>
      </c>
      <c r="S130" s="13">
        <f>SUM(S109:S129)</f>
        <v>752</v>
      </c>
      <c r="T130" s="13">
        <f>SUM(T109:T129)</f>
        <v>0</v>
      </c>
      <c r="V130" s="13">
        <f>SUM(V109:V129)</f>
        <v>-2070</v>
      </c>
      <c r="W130" s="13">
        <f>SUM(W109:W129)</f>
        <v>-2070</v>
      </c>
      <c r="X130" s="13">
        <f>SUM(X109:X129)</f>
        <v>-2070</v>
      </c>
      <c r="Y130" s="13">
        <f>SUM(Y109:Y129)</f>
        <v>-2070</v>
      </c>
      <c r="Z130" s="13">
        <f>SUM(Z109:Z129)</f>
        <v>1361</v>
      </c>
      <c r="AA130" s="13">
        <f>SUM(AA109:AA129)</f>
        <v>1361</v>
      </c>
      <c r="AB130" s="13">
        <f>SUM(AB109:AB129)</f>
        <v>1361</v>
      </c>
      <c r="AC130" s="13">
        <f>SUM(AC109:AC129)</f>
        <v>1361</v>
      </c>
      <c r="AD130" s="13">
        <f>SUM(AD109:AD129)</f>
        <v>6042</v>
      </c>
      <c r="AE130" s="13">
        <f>SUM(AE109:AE129)</f>
        <v>6042</v>
      </c>
      <c r="AF130" s="39"/>
      <c r="AG130" s="69">
        <f>SUM(AE130/AA130)-1</f>
        <v>3.4393828067597356</v>
      </c>
    </row>
    <row r="131" spans="2:33" ht="12.75" customHeight="1">
      <c r="B131" s="49"/>
      <c r="C131" s="57"/>
      <c r="D131" s="57"/>
      <c r="E131" s="57"/>
      <c r="F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6"/>
    </row>
    <row r="132" spans="2:33" ht="12.75" customHeight="1">
      <c r="B132" s="112" t="s">
        <v>53</v>
      </c>
      <c r="C132" s="54"/>
      <c r="D132" s="54"/>
      <c r="E132" s="54"/>
      <c r="F132" s="54"/>
      <c r="H132" s="76"/>
      <c r="I132" s="76"/>
      <c r="J132" s="76"/>
      <c r="K132" s="30"/>
      <c r="L132" s="76"/>
      <c r="M132" s="76"/>
      <c r="N132" s="76"/>
      <c r="O132" s="30"/>
      <c r="P132" s="76"/>
      <c r="Q132" s="76"/>
      <c r="R132" s="76"/>
      <c r="S132" s="76"/>
      <c r="T132" s="76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5"/>
      <c r="AG132" s="36"/>
    </row>
    <row r="133" spans="2:33" ht="12.75" customHeight="1">
      <c r="B133" s="56" t="s">
        <v>175</v>
      </c>
      <c r="C133" s="76">
        <v>-193</v>
      </c>
      <c r="D133" s="76">
        <v>-254</v>
      </c>
      <c r="E133" s="76">
        <v>-322</v>
      </c>
      <c r="F133" s="76">
        <v>-326</v>
      </c>
      <c r="G133" s="30"/>
      <c r="H133" s="76"/>
      <c r="I133" s="76"/>
      <c r="J133" s="76"/>
      <c r="K133" s="30">
        <f t="shared" ref="K133" si="498">SUM(D133-SUM(H133:J133))</f>
        <v>-254</v>
      </c>
      <c r="L133" s="76"/>
      <c r="M133" s="76"/>
      <c r="N133" s="76"/>
      <c r="O133" s="30">
        <f t="shared" ref="O133" si="499">SUM(E133-SUM(L133:N133))</f>
        <v>-322</v>
      </c>
      <c r="P133" s="76"/>
      <c r="Q133" s="76"/>
      <c r="R133" s="76"/>
      <c r="S133" s="30">
        <f t="shared" ref="S133" si="500">SUM(F133-SUM(P133:R133))</f>
        <v>-326</v>
      </c>
      <c r="T133" s="76"/>
      <c r="U133" s="30"/>
      <c r="V133" s="30">
        <f t="shared" ref="V133:V137" si="501">SUM(H133:K133)</f>
        <v>-254</v>
      </c>
      <c r="W133" s="30">
        <f t="shared" ref="W133:W137" si="502">SUM(I133:L133)</f>
        <v>-254</v>
      </c>
      <c r="X133" s="30">
        <f t="shared" ref="X133:X137" si="503">SUM(J133:M133)</f>
        <v>-254</v>
      </c>
      <c r="Y133" s="30">
        <f t="shared" ref="Y133:Y137" si="504">SUM(K133:N133)</f>
        <v>-254</v>
      </c>
      <c r="Z133" s="30">
        <f t="shared" ref="Z133:Z137" si="505">SUM(L133:O133)</f>
        <v>-322</v>
      </c>
      <c r="AA133" s="30">
        <f t="shared" ref="AA133:AA137" si="506">SUM(M133:P133)</f>
        <v>-322</v>
      </c>
      <c r="AB133" s="30">
        <f t="shared" ref="AB133:AB137" si="507">SUM(N133:Q133)</f>
        <v>-322</v>
      </c>
      <c r="AC133" s="30">
        <f t="shared" ref="AC133:AC137" si="508">SUM(O133:R133)</f>
        <v>-322</v>
      </c>
      <c r="AD133" s="30">
        <f t="shared" ref="AD133:AD137" si="509">SUM(P133:S133)</f>
        <v>-326</v>
      </c>
      <c r="AE133" s="30">
        <f t="shared" ref="AE133:AE137" si="510">SUM(Q133:T133)</f>
        <v>-326</v>
      </c>
      <c r="AF133" s="55"/>
      <c r="AG133" s="68">
        <f t="shared" ref="AG133" si="511">SUM(AE133/AA133)-1</f>
        <v>1.2422360248447228E-2</v>
      </c>
    </row>
    <row r="134" spans="2:33" ht="12.75" customHeight="1">
      <c r="B134" s="56" t="s">
        <v>176</v>
      </c>
      <c r="C134" s="76">
        <v>-354</v>
      </c>
      <c r="D134" s="76">
        <v>-358</v>
      </c>
      <c r="E134" s="76">
        <v>-328</v>
      </c>
      <c r="F134" s="76">
        <v>-263</v>
      </c>
      <c r="G134" s="30"/>
      <c r="H134" s="76"/>
      <c r="I134" s="76"/>
      <c r="J134" s="76"/>
      <c r="K134" s="30">
        <f t="shared" ref="K134:K136" si="512">SUM(D134-SUM(H134:J134))</f>
        <v>-358</v>
      </c>
      <c r="L134" s="76"/>
      <c r="M134" s="76"/>
      <c r="N134" s="76"/>
      <c r="O134" s="30">
        <f t="shared" ref="O134:O136" si="513">SUM(E134-SUM(L134:N134))</f>
        <v>-328</v>
      </c>
      <c r="P134" s="76"/>
      <c r="Q134" s="76"/>
      <c r="R134" s="76"/>
      <c r="S134" s="30">
        <f t="shared" ref="S134:S136" si="514">SUM(F134-SUM(P134:R134))</f>
        <v>-263</v>
      </c>
      <c r="T134" s="76"/>
      <c r="U134" s="30"/>
      <c r="V134" s="30">
        <f t="shared" si="501"/>
        <v>-358</v>
      </c>
      <c r="W134" s="30">
        <f t="shared" si="502"/>
        <v>-358</v>
      </c>
      <c r="X134" s="30">
        <f t="shared" si="503"/>
        <v>-358</v>
      </c>
      <c r="Y134" s="30">
        <f t="shared" si="504"/>
        <v>-358</v>
      </c>
      <c r="Z134" s="30">
        <f t="shared" si="505"/>
        <v>-328</v>
      </c>
      <c r="AA134" s="30">
        <f t="shared" si="506"/>
        <v>-328</v>
      </c>
      <c r="AB134" s="30">
        <f t="shared" si="507"/>
        <v>-328</v>
      </c>
      <c r="AC134" s="30">
        <f t="shared" si="508"/>
        <v>-328</v>
      </c>
      <c r="AD134" s="30">
        <f t="shared" si="509"/>
        <v>-263</v>
      </c>
      <c r="AE134" s="30">
        <f t="shared" si="510"/>
        <v>-263</v>
      </c>
      <c r="AF134" s="55"/>
      <c r="AG134" s="68">
        <f t="shared" ref="AG134:AG136" si="515">SUM(AE134/AA134)-1</f>
        <v>-0.19817073170731703</v>
      </c>
    </row>
    <row r="135" spans="2:33" ht="12.75" customHeight="1">
      <c r="B135" s="56" t="s">
        <v>187</v>
      </c>
      <c r="C135" s="76">
        <f>-54+3028</f>
        <v>2974</v>
      </c>
      <c r="D135" s="76">
        <v>95</v>
      </c>
      <c r="E135" s="76">
        <v>71</v>
      </c>
      <c r="F135" s="76">
        <v>554</v>
      </c>
      <c r="G135" s="30"/>
      <c r="H135" s="76"/>
      <c r="I135" s="76"/>
      <c r="J135" s="76"/>
      <c r="K135" s="30">
        <f t="shared" si="512"/>
        <v>95</v>
      </c>
      <c r="L135" s="76"/>
      <c r="M135" s="76"/>
      <c r="N135" s="76"/>
      <c r="O135" s="30">
        <f t="shared" si="513"/>
        <v>71</v>
      </c>
      <c r="P135" s="76"/>
      <c r="Q135" s="76"/>
      <c r="R135" s="76"/>
      <c r="S135" s="30">
        <f t="shared" si="514"/>
        <v>554</v>
      </c>
      <c r="T135" s="76"/>
      <c r="U135" s="30"/>
      <c r="V135" s="30">
        <f t="shared" ref="V135:V136" si="516">SUM(H135:K135)</f>
        <v>95</v>
      </c>
      <c r="W135" s="30">
        <f t="shared" ref="W135:W136" si="517">SUM(I135:L135)</f>
        <v>95</v>
      </c>
      <c r="X135" s="30">
        <f t="shared" ref="X135:X136" si="518">SUM(J135:M135)</f>
        <v>95</v>
      </c>
      <c r="Y135" s="30">
        <f t="shared" ref="Y135:Y136" si="519">SUM(K135:N135)</f>
        <v>95</v>
      </c>
      <c r="Z135" s="30">
        <f t="shared" ref="Z135:Z136" si="520">SUM(L135:O135)</f>
        <v>71</v>
      </c>
      <c r="AA135" s="30">
        <f t="shared" ref="AA135:AA136" si="521">SUM(M135:P135)</f>
        <v>71</v>
      </c>
      <c r="AB135" s="30">
        <f t="shared" ref="AB135:AB136" si="522">SUM(N135:Q135)</f>
        <v>71</v>
      </c>
      <c r="AC135" s="30">
        <f t="shared" ref="AC135:AC136" si="523">SUM(O135:R135)</f>
        <v>71</v>
      </c>
      <c r="AD135" s="30">
        <f t="shared" ref="AD135:AD136" si="524">SUM(P135:S135)</f>
        <v>554</v>
      </c>
      <c r="AE135" s="30">
        <f t="shared" ref="AE135:AE136" si="525">SUM(Q135:T135)</f>
        <v>554</v>
      </c>
      <c r="AF135" s="55"/>
      <c r="AG135" s="68">
        <f t="shared" si="515"/>
        <v>6.802816901408451</v>
      </c>
    </row>
    <row r="136" spans="2:33" ht="12.75" customHeight="1">
      <c r="B136" s="56" t="s">
        <v>177</v>
      </c>
      <c r="C136" s="76">
        <v>-25</v>
      </c>
      <c r="D136" s="76">
        <v>-1</v>
      </c>
      <c r="E136" s="76">
        <v>-3</v>
      </c>
      <c r="F136" s="76">
        <v>-8</v>
      </c>
      <c r="G136" s="30"/>
      <c r="H136" s="76"/>
      <c r="I136" s="76"/>
      <c r="J136" s="76"/>
      <c r="K136" s="30">
        <f t="shared" si="512"/>
        <v>-1</v>
      </c>
      <c r="L136" s="76"/>
      <c r="M136" s="76"/>
      <c r="N136" s="76"/>
      <c r="O136" s="30">
        <f t="shared" si="513"/>
        <v>-3</v>
      </c>
      <c r="P136" s="76"/>
      <c r="Q136" s="76"/>
      <c r="R136" s="76"/>
      <c r="S136" s="30">
        <f t="shared" si="514"/>
        <v>-8</v>
      </c>
      <c r="T136" s="76"/>
      <c r="U136" s="30"/>
      <c r="V136" s="30">
        <f t="shared" si="516"/>
        <v>-1</v>
      </c>
      <c r="W136" s="30">
        <f t="shared" si="517"/>
        <v>-1</v>
      </c>
      <c r="X136" s="30">
        <f t="shared" si="518"/>
        <v>-1</v>
      </c>
      <c r="Y136" s="30">
        <f t="shared" si="519"/>
        <v>-1</v>
      </c>
      <c r="Z136" s="30">
        <f t="shared" si="520"/>
        <v>-3</v>
      </c>
      <c r="AA136" s="30">
        <f t="shared" si="521"/>
        <v>-3</v>
      </c>
      <c r="AB136" s="30">
        <f t="shared" si="522"/>
        <v>-3</v>
      </c>
      <c r="AC136" s="30">
        <f t="shared" si="523"/>
        <v>-3</v>
      </c>
      <c r="AD136" s="30">
        <f t="shared" si="524"/>
        <v>-8</v>
      </c>
      <c r="AE136" s="30">
        <f t="shared" si="525"/>
        <v>-8</v>
      </c>
      <c r="AF136" s="55"/>
      <c r="AG136" s="68">
        <f t="shared" si="515"/>
        <v>1.6666666666666665</v>
      </c>
    </row>
    <row r="137" spans="2:33" ht="12.75" customHeight="1">
      <c r="B137" s="56" t="s">
        <v>178</v>
      </c>
      <c r="C137" s="76">
        <v>-7</v>
      </c>
      <c r="D137" s="76">
        <v>-8</v>
      </c>
      <c r="E137" s="76">
        <v>1524</v>
      </c>
      <c r="F137" s="76">
        <v>55</v>
      </c>
      <c r="G137" s="30"/>
      <c r="H137" s="76"/>
      <c r="I137" s="76"/>
      <c r="J137" s="76"/>
      <c r="K137" s="30">
        <f t="shared" ref="K137" si="526">SUM(D137-SUM(H137:J137))</f>
        <v>-8</v>
      </c>
      <c r="L137" s="76"/>
      <c r="M137" s="76"/>
      <c r="N137" s="76"/>
      <c r="O137" s="30">
        <f t="shared" ref="O137" si="527">SUM(E137-SUM(L137:N137))</f>
        <v>1524</v>
      </c>
      <c r="P137" s="76"/>
      <c r="Q137" s="76"/>
      <c r="R137" s="76"/>
      <c r="S137" s="30">
        <f t="shared" ref="S137" si="528">SUM(F137-SUM(P137:R137))</f>
        <v>55</v>
      </c>
      <c r="T137" s="76"/>
      <c r="U137" s="30"/>
      <c r="V137" s="30">
        <f t="shared" si="501"/>
        <v>-8</v>
      </c>
      <c r="W137" s="30">
        <f t="shared" si="502"/>
        <v>-8</v>
      </c>
      <c r="X137" s="30">
        <f t="shared" si="503"/>
        <v>-8</v>
      </c>
      <c r="Y137" s="30">
        <f t="shared" si="504"/>
        <v>-8</v>
      </c>
      <c r="Z137" s="30">
        <f t="shared" si="505"/>
        <v>1524</v>
      </c>
      <c r="AA137" s="30">
        <f t="shared" si="506"/>
        <v>1524</v>
      </c>
      <c r="AB137" s="30">
        <f t="shared" si="507"/>
        <v>1524</v>
      </c>
      <c r="AC137" s="30">
        <f t="shared" si="508"/>
        <v>1524</v>
      </c>
      <c r="AD137" s="30">
        <f t="shared" si="509"/>
        <v>55</v>
      </c>
      <c r="AE137" s="30">
        <f t="shared" si="510"/>
        <v>55</v>
      </c>
      <c r="AF137" s="55"/>
      <c r="AG137" s="68">
        <f t="shared" ref="AG137" si="529">SUM(AE137/AA137)-1</f>
        <v>-0.96391076115485563</v>
      </c>
    </row>
    <row r="138" spans="2:33" ht="12.75" customHeight="1">
      <c r="B138" s="12" t="s">
        <v>54</v>
      </c>
      <c r="C138" s="13">
        <f>SUM(C133:C137)</f>
        <v>2395</v>
      </c>
      <c r="D138" s="13">
        <f>SUM(D133:D137)</f>
        <v>-526</v>
      </c>
      <c r="E138" s="13">
        <f>SUM(E133:E137)</f>
        <v>942</v>
      </c>
      <c r="F138" s="13">
        <f>SUM(F133:F137)</f>
        <v>12</v>
      </c>
      <c r="H138" s="13">
        <f>SUM(H133:H137)</f>
        <v>0</v>
      </c>
      <c r="I138" s="13">
        <f>SUM(I133:I137)</f>
        <v>0</v>
      </c>
      <c r="J138" s="13">
        <f>SUM(J133:J137)</f>
        <v>0</v>
      </c>
      <c r="K138" s="13">
        <f>SUM(K133:K137)</f>
        <v>-526</v>
      </c>
      <c r="L138" s="13">
        <f>SUM(L133:L137)</f>
        <v>0</v>
      </c>
      <c r="M138" s="13">
        <f>SUM(M133:M137)</f>
        <v>0</v>
      </c>
      <c r="N138" s="13">
        <f>SUM(N133:N137)</f>
        <v>0</v>
      </c>
      <c r="O138" s="13">
        <f>SUM(O133:O137)</f>
        <v>942</v>
      </c>
      <c r="P138" s="13">
        <f>SUM(P133:P137)</f>
        <v>0</v>
      </c>
      <c r="Q138" s="13">
        <f>SUM(Q133:Q137)</f>
        <v>0</v>
      </c>
      <c r="R138" s="13">
        <f>SUM(R133:R137)</f>
        <v>0</v>
      </c>
      <c r="S138" s="13">
        <f>SUM(S133:S137)</f>
        <v>12</v>
      </c>
      <c r="T138" s="13">
        <f>SUM(T133:T137)</f>
        <v>0</v>
      </c>
      <c r="V138" s="13">
        <f>SUM(V133:V137)</f>
        <v>-526</v>
      </c>
      <c r="W138" s="13">
        <f>SUM(W133:W137)</f>
        <v>-526</v>
      </c>
      <c r="X138" s="13">
        <f>SUM(X133:X137)</f>
        <v>-526</v>
      </c>
      <c r="Y138" s="13">
        <f>SUM(Y133:Y137)</f>
        <v>-526</v>
      </c>
      <c r="Z138" s="13">
        <f>SUM(Z133:Z137)</f>
        <v>942</v>
      </c>
      <c r="AA138" s="13">
        <f>SUM(AA133:AA137)</f>
        <v>942</v>
      </c>
      <c r="AB138" s="13">
        <f>SUM(AB133:AB137)</f>
        <v>942</v>
      </c>
      <c r="AC138" s="13">
        <f>SUM(AC133:AC137)</f>
        <v>942</v>
      </c>
      <c r="AD138" s="13">
        <f>SUM(AD133:AD137)</f>
        <v>12</v>
      </c>
      <c r="AE138" s="13">
        <f>SUM(AE133:AE137)</f>
        <v>12</v>
      </c>
      <c r="AF138" s="39"/>
      <c r="AG138" s="69">
        <f>SUM(AE138/AA138)-1</f>
        <v>-0.98726114649681529</v>
      </c>
    </row>
    <row r="139" spans="2:33" ht="5.0999999999999996" customHeight="1">
      <c r="B139" s="48"/>
      <c r="C139" s="57"/>
      <c r="D139" s="57"/>
      <c r="E139" s="57"/>
      <c r="F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6"/>
    </row>
    <row r="140" spans="2:33" ht="12.75" customHeight="1">
      <c r="B140" s="112" t="s">
        <v>55</v>
      </c>
      <c r="C140" s="58"/>
      <c r="D140" s="58"/>
      <c r="E140" s="58"/>
      <c r="F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59"/>
      <c r="AG140" s="36"/>
    </row>
    <row r="141" spans="2:33" ht="12.75" customHeight="1">
      <c r="B141" s="77" t="s">
        <v>179</v>
      </c>
      <c r="C141" s="76">
        <v>58</v>
      </c>
      <c r="D141" s="76">
        <v>1138</v>
      </c>
      <c r="E141" s="76">
        <v>45</v>
      </c>
      <c r="F141" s="76">
        <v>0</v>
      </c>
      <c r="H141" s="76"/>
      <c r="I141" s="76"/>
      <c r="J141" s="76"/>
      <c r="K141" s="30">
        <f t="shared" ref="K141:K148" si="530">SUM(D141-SUM(H141:J141))</f>
        <v>1138</v>
      </c>
      <c r="L141" s="76"/>
      <c r="M141" s="76"/>
      <c r="N141" s="76"/>
      <c r="O141" s="30">
        <f t="shared" ref="O141:O148" si="531">SUM(E141-SUM(L141:N141))</f>
        <v>45</v>
      </c>
      <c r="P141" s="76"/>
      <c r="Q141" s="76"/>
      <c r="R141" s="76"/>
      <c r="S141" s="30">
        <f t="shared" ref="S141:S148" si="532">SUM(F141-SUM(P141:R141))</f>
        <v>0</v>
      </c>
      <c r="T141" s="76"/>
      <c r="U141" s="30"/>
      <c r="V141" s="30">
        <f t="shared" ref="V141:V150" si="533">SUM(H141:K141)</f>
        <v>1138</v>
      </c>
      <c r="W141" s="30">
        <f t="shared" ref="W141:W150" si="534">SUM(I141:L141)</f>
        <v>1138</v>
      </c>
      <c r="X141" s="30">
        <f t="shared" ref="X141:X150" si="535">SUM(J141:M141)</f>
        <v>1138</v>
      </c>
      <c r="Y141" s="30">
        <f t="shared" ref="Y141:Y150" si="536">SUM(K141:N141)</f>
        <v>1138</v>
      </c>
      <c r="Z141" s="30">
        <f t="shared" ref="Z141:Z150" si="537">SUM(L141:O141)</f>
        <v>45</v>
      </c>
      <c r="AA141" s="30">
        <f t="shared" ref="AA141:AA150" si="538">SUM(M141:P141)</f>
        <v>45</v>
      </c>
      <c r="AB141" s="30">
        <f t="shared" ref="AB141:AB150" si="539">SUM(N141:Q141)</f>
        <v>45</v>
      </c>
      <c r="AC141" s="30">
        <f t="shared" ref="AC141:AC150" si="540">SUM(O141:R141)</f>
        <v>45</v>
      </c>
      <c r="AD141" s="30">
        <f t="shared" ref="AD141:AD150" si="541">SUM(P141:S141)</f>
        <v>0</v>
      </c>
      <c r="AE141" s="30">
        <f t="shared" ref="AE141:AE150" si="542">SUM(Q141:T141)</f>
        <v>0</v>
      </c>
      <c r="AF141" s="59"/>
      <c r="AG141" s="68">
        <f t="shared" ref="AG141" si="543">SUM(AE141/AA141)-1</f>
        <v>-1</v>
      </c>
    </row>
    <row r="142" spans="2:33" ht="12.75" customHeight="1">
      <c r="B142" s="56" t="s">
        <v>180</v>
      </c>
      <c r="C142" s="76">
        <v>-2230</v>
      </c>
      <c r="D142" s="76">
        <v>-3140</v>
      </c>
      <c r="E142" s="76">
        <v>-1277</v>
      </c>
      <c r="F142" s="76">
        <v>-126</v>
      </c>
      <c r="G142" s="30"/>
      <c r="H142" s="76"/>
      <c r="I142" s="76"/>
      <c r="J142" s="76"/>
      <c r="K142" s="30">
        <f t="shared" si="530"/>
        <v>-3140</v>
      </c>
      <c r="L142" s="76"/>
      <c r="M142" s="76"/>
      <c r="N142" s="76"/>
      <c r="O142" s="30">
        <f t="shared" si="531"/>
        <v>-1277</v>
      </c>
      <c r="P142" s="76"/>
      <c r="Q142" s="76"/>
      <c r="R142" s="76"/>
      <c r="S142" s="30">
        <f t="shared" si="532"/>
        <v>-126</v>
      </c>
      <c r="T142" s="76"/>
      <c r="U142" s="30"/>
      <c r="V142" s="30">
        <f t="shared" si="533"/>
        <v>-3140</v>
      </c>
      <c r="W142" s="30">
        <f t="shared" si="534"/>
        <v>-3140</v>
      </c>
      <c r="X142" s="30">
        <f t="shared" si="535"/>
        <v>-3140</v>
      </c>
      <c r="Y142" s="30">
        <f t="shared" si="536"/>
        <v>-3140</v>
      </c>
      <c r="Z142" s="30">
        <f t="shared" si="537"/>
        <v>-1277</v>
      </c>
      <c r="AA142" s="30">
        <f t="shared" si="538"/>
        <v>-1277</v>
      </c>
      <c r="AB142" s="30">
        <f t="shared" si="539"/>
        <v>-1277</v>
      </c>
      <c r="AC142" s="30">
        <f t="shared" si="540"/>
        <v>-1277</v>
      </c>
      <c r="AD142" s="30">
        <f t="shared" si="541"/>
        <v>-126</v>
      </c>
      <c r="AE142" s="30">
        <f t="shared" si="542"/>
        <v>-126</v>
      </c>
      <c r="AF142" s="55"/>
      <c r="AG142" s="68">
        <f t="shared" ref="AG142" si="544">SUM(AE142/AA142)-1</f>
        <v>-0.90133124510571649</v>
      </c>
    </row>
    <row r="143" spans="2:33" ht="12.75" customHeight="1">
      <c r="B143" s="56" t="s">
        <v>181</v>
      </c>
      <c r="C143" s="76">
        <v>-30</v>
      </c>
      <c r="D143" s="76">
        <v>-58</v>
      </c>
      <c r="E143" s="76">
        <v>-58</v>
      </c>
      <c r="F143" s="76">
        <v>-29</v>
      </c>
      <c r="G143" s="30"/>
      <c r="H143" s="76"/>
      <c r="I143" s="76"/>
      <c r="J143" s="76"/>
      <c r="K143" s="30">
        <f t="shared" si="530"/>
        <v>-58</v>
      </c>
      <c r="L143" s="76"/>
      <c r="M143" s="76"/>
      <c r="N143" s="76"/>
      <c r="O143" s="30">
        <f t="shared" si="531"/>
        <v>-58</v>
      </c>
      <c r="P143" s="76"/>
      <c r="Q143" s="76"/>
      <c r="R143" s="76"/>
      <c r="S143" s="30">
        <f t="shared" si="532"/>
        <v>-29</v>
      </c>
      <c r="T143" s="76"/>
      <c r="U143" s="30"/>
      <c r="V143" s="30">
        <f t="shared" ref="V143:V147" si="545">SUM(H143:K143)</f>
        <v>-58</v>
      </c>
      <c r="W143" s="30">
        <f t="shared" ref="W143:W147" si="546">SUM(I143:L143)</f>
        <v>-58</v>
      </c>
      <c r="X143" s="30">
        <f t="shared" ref="X143:X147" si="547">SUM(J143:M143)</f>
        <v>-58</v>
      </c>
      <c r="Y143" s="30">
        <f t="shared" ref="Y143:Y147" si="548">SUM(K143:N143)</f>
        <v>-58</v>
      </c>
      <c r="Z143" s="30">
        <f t="shared" ref="Z143:Z147" si="549">SUM(L143:O143)</f>
        <v>-58</v>
      </c>
      <c r="AA143" s="30">
        <f t="shared" ref="AA143:AA147" si="550">SUM(M143:P143)</f>
        <v>-58</v>
      </c>
      <c r="AB143" s="30">
        <f t="shared" ref="AB143:AB147" si="551">SUM(N143:Q143)</f>
        <v>-58</v>
      </c>
      <c r="AC143" s="30">
        <f t="shared" ref="AC143:AC147" si="552">SUM(O143:R143)</f>
        <v>-58</v>
      </c>
      <c r="AD143" s="30">
        <f t="shared" ref="AD143:AD147" si="553">SUM(P143:S143)</f>
        <v>-29</v>
      </c>
      <c r="AE143" s="30">
        <f t="shared" ref="AE143:AE147" si="554">SUM(Q143:T143)</f>
        <v>-29</v>
      </c>
      <c r="AF143" s="55"/>
      <c r="AG143" s="68">
        <f t="shared" ref="AG143:AG147" si="555">SUM(AE143/AA143)-1</f>
        <v>-0.5</v>
      </c>
    </row>
    <row r="144" spans="2:33" ht="12.75" customHeight="1">
      <c r="B144" s="56" t="s">
        <v>182</v>
      </c>
      <c r="C144" s="76">
        <v>-617</v>
      </c>
      <c r="D144" s="76">
        <v>-631</v>
      </c>
      <c r="E144" s="76">
        <v>-389</v>
      </c>
      <c r="F144" s="76">
        <v>-139</v>
      </c>
      <c r="G144" s="30"/>
      <c r="H144" s="76"/>
      <c r="I144" s="76"/>
      <c r="J144" s="76"/>
      <c r="K144" s="30">
        <f t="shared" si="530"/>
        <v>-631</v>
      </c>
      <c r="L144" s="76"/>
      <c r="M144" s="76"/>
      <c r="N144" s="76"/>
      <c r="O144" s="30">
        <f t="shared" si="531"/>
        <v>-389</v>
      </c>
      <c r="P144" s="76"/>
      <c r="Q144" s="76"/>
      <c r="R144" s="76"/>
      <c r="S144" s="30">
        <f t="shared" si="532"/>
        <v>-139</v>
      </c>
      <c r="T144" s="76"/>
      <c r="U144" s="30"/>
      <c r="V144" s="30">
        <f t="shared" si="545"/>
        <v>-631</v>
      </c>
      <c r="W144" s="30">
        <f t="shared" si="546"/>
        <v>-631</v>
      </c>
      <c r="X144" s="30">
        <f t="shared" si="547"/>
        <v>-631</v>
      </c>
      <c r="Y144" s="30">
        <f t="shared" si="548"/>
        <v>-631</v>
      </c>
      <c r="Z144" s="30">
        <f t="shared" si="549"/>
        <v>-389</v>
      </c>
      <c r="AA144" s="30">
        <f t="shared" si="550"/>
        <v>-389</v>
      </c>
      <c r="AB144" s="30">
        <f t="shared" si="551"/>
        <v>-389</v>
      </c>
      <c r="AC144" s="30">
        <f t="shared" si="552"/>
        <v>-389</v>
      </c>
      <c r="AD144" s="30">
        <f t="shared" si="553"/>
        <v>-139</v>
      </c>
      <c r="AE144" s="30">
        <f t="shared" si="554"/>
        <v>-139</v>
      </c>
      <c r="AF144" s="55"/>
      <c r="AG144" s="68">
        <f t="shared" si="555"/>
        <v>-0.64267352185089976</v>
      </c>
    </row>
    <row r="145" spans="2:33" ht="12.75" customHeight="1">
      <c r="B145" s="56" t="s">
        <v>188</v>
      </c>
      <c r="C145" s="76">
        <v>983</v>
      </c>
      <c r="D145" s="76">
        <v>0</v>
      </c>
      <c r="E145" s="76">
        <v>0</v>
      </c>
      <c r="F145" s="76">
        <v>0</v>
      </c>
      <c r="G145" s="30"/>
      <c r="H145" s="76"/>
      <c r="I145" s="76"/>
      <c r="J145" s="76"/>
      <c r="K145" s="30">
        <f t="shared" si="530"/>
        <v>0</v>
      </c>
      <c r="L145" s="76"/>
      <c r="M145" s="76"/>
      <c r="N145" s="76"/>
      <c r="O145" s="30">
        <f t="shared" si="531"/>
        <v>0</v>
      </c>
      <c r="P145" s="76"/>
      <c r="Q145" s="76"/>
      <c r="R145" s="76"/>
      <c r="S145" s="30">
        <f t="shared" si="532"/>
        <v>0</v>
      </c>
      <c r="T145" s="76"/>
      <c r="U145" s="30"/>
      <c r="V145" s="30">
        <f t="shared" si="545"/>
        <v>0</v>
      </c>
      <c r="W145" s="30">
        <f t="shared" si="546"/>
        <v>0</v>
      </c>
      <c r="X145" s="30">
        <f t="shared" si="547"/>
        <v>0</v>
      </c>
      <c r="Y145" s="30">
        <f t="shared" si="548"/>
        <v>0</v>
      </c>
      <c r="Z145" s="30"/>
      <c r="AA145" s="30"/>
      <c r="AB145" s="30"/>
      <c r="AC145" s="30"/>
      <c r="AD145" s="30"/>
      <c r="AE145" s="30"/>
      <c r="AF145" s="55"/>
      <c r="AG145" s="68"/>
    </row>
    <row r="146" spans="2:33" ht="12.75" customHeight="1">
      <c r="B146" s="56" t="s">
        <v>189</v>
      </c>
      <c r="C146" s="76">
        <v>1672</v>
      </c>
      <c r="D146" s="76">
        <v>0</v>
      </c>
      <c r="E146" s="76">
        <v>0</v>
      </c>
      <c r="F146" s="76">
        <v>0</v>
      </c>
      <c r="G146" s="30"/>
      <c r="H146" s="76"/>
      <c r="I146" s="76"/>
      <c r="J146" s="76"/>
      <c r="K146" s="30">
        <f t="shared" si="530"/>
        <v>0</v>
      </c>
      <c r="L146" s="76"/>
      <c r="M146" s="76"/>
      <c r="N146" s="76"/>
      <c r="O146" s="30">
        <f t="shared" si="531"/>
        <v>0</v>
      </c>
      <c r="P146" s="76"/>
      <c r="Q146" s="76"/>
      <c r="R146" s="76"/>
      <c r="S146" s="30">
        <f t="shared" si="532"/>
        <v>0</v>
      </c>
      <c r="T146" s="76"/>
      <c r="U146" s="30"/>
      <c r="V146" s="30">
        <f t="shared" si="545"/>
        <v>0</v>
      </c>
      <c r="W146" s="30">
        <f t="shared" si="546"/>
        <v>0</v>
      </c>
      <c r="X146" s="30">
        <f t="shared" si="547"/>
        <v>0</v>
      </c>
      <c r="Y146" s="30">
        <f t="shared" si="548"/>
        <v>0</v>
      </c>
      <c r="Z146" s="30"/>
      <c r="AA146" s="30"/>
      <c r="AB146" s="30"/>
      <c r="AC146" s="30"/>
      <c r="AD146" s="30"/>
      <c r="AE146" s="30"/>
      <c r="AF146" s="55"/>
      <c r="AG146" s="68"/>
    </row>
    <row r="147" spans="2:33" ht="12.75" customHeight="1">
      <c r="B147" s="56" t="s">
        <v>183</v>
      </c>
      <c r="C147" s="76">
        <v>-110</v>
      </c>
      <c r="D147" s="76">
        <v>-31</v>
      </c>
      <c r="E147" s="76">
        <v>-29</v>
      </c>
      <c r="F147" s="76">
        <v>-60</v>
      </c>
      <c r="G147" s="30"/>
      <c r="H147" s="76"/>
      <c r="I147" s="76"/>
      <c r="J147" s="76"/>
      <c r="K147" s="30">
        <f t="shared" si="530"/>
        <v>-31</v>
      </c>
      <c r="L147" s="76"/>
      <c r="M147" s="76"/>
      <c r="N147" s="76"/>
      <c r="O147" s="30">
        <f t="shared" si="531"/>
        <v>-29</v>
      </c>
      <c r="P147" s="76"/>
      <c r="Q147" s="76"/>
      <c r="R147" s="76"/>
      <c r="S147" s="30">
        <f t="shared" si="532"/>
        <v>-60</v>
      </c>
      <c r="T147" s="76"/>
      <c r="U147" s="30"/>
      <c r="V147" s="30">
        <f t="shared" si="545"/>
        <v>-31</v>
      </c>
      <c r="W147" s="30">
        <f t="shared" si="546"/>
        <v>-31</v>
      </c>
      <c r="X147" s="30">
        <f t="shared" si="547"/>
        <v>-31</v>
      </c>
      <c r="Y147" s="30">
        <f t="shared" si="548"/>
        <v>-31</v>
      </c>
      <c r="Z147" s="30">
        <f t="shared" si="549"/>
        <v>-29</v>
      </c>
      <c r="AA147" s="30">
        <f t="shared" si="550"/>
        <v>-29</v>
      </c>
      <c r="AB147" s="30">
        <f t="shared" si="551"/>
        <v>-29</v>
      </c>
      <c r="AC147" s="30">
        <f t="shared" si="552"/>
        <v>-29</v>
      </c>
      <c r="AD147" s="30">
        <f t="shared" si="553"/>
        <v>-60</v>
      </c>
      <c r="AE147" s="30">
        <f t="shared" si="554"/>
        <v>-60</v>
      </c>
      <c r="AF147" s="55"/>
      <c r="AG147" s="68">
        <f t="shared" si="555"/>
        <v>1.0689655172413794</v>
      </c>
    </row>
    <row r="148" spans="2:33" ht="12.75" customHeight="1">
      <c r="B148" s="56" t="s">
        <v>190</v>
      </c>
      <c r="C148" s="76">
        <v>408</v>
      </c>
      <c r="D148" s="76">
        <v>0</v>
      </c>
      <c r="E148" s="76">
        <v>0</v>
      </c>
      <c r="F148" s="76">
        <v>0</v>
      </c>
      <c r="G148" s="30"/>
      <c r="H148" s="76"/>
      <c r="I148" s="76"/>
      <c r="J148" s="76"/>
      <c r="K148" s="30">
        <f t="shared" si="530"/>
        <v>0</v>
      </c>
      <c r="L148" s="76"/>
      <c r="M148" s="76"/>
      <c r="N148" s="76"/>
      <c r="O148" s="30">
        <f t="shared" si="531"/>
        <v>0</v>
      </c>
      <c r="P148" s="76"/>
      <c r="Q148" s="76"/>
      <c r="R148" s="76"/>
      <c r="S148" s="30">
        <f t="shared" si="532"/>
        <v>0</v>
      </c>
      <c r="T148" s="76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55"/>
      <c r="AG148" s="68"/>
    </row>
    <row r="149" spans="2:33" ht="12.75" customHeight="1">
      <c r="B149" s="56" t="s">
        <v>184</v>
      </c>
      <c r="C149" s="76">
        <v>-235</v>
      </c>
      <c r="D149" s="76">
        <v>-218</v>
      </c>
      <c r="E149" s="76">
        <v>-93</v>
      </c>
      <c r="F149" s="76">
        <v>-127</v>
      </c>
      <c r="G149" s="30"/>
      <c r="H149" s="76"/>
      <c r="I149" s="76"/>
      <c r="J149" s="76"/>
      <c r="K149" s="30">
        <f t="shared" ref="K149:K150" si="556">SUM(D149-SUM(H149:J149))</f>
        <v>-218</v>
      </c>
      <c r="L149" s="76"/>
      <c r="M149" s="76"/>
      <c r="N149" s="76"/>
      <c r="O149" s="30">
        <f t="shared" ref="O149:O150" si="557">SUM(E149-SUM(L149:N149))</f>
        <v>-93</v>
      </c>
      <c r="P149" s="76"/>
      <c r="Q149" s="76"/>
      <c r="R149" s="76"/>
      <c r="S149" s="30">
        <f t="shared" ref="S149:S150" si="558">SUM(F149-SUM(P149:R149))</f>
        <v>-127</v>
      </c>
      <c r="T149" s="76"/>
      <c r="U149" s="30"/>
      <c r="V149" s="30">
        <f t="shared" si="533"/>
        <v>-218</v>
      </c>
      <c r="W149" s="30">
        <f t="shared" si="534"/>
        <v>-218</v>
      </c>
      <c r="X149" s="30">
        <f t="shared" si="535"/>
        <v>-218</v>
      </c>
      <c r="Y149" s="30">
        <f t="shared" si="536"/>
        <v>-218</v>
      </c>
      <c r="Z149" s="30">
        <f t="shared" si="537"/>
        <v>-93</v>
      </c>
      <c r="AA149" s="30">
        <f t="shared" si="538"/>
        <v>-93</v>
      </c>
      <c r="AB149" s="30">
        <f t="shared" si="539"/>
        <v>-93</v>
      </c>
      <c r="AC149" s="30">
        <f t="shared" si="540"/>
        <v>-93</v>
      </c>
      <c r="AD149" s="30">
        <f t="shared" si="541"/>
        <v>-127</v>
      </c>
      <c r="AE149" s="30">
        <f t="shared" si="542"/>
        <v>-127</v>
      </c>
      <c r="AF149" s="55"/>
      <c r="AG149" s="68">
        <f t="shared" ref="AG149:AG150" si="559">SUM(AE149/AA149)-1</f>
        <v>0.36559139784946226</v>
      </c>
    </row>
    <row r="150" spans="2:33" ht="12.75" customHeight="1">
      <c r="B150" s="56" t="s">
        <v>185</v>
      </c>
      <c r="C150" s="76">
        <v>-51</v>
      </c>
      <c r="D150" s="76">
        <v>-41</v>
      </c>
      <c r="E150" s="76">
        <v>-40</v>
      </c>
      <c r="F150" s="76">
        <v>-26</v>
      </c>
      <c r="G150" s="30"/>
      <c r="H150" s="76"/>
      <c r="I150" s="76"/>
      <c r="J150" s="76"/>
      <c r="K150" s="30">
        <f t="shared" si="556"/>
        <v>-41</v>
      </c>
      <c r="L150" s="76"/>
      <c r="M150" s="76"/>
      <c r="N150" s="76"/>
      <c r="O150" s="30">
        <f t="shared" si="557"/>
        <v>-40</v>
      </c>
      <c r="P150" s="76"/>
      <c r="Q150" s="76"/>
      <c r="R150" s="76"/>
      <c r="S150" s="30">
        <f t="shared" si="558"/>
        <v>-26</v>
      </c>
      <c r="T150" s="76"/>
      <c r="U150" s="30"/>
      <c r="V150" s="30">
        <f t="shared" si="533"/>
        <v>-41</v>
      </c>
      <c r="W150" s="30">
        <f t="shared" si="534"/>
        <v>-41</v>
      </c>
      <c r="X150" s="30">
        <f t="shared" si="535"/>
        <v>-41</v>
      </c>
      <c r="Y150" s="30">
        <f t="shared" si="536"/>
        <v>-41</v>
      </c>
      <c r="Z150" s="30">
        <f t="shared" si="537"/>
        <v>-40</v>
      </c>
      <c r="AA150" s="30">
        <f t="shared" si="538"/>
        <v>-40</v>
      </c>
      <c r="AB150" s="30">
        <f t="shared" si="539"/>
        <v>-40</v>
      </c>
      <c r="AC150" s="30">
        <f t="shared" si="540"/>
        <v>-40</v>
      </c>
      <c r="AD150" s="30">
        <f t="shared" si="541"/>
        <v>-26</v>
      </c>
      <c r="AE150" s="30">
        <f t="shared" si="542"/>
        <v>-26</v>
      </c>
      <c r="AF150" s="55"/>
      <c r="AG150" s="68">
        <f t="shared" si="559"/>
        <v>-0.35</v>
      </c>
    </row>
    <row r="151" spans="2:33" ht="12.75" customHeight="1">
      <c r="B151" s="12" t="s">
        <v>56</v>
      </c>
      <c r="C151" s="13">
        <f>SUM(C141:C150)</f>
        <v>-152</v>
      </c>
      <c r="D151" s="13">
        <f>SUM(D141:D150)</f>
        <v>-2981</v>
      </c>
      <c r="E151" s="13">
        <f>SUM(E141:E150)</f>
        <v>-1841</v>
      </c>
      <c r="F151" s="13">
        <f>SUM(F141:F150)</f>
        <v>-507</v>
      </c>
      <c r="H151" s="13">
        <f>SUM(H141:H150)</f>
        <v>0</v>
      </c>
      <c r="I151" s="13">
        <f>SUM(I141:I150)</f>
        <v>0</v>
      </c>
      <c r="J151" s="13">
        <f>SUM(J141:J150)</f>
        <v>0</v>
      </c>
      <c r="K151" s="13">
        <f>SUM(K141:K150)</f>
        <v>-2981</v>
      </c>
      <c r="L151" s="13">
        <f>SUM(L141:L150)</f>
        <v>0</v>
      </c>
      <c r="M151" s="13">
        <f>SUM(M141:M150)</f>
        <v>0</v>
      </c>
      <c r="N151" s="13">
        <f>SUM(N141:N150)</f>
        <v>0</v>
      </c>
      <c r="O151" s="13">
        <f>SUM(O141:O150)</f>
        <v>-1841</v>
      </c>
      <c r="P151" s="13">
        <f>SUM(P141:P150)</f>
        <v>0</v>
      </c>
      <c r="Q151" s="13">
        <f>SUM(Q141:Q150)</f>
        <v>0</v>
      </c>
      <c r="R151" s="13">
        <f>SUM(R141:R150)</f>
        <v>0</v>
      </c>
      <c r="S151" s="13">
        <f>SUM(S141:S150)</f>
        <v>-507</v>
      </c>
      <c r="T151" s="13">
        <f>SUM(T141:T150)</f>
        <v>0</v>
      </c>
      <c r="V151" s="13">
        <f>SUM(V141:V150)</f>
        <v>-2981</v>
      </c>
      <c r="W151" s="13">
        <f>SUM(W141:W150)</f>
        <v>-2981</v>
      </c>
      <c r="X151" s="13">
        <f>SUM(X141:X150)</f>
        <v>-2981</v>
      </c>
      <c r="Y151" s="13">
        <f>SUM(Y141:Y150)</f>
        <v>-2981</v>
      </c>
      <c r="Z151" s="13">
        <f>SUM(Z141:Z150)</f>
        <v>-1841</v>
      </c>
      <c r="AA151" s="13">
        <f>SUM(AA141:AA150)</f>
        <v>-1841</v>
      </c>
      <c r="AB151" s="13">
        <f>SUM(AB141:AB150)</f>
        <v>-1841</v>
      </c>
      <c r="AC151" s="13">
        <f>SUM(AC141:AC150)</f>
        <v>-1841</v>
      </c>
      <c r="AD151" s="13">
        <f>SUM(AD141:AD150)</f>
        <v>-507</v>
      </c>
      <c r="AE151" s="13">
        <f>SUM(AE141:AE150)</f>
        <v>-507</v>
      </c>
      <c r="AF151" s="39"/>
      <c r="AG151" s="69">
        <f>SUM(AE151/AA151)-1</f>
        <v>-0.72460619228680068</v>
      </c>
    </row>
    <row r="152" spans="2:33" ht="5.0999999999999996" customHeight="1">
      <c r="B152" s="8"/>
      <c r="C152" s="60"/>
      <c r="D152" s="60"/>
      <c r="E152" s="60"/>
      <c r="F152" s="60"/>
      <c r="G152" s="3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42"/>
    </row>
    <row r="153" spans="2:33" ht="5.0999999999999996" customHeight="1">
      <c r="B153" s="65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11"/>
      <c r="AG153" s="42"/>
    </row>
    <row r="154" spans="2:33">
      <c r="B154" s="143" t="s">
        <v>90</v>
      </c>
      <c r="C154" s="165">
        <v>3119</v>
      </c>
      <c r="D154" s="149">
        <f t="shared" ref="D154:E154" si="560">C161</f>
        <v>6267</v>
      </c>
      <c r="E154" s="149">
        <f t="shared" si="560"/>
        <v>2885</v>
      </c>
      <c r="F154" s="149">
        <f t="shared" ref="F154" si="561">E161</f>
        <v>2460</v>
      </c>
      <c r="G154" s="149"/>
      <c r="H154" s="149">
        <f>D154</f>
        <v>6267</v>
      </c>
      <c r="I154" s="149">
        <f t="shared" ref="I154:Q154" si="562">H161</f>
        <v>6267</v>
      </c>
      <c r="J154" s="149">
        <f t="shared" si="562"/>
        <v>6267</v>
      </c>
      <c r="K154" s="149">
        <f t="shared" si="562"/>
        <v>6267</v>
      </c>
      <c r="L154" s="149">
        <f t="shared" si="562"/>
        <v>2524</v>
      </c>
      <c r="M154" s="149">
        <f t="shared" si="562"/>
        <v>2524</v>
      </c>
      <c r="N154" s="149">
        <f t="shared" si="562"/>
        <v>2524</v>
      </c>
      <c r="O154" s="149">
        <f t="shared" si="562"/>
        <v>2524</v>
      </c>
      <c r="P154" s="149">
        <f t="shared" si="562"/>
        <v>2008</v>
      </c>
      <c r="Q154" s="149">
        <f t="shared" si="562"/>
        <v>2008</v>
      </c>
      <c r="R154" s="149">
        <f t="shared" ref="R154:T154" si="563">Q161</f>
        <v>2008</v>
      </c>
      <c r="S154" s="149">
        <f t="shared" ref="S154" si="564">R161</f>
        <v>2008</v>
      </c>
      <c r="T154" s="149">
        <f t="shared" si="563"/>
        <v>2209</v>
      </c>
      <c r="U154" s="149"/>
      <c r="V154" s="149">
        <f>K154</f>
        <v>6267</v>
      </c>
      <c r="W154" s="149">
        <f t="shared" ref="W154:AE154" si="565">V161</f>
        <v>2524</v>
      </c>
      <c r="X154" s="149">
        <f t="shared" si="565"/>
        <v>2524</v>
      </c>
      <c r="Y154" s="149">
        <f t="shared" si="565"/>
        <v>2524</v>
      </c>
      <c r="Z154" s="149">
        <f t="shared" si="565"/>
        <v>2524</v>
      </c>
      <c r="AA154" s="149">
        <f t="shared" si="565"/>
        <v>2008</v>
      </c>
      <c r="AB154" s="149">
        <f t="shared" si="565"/>
        <v>2008</v>
      </c>
      <c r="AC154" s="149">
        <f t="shared" si="565"/>
        <v>2008</v>
      </c>
      <c r="AD154" s="149">
        <f t="shared" si="565"/>
        <v>2008</v>
      </c>
      <c r="AE154" s="150">
        <f t="shared" si="565"/>
        <v>2209</v>
      </c>
      <c r="AF154" s="11"/>
      <c r="AG154" s="42"/>
    </row>
    <row r="155" spans="2:33">
      <c r="B155" s="144" t="s">
        <v>87</v>
      </c>
      <c r="C155" s="76">
        <v>0</v>
      </c>
      <c r="D155" s="30">
        <f t="shared" ref="D155:E155" si="566">-C159</f>
        <v>0</v>
      </c>
      <c r="E155" s="30">
        <f t="shared" si="566"/>
        <v>0</v>
      </c>
      <c r="F155" s="30">
        <f t="shared" ref="F155" si="567">-E159</f>
        <v>0</v>
      </c>
      <c r="G155" s="30"/>
      <c r="H155" s="30">
        <f>D155</f>
        <v>0</v>
      </c>
      <c r="I155" s="30">
        <f>-H159</f>
        <v>0</v>
      </c>
      <c r="J155" s="30">
        <f t="shared" ref="J155:Q155" si="568">-I159</f>
        <v>0</v>
      </c>
      <c r="K155" s="30">
        <f t="shared" si="568"/>
        <v>0</v>
      </c>
      <c r="L155" s="30">
        <f t="shared" si="568"/>
        <v>0</v>
      </c>
      <c r="M155" s="30">
        <f t="shared" si="568"/>
        <v>0</v>
      </c>
      <c r="N155" s="30">
        <f t="shared" si="568"/>
        <v>0</v>
      </c>
      <c r="O155" s="30">
        <f t="shared" si="568"/>
        <v>0</v>
      </c>
      <c r="P155" s="30">
        <f t="shared" si="568"/>
        <v>0</v>
      </c>
      <c r="Q155" s="30">
        <f t="shared" si="568"/>
        <v>0</v>
      </c>
      <c r="R155" s="30">
        <f t="shared" ref="R155:S155" si="569">-Q159</f>
        <v>0</v>
      </c>
      <c r="S155" s="30">
        <f t="shared" si="569"/>
        <v>0</v>
      </c>
      <c r="T155" s="30">
        <f t="shared" ref="T155" si="570">-S159</f>
        <v>0</v>
      </c>
      <c r="U155" s="30"/>
      <c r="V155" s="30">
        <f>K155</f>
        <v>0</v>
      </c>
      <c r="W155" s="30">
        <f t="shared" ref="W155:AE155" si="571">-V159</f>
        <v>0</v>
      </c>
      <c r="X155" s="30">
        <f t="shared" si="571"/>
        <v>0</v>
      </c>
      <c r="Y155" s="30">
        <f t="shared" si="571"/>
        <v>0</v>
      </c>
      <c r="Z155" s="30">
        <f t="shared" si="571"/>
        <v>0</v>
      </c>
      <c r="AA155" s="30">
        <f t="shared" si="571"/>
        <v>0</v>
      </c>
      <c r="AB155" s="30">
        <f t="shared" si="571"/>
        <v>0</v>
      </c>
      <c r="AC155" s="30">
        <f t="shared" si="571"/>
        <v>0</v>
      </c>
      <c r="AD155" s="30">
        <f t="shared" si="571"/>
        <v>0</v>
      </c>
      <c r="AE155" s="139">
        <f t="shared" si="571"/>
        <v>0</v>
      </c>
      <c r="AF155" s="11"/>
      <c r="AG155" s="42"/>
    </row>
    <row r="156" spans="2:33">
      <c r="B156" s="145" t="s">
        <v>70</v>
      </c>
      <c r="C156" s="113">
        <f t="shared" ref="C156:E156" si="572">SUM(C154:C155)</f>
        <v>3119</v>
      </c>
      <c r="D156" s="113">
        <f t="shared" si="572"/>
        <v>6267</v>
      </c>
      <c r="E156" s="113">
        <f t="shared" si="572"/>
        <v>2885</v>
      </c>
      <c r="F156" s="113">
        <f t="shared" ref="F156" si="573">SUM(F154:F155)</f>
        <v>2460</v>
      </c>
      <c r="G156" s="30"/>
      <c r="H156" s="113">
        <f t="shared" ref="H156:Q156" si="574">SUM(H154:H155)</f>
        <v>6267</v>
      </c>
      <c r="I156" s="113">
        <f t="shared" si="574"/>
        <v>6267</v>
      </c>
      <c r="J156" s="113">
        <f t="shared" si="574"/>
        <v>6267</v>
      </c>
      <c r="K156" s="113">
        <f t="shared" si="574"/>
        <v>6267</v>
      </c>
      <c r="L156" s="113">
        <f t="shared" si="574"/>
        <v>2524</v>
      </c>
      <c r="M156" s="113">
        <f t="shared" si="574"/>
        <v>2524</v>
      </c>
      <c r="N156" s="113">
        <f t="shared" si="574"/>
        <v>2524</v>
      </c>
      <c r="O156" s="113">
        <f t="shared" si="574"/>
        <v>2524</v>
      </c>
      <c r="P156" s="113">
        <f t="shared" si="574"/>
        <v>2008</v>
      </c>
      <c r="Q156" s="113">
        <f t="shared" si="574"/>
        <v>2008</v>
      </c>
      <c r="R156" s="113">
        <f t="shared" ref="R156:S156" si="575">SUM(R154:R155)</f>
        <v>2008</v>
      </c>
      <c r="S156" s="113">
        <f t="shared" si="575"/>
        <v>2008</v>
      </c>
      <c r="T156" s="113">
        <f t="shared" ref="T156" si="576">SUM(T154:T155)</f>
        <v>2209</v>
      </c>
      <c r="U156" s="30"/>
      <c r="V156" s="113">
        <f t="shared" ref="V156:Z156" si="577">SUM(V154:V155)</f>
        <v>6267</v>
      </c>
      <c r="W156" s="113">
        <f t="shared" si="577"/>
        <v>2524</v>
      </c>
      <c r="X156" s="113">
        <f t="shared" si="577"/>
        <v>2524</v>
      </c>
      <c r="Y156" s="113">
        <f t="shared" si="577"/>
        <v>2524</v>
      </c>
      <c r="Z156" s="113">
        <f t="shared" si="577"/>
        <v>2524</v>
      </c>
      <c r="AA156" s="113">
        <f t="shared" ref="AA156" si="578">SUM(AA154:AA155)</f>
        <v>2008</v>
      </c>
      <c r="AB156" s="113">
        <f t="shared" ref="AB156" si="579">SUM(AB154:AB155)</f>
        <v>2008</v>
      </c>
      <c r="AC156" s="113">
        <f t="shared" ref="AC156" si="580">SUM(AC154:AC155)</f>
        <v>2008</v>
      </c>
      <c r="AD156" s="113">
        <f t="shared" ref="AD156" si="581">SUM(AD154:AD155)</f>
        <v>2008</v>
      </c>
      <c r="AE156" s="140">
        <f t="shared" ref="AE156" si="582">SUM(AE154:AE155)</f>
        <v>2209</v>
      </c>
      <c r="AF156" s="11"/>
      <c r="AG156" s="42"/>
    </row>
    <row r="157" spans="2:33" ht="5.0999999999999996" customHeight="1">
      <c r="B157" s="146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139"/>
      <c r="AF157" s="11"/>
      <c r="AG157" s="42"/>
    </row>
    <row r="158" spans="2:33">
      <c r="B158" s="144" t="s">
        <v>88</v>
      </c>
      <c r="C158" s="76">
        <v>-48</v>
      </c>
      <c r="D158" s="76">
        <v>-94</v>
      </c>
      <c r="E158" s="76">
        <v>-1</v>
      </c>
      <c r="F158" s="76">
        <v>-56</v>
      </c>
      <c r="G158" s="30"/>
      <c r="H158" s="76"/>
      <c r="I158" s="76"/>
      <c r="J158" s="76"/>
      <c r="K158" s="30">
        <f>SUM(D158-SUM(H158:J158))</f>
        <v>-94</v>
      </c>
      <c r="L158" s="76"/>
      <c r="M158" s="76"/>
      <c r="N158" s="76"/>
      <c r="O158" s="30">
        <f>SUM(E158-SUM(L158:N158))</f>
        <v>-1</v>
      </c>
      <c r="P158" s="76"/>
      <c r="Q158" s="76"/>
      <c r="R158" s="76"/>
      <c r="S158" s="30">
        <f t="shared" ref="S158" si="583">SUM(F158-SUM(P158:R158))</f>
        <v>-56</v>
      </c>
      <c r="T158" s="76"/>
      <c r="U158" s="30"/>
      <c r="V158" s="30">
        <f t="shared" ref="V158:AD160" si="584">K158</f>
        <v>-94</v>
      </c>
      <c r="W158" s="30">
        <f t="shared" si="584"/>
        <v>0</v>
      </c>
      <c r="X158" s="30">
        <f t="shared" si="584"/>
        <v>0</v>
      </c>
      <c r="Y158" s="30">
        <f t="shared" si="584"/>
        <v>0</v>
      </c>
      <c r="Z158" s="30">
        <f t="shared" si="584"/>
        <v>-1</v>
      </c>
      <c r="AA158" s="30">
        <f t="shared" si="584"/>
        <v>0</v>
      </c>
      <c r="AB158" s="30">
        <f t="shared" si="584"/>
        <v>0</v>
      </c>
      <c r="AC158" s="30">
        <f t="shared" si="584"/>
        <v>0</v>
      </c>
      <c r="AD158" s="30">
        <f t="shared" si="584"/>
        <v>-56</v>
      </c>
      <c r="AE158" s="139">
        <f>T158</f>
        <v>0</v>
      </c>
      <c r="AF158" s="11"/>
      <c r="AG158" s="42"/>
    </row>
    <row r="159" spans="2:33">
      <c r="B159" s="144" t="s">
        <v>89</v>
      </c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>
        <f t="shared" si="584"/>
        <v>0</v>
      </c>
      <c r="W159" s="30">
        <f t="shared" si="584"/>
        <v>0</v>
      </c>
      <c r="X159" s="30">
        <f t="shared" si="584"/>
        <v>0</v>
      </c>
      <c r="Y159" s="30">
        <f t="shared" si="584"/>
        <v>0</v>
      </c>
      <c r="Z159" s="30">
        <f t="shared" si="584"/>
        <v>0</v>
      </c>
      <c r="AA159" s="30">
        <f t="shared" si="584"/>
        <v>0</v>
      </c>
      <c r="AB159" s="30">
        <f t="shared" si="584"/>
        <v>0</v>
      </c>
      <c r="AC159" s="30">
        <f t="shared" si="584"/>
        <v>0</v>
      </c>
      <c r="AD159" s="30">
        <f t="shared" si="584"/>
        <v>0</v>
      </c>
      <c r="AE159" s="139">
        <f>T159</f>
        <v>0</v>
      </c>
      <c r="AF159" s="11"/>
      <c r="AG159" s="42"/>
    </row>
    <row r="160" spans="2:33">
      <c r="B160" s="144" t="s">
        <v>60</v>
      </c>
      <c r="C160" s="30">
        <f>+C151+C138+C130</f>
        <v>3196</v>
      </c>
      <c r="D160" s="30">
        <f>+D151+D138+D130</f>
        <v>-3288</v>
      </c>
      <c r="E160" s="30">
        <f>+E151+E138+E130</f>
        <v>-424</v>
      </c>
      <c r="F160" s="30">
        <f>+F151+F138+F130</f>
        <v>257</v>
      </c>
      <c r="G160" s="30"/>
      <c r="H160" s="30">
        <f>+H151+H138+H130</f>
        <v>0</v>
      </c>
      <c r="I160" s="30">
        <f>+I151+I138+I130</f>
        <v>0</v>
      </c>
      <c r="J160" s="30">
        <f>+J151+J138+J130</f>
        <v>0</v>
      </c>
      <c r="K160" s="30">
        <f>+K151+K138+K130</f>
        <v>-3649</v>
      </c>
      <c r="L160" s="30">
        <f>+L151+L138+L130</f>
        <v>0</v>
      </c>
      <c r="M160" s="30">
        <f>+M151+M138+M130</f>
        <v>0</v>
      </c>
      <c r="N160" s="30">
        <f>+N151+N138+N130</f>
        <v>0</v>
      </c>
      <c r="O160" s="30">
        <f>+O151+O138+O130</f>
        <v>-515</v>
      </c>
      <c r="P160" s="30">
        <f>+P151+P138+P130</f>
        <v>0</v>
      </c>
      <c r="Q160" s="30">
        <f>+Q151+Q138+Q130</f>
        <v>0</v>
      </c>
      <c r="R160" s="30">
        <f>+R151+R138+R130</f>
        <v>0</v>
      </c>
      <c r="S160" s="30">
        <f>+S151+S138+S130</f>
        <v>257</v>
      </c>
      <c r="T160" s="30">
        <f>+T151+T138+T130</f>
        <v>0</v>
      </c>
      <c r="U160" s="30"/>
      <c r="V160" s="30">
        <f t="shared" si="584"/>
        <v>-3649</v>
      </c>
      <c r="W160" s="30">
        <f t="shared" si="584"/>
        <v>0</v>
      </c>
      <c r="X160" s="30">
        <f t="shared" si="584"/>
        <v>0</v>
      </c>
      <c r="Y160" s="30">
        <f t="shared" si="584"/>
        <v>0</v>
      </c>
      <c r="Z160" s="30">
        <f t="shared" si="584"/>
        <v>-515</v>
      </c>
      <c r="AA160" s="30">
        <f t="shared" si="584"/>
        <v>0</v>
      </c>
      <c r="AB160" s="30">
        <f t="shared" si="584"/>
        <v>0</v>
      </c>
      <c r="AC160" s="30">
        <f t="shared" si="584"/>
        <v>0</v>
      </c>
      <c r="AD160" s="30">
        <f t="shared" si="584"/>
        <v>257</v>
      </c>
      <c r="AE160" s="139">
        <f>T160</f>
        <v>0</v>
      </c>
      <c r="AF160" s="11"/>
      <c r="AG160" s="42"/>
    </row>
    <row r="161" spans="2:33">
      <c r="B161" s="145" t="s">
        <v>71</v>
      </c>
      <c r="C161" s="113">
        <f t="shared" ref="C161:E161" si="585">SUM(C156:C160)</f>
        <v>6267</v>
      </c>
      <c r="D161" s="113">
        <f t="shared" si="585"/>
        <v>2885</v>
      </c>
      <c r="E161" s="113">
        <f t="shared" si="585"/>
        <v>2460</v>
      </c>
      <c r="F161" s="113">
        <f t="shared" ref="F161:Q161" si="586">SUM(F156:F160)</f>
        <v>2661</v>
      </c>
      <c r="G161" s="30"/>
      <c r="H161" s="113">
        <f t="shared" si="586"/>
        <v>6267</v>
      </c>
      <c r="I161" s="113">
        <f t="shared" si="586"/>
        <v>6267</v>
      </c>
      <c r="J161" s="113">
        <f t="shared" si="586"/>
        <v>6267</v>
      </c>
      <c r="K161" s="113">
        <f t="shared" si="586"/>
        <v>2524</v>
      </c>
      <c r="L161" s="113">
        <f t="shared" si="586"/>
        <v>2524</v>
      </c>
      <c r="M161" s="113">
        <f t="shared" si="586"/>
        <v>2524</v>
      </c>
      <c r="N161" s="113">
        <f t="shared" si="586"/>
        <v>2524</v>
      </c>
      <c r="O161" s="113">
        <f t="shared" si="586"/>
        <v>2008</v>
      </c>
      <c r="P161" s="113">
        <f t="shared" si="586"/>
        <v>2008</v>
      </c>
      <c r="Q161" s="113">
        <f t="shared" si="586"/>
        <v>2008</v>
      </c>
      <c r="R161" s="113">
        <f t="shared" ref="R161:S161" si="587">SUM(R156:R160)</f>
        <v>2008</v>
      </c>
      <c r="S161" s="113">
        <f t="shared" si="587"/>
        <v>2209</v>
      </c>
      <c r="T161" s="113">
        <f t="shared" ref="T161:AE161" si="588">SUM(T156:T160)</f>
        <v>2209</v>
      </c>
      <c r="U161" s="30"/>
      <c r="V161" s="113">
        <f t="shared" si="588"/>
        <v>2524</v>
      </c>
      <c r="W161" s="113">
        <f t="shared" si="588"/>
        <v>2524</v>
      </c>
      <c r="X161" s="113">
        <f t="shared" si="588"/>
        <v>2524</v>
      </c>
      <c r="Y161" s="113">
        <f t="shared" si="588"/>
        <v>2524</v>
      </c>
      <c r="Z161" s="113">
        <f t="shared" si="588"/>
        <v>2008</v>
      </c>
      <c r="AA161" s="113">
        <f t="shared" si="588"/>
        <v>2008</v>
      </c>
      <c r="AB161" s="113">
        <f t="shared" si="588"/>
        <v>2008</v>
      </c>
      <c r="AC161" s="113">
        <f t="shared" si="588"/>
        <v>2008</v>
      </c>
      <c r="AD161" s="113">
        <f t="shared" si="588"/>
        <v>2209</v>
      </c>
      <c r="AE161" s="140">
        <f t="shared" si="588"/>
        <v>2209</v>
      </c>
      <c r="AF161" s="11"/>
      <c r="AG161" s="42"/>
    </row>
    <row r="162" spans="2:33" ht="5.0999999999999996" customHeight="1">
      <c r="B162" s="147"/>
      <c r="C162" s="60"/>
      <c r="D162" s="60"/>
      <c r="E162" s="60"/>
      <c r="F162" s="60"/>
      <c r="G162" s="3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V162" s="11"/>
      <c r="W162" s="11"/>
      <c r="X162" s="11"/>
      <c r="Y162" s="11"/>
      <c r="Z162" s="11"/>
      <c r="AA162" s="11"/>
      <c r="AB162" s="11"/>
      <c r="AC162" s="11"/>
      <c r="AD162" s="11"/>
      <c r="AE162" s="141"/>
      <c r="AF162" s="11"/>
      <c r="AG162" s="42"/>
    </row>
    <row r="163" spans="2:33">
      <c r="B163" s="148" t="s">
        <v>59</v>
      </c>
      <c r="C163" s="137">
        <f>C161-C53</f>
        <v>0</v>
      </c>
      <c r="D163" s="137">
        <f>D161-D53</f>
        <v>0</v>
      </c>
      <c r="E163" s="137">
        <f>E161-E53</f>
        <v>0</v>
      </c>
      <c r="F163" s="137">
        <f>F161-F53</f>
        <v>0</v>
      </c>
      <c r="G163" s="138"/>
      <c r="H163" s="137">
        <f>H161-H53</f>
        <v>6267</v>
      </c>
      <c r="I163" s="137">
        <f>I161-I53</f>
        <v>6267</v>
      </c>
      <c r="J163" s="137">
        <f>J161-J53</f>
        <v>6267</v>
      </c>
      <c r="K163" s="137">
        <f>K161-K53</f>
        <v>-361</v>
      </c>
      <c r="L163" s="137">
        <f>L161-L53</f>
        <v>2524</v>
      </c>
      <c r="M163" s="137">
        <f>M161-M53</f>
        <v>2524</v>
      </c>
      <c r="N163" s="137">
        <f>N161-N53</f>
        <v>2524</v>
      </c>
      <c r="O163" s="137">
        <f>O161-O53</f>
        <v>-452</v>
      </c>
      <c r="P163" s="137">
        <f>P161-P53</f>
        <v>2008</v>
      </c>
      <c r="Q163" s="137">
        <f>Q161-Q53</f>
        <v>2008</v>
      </c>
      <c r="R163" s="137">
        <f>R161-R53</f>
        <v>2008</v>
      </c>
      <c r="S163" s="137">
        <f>S161-S53</f>
        <v>-452</v>
      </c>
      <c r="T163" s="137">
        <f>T161-T53</f>
        <v>2209</v>
      </c>
      <c r="U163" s="137"/>
      <c r="V163" s="137">
        <f>V161-V53</f>
        <v>-361</v>
      </c>
      <c r="W163" s="137">
        <f>W161-W53</f>
        <v>2524</v>
      </c>
      <c r="X163" s="137">
        <f>X161-X53</f>
        <v>2524</v>
      </c>
      <c r="Y163" s="137">
        <f>Y161-Y53</f>
        <v>2524</v>
      </c>
      <c r="Z163" s="137">
        <f>Z161-Z53</f>
        <v>-452</v>
      </c>
      <c r="AA163" s="137">
        <f>AA161-AA53</f>
        <v>2008</v>
      </c>
      <c r="AB163" s="137">
        <f>AB161-AB53</f>
        <v>2008</v>
      </c>
      <c r="AC163" s="137">
        <f>AC161-AC53</f>
        <v>2008</v>
      </c>
      <c r="AD163" s="137">
        <f>AD161-AD53</f>
        <v>-452</v>
      </c>
      <c r="AE163" s="142">
        <f>AE161-AE53</f>
        <v>2209</v>
      </c>
      <c r="AF163" s="11"/>
      <c r="AG163" s="42"/>
    </row>
    <row r="164" spans="2:33" ht="5.0999999999999996" customHeight="1">
      <c r="B164" s="8"/>
      <c r="C164" s="60"/>
      <c r="D164" s="60"/>
      <c r="E164" s="60"/>
      <c r="F164" s="60"/>
      <c r="G164" s="3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42"/>
    </row>
    <row r="165" spans="2:33">
      <c r="B165" s="112" t="s">
        <v>83</v>
      </c>
      <c r="C165" s="60"/>
      <c r="D165" s="60"/>
      <c r="E165" s="60"/>
      <c r="F165" s="60"/>
      <c r="G165" s="3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42"/>
    </row>
    <row r="166" spans="2:33">
      <c r="B166" s="77" t="s">
        <v>86</v>
      </c>
      <c r="C166" s="60"/>
      <c r="D166" s="60"/>
      <c r="E166" s="60"/>
      <c r="F166" s="60"/>
      <c r="G166" s="30"/>
      <c r="H166" s="76"/>
      <c r="I166" s="30"/>
      <c r="J166" s="30"/>
      <c r="K166" s="30">
        <f>SUM(D166-SUM(H166:J166))</f>
        <v>0</v>
      </c>
      <c r="L166" s="76"/>
      <c r="M166" s="30"/>
      <c r="N166" s="30"/>
      <c r="O166" s="30">
        <f>SUM(E166-SUM(L166:N166))</f>
        <v>0</v>
      </c>
      <c r="P166" s="76"/>
      <c r="Q166" s="30"/>
      <c r="R166" s="30"/>
      <c r="S166" s="30">
        <f t="shared" ref="S166:S167" si="589">SUM(F166-SUM(P166:R166))</f>
        <v>0</v>
      </c>
      <c r="T166" s="30"/>
      <c r="V166" s="30">
        <f t="shared" ref="V166:AC167" si="590">SUM(J166:M166)</f>
        <v>0</v>
      </c>
      <c r="W166" s="30">
        <f t="shared" si="590"/>
        <v>0</v>
      </c>
      <c r="X166" s="30">
        <f t="shared" si="590"/>
        <v>0</v>
      </c>
      <c r="Y166" s="30">
        <f t="shared" si="590"/>
        <v>0</v>
      </c>
      <c r="Z166" s="30">
        <f t="shared" si="590"/>
        <v>0</v>
      </c>
      <c r="AA166" s="30">
        <f t="shared" si="590"/>
        <v>0</v>
      </c>
      <c r="AB166" s="30">
        <f t="shared" si="590"/>
        <v>0</v>
      </c>
      <c r="AC166" s="30">
        <f t="shared" si="590"/>
        <v>0</v>
      </c>
      <c r="AD166" s="30">
        <f>SUM(R166:T166)</f>
        <v>0</v>
      </c>
      <c r="AE166" s="30">
        <f>SUM(S166:T166)</f>
        <v>0</v>
      </c>
      <c r="AF166" s="11"/>
      <c r="AG166" s="42"/>
    </row>
    <row r="167" spans="2:33">
      <c r="B167" s="77" t="s">
        <v>85</v>
      </c>
      <c r="C167" s="60"/>
      <c r="D167" s="60"/>
      <c r="E167" s="60"/>
      <c r="F167" s="60"/>
      <c r="G167" s="30"/>
      <c r="H167" s="76"/>
      <c r="I167" s="30"/>
      <c r="J167" s="30"/>
      <c r="K167" s="30">
        <f>SUM(D167-SUM(H167:J167))</f>
        <v>0</v>
      </c>
      <c r="L167" s="76"/>
      <c r="M167" s="30"/>
      <c r="N167" s="30"/>
      <c r="O167" s="30">
        <f>SUM(E167-SUM(L167:N167))</f>
        <v>0</v>
      </c>
      <c r="P167" s="76"/>
      <c r="Q167" s="30"/>
      <c r="R167" s="30"/>
      <c r="S167" s="30">
        <f t="shared" si="589"/>
        <v>0</v>
      </c>
      <c r="T167" s="30"/>
      <c r="V167" s="30">
        <f t="shared" si="590"/>
        <v>0</v>
      </c>
      <c r="W167" s="30">
        <f t="shared" si="590"/>
        <v>0</v>
      </c>
      <c r="X167" s="30">
        <f t="shared" si="590"/>
        <v>0</v>
      </c>
      <c r="Y167" s="30">
        <f t="shared" si="590"/>
        <v>0</v>
      </c>
      <c r="Z167" s="30">
        <f t="shared" si="590"/>
        <v>0</v>
      </c>
      <c r="AA167" s="30">
        <f t="shared" si="590"/>
        <v>0</v>
      </c>
      <c r="AB167" s="30">
        <f t="shared" si="590"/>
        <v>0</v>
      </c>
      <c r="AC167" s="30">
        <f t="shared" si="590"/>
        <v>0</v>
      </c>
      <c r="AD167" s="30">
        <f>SUM(R167:T167)</f>
        <v>0</v>
      </c>
      <c r="AE167" s="30">
        <f>SUM(S167:T167)</f>
        <v>0</v>
      </c>
      <c r="AF167" s="11"/>
      <c r="AG167" s="42"/>
    </row>
    <row r="168" spans="2:33" ht="5.0999999999999996" customHeight="1" thickBot="1">
      <c r="B168" s="66"/>
      <c r="C168" s="67"/>
      <c r="D168" s="67"/>
      <c r="E168" s="67"/>
      <c r="F168" s="67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G168" s="42"/>
    </row>
    <row r="169" spans="2:33" ht="12.75" customHeight="1">
      <c r="C169" s="52"/>
      <c r="D169" s="52"/>
      <c r="E169" s="52"/>
      <c r="F169" s="52"/>
    </row>
    <row r="170" spans="2:33" ht="12.75" customHeight="1">
      <c r="C170" s="52"/>
      <c r="D170" s="52"/>
      <c r="E170" s="52"/>
      <c r="F170" s="52"/>
    </row>
    <row r="171" spans="2:33" ht="12.75" customHeight="1">
      <c r="C171" s="52"/>
      <c r="D171" s="52"/>
      <c r="E171" s="52"/>
      <c r="F171" s="52"/>
    </row>
    <row r="172" spans="2:33" ht="12.75" customHeight="1">
      <c r="C172" s="52"/>
      <c r="D172" s="52"/>
      <c r="E172" s="52"/>
      <c r="F172" s="52"/>
    </row>
    <row r="173" spans="2:33" ht="12.75" customHeight="1">
      <c r="C173" s="52"/>
      <c r="D173" s="52"/>
      <c r="E173" s="52"/>
      <c r="F173" s="52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</row>
    <row r="174" spans="2:33" ht="12.75" customHeight="1">
      <c r="C174" s="52"/>
      <c r="D174" s="52"/>
      <c r="E174" s="52"/>
      <c r="F174" s="52"/>
    </row>
    <row r="175" spans="2:33" ht="12.75" customHeight="1">
      <c r="C175" s="52"/>
      <c r="D175" s="52"/>
      <c r="E175" s="52"/>
      <c r="F175" s="52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</row>
    <row r="176" spans="2:33"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</row>
    <row r="177" spans="8:20"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</row>
    <row r="179" spans="8:20"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</row>
    <row r="180" spans="8:20"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</row>
  </sheetData>
  <mergeCells count="3">
    <mergeCell ref="AG6:AG8"/>
    <mergeCell ref="AG48:AG50"/>
    <mergeCell ref="AG104:AG106"/>
  </mergeCells>
  <pageMargins left="0.7" right="0.7" top="0.75" bottom="0.75" header="0.3" footer="0.3"/>
  <ignoredErrors>
    <ignoredError sqref="G58" formulaRange="1"/>
    <ignoredError sqref="AG138:AG140 AG130:AG132" evalError="1"/>
    <ignoredError sqref="L110:P11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E76"/>
  <sheetViews>
    <sheetView showGridLines="0" zoomScaleNormal="100" workbookViewId="0">
      <selection activeCell="A72" sqref="A72"/>
    </sheetView>
  </sheetViews>
  <sheetFormatPr defaultRowHeight="12" outlineLevelRow="1" outlineLevelCol="1"/>
  <cols>
    <col min="1" max="1" width="1.5" style="8" customWidth="1"/>
    <col min="2" max="2" width="46.5" style="8" bestFit="1" customWidth="1"/>
    <col min="3" max="6" width="8.625" style="8" bestFit="1" customWidth="1"/>
    <col min="7" max="7" width="1.5" style="8" customWidth="1"/>
    <col min="8" max="9" width="8" style="8" customWidth="1" outlineLevel="1"/>
    <col min="10" max="11" width="8.75" style="8" customWidth="1" outlineLevel="1"/>
    <col min="12" max="12" width="8.5" style="8" customWidth="1" outlineLevel="1"/>
    <col min="13" max="13" width="8.25" style="8" customWidth="1" outlineLevel="1"/>
    <col min="14" max="14" width="8.5" style="8" bestFit="1" customWidth="1"/>
    <col min="15" max="20" width="9.125" style="8" bestFit="1" customWidth="1"/>
    <col min="21" max="21" width="1.5" style="8" customWidth="1"/>
    <col min="22" max="26" width="8.75" style="8" customWidth="1" outlineLevel="1"/>
    <col min="27" max="27" width="8.75" style="8" customWidth="1"/>
    <col min="28" max="30" width="8.75" style="8" customWidth="1" outlineLevel="1"/>
    <col min="31" max="31" width="8.75" style="8" customWidth="1"/>
    <col min="32" max="16384" width="9" style="8"/>
  </cols>
  <sheetData>
    <row r="2" spans="1:31" s="5" customFormat="1" ht="12.75" customHeight="1">
      <c r="B2" s="1" t="str">
        <f>'Historical Financials'!B2</f>
        <v>Paramount Global  (NASDAQ: PARA)</v>
      </c>
      <c r="C2" s="2" t="s">
        <v>0</v>
      </c>
      <c r="D2" s="2"/>
      <c r="E2" s="2"/>
      <c r="F2" s="2"/>
      <c r="G2" s="3"/>
      <c r="H2" s="2"/>
      <c r="I2" s="2"/>
      <c r="J2" s="2"/>
      <c r="K2" s="2"/>
      <c r="L2" s="2"/>
      <c r="M2" s="2"/>
      <c r="N2" s="2" t="s">
        <v>1</v>
      </c>
      <c r="O2" s="2"/>
      <c r="P2" s="2"/>
      <c r="Q2" s="2"/>
      <c r="R2" s="2"/>
      <c r="S2" s="2"/>
      <c r="T2" s="2"/>
      <c r="U2" s="3"/>
      <c r="V2" s="2"/>
      <c r="W2" s="2"/>
      <c r="X2" s="2"/>
      <c r="Y2" s="2"/>
      <c r="Z2" s="2"/>
      <c r="AA2" s="2" t="s">
        <v>10</v>
      </c>
      <c r="AB2" s="2"/>
      <c r="AC2" s="2"/>
      <c r="AD2" s="2"/>
      <c r="AE2" s="2"/>
    </row>
    <row r="3" spans="1:31" s="5" customFormat="1" ht="12.75" customHeight="1">
      <c r="B3" s="6" t="s">
        <v>66</v>
      </c>
      <c r="C3" s="7">
        <f>'Historical Financials'!C7</f>
        <v>2021</v>
      </c>
      <c r="D3" s="7">
        <f>'Historical Financials'!D7</f>
        <v>2022</v>
      </c>
      <c r="E3" s="7">
        <f>'Historical Financials'!E7</f>
        <v>2023</v>
      </c>
      <c r="F3" s="7">
        <f>'Historical Financials'!F7</f>
        <v>2024</v>
      </c>
      <c r="G3" s="3"/>
      <c r="H3" s="7" t="str">
        <f>'Historical Financials'!H7</f>
        <v>1Q23</v>
      </c>
      <c r="I3" s="7" t="str">
        <f>'Historical Financials'!I7</f>
        <v>2Q23</v>
      </c>
      <c r="J3" s="7" t="str">
        <f>'Historical Financials'!J7</f>
        <v>3Q23</v>
      </c>
      <c r="K3" s="7" t="str">
        <f>'Historical Financials'!K7</f>
        <v>4Q23</v>
      </c>
      <c r="L3" s="7" t="str">
        <f>'Historical Financials'!L7</f>
        <v>1Q24</v>
      </c>
      <c r="M3" s="7" t="str">
        <f>'Historical Financials'!M7</f>
        <v>2Q24</v>
      </c>
      <c r="N3" s="7" t="str">
        <f>'Historical Financials'!N7</f>
        <v>3Q24</v>
      </c>
      <c r="O3" s="7" t="str">
        <f>'Historical Financials'!O7</f>
        <v>4Q24</v>
      </c>
      <c r="P3" s="7" t="str">
        <f>'Historical Financials'!P7</f>
        <v>1Q25</v>
      </c>
      <c r="Q3" s="7" t="str">
        <f>'Historical Financials'!Q7</f>
        <v>2Q25</v>
      </c>
      <c r="R3" s="7" t="str">
        <f>'Historical Financials'!R7</f>
        <v>3Q25</v>
      </c>
      <c r="S3" s="7" t="str">
        <f>'Historical Financials'!S7</f>
        <v>4Q25</v>
      </c>
      <c r="T3" s="7" t="str">
        <f>'Historical Financials'!T7</f>
        <v>1Q26</v>
      </c>
      <c r="U3" s="4"/>
      <c r="V3" s="4" t="str">
        <f t="shared" ref="V3:AE4" si="0">K3</f>
        <v>4Q23</v>
      </c>
      <c r="W3" s="4" t="str">
        <f t="shared" si="0"/>
        <v>1Q24</v>
      </c>
      <c r="X3" s="4" t="str">
        <f t="shared" si="0"/>
        <v>2Q24</v>
      </c>
      <c r="Y3" s="4" t="str">
        <f t="shared" si="0"/>
        <v>3Q24</v>
      </c>
      <c r="Z3" s="4" t="str">
        <f t="shared" si="0"/>
        <v>4Q24</v>
      </c>
      <c r="AA3" s="4" t="str">
        <f t="shared" si="0"/>
        <v>1Q25</v>
      </c>
      <c r="AB3" s="4" t="str">
        <f t="shared" si="0"/>
        <v>2Q25</v>
      </c>
      <c r="AC3" s="4" t="str">
        <f t="shared" si="0"/>
        <v>3Q25</v>
      </c>
      <c r="AD3" s="4" t="str">
        <f t="shared" si="0"/>
        <v>4Q25</v>
      </c>
      <c r="AE3" s="4" t="str">
        <f t="shared" si="0"/>
        <v>1Q26</v>
      </c>
    </row>
    <row r="4" spans="1:31" s="5" customFormat="1" ht="12.75" customHeight="1">
      <c r="B4" s="6" t="s">
        <v>91</v>
      </c>
      <c r="C4" s="3">
        <f>'Historical Financials'!C8</f>
        <v>44561</v>
      </c>
      <c r="D4" s="3">
        <f>'Historical Financials'!D8</f>
        <v>44926</v>
      </c>
      <c r="E4" s="3">
        <f>'Historical Financials'!E8</f>
        <v>45291</v>
      </c>
      <c r="F4" s="3">
        <f>'Historical Financials'!F8</f>
        <v>45657</v>
      </c>
      <c r="G4" s="3"/>
      <c r="H4" s="3" t="str">
        <f>'Historical Financials'!H8</f>
        <v>XXX</v>
      </c>
      <c r="I4" s="3" t="str">
        <f>'Historical Financials'!I8</f>
        <v>XXX</v>
      </c>
      <c r="J4" s="3" t="str">
        <f>'Historical Financials'!J8</f>
        <v>XXX</v>
      </c>
      <c r="K4" s="3">
        <f>'Historical Financials'!K8</f>
        <v>44926</v>
      </c>
      <c r="L4" s="3" t="str">
        <f>'Historical Financials'!L8</f>
        <v>XXX</v>
      </c>
      <c r="M4" s="3" t="str">
        <f>'Historical Financials'!M8</f>
        <v>XXX</v>
      </c>
      <c r="N4" s="3" t="str">
        <f>'Historical Financials'!N8</f>
        <v>XXX</v>
      </c>
      <c r="O4" s="3">
        <f>'Historical Financials'!O8</f>
        <v>45291</v>
      </c>
      <c r="P4" s="3" t="str">
        <f>'Historical Financials'!P8</f>
        <v>XXX</v>
      </c>
      <c r="Q4" s="3" t="str">
        <f>'Historical Financials'!Q8</f>
        <v>XXX</v>
      </c>
      <c r="R4" s="3" t="str">
        <f>'Historical Financials'!R8</f>
        <v>XXX</v>
      </c>
      <c r="S4" s="3">
        <f>'Historical Financials'!S8</f>
        <v>45657</v>
      </c>
      <c r="T4" s="3" t="str">
        <f>'Historical Financials'!T8</f>
        <v>XXX</v>
      </c>
      <c r="U4" s="3"/>
      <c r="V4" s="3">
        <f t="shared" si="0"/>
        <v>44926</v>
      </c>
      <c r="W4" s="3" t="str">
        <f t="shared" si="0"/>
        <v>XXX</v>
      </c>
      <c r="X4" s="3" t="str">
        <f t="shared" si="0"/>
        <v>XXX</v>
      </c>
      <c r="Y4" s="3" t="str">
        <f t="shared" si="0"/>
        <v>XXX</v>
      </c>
      <c r="Z4" s="3">
        <f t="shared" si="0"/>
        <v>45291</v>
      </c>
      <c r="AA4" s="3" t="str">
        <f t="shared" si="0"/>
        <v>XXX</v>
      </c>
      <c r="AB4" s="3" t="str">
        <f t="shared" si="0"/>
        <v>XXX</v>
      </c>
      <c r="AC4" s="3" t="str">
        <f t="shared" si="0"/>
        <v>XXX</v>
      </c>
      <c r="AD4" s="3">
        <f t="shared" si="0"/>
        <v>45657</v>
      </c>
      <c r="AE4" s="3" t="str">
        <f t="shared" si="0"/>
        <v>XXX</v>
      </c>
    </row>
    <row r="5" spans="1:31" ht="5.0999999999999996" customHeight="1"/>
    <row r="6" spans="1:31">
      <c r="A6" s="33" t="s">
        <v>16</v>
      </c>
      <c r="B6" s="1" t="s">
        <v>93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5.0999999999999996" customHeight="1"/>
    <row r="8" spans="1:31" ht="12.75" customHeight="1">
      <c r="A8" s="74" t="s">
        <v>16</v>
      </c>
      <c r="B8" s="72" t="s">
        <v>191</v>
      </c>
      <c r="C8" s="10"/>
      <c r="D8" s="10"/>
      <c r="E8" s="10"/>
      <c r="F8" s="10"/>
      <c r="G8" s="10"/>
      <c r="H8" s="81"/>
      <c r="I8" s="81"/>
      <c r="J8" s="81"/>
      <c r="K8" s="30"/>
      <c r="L8" s="81"/>
      <c r="M8" s="81"/>
      <c r="N8" s="81"/>
      <c r="O8" s="30"/>
      <c r="P8" s="81"/>
      <c r="Q8" s="81"/>
      <c r="R8" s="81"/>
      <c r="S8" s="81"/>
      <c r="T8" s="81"/>
      <c r="U8" s="5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1" ht="12.75" customHeight="1">
      <c r="A9" s="74"/>
      <c r="B9" s="9" t="s">
        <v>192</v>
      </c>
      <c r="C9" s="75">
        <v>11412</v>
      </c>
      <c r="D9" s="75">
        <v>10890</v>
      </c>
      <c r="E9" s="75">
        <v>9989</v>
      </c>
      <c r="F9" s="75">
        <v>10295</v>
      </c>
      <c r="G9" s="10"/>
      <c r="H9" s="75"/>
      <c r="I9" s="75"/>
      <c r="J9" s="75"/>
      <c r="K9" s="30">
        <f>SUM(D9-SUM(H9:J9))</f>
        <v>10890</v>
      </c>
      <c r="L9" s="75"/>
      <c r="M9" s="75"/>
      <c r="N9" s="75"/>
      <c r="O9" s="30">
        <f>SUM(E9-SUM(L9:N9))</f>
        <v>9989</v>
      </c>
      <c r="P9" s="75"/>
      <c r="Q9" s="75"/>
      <c r="R9" s="75"/>
      <c r="S9" s="30">
        <f>SUM(F9-SUM(P9:R9))</f>
        <v>10295</v>
      </c>
      <c r="T9" s="75"/>
      <c r="U9" s="5"/>
      <c r="V9" s="30">
        <f t="shared" ref="V9:AD9" si="1">SUM(H9:K9)</f>
        <v>10890</v>
      </c>
      <c r="W9" s="30">
        <f t="shared" si="1"/>
        <v>10890</v>
      </c>
      <c r="X9" s="30">
        <f t="shared" si="1"/>
        <v>10890</v>
      </c>
      <c r="Y9" s="30">
        <f t="shared" si="1"/>
        <v>10890</v>
      </c>
      <c r="Z9" s="30">
        <f t="shared" si="1"/>
        <v>9989</v>
      </c>
      <c r="AA9" s="30">
        <f t="shared" si="1"/>
        <v>9989</v>
      </c>
      <c r="AB9" s="30">
        <f t="shared" si="1"/>
        <v>9989</v>
      </c>
      <c r="AC9" s="30">
        <f t="shared" si="1"/>
        <v>9989</v>
      </c>
      <c r="AD9" s="30">
        <f t="shared" si="1"/>
        <v>10295</v>
      </c>
      <c r="AE9" s="30">
        <f>SUM(Q9:T9)</f>
        <v>10295</v>
      </c>
    </row>
    <row r="10" spans="1:31" ht="12.75" customHeight="1">
      <c r="A10" s="74"/>
      <c r="B10" s="9" t="s">
        <v>193</v>
      </c>
      <c r="C10" s="75">
        <v>10442</v>
      </c>
      <c r="D10" s="75">
        <v>11551</v>
      </c>
      <c r="E10" s="75">
        <v>13018</v>
      </c>
      <c r="F10" s="75">
        <v>13153</v>
      </c>
      <c r="G10" s="10"/>
      <c r="H10" s="75"/>
      <c r="I10" s="75"/>
      <c r="J10" s="75"/>
      <c r="K10" s="30">
        <f t="shared" ref="K10:K12" si="2">SUM(D10-SUM(H10:J10))</f>
        <v>11551</v>
      </c>
      <c r="L10" s="75"/>
      <c r="M10" s="75"/>
      <c r="N10" s="75"/>
      <c r="O10" s="30">
        <f t="shared" ref="O10:O12" si="3">SUM(E10-SUM(L10:N10))</f>
        <v>13018</v>
      </c>
      <c r="P10" s="75"/>
      <c r="Q10" s="75"/>
      <c r="R10" s="75"/>
      <c r="S10" s="30">
        <f t="shared" ref="S10:S12" si="4">SUM(F10-SUM(P10:R10))</f>
        <v>13153</v>
      </c>
      <c r="T10" s="75"/>
      <c r="U10" s="5"/>
      <c r="V10" s="30">
        <f t="shared" ref="V10:V12" si="5">SUM(H10:K10)</f>
        <v>11551</v>
      </c>
      <c r="W10" s="30">
        <f t="shared" ref="W10:W12" si="6">SUM(I10:L10)</f>
        <v>11551</v>
      </c>
      <c r="X10" s="30">
        <f t="shared" ref="X10:X12" si="7">SUM(J10:M10)</f>
        <v>11551</v>
      </c>
      <c r="Y10" s="30">
        <f t="shared" ref="Y10:Y12" si="8">SUM(K10:N10)</f>
        <v>11551</v>
      </c>
      <c r="Z10" s="30">
        <f t="shared" ref="Z10:Z12" si="9">SUM(L10:O10)</f>
        <v>13018</v>
      </c>
      <c r="AA10" s="30">
        <f t="shared" ref="AA10:AA12" si="10">SUM(M10:P10)</f>
        <v>13018</v>
      </c>
      <c r="AB10" s="30">
        <f t="shared" ref="AB10:AB12" si="11">SUM(N10:Q10)</f>
        <v>13018</v>
      </c>
      <c r="AC10" s="30">
        <f t="shared" ref="AC10:AC12" si="12">SUM(O10:R10)</f>
        <v>13018</v>
      </c>
      <c r="AD10" s="30">
        <f t="shared" ref="AD10:AD12" si="13">SUM(P10:S10)</f>
        <v>13153</v>
      </c>
      <c r="AE10" s="30">
        <f t="shared" ref="AE10:AE12" si="14">SUM(Q10:T10)</f>
        <v>13153</v>
      </c>
    </row>
    <row r="11" spans="1:31" ht="12.75" customHeight="1">
      <c r="A11" s="74"/>
      <c r="B11" s="9" t="s">
        <v>194</v>
      </c>
      <c r="C11" s="75">
        <v>241</v>
      </c>
      <c r="D11" s="75">
        <v>1223</v>
      </c>
      <c r="E11" s="75">
        <v>813</v>
      </c>
      <c r="F11" s="75">
        <v>813</v>
      </c>
      <c r="G11" s="10"/>
      <c r="H11" s="75"/>
      <c r="I11" s="75"/>
      <c r="J11" s="75"/>
      <c r="K11" s="30">
        <f t="shared" si="2"/>
        <v>1223</v>
      </c>
      <c r="L11" s="75"/>
      <c r="M11" s="75"/>
      <c r="N11" s="75"/>
      <c r="O11" s="30">
        <f t="shared" si="3"/>
        <v>813</v>
      </c>
      <c r="P11" s="75"/>
      <c r="Q11" s="75"/>
      <c r="R11" s="75"/>
      <c r="S11" s="30">
        <f t="shared" si="4"/>
        <v>813</v>
      </c>
      <c r="T11" s="75"/>
      <c r="U11" s="5"/>
      <c r="V11" s="30">
        <f t="shared" si="5"/>
        <v>1223</v>
      </c>
      <c r="W11" s="30">
        <f t="shared" si="6"/>
        <v>1223</v>
      </c>
      <c r="X11" s="30">
        <f t="shared" si="7"/>
        <v>1223</v>
      </c>
      <c r="Y11" s="30">
        <f t="shared" si="8"/>
        <v>1223</v>
      </c>
      <c r="Z11" s="30">
        <f t="shared" si="9"/>
        <v>813</v>
      </c>
      <c r="AA11" s="30">
        <f t="shared" si="10"/>
        <v>813</v>
      </c>
      <c r="AB11" s="30">
        <f t="shared" si="11"/>
        <v>813</v>
      </c>
      <c r="AC11" s="30">
        <f t="shared" si="12"/>
        <v>813</v>
      </c>
      <c r="AD11" s="30">
        <f t="shared" si="13"/>
        <v>813</v>
      </c>
      <c r="AE11" s="30">
        <f t="shared" si="14"/>
        <v>813</v>
      </c>
    </row>
    <row r="12" spans="1:31" ht="12.75" customHeight="1">
      <c r="A12" s="74"/>
      <c r="B12" s="9" t="s">
        <v>195</v>
      </c>
      <c r="C12" s="75">
        <v>6491</v>
      </c>
      <c r="D12" s="75">
        <v>6490</v>
      </c>
      <c r="E12" s="75">
        <v>5832</v>
      </c>
      <c r="F12" s="75">
        <v>4952</v>
      </c>
      <c r="G12" s="10"/>
      <c r="H12" s="75"/>
      <c r="I12" s="75"/>
      <c r="J12" s="75"/>
      <c r="K12" s="30">
        <f t="shared" si="2"/>
        <v>6490</v>
      </c>
      <c r="L12" s="75"/>
      <c r="M12" s="75"/>
      <c r="N12" s="75"/>
      <c r="O12" s="30">
        <f t="shared" si="3"/>
        <v>5832</v>
      </c>
      <c r="P12" s="75"/>
      <c r="Q12" s="75"/>
      <c r="R12" s="75"/>
      <c r="S12" s="30">
        <f t="shared" si="4"/>
        <v>4952</v>
      </c>
      <c r="T12" s="75"/>
      <c r="U12" s="5"/>
      <c r="V12" s="30">
        <f t="shared" si="5"/>
        <v>6490</v>
      </c>
      <c r="W12" s="30">
        <f t="shared" si="6"/>
        <v>6490</v>
      </c>
      <c r="X12" s="30">
        <f t="shared" si="7"/>
        <v>6490</v>
      </c>
      <c r="Y12" s="30">
        <f t="shared" si="8"/>
        <v>6490</v>
      </c>
      <c r="Z12" s="30">
        <f t="shared" si="9"/>
        <v>5832</v>
      </c>
      <c r="AA12" s="30">
        <f t="shared" si="10"/>
        <v>5832</v>
      </c>
      <c r="AB12" s="30">
        <f t="shared" si="11"/>
        <v>5832</v>
      </c>
      <c r="AC12" s="30">
        <f t="shared" si="12"/>
        <v>5832</v>
      </c>
      <c r="AD12" s="30">
        <f t="shared" si="13"/>
        <v>4952</v>
      </c>
      <c r="AE12" s="30">
        <f t="shared" si="14"/>
        <v>4952</v>
      </c>
    </row>
    <row r="13" spans="1:31">
      <c r="B13" s="12" t="s">
        <v>67</v>
      </c>
      <c r="C13" s="13">
        <f>SUM(C9:C12)</f>
        <v>28586</v>
      </c>
      <c r="D13" s="13">
        <f>SUM(D9:D12)</f>
        <v>30154</v>
      </c>
      <c r="E13" s="13">
        <f>SUM(E9:E12)</f>
        <v>29652</v>
      </c>
      <c r="F13" s="13">
        <f>SUM(F9:F12)</f>
        <v>29213</v>
      </c>
      <c r="G13" s="11"/>
      <c r="H13" s="13">
        <f>SUM(H9:H12)</f>
        <v>0</v>
      </c>
      <c r="I13" s="13">
        <f>SUM(I9:I12)</f>
        <v>0</v>
      </c>
      <c r="J13" s="13">
        <f>SUM(J9:J12)</f>
        <v>0</v>
      </c>
      <c r="K13" s="13">
        <f>SUM(K9:K12)</f>
        <v>30154</v>
      </c>
      <c r="L13" s="13">
        <f>SUM(L9:L12)</f>
        <v>0</v>
      </c>
      <c r="M13" s="13">
        <f>SUM(M9:M12)</f>
        <v>0</v>
      </c>
      <c r="N13" s="13">
        <f>SUM(N9:N12)</f>
        <v>0</v>
      </c>
      <c r="O13" s="13">
        <f>SUM(O9:O12)</f>
        <v>29652</v>
      </c>
      <c r="P13" s="13">
        <f>SUM(P9:P12)</f>
        <v>0</v>
      </c>
      <c r="Q13" s="13">
        <f>SUM(Q9:Q12)</f>
        <v>0</v>
      </c>
      <c r="R13" s="13">
        <f>SUM(R9:R12)</f>
        <v>0</v>
      </c>
      <c r="S13" s="13">
        <f>SUM(S9:S12)</f>
        <v>29213</v>
      </c>
      <c r="T13" s="13">
        <f>SUM(T9:T12)</f>
        <v>0</v>
      </c>
      <c r="U13" s="5"/>
      <c r="V13" s="13">
        <f>SUM(V9:V12)</f>
        <v>30154</v>
      </c>
      <c r="W13" s="13">
        <f>SUM(W9:W12)</f>
        <v>30154</v>
      </c>
      <c r="X13" s="13">
        <f>SUM(X9:X12)</f>
        <v>30154</v>
      </c>
      <c r="Y13" s="13">
        <f>SUM(Y9:Y12)</f>
        <v>30154</v>
      </c>
      <c r="Z13" s="13">
        <f>SUM(Z9:Z12)</f>
        <v>29652</v>
      </c>
      <c r="AA13" s="13">
        <f>SUM(AA9:AA12)</f>
        <v>29652</v>
      </c>
      <c r="AB13" s="13">
        <f>SUM(AB9:AB12)</f>
        <v>29652</v>
      </c>
      <c r="AC13" s="13">
        <f>SUM(AC9:AC12)</f>
        <v>29652</v>
      </c>
      <c r="AD13" s="13">
        <f>SUM(AD9:AD12)</f>
        <v>29213</v>
      </c>
      <c r="AE13" s="13">
        <f>SUM(AE9:AE12)</f>
        <v>29213</v>
      </c>
    </row>
    <row r="14" spans="1:31" outlineLevel="1">
      <c r="B14" s="114" t="s">
        <v>200</v>
      </c>
      <c r="C14" s="73">
        <f>+C13-'Historical Financials'!C11</f>
        <v>0</v>
      </c>
      <c r="D14" s="73">
        <f>+D13-'Historical Financials'!D11</f>
        <v>0</v>
      </c>
      <c r="E14" s="73">
        <f>+E13-'Historical Financials'!E11</f>
        <v>0</v>
      </c>
      <c r="F14" s="73">
        <f>+F13-'Historical Financials'!F11</f>
        <v>0</v>
      </c>
      <c r="G14" s="11"/>
      <c r="H14" s="73">
        <f>+H13-'Historical Financials'!H11</f>
        <v>0</v>
      </c>
      <c r="I14" s="73">
        <f>+I13-'Historical Financials'!I11</f>
        <v>0</v>
      </c>
      <c r="J14" s="73">
        <f>+J13-'Historical Financials'!J11</f>
        <v>0</v>
      </c>
      <c r="K14" s="73">
        <f>+K13-'Historical Financials'!K11</f>
        <v>0</v>
      </c>
      <c r="L14" s="73">
        <f>+L13-'Historical Financials'!L11</f>
        <v>0</v>
      </c>
      <c r="M14" s="73">
        <f>+M13-'Historical Financials'!M11</f>
        <v>0</v>
      </c>
      <c r="N14" s="73">
        <f>+N13-'Historical Financials'!N11</f>
        <v>0</v>
      </c>
      <c r="O14" s="73">
        <f>+O13-'Historical Financials'!O11</f>
        <v>0</v>
      </c>
      <c r="P14" s="73">
        <f>+P13-'Historical Financials'!P11</f>
        <v>0</v>
      </c>
      <c r="Q14" s="73">
        <f>+Q13-'Historical Financials'!Q11</f>
        <v>0</v>
      </c>
      <c r="R14" s="73">
        <f>+R13-'Historical Financials'!R11</f>
        <v>0</v>
      </c>
      <c r="S14" s="73">
        <f>+S13-'Historical Financials'!S11</f>
        <v>0</v>
      </c>
      <c r="T14" s="73">
        <f>+T13-'Historical Financials'!T11</f>
        <v>0</v>
      </c>
      <c r="U14" s="73"/>
      <c r="V14" s="73">
        <f>+V13-'Historical Financials'!V11</f>
        <v>0</v>
      </c>
      <c r="W14" s="73">
        <f>+W13-'Historical Financials'!W11</f>
        <v>0</v>
      </c>
      <c r="X14" s="73">
        <f>+X13-'Historical Financials'!X11</f>
        <v>0</v>
      </c>
      <c r="Y14" s="73">
        <f>+Y13-'Historical Financials'!Y11</f>
        <v>0</v>
      </c>
      <c r="Z14" s="73">
        <f>+Z13-'Historical Financials'!Z11</f>
        <v>0</v>
      </c>
      <c r="AA14" s="73">
        <f>+AA13-'Historical Financials'!AA11</f>
        <v>0</v>
      </c>
      <c r="AB14" s="73">
        <f>+AB13-'Historical Financials'!AB11</f>
        <v>0</v>
      </c>
      <c r="AC14" s="73">
        <f>+AC13-'Historical Financials'!AC11</f>
        <v>0</v>
      </c>
      <c r="AD14" s="73">
        <f>+AD13-'Historical Financials'!AD11</f>
        <v>0</v>
      </c>
      <c r="AE14" s="73">
        <f>+AE13-'Historical Financials'!AE11</f>
        <v>0</v>
      </c>
    </row>
    <row r="15" spans="1:31">
      <c r="B15" s="16"/>
      <c r="C15" s="17"/>
      <c r="D15" s="17"/>
      <c r="E15" s="17"/>
      <c r="F15" s="17"/>
      <c r="G15" s="18"/>
      <c r="H15" s="19"/>
      <c r="I15" s="19"/>
      <c r="J15" s="19"/>
      <c r="K15" s="20"/>
      <c r="L15" s="19"/>
      <c r="M15" s="19"/>
      <c r="N15" s="19"/>
      <c r="O15" s="19"/>
      <c r="P15" s="19"/>
      <c r="Q15" s="19"/>
      <c r="R15" s="19"/>
      <c r="S15" s="19"/>
      <c r="T15" s="19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</row>
    <row r="16" spans="1:31">
      <c r="B16" s="115" t="str">
        <f>B9&amp;"(%)"</f>
        <v>Advertising(%)</v>
      </c>
      <c r="C16" s="127">
        <f>SUM(C9/C$13)</f>
        <v>0.39921639963618555</v>
      </c>
      <c r="D16" s="127">
        <f>SUM(D9/D$13)</f>
        <v>0.36114611660144591</v>
      </c>
      <c r="E16" s="127">
        <f>SUM(E9/E$13)</f>
        <v>0.33687440982058547</v>
      </c>
      <c r="F16" s="127">
        <f>SUM(F9/F$13)</f>
        <v>0.35241159757642143</v>
      </c>
      <c r="G16" s="116"/>
      <c r="H16" s="127" t="e">
        <f>SUM(H9/H$13)</f>
        <v>#DIV/0!</v>
      </c>
      <c r="I16" s="127" t="e">
        <f>SUM(I9/I$13)</f>
        <v>#DIV/0!</v>
      </c>
      <c r="J16" s="127" t="e">
        <f>SUM(J9/J$13)</f>
        <v>#DIV/0!</v>
      </c>
      <c r="K16" s="127">
        <f>SUM(K9/K$13)</f>
        <v>0.36114611660144591</v>
      </c>
      <c r="L16" s="127" t="e">
        <f>SUM(L9/L$13)</f>
        <v>#DIV/0!</v>
      </c>
      <c r="M16" s="127" t="e">
        <f>SUM(M9/M$13)</f>
        <v>#DIV/0!</v>
      </c>
      <c r="N16" s="127" t="e">
        <f>SUM(N9/N$13)</f>
        <v>#DIV/0!</v>
      </c>
      <c r="O16" s="127">
        <f>SUM(O9/O$13)</f>
        <v>0.33687440982058547</v>
      </c>
      <c r="P16" s="127" t="e">
        <f>SUM(P9/P$13)</f>
        <v>#DIV/0!</v>
      </c>
      <c r="Q16" s="127" t="e">
        <f>SUM(Q9/Q$13)</f>
        <v>#DIV/0!</v>
      </c>
      <c r="R16" s="127" t="e">
        <f>SUM(R9/R$13)</f>
        <v>#DIV/0!</v>
      </c>
      <c r="S16" s="127">
        <f>SUM(S9/S$13)</f>
        <v>0.35241159757642143</v>
      </c>
      <c r="T16" s="127" t="e">
        <f>SUM(T9/T$13)</f>
        <v>#DIV/0!</v>
      </c>
      <c r="U16" s="116"/>
      <c r="V16" s="117" t="e">
        <f t="shared" ref="V16:AE16" si="15">I16</f>
        <v>#DIV/0!</v>
      </c>
      <c r="W16" s="117" t="e">
        <f t="shared" si="15"/>
        <v>#DIV/0!</v>
      </c>
      <c r="X16" s="117">
        <f t="shared" si="15"/>
        <v>0.36114611660144591</v>
      </c>
      <c r="Y16" s="117" t="e">
        <f t="shared" si="15"/>
        <v>#DIV/0!</v>
      </c>
      <c r="Z16" s="117" t="e">
        <f t="shared" si="15"/>
        <v>#DIV/0!</v>
      </c>
      <c r="AA16" s="117" t="e">
        <f t="shared" si="15"/>
        <v>#DIV/0!</v>
      </c>
      <c r="AB16" s="117">
        <f t="shared" si="15"/>
        <v>0.33687440982058547</v>
      </c>
      <c r="AC16" s="117" t="e">
        <f t="shared" si="15"/>
        <v>#DIV/0!</v>
      </c>
      <c r="AD16" s="117" t="e">
        <f t="shared" si="15"/>
        <v>#DIV/0!</v>
      </c>
      <c r="AE16" s="118" t="e">
        <f t="shared" si="15"/>
        <v>#DIV/0!</v>
      </c>
    </row>
    <row r="17" spans="1:31">
      <c r="B17" s="119" t="str">
        <f>B10&amp;"(%)"</f>
        <v>Affiliate and subscription(%)</v>
      </c>
      <c r="C17" s="129">
        <f>SUM(C10/C$13)</f>
        <v>0.36528370531029175</v>
      </c>
      <c r="D17" s="129">
        <f>SUM(D10/D$13)</f>
        <v>0.38306692312794322</v>
      </c>
      <c r="E17" s="129">
        <f>SUM(E10/E$13)</f>
        <v>0.4390260353433158</v>
      </c>
      <c r="F17" s="129">
        <f>SUM(F10/F$13)</f>
        <v>0.45024475404785541</v>
      </c>
      <c r="G17" s="120"/>
      <c r="H17" s="129" t="e">
        <f>SUM(H10/H$13)</f>
        <v>#DIV/0!</v>
      </c>
      <c r="I17" s="129" t="e">
        <f>SUM(I10/I$13)</f>
        <v>#DIV/0!</v>
      </c>
      <c r="J17" s="129" t="e">
        <f>SUM(J10/J$13)</f>
        <v>#DIV/0!</v>
      </c>
      <c r="K17" s="129">
        <f>SUM(K10/K$13)</f>
        <v>0.38306692312794322</v>
      </c>
      <c r="L17" s="129" t="e">
        <f>SUM(L10/L$13)</f>
        <v>#DIV/0!</v>
      </c>
      <c r="M17" s="129" t="e">
        <f>SUM(M10/M$13)</f>
        <v>#DIV/0!</v>
      </c>
      <c r="N17" s="129" t="e">
        <f>SUM(N10/N$13)</f>
        <v>#DIV/0!</v>
      </c>
      <c r="O17" s="129">
        <f>SUM(O10/O$13)</f>
        <v>0.4390260353433158</v>
      </c>
      <c r="P17" s="129" t="e">
        <f>SUM(P10/P$13)</f>
        <v>#DIV/0!</v>
      </c>
      <c r="Q17" s="129" t="e">
        <f>SUM(Q10/Q$13)</f>
        <v>#DIV/0!</v>
      </c>
      <c r="R17" s="129" t="e">
        <f>SUM(R10/R$13)</f>
        <v>#DIV/0!</v>
      </c>
      <c r="S17" s="129">
        <f>SUM(S10/S$13)</f>
        <v>0.45024475404785541</v>
      </c>
      <c r="T17" s="129" t="e">
        <f>SUM(T10/T$13)</f>
        <v>#DIV/0!</v>
      </c>
      <c r="U17" s="120"/>
      <c r="V17" s="121" t="e">
        <f t="shared" ref="V17:V19" si="16">I17</f>
        <v>#DIV/0!</v>
      </c>
      <c r="W17" s="121" t="e">
        <f t="shared" ref="W17:W19" si="17">J17</f>
        <v>#DIV/0!</v>
      </c>
      <c r="X17" s="121">
        <f t="shared" ref="X17:X19" si="18">K17</f>
        <v>0.38306692312794322</v>
      </c>
      <c r="Y17" s="121" t="e">
        <f t="shared" ref="Y17:Y19" si="19">L17</f>
        <v>#DIV/0!</v>
      </c>
      <c r="Z17" s="121" t="e">
        <f t="shared" ref="Z17:Z19" si="20">M17</f>
        <v>#DIV/0!</v>
      </c>
      <c r="AA17" s="121" t="e">
        <f t="shared" ref="AA17:AA19" si="21">N17</f>
        <v>#DIV/0!</v>
      </c>
      <c r="AB17" s="121">
        <f t="shared" ref="AB17:AB19" si="22">O17</f>
        <v>0.4390260353433158</v>
      </c>
      <c r="AC17" s="121" t="e">
        <f t="shared" ref="AC17:AC19" si="23">P17</f>
        <v>#DIV/0!</v>
      </c>
      <c r="AD17" s="121" t="e">
        <f t="shared" ref="AD17:AD19" si="24">Q17</f>
        <v>#DIV/0!</v>
      </c>
      <c r="AE17" s="122" t="e">
        <f t="shared" ref="AE17:AE19" si="25">R17</f>
        <v>#DIV/0!</v>
      </c>
    </row>
    <row r="18" spans="1:31">
      <c r="B18" s="119" t="str">
        <f>B11&amp;"(%)"</f>
        <v>Theatrical(%)</v>
      </c>
      <c r="C18" s="129">
        <f>SUM(C11/C$13)</f>
        <v>8.4307003428251599E-3</v>
      </c>
      <c r="D18" s="129">
        <f>SUM(D11/D$13)</f>
        <v>4.0558466538436026E-2</v>
      </c>
      <c r="E18" s="129">
        <f>SUM(E11/E$13)</f>
        <v>2.7418049372723595E-2</v>
      </c>
      <c r="F18" s="129">
        <f>SUM(F11/F$13)</f>
        <v>2.7830075651251156E-2</v>
      </c>
      <c r="G18" s="120"/>
      <c r="H18" s="129" t="e">
        <f>SUM(H11/H$13)</f>
        <v>#DIV/0!</v>
      </c>
      <c r="I18" s="129" t="e">
        <f>SUM(I11/I$13)</f>
        <v>#DIV/0!</v>
      </c>
      <c r="J18" s="129" t="e">
        <f>SUM(J11/J$13)</f>
        <v>#DIV/0!</v>
      </c>
      <c r="K18" s="129">
        <f>SUM(K11/K$13)</f>
        <v>4.0558466538436026E-2</v>
      </c>
      <c r="L18" s="129" t="e">
        <f>SUM(L11/L$13)</f>
        <v>#DIV/0!</v>
      </c>
      <c r="M18" s="129" t="e">
        <f>SUM(M11/M$13)</f>
        <v>#DIV/0!</v>
      </c>
      <c r="N18" s="129" t="e">
        <f>SUM(N11/N$13)</f>
        <v>#DIV/0!</v>
      </c>
      <c r="O18" s="129">
        <f>SUM(O11/O$13)</f>
        <v>2.7418049372723595E-2</v>
      </c>
      <c r="P18" s="129" t="e">
        <f>SUM(P11/P$13)</f>
        <v>#DIV/0!</v>
      </c>
      <c r="Q18" s="129" t="e">
        <f>SUM(Q11/Q$13)</f>
        <v>#DIV/0!</v>
      </c>
      <c r="R18" s="129" t="e">
        <f>SUM(R11/R$13)</f>
        <v>#DIV/0!</v>
      </c>
      <c r="S18" s="129">
        <f>SUM(S11/S$13)</f>
        <v>2.7830075651251156E-2</v>
      </c>
      <c r="T18" s="129" t="e">
        <f>SUM(T11/T$13)</f>
        <v>#DIV/0!</v>
      </c>
      <c r="U18" s="120"/>
      <c r="V18" s="121" t="e">
        <f t="shared" si="16"/>
        <v>#DIV/0!</v>
      </c>
      <c r="W18" s="121" t="e">
        <f t="shared" si="17"/>
        <v>#DIV/0!</v>
      </c>
      <c r="X18" s="121">
        <f t="shared" si="18"/>
        <v>4.0558466538436026E-2</v>
      </c>
      <c r="Y18" s="121" t="e">
        <f t="shared" si="19"/>
        <v>#DIV/0!</v>
      </c>
      <c r="Z18" s="121" t="e">
        <f t="shared" si="20"/>
        <v>#DIV/0!</v>
      </c>
      <c r="AA18" s="121" t="e">
        <f t="shared" si="21"/>
        <v>#DIV/0!</v>
      </c>
      <c r="AB18" s="121">
        <f t="shared" si="22"/>
        <v>2.7418049372723595E-2</v>
      </c>
      <c r="AC18" s="121" t="e">
        <f t="shared" si="23"/>
        <v>#DIV/0!</v>
      </c>
      <c r="AD18" s="121" t="e">
        <f t="shared" si="24"/>
        <v>#DIV/0!</v>
      </c>
      <c r="AE18" s="122" t="e">
        <f t="shared" si="25"/>
        <v>#DIV/0!</v>
      </c>
    </row>
    <row r="19" spans="1:31" ht="12.75" customHeight="1">
      <c r="B19" s="123" t="str">
        <f>B12&amp;"(%)"</f>
        <v>Licensing and other(%)</v>
      </c>
      <c r="C19" s="128">
        <f>SUM(C12/C$13)</f>
        <v>0.22706919471069753</v>
      </c>
      <c r="D19" s="128">
        <f>SUM(D12/D$13)</f>
        <v>0.21522849373217484</v>
      </c>
      <c r="E19" s="128">
        <f>SUM(E12/E$13)</f>
        <v>0.19668150546337515</v>
      </c>
      <c r="F19" s="128">
        <f>SUM(F12/F$13)</f>
        <v>0.16951357272447198</v>
      </c>
      <c r="G19" s="124"/>
      <c r="H19" s="128" t="e">
        <f>SUM(H12/H$13)</f>
        <v>#DIV/0!</v>
      </c>
      <c r="I19" s="128" t="e">
        <f>SUM(I12/I$13)</f>
        <v>#DIV/0!</v>
      </c>
      <c r="J19" s="128" t="e">
        <f>SUM(J12/J$13)</f>
        <v>#DIV/0!</v>
      </c>
      <c r="K19" s="128">
        <f>SUM(K12/K$13)</f>
        <v>0.21522849373217484</v>
      </c>
      <c r="L19" s="128" t="e">
        <f>SUM(L12/L$13)</f>
        <v>#DIV/0!</v>
      </c>
      <c r="M19" s="128" t="e">
        <f>SUM(M12/M$13)</f>
        <v>#DIV/0!</v>
      </c>
      <c r="N19" s="128" t="e">
        <f>SUM(N12/N$13)</f>
        <v>#DIV/0!</v>
      </c>
      <c r="O19" s="128">
        <f>SUM(O12/O$13)</f>
        <v>0.19668150546337515</v>
      </c>
      <c r="P19" s="128" t="e">
        <f>SUM(P12/P$13)</f>
        <v>#DIV/0!</v>
      </c>
      <c r="Q19" s="128" t="e">
        <f>SUM(Q12/Q$13)</f>
        <v>#DIV/0!</v>
      </c>
      <c r="R19" s="128" t="e">
        <f>SUM(R12/R$13)</f>
        <v>#DIV/0!</v>
      </c>
      <c r="S19" s="128">
        <f>SUM(S12/S$13)</f>
        <v>0.16951357272447198</v>
      </c>
      <c r="T19" s="128" t="e">
        <f>SUM(T12/T$13)</f>
        <v>#DIV/0!</v>
      </c>
      <c r="U19" s="124"/>
      <c r="V19" s="125" t="e">
        <f t="shared" si="16"/>
        <v>#DIV/0!</v>
      </c>
      <c r="W19" s="125" t="e">
        <f t="shared" si="17"/>
        <v>#DIV/0!</v>
      </c>
      <c r="X19" s="125">
        <f t="shared" si="18"/>
        <v>0.21522849373217484</v>
      </c>
      <c r="Y19" s="125" t="e">
        <f t="shared" si="19"/>
        <v>#DIV/0!</v>
      </c>
      <c r="Z19" s="125" t="e">
        <f t="shared" si="20"/>
        <v>#DIV/0!</v>
      </c>
      <c r="AA19" s="125" t="e">
        <f t="shared" si="21"/>
        <v>#DIV/0!</v>
      </c>
      <c r="AB19" s="125">
        <f t="shared" si="22"/>
        <v>0.19668150546337515</v>
      </c>
      <c r="AC19" s="125" t="e">
        <f t="shared" si="23"/>
        <v>#DIV/0!</v>
      </c>
      <c r="AD19" s="125" t="e">
        <f t="shared" si="24"/>
        <v>#DIV/0!</v>
      </c>
      <c r="AE19" s="126" t="e">
        <f t="shared" si="25"/>
        <v>#DIV/0!</v>
      </c>
    </row>
    <row r="20" spans="1:31">
      <c r="B20" s="16"/>
      <c r="C20" s="17"/>
      <c r="D20" s="17"/>
      <c r="E20" s="17"/>
      <c r="F20" s="17"/>
      <c r="G20" s="18"/>
      <c r="H20" s="19"/>
      <c r="I20" s="19"/>
      <c r="J20" s="19"/>
      <c r="K20" s="20"/>
      <c r="L20" s="19"/>
      <c r="M20" s="19"/>
      <c r="N20" s="19"/>
      <c r="O20" s="19"/>
      <c r="P20" s="19"/>
      <c r="Q20" s="19"/>
      <c r="R20" s="19"/>
      <c r="S20" s="19"/>
      <c r="T20" s="19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spans="1:31" ht="12.75" customHeight="1">
      <c r="A21" s="74" t="s">
        <v>16</v>
      </c>
      <c r="B21" s="72" t="s">
        <v>191</v>
      </c>
      <c r="C21" s="10"/>
      <c r="D21" s="10"/>
      <c r="E21" s="10"/>
      <c r="F21" s="10"/>
      <c r="G21" s="10"/>
      <c r="H21" s="81"/>
      <c r="I21" s="81"/>
      <c r="J21" s="81"/>
      <c r="K21" s="30"/>
      <c r="L21" s="81"/>
      <c r="M21" s="81"/>
      <c r="N21" s="81"/>
      <c r="O21" s="30"/>
      <c r="P21" s="81"/>
      <c r="Q21" s="81"/>
      <c r="R21" s="81"/>
      <c r="S21" s="81"/>
      <c r="T21" s="81"/>
      <c r="U21" s="5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 spans="1:31" ht="12.75" customHeight="1">
      <c r="A22" s="74"/>
      <c r="B22" s="9" t="s">
        <v>196</v>
      </c>
      <c r="C22" s="75">
        <v>22734</v>
      </c>
      <c r="D22" s="75">
        <v>21732</v>
      </c>
      <c r="E22" s="75">
        <v>20085</v>
      </c>
      <c r="F22" s="75">
        <v>18779</v>
      </c>
      <c r="G22" s="10"/>
      <c r="H22" s="75"/>
      <c r="I22" s="75"/>
      <c r="J22" s="75"/>
      <c r="K22" s="30">
        <f>SUM(D22-SUM(H22:J22))</f>
        <v>21732</v>
      </c>
      <c r="L22" s="75"/>
      <c r="M22" s="75"/>
      <c r="N22" s="75"/>
      <c r="O22" s="30">
        <f>SUM(E22-SUM(L22:N22))</f>
        <v>20085</v>
      </c>
      <c r="P22" s="75"/>
      <c r="Q22" s="75"/>
      <c r="R22" s="75"/>
      <c r="S22" s="30">
        <f>SUM(F22-SUM(P22:R22))</f>
        <v>18779</v>
      </c>
      <c r="T22" s="75"/>
      <c r="U22" s="5"/>
      <c r="V22" s="30">
        <f t="shared" ref="V22:V25" si="26">SUM(H22:K22)</f>
        <v>21732</v>
      </c>
      <c r="W22" s="30">
        <f t="shared" ref="W22:W25" si="27">SUM(I22:L22)</f>
        <v>21732</v>
      </c>
      <c r="X22" s="30">
        <f t="shared" ref="X22:X25" si="28">SUM(J22:M22)</f>
        <v>21732</v>
      </c>
      <c r="Y22" s="30">
        <f t="shared" ref="Y22:Y25" si="29">SUM(K22:N22)</f>
        <v>21732</v>
      </c>
      <c r="Z22" s="30">
        <f t="shared" ref="Z22:Z25" si="30">SUM(L22:O22)</f>
        <v>20085</v>
      </c>
      <c r="AA22" s="30">
        <f t="shared" ref="AA22:AA25" si="31">SUM(M22:P22)</f>
        <v>20085</v>
      </c>
      <c r="AB22" s="30">
        <f t="shared" ref="AB22:AB25" si="32">SUM(N22:Q22)</f>
        <v>20085</v>
      </c>
      <c r="AC22" s="30">
        <f t="shared" ref="AC22:AC25" si="33">SUM(O22:R22)</f>
        <v>20085</v>
      </c>
      <c r="AD22" s="30">
        <f t="shared" ref="AD22:AD25" si="34">SUM(P22:S22)</f>
        <v>18779</v>
      </c>
      <c r="AE22" s="30">
        <f>SUM(Q22:T22)</f>
        <v>18779</v>
      </c>
    </row>
    <row r="23" spans="1:31" ht="12.75" customHeight="1">
      <c r="A23" s="74"/>
      <c r="B23" s="9" t="s">
        <v>197</v>
      </c>
      <c r="C23" s="75">
        <v>3327</v>
      </c>
      <c r="D23" s="75">
        <v>4904</v>
      </c>
      <c r="E23" s="75">
        <v>6736</v>
      </c>
      <c r="F23" s="75">
        <v>7632</v>
      </c>
      <c r="G23" s="10"/>
      <c r="H23" s="75"/>
      <c r="I23" s="75"/>
      <c r="J23" s="75"/>
      <c r="K23" s="30">
        <f t="shared" ref="K23:K25" si="35">SUM(D23-SUM(H23:J23))</f>
        <v>4904</v>
      </c>
      <c r="L23" s="75"/>
      <c r="M23" s="75"/>
      <c r="N23" s="75"/>
      <c r="O23" s="30">
        <f t="shared" ref="O23:O25" si="36">SUM(E23-SUM(L23:N23))</f>
        <v>6736</v>
      </c>
      <c r="P23" s="75"/>
      <c r="Q23" s="75"/>
      <c r="R23" s="75"/>
      <c r="S23" s="30">
        <f t="shared" ref="S23:S25" si="37">SUM(F23-SUM(P23:R23))</f>
        <v>7632</v>
      </c>
      <c r="T23" s="75"/>
      <c r="U23" s="5"/>
      <c r="V23" s="30">
        <f t="shared" si="26"/>
        <v>4904</v>
      </c>
      <c r="W23" s="30">
        <f t="shared" si="27"/>
        <v>4904</v>
      </c>
      <c r="X23" s="30">
        <f t="shared" si="28"/>
        <v>4904</v>
      </c>
      <c r="Y23" s="30">
        <f t="shared" si="29"/>
        <v>4904</v>
      </c>
      <c r="Z23" s="30">
        <f t="shared" si="30"/>
        <v>6736</v>
      </c>
      <c r="AA23" s="30">
        <f t="shared" si="31"/>
        <v>6736</v>
      </c>
      <c r="AB23" s="30">
        <f t="shared" si="32"/>
        <v>6736</v>
      </c>
      <c r="AC23" s="30">
        <f t="shared" si="33"/>
        <v>6736</v>
      </c>
      <c r="AD23" s="30">
        <f t="shared" si="34"/>
        <v>7632</v>
      </c>
      <c r="AE23" s="30">
        <f t="shared" ref="AE23:AE25" si="38">SUM(Q23:T23)</f>
        <v>7632</v>
      </c>
    </row>
    <row r="24" spans="1:31" ht="12.75" customHeight="1">
      <c r="A24" s="74"/>
      <c r="B24" s="9" t="s">
        <v>198</v>
      </c>
      <c r="C24" s="75">
        <v>2687</v>
      </c>
      <c r="D24" s="75">
        <v>3706</v>
      </c>
      <c r="E24" s="75">
        <v>2957</v>
      </c>
      <c r="F24" s="75">
        <v>2955</v>
      </c>
      <c r="G24" s="10"/>
      <c r="H24" s="75"/>
      <c r="I24" s="75"/>
      <c r="J24" s="75"/>
      <c r="K24" s="30">
        <f t="shared" si="35"/>
        <v>3706</v>
      </c>
      <c r="L24" s="75"/>
      <c r="M24" s="75"/>
      <c r="N24" s="75"/>
      <c r="O24" s="30">
        <f t="shared" si="36"/>
        <v>2957</v>
      </c>
      <c r="P24" s="75"/>
      <c r="Q24" s="75"/>
      <c r="R24" s="75"/>
      <c r="S24" s="30">
        <f t="shared" si="37"/>
        <v>2955</v>
      </c>
      <c r="T24" s="75"/>
      <c r="U24" s="5"/>
      <c r="V24" s="30">
        <f t="shared" si="26"/>
        <v>3706</v>
      </c>
      <c r="W24" s="30">
        <f t="shared" si="27"/>
        <v>3706</v>
      </c>
      <c r="X24" s="30">
        <f t="shared" si="28"/>
        <v>3706</v>
      </c>
      <c r="Y24" s="30">
        <f t="shared" si="29"/>
        <v>3706</v>
      </c>
      <c r="Z24" s="30">
        <f t="shared" si="30"/>
        <v>2957</v>
      </c>
      <c r="AA24" s="30">
        <f t="shared" si="31"/>
        <v>2957</v>
      </c>
      <c r="AB24" s="30">
        <f t="shared" si="32"/>
        <v>2957</v>
      </c>
      <c r="AC24" s="30">
        <f t="shared" si="33"/>
        <v>2957</v>
      </c>
      <c r="AD24" s="30">
        <f t="shared" si="34"/>
        <v>2955</v>
      </c>
      <c r="AE24" s="30">
        <f t="shared" si="38"/>
        <v>2955</v>
      </c>
    </row>
    <row r="25" spans="1:31" ht="12.75" customHeight="1">
      <c r="A25" s="74"/>
      <c r="B25" s="9" t="s">
        <v>199</v>
      </c>
      <c r="C25" s="75">
        <v>-162</v>
      </c>
      <c r="D25" s="75">
        <v>-188</v>
      </c>
      <c r="E25" s="75">
        <v>-126</v>
      </c>
      <c r="F25" s="75">
        <v>-153</v>
      </c>
      <c r="G25" s="10"/>
      <c r="H25" s="75"/>
      <c r="I25" s="75"/>
      <c r="J25" s="75"/>
      <c r="K25" s="30">
        <f t="shared" si="35"/>
        <v>-188</v>
      </c>
      <c r="L25" s="75"/>
      <c r="M25" s="75"/>
      <c r="N25" s="75"/>
      <c r="O25" s="30">
        <f t="shared" si="36"/>
        <v>-126</v>
      </c>
      <c r="P25" s="75"/>
      <c r="Q25" s="75"/>
      <c r="R25" s="75"/>
      <c r="S25" s="30">
        <f t="shared" si="37"/>
        <v>-153</v>
      </c>
      <c r="T25" s="75"/>
      <c r="U25" s="5"/>
      <c r="V25" s="30">
        <f t="shared" si="26"/>
        <v>-188</v>
      </c>
      <c r="W25" s="30">
        <f t="shared" si="27"/>
        <v>-188</v>
      </c>
      <c r="X25" s="30">
        <f t="shared" si="28"/>
        <v>-188</v>
      </c>
      <c r="Y25" s="30">
        <f t="shared" si="29"/>
        <v>-188</v>
      </c>
      <c r="Z25" s="30">
        <f t="shared" si="30"/>
        <v>-126</v>
      </c>
      <c r="AA25" s="30">
        <f t="shared" si="31"/>
        <v>-126</v>
      </c>
      <c r="AB25" s="30">
        <f t="shared" si="32"/>
        <v>-126</v>
      </c>
      <c r="AC25" s="30">
        <f t="shared" si="33"/>
        <v>-126</v>
      </c>
      <c r="AD25" s="30">
        <f t="shared" si="34"/>
        <v>-153</v>
      </c>
      <c r="AE25" s="30">
        <f t="shared" si="38"/>
        <v>-153</v>
      </c>
    </row>
    <row r="26" spans="1:31">
      <c r="B26" s="12" t="s">
        <v>67</v>
      </c>
      <c r="C26" s="13">
        <f>SUM(C22:C25)</f>
        <v>28586</v>
      </c>
      <c r="D26" s="13">
        <f>SUM(D22:D25)</f>
        <v>30154</v>
      </c>
      <c r="E26" s="13">
        <f>SUM(E22:E25)</f>
        <v>29652</v>
      </c>
      <c r="F26" s="13">
        <f>SUM(F22:F25)</f>
        <v>29213</v>
      </c>
      <c r="G26" s="11"/>
      <c r="H26" s="13">
        <f>SUM(H22:H25)</f>
        <v>0</v>
      </c>
      <c r="I26" s="13">
        <f>SUM(I22:I25)</f>
        <v>0</v>
      </c>
      <c r="J26" s="13">
        <f>SUM(J22:J25)</f>
        <v>0</v>
      </c>
      <c r="K26" s="13">
        <f>SUM(K22:K25)</f>
        <v>30154</v>
      </c>
      <c r="L26" s="13">
        <f>SUM(L22:L25)</f>
        <v>0</v>
      </c>
      <c r="M26" s="13">
        <f>SUM(M22:M25)</f>
        <v>0</v>
      </c>
      <c r="N26" s="13">
        <f>SUM(N22:N25)</f>
        <v>0</v>
      </c>
      <c r="O26" s="13">
        <f>SUM(O22:O25)</f>
        <v>29652</v>
      </c>
      <c r="P26" s="13">
        <f>SUM(P22:P25)</f>
        <v>0</v>
      </c>
      <c r="Q26" s="13">
        <f>SUM(Q22:Q25)</f>
        <v>0</v>
      </c>
      <c r="R26" s="13">
        <f>SUM(R22:R25)</f>
        <v>0</v>
      </c>
      <c r="S26" s="13">
        <f>SUM(S22:S25)</f>
        <v>29213</v>
      </c>
      <c r="T26" s="13">
        <f>SUM(T22:T25)</f>
        <v>0</v>
      </c>
      <c r="U26" s="5"/>
      <c r="V26" s="13">
        <f>SUM(V22:V25)</f>
        <v>30154</v>
      </c>
      <c r="W26" s="13">
        <f>SUM(W22:W25)</f>
        <v>30154</v>
      </c>
      <c r="X26" s="13">
        <f>SUM(X22:X25)</f>
        <v>30154</v>
      </c>
      <c r="Y26" s="13">
        <f>SUM(Y22:Y25)</f>
        <v>30154</v>
      </c>
      <c r="Z26" s="13">
        <f>SUM(Z22:Z25)</f>
        <v>29652</v>
      </c>
      <c r="AA26" s="13">
        <f>SUM(AA22:AA25)</f>
        <v>29652</v>
      </c>
      <c r="AB26" s="13">
        <f>SUM(AB22:AB25)</f>
        <v>29652</v>
      </c>
      <c r="AC26" s="13">
        <f>SUM(AC22:AC25)</f>
        <v>29652</v>
      </c>
      <c r="AD26" s="13">
        <f>SUM(AD22:AD25)</f>
        <v>29213</v>
      </c>
      <c r="AE26" s="13">
        <f>SUM(AE22:AE25)</f>
        <v>29213</v>
      </c>
    </row>
    <row r="27" spans="1:31" outlineLevel="1">
      <c r="B27" s="114" t="s">
        <v>200</v>
      </c>
      <c r="C27" s="73">
        <f>+C26-C13</f>
        <v>0</v>
      </c>
      <c r="D27" s="73">
        <f t="shared" ref="D27:F27" si="39">+D26-D13</f>
        <v>0</v>
      </c>
      <c r="E27" s="73">
        <f t="shared" si="39"/>
        <v>0</v>
      </c>
      <c r="F27" s="73">
        <f t="shared" si="39"/>
        <v>0</v>
      </c>
      <c r="G27" s="11"/>
      <c r="H27" s="73">
        <f t="shared" ref="H27" si="40">+H26-H13</f>
        <v>0</v>
      </c>
      <c r="I27" s="73">
        <f t="shared" ref="I27" si="41">+I26-I13</f>
        <v>0</v>
      </c>
      <c r="J27" s="73">
        <f t="shared" ref="J27" si="42">+J26-J13</f>
        <v>0</v>
      </c>
      <c r="K27" s="73">
        <f t="shared" ref="K27" si="43">+K26-K13</f>
        <v>0</v>
      </c>
      <c r="L27" s="73">
        <f t="shared" ref="L27" si="44">+L26-L13</f>
        <v>0</v>
      </c>
      <c r="M27" s="73">
        <f t="shared" ref="M27" si="45">+M26-M13</f>
        <v>0</v>
      </c>
      <c r="N27" s="73">
        <f t="shared" ref="N27" si="46">+N26-N13</f>
        <v>0</v>
      </c>
      <c r="O27" s="73">
        <f t="shared" ref="O27" si="47">+O26-O13</f>
        <v>0</v>
      </c>
      <c r="P27" s="73">
        <f t="shared" ref="P27" si="48">+P26-P13</f>
        <v>0</v>
      </c>
      <c r="Q27" s="73">
        <f t="shared" ref="Q27" si="49">+Q26-Q13</f>
        <v>0</v>
      </c>
      <c r="R27" s="73">
        <f t="shared" ref="R27" si="50">+R26-R13</f>
        <v>0</v>
      </c>
      <c r="S27" s="73">
        <f t="shared" ref="S27" si="51">+S26-S13</f>
        <v>0</v>
      </c>
      <c r="T27" s="73">
        <f t="shared" ref="T27" si="52">+T26-T13</f>
        <v>0</v>
      </c>
      <c r="U27" s="73"/>
      <c r="V27" s="73">
        <f t="shared" ref="V27" si="53">+V26-V13</f>
        <v>0</v>
      </c>
      <c r="W27" s="73">
        <f t="shared" ref="W27" si="54">+W26-W13</f>
        <v>0</v>
      </c>
      <c r="X27" s="73">
        <f t="shared" ref="X27" si="55">+X26-X13</f>
        <v>0</v>
      </c>
      <c r="Y27" s="73">
        <f t="shared" ref="Y27" si="56">+Y26-Y13</f>
        <v>0</v>
      </c>
      <c r="Z27" s="73">
        <f t="shared" ref="Z27" si="57">+Z26-Z13</f>
        <v>0</v>
      </c>
      <c r="AA27" s="73">
        <f t="shared" ref="AA27" si="58">+AA26-AA13</f>
        <v>0</v>
      </c>
      <c r="AB27" s="73">
        <f t="shared" ref="AB27" si="59">+AB26-AB13</f>
        <v>0</v>
      </c>
      <c r="AC27" s="73">
        <f t="shared" ref="AC27" si="60">+AC26-AC13</f>
        <v>0</v>
      </c>
      <c r="AD27" s="73">
        <f t="shared" ref="AD27" si="61">+AD26-AD13</f>
        <v>0</v>
      </c>
      <c r="AE27" s="73">
        <f t="shared" ref="AE27" si="62">+AE26-AE13</f>
        <v>0</v>
      </c>
    </row>
    <row r="28" spans="1:31">
      <c r="B28" s="16"/>
      <c r="C28" s="17"/>
      <c r="D28" s="17"/>
      <c r="E28" s="17"/>
      <c r="F28" s="17"/>
      <c r="G28" s="18"/>
      <c r="H28" s="19"/>
      <c r="I28" s="19"/>
      <c r="J28" s="19"/>
      <c r="K28" s="20"/>
      <c r="L28" s="19"/>
      <c r="M28" s="19"/>
      <c r="N28" s="19"/>
      <c r="O28" s="19"/>
      <c r="P28" s="19"/>
      <c r="Q28" s="19"/>
      <c r="R28" s="19"/>
      <c r="S28" s="19"/>
      <c r="T28" s="19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>
      <c r="B29" s="115" t="str">
        <f>B22&amp;"(%)"</f>
        <v>TV Media(%)</v>
      </c>
      <c r="C29" s="127">
        <f>SUM(C22/C$26)</f>
        <v>0.79528440495347374</v>
      </c>
      <c r="D29" s="127">
        <f t="shared" ref="D29:F29" si="63">SUM(D22/D$26)</f>
        <v>0.72070040458977247</v>
      </c>
      <c r="E29" s="127">
        <f t="shared" si="63"/>
        <v>0.67735734520437074</v>
      </c>
      <c r="F29" s="127">
        <f t="shared" si="63"/>
        <v>0.642830246807928</v>
      </c>
      <c r="G29" s="116"/>
      <c r="H29" s="127" t="e">
        <f t="shared" ref="H29:T29" si="64">SUM(H22/H$26)</f>
        <v>#DIV/0!</v>
      </c>
      <c r="I29" s="127" t="e">
        <f t="shared" si="64"/>
        <v>#DIV/0!</v>
      </c>
      <c r="J29" s="127" t="e">
        <f t="shared" si="64"/>
        <v>#DIV/0!</v>
      </c>
      <c r="K29" s="127">
        <f t="shared" si="64"/>
        <v>0.72070040458977247</v>
      </c>
      <c r="L29" s="127" t="e">
        <f t="shared" si="64"/>
        <v>#DIV/0!</v>
      </c>
      <c r="M29" s="127" t="e">
        <f t="shared" si="64"/>
        <v>#DIV/0!</v>
      </c>
      <c r="N29" s="127" t="e">
        <f t="shared" si="64"/>
        <v>#DIV/0!</v>
      </c>
      <c r="O29" s="127">
        <f t="shared" si="64"/>
        <v>0.67735734520437074</v>
      </c>
      <c r="P29" s="127" t="e">
        <f t="shared" si="64"/>
        <v>#DIV/0!</v>
      </c>
      <c r="Q29" s="127" t="e">
        <f t="shared" si="64"/>
        <v>#DIV/0!</v>
      </c>
      <c r="R29" s="127" t="e">
        <f t="shared" si="64"/>
        <v>#DIV/0!</v>
      </c>
      <c r="S29" s="127">
        <f t="shared" si="64"/>
        <v>0.642830246807928</v>
      </c>
      <c r="T29" s="127" t="e">
        <f t="shared" si="64"/>
        <v>#DIV/0!</v>
      </c>
      <c r="U29" s="116"/>
      <c r="V29" s="117">
        <f t="shared" ref="V29:AE29" si="65">SUM(V22/V$26)</f>
        <v>0.72070040458977247</v>
      </c>
      <c r="W29" s="117">
        <f t="shared" si="65"/>
        <v>0.72070040458977247</v>
      </c>
      <c r="X29" s="117">
        <f t="shared" si="65"/>
        <v>0.72070040458977247</v>
      </c>
      <c r="Y29" s="117">
        <f t="shared" si="65"/>
        <v>0.72070040458977247</v>
      </c>
      <c r="Z29" s="117">
        <f t="shared" si="65"/>
        <v>0.67735734520437074</v>
      </c>
      <c r="AA29" s="117">
        <f t="shared" si="65"/>
        <v>0.67735734520437074</v>
      </c>
      <c r="AB29" s="117">
        <f t="shared" si="65"/>
        <v>0.67735734520437074</v>
      </c>
      <c r="AC29" s="117">
        <f t="shared" si="65"/>
        <v>0.67735734520437074</v>
      </c>
      <c r="AD29" s="117">
        <f t="shared" si="65"/>
        <v>0.642830246807928</v>
      </c>
      <c r="AE29" s="118">
        <f t="shared" si="65"/>
        <v>0.642830246807928</v>
      </c>
    </row>
    <row r="30" spans="1:31">
      <c r="B30" s="119" t="str">
        <f>B23&amp;"(%)"</f>
        <v>Direct-to-Consumer(%)</v>
      </c>
      <c r="C30" s="129">
        <f t="shared" ref="C30:F31" si="66">SUM(C23/C$26)</f>
        <v>0.11638564332190583</v>
      </c>
      <c r="D30" s="129">
        <f t="shared" si="66"/>
        <v>0.16263182330702394</v>
      </c>
      <c r="E30" s="129">
        <f t="shared" si="66"/>
        <v>0.22716848779171725</v>
      </c>
      <c r="F30" s="129">
        <f t="shared" si="66"/>
        <v>0.26125355150104407</v>
      </c>
      <c r="G30" s="120"/>
      <c r="H30" s="129" t="e">
        <f t="shared" ref="H30:T30" si="67">SUM(H23/H$26)</f>
        <v>#DIV/0!</v>
      </c>
      <c r="I30" s="129" t="e">
        <f t="shared" si="67"/>
        <v>#DIV/0!</v>
      </c>
      <c r="J30" s="129" t="e">
        <f t="shared" si="67"/>
        <v>#DIV/0!</v>
      </c>
      <c r="K30" s="129">
        <f t="shared" si="67"/>
        <v>0.16263182330702394</v>
      </c>
      <c r="L30" s="129" t="e">
        <f t="shared" si="67"/>
        <v>#DIV/0!</v>
      </c>
      <c r="M30" s="129" t="e">
        <f t="shared" si="67"/>
        <v>#DIV/0!</v>
      </c>
      <c r="N30" s="129" t="e">
        <f t="shared" si="67"/>
        <v>#DIV/0!</v>
      </c>
      <c r="O30" s="129">
        <f t="shared" si="67"/>
        <v>0.22716848779171725</v>
      </c>
      <c r="P30" s="129" t="e">
        <f t="shared" si="67"/>
        <v>#DIV/0!</v>
      </c>
      <c r="Q30" s="129" t="e">
        <f t="shared" si="67"/>
        <v>#DIV/0!</v>
      </c>
      <c r="R30" s="129" t="e">
        <f t="shared" si="67"/>
        <v>#DIV/0!</v>
      </c>
      <c r="S30" s="129">
        <f t="shared" si="67"/>
        <v>0.26125355150104407</v>
      </c>
      <c r="T30" s="129" t="e">
        <f t="shared" si="67"/>
        <v>#DIV/0!</v>
      </c>
      <c r="U30" s="120"/>
      <c r="V30" s="121">
        <f t="shared" ref="V30:AE30" si="68">SUM(V23/V$26)</f>
        <v>0.16263182330702394</v>
      </c>
      <c r="W30" s="121">
        <f t="shared" si="68"/>
        <v>0.16263182330702394</v>
      </c>
      <c r="X30" s="121">
        <f t="shared" si="68"/>
        <v>0.16263182330702394</v>
      </c>
      <c r="Y30" s="121">
        <f t="shared" si="68"/>
        <v>0.16263182330702394</v>
      </c>
      <c r="Z30" s="121">
        <f t="shared" si="68"/>
        <v>0.22716848779171725</v>
      </c>
      <c r="AA30" s="121">
        <f t="shared" si="68"/>
        <v>0.22716848779171725</v>
      </c>
      <c r="AB30" s="121">
        <f t="shared" si="68"/>
        <v>0.22716848779171725</v>
      </c>
      <c r="AC30" s="121">
        <f t="shared" si="68"/>
        <v>0.22716848779171725</v>
      </c>
      <c r="AD30" s="121">
        <f t="shared" si="68"/>
        <v>0.26125355150104407</v>
      </c>
      <c r="AE30" s="122">
        <f t="shared" si="68"/>
        <v>0.26125355150104407</v>
      </c>
    </row>
    <row r="31" spans="1:31">
      <c r="B31" s="123" t="str">
        <f>B24&amp;"(%)"</f>
        <v>Filmed Entertainment(%)</v>
      </c>
      <c r="C31" s="128">
        <f t="shared" si="66"/>
        <v>9.3997061498635695E-2</v>
      </c>
      <c r="D31" s="128">
        <f t="shared" si="66"/>
        <v>0.12290243417125422</v>
      </c>
      <c r="E31" s="128">
        <f t="shared" si="66"/>
        <v>9.9723458788614591E-2</v>
      </c>
      <c r="F31" s="128">
        <f t="shared" si="66"/>
        <v>0.10115359600178003</v>
      </c>
      <c r="G31" s="124"/>
      <c r="H31" s="128" t="e">
        <f t="shared" ref="H31:T31" si="69">SUM(H24/H$26)</f>
        <v>#DIV/0!</v>
      </c>
      <c r="I31" s="128" t="e">
        <f t="shared" si="69"/>
        <v>#DIV/0!</v>
      </c>
      <c r="J31" s="128" t="e">
        <f t="shared" si="69"/>
        <v>#DIV/0!</v>
      </c>
      <c r="K31" s="128">
        <f t="shared" si="69"/>
        <v>0.12290243417125422</v>
      </c>
      <c r="L31" s="128" t="e">
        <f t="shared" si="69"/>
        <v>#DIV/0!</v>
      </c>
      <c r="M31" s="128" t="e">
        <f t="shared" si="69"/>
        <v>#DIV/0!</v>
      </c>
      <c r="N31" s="128" t="e">
        <f t="shared" si="69"/>
        <v>#DIV/0!</v>
      </c>
      <c r="O31" s="128">
        <f t="shared" si="69"/>
        <v>9.9723458788614591E-2</v>
      </c>
      <c r="P31" s="128" t="e">
        <f t="shared" si="69"/>
        <v>#DIV/0!</v>
      </c>
      <c r="Q31" s="128" t="e">
        <f t="shared" si="69"/>
        <v>#DIV/0!</v>
      </c>
      <c r="R31" s="128" t="e">
        <f t="shared" si="69"/>
        <v>#DIV/0!</v>
      </c>
      <c r="S31" s="128">
        <f t="shared" si="69"/>
        <v>0.10115359600178003</v>
      </c>
      <c r="T31" s="128" t="e">
        <f t="shared" si="69"/>
        <v>#DIV/0!</v>
      </c>
      <c r="U31" s="124"/>
      <c r="V31" s="125">
        <f t="shared" ref="V31:AE31" si="70">SUM(V24/V$26)</f>
        <v>0.12290243417125422</v>
      </c>
      <c r="W31" s="125">
        <f t="shared" si="70"/>
        <v>0.12290243417125422</v>
      </c>
      <c r="X31" s="125">
        <f t="shared" si="70"/>
        <v>0.12290243417125422</v>
      </c>
      <c r="Y31" s="125">
        <f t="shared" si="70"/>
        <v>0.12290243417125422</v>
      </c>
      <c r="Z31" s="125">
        <f t="shared" si="70"/>
        <v>9.9723458788614591E-2</v>
      </c>
      <c r="AA31" s="125">
        <f t="shared" si="70"/>
        <v>9.9723458788614591E-2</v>
      </c>
      <c r="AB31" s="125">
        <f t="shared" si="70"/>
        <v>9.9723458788614591E-2</v>
      </c>
      <c r="AC31" s="125">
        <f t="shared" si="70"/>
        <v>9.9723458788614591E-2</v>
      </c>
      <c r="AD31" s="125">
        <f t="shared" si="70"/>
        <v>0.10115359600178003</v>
      </c>
      <c r="AE31" s="126">
        <f t="shared" si="70"/>
        <v>0.10115359600178003</v>
      </c>
    </row>
    <row r="32" spans="1:31">
      <c r="B32" s="16"/>
      <c r="C32" s="17"/>
      <c r="D32" s="17"/>
      <c r="E32" s="17"/>
      <c r="F32" s="17"/>
      <c r="G32" s="18"/>
      <c r="H32" s="19"/>
      <c r="I32" s="19"/>
      <c r="J32" s="19"/>
      <c r="K32" s="20"/>
      <c r="L32" s="19"/>
      <c r="M32" s="19"/>
      <c r="N32" s="19"/>
      <c r="O32" s="19"/>
      <c r="P32" s="19"/>
      <c r="Q32" s="19"/>
      <c r="R32" s="19"/>
      <c r="S32" s="19"/>
      <c r="T32" s="19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>
      <c r="A33" s="33" t="s">
        <v>16</v>
      </c>
      <c r="B33" s="1" t="s">
        <v>211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5.0999999999999996" customHeight="1"/>
    <row r="35" spans="1:31" ht="12.75" customHeight="1">
      <c r="A35" s="74" t="s">
        <v>16</v>
      </c>
      <c r="B35" s="72" t="s">
        <v>201</v>
      </c>
      <c r="C35" s="10"/>
      <c r="D35" s="10"/>
      <c r="E35" s="10"/>
      <c r="F35" s="10"/>
      <c r="G35" s="10"/>
      <c r="H35" s="81"/>
      <c r="I35" s="81"/>
      <c r="J35" s="81"/>
      <c r="K35" s="30"/>
      <c r="L35" s="81"/>
      <c r="M35" s="81"/>
      <c r="N35" s="81"/>
      <c r="O35" s="30"/>
      <c r="P35" s="81"/>
      <c r="Q35" s="81"/>
      <c r="R35" s="81"/>
      <c r="S35" s="81"/>
      <c r="T35" s="81"/>
      <c r="U35" s="5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 spans="1:31" ht="12.75" customHeight="1">
      <c r="A36" s="74"/>
      <c r="B36" s="9" t="s">
        <v>192</v>
      </c>
      <c r="C36" s="75">
        <v>10105</v>
      </c>
      <c r="D36" s="75">
        <v>9350</v>
      </c>
      <c r="E36" s="75">
        <v>8188</v>
      </c>
      <c r="F36" s="75">
        <v>8180</v>
      </c>
      <c r="G36" s="10"/>
      <c r="H36" s="75"/>
      <c r="I36" s="75"/>
      <c r="J36" s="75"/>
      <c r="K36" s="30">
        <f t="shared" ref="K36:K38" si="71">SUM(D36-SUM(H36:J36))</f>
        <v>9350</v>
      </c>
      <c r="L36" s="75"/>
      <c r="M36" s="75"/>
      <c r="N36" s="75"/>
      <c r="O36" s="30">
        <f t="shared" ref="O36:O38" si="72">SUM(E36-SUM(L36:N36))</f>
        <v>8188</v>
      </c>
      <c r="P36" s="75"/>
      <c r="Q36" s="75"/>
      <c r="R36" s="75"/>
      <c r="S36" s="30">
        <f t="shared" ref="S36:S38" si="73">SUM(F36-SUM(P36:R36))</f>
        <v>8180</v>
      </c>
      <c r="T36" s="75"/>
      <c r="U36" s="5"/>
      <c r="V36" s="30">
        <f t="shared" ref="V36:V37" si="74">SUM(H36:K36)</f>
        <v>9350</v>
      </c>
      <c r="W36" s="30">
        <f t="shared" ref="W36:W37" si="75">SUM(I36:L36)</f>
        <v>9350</v>
      </c>
      <c r="X36" s="30">
        <f t="shared" ref="X36:X37" si="76">SUM(J36:M36)</f>
        <v>9350</v>
      </c>
      <c r="Y36" s="30">
        <f t="shared" ref="Y36:Y37" si="77">SUM(K36:N36)</f>
        <v>9350</v>
      </c>
      <c r="Z36" s="30">
        <f t="shared" ref="Z36:Z37" si="78">SUM(L36:O36)</f>
        <v>8188</v>
      </c>
      <c r="AA36" s="30">
        <f t="shared" ref="AA36:AA37" si="79">SUM(M36:P36)</f>
        <v>8188</v>
      </c>
      <c r="AB36" s="30">
        <f t="shared" ref="AB36:AB37" si="80">SUM(N36:Q36)</f>
        <v>8188</v>
      </c>
      <c r="AC36" s="30">
        <f t="shared" ref="AC36:AC37" si="81">SUM(O36:R36)</f>
        <v>8188</v>
      </c>
      <c r="AD36" s="30">
        <f t="shared" ref="AD36:AD37" si="82">SUM(P36:S36)</f>
        <v>8180</v>
      </c>
      <c r="AE36" s="30">
        <f t="shared" ref="AE36:AE37" si="83">SUM(Q36:T36)</f>
        <v>8180</v>
      </c>
    </row>
    <row r="37" spans="1:31" ht="12.75" customHeight="1">
      <c r="A37" s="74"/>
      <c r="B37" s="9" t="s">
        <v>193</v>
      </c>
      <c r="C37" s="75">
        <v>8413</v>
      </c>
      <c r="D37" s="75">
        <v>8180</v>
      </c>
      <c r="E37" s="75">
        <v>8085</v>
      </c>
      <c r="F37" s="75">
        <v>7647</v>
      </c>
      <c r="G37" s="10"/>
      <c r="H37" s="75"/>
      <c r="I37" s="75"/>
      <c r="J37" s="75"/>
      <c r="K37" s="30">
        <f t="shared" si="71"/>
        <v>8180</v>
      </c>
      <c r="L37" s="75"/>
      <c r="M37" s="75"/>
      <c r="N37" s="75"/>
      <c r="O37" s="30">
        <f t="shared" si="72"/>
        <v>8085</v>
      </c>
      <c r="P37" s="75"/>
      <c r="Q37" s="75"/>
      <c r="R37" s="75"/>
      <c r="S37" s="30">
        <f t="shared" si="73"/>
        <v>7647</v>
      </c>
      <c r="T37" s="75"/>
      <c r="U37" s="5"/>
      <c r="V37" s="30">
        <f t="shared" si="74"/>
        <v>8180</v>
      </c>
      <c r="W37" s="30">
        <f t="shared" si="75"/>
        <v>8180</v>
      </c>
      <c r="X37" s="30">
        <f t="shared" si="76"/>
        <v>8180</v>
      </c>
      <c r="Y37" s="30">
        <f t="shared" si="77"/>
        <v>8180</v>
      </c>
      <c r="Z37" s="30">
        <f t="shared" si="78"/>
        <v>8085</v>
      </c>
      <c r="AA37" s="30">
        <f t="shared" si="79"/>
        <v>8085</v>
      </c>
      <c r="AB37" s="30">
        <f t="shared" si="80"/>
        <v>8085</v>
      </c>
      <c r="AC37" s="30">
        <f t="shared" si="81"/>
        <v>8085</v>
      </c>
      <c r="AD37" s="30">
        <f t="shared" si="82"/>
        <v>7647</v>
      </c>
      <c r="AE37" s="30">
        <f t="shared" si="83"/>
        <v>7647</v>
      </c>
    </row>
    <row r="38" spans="1:31">
      <c r="A38" s="74"/>
      <c r="B38" s="9" t="s">
        <v>195</v>
      </c>
      <c r="C38" s="75">
        <v>4216</v>
      </c>
      <c r="D38" s="75">
        <v>4202</v>
      </c>
      <c r="E38" s="75">
        <v>3812</v>
      </c>
      <c r="F38" s="75">
        <v>2952</v>
      </c>
      <c r="G38" s="10"/>
      <c r="H38" s="75"/>
      <c r="I38" s="75"/>
      <c r="J38" s="75"/>
      <c r="K38" s="30">
        <f t="shared" si="71"/>
        <v>4202</v>
      </c>
      <c r="L38" s="75"/>
      <c r="M38" s="75"/>
      <c r="N38" s="75"/>
      <c r="O38" s="30">
        <f t="shared" si="72"/>
        <v>3812</v>
      </c>
      <c r="P38" s="75"/>
      <c r="Q38" s="75"/>
      <c r="R38" s="75"/>
      <c r="S38" s="30">
        <f t="shared" si="73"/>
        <v>2952</v>
      </c>
      <c r="T38" s="75"/>
      <c r="U38" s="5"/>
      <c r="V38" s="30">
        <f t="shared" ref="V38" si="84">SUM(H38:K38)</f>
        <v>4202</v>
      </c>
      <c r="W38" s="30">
        <f t="shared" ref="W38" si="85">SUM(I38:L38)</f>
        <v>4202</v>
      </c>
      <c r="X38" s="30">
        <f t="shared" ref="X38" si="86">SUM(J38:M38)</f>
        <v>4202</v>
      </c>
      <c r="Y38" s="30">
        <f t="shared" ref="Y38" si="87">SUM(K38:N38)</f>
        <v>4202</v>
      </c>
      <c r="Z38" s="30">
        <f t="shared" ref="Z38" si="88">SUM(L38:O38)</f>
        <v>3812</v>
      </c>
      <c r="AA38" s="30">
        <f t="shared" ref="AA38" si="89">SUM(M38:P38)</f>
        <v>3812</v>
      </c>
      <c r="AB38" s="30">
        <f t="shared" ref="AB38" si="90">SUM(N38:Q38)</f>
        <v>3812</v>
      </c>
      <c r="AC38" s="30">
        <f t="shared" ref="AC38" si="91">SUM(O38:R38)</f>
        <v>3812</v>
      </c>
      <c r="AD38" s="30">
        <f t="shared" ref="AD38" si="92">SUM(P38:S38)</f>
        <v>2952</v>
      </c>
      <c r="AE38" s="30">
        <f t="shared" ref="AE38" si="93">SUM(Q38:T38)</f>
        <v>2952</v>
      </c>
    </row>
    <row r="39" spans="1:31">
      <c r="B39" s="12" t="s">
        <v>205</v>
      </c>
      <c r="C39" s="13">
        <f>SUM(C36:C38)</f>
        <v>22734</v>
      </c>
      <c r="D39" s="13">
        <f>SUM(D36:D38)</f>
        <v>21732</v>
      </c>
      <c r="E39" s="13">
        <f>SUM(E36:E38)</f>
        <v>20085</v>
      </c>
      <c r="F39" s="13">
        <f>SUM(F36:F38)</f>
        <v>18779</v>
      </c>
      <c r="G39" s="11"/>
      <c r="H39" s="13">
        <f>SUM(H36:H38)</f>
        <v>0</v>
      </c>
      <c r="I39" s="13">
        <f>SUM(I36:I38)</f>
        <v>0</v>
      </c>
      <c r="J39" s="13">
        <f>SUM(J36:J38)</f>
        <v>0</v>
      </c>
      <c r="K39" s="13">
        <f>SUM(K36:K38)</f>
        <v>21732</v>
      </c>
      <c r="L39" s="13">
        <f>SUM(L36:L38)</f>
        <v>0</v>
      </c>
      <c r="M39" s="13">
        <f>SUM(M36:M38)</f>
        <v>0</v>
      </c>
      <c r="N39" s="13">
        <f>SUM(N36:N38)</f>
        <v>0</v>
      </c>
      <c r="O39" s="13">
        <f>SUM(O36:O38)</f>
        <v>20085</v>
      </c>
      <c r="P39" s="13">
        <f>SUM(P36:P38)</f>
        <v>0</v>
      </c>
      <c r="Q39" s="13">
        <f>SUM(Q36:Q38)</f>
        <v>0</v>
      </c>
      <c r="R39" s="13">
        <f>SUM(R36:R38)</f>
        <v>0</v>
      </c>
      <c r="S39" s="13">
        <f>SUM(S36:S38)</f>
        <v>18779</v>
      </c>
      <c r="T39" s="13">
        <f>SUM(T36:T38)</f>
        <v>0</v>
      </c>
      <c r="U39" s="5"/>
      <c r="V39" s="13">
        <f>SUM(V36:V38)</f>
        <v>21732</v>
      </c>
      <c r="W39" s="13">
        <f>SUM(W36:W38)</f>
        <v>21732</v>
      </c>
      <c r="X39" s="13">
        <f>SUM(X36:X38)</f>
        <v>21732</v>
      </c>
      <c r="Y39" s="13">
        <f>SUM(Y36:Y38)</f>
        <v>21732</v>
      </c>
      <c r="Z39" s="13">
        <f>SUM(Z36:Z38)</f>
        <v>20085</v>
      </c>
      <c r="AA39" s="13">
        <f>SUM(AA36:AA38)</f>
        <v>20085</v>
      </c>
      <c r="AB39" s="13">
        <f>SUM(AB36:AB38)</f>
        <v>20085</v>
      </c>
      <c r="AC39" s="13">
        <f>SUM(AC36:AC38)</f>
        <v>20085</v>
      </c>
      <c r="AD39" s="13">
        <f>SUM(AD36:AD38)</f>
        <v>18779</v>
      </c>
      <c r="AE39" s="13">
        <f>SUM(AE36:AE38)</f>
        <v>18779</v>
      </c>
    </row>
    <row r="40" spans="1:31" outlineLevel="1">
      <c r="B40" s="114" t="s">
        <v>200</v>
      </c>
      <c r="C40" s="73">
        <f>+C39-C22</f>
        <v>0</v>
      </c>
      <c r="D40" s="73">
        <f t="shared" ref="D40:F40" si="94">+D39-D22</f>
        <v>0</v>
      </c>
      <c r="E40" s="73">
        <f t="shared" si="94"/>
        <v>0</v>
      </c>
      <c r="F40" s="73">
        <f t="shared" si="94"/>
        <v>0</v>
      </c>
      <c r="G40" s="11"/>
      <c r="H40" s="73">
        <f t="shared" ref="H40" si="95">+H39-H22</f>
        <v>0</v>
      </c>
      <c r="I40" s="73">
        <f t="shared" ref="I40" si="96">+I39-I22</f>
        <v>0</v>
      </c>
      <c r="J40" s="73">
        <f t="shared" ref="J40" si="97">+J39-J22</f>
        <v>0</v>
      </c>
      <c r="K40" s="73">
        <f t="shared" ref="K40" si="98">+K39-K22</f>
        <v>0</v>
      </c>
      <c r="L40" s="73">
        <f t="shared" ref="L40" si="99">+L39-L22</f>
        <v>0</v>
      </c>
      <c r="M40" s="73">
        <f t="shared" ref="M40" si="100">+M39-M22</f>
        <v>0</v>
      </c>
      <c r="N40" s="73">
        <f t="shared" ref="N40" si="101">+N39-N22</f>
        <v>0</v>
      </c>
      <c r="O40" s="73">
        <f t="shared" ref="O40" si="102">+O39-O22</f>
        <v>0</v>
      </c>
      <c r="P40" s="73">
        <f t="shared" ref="P40" si="103">+P39-P22</f>
        <v>0</v>
      </c>
      <c r="Q40" s="73">
        <f t="shared" ref="Q40" si="104">+Q39-Q22</f>
        <v>0</v>
      </c>
      <c r="R40" s="73">
        <f t="shared" ref="R40" si="105">+R39-R22</f>
        <v>0</v>
      </c>
      <c r="S40" s="73">
        <f t="shared" ref="S40" si="106">+S39-S22</f>
        <v>0</v>
      </c>
      <c r="T40" s="73">
        <f t="shared" ref="T40" si="107">+T39-T22</f>
        <v>0</v>
      </c>
      <c r="U40" s="5"/>
      <c r="V40" s="73">
        <f t="shared" ref="V40" si="108">+V39-V22</f>
        <v>0</v>
      </c>
      <c r="W40" s="73">
        <f t="shared" ref="W40" si="109">+W39-W22</f>
        <v>0</v>
      </c>
      <c r="X40" s="73">
        <f t="shared" ref="X40" si="110">+X39-X22</f>
        <v>0</v>
      </c>
      <c r="Y40" s="73">
        <f t="shared" ref="Y40" si="111">+Y39-Y22</f>
        <v>0</v>
      </c>
      <c r="Z40" s="73">
        <f t="shared" ref="Z40" si="112">+Z39-Z22</f>
        <v>0</v>
      </c>
      <c r="AA40" s="73">
        <f t="shared" ref="AA40" si="113">+AA39-AA22</f>
        <v>0</v>
      </c>
      <c r="AB40" s="73">
        <f t="shared" ref="AB40" si="114">+AB39-AB22</f>
        <v>0</v>
      </c>
      <c r="AC40" s="73">
        <f t="shared" ref="AC40" si="115">+AC39-AC22</f>
        <v>0</v>
      </c>
      <c r="AD40" s="73">
        <f t="shared" ref="AD40" si="116">+AD39-AD22</f>
        <v>0</v>
      </c>
      <c r="AE40" s="73">
        <f t="shared" ref="AE40" si="117">+AE39-AE22</f>
        <v>0</v>
      </c>
    </row>
    <row r="41" spans="1:31">
      <c r="B41" s="16"/>
      <c r="C41" s="17"/>
      <c r="D41" s="17"/>
      <c r="E41" s="17"/>
      <c r="F41" s="17"/>
      <c r="G41" s="18"/>
      <c r="H41" s="19"/>
      <c r="I41" s="19"/>
      <c r="J41" s="19"/>
      <c r="K41" s="20"/>
      <c r="L41" s="19"/>
      <c r="M41" s="19"/>
      <c r="N41" s="19"/>
      <c r="O41" s="19"/>
      <c r="P41" s="19"/>
      <c r="Q41" s="19"/>
      <c r="R41" s="19"/>
      <c r="S41" s="19"/>
      <c r="T41" s="19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</row>
    <row r="42" spans="1:31">
      <c r="B42" s="115" t="str">
        <f>B36&amp;"(%)"</f>
        <v>Advertising(%)</v>
      </c>
      <c r="C42" s="127">
        <f>C36/C$39</f>
        <v>0.44448843142429839</v>
      </c>
      <c r="D42" s="127">
        <f>D36/D$39</f>
        <v>0.43024111908706053</v>
      </c>
      <c r="E42" s="127">
        <f>E36/E$39</f>
        <v>0.40766741349265623</v>
      </c>
      <c r="F42" s="127">
        <f>F36/F$39</f>
        <v>0.43559294957132966</v>
      </c>
      <c r="G42" s="116"/>
      <c r="H42" s="127" t="e">
        <f>H36/H$39</f>
        <v>#DIV/0!</v>
      </c>
      <c r="I42" s="127" t="e">
        <f>I36/I$39</f>
        <v>#DIV/0!</v>
      </c>
      <c r="J42" s="127" t="e">
        <f>J36/J$39</f>
        <v>#DIV/0!</v>
      </c>
      <c r="K42" s="127">
        <f>K36/K$39</f>
        <v>0.43024111908706053</v>
      </c>
      <c r="L42" s="127" t="e">
        <f>L36/L$39</f>
        <v>#DIV/0!</v>
      </c>
      <c r="M42" s="127" t="e">
        <f>M36/M$39</f>
        <v>#DIV/0!</v>
      </c>
      <c r="N42" s="127" t="e">
        <f>N36/N$39</f>
        <v>#DIV/0!</v>
      </c>
      <c r="O42" s="127">
        <f>O36/O$39</f>
        <v>0.40766741349265623</v>
      </c>
      <c r="P42" s="127" t="e">
        <f>P36/P$39</f>
        <v>#DIV/0!</v>
      </c>
      <c r="Q42" s="127" t="e">
        <f>Q36/Q$39</f>
        <v>#DIV/0!</v>
      </c>
      <c r="R42" s="127" t="e">
        <f>R36/R$39</f>
        <v>#DIV/0!</v>
      </c>
      <c r="S42" s="127">
        <f>S36/S$39</f>
        <v>0.43559294957132966</v>
      </c>
      <c r="T42" s="127" t="e">
        <f>T36/T$39</f>
        <v>#DIV/0!</v>
      </c>
      <c r="U42" s="116"/>
      <c r="V42" s="117">
        <f>V36/V$39</f>
        <v>0.43024111908706053</v>
      </c>
      <c r="W42" s="117">
        <f>W36/W$39</f>
        <v>0.43024111908706053</v>
      </c>
      <c r="X42" s="117">
        <f>X36/X$39</f>
        <v>0.43024111908706053</v>
      </c>
      <c r="Y42" s="117">
        <f>Y36/Y$39</f>
        <v>0.43024111908706053</v>
      </c>
      <c r="Z42" s="117">
        <f>Z36/Z$39</f>
        <v>0.40766741349265623</v>
      </c>
      <c r="AA42" s="117">
        <f>AA36/AA$39</f>
        <v>0.40766741349265623</v>
      </c>
      <c r="AB42" s="117">
        <f>AB36/AB$39</f>
        <v>0.40766741349265623</v>
      </c>
      <c r="AC42" s="117">
        <f>AC36/AC$39</f>
        <v>0.40766741349265623</v>
      </c>
      <c r="AD42" s="117">
        <f>AD36/AD$39</f>
        <v>0.43559294957132966</v>
      </c>
      <c r="AE42" s="118">
        <f>AE36/AE$39</f>
        <v>0.43559294957132966</v>
      </c>
    </row>
    <row r="43" spans="1:31" ht="12.75" customHeight="1">
      <c r="B43" s="119" t="str">
        <f>B37&amp;"(%)"</f>
        <v>Affiliate and subscription(%)</v>
      </c>
      <c r="C43" s="129">
        <f>C37/C$39</f>
        <v>0.3700624615113926</v>
      </c>
      <c r="D43" s="129">
        <f>D37/D$39</f>
        <v>0.37640346033498989</v>
      </c>
      <c r="E43" s="129">
        <f>E37/E$39</f>
        <v>0.40253920836445106</v>
      </c>
      <c r="F43" s="129">
        <f>F37/F$39</f>
        <v>0.40721018158581396</v>
      </c>
      <c r="G43" s="120"/>
      <c r="H43" s="129" t="e">
        <f>H37/H$39</f>
        <v>#DIV/0!</v>
      </c>
      <c r="I43" s="129" t="e">
        <f>I37/I$39</f>
        <v>#DIV/0!</v>
      </c>
      <c r="J43" s="129" t="e">
        <f>J37/J$39</f>
        <v>#DIV/0!</v>
      </c>
      <c r="K43" s="129">
        <f>K37/K$39</f>
        <v>0.37640346033498989</v>
      </c>
      <c r="L43" s="129" t="e">
        <f>L37/L$39</f>
        <v>#DIV/0!</v>
      </c>
      <c r="M43" s="129" t="e">
        <f>M37/M$39</f>
        <v>#DIV/0!</v>
      </c>
      <c r="N43" s="129" t="e">
        <f>N37/N$39</f>
        <v>#DIV/0!</v>
      </c>
      <c r="O43" s="129">
        <f>O37/O$39</f>
        <v>0.40253920836445106</v>
      </c>
      <c r="P43" s="129" t="e">
        <f>P37/P$39</f>
        <v>#DIV/0!</v>
      </c>
      <c r="Q43" s="129" t="e">
        <f>Q37/Q$39</f>
        <v>#DIV/0!</v>
      </c>
      <c r="R43" s="129" t="e">
        <f>R37/R$39</f>
        <v>#DIV/0!</v>
      </c>
      <c r="S43" s="129">
        <f>S37/S$39</f>
        <v>0.40721018158581396</v>
      </c>
      <c r="T43" s="129" t="e">
        <f>T37/T$39</f>
        <v>#DIV/0!</v>
      </c>
      <c r="U43" s="120"/>
      <c r="V43" s="121">
        <f>V37/V$39</f>
        <v>0.37640346033498989</v>
      </c>
      <c r="W43" s="121">
        <f>W37/W$39</f>
        <v>0.37640346033498989</v>
      </c>
      <c r="X43" s="121">
        <f>X37/X$39</f>
        <v>0.37640346033498989</v>
      </c>
      <c r="Y43" s="121">
        <f>Y37/Y$39</f>
        <v>0.37640346033498989</v>
      </c>
      <c r="Z43" s="121">
        <f>Z37/Z$39</f>
        <v>0.40253920836445106</v>
      </c>
      <c r="AA43" s="121">
        <f>AA37/AA$39</f>
        <v>0.40253920836445106</v>
      </c>
      <c r="AB43" s="121">
        <f>AB37/AB$39</f>
        <v>0.40253920836445106</v>
      </c>
      <c r="AC43" s="121">
        <f>AC37/AC$39</f>
        <v>0.40253920836445106</v>
      </c>
      <c r="AD43" s="121">
        <f>AD37/AD$39</f>
        <v>0.40721018158581396</v>
      </c>
      <c r="AE43" s="122">
        <f>AE37/AE$39</f>
        <v>0.40721018158581396</v>
      </c>
    </row>
    <row r="44" spans="1:31" ht="12.75" customHeight="1">
      <c r="B44" s="123" t="str">
        <f>B38&amp;"(%)"</f>
        <v>Licensing and other(%)</v>
      </c>
      <c r="C44" s="128">
        <f>C38/C$39</f>
        <v>0.18544910706430898</v>
      </c>
      <c r="D44" s="128">
        <f>D38/D$39</f>
        <v>0.19335542057794958</v>
      </c>
      <c r="E44" s="128">
        <f>E38/E$39</f>
        <v>0.18979337814289271</v>
      </c>
      <c r="F44" s="128">
        <f>F38/F$39</f>
        <v>0.15719686884285639</v>
      </c>
      <c r="G44" s="124"/>
      <c r="H44" s="128" t="e">
        <f t="shared" ref="H44:T44" si="118">H38/H$39</f>
        <v>#DIV/0!</v>
      </c>
      <c r="I44" s="128" t="e">
        <f t="shared" si="118"/>
        <v>#DIV/0!</v>
      </c>
      <c r="J44" s="128" t="e">
        <f t="shared" si="118"/>
        <v>#DIV/0!</v>
      </c>
      <c r="K44" s="128">
        <f t="shared" si="118"/>
        <v>0.19335542057794958</v>
      </c>
      <c r="L44" s="128" t="e">
        <f t="shared" si="118"/>
        <v>#DIV/0!</v>
      </c>
      <c r="M44" s="128" t="e">
        <f t="shared" si="118"/>
        <v>#DIV/0!</v>
      </c>
      <c r="N44" s="128" t="e">
        <f t="shared" si="118"/>
        <v>#DIV/0!</v>
      </c>
      <c r="O44" s="128">
        <f t="shared" si="118"/>
        <v>0.18979337814289271</v>
      </c>
      <c r="P44" s="128" t="e">
        <f t="shared" si="118"/>
        <v>#DIV/0!</v>
      </c>
      <c r="Q44" s="128" t="e">
        <f t="shared" si="118"/>
        <v>#DIV/0!</v>
      </c>
      <c r="R44" s="128" t="e">
        <f t="shared" si="118"/>
        <v>#DIV/0!</v>
      </c>
      <c r="S44" s="128">
        <f t="shared" si="118"/>
        <v>0.15719686884285639</v>
      </c>
      <c r="T44" s="128" t="e">
        <f t="shared" si="118"/>
        <v>#DIV/0!</v>
      </c>
      <c r="U44" s="124"/>
      <c r="V44" s="125">
        <f t="shared" ref="V44:AE44" si="119">V38/V$39</f>
        <v>0.19335542057794958</v>
      </c>
      <c r="W44" s="125">
        <f t="shared" si="119"/>
        <v>0.19335542057794958</v>
      </c>
      <c r="X44" s="125">
        <f t="shared" si="119"/>
        <v>0.19335542057794958</v>
      </c>
      <c r="Y44" s="125">
        <f t="shared" si="119"/>
        <v>0.19335542057794958</v>
      </c>
      <c r="Z44" s="125">
        <f t="shared" si="119"/>
        <v>0.18979337814289271</v>
      </c>
      <c r="AA44" s="125">
        <f t="shared" si="119"/>
        <v>0.18979337814289271</v>
      </c>
      <c r="AB44" s="125">
        <f t="shared" si="119"/>
        <v>0.18979337814289271</v>
      </c>
      <c r="AC44" s="125">
        <f t="shared" si="119"/>
        <v>0.18979337814289271</v>
      </c>
      <c r="AD44" s="125">
        <f t="shared" si="119"/>
        <v>0.15719686884285639</v>
      </c>
      <c r="AE44" s="126">
        <f t="shared" si="119"/>
        <v>0.15719686884285639</v>
      </c>
    </row>
    <row r="46" spans="1:31">
      <c r="A46" s="33" t="s">
        <v>16</v>
      </c>
      <c r="B46" s="1" t="s">
        <v>202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5.0999999999999996" customHeight="1"/>
    <row r="48" spans="1:31" ht="12.75" customHeight="1">
      <c r="A48" s="74" t="s">
        <v>16</v>
      </c>
      <c r="B48" s="72" t="s">
        <v>203</v>
      </c>
      <c r="C48" s="10"/>
      <c r="D48" s="10"/>
      <c r="E48" s="10"/>
      <c r="F48" s="10"/>
      <c r="G48" s="10"/>
      <c r="H48" s="81"/>
      <c r="I48" s="81"/>
      <c r="J48" s="81"/>
      <c r="K48" s="30"/>
      <c r="L48" s="81"/>
      <c r="M48" s="81"/>
      <c r="N48" s="81"/>
      <c r="O48" s="30"/>
      <c r="P48" s="81"/>
      <c r="Q48" s="81"/>
      <c r="R48" s="81"/>
      <c r="S48" s="81"/>
      <c r="T48" s="81"/>
      <c r="U48" s="5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 spans="1:31" ht="12.75" customHeight="1">
      <c r="A49" s="74"/>
      <c r="B49" s="9" t="s">
        <v>192</v>
      </c>
      <c r="C49" s="75">
        <v>1298</v>
      </c>
      <c r="D49" s="75">
        <v>1533</v>
      </c>
      <c r="E49" s="75">
        <v>1795</v>
      </c>
      <c r="F49" s="75">
        <v>2114</v>
      </c>
      <c r="G49" s="10"/>
      <c r="H49" s="75"/>
      <c r="I49" s="75"/>
      <c r="J49" s="75"/>
      <c r="K49" s="30">
        <f t="shared" ref="K49:K50" si="120">SUM(D49-SUM(H49:J49))</f>
        <v>1533</v>
      </c>
      <c r="L49" s="75"/>
      <c r="M49" s="75"/>
      <c r="N49" s="75"/>
      <c r="O49" s="30">
        <f t="shared" ref="O49:O50" si="121">SUM(E49-SUM(L49:N49))</f>
        <v>1795</v>
      </c>
      <c r="P49" s="75"/>
      <c r="Q49" s="75"/>
      <c r="R49" s="75"/>
      <c r="S49" s="30">
        <f t="shared" ref="S49:S50" si="122">SUM(F49-SUM(P49:R49))</f>
        <v>2114</v>
      </c>
      <c r="T49" s="75"/>
      <c r="U49" s="5"/>
      <c r="V49" s="30">
        <f t="shared" ref="V49" si="123">SUM(H49:K49)</f>
        <v>1533</v>
      </c>
      <c r="W49" s="30">
        <f t="shared" ref="W49:W50" si="124">SUM(I49:L49)</f>
        <v>1533</v>
      </c>
      <c r="X49" s="30">
        <f t="shared" ref="X49:X50" si="125">SUM(J49:M49)</f>
        <v>1533</v>
      </c>
      <c r="Y49" s="30">
        <f t="shared" ref="Y49:Y50" si="126">SUM(K49:N49)</f>
        <v>1533</v>
      </c>
      <c r="Z49" s="30">
        <f t="shared" ref="Z49:Z50" si="127">SUM(L49:O49)</f>
        <v>1795</v>
      </c>
      <c r="AA49" s="30">
        <f t="shared" ref="AA49:AA50" si="128">SUM(M49:P49)</f>
        <v>1795</v>
      </c>
      <c r="AB49" s="30">
        <f t="shared" ref="AB49:AB50" si="129">SUM(N49:Q49)</f>
        <v>1795</v>
      </c>
      <c r="AC49" s="30">
        <f t="shared" ref="AC49:AC50" si="130">SUM(O49:R49)</f>
        <v>1795</v>
      </c>
      <c r="AD49" s="30">
        <f t="shared" ref="AD49:AD50" si="131">SUM(P49:S49)</f>
        <v>2114</v>
      </c>
      <c r="AE49" s="30">
        <f t="shared" ref="AE49:AE50" si="132">SUM(Q49:T49)</f>
        <v>2114</v>
      </c>
    </row>
    <row r="50" spans="1:31">
      <c r="A50" s="74"/>
      <c r="B50" s="9" t="s">
        <v>207</v>
      </c>
      <c r="C50" s="75">
        <v>2029</v>
      </c>
      <c r="D50" s="75">
        <v>3371</v>
      </c>
      <c r="E50" s="75">
        <f>4933+8</f>
        <v>4941</v>
      </c>
      <c r="F50" s="75">
        <f>5506+12</f>
        <v>5518</v>
      </c>
      <c r="G50" s="10"/>
      <c r="H50" s="75"/>
      <c r="I50" s="75"/>
      <c r="J50" s="75"/>
      <c r="K50" s="30">
        <f t="shared" si="120"/>
        <v>3371</v>
      </c>
      <c r="L50" s="75"/>
      <c r="M50" s="75"/>
      <c r="N50" s="75"/>
      <c r="O50" s="30">
        <f t="shared" si="121"/>
        <v>4941</v>
      </c>
      <c r="P50" s="75"/>
      <c r="Q50" s="75"/>
      <c r="R50" s="75"/>
      <c r="S50" s="30">
        <f t="shared" si="122"/>
        <v>5518</v>
      </c>
      <c r="T50" s="75"/>
      <c r="U50" s="5"/>
      <c r="V50" s="30">
        <f t="shared" ref="V50" si="133">SUM(H50:K50)</f>
        <v>3371</v>
      </c>
      <c r="W50" s="30">
        <f t="shared" si="124"/>
        <v>3371</v>
      </c>
      <c r="X50" s="30">
        <f t="shared" si="125"/>
        <v>3371</v>
      </c>
      <c r="Y50" s="30">
        <f t="shared" si="126"/>
        <v>3371</v>
      </c>
      <c r="Z50" s="30">
        <f t="shared" si="127"/>
        <v>4941</v>
      </c>
      <c r="AA50" s="30">
        <f t="shared" si="128"/>
        <v>4941</v>
      </c>
      <c r="AB50" s="30">
        <f t="shared" si="129"/>
        <v>4941</v>
      </c>
      <c r="AC50" s="30">
        <f t="shared" si="130"/>
        <v>4941</v>
      </c>
      <c r="AD50" s="30">
        <f t="shared" si="131"/>
        <v>5518</v>
      </c>
      <c r="AE50" s="30">
        <f t="shared" si="132"/>
        <v>5518</v>
      </c>
    </row>
    <row r="51" spans="1:31">
      <c r="B51" s="12" t="s">
        <v>204</v>
      </c>
      <c r="C51" s="13">
        <f>SUM(C49:C50)</f>
        <v>3327</v>
      </c>
      <c r="D51" s="13">
        <f>SUM(D49:D50)</f>
        <v>4904</v>
      </c>
      <c r="E51" s="13">
        <f>SUM(E49:E50)</f>
        <v>6736</v>
      </c>
      <c r="F51" s="13">
        <f>SUM(F49:F50)</f>
        <v>7632</v>
      </c>
      <c r="G51" s="11"/>
      <c r="H51" s="13">
        <f>SUM(H49:H50)</f>
        <v>0</v>
      </c>
      <c r="I51" s="13">
        <f>SUM(I49:I50)</f>
        <v>0</v>
      </c>
      <c r="J51" s="13">
        <f>SUM(J49:J50)</f>
        <v>0</v>
      </c>
      <c r="K51" s="13">
        <f>SUM(K49:K50)</f>
        <v>4904</v>
      </c>
      <c r="L51" s="13">
        <f>SUM(L49:L50)</f>
        <v>0</v>
      </c>
      <c r="M51" s="13">
        <f>SUM(M49:M50)</f>
        <v>0</v>
      </c>
      <c r="N51" s="13">
        <f>SUM(N49:N50)</f>
        <v>0</v>
      </c>
      <c r="O51" s="13">
        <f>SUM(O49:O50)</f>
        <v>6736</v>
      </c>
      <c r="P51" s="13">
        <f>SUM(P49:P50)</f>
        <v>0</v>
      </c>
      <c r="Q51" s="13">
        <f>SUM(Q49:Q50)</f>
        <v>0</v>
      </c>
      <c r="R51" s="13">
        <f>SUM(R49:R50)</f>
        <v>0</v>
      </c>
      <c r="S51" s="13">
        <f>SUM(S49:S50)</f>
        <v>7632</v>
      </c>
      <c r="T51" s="13">
        <f>SUM(T49:T50)</f>
        <v>0</v>
      </c>
      <c r="U51" s="5"/>
      <c r="V51" s="13">
        <f>SUM(V49:V50)</f>
        <v>4904</v>
      </c>
      <c r="W51" s="13">
        <f>SUM(W49:W50)</f>
        <v>4904</v>
      </c>
      <c r="X51" s="13">
        <f>SUM(X49:X50)</f>
        <v>4904</v>
      </c>
      <c r="Y51" s="13">
        <f>SUM(Y49:Y50)</f>
        <v>4904</v>
      </c>
      <c r="Z51" s="13">
        <f>SUM(Z49:Z50)</f>
        <v>6736</v>
      </c>
      <c r="AA51" s="13">
        <f>SUM(AA49:AA50)</f>
        <v>6736</v>
      </c>
      <c r="AB51" s="13">
        <f>SUM(AB49:AB50)</f>
        <v>6736</v>
      </c>
      <c r="AC51" s="13">
        <f>SUM(AC49:AC50)</f>
        <v>6736</v>
      </c>
      <c r="AD51" s="13">
        <f>SUM(AD49:AD50)</f>
        <v>7632</v>
      </c>
      <c r="AE51" s="13">
        <f>SUM(AE49:AE50)</f>
        <v>7632</v>
      </c>
    </row>
    <row r="52" spans="1:31" outlineLevel="1">
      <c r="B52" s="114" t="s">
        <v>200</v>
      </c>
      <c r="C52" s="73">
        <f>+C51-C35</f>
        <v>3327</v>
      </c>
      <c r="D52" s="73">
        <f>+D51-D35</f>
        <v>4904</v>
      </c>
      <c r="E52" s="73">
        <f>+E51-E35</f>
        <v>6736</v>
      </c>
      <c r="F52" s="73">
        <f>+F51-F35</f>
        <v>7632</v>
      </c>
      <c r="G52" s="11"/>
      <c r="H52" s="73">
        <f>+H51-H35</f>
        <v>0</v>
      </c>
      <c r="I52" s="73">
        <f>+I51-I35</f>
        <v>0</v>
      </c>
      <c r="J52" s="73">
        <f>+J51-J35</f>
        <v>0</v>
      </c>
      <c r="K52" s="73">
        <f>+K51-K35</f>
        <v>4904</v>
      </c>
      <c r="L52" s="73">
        <f>+L51-L35</f>
        <v>0</v>
      </c>
      <c r="M52" s="73">
        <f>+M51-M35</f>
        <v>0</v>
      </c>
      <c r="N52" s="73">
        <f>+N51-N35</f>
        <v>0</v>
      </c>
      <c r="O52" s="73">
        <f>+O51-O35</f>
        <v>6736</v>
      </c>
      <c r="P52" s="73">
        <f>+P51-P35</f>
        <v>0</v>
      </c>
      <c r="Q52" s="73">
        <f>+Q51-Q35</f>
        <v>0</v>
      </c>
      <c r="R52" s="73">
        <f>+R51-R35</f>
        <v>0</v>
      </c>
      <c r="S52" s="73">
        <f>+S51-S35</f>
        <v>7632</v>
      </c>
      <c r="T52" s="73">
        <f>+T51-T35</f>
        <v>0</v>
      </c>
      <c r="U52" s="5"/>
      <c r="V52" s="73">
        <f>+V51-V35</f>
        <v>4904</v>
      </c>
      <c r="W52" s="73">
        <f>+W51-W35</f>
        <v>4904</v>
      </c>
      <c r="X52" s="73">
        <f>+X51-X35</f>
        <v>4904</v>
      </c>
      <c r="Y52" s="73">
        <f>+Y51-Y35</f>
        <v>4904</v>
      </c>
      <c r="Z52" s="73">
        <f>+Z51-Z35</f>
        <v>6736</v>
      </c>
      <c r="AA52" s="73">
        <f>+AA51-AA35</f>
        <v>6736</v>
      </c>
      <c r="AB52" s="73">
        <f>+AB51-AB35</f>
        <v>6736</v>
      </c>
      <c r="AC52" s="73">
        <f>+AC51-AC35</f>
        <v>6736</v>
      </c>
      <c r="AD52" s="73">
        <f>+AD51-AD35</f>
        <v>7632</v>
      </c>
      <c r="AE52" s="73">
        <f>+AE51-AE35</f>
        <v>7632</v>
      </c>
    </row>
    <row r="53" spans="1:31">
      <c r="B53" s="16"/>
      <c r="C53" s="17"/>
      <c r="D53" s="17"/>
      <c r="E53" s="17"/>
      <c r="F53" s="17"/>
      <c r="G53" s="18"/>
      <c r="H53" s="19"/>
      <c r="I53" s="19"/>
      <c r="J53" s="19"/>
      <c r="K53" s="20"/>
      <c r="L53" s="19"/>
      <c r="M53" s="19"/>
      <c r="N53" s="19"/>
      <c r="O53" s="19"/>
      <c r="P53" s="19"/>
      <c r="Q53" s="19"/>
      <c r="R53" s="19"/>
      <c r="S53" s="19"/>
      <c r="T53" s="19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</row>
    <row r="54" spans="1:31">
      <c r="B54" s="115" t="str">
        <f>B49&amp;"(%)"</f>
        <v>Advertising(%)</v>
      </c>
      <c r="C54" s="127">
        <f>C49/C$51</f>
        <v>0.39014126840997898</v>
      </c>
      <c r="D54" s="127">
        <f>D49/D$51</f>
        <v>0.31260195758564435</v>
      </c>
      <c r="E54" s="127">
        <f>E49/E$51</f>
        <v>0.26647862232779096</v>
      </c>
      <c r="F54" s="127">
        <f>F49/F$51</f>
        <v>0.27699161425576518</v>
      </c>
      <c r="G54" s="116"/>
      <c r="H54" s="127" t="e">
        <f>H49/H$51</f>
        <v>#DIV/0!</v>
      </c>
      <c r="I54" s="127" t="e">
        <f>I49/I$51</f>
        <v>#DIV/0!</v>
      </c>
      <c r="J54" s="127" t="e">
        <f>J49/J$51</f>
        <v>#DIV/0!</v>
      </c>
      <c r="K54" s="127">
        <f>K49/K$51</f>
        <v>0.31260195758564435</v>
      </c>
      <c r="L54" s="127" t="e">
        <f>L49/L$51</f>
        <v>#DIV/0!</v>
      </c>
      <c r="M54" s="127" t="e">
        <f>M49/M$51</f>
        <v>#DIV/0!</v>
      </c>
      <c r="N54" s="127" t="e">
        <f>N49/N$51</f>
        <v>#DIV/0!</v>
      </c>
      <c r="O54" s="127">
        <f>O49/O$51</f>
        <v>0.26647862232779096</v>
      </c>
      <c r="P54" s="127" t="e">
        <f>P49/P$51</f>
        <v>#DIV/0!</v>
      </c>
      <c r="Q54" s="127" t="e">
        <f>Q49/Q$51</f>
        <v>#DIV/0!</v>
      </c>
      <c r="R54" s="127" t="e">
        <f>R49/R$51</f>
        <v>#DIV/0!</v>
      </c>
      <c r="S54" s="127">
        <f>S49/S$51</f>
        <v>0.27699161425576518</v>
      </c>
      <c r="T54" s="127" t="e">
        <f>T49/T$51</f>
        <v>#DIV/0!</v>
      </c>
      <c r="U54" s="116"/>
      <c r="V54" s="117">
        <f>V49/V$51</f>
        <v>0.31260195758564435</v>
      </c>
      <c r="W54" s="117">
        <f>W49/W$51</f>
        <v>0.31260195758564435</v>
      </c>
      <c r="X54" s="117">
        <f>X49/X$51</f>
        <v>0.31260195758564435</v>
      </c>
      <c r="Y54" s="117">
        <f>Y49/Y$51</f>
        <v>0.31260195758564435</v>
      </c>
      <c r="Z54" s="117">
        <f>Z49/Z$51</f>
        <v>0.26647862232779096</v>
      </c>
      <c r="AA54" s="117">
        <f>AA49/AA$51</f>
        <v>0.26647862232779096</v>
      </c>
      <c r="AB54" s="117">
        <f>AB49/AB$51</f>
        <v>0.26647862232779096</v>
      </c>
      <c r="AC54" s="117">
        <f>AC49/AC$51</f>
        <v>0.26647862232779096</v>
      </c>
      <c r="AD54" s="117">
        <f>AD49/AD$51</f>
        <v>0.27699161425576518</v>
      </c>
      <c r="AE54" s="118">
        <f>AE49/AE$51</f>
        <v>0.27699161425576518</v>
      </c>
    </row>
    <row r="55" spans="1:31" ht="12.75" customHeight="1">
      <c r="B55" s="123" t="str">
        <f>B50&amp;"(%)"</f>
        <v>Subscription &amp; Licensing(%)</v>
      </c>
      <c r="C55" s="128">
        <f>C50/C$51</f>
        <v>0.60985873159002102</v>
      </c>
      <c r="D55" s="128">
        <f>D50/D$51</f>
        <v>0.68739804241435565</v>
      </c>
      <c r="E55" s="128">
        <f>E50/E$51</f>
        <v>0.73352137767220904</v>
      </c>
      <c r="F55" s="128">
        <f>F50/F$51</f>
        <v>0.72300838574423476</v>
      </c>
      <c r="G55" s="124"/>
      <c r="H55" s="128" t="e">
        <f>H50/H$51</f>
        <v>#DIV/0!</v>
      </c>
      <c r="I55" s="128" t="e">
        <f>I50/I$51</f>
        <v>#DIV/0!</v>
      </c>
      <c r="J55" s="128" t="e">
        <f>J50/J$51</f>
        <v>#DIV/0!</v>
      </c>
      <c r="K55" s="128">
        <f>K50/K$51</f>
        <v>0.68739804241435565</v>
      </c>
      <c r="L55" s="128" t="e">
        <f>L50/L$51</f>
        <v>#DIV/0!</v>
      </c>
      <c r="M55" s="128" t="e">
        <f>M50/M$51</f>
        <v>#DIV/0!</v>
      </c>
      <c r="N55" s="128" t="e">
        <f>N50/N$51</f>
        <v>#DIV/0!</v>
      </c>
      <c r="O55" s="128">
        <f>O50/O$51</f>
        <v>0.73352137767220904</v>
      </c>
      <c r="P55" s="128" t="e">
        <f>P50/P$51</f>
        <v>#DIV/0!</v>
      </c>
      <c r="Q55" s="128" t="e">
        <f>Q50/Q$51</f>
        <v>#DIV/0!</v>
      </c>
      <c r="R55" s="128" t="e">
        <f>R50/R$51</f>
        <v>#DIV/0!</v>
      </c>
      <c r="S55" s="128">
        <f>S50/S$51</f>
        <v>0.72300838574423476</v>
      </c>
      <c r="T55" s="128" t="e">
        <f>T50/T$51</f>
        <v>#DIV/0!</v>
      </c>
      <c r="U55" s="124"/>
      <c r="V55" s="125">
        <f>V50/V$51</f>
        <v>0.68739804241435565</v>
      </c>
      <c r="W55" s="125">
        <f>W50/W$51</f>
        <v>0.68739804241435565</v>
      </c>
      <c r="X55" s="125">
        <f>X50/X$51</f>
        <v>0.68739804241435565</v>
      </c>
      <c r="Y55" s="125">
        <f>Y50/Y$51</f>
        <v>0.68739804241435565</v>
      </c>
      <c r="Z55" s="125">
        <f>Z50/Z$51</f>
        <v>0.73352137767220904</v>
      </c>
      <c r="AA55" s="125">
        <f>AA50/AA$51</f>
        <v>0.73352137767220904</v>
      </c>
      <c r="AB55" s="125">
        <f>AB50/AB$51</f>
        <v>0.73352137767220904</v>
      </c>
      <c r="AC55" s="125">
        <f>AC50/AC$51</f>
        <v>0.73352137767220904</v>
      </c>
      <c r="AD55" s="125">
        <f>AD50/AD$51</f>
        <v>0.72300838574423476</v>
      </c>
      <c r="AE55" s="126">
        <f>AE50/AE$51</f>
        <v>0.72300838574423476</v>
      </c>
    </row>
    <row r="57" spans="1:31">
      <c r="B57" s="72" t="s">
        <v>206</v>
      </c>
    </row>
    <row r="58" spans="1:31" ht="5.0999999999999996" customHeight="1"/>
    <row r="59" spans="1:31">
      <c r="B59" s="9" t="s">
        <v>208</v>
      </c>
      <c r="C59" s="166">
        <v>32.799999999999997</v>
      </c>
      <c r="D59" s="166">
        <v>55.9</v>
      </c>
      <c r="E59" s="166">
        <v>67.5</v>
      </c>
      <c r="F59" s="166">
        <v>77.5</v>
      </c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</row>
    <row r="61" spans="1:31" ht="12.75" customHeight="1">
      <c r="A61" s="74" t="s">
        <v>16</v>
      </c>
      <c r="B61" s="72" t="s">
        <v>209</v>
      </c>
      <c r="C61" s="10"/>
      <c r="D61" s="10"/>
      <c r="E61" s="10"/>
      <c r="F61" s="10"/>
      <c r="G61" s="10"/>
      <c r="H61" s="81"/>
      <c r="I61" s="81"/>
      <c r="J61" s="81"/>
      <c r="K61" s="30"/>
      <c r="L61" s="81"/>
      <c r="M61" s="81"/>
      <c r="N61" s="81"/>
      <c r="O61" s="30"/>
      <c r="P61" s="81"/>
      <c r="Q61" s="81"/>
      <c r="R61" s="81"/>
      <c r="S61" s="81"/>
      <c r="T61" s="81"/>
      <c r="U61" s="5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 spans="1:31" ht="12.75" customHeight="1">
      <c r="A62" s="74"/>
      <c r="B62" s="9" t="s">
        <v>209</v>
      </c>
      <c r="C62" s="75">
        <v>1347</v>
      </c>
      <c r="D62" s="75">
        <v>2767</v>
      </c>
      <c r="E62" s="75">
        <v>4446</v>
      </c>
      <c r="F62" s="75">
        <v>5896</v>
      </c>
      <c r="G62" s="10"/>
      <c r="H62" s="75"/>
      <c r="I62" s="75"/>
      <c r="J62" s="75"/>
      <c r="K62" s="30">
        <f t="shared" ref="K62" si="134">SUM(D62-SUM(H62:J62))</f>
        <v>2767</v>
      </c>
      <c r="L62" s="75"/>
      <c r="M62" s="75"/>
      <c r="N62" s="75"/>
      <c r="O62" s="30">
        <f t="shared" ref="O62" si="135">SUM(E62-SUM(L62:N62))</f>
        <v>4446</v>
      </c>
      <c r="P62" s="75"/>
      <c r="Q62" s="75"/>
      <c r="R62" s="75"/>
      <c r="S62" s="30">
        <f t="shared" ref="S62" si="136">SUM(F62-SUM(P62:R62))</f>
        <v>5896</v>
      </c>
      <c r="T62" s="75"/>
      <c r="U62" s="5"/>
      <c r="V62" s="30">
        <f t="shared" ref="V62" si="137">SUM(H62:K62)</f>
        <v>2767</v>
      </c>
      <c r="W62" s="30">
        <f t="shared" ref="W62" si="138">SUM(I62:L62)</f>
        <v>2767</v>
      </c>
      <c r="X62" s="30">
        <f t="shared" ref="X62" si="139">SUM(J62:M62)</f>
        <v>2767</v>
      </c>
      <c r="Y62" s="30">
        <f t="shared" ref="Y62" si="140">SUM(K62:N62)</f>
        <v>2767</v>
      </c>
      <c r="Z62" s="30">
        <f t="shared" ref="Z62" si="141">SUM(L62:O62)</f>
        <v>4446</v>
      </c>
      <c r="AA62" s="30">
        <f t="shared" ref="AA62" si="142">SUM(M62:P62)</f>
        <v>4446</v>
      </c>
      <c r="AB62" s="30">
        <f t="shared" ref="AB62" si="143">SUM(N62:Q62)</f>
        <v>4446</v>
      </c>
      <c r="AC62" s="30">
        <f t="shared" ref="AC62" si="144">SUM(O62:R62)</f>
        <v>4446</v>
      </c>
      <c r="AD62" s="30">
        <f t="shared" ref="AD62" si="145">SUM(P62:S62)</f>
        <v>5896</v>
      </c>
      <c r="AE62" s="30">
        <f t="shared" ref="AE62" si="146">SUM(Q62:T62)</f>
        <v>5896</v>
      </c>
    </row>
    <row r="63" spans="1:31">
      <c r="B63" s="12" t="s">
        <v>210</v>
      </c>
      <c r="C63" s="13">
        <f>SUM(C62:C62)</f>
        <v>1347</v>
      </c>
      <c r="D63" s="13">
        <f>SUM(D62:D62)</f>
        <v>2767</v>
      </c>
      <c r="E63" s="13">
        <f>SUM(E62:E62)</f>
        <v>4446</v>
      </c>
      <c r="F63" s="13">
        <f>SUM(F62:F62)</f>
        <v>5896</v>
      </c>
      <c r="G63" s="11"/>
      <c r="H63" s="13">
        <f>SUM(H62:H62)</f>
        <v>0</v>
      </c>
      <c r="I63" s="13">
        <f>SUM(I62:I62)</f>
        <v>0</v>
      </c>
      <c r="J63" s="13">
        <f>SUM(J62:J62)</f>
        <v>0</v>
      </c>
      <c r="K63" s="13">
        <f>SUM(K62:K62)</f>
        <v>2767</v>
      </c>
      <c r="L63" s="13">
        <f>SUM(L62:L62)</f>
        <v>0</v>
      </c>
      <c r="M63" s="13">
        <f>SUM(M62:M62)</f>
        <v>0</v>
      </c>
      <c r="N63" s="13">
        <f>SUM(N62:N62)</f>
        <v>0</v>
      </c>
      <c r="O63" s="13">
        <f>SUM(O62:O62)</f>
        <v>4446</v>
      </c>
      <c r="P63" s="13">
        <f>SUM(P62:P62)</f>
        <v>0</v>
      </c>
      <c r="Q63" s="13">
        <f>SUM(Q62:Q62)</f>
        <v>0</v>
      </c>
      <c r="R63" s="13">
        <f>SUM(R62:R62)</f>
        <v>0</v>
      </c>
      <c r="S63" s="13">
        <f>SUM(S62:S62)</f>
        <v>5896</v>
      </c>
      <c r="T63" s="13">
        <f>SUM(T62:T62)</f>
        <v>0</v>
      </c>
      <c r="U63" s="5"/>
      <c r="V63" s="13">
        <f>SUM(V62:V62)</f>
        <v>2767</v>
      </c>
      <c r="W63" s="13">
        <f>SUM(W62:W62)</f>
        <v>2767</v>
      </c>
      <c r="X63" s="13">
        <f>SUM(X62:X62)</f>
        <v>2767</v>
      </c>
      <c r="Y63" s="13">
        <f>SUM(Y62:Y62)</f>
        <v>2767</v>
      </c>
      <c r="Z63" s="13">
        <f>SUM(Z62:Z62)</f>
        <v>4446</v>
      </c>
      <c r="AA63" s="13">
        <f>SUM(AA62:AA62)</f>
        <v>4446</v>
      </c>
      <c r="AB63" s="13">
        <f>SUM(AB62:AB62)</f>
        <v>4446</v>
      </c>
      <c r="AC63" s="13">
        <f>SUM(AC62:AC62)</f>
        <v>4446</v>
      </c>
      <c r="AD63" s="13">
        <f>SUM(AD62:AD62)</f>
        <v>5896</v>
      </c>
      <c r="AE63" s="13">
        <f>SUM(AE62:AE62)</f>
        <v>5896</v>
      </c>
    </row>
    <row r="65" spans="1:31">
      <c r="A65" s="33" t="s">
        <v>16</v>
      </c>
      <c r="B65" s="1" t="s">
        <v>212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5.0999999999999996" customHeight="1"/>
    <row r="67" spans="1:31" ht="12.75" customHeight="1">
      <c r="A67" s="74" t="s">
        <v>16</v>
      </c>
      <c r="B67" s="72" t="s">
        <v>213</v>
      </c>
      <c r="C67" s="10"/>
      <c r="D67" s="10"/>
      <c r="E67" s="10"/>
      <c r="F67" s="10"/>
      <c r="G67" s="10"/>
      <c r="H67" s="81"/>
      <c r="I67" s="81"/>
      <c r="J67" s="81"/>
      <c r="K67" s="30"/>
      <c r="L67" s="81"/>
      <c r="M67" s="81"/>
      <c r="N67" s="81"/>
      <c r="O67" s="30"/>
      <c r="P67" s="81"/>
      <c r="Q67" s="81"/>
      <c r="R67" s="81"/>
      <c r="S67" s="81"/>
      <c r="T67" s="81"/>
      <c r="U67" s="5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 spans="1:31" ht="12.75" customHeight="1">
      <c r="A68" s="74"/>
      <c r="B68" s="9" t="s">
        <v>192</v>
      </c>
      <c r="C68" s="75">
        <v>18</v>
      </c>
      <c r="D68" s="75">
        <v>23</v>
      </c>
      <c r="E68" s="75">
        <v>24</v>
      </c>
      <c r="F68" s="75">
        <v>16</v>
      </c>
      <c r="G68" s="10"/>
      <c r="H68" s="75"/>
      <c r="I68" s="75"/>
      <c r="J68" s="75"/>
      <c r="K68" s="30">
        <f t="shared" ref="K68:K70" si="147">SUM(D68-SUM(H68:J68))</f>
        <v>23</v>
      </c>
      <c r="L68" s="75"/>
      <c r="M68" s="75"/>
      <c r="N68" s="75"/>
      <c r="O68" s="30">
        <f t="shared" ref="O68:O70" si="148">SUM(E68-SUM(L68:N68))</f>
        <v>24</v>
      </c>
      <c r="P68" s="75"/>
      <c r="Q68" s="75"/>
      <c r="R68" s="75"/>
      <c r="S68" s="30">
        <f t="shared" ref="S68:S70" si="149">SUM(F68-SUM(P68:R68))</f>
        <v>16</v>
      </c>
      <c r="T68" s="75"/>
      <c r="U68" s="5"/>
      <c r="V68" s="30">
        <f t="shared" ref="V68:V69" si="150">SUM(H68:K68)</f>
        <v>23</v>
      </c>
      <c r="W68" s="30">
        <f t="shared" ref="W68:W70" si="151">SUM(I68:L68)</f>
        <v>23</v>
      </c>
      <c r="X68" s="30">
        <f t="shared" ref="X68:X70" si="152">SUM(J68:M68)</f>
        <v>23</v>
      </c>
      <c r="Y68" s="30">
        <f t="shared" ref="Y68:Y70" si="153">SUM(K68:N68)</f>
        <v>23</v>
      </c>
      <c r="Z68" s="30">
        <f t="shared" ref="Z68:Z70" si="154">SUM(L68:O68)</f>
        <v>24</v>
      </c>
      <c r="AA68" s="30">
        <f t="shared" ref="AA68:AA70" si="155">SUM(M68:P68)</f>
        <v>24</v>
      </c>
      <c r="AB68" s="30">
        <f t="shared" ref="AB68:AB70" si="156">SUM(N68:Q68)</f>
        <v>24</v>
      </c>
      <c r="AC68" s="30">
        <f t="shared" ref="AC68:AC70" si="157">SUM(O68:R68)</f>
        <v>24</v>
      </c>
      <c r="AD68" s="30">
        <f t="shared" ref="AD68:AD70" si="158">SUM(P68:S68)</f>
        <v>16</v>
      </c>
      <c r="AE68" s="30">
        <f t="shared" ref="AE68:AE70" si="159">SUM(Q68:T68)</f>
        <v>16</v>
      </c>
    </row>
    <row r="69" spans="1:31" ht="12.75" customHeight="1">
      <c r="A69" s="74"/>
      <c r="B69" s="9" t="s">
        <v>194</v>
      </c>
      <c r="C69" s="75">
        <v>241</v>
      </c>
      <c r="D69" s="75">
        <v>1223</v>
      </c>
      <c r="E69" s="75">
        <v>813</v>
      </c>
      <c r="F69" s="75">
        <v>813</v>
      </c>
      <c r="G69" s="10"/>
      <c r="H69" s="75"/>
      <c r="I69" s="75"/>
      <c r="J69" s="75"/>
      <c r="K69" s="30">
        <f t="shared" si="147"/>
        <v>1223</v>
      </c>
      <c r="L69" s="75"/>
      <c r="M69" s="75"/>
      <c r="N69" s="75"/>
      <c r="O69" s="30">
        <f t="shared" si="148"/>
        <v>813</v>
      </c>
      <c r="P69" s="75"/>
      <c r="Q69" s="75"/>
      <c r="R69" s="75"/>
      <c r="S69" s="30">
        <f t="shared" si="149"/>
        <v>813</v>
      </c>
      <c r="T69" s="75"/>
      <c r="U69" s="5"/>
      <c r="V69" s="30">
        <f t="shared" si="150"/>
        <v>1223</v>
      </c>
      <c r="W69" s="30">
        <f t="shared" si="151"/>
        <v>1223</v>
      </c>
      <c r="X69" s="30">
        <f t="shared" si="152"/>
        <v>1223</v>
      </c>
      <c r="Y69" s="30">
        <f t="shared" si="153"/>
        <v>1223</v>
      </c>
      <c r="Z69" s="30">
        <f t="shared" si="154"/>
        <v>813</v>
      </c>
      <c r="AA69" s="30">
        <f t="shared" si="155"/>
        <v>813</v>
      </c>
      <c r="AB69" s="30">
        <f t="shared" si="156"/>
        <v>813</v>
      </c>
      <c r="AC69" s="30">
        <f t="shared" si="157"/>
        <v>813</v>
      </c>
      <c r="AD69" s="30">
        <f t="shared" si="158"/>
        <v>813</v>
      </c>
      <c r="AE69" s="30">
        <f t="shared" si="159"/>
        <v>813</v>
      </c>
    </row>
    <row r="70" spans="1:31">
      <c r="A70" s="74"/>
      <c r="B70" s="9" t="s">
        <v>195</v>
      </c>
      <c r="C70" s="75">
        <v>2428</v>
      </c>
      <c r="D70" s="75">
        <v>2460</v>
      </c>
      <c r="E70" s="75">
        <v>2120</v>
      </c>
      <c r="F70" s="75">
        <v>2126</v>
      </c>
      <c r="G70" s="10"/>
      <c r="H70" s="75"/>
      <c r="I70" s="75"/>
      <c r="J70" s="75"/>
      <c r="K70" s="30">
        <f t="shared" si="147"/>
        <v>2460</v>
      </c>
      <c r="L70" s="75"/>
      <c r="M70" s="75"/>
      <c r="N70" s="75"/>
      <c r="O70" s="30">
        <f t="shared" si="148"/>
        <v>2120</v>
      </c>
      <c r="P70" s="75"/>
      <c r="Q70" s="75"/>
      <c r="R70" s="75"/>
      <c r="S70" s="30">
        <f t="shared" si="149"/>
        <v>2126</v>
      </c>
      <c r="T70" s="75"/>
      <c r="U70" s="5"/>
      <c r="V70" s="30">
        <f t="shared" ref="V70" si="160">SUM(H70:K70)</f>
        <v>2460</v>
      </c>
      <c r="W70" s="30">
        <f t="shared" si="151"/>
        <v>2460</v>
      </c>
      <c r="X70" s="30">
        <f t="shared" si="152"/>
        <v>2460</v>
      </c>
      <c r="Y70" s="30">
        <f t="shared" si="153"/>
        <v>2460</v>
      </c>
      <c r="Z70" s="30">
        <f t="shared" si="154"/>
        <v>2120</v>
      </c>
      <c r="AA70" s="30">
        <f t="shared" si="155"/>
        <v>2120</v>
      </c>
      <c r="AB70" s="30">
        <f t="shared" si="156"/>
        <v>2120</v>
      </c>
      <c r="AC70" s="30">
        <f t="shared" si="157"/>
        <v>2120</v>
      </c>
      <c r="AD70" s="30">
        <f t="shared" si="158"/>
        <v>2126</v>
      </c>
      <c r="AE70" s="30">
        <f t="shared" si="159"/>
        <v>2126</v>
      </c>
    </row>
    <row r="71" spans="1:31">
      <c r="B71" s="12" t="s">
        <v>214</v>
      </c>
      <c r="C71" s="13">
        <f>SUM(C68:C70)</f>
        <v>2687</v>
      </c>
      <c r="D71" s="13">
        <f>SUM(D68:D70)</f>
        <v>3706</v>
      </c>
      <c r="E71" s="13">
        <f>SUM(E68:E70)</f>
        <v>2957</v>
      </c>
      <c r="F71" s="13">
        <f>SUM(F68:F70)</f>
        <v>2955</v>
      </c>
      <c r="G71" s="11"/>
      <c r="H71" s="13">
        <f>SUM(H68:H70)</f>
        <v>0</v>
      </c>
      <c r="I71" s="13">
        <f>SUM(I68:I70)</f>
        <v>0</v>
      </c>
      <c r="J71" s="13">
        <f>SUM(J68:J70)</f>
        <v>0</v>
      </c>
      <c r="K71" s="13">
        <f>SUM(K68:K70)</f>
        <v>3706</v>
      </c>
      <c r="L71" s="13">
        <f>SUM(L68:L70)</f>
        <v>0</v>
      </c>
      <c r="M71" s="13">
        <f>SUM(M68:M70)</f>
        <v>0</v>
      </c>
      <c r="N71" s="13">
        <f>SUM(N68:N70)</f>
        <v>0</v>
      </c>
      <c r="O71" s="13">
        <f>SUM(O68:O70)</f>
        <v>2957</v>
      </c>
      <c r="P71" s="13">
        <f>SUM(P68:P70)</f>
        <v>0</v>
      </c>
      <c r="Q71" s="13">
        <f>SUM(Q68:Q70)</f>
        <v>0</v>
      </c>
      <c r="R71" s="13">
        <f>SUM(R68:R70)</f>
        <v>0</v>
      </c>
      <c r="S71" s="13">
        <f>SUM(S68:S70)</f>
        <v>2955</v>
      </c>
      <c r="T71" s="13">
        <f>SUM(T68:T70)</f>
        <v>0</v>
      </c>
      <c r="U71" s="5"/>
      <c r="V71" s="13">
        <f>SUM(V68:V70)</f>
        <v>3706</v>
      </c>
      <c r="W71" s="13">
        <f>SUM(W68:W70)</f>
        <v>3706</v>
      </c>
      <c r="X71" s="13">
        <f>SUM(X68:X70)</f>
        <v>3706</v>
      </c>
      <c r="Y71" s="13">
        <f>SUM(Y68:Y70)</f>
        <v>3706</v>
      </c>
      <c r="Z71" s="13">
        <f>SUM(Z68:Z70)</f>
        <v>2957</v>
      </c>
      <c r="AA71" s="13">
        <f>SUM(AA68:AA70)</f>
        <v>2957</v>
      </c>
      <c r="AB71" s="13">
        <f>SUM(AB68:AB70)</f>
        <v>2957</v>
      </c>
      <c r="AC71" s="13">
        <f>SUM(AC68:AC70)</f>
        <v>2957</v>
      </c>
      <c r="AD71" s="13">
        <f>SUM(AD68:AD70)</f>
        <v>2955</v>
      </c>
      <c r="AE71" s="13">
        <f>SUM(AE68:AE70)</f>
        <v>2955</v>
      </c>
    </row>
    <row r="72" spans="1:31" outlineLevel="1">
      <c r="B72" s="114" t="s">
        <v>200</v>
      </c>
      <c r="C72" s="73">
        <f>+C71-C24</f>
        <v>0</v>
      </c>
      <c r="D72" s="73">
        <f t="shared" ref="D72:F72" si="161">+D71-D24</f>
        <v>0</v>
      </c>
      <c r="E72" s="73">
        <f t="shared" si="161"/>
        <v>0</v>
      </c>
      <c r="F72" s="73">
        <f t="shared" si="161"/>
        <v>0</v>
      </c>
      <c r="G72" s="11"/>
      <c r="H72" s="73">
        <f t="shared" ref="H72" si="162">+H71-H24</f>
        <v>0</v>
      </c>
      <c r="I72" s="73">
        <f t="shared" ref="I72" si="163">+I71-I24</f>
        <v>0</v>
      </c>
      <c r="J72" s="73">
        <f t="shared" ref="J72" si="164">+J71-J24</f>
        <v>0</v>
      </c>
      <c r="K72" s="73">
        <f t="shared" ref="K72" si="165">+K71-K24</f>
        <v>0</v>
      </c>
      <c r="L72" s="73">
        <f t="shared" ref="L72" si="166">+L71-L24</f>
        <v>0</v>
      </c>
      <c r="M72" s="73">
        <f t="shared" ref="M72" si="167">+M71-M24</f>
        <v>0</v>
      </c>
      <c r="N72" s="73">
        <f t="shared" ref="N72" si="168">+N71-N24</f>
        <v>0</v>
      </c>
      <c r="O72" s="73">
        <f t="shared" ref="O72" si="169">+O71-O24</f>
        <v>0</v>
      </c>
      <c r="P72" s="73">
        <f t="shared" ref="P72" si="170">+P71-P24</f>
        <v>0</v>
      </c>
      <c r="Q72" s="73">
        <f t="shared" ref="Q72" si="171">+Q71-Q24</f>
        <v>0</v>
      </c>
      <c r="R72" s="73">
        <f t="shared" ref="R72" si="172">+R71-R24</f>
        <v>0</v>
      </c>
      <c r="S72" s="73">
        <f t="shared" ref="S72" si="173">+S71-S24</f>
        <v>0</v>
      </c>
      <c r="T72" s="73">
        <f t="shared" ref="T72" si="174">+T71-T24</f>
        <v>0</v>
      </c>
      <c r="U72" s="5"/>
      <c r="V72" s="73">
        <f t="shared" ref="V72" si="175">+V71-V24</f>
        <v>0</v>
      </c>
      <c r="W72" s="73">
        <f t="shared" ref="W72" si="176">+W71-W24</f>
        <v>0</v>
      </c>
      <c r="X72" s="73">
        <f t="shared" ref="X72" si="177">+X71-X24</f>
        <v>0</v>
      </c>
      <c r="Y72" s="73">
        <f t="shared" ref="Y72" si="178">+Y71-Y24</f>
        <v>0</v>
      </c>
      <c r="Z72" s="73">
        <f t="shared" ref="Z72" si="179">+Z71-Z24</f>
        <v>0</v>
      </c>
      <c r="AA72" s="73">
        <f t="shared" ref="AA72" si="180">+AA71-AA24</f>
        <v>0</v>
      </c>
      <c r="AB72" s="73">
        <f t="shared" ref="AB72" si="181">+AB71-AB24</f>
        <v>0</v>
      </c>
      <c r="AC72" s="73">
        <f t="shared" ref="AC72" si="182">+AC71-AC24</f>
        <v>0</v>
      </c>
      <c r="AD72" s="73">
        <f t="shared" ref="AD72" si="183">+AD71-AD24</f>
        <v>0</v>
      </c>
      <c r="AE72" s="73">
        <f t="shared" ref="AE72" si="184">+AE71-AE24</f>
        <v>0</v>
      </c>
    </row>
    <row r="73" spans="1:31">
      <c r="B73" s="16"/>
      <c r="C73" s="17"/>
      <c r="D73" s="17"/>
      <c r="E73" s="17"/>
      <c r="F73" s="17"/>
      <c r="G73" s="18"/>
      <c r="H73" s="19"/>
      <c r="I73" s="19"/>
      <c r="J73" s="19"/>
      <c r="K73" s="20"/>
      <c r="L73" s="19"/>
      <c r="M73" s="19"/>
      <c r="N73" s="19"/>
      <c r="O73" s="19"/>
      <c r="P73" s="19"/>
      <c r="Q73" s="19"/>
      <c r="R73" s="19"/>
      <c r="S73" s="19"/>
      <c r="T73" s="19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</row>
    <row r="74" spans="1:31">
      <c r="B74" s="115" t="str">
        <f>B68&amp;"(%)"</f>
        <v>Advertising(%)</v>
      </c>
      <c r="C74" s="127">
        <f>C68/C$39</f>
        <v>7.9176563737133805E-4</v>
      </c>
      <c r="D74" s="127">
        <f>D68/D$39</f>
        <v>1.0583471378612184E-3</v>
      </c>
      <c r="E74" s="127">
        <f>E68/E$39</f>
        <v>1.1949215832710979E-3</v>
      </c>
      <c r="F74" s="127">
        <f>F68/F$39</f>
        <v>8.5201554928377441E-4</v>
      </c>
      <c r="G74" s="116"/>
      <c r="H74" s="127" t="e">
        <f>H68/H$39</f>
        <v>#DIV/0!</v>
      </c>
      <c r="I74" s="127" t="e">
        <f>I68/I$39</f>
        <v>#DIV/0!</v>
      </c>
      <c r="J74" s="127" t="e">
        <f>J68/J$39</f>
        <v>#DIV/0!</v>
      </c>
      <c r="K74" s="127">
        <f>K68/K$39</f>
        <v>1.0583471378612184E-3</v>
      </c>
      <c r="L74" s="127" t="e">
        <f>L68/L$39</f>
        <v>#DIV/0!</v>
      </c>
      <c r="M74" s="127" t="e">
        <f>M68/M$39</f>
        <v>#DIV/0!</v>
      </c>
      <c r="N74" s="127" t="e">
        <f>N68/N$39</f>
        <v>#DIV/0!</v>
      </c>
      <c r="O74" s="127">
        <f>O68/O$39</f>
        <v>1.1949215832710979E-3</v>
      </c>
      <c r="P74" s="127" t="e">
        <f>P68/P$39</f>
        <v>#DIV/0!</v>
      </c>
      <c r="Q74" s="127" t="e">
        <f>Q68/Q$39</f>
        <v>#DIV/0!</v>
      </c>
      <c r="R74" s="127" t="e">
        <f>R68/R$39</f>
        <v>#DIV/0!</v>
      </c>
      <c r="S74" s="127">
        <f>S68/S$39</f>
        <v>8.5201554928377441E-4</v>
      </c>
      <c r="T74" s="127" t="e">
        <f>T68/T$39</f>
        <v>#DIV/0!</v>
      </c>
      <c r="U74" s="116"/>
      <c r="V74" s="117">
        <f>V68/V$39</f>
        <v>1.0583471378612184E-3</v>
      </c>
      <c r="W74" s="117">
        <f>W68/W$39</f>
        <v>1.0583471378612184E-3</v>
      </c>
      <c r="X74" s="117">
        <f>X68/X$39</f>
        <v>1.0583471378612184E-3</v>
      </c>
      <c r="Y74" s="117">
        <f>Y68/Y$39</f>
        <v>1.0583471378612184E-3</v>
      </c>
      <c r="Z74" s="117">
        <f>Z68/Z$39</f>
        <v>1.1949215832710979E-3</v>
      </c>
      <c r="AA74" s="117">
        <f>AA68/AA$39</f>
        <v>1.1949215832710979E-3</v>
      </c>
      <c r="AB74" s="117">
        <f>AB68/AB$39</f>
        <v>1.1949215832710979E-3</v>
      </c>
      <c r="AC74" s="117">
        <f>AC68/AC$39</f>
        <v>1.1949215832710979E-3</v>
      </c>
      <c r="AD74" s="117">
        <f>AD68/AD$39</f>
        <v>8.5201554928377441E-4</v>
      </c>
      <c r="AE74" s="118">
        <f>AE68/AE$39</f>
        <v>8.5201554928377441E-4</v>
      </c>
    </row>
    <row r="75" spans="1:31" ht="12.75" customHeight="1">
      <c r="B75" s="119" t="str">
        <f>B69&amp;"(%)"</f>
        <v>Theatrical(%)</v>
      </c>
      <c r="C75" s="129">
        <f>C69/C$39</f>
        <v>1.0600862144805137E-2</v>
      </c>
      <c r="D75" s="129">
        <f>D69/D$39</f>
        <v>5.627645867844653E-2</v>
      </c>
      <c r="E75" s="129">
        <f>E69/E$39</f>
        <v>4.0477968633308437E-2</v>
      </c>
      <c r="F75" s="129">
        <f>F69/F$39</f>
        <v>4.3293040097981787E-2</v>
      </c>
      <c r="G75" s="120"/>
      <c r="H75" s="129" t="e">
        <f>H69/H$39</f>
        <v>#DIV/0!</v>
      </c>
      <c r="I75" s="129" t="e">
        <f>I69/I$39</f>
        <v>#DIV/0!</v>
      </c>
      <c r="J75" s="129" t="e">
        <f>J69/J$39</f>
        <v>#DIV/0!</v>
      </c>
      <c r="K75" s="129">
        <f>K69/K$39</f>
        <v>5.627645867844653E-2</v>
      </c>
      <c r="L75" s="129" t="e">
        <f>L69/L$39</f>
        <v>#DIV/0!</v>
      </c>
      <c r="M75" s="129" t="e">
        <f>M69/M$39</f>
        <v>#DIV/0!</v>
      </c>
      <c r="N75" s="129" t="e">
        <f>N69/N$39</f>
        <v>#DIV/0!</v>
      </c>
      <c r="O75" s="129">
        <f>O69/O$39</f>
        <v>4.0477968633308437E-2</v>
      </c>
      <c r="P75" s="129" t="e">
        <f>P69/P$39</f>
        <v>#DIV/0!</v>
      </c>
      <c r="Q75" s="129" t="e">
        <f>Q69/Q$39</f>
        <v>#DIV/0!</v>
      </c>
      <c r="R75" s="129" t="e">
        <f>R69/R$39</f>
        <v>#DIV/0!</v>
      </c>
      <c r="S75" s="129">
        <f>S69/S$39</f>
        <v>4.3293040097981787E-2</v>
      </c>
      <c r="T75" s="129" t="e">
        <f>T69/T$39</f>
        <v>#DIV/0!</v>
      </c>
      <c r="U75" s="120"/>
      <c r="V75" s="121">
        <f>V69/V$39</f>
        <v>5.627645867844653E-2</v>
      </c>
      <c r="W75" s="121">
        <f>W69/W$39</f>
        <v>5.627645867844653E-2</v>
      </c>
      <c r="X75" s="121">
        <f>X69/X$39</f>
        <v>5.627645867844653E-2</v>
      </c>
      <c r="Y75" s="121">
        <f>Y69/Y$39</f>
        <v>5.627645867844653E-2</v>
      </c>
      <c r="Z75" s="121">
        <f>Z69/Z$39</f>
        <v>4.0477968633308437E-2</v>
      </c>
      <c r="AA75" s="121">
        <f>AA69/AA$39</f>
        <v>4.0477968633308437E-2</v>
      </c>
      <c r="AB75" s="121">
        <f>AB69/AB$39</f>
        <v>4.0477968633308437E-2</v>
      </c>
      <c r="AC75" s="121">
        <f>AC69/AC$39</f>
        <v>4.0477968633308437E-2</v>
      </c>
      <c r="AD75" s="121">
        <f>AD69/AD$39</f>
        <v>4.3293040097981787E-2</v>
      </c>
      <c r="AE75" s="122">
        <f>AE69/AE$39</f>
        <v>4.3293040097981787E-2</v>
      </c>
    </row>
    <row r="76" spans="1:31" ht="12.75" customHeight="1">
      <c r="B76" s="123" t="str">
        <f>B70&amp;"(%)"</f>
        <v>Licensing and other(%)</v>
      </c>
      <c r="C76" s="128">
        <f>C70/C$39</f>
        <v>0.10680038708542272</v>
      </c>
      <c r="D76" s="128">
        <f>D70/D$39</f>
        <v>0.11319712865819989</v>
      </c>
      <c r="E76" s="128">
        <f>E70/E$39</f>
        <v>0.1055514065222803</v>
      </c>
      <c r="F76" s="128">
        <f>F70/F$39</f>
        <v>0.11321156611108153</v>
      </c>
      <c r="G76" s="124"/>
      <c r="H76" s="128" t="e">
        <f t="shared" ref="H76:T76" si="185">H70/H$39</f>
        <v>#DIV/0!</v>
      </c>
      <c r="I76" s="128" t="e">
        <f t="shared" si="185"/>
        <v>#DIV/0!</v>
      </c>
      <c r="J76" s="128" t="e">
        <f t="shared" si="185"/>
        <v>#DIV/0!</v>
      </c>
      <c r="K76" s="128">
        <f t="shared" si="185"/>
        <v>0.11319712865819989</v>
      </c>
      <c r="L76" s="128" t="e">
        <f t="shared" si="185"/>
        <v>#DIV/0!</v>
      </c>
      <c r="M76" s="128" t="e">
        <f t="shared" si="185"/>
        <v>#DIV/0!</v>
      </c>
      <c r="N76" s="128" t="e">
        <f t="shared" si="185"/>
        <v>#DIV/0!</v>
      </c>
      <c r="O76" s="128">
        <f t="shared" si="185"/>
        <v>0.1055514065222803</v>
      </c>
      <c r="P76" s="128" t="e">
        <f t="shared" si="185"/>
        <v>#DIV/0!</v>
      </c>
      <c r="Q76" s="128" t="e">
        <f t="shared" si="185"/>
        <v>#DIV/0!</v>
      </c>
      <c r="R76" s="128" t="e">
        <f t="shared" si="185"/>
        <v>#DIV/0!</v>
      </c>
      <c r="S76" s="128">
        <f t="shared" si="185"/>
        <v>0.11321156611108153</v>
      </c>
      <c r="T76" s="128" t="e">
        <f t="shared" si="185"/>
        <v>#DIV/0!</v>
      </c>
      <c r="U76" s="124"/>
      <c r="V76" s="125">
        <f t="shared" ref="V76:AE76" si="186">V70/V$39</f>
        <v>0.11319712865819989</v>
      </c>
      <c r="W76" s="125">
        <f t="shared" si="186"/>
        <v>0.11319712865819989</v>
      </c>
      <c r="X76" s="125">
        <f t="shared" si="186"/>
        <v>0.11319712865819989</v>
      </c>
      <c r="Y76" s="125">
        <f t="shared" si="186"/>
        <v>0.11319712865819989</v>
      </c>
      <c r="Z76" s="125">
        <f t="shared" si="186"/>
        <v>0.1055514065222803</v>
      </c>
      <c r="AA76" s="125">
        <f t="shared" si="186"/>
        <v>0.1055514065222803</v>
      </c>
      <c r="AB76" s="125">
        <f t="shared" si="186"/>
        <v>0.1055514065222803</v>
      </c>
      <c r="AC76" s="125">
        <f t="shared" si="186"/>
        <v>0.1055514065222803</v>
      </c>
      <c r="AD76" s="125">
        <f t="shared" si="186"/>
        <v>0.11321156611108153</v>
      </c>
      <c r="AE76" s="126">
        <f t="shared" si="186"/>
        <v>0.11321156611108153</v>
      </c>
    </row>
  </sheetData>
  <pageMargins left="0.7" right="0.7" top="0.75" bottom="0.75" header="0.3" footer="0.3"/>
  <ignoredErrors>
    <ignoredError sqref="H42:T43 H44:T44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27CF-47F2-43ED-8CCB-3D99E5377DA5}">
  <sheetPr>
    <tabColor theme="6" tint="-0.249977111117893"/>
  </sheetPr>
  <dimension ref="A2:AG89"/>
  <sheetViews>
    <sheetView showGridLines="0" zoomScaleNormal="100" workbookViewId="0">
      <selection activeCell="F3" sqref="F3"/>
    </sheetView>
  </sheetViews>
  <sheetFormatPr defaultRowHeight="12" outlineLevelCol="1"/>
  <cols>
    <col min="1" max="1" width="1.5" style="8" customWidth="1"/>
    <col min="2" max="2" width="41.625" style="8" customWidth="1"/>
    <col min="3" max="3" width="8.625" style="8" customWidth="1"/>
    <col min="4" max="4" width="9" style="8" bestFit="1"/>
    <col min="5" max="5" width="9.25" style="8" bestFit="1" customWidth="1"/>
    <col min="6" max="6" width="9" style="8"/>
    <col min="7" max="7" width="1.5" style="8" customWidth="1"/>
    <col min="8" max="10" width="8" style="8" customWidth="1"/>
    <col min="11" max="11" width="8.75" style="8" customWidth="1"/>
    <col min="12" max="13" width="8" style="8" customWidth="1"/>
    <col min="14" max="20" width="8.875" style="8" customWidth="1"/>
    <col min="21" max="21" width="1.625" style="8" customWidth="1"/>
    <col min="22" max="23" width="8.25" style="8" hidden="1" customWidth="1" outlineLevel="1"/>
    <col min="24" max="24" width="9.25" style="8" hidden="1" customWidth="1" outlineLevel="1"/>
    <col min="25" max="25" width="9.75" style="8" hidden="1" customWidth="1" outlineLevel="1"/>
    <col min="26" max="26" width="9" style="8" hidden="1" customWidth="1" outlineLevel="1"/>
    <col min="27" max="27" width="9" style="8" collapsed="1"/>
    <col min="28" max="29" width="9" style="8" hidden="1" customWidth="1" outlineLevel="1"/>
    <col min="30" max="30" width="8.5" style="8" hidden="1" customWidth="1" outlineLevel="1"/>
    <col min="31" max="31" width="8.5" style="8" bestFit="1" customWidth="1" collapsed="1"/>
    <col min="32" max="32" width="1.5" style="8" customWidth="1"/>
    <col min="33" max="33" width="7.5" style="111" bestFit="1" customWidth="1"/>
    <col min="34" max="16384" width="9" style="8"/>
  </cols>
  <sheetData>
    <row r="2" spans="2:33" s="5" customFormat="1" ht="12.75" customHeight="1">
      <c r="B2" s="1" t="str">
        <f>'Historical Financials'!B2</f>
        <v>Paramount Global  (NASDAQ: PARA)</v>
      </c>
      <c r="C2" s="2"/>
      <c r="D2" s="2" t="s">
        <v>0</v>
      </c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/>
      <c r="Q2" s="2"/>
      <c r="R2" s="2" t="s">
        <v>1</v>
      </c>
      <c r="S2" s="2"/>
      <c r="T2" s="2"/>
      <c r="U2" s="3"/>
      <c r="V2" s="2"/>
      <c r="W2" s="2"/>
      <c r="X2" s="2"/>
      <c r="Y2" s="2"/>
      <c r="Z2" s="2" t="s">
        <v>10</v>
      </c>
      <c r="AA2" s="2" t="s">
        <v>10</v>
      </c>
      <c r="AB2" s="2"/>
      <c r="AC2" s="2"/>
      <c r="AD2" s="2"/>
      <c r="AE2" s="2"/>
      <c r="AF2" s="3"/>
      <c r="AG2" s="154" t="s">
        <v>22</v>
      </c>
    </row>
    <row r="3" spans="2:33" s="5" customFormat="1" ht="12.75" customHeight="1">
      <c r="B3" s="6" t="s">
        <v>23</v>
      </c>
      <c r="C3" s="7">
        <f>'Historical Financials'!C7</f>
        <v>2021</v>
      </c>
      <c r="D3" s="7">
        <f>'Historical Financials'!D7</f>
        <v>2022</v>
      </c>
      <c r="E3" s="7">
        <f>'Historical Financials'!E7</f>
        <v>2023</v>
      </c>
      <c r="F3" s="7">
        <f>'Historical Financials'!F7</f>
        <v>2024</v>
      </c>
      <c r="G3" s="3"/>
      <c r="H3" s="7" t="str">
        <f>'Historical Financials'!H7</f>
        <v>1Q23</v>
      </c>
      <c r="I3" s="7" t="str">
        <f>'Historical Financials'!I7</f>
        <v>2Q23</v>
      </c>
      <c r="J3" s="7" t="str">
        <f>'Historical Financials'!J7</f>
        <v>3Q23</v>
      </c>
      <c r="K3" s="7" t="str">
        <f>'Historical Financials'!K7</f>
        <v>4Q23</v>
      </c>
      <c r="L3" s="7" t="str">
        <f>'Historical Financials'!L7</f>
        <v>1Q24</v>
      </c>
      <c r="M3" s="7" t="str">
        <f>'Historical Financials'!M7</f>
        <v>2Q24</v>
      </c>
      <c r="N3" s="7" t="str">
        <f>'Historical Financials'!N7</f>
        <v>3Q24</v>
      </c>
      <c r="O3" s="7" t="str">
        <f>'Historical Financials'!O7</f>
        <v>4Q24</v>
      </c>
      <c r="P3" s="7" t="str">
        <f>'Historical Financials'!P7</f>
        <v>1Q25</v>
      </c>
      <c r="Q3" s="7" t="str">
        <f>'Historical Financials'!Q7</f>
        <v>2Q25</v>
      </c>
      <c r="R3" s="7" t="str">
        <f>'Historical Financials'!R7</f>
        <v>3Q25</v>
      </c>
      <c r="S3" s="7" t="str">
        <f>'Historical Financials'!S7</f>
        <v>4Q25</v>
      </c>
      <c r="T3" s="7" t="str">
        <f>'Historical Financials'!T7</f>
        <v>1Q26</v>
      </c>
      <c r="U3" s="3"/>
      <c r="V3" s="4" t="str">
        <f t="shared" ref="V3:AE4" si="0">K3</f>
        <v>4Q23</v>
      </c>
      <c r="W3" s="4" t="str">
        <f t="shared" si="0"/>
        <v>1Q24</v>
      </c>
      <c r="X3" s="4" t="str">
        <f t="shared" si="0"/>
        <v>2Q24</v>
      </c>
      <c r="Y3" s="4" t="str">
        <f t="shared" si="0"/>
        <v>3Q24</v>
      </c>
      <c r="Z3" s="4" t="str">
        <f t="shared" si="0"/>
        <v>4Q24</v>
      </c>
      <c r="AA3" s="4" t="str">
        <f t="shared" si="0"/>
        <v>1Q25</v>
      </c>
      <c r="AB3" s="4" t="str">
        <f t="shared" si="0"/>
        <v>2Q25</v>
      </c>
      <c r="AC3" s="4" t="str">
        <f t="shared" si="0"/>
        <v>3Q25</v>
      </c>
      <c r="AD3" s="4" t="str">
        <f t="shared" si="0"/>
        <v>4Q25</v>
      </c>
      <c r="AE3" s="4" t="str">
        <f t="shared" si="0"/>
        <v>1Q26</v>
      </c>
      <c r="AF3" s="3"/>
      <c r="AG3" s="154"/>
    </row>
    <row r="4" spans="2:33" s="5" customFormat="1" ht="12.75" customHeight="1">
      <c r="B4" s="6" t="s">
        <v>91</v>
      </c>
      <c r="C4" s="3">
        <f>'Historical Financials'!C8</f>
        <v>44561</v>
      </c>
      <c r="D4" s="3">
        <f>'Historical Financials'!D8</f>
        <v>44926</v>
      </c>
      <c r="E4" s="3">
        <f>'Historical Financials'!E8</f>
        <v>45291</v>
      </c>
      <c r="F4" s="3">
        <f>'Historical Financials'!F8</f>
        <v>45657</v>
      </c>
      <c r="G4" s="3"/>
      <c r="H4" s="3" t="str">
        <f>'Historical Financials'!H8</f>
        <v>XXX</v>
      </c>
      <c r="I4" s="3" t="str">
        <f>'Historical Financials'!I8</f>
        <v>XXX</v>
      </c>
      <c r="J4" s="3" t="str">
        <f>'Historical Financials'!J8</f>
        <v>XXX</v>
      </c>
      <c r="K4" s="3">
        <f>'Historical Financials'!K8</f>
        <v>44926</v>
      </c>
      <c r="L4" s="3" t="str">
        <f>'Historical Financials'!L8</f>
        <v>XXX</v>
      </c>
      <c r="M4" s="3" t="str">
        <f>'Historical Financials'!M8</f>
        <v>XXX</v>
      </c>
      <c r="N4" s="3" t="str">
        <f>'Historical Financials'!N8</f>
        <v>XXX</v>
      </c>
      <c r="O4" s="3">
        <f>'Historical Financials'!O8</f>
        <v>45291</v>
      </c>
      <c r="P4" s="3" t="str">
        <f>'Historical Financials'!P8</f>
        <v>XXX</v>
      </c>
      <c r="Q4" s="3" t="str">
        <f>'Historical Financials'!Q8</f>
        <v>XXX</v>
      </c>
      <c r="R4" s="3" t="str">
        <f>'Historical Financials'!R8</f>
        <v>XXX</v>
      </c>
      <c r="S4" s="3">
        <f>'Historical Financials'!S8</f>
        <v>45657</v>
      </c>
      <c r="T4" s="3" t="str">
        <f>'Historical Financials'!T8</f>
        <v>XXX</v>
      </c>
      <c r="U4" s="3"/>
      <c r="V4" s="3">
        <f t="shared" si="0"/>
        <v>44926</v>
      </c>
      <c r="W4" s="3" t="str">
        <f t="shared" si="0"/>
        <v>XXX</v>
      </c>
      <c r="X4" s="3" t="str">
        <f t="shared" si="0"/>
        <v>XXX</v>
      </c>
      <c r="Y4" s="3" t="str">
        <f t="shared" si="0"/>
        <v>XXX</v>
      </c>
      <c r="Z4" s="3">
        <f t="shared" si="0"/>
        <v>45291</v>
      </c>
      <c r="AA4" s="3" t="str">
        <f t="shared" si="0"/>
        <v>XXX</v>
      </c>
      <c r="AB4" s="3" t="str">
        <f t="shared" si="0"/>
        <v>XXX</v>
      </c>
      <c r="AC4" s="3" t="str">
        <f t="shared" si="0"/>
        <v>XXX</v>
      </c>
      <c r="AD4" s="3">
        <f t="shared" si="0"/>
        <v>45657</v>
      </c>
      <c r="AE4" s="3" t="str">
        <f t="shared" si="0"/>
        <v>XXX</v>
      </c>
      <c r="AF4" s="3"/>
      <c r="AG4" s="154"/>
    </row>
    <row r="5" spans="2:33" ht="5.0999999999999996" customHeight="1">
      <c r="AG5" s="107"/>
    </row>
    <row r="6" spans="2:33" ht="12.75" customHeight="1">
      <c r="B6" s="9" t="s">
        <v>107</v>
      </c>
      <c r="C6" s="80"/>
      <c r="D6" s="80"/>
      <c r="E6" s="80"/>
      <c r="F6" s="80"/>
      <c r="G6" s="1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5"/>
      <c r="V6" s="131">
        <f t="shared" ref="V6:AD6" si="1">SUM(H6:K6)</f>
        <v>0</v>
      </c>
      <c r="W6" s="131">
        <f t="shared" si="1"/>
        <v>0</v>
      </c>
      <c r="X6" s="131">
        <f t="shared" si="1"/>
        <v>0</v>
      </c>
      <c r="Y6" s="131">
        <f t="shared" si="1"/>
        <v>0</v>
      </c>
      <c r="Z6" s="131">
        <f t="shared" si="1"/>
        <v>0</v>
      </c>
      <c r="AA6" s="131">
        <f t="shared" si="1"/>
        <v>0</v>
      </c>
      <c r="AB6" s="131">
        <f t="shared" si="1"/>
        <v>0</v>
      </c>
      <c r="AC6" s="131">
        <f t="shared" si="1"/>
        <v>0</v>
      </c>
      <c r="AD6" s="131">
        <f t="shared" si="1"/>
        <v>0</v>
      </c>
      <c r="AE6" s="131">
        <f>SUM(Q6:T6)</f>
        <v>0</v>
      </c>
      <c r="AG6" s="108" t="e">
        <f t="shared" ref="AG6:AG11" si="2">SUM(AE6/AA6)-1</f>
        <v>#DIV/0!</v>
      </c>
    </row>
    <row r="7" spans="2:33" ht="12.75" customHeight="1">
      <c r="B7" s="9" t="s">
        <v>107</v>
      </c>
      <c r="C7" s="80"/>
      <c r="D7" s="80"/>
      <c r="E7" s="80"/>
      <c r="F7" s="80"/>
      <c r="G7" s="1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5"/>
      <c r="V7" s="131">
        <f t="shared" ref="V7:V11" si="3">SUM(H7:K7)</f>
        <v>0</v>
      </c>
      <c r="W7" s="131">
        <f t="shared" ref="W7:W11" si="4">SUM(I7:L7)</f>
        <v>0</v>
      </c>
      <c r="X7" s="131">
        <f t="shared" ref="X7:X11" si="5">SUM(J7:M7)</f>
        <v>0</v>
      </c>
      <c r="Y7" s="131">
        <f t="shared" ref="Y7:Y11" si="6">SUM(K7:N7)</f>
        <v>0</v>
      </c>
      <c r="Z7" s="131">
        <f t="shared" ref="Z7:Z11" si="7">SUM(L7:O7)</f>
        <v>0</v>
      </c>
      <c r="AA7" s="131">
        <f t="shared" ref="AA7:AA11" si="8">SUM(M7:P7)</f>
        <v>0</v>
      </c>
      <c r="AB7" s="131">
        <f t="shared" ref="AB7:AB11" si="9">SUM(N7:Q7)</f>
        <v>0</v>
      </c>
      <c r="AC7" s="131">
        <f t="shared" ref="AC7:AC11" si="10">SUM(O7:R7)</f>
        <v>0</v>
      </c>
      <c r="AD7" s="131">
        <f t="shared" ref="AD7:AD11" si="11">SUM(P7:S7)</f>
        <v>0</v>
      </c>
      <c r="AE7" s="131">
        <f t="shared" ref="AE7:AE11" si="12">SUM(Q7:T7)</f>
        <v>0</v>
      </c>
      <c r="AG7" s="108" t="e">
        <f t="shared" si="2"/>
        <v>#DIV/0!</v>
      </c>
    </row>
    <row r="8" spans="2:33" ht="12.75" customHeight="1">
      <c r="B8" s="9" t="s">
        <v>107</v>
      </c>
      <c r="C8" s="80"/>
      <c r="D8" s="80"/>
      <c r="E8" s="80"/>
      <c r="F8" s="80"/>
      <c r="G8" s="1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5"/>
      <c r="V8" s="131">
        <f t="shared" si="3"/>
        <v>0</v>
      </c>
      <c r="W8" s="131">
        <f t="shared" si="4"/>
        <v>0</v>
      </c>
      <c r="X8" s="131">
        <f t="shared" si="5"/>
        <v>0</v>
      </c>
      <c r="Y8" s="131">
        <f t="shared" si="6"/>
        <v>0</v>
      </c>
      <c r="Z8" s="131">
        <f t="shared" si="7"/>
        <v>0</v>
      </c>
      <c r="AA8" s="131">
        <f t="shared" si="8"/>
        <v>0</v>
      </c>
      <c r="AB8" s="131">
        <f t="shared" si="9"/>
        <v>0</v>
      </c>
      <c r="AC8" s="131">
        <f t="shared" si="10"/>
        <v>0</v>
      </c>
      <c r="AD8" s="131">
        <f t="shared" si="11"/>
        <v>0</v>
      </c>
      <c r="AE8" s="131">
        <f t="shared" si="12"/>
        <v>0</v>
      </c>
      <c r="AG8" s="108" t="e">
        <f t="shared" si="2"/>
        <v>#DIV/0!</v>
      </c>
    </row>
    <row r="9" spans="2:33" ht="12.75" customHeight="1">
      <c r="B9" s="9" t="s">
        <v>107</v>
      </c>
      <c r="C9" s="80"/>
      <c r="D9" s="80"/>
      <c r="E9" s="80"/>
      <c r="F9" s="80"/>
      <c r="G9" s="1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5"/>
      <c r="V9" s="131">
        <f t="shared" si="3"/>
        <v>0</v>
      </c>
      <c r="W9" s="131">
        <f t="shared" si="4"/>
        <v>0</v>
      </c>
      <c r="X9" s="131">
        <f t="shared" si="5"/>
        <v>0</v>
      </c>
      <c r="Y9" s="131">
        <f t="shared" si="6"/>
        <v>0</v>
      </c>
      <c r="Z9" s="131">
        <f t="shared" si="7"/>
        <v>0</v>
      </c>
      <c r="AA9" s="131">
        <f t="shared" si="8"/>
        <v>0</v>
      </c>
      <c r="AB9" s="131">
        <f t="shared" si="9"/>
        <v>0</v>
      </c>
      <c r="AC9" s="131">
        <f t="shared" si="10"/>
        <v>0</v>
      </c>
      <c r="AD9" s="131">
        <f t="shared" si="11"/>
        <v>0</v>
      </c>
      <c r="AE9" s="131">
        <f t="shared" si="12"/>
        <v>0</v>
      </c>
      <c r="AG9" s="108" t="e">
        <f t="shared" si="2"/>
        <v>#DIV/0!</v>
      </c>
    </row>
    <row r="10" spans="2:33" ht="12.75" customHeight="1">
      <c r="B10" s="9" t="s">
        <v>107</v>
      </c>
      <c r="C10" s="80"/>
      <c r="D10" s="80"/>
      <c r="E10" s="80"/>
      <c r="F10" s="80"/>
      <c r="G10" s="1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5"/>
      <c r="V10" s="131">
        <f t="shared" si="3"/>
        <v>0</v>
      </c>
      <c r="W10" s="131">
        <f t="shared" si="4"/>
        <v>0</v>
      </c>
      <c r="X10" s="131">
        <f t="shared" si="5"/>
        <v>0</v>
      </c>
      <c r="Y10" s="131">
        <f t="shared" si="6"/>
        <v>0</v>
      </c>
      <c r="Z10" s="131">
        <f t="shared" si="7"/>
        <v>0</v>
      </c>
      <c r="AA10" s="131">
        <f t="shared" si="8"/>
        <v>0</v>
      </c>
      <c r="AB10" s="131">
        <f t="shared" si="9"/>
        <v>0</v>
      </c>
      <c r="AC10" s="131">
        <f t="shared" si="10"/>
        <v>0</v>
      </c>
      <c r="AD10" s="131">
        <f t="shared" si="11"/>
        <v>0</v>
      </c>
      <c r="AE10" s="131">
        <f t="shared" si="12"/>
        <v>0</v>
      </c>
      <c r="AG10" s="108" t="e">
        <f t="shared" si="2"/>
        <v>#DIV/0!</v>
      </c>
    </row>
    <row r="11" spans="2:33" ht="12.75" customHeight="1">
      <c r="B11" s="9" t="s">
        <v>107</v>
      </c>
      <c r="C11" s="80"/>
      <c r="D11" s="80"/>
      <c r="E11" s="80"/>
      <c r="F11" s="80"/>
      <c r="G11" s="1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5"/>
      <c r="V11" s="131">
        <f t="shared" si="3"/>
        <v>0</v>
      </c>
      <c r="W11" s="131">
        <f t="shared" si="4"/>
        <v>0</v>
      </c>
      <c r="X11" s="131">
        <f t="shared" si="5"/>
        <v>0</v>
      </c>
      <c r="Y11" s="131">
        <f t="shared" si="6"/>
        <v>0</v>
      </c>
      <c r="Z11" s="131">
        <f t="shared" si="7"/>
        <v>0</v>
      </c>
      <c r="AA11" s="131">
        <f t="shared" si="8"/>
        <v>0</v>
      </c>
      <c r="AB11" s="131">
        <f t="shared" si="9"/>
        <v>0</v>
      </c>
      <c r="AC11" s="131">
        <f t="shared" si="10"/>
        <v>0</v>
      </c>
      <c r="AD11" s="131">
        <f t="shared" si="11"/>
        <v>0</v>
      </c>
      <c r="AE11" s="131">
        <f t="shared" si="12"/>
        <v>0</v>
      </c>
      <c r="AG11" s="108" t="e">
        <f t="shared" si="2"/>
        <v>#DIV/0!</v>
      </c>
    </row>
    <row r="12" spans="2:33" ht="12.75" customHeight="1">
      <c r="B12" s="12" t="s">
        <v>12</v>
      </c>
      <c r="C12" s="13">
        <f t="shared" ref="C12:F12" si="13">SUM(C6:C11)</f>
        <v>0</v>
      </c>
      <c r="D12" s="13">
        <f t="shared" si="13"/>
        <v>0</v>
      </c>
      <c r="E12" s="13">
        <f t="shared" si="13"/>
        <v>0</v>
      </c>
      <c r="F12" s="13">
        <f t="shared" si="13"/>
        <v>0</v>
      </c>
      <c r="G12" s="10"/>
      <c r="H12" s="13">
        <f t="shared" ref="H12:S12" si="14">SUM(H6:H11)</f>
        <v>0</v>
      </c>
      <c r="I12" s="13">
        <f t="shared" si="14"/>
        <v>0</v>
      </c>
      <c r="J12" s="13">
        <f t="shared" si="14"/>
        <v>0</v>
      </c>
      <c r="K12" s="13">
        <f t="shared" si="14"/>
        <v>0</v>
      </c>
      <c r="L12" s="13">
        <f t="shared" si="14"/>
        <v>0</v>
      </c>
      <c r="M12" s="13">
        <f t="shared" si="14"/>
        <v>0</v>
      </c>
      <c r="N12" s="13">
        <f t="shared" si="14"/>
        <v>0</v>
      </c>
      <c r="O12" s="13">
        <f t="shared" si="14"/>
        <v>0</v>
      </c>
      <c r="P12" s="13">
        <f t="shared" si="14"/>
        <v>0</v>
      </c>
      <c r="Q12" s="13">
        <f t="shared" si="14"/>
        <v>0</v>
      </c>
      <c r="R12" s="13">
        <f t="shared" si="14"/>
        <v>0</v>
      </c>
      <c r="S12" s="13">
        <f t="shared" si="14"/>
        <v>0</v>
      </c>
      <c r="T12" s="13">
        <f t="shared" ref="T12" si="15">SUM(T6:T11)</f>
        <v>0</v>
      </c>
      <c r="U12" s="5"/>
      <c r="V12" s="13">
        <f t="shared" ref="V12:AE12" si="16">SUM(V6:V11)</f>
        <v>0</v>
      </c>
      <c r="W12" s="13">
        <f t="shared" si="16"/>
        <v>0</v>
      </c>
      <c r="X12" s="13">
        <f t="shared" si="16"/>
        <v>0</v>
      </c>
      <c r="Y12" s="13">
        <f t="shared" si="16"/>
        <v>0</v>
      </c>
      <c r="Z12" s="13">
        <f t="shared" si="16"/>
        <v>0</v>
      </c>
      <c r="AA12" s="13">
        <f t="shared" si="16"/>
        <v>0</v>
      </c>
      <c r="AB12" s="13">
        <f t="shared" si="16"/>
        <v>0</v>
      </c>
      <c r="AC12" s="13">
        <f t="shared" si="16"/>
        <v>0</v>
      </c>
      <c r="AD12" s="13">
        <f t="shared" si="16"/>
        <v>0</v>
      </c>
      <c r="AE12" s="13">
        <f t="shared" si="16"/>
        <v>0</v>
      </c>
      <c r="AG12" s="109" t="e">
        <f>SUM(AE12/AA12)-1</f>
        <v>#DIV/0!</v>
      </c>
    </row>
    <row r="13" spans="2:33" ht="12.75" customHeight="1">
      <c r="B13" s="14" t="s">
        <v>26</v>
      </c>
      <c r="C13" s="15" t="e">
        <f>SUM(C12/#REF!)-1</f>
        <v>#REF!</v>
      </c>
      <c r="D13" s="15" t="e">
        <f>SUM(D12/C12)-1</f>
        <v>#DIV/0!</v>
      </c>
      <c r="E13" s="15" t="e">
        <f>SUM(E12/D12)-1</f>
        <v>#DIV/0!</v>
      </c>
      <c r="F13" s="15" t="e">
        <f>SUM(F12/E12)-1</f>
        <v>#DIV/0!</v>
      </c>
      <c r="G13" s="11"/>
      <c r="H13" s="99"/>
      <c r="I13" s="99"/>
      <c r="J13" s="99"/>
      <c r="K13" s="99"/>
      <c r="L13" s="15" t="e">
        <f t="shared" ref="L13:S13" si="17">SUM(L12/H12)-1</f>
        <v>#DIV/0!</v>
      </c>
      <c r="M13" s="15" t="e">
        <f t="shared" si="17"/>
        <v>#DIV/0!</v>
      </c>
      <c r="N13" s="15" t="e">
        <f t="shared" si="17"/>
        <v>#DIV/0!</v>
      </c>
      <c r="O13" s="15" t="e">
        <f t="shared" si="17"/>
        <v>#DIV/0!</v>
      </c>
      <c r="P13" s="15" t="e">
        <f t="shared" si="17"/>
        <v>#DIV/0!</v>
      </c>
      <c r="Q13" s="15" t="e">
        <f t="shared" si="17"/>
        <v>#DIV/0!</v>
      </c>
      <c r="R13" s="15" t="e">
        <f t="shared" si="17"/>
        <v>#DIV/0!</v>
      </c>
      <c r="S13" s="15" t="e">
        <f t="shared" si="17"/>
        <v>#DIV/0!</v>
      </c>
      <c r="T13" s="15" t="e">
        <f t="shared" ref="T13" si="18">SUM(T12/P12)-1</f>
        <v>#DIV/0!</v>
      </c>
      <c r="U13" s="5"/>
      <c r="V13" s="99"/>
      <c r="W13" s="99"/>
      <c r="X13" s="99"/>
      <c r="Y13" s="99"/>
      <c r="Z13" s="15" t="e">
        <f t="shared" ref="Z13:AE13" si="19">SUM(Z12/V12)-1</f>
        <v>#DIV/0!</v>
      </c>
      <c r="AA13" s="15" t="e">
        <f t="shared" si="19"/>
        <v>#DIV/0!</v>
      </c>
      <c r="AB13" s="15" t="e">
        <f t="shared" si="19"/>
        <v>#DIV/0!</v>
      </c>
      <c r="AC13" s="15" t="e">
        <f t="shared" si="19"/>
        <v>#DIV/0!</v>
      </c>
      <c r="AD13" s="15" t="e">
        <f t="shared" si="19"/>
        <v>#DIV/0!</v>
      </c>
      <c r="AE13" s="15" t="e">
        <f t="shared" si="19"/>
        <v>#DIV/0!</v>
      </c>
      <c r="AG13" s="110" t="e">
        <f>SUM(AE13-AA13)*10000</f>
        <v>#DIV/0!</v>
      </c>
    </row>
    <row r="14" spans="2:33" ht="12.75" customHeight="1">
      <c r="B14" s="14" t="s">
        <v>27</v>
      </c>
      <c r="C14" s="15" t="s">
        <v>28</v>
      </c>
      <c r="D14" s="15" t="s">
        <v>28</v>
      </c>
      <c r="E14" s="15" t="s">
        <v>28</v>
      </c>
      <c r="F14" s="15" t="s">
        <v>28</v>
      </c>
      <c r="G14" s="11"/>
      <c r="H14" s="99"/>
      <c r="I14" s="15" t="e">
        <f>SUM(I12/H12)-1</f>
        <v>#DIV/0!</v>
      </c>
      <c r="J14" s="15" t="e">
        <f>SUM(J12/I12)-1</f>
        <v>#DIV/0!</v>
      </c>
      <c r="K14" s="15" t="e">
        <f>SUM(K12/J12)-1</f>
        <v>#DIV/0!</v>
      </c>
      <c r="L14" s="15" t="e">
        <f>SUM(L12/K12)-1</f>
        <v>#DIV/0!</v>
      </c>
      <c r="M14" s="15" t="e">
        <f t="shared" ref="M14:S14" si="20">SUM(M12/L12)-1</f>
        <v>#DIV/0!</v>
      </c>
      <c r="N14" s="15" t="e">
        <f t="shared" si="20"/>
        <v>#DIV/0!</v>
      </c>
      <c r="O14" s="15" t="e">
        <f t="shared" si="20"/>
        <v>#DIV/0!</v>
      </c>
      <c r="P14" s="15" t="e">
        <f t="shared" si="20"/>
        <v>#DIV/0!</v>
      </c>
      <c r="Q14" s="15" t="e">
        <f t="shared" si="20"/>
        <v>#DIV/0!</v>
      </c>
      <c r="R14" s="15" t="e">
        <f t="shared" si="20"/>
        <v>#DIV/0!</v>
      </c>
      <c r="S14" s="15" t="e">
        <f t="shared" si="20"/>
        <v>#DIV/0!</v>
      </c>
      <c r="T14" s="15" t="e">
        <f t="shared" ref="T14" si="21">SUM(T12/S12)-1</f>
        <v>#DIV/0!</v>
      </c>
      <c r="U14" s="5"/>
      <c r="V14" s="15" t="s">
        <v>28</v>
      </c>
      <c r="W14" s="15" t="s">
        <v>28</v>
      </c>
      <c r="X14" s="15" t="s">
        <v>28</v>
      </c>
      <c r="Y14" s="15" t="s">
        <v>28</v>
      </c>
      <c r="Z14" s="15" t="s">
        <v>28</v>
      </c>
      <c r="AA14" s="15" t="s">
        <v>28</v>
      </c>
      <c r="AB14" s="15" t="s">
        <v>28</v>
      </c>
      <c r="AC14" s="15" t="s">
        <v>28</v>
      </c>
      <c r="AD14" s="15" t="s">
        <v>28</v>
      </c>
      <c r="AE14" s="15" t="s">
        <v>28</v>
      </c>
      <c r="AG14" s="107"/>
    </row>
    <row r="15" spans="2:33" ht="5.0999999999999996" customHeight="1">
      <c r="B15" s="16"/>
      <c r="C15" s="17"/>
      <c r="D15" s="17"/>
      <c r="E15" s="17"/>
      <c r="F15" s="17"/>
      <c r="G15" s="18"/>
      <c r="H15" s="19"/>
      <c r="I15" s="19"/>
      <c r="J15" s="19"/>
      <c r="K15" s="19"/>
      <c r="L15" s="19"/>
      <c r="M15" s="19"/>
      <c r="N15" s="19"/>
      <c r="O15" s="20"/>
      <c r="P15" s="19"/>
      <c r="Q15" s="19"/>
      <c r="R15" s="19"/>
      <c r="S15" s="19"/>
      <c r="T15" s="19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G15" s="107"/>
    </row>
    <row r="16" spans="2:33" ht="12.75" customHeight="1">
      <c r="B16" s="21" t="s">
        <v>29</v>
      </c>
      <c r="C16" s="80"/>
      <c r="D16" s="80"/>
      <c r="E16" s="80"/>
      <c r="F16" s="80"/>
      <c r="G16" s="1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5"/>
      <c r="V16" s="131">
        <f t="shared" ref="V16" si="22">SUM(H16:K16)</f>
        <v>0</v>
      </c>
      <c r="W16" s="131">
        <f t="shared" ref="W16" si="23">SUM(I16:L16)</f>
        <v>0</v>
      </c>
      <c r="X16" s="131">
        <f t="shared" ref="X16" si="24">SUM(J16:M16)</f>
        <v>0</v>
      </c>
      <c r="Y16" s="131">
        <f t="shared" ref="Y16" si="25">SUM(K16:N16)</f>
        <v>0</v>
      </c>
      <c r="Z16" s="131">
        <f t="shared" ref="Z16" si="26">SUM(L16:O16)</f>
        <v>0</v>
      </c>
      <c r="AA16" s="131">
        <f t="shared" ref="AA16" si="27">SUM(M16:P16)</f>
        <v>0</v>
      </c>
      <c r="AB16" s="131">
        <f t="shared" ref="AB16" si="28">SUM(N16:Q16)</f>
        <v>0</v>
      </c>
      <c r="AC16" s="131">
        <f t="shared" ref="AC16" si="29">SUM(O16:R16)</f>
        <v>0</v>
      </c>
      <c r="AD16" s="131">
        <f t="shared" ref="AD16" si="30">SUM(P16:S16)</f>
        <v>0</v>
      </c>
      <c r="AE16" s="131">
        <f>SUM(Q16:T16)</f>
        <v>0</v>
      </c>
      <c r="AG16" s="108" t="e">
        <f>SUM(AE16/AA16)-1</f>
        <v>#DIV/0!</v>
      </c>
    </row>
    <row r="17" spans="2:33" ht="12.75" customHeight="1">
      <c r="B17" s="23" t="s">
        <v>20</v>
      </c>
      <c r="C17" s="24">
        <f t="shared" ref="C17:F17" si="31">SUM(C12+SUM(C16:C16))</f>
        <v>0</v>
      </c>
      <c r="D17" s="24">
        <f t="shared" si="31"/>
        <v>0</v>
      </c>
      <c r="E17" s="24">
        <f t="shared" si="31"/>
        <v>0</v>
      </c>
      <c r="F17" s="24">
        <f t="shared" si="31"/>
        <v>0</v>
      </c>
      <c r="G17" s="5"/>
      <c r="H17" s="24">
        <f>SUM(H12+SUM(H16:H16))</f>
        <v>0</v>
      </c>
      <c r="I17" s="24">
        <f>SUM(I12+SUM(I16:I16))</f>
        <v>0</v>
      </c>
      <c r="J17" s="24">
        <f>SUM(J12+SUM(J16:J16))</f>
        <v>0</v>
      </c>
      <c r="K17" s="24">
        <f>SUM(K12+SUM(K16:K16))</f>
        <v>0</v>
      </c>
      <c r="L17" s="24">
        <f t="shared" ref="L17:Q17" si="32">SUM(L12+SUM(L16:L16))</f>
        <v>0</v>
      </c>
      <c r="M17" s="24">
        <f t="shared" si="32"/>
        <v>0</v>
      </c>
      <c r="N17" s="24">
        <f t="shared" si="32"/>
        <v>0</v>
      </c>
      <c r="O17" s="24">
        <f t="shared" si="32"/>
        <v>0</v>
      </c>
      <c r="P17" s="24">
        <f t="shared" si="32"/>
        <v>0</v>
      </c>
      <c r="Q17" s="24">
        <f t="shared" si="32"/>
        <v>0</v>
      </c>
      <c r="R17" s="24">
        <f t="shared" ref="R17:S17" si="33">SUM(R12+SUM(R16:R16))</f>
        <v>0</v>
      </c>
      <c r="S17" s="24">
        <f t="shared" si="33"/>
        <v>0</v>
      </c>
      <c r="T17" s="24">
        <f t="shared" ref="T17" si="34">SUM(T12+SUM(T16:T16))</f>
        <v>0</v>
      </c>
      <c r="U17" s="5"/>
      <c r="V17" s="24">
        <f t="shared" ref="V17" si="35">SUM(V12+SUM(V16:V16))</f>
        <v>0</v>
      </c>
      <c r="W17" s="24">
        <f t="shared" ref="W17:AE17" si="36">SUM(W12+SUM(W16:W16))</f>
        <v>0</v>
      </c>
      <c r="X17" s="24">
        <f t="shared" si="36"/>
        <v>0</v>
      </c>
      <c r="Y17" s="24">
        <f t="shared" si="36"/>
        <v>0</v>
      </c>
      <c r="Z17" s="24">
        <f t="shared" si="36"/>
        <v>0</v>
      </c>
      <c r="AA17" s="24">
        <f t="shared" si="36"/>
        <v>0</v>
      </c>
      <c r="AB17" s="24">
        <f t="shared" si="36"/>
        <v>0</v>
      </c>
      <c r="AC17" s="24">
        <f t="shared" si="36"/>
        <v>0</v>
      </c>
      <c r="AD17" s="24">
        <f t="shared" si="36"/>
        <v>0</v>
      </c>
      <c r="AE17" s="24">
        <f t="shared" si="36"/>
        <v>0</v>
      </c>
      <c r="AG17" s="109" t="e">
        <f>SUM(AE17/AA17)-1</f>
        <v>#DIV/0!</v>
      </c>
    </row>
    <row r="18" spans="2:33" ht="12.75" customHeight="1">
      <c r="B18" s="14" t="s">
        <v>30</v>
      </c>
      <c r="C18" s="15" t="e">
        <f t="shared" ref="C18:F18" si="37">C17/C12</f>
        <v>#DIV/0!</v>
      </c>
      <c r="D18" s="15" t="e">
        <f t="shared" si="37"/>
        <v>#DIV/0!</v>
      </c>
      <c r="E18" s="15" t="e">
        <f t="shared" si="37"/>
        <v>#DIV/0!</v>
      </c>
      <c r="F18" s="15" t="e">
        <f t="shared" si="37"/>
        <v>#DIV/0!</v>
      </c>
      <c r="G18" s="25"/>
      <c r="H18" s="15" t="e">
        <f>H17/H12</f>
        <v>#DIV/0!</v>
      </c>
      <c r="I18" s="15" t="e">
        <f>I17/I12</f>
        <v>#DIV/0!</v>
      </c>
      <c r="J18" s="15" t="e">
        <f>J17/J12</f>
        <v>#DIV/0!</v>
      </c>
      <c r="K18" s="15" t="e">
        <f>K17/K12</f>
        <v>#DIV/0!</v>
      </c>
      <c r="L18" s="15" t="e">
        <f t="shared" ref="L18:Q18" si="38">L17/L12</f>
        <v>#DIV/0!</v>
      </c>
      <c r="M18" s="15" t="e">
        <f t="shared" si="38"/>
        <v>#DIV/0!</v>
      </c>
      <c r="N18" s="15" t="e">
        <f t="shared" si="38"/>
        <v>#DIV/0!</v>
      </c>
      <c r="O18" s="15" t="e">
        <f t="shared" si="38"/>
        <v>#DIV/0!</v>
      </c>
      <c r="P18" s="15" t="e">
        <f t="shared" si="38"/>
        <v>#DIV/0!</v>
      </c>
      <c r="Q18" s="15" t="e">
        <f t="shared" si="38"/>
        <v>#DIV/0!</v>
      </c>
      <c r="R18" s="15" t="e">
        <f t="shared" ref="R18:S18" si="39">R17/R12</f>
        <v>#DIV/0!</v>
      </c>
      <c r="S18" s="15" t="e">
        <f t="shared" si="39"/>
        <v>#DIV/0!</v>
      </c>
      <c r="T18" s="15" t="e">
        <f t="shared" ref="T18" si="40">T17/T12</f>
        <v>#DIV/0!</v>
      </c>
      <c r="U18" s="26"/>
      <c r="V18" s="15" t="e">
        <f t="shared" ref="V18" si="41">V17/V12</f>
        <v>#DIV/0!</v>
      </c>
      <c r="W18" s="15" t="e">
        <f t="shared" ref="W18:AE18" si="42">W17/W12</f>
        <v>#DIV/0!</v>
      </c>
      <c r="X18" s="15" t="e">
        <f t="shared" si="42"/>
        <v>#DIV/0!</v>
      </c>
      <c r="Y18" s="15" t="e">
        <f t="shared" si="42"/>
        <v>#DIV/0!</v>
      </c>
      <c r="Z18" s="15" t="e">
        <f t="shared" si="42"/>
        <v>#DIV/0!</v>
      </c>
      <c r="AA18" s="15" t="e">
        <f t="shared" si="42"/>
        <v>#DIV/0!</v>
      </c>
      <c r="AB18" s="15" t="e">
        <f t="shared" si="42"/>
        <v>#DIV/0!</v>
      </c>
      <c r="AC18" s="15" t="e">
        <f t="shared" si="42"/>
        <v>#DIV/0!</v>
      </c>
      <c r="AD18" s="15" t="e">
        <f t="shared" si="42"/>
        <v>#DIV/0!</v>
      </c>
      <c r="AE18" s="15" t="e">
        <f t="shared" si="42"/>
        <v>#DIV/0!</v>
      </c>
      <c r="AG18" s="110" t="e">
        <f>SUM(AE18-AA18)*10000</f>
        <v>#DIV/0!</v>
      </c>
    </row>
    <row r="19" spans="2:33" ht="5.0999999999999996" customHeight="1"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5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G19" s="107"/>
    </row>
    <row r="20" spans="2:33" ht="12.75" customHeight="1">
      <c r="B20" s="21" t="s">
        <v>110</v>
      </c>
      <c r="C20" s="132"/>
      <c r="D20" s="132"/>
      <c r="E20" s="132"/>
      <c r="F20" s="132"/>
      <c r="G20" s="80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5"/>
      <c r="V20" s="131">
        <f t="shared" ref="V20:V24" si="43">SUM(H20:K20)</f>
        <v>0</v>
      </c>
      <c r="W20" s="131">
        <f t="shared" ref="W20:W24" si="44">SUM(I20:L20)</f>
        <v>0</v>
      </c>
      <c r="X20" s="131">
        <f t="shared" ref="X20:X24" si="45">SUM(J20:M20)</f>
        <v>0</v>
      </c>
      <c r="Y20" s="131">
        <f t="shared" ref="Y20:Y24" si="46">SUM(K20:N20)</f>
        <v>0</v>
      </c>
      <c r="Z20" s="131">
        <f t="shared" ref="Z20:Z24" si="47">SUM(L20:O20)</f>
        <v>0</v>
      </c>
      <c r="AA20" s="131">
        <f t="shared" ref="AA20:AA24" si="48">SUM(M20:P20)</f>
        <v>0</v>
      </c>
      <c r="AB20" s="131">
        <f t="shared" ref="AB20:AB24" si="49">SUM(N20:Q20)</f>
        <v>0</v>
      </c>
      <c r="AC20" s="131">
        <f t="shared" ref="AC20:AC24" si="50">SUM(O20:R20)</f>
        <v>0</v>
      </c>
      <c r="AD20" s="131">
        <f t="shared" ref="AD20:AD24" si="51">SUM(P20:S20)</f>
        <v>0</v>
      </c>
      <c r="AE20" s="131">
        <f t="shared" ref="AE20:AE24" si="52">SUM(Q20:T20)</f>
        <v>0</v>
      </c>
      <c r="AG20" s="108" t="e">
        <f>SUM(AE20/AA20)-1</f>
        <v>#DIV/0!</v>
      </c>
    </row>
    <row r="21" spans="2:33" ht="12.75" customHeight="1">
      <c r="B21" s="21" t="s">
        <v>110</v>
      </c>
      <c r="C21" s="132"/>
      <c r="D21" s="132"/>
      <c r="E21" s="132"/>
      <c r="F21" s="132"/>
      <c r="G21" s="80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5"/>
      <c r="V21" s="131">
        <f t="shared" ref="V21:V23" si="53">SUM(H21:K21)</f>
        <v>0</v>
      </c>
      <c r="W21" s="131">
        <f t="shared" ref="W21:W23" si="54">SUM(I21:L21)</f>
        <v>0</v>
      </c>
      <c r="X21" s="131">
        <f t="shared" ref="X21:X23" si="55">SUM(J21:M21)</f>
        <v>0</v>
      </c>
      <c r="Y21" s="131">
        <f t="shared" ref="Y21:Y23" si="56">SUM(K21:N21)</f>
        <v>0</v>
      </c>
      <c r="Z21" s="131">
        <f t="shared" ref="Z21:Z23" si="57">SUM(L21:O21)</f>
        <v>0</v>
      </c>
      <c r="AA21" s="131">
        <f t="shared" ref="AA21:AA23" si="58">SUM(M21:P21)</f>
        <v>0</v>
      </c>
      <c r="AB21" s="131">
        <f t="shared" ref="AB21:AB23" si="59">SUM(N21:Q21)</f>
        <v>0</v>
      </c>
      <c r="AC21" s="131">
        <f t="shared" ref="AC21:AC23" si="60">SUM(O21:R21)</f>
        <v>0</v>
      </c>
      <c r="AD21" s="131">
        <f t="shared" ref="AD21:AD23" si="61">SUM(P21:S21)</f>
        <v>0</v>
      </c>
      <c r="AE21" s="131">
        <f t="shared" ref="AE21:AE23" si="62">SUM(Q21:T21)</f>
        <v>0</v>
      </c>
      <c r="AG21" s="108" t="e">
        <f t="shared" ref="AG21:AG23" si="63">SUM(AE21/AA21)-1</f>
        <v>#DIV/0!</v>
      </c>
    </row>
    <row r="22" spans="2:33" ht="12.75" customHeight="1">
      <c r="B22" s="21" t="s">
        <v>110</v>
      </c>
      <c r="C22" s="132"/>
      <c r="D22" s="132"/>
      <c r="E22" s="132"/>
      <c r="F22" s="132"/>
      <c r="G22" s="80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5"/>
      <c r="V22" s="131">
        <f t="shared" si="53"/>
        <v>0</v>
      </c>
      <c r="W22" s="131">
        <f t="shared" si="54"/>
        <v>0</v>
      </c>
      <c r="X22" s="131">
        <f t="shared" si="55"/>
        <v>0</v>
      </c>
      <c r="Y22" s="131">
        <f t="shared" si="56"/>
        <v>0</v>
      </c>
      <c r="Z22" s="131">
        <f t="shared" si="57"/>
        <v>0</v>
      </c>
      <c r="AA22" s="131">
        <f t="shared" si="58"/>
        <v>0</v>
      </c>
      <c r="AB22" s="131">
        <f t="shared" si="59"/>
        <v>0</v>
      </c>
      <c r="AC22" s="131">
        <f t="shared" si="60"/>
        <v>0</v>
      </c>
      <c r="AD22" s="131">
        <f t="shared" si="61"/>
        <v>0</v>
      </c>
      <c r="AE22" s="131">
        <f t="shared" si="62"/>
        <v>0</v>
      </c>
      <c r="AG22" s="108" t="e">
        <f t="shared" si="63"/>
        <v>#DIV/0!</v>
      </c>
    </row>
    <row r="23" spans="2:33" ht="12.75" customHeight="1">
      <c r="B23" s="21" t="s">
        <v>110</v>
      </c>
      <c r="C23" s="132"/>
      <c r="D23" s="132"/>
      <c r="E23" s="132"/>
      <c r="F23" s="132"/>
      <c r="G23" s="80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5"/>
      <c r="V23" s="131">
        <f t="shared" si="53"/>
        <v>0</v>
      </c>
      <c r="W23" s="131">
        <f t="shared" si="54"/>
        <v>0</v>
      </c>
      <c r="X23" s="131">
        <f t="shared" si="55"/>
        <v>0</v>
      </c>
      <c r="Y23" s="131">
        <f t="shared" si="56"/>
        <v>0</v>
      </c>
      <c r="Z23" s="131">
        <f t="shared" si="57"/>
        <v>0</v>
      </c>
      <c r="AA23" s="131">
        <f t="shared" si="58"/>
        <v>0</v>
      </c>
      <c r="AB23" s="131">
        <f t="shared" si="59"/>
        <v>0</v>
      </c>
      <c r="AC23" s="131">
        <f t="shared" si="60"/>
        <v>0</v>
      </c>
      <c r="AD23" s="131">
        <f t="shared" si="61"/>
        <v>0</v>
      </c>
      <c r="AE23" s="131">
        <f t="shared" si="62"/>
        <v>0</v>
      </c>
      <c r="AG23" s="108" t="e">
        <f t="shared" si="63"/>
        <v>#DIV/0!</v>
      </c>
    </row>
    <row r="24" spans="2:33" ht="12.75" customHeight="1">
      <c r="B24" s="21" t="s">
        <v>110</v>
      </c>
      <c r="C24" s="132"/>
      <c r="D24" s="132"/>
      <c r="E24" s="132"/>
      <c r="F24" s="132"/>
      <c r="G24" s="80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5"/>
      <c r="V24" s="131">
        <f t="shared" si="43"/>
        <v>0</v>
      </c>
      <c r="W24" s="131">
        <f t="shared" si="44"/>
        <v>0</v>
      </c>
      <c r="X24" s="131">
        <f t="shared" si="45"/>
        <v>0</v>
      </c>
      <c r="Y24" s="131">
        <f t="shared" si="46"/>
        <v>0</v>
      </c>
      <c r="Z24" s="131">
        <f t="shared" si="47"/>
        <v>0</v>
      </c>
      <c r="AA24" s="131">
        <f t="shared" si="48"/>
        <v>0</v>
      </c>
      <c r="AB24" s="131">
        <f t="shared" si="49"/>
        <v>0</v>
      </c>
      <c r="AC24" s="131">
        <f t="shared" si="50"/>
        <v>0</v>
      </c>
      <c r="AD24" s="131">
        <f t="shared" si="51"/>
        <v>0</v>
      </c>
      <c r="AE24" s="131">
        <f t="shared" si="52"/>
        <v>0</v>
      </c>
      <c r="AG24" s="108" t="e">
        <f>SUM(AE24/AA24)-1</f>
        <v>#DIV/0!</v>
      </c>
    </row>
    <row r="25" spans="2:33" ht="12.75" customHeight="1">
      <c r="B25" s="12" t="s">
        <v>31</v>
      </c>
      <c r="C25" s="13">
        <f>SUM(C17+SUM(C20:C24))</f>
        <v>0</v>
      </c>
      <c r="D25" s="13">
        <f>SUM(D17+SUM(D20:D24))</f>
        <v>0</v>
      </c>
      <c r="E25" s="13">
        <f>SUM(E17+SUM(E20:E24))</f>
        <v>0</v>
      </c>
      <c r="F25" s="13">
        <f>SUM(F17+SUM(F20:F24))</f>
        <v>0</v>
      </c>
      <c r="G25" s="11"/>
      <c r="H25" s="13">
        <f t="shared" ref="H25:S25" si="64">SUM(H17+SUM(H20:H24))</f>
        <v>0</v>
      </c>
      <c r="I25" s="13">
        <f t="shared" si="64"/>
        <v>0</v>
      </c>
      <c r="J25" s="13">
        <f t="shared" si="64"/>
        <v>0</v>
      </c>
      <c r="K25" s="13">
        <f t="shared" si="64"/>
        <v>0</v>
      </c>
      <c r="L25" s="13">
        <f t="shared" si="64"/>
        <v>0</v>
      </c>
      <c r="M25" s="13">
        <f t="shared" si="64"/>
        <v>0</v>
      </c>
      <c r="N25" s="13">
        <f t="shared" si="64"/>
        <v>0</v>
      </c>
      <c r="O25" s="13">
        <f t="shared" si="64"/>
        <v>0</v>
      </c>
      <c r="P25" s="13">
        <f t="shared" si="64"/>
        <v>0</v>
      </c>
      <c r="Q25" s="13">
        <f t="shared" si="64"/>
        <v>0</v>
      </c>
      <c r="R25" s="13">
        <f t="shared" si="64"/>
        <v>0</v>
      </c>
      <c r="S25" s="13">
        <f t="shared" si="64"/>
        <v>0</v>
      </c>
      <c r="T25" s="13">
        <f t="shared" ref="T25" si="65">SUM(T17+SUM(T20:T24))</f>
        <v>0</v>
      </c>
      <c r="U25" s="5"/>
      <c r="V25" s="13">
        <f t="shared" ref="V25:AE25" si="66">SUM(V17+SUM(V20:V24))</f>
        <v>0</v>
      </c>
      <c r="W25" s="13">
        <f t="shared" si="66"/>
        <v>0</v>
      </c>
      <c r="X25" s="13">
        <f t="shared" si="66"/>
        <v>0</v>
      </c>
      <c r="Y25" s="13">
        <f t="shared" si="66"/>
        <v>0</v>
      </c>
      <c r="Z25" s="13">
        <f t="shared" si="66"/>
        <v>0</v>
      </c>
      <c r="AA25" s="13">
        <f t="shared" si="66"/>
        <v>0</v>
      </c>
      <c r="AB25" s="13">
        <f t="shared" si="66"/>
        <v>0</v>
      </c>
      <c r="AC25" s="13">
        <f t="shared" si="66"/>
        <v>0</v>
      </c>
      <c r="AD25" s="13">
        <f t="shared" si="66"/>
        <v>0</v>
      </c>
      <c r="AE25" s="13">
        <f t="shared" si="66"/>
        <v>0</v>
      </c>
      <c r="AG25" s="109" t="e">
        <f>SUM(AE25/AA25)-1</f>
        <v>#DIV/0!</v>
      </c>
    </row>
    <row r="26" spans="2:33" ht="12.75" customHeight="1">
      <c r="B26" s="14" t="s">
        <v>32</v>
      </c>
      <c r="C26" s="15" t="e">
        <f>C25/C12</f>
        <v>#DIV/0!</v>
      </c>
      <c r="D26" s="15" t="e">
        <f>D25/D12</f>
        <v>#DIV/0!</v>
      </c>
      <c r="E26" s="15" t="e">
        <f>E25/E12</f>
        <v>#DIV/0!</v>
      </c>
      <c r="F26" s="15" t="e">
        <f>F25/F12</f>
        <v>#DIV/0!</v>
      </c>
      <c r="G26" s="25"/>
      <c r="H26" s="15" t="e">
        <f t="shared" ref="H26:S26" si="67">H25/H12</f>
        <v>#DIV/0!</v>
      </c>
      <c r="I26" s="15" t="e">
        <f t="shared" si="67"/>
        <v>#DIV/0!</v>
      </c>
      <c r="J26" s="15" t="e">
        <f t="shared" si="67"/>
        <v>#DIV/0!</v>
      </c>
      <c r="K26" s="15" t="e">
        <f t="shared" si="67"/>
        <v>#DIV/0!</v>
      </c>
      <c r="L26" s="15" t="e">
        <f t="shared" si="67"/>
        <v>#DIV/0!</v>
      </c>
      <c r="M26" s="15" t="e">
        <f t="shared" si="67"/>
        <v>#DIV/0!</v>
      </c>
      <c r="N26" s="15" t="e">
        <f t="shared" si="67"/>
        <v>#DIV/0!</v>
      </c>
      <c r="O26" s="15" t="e">
        <f t="shared" si="67"/>
        <v>#DIV/0!</v>
      </c>
      <c r="P26" s="15" t="e">
        <f t="shared" si="67"/>
        <v>#DIV/0!</v>
      </c>
      <c r="Q26" s="15" t="e">
        <f t="shared" si="67"/>
        <v>#DIV/0!</v>
      </c>
      <c r="R26" s="15" t="e">
        <f t="shared" si="67"/>
        <v>#DIV/0!</v>
      </c>
      <c r="S26" s="15" t="e">
        <f t="shared" si="67"/>
        <v>#DIV/0!</v>
      </c>
      <c r="T26" s="15" t="e">
        <f t="shared" ref="T26" si="68">T25/T12</f>
        <v>#DIV/0!</v>
      </c>
      <c r="U26" s="26"/>
      <c r="V26" s="15" t="e">
        <f t="shared" ref="V26:AE26" si="69">V25/V12</f>
        <v>#DIV/0!</v>
      </c>
      <c r="W26" s="15" t="e">
        <f t="shared" si="69"/>
        <v>#DIV/0!</v>
      </c>
      <c r="X26" s="15" t="e">
        <f t="shared" si="69"/>
        <v>#DIV/0!</v>
      </c>
      <c r="Y26" s="15" t="e">
        <f t="shared" si="69"/>
        <v>#DIV/0!</v>
      </c>
      <c r="Z26" s="15" t="e">
        <f t="shared" si="69"/>
        <v>#DIV/0!</v>
      </c>
      <c r="AA26" s="15" t="e">
        <f t="shared" si="69"/>
        <v>#DIV/0!</v>
      </c>
      <c r="AB26" s="15" t="e">
        <f t="shared" si="69"/>
        <v>#DIV/0!</v>
      </c>
      <c r="AC26" s="15" t="e">
        <f t="shared" si="69"/>
        <v>#DIV/0!</v>
      </c>
      <c r="AD26" s="15" t="e">
        <f t="shared" si="69"/>
        <v>#DIV/0!</v>
      </c>
      <c r="AE26" s="15" t="e">
        <f t="shared" si="69"/>
        <v>#DIV/0!</v>
      </c>
      <c r="AG26" s="110" t="e">
        <f>SUM(AE26-AA26)*10000</f>
        <v>#DIV/0!</v>
      </c>
    </row>
    <row r="27" spans="2:33" ht="5.0999999999999996" customHeight="1">
      <c r="AG27" s="107"/>
    </row>
    <row r="28" spans="2:33" ht="12.75" customHeight="1">
      <c r="B28" s="29" t="s">
        <v>94</v>
      </c>
      <c r="C28" s="132"/>
      <c r="D28" s="132"/>
      <c r="E28" s="132"/>
      <c r="F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V28" s="131">
        <f t="shared" ref="V28" si="70">SUM(H28:K28)</f>
        <v>0</v>
      </c>
      <c r="W28" s="131">
        <f t="shared" ref="W28" si="71">SUM(I28:L28)</f>
        <v>0</v>
      </c>
      <c r="X28" s="131">
        <f t="shared" ref="X28" si="72">SUM(J28:M28)</f>
        <v>0</v>
      </c>
      <c r="Y28" s="131">
        <f t="shared" ref="Y28" si="73">SUM(K28:N28)</f>
        <v>0</v>
      </c>
      <c r="Z28" s="131">
        <f t="shared" ref="Z28" si="74">SUM(L28:O28)</f>
        <v>0</v>
      </c>
      <c r="AA28" s="131">
        <f t="shared" ref="AA28" si="75">SUM(M28:P28)</f>
        <v>0</v>
      </c>
      <c r="AB28" s="131">
        <f t="shared" ref="AB28" si="76">SUM(N28:Q28)</f>
        <v>0</v>
      </c>
      <c r="AC28" s="131">
        <f t="shared" ref="AC28" si="77">SUM(O28:R28)</f>
        <v>0</v>
      </c>
      <c r="AD28" s="131">
        <f t="shared" ref="AD28" si="78">SUM(P28:S28)</f>
        <v>0</v>
      </c>
      <c r="AE28" s="131">
        <f>SUM(Q28:T28)</f>
        <v>0</v>
      </c>
      <c r="AG28" s="108" t="e">
        <f>SUM(AE28/AA28)-1</f>
        <v>#DIV/0!</v>
      </c>
    </row>
    <row r="29" spans="2:33" ht="12.75" customHeight="1">
      <c r="B29" s="23" t="s">
        <v>11</v>
      </c>
      <c r="C29" s="24">
        <f t="shared" ref="C29:F29" si="79">SUM(C25+SUM(C28:C28))</f>
        <v>0</v>
      </c>
      <c r="D29" s="24">
        <f t="shared" si="79"/>
        <v>0</v>
      </c>
      <c r="E29" s="24">
        <f t="shared" si="79"/>
        <v>0</v>
      </c>
      <c r="F29" s="24">
        <f t="shared" si="79"/>
        <v>0</v>
      </c>
      <c r="H29" s="24">
        <f t="shared" ref="H29:Q29" si="80">SUM(H25+SUM(H28:H28))</f>
        <v>0</v>
      </c>
      <c r="I29" s="24">
        <f t="shared" si="80"/>
        <v>0</v>
      </c>
      <c r="J29" s="24">
        <f t="shared" si="80"/>
        <v>0</v>
      </c>
      <c r="K29" s="24">
        <f t="shared" si="80"/>
        <v>0</v>
      </c>
      <c r="L29" s="24">
        <f t="shared" si="80"/>
        <v>0</v>
      </c>
      <c r="M29" s="24">
        <f t="shared" si="80"/>
        <v>0</v>
      </c>
      <c r="N29" s="24">
        <f t="shared" si="80"/>
        <v>0</v>
      </c>
      <c r="O29" s="24">
        <f t="shared" si="80"/>
        <v>0</v>
      </c>
      <c r="P29" s="24">
        <f t="shared" si="80"/>
        <v>0</v>
      </c>
      <c r="Q29" s="24">
        <f t="shared" si="80"/>
        <v>0</v>
      </c>
      <c r="R29" s="24">
        <f t="shared" ref="R29:S29" si="81">SUM(R25+SUM(R28:R28))</f>
        <v>0</v>
      </c>
      <c r="S29" s="24">
        <f t="shared" si="81"/>
        <v>0</v>
      </c>
      <c r="T29" s="24">
        <f t="shared" ref="T29" si="82">SUM(T25+SUM(T28:T28))</f>
        <v>0</v>
      </c>
      <c r="V29" s="24">
        <f t="shared" ref="V29" si="83">SUM(V25+SUM(V28:V28))</f>
        <v>0</v>
      </c>
      <c r="W29" s="24">
        <f t="shared" ref="W29:AE29" si="84">SUM(W25+SUM(W28:W28))</f>
        <v>0</v>
      </c>
      <c r="X29" s="24">
        <f t="shared" si="84"/>
        <v>0</v>
      </c>
      <c r="Y29" s="24">
        <f t="shared" si="84"/>
        <v>0</v>
      </c>
      <c r="Z29" s="24">
        <f t="shared" si="84"/>
        <v>0</v>
      </c>
      <c r="AA29" s="24">
        <f t="shared" si="84"/>
        <v>0</v>
      </c>
      <c r="AB29" s="24">
        <f t="shared" si="84"/>
        <v>0</v>
      </c>
      <c r="AC29" s="24">
        <f t="shared" si="84"/>
        <v>0</v>
      </c>
      <c r="AD29" s="24">
        <f t="shared" si="84"/>
        <v>0</v>
      </c>
      <c r="AE29" s="24">
        <f t="shared" si="84"/>
        <v>0</v>
      </c>
      <c r="AG29" s="109" t="e">
        <f>SUM(AE29/AA29)-1</f>
        <v>#DIV/0!</v>
      </c>
    </row>
    <row r="30" spans="2:33" ht="12.75" customHeight="1">
      <c r="B30" s="14" t="s">
        <v>33</v>
      </c>
      <c r="C30" s="15" t="e">
        <f>C29/C12</f>
        <v>#DIV/0!</v>
      </c>
      <c r="D30" s="15" t="e">
        <f>D29/D12</f>
        <v>#DIV/0!</v>
      </c>
      <c r="E30" s="15" t="e">
        <f>E29/E12</f>
        <v>#DIV/0!</v>
      </c>
      <c r="F30" s="15" t="e">
        <f>F29/F12</f>
        <v>#DIV/0!</v>
      </c>
      <c r="H30" s="15" t="e">
        <f t="shared" ref="H30:S30" si="85">H29/H12</f>
        <v>#DIV/0!</v>
      </c>
      <c r="I30" s="15" t="e">
        <f t="shared" si="85"/>
        <v>#DIV/0!</v>
      </c>
      <c r="J30" s="15" t="e">
        <f t="shared" si="85"/>
        <v>#DIV/0!</v>
      </c>
      <c r="K30" s="15" t="e">
        <f t="shared" si="85"/>
        <v>#DIV/0!</v>
      </c>
      <c r="L30" s="15" t="e">
        <f t="shared" si="85"/>
        <v>#DIV/0!</v>
      </c>
      <c r="M30" s="15" t="e">
        <f t="shared" si="85"/>
        <v>#DIV/0!</v>
      </c>
      <c r="N30" s="15" t="e">
        <f t="shared" si="85"/>
        <v>#DIV/0!</v>
      </c>
      <c r="O30" s="15" t="e">
        <f t="shared" si="85"/>
        <v>#DIV/0!</v>
      </c>
      <c r="P30" s="15" t="e">
        <f t="shared" si="85"/>
        <v>#DIV/0!</v>
      </c>
      <c r="Q30" s="15" t="e">
        <f t="shared" si="85"/>
        <v>#DIV/0!</v>
      </c>
      <c r="R30" s="15" t="e">
        <f t="shared" si="85"/>
        <v>#DIV/0!</v>
      </c>
      <c r="S30" s="15" t="e">
        <f t="shared" si="85"/>
        <v>#DIV/0!</v>
      </c>
      <c r="T30" s="15" t="e">
        <f t="shared" ref="T30" si="86">T29/T12</f>
        <v>#DIV/0!</v>
      </c>
      <c r="V30" s="15" t="e">
        <f t="shared" ref="V30:AE30" si="87">V29/V12</f>
        <v>#DIV/0!</v>
      </c>
      <c r="W30" s="15" t="e">
        <f t="shared" si="87"/>
        <v>#DIV/0!</v>
      </c>
      <c r="X30" s="15" t="e">
        <f t="shared" si="87"/>
        <v>#DIV/0!</v>
      </c>
      <c r="Y30" s="15" t="e">
        <f t="shared" si="87"/>
        <v>#DIV/0!</v>
      </c>
      <c r="Z30" s="15" t="e">
        <f t="shared" si="87"/>
        <v>#DIV/0!</v>
      </c>
      <c r="AA30" s="15" t="e">
        <f t="shared" si="87"/>
        <v>#DIV/0!</v>
      </c>
      <c r="AB30" s="15" t="e">
        <f t="shared" si="87"/>
        <v>#DIV/0!</v>
      </c>
      <c r="AC30" s="15" t="e">
        <f t="shared" si="87"/>
        <v>#DIV/0!</v>
      </c>
      <c r="AD30" s="15" t="e">
        <f t="shared" si="87"/>
        <v>#DIV/0!</v>
      </c>
      <c r="AE30" s="15" t="e">
        <f t="shared" si="87"/>
        <v>#DIV/0!</v>
      </c>
      <c r="AG30" s="110" t="e">
        <f>SUM(AE30-AA30)*10000</f>
        <v>#DIV/0!</v>
      </c>
    </row>
    <row r="31" spans="2:33" ht="5.0999999999999996" customHeight="1">
      <c r="AG31" s="107"/>
    </row>
    <row r="32" spans="2:33" ht="12.75" customHeight="1">
      <c r="B32" s="29" t="s">
        <v>95</v>
      </c>
      <c r="C32" s="132"/>
      <c r="D32" s="132"/>
      <c r="E32" s="132"/>
      <c r="F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V32" s="131">
        <f t="shared" ref="V32:V33" si="88">SUM(H32:K32)</f>
        <v>0</v>
      </c>
      <c r="W32" s="131">
        <f t="shared" ref="W32:W33" si="89">SUM(I32:L32)</f>
        <v>0</v>
      </c>
      <c r="X32" s="131">
        <f t="shared" ref="X32:X33" si="90">SUM(J32:M32)</f>
        <v>0</v>
      </c>
      <c r="Y32" s="131">
        <f t="shared" ref="Y32:Y33" si="91">SUM(K32:N32)</f>
        <v>0</v>
      </c>
      <c r="Z32" s="131">
        <f t="shared" ref="Z32:Z33" si="92">SUM(L32:O32)</f>
        <v>0</v>
      </c>
      <c r="AA32" s="131">
        <f t="shared" ref="AA32:AA33" si="93">SUM(M32:P32)</f>
        <v>0</v>
      </c>
      <c r="AB32" s="131">
        <f t="shared" ref="AB32:AB33" si="94">SUM(N32:Q32)</f>
        <v>0</v>
      </c>
      <c r="AC32" s="131">
        <f t="shared" ref="AC32:AC33" si="95">SUM(O32:R32)</f>
        <v>0</v>
      </c>
      <c r="AD32" s="131">
        <f t="shared" ref="AD32:AD33" si="96">SUM(P32:S32)</f>
        <v>0</v>
      </c>
      <c r="AE32" s="131">
        <f t="shared" ref="AE32:AE33" si="97">SUM(Q32:T32)</f>
        <v>0</v>
      </c>
      <c r="AG32" s="108" t="e">
        <f>SUM(AE32/AA32)-1</f>
        <v>#DIV/0!</v>
      </c>
    </row>
    <row r="33" spans="2:33" ht="12.75" customHeight="1">
      <c r="B33" s="29" t="s">
        <v>109</v>
      </c>
      <c r="C33" s="135"/>
      <c r="D33" s="135"/>
      <c r="E33" s="135"/>
      <c r="F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V33" s="131">
        <f t="shared" si="88"/>
        <v>0</v>
      </c>
      <c r="W33" s="131">
        <f t="shared" si="89"/>
        <v>0</v>
      </c>
      <c r="X33" s="131">
        <f t="shared" si="90"/>
        <v>0</v>
      </c>
      <c r="Y33" s="131">
        <f t="shared" si="91"/>
        <v>0</v>
      </c>
      <c r="Z33" s="131">
        <f t="shared" si="92"/>
        <v>0</v>
      </c>
      <c r="AA33" s="131">
        <f t="shared" si="93"/>
        <v>0</v>
      </c>
      <c r="AB33" s="131">
        <f t="shared" si="94"/>
        <v>0</v>
      </c>
      <c r="AC33" s="131">
        <f t="shared" si="95"/>
        <v>0</v>
      </c>
      <c r="AD33" s="131">
        <f t="shared" si="96"/>
        <v>0</v>
      </c>
      <c r="AE33" s="131">
        <f t="shared" si="97"/>
        <v>0</v>
      </c>
      <c r="AG33" s="108" t="e">
        <f>SUM(AE33/AA33)-1</f>
        <v>#DIV/0!</v>
      </c>
    </row>
    <row r="34" spans="2:33" ht="12.75" customHeight="1">
      <c r="B34" s="12" t="s">
        <v>34</v>
      </c>
      <c r="C34" s="13">
        <f t="shared" ref="C34:F34" si="98">+SUM(C29+SUM(C32:C32))</f>
        <v>0</v>
      </c>
      <c r="D34" s="13">
        <f t="shared" si="98"/>
        <v>0</v>
      </c>
      <c r="E34" s="13">
        <f t="shared" si="98"/>
        <v>0</v>
      </c>
      <c r="F34" s="13">
        <f t="shared" si="98"/>
        <v>0</v>
      </c>
      <c r="G34" s="11"/>
      <c r="H34" s="13">
        <f>+SUM(H29+SUM(H32:H32))</f>
        <v>0</v>
      </c>
      <c r="I34" s="13">
        <f>+SUM(I29+SUM(I32:I32))</f>
        <v>0</v>
      </c>
      <c r="J34" s="13">
        <f>+SUM(J29+SUM(J32:J32))</f>
        <v>0</v>
      </c>
      <c r="K34" s="13">
        <f>+SUM(K29+SUM(K32:K32))</f>
        <v>0</v>
      </c>
      <c r="L34" s="13">
        <f t="shared" ref="L34:Q34" si="99">+SUM(L29+SUM(L32:L32))</f>
        <v>0</v>
      </c>
      <c r="M34" s="13">
        <f t="shared" si="99"/>
        <v>0</v>
      </c>
      <c r="N34" s="13">
        <f t="shared" si="99"/>
        <v>0</v>
      </c>
      <c r="O34" s="13">
        <f t="shared" si="99"/>
        <v>0</v>
      </c>
      <c r="P34" s="13">
        <f t="shared" si="99"/>
        <v>0</v>
      </c>
      <c r="Q34" s="13">
        <f t="shared" si="99"/>
        <v>0</v>
      </c>
      <c r="R34" s="13">
        <f t="shared" ref="R34:S34" si="100">+SUM(R29+SUM(R32:R32))</f>
        <v>0</v>
      </c>
      <c r="S34" s="13">
        <f t="shared" si="100"/>
        <v>0</v>
      </c>
      <c r="T34" s="13">
        <f t="shared" ref="T34" si="101">+SUM(T29+SUM(T32:T32))</f>
        <v>0</v>
      </c>
      <c r="V34" s="13">
        <f t="shared" ref="V34" si="102">+SUM(V29+SUM(V32:V32))</f>
        <v>0</v>
      </c>
      <c r="W34" s="13">
        <f t="shared" ref="W34:AE34" si="103">+SUM(W29+SUM(W32:W32))</f>
        <v>0</v>
      </c>
      <c r="X34" s="13">
        <f t="shared" si="103"/>
        <v>0</v>
      </c>
      <c r="Y34" s="13">
        <f t="shared" si="103"/>
        <v>0</v>
      </c>
      <c r="Z34" s="13">
        <f t="shared" si="103"/>
        <v>0</v>
      </c>
      <c r="AA34" s="13">
        <f t="shared" si="103"/>
        <v>0</v>
      </c>
      <c r="AB34" s="13">
        <f t="shared" si="103"/>
        <v>0</v>
      </c>
      <c r="AC34" s="13">
        <f t="shared" si="103"/>
        <v>0</v>
      </c>
      <c r="AD34" s="13">
        <f t="shared" si="103"/>
        <v>0</v>
      </c>
      <c r="AE34" s="13">
        <f t="shared" si="103"/>
        <v>0</v>
      </c>
      <c r="AG34" s="109" t="e">
        <f>SUM(AE34/AA34)-1</f>
        <v>#DIV/0!</v>
      </c>
    </row>
    <row r="35" spans="2:33" ht="12.75" customHeight="1">
      <c r="B35" s="14" t="s">
        <v>35</v>
      </c>
      <c r="C35" s="15" t="e">
        <f>C34/C12</f>
        <v>#DIV/0!</v>
      </c>
      <c r="D35" s="15" t="e">
        <f>D34/D12</f>
        <v>#DIV/0!</v>
      </c>
      <c r="E35" s="15" t="e">
        <f>E34/E12</f>
        <v>#DIV/0!</v>
      </c>
      <c r="F35" s="15" t="e">
        <f>F34/F12</f>
        <v>#DIV/0!</v>
      </c>
      <c r="H35" s="15" t="e">
        <f t="shared" ref="H35:S35" si="104">H34/H12</f>
        <v>#DIV/0!</v>
      </c>
      <c r="I35" s="15" t="e">
        <f t="shared" si="104"/>
        <v>#DIV/0!</v>
      </c>
      <c r="J35" s="15" t="e">
        <f t="shared" si="104"/>
        <v>#DIV/0!</v>
      </c>
      <c r="K35" s="15" t="e">
        <f t="shared" si="104"/>
        <v>#DIV/0!</v>
      </c>
      <c r="L35" s="15" t="e">
        <f t="shared" si="104"/>
        <v>#DIV/0!</v>
      </c>
      <c r="M35" s="15" t="e">
        <f t="shared" si="104"/>
        <v>#DIV/0!</v>
      </c>
      <c r="N35" s="15" t="e">
        <f t="shared" si="104"/>
        <v>#DIV/0!</v>
      </c>
      <c r="O35" s="15" t="e">
        <f t="shared" si="104"/>
        <v>#DIV/0!</v>
      </c>
      <c r="P35" s="15" t="e">
        <f t="shared" si="104"/>
        <v>#DIV/0!</v>
      </c>
      <c r="Q35" s="15" t="e">
        <f t="shared" si="104"/>
        <v>#DIV/0!</v>
      </c>
      <c r="R35" s="15" t="e">
        <f t="shared" si="104"/>
        <v>#DIV/0!</v>
      </c>
      <c r="S35" s="15" t="e">
        <f t="shared" si="104"/>
        <v>#DIV/0!</v>
      </c>
      <c r="T35" s="15" t="e">
        <f t="shared" ref="T35" si="105">T34/T12</f>
        <v>#DIV/0!</v>
      </c>
      <c r="V35" s="15" t="e">
        <f t="shared" ref="V35:AE35" si="106">V34/V12</f>
        <v>#DIV/0!</v>
      </c>
      <c r="W35" s="15" t="e">
        <f t="shared" si="106"/>
        <v>#DIV/0!</v>
      </c>
      <c r="X35" s="15" t="e">
        <f t="shared" si="106"/>
        <v>#DIV/0!</v>
      </c>
      <c r="Y35" s="15" t="e">
        <f t="shared" si="106"/>
        <v>#DIV/0!</v>
      </c>
      <c r="Z35" s="15" t="e">
        <f t="shared" si="106"/>
        <v>#DIV/0!</v>
      </c>
      <c r="AA35" s="15" t="e">
        <f t="shared" si="106"/>
        <v>#DIV/0!</v>
      </c>
      <c r="AB35" s="15" t="e">
        <f t="shared" si="106"/>
        <v>#DIV/0!</v>
      </c>
      <c r="AC35" s="15" t="e">
        <f t="shared" si="106"/>
        <v>#DIV/0!</v>
      </c>
      <c r="AD35" s="15" t="e">
        <f t="shared" si="106"/>
        <v>#DIV/0!</v>
      </c>
      <c r="AE35" s="15" t="e">
        <f t="shared" si="106"/>
        <v>#DIV/0!</v>
      </c>
      <c r="AG35" s="110" t="e">
        <f>SUM(AE35-AA35)*10000</f>
        <v>#DIV/0!</v>
      </c>
    </row>
    <row r="36" spans="2:33" ht="5.0999999999999996" customHeight="1">
      <c r="AG36" s="107"/>
    </row>
    <row r="37" spans="2:33" ht="12.75" customHeight="1">
      <c r="B37" s="21" t="s">
        <v>36</v>
      </c>
      <c r="C37" s="132"/>
      <c r="D37" s="132"/>
      <c r="E37" s="132"/>
      <c r="F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V37" s="131">
        <f t="shared" ref="V37:V41" si="107">SUM(H37:K37)</f>
        <v>0</v>
      </c>
      <c r="W37" s="131">
        <f t="shared" ref="W37:W41" si="108">SUM(I37:L37)</f>
        <v>0</v>
      </c>
      <c r="X37" s="131">
        <f t="shared" ref="X37:X41" si="109">SUM(J37:M37)</f>
        <v>0</v>
      </c>
      <c r="Y37" s="131">
        <f t="shared" ref="Y37:Y41" si="110">SUM(K37:N37)</f>
        <v>0</v>
      </c>
      <c r="Z37" s="131">
        <f t="shared" ref="Z37:Z41" si="111">SUM(L37:O37)</f>
        <v>0</v>
      </c>
      <c r="AA37" s="131">
        <f t="shared" ref="AA37:AA41" si="112">SUM(M37:P37)</f>
        <v>0</v>
      </c>
      <c r="AB37" s="131">
        <f t="shared" ref="AB37:AB41" si="113">SUM(N37:Q37)</f>
        <v>0</v>
      </c>
      <c r="AC37" s="131">
        <f t="shared" ref="AC37:AC41" si="114">SUM(O37:R37)</f>
        <v>0</v>
      </c>
      <c r="AD37" s="131">
        <f t="shared" ref="AD37:AD41" si="115">SUM(P37:S37)</f>
        <v>0</v>
      </c>
      <c r="AE37" s="131">
        <f t="shared" ref="AE37:AE41" si="116">SUM(Q37:T37)</f>
        <v>0</v>
      </c>
      <c r="AG37" s="108" t="e">
        <f t="shared" ref="AG37:AG42" si="117">SUM(AE37/AA37)-1</f>
        <v>#DIV/0!</v>
      </c>
    </row>
    <row r="38" spans="2:33" ht="12.75" customHeight="1">
      <c r="B38" s="21" t="s">
        <v>37</v>
      </c>
      <c r="C38" s="132"/>
      <c r="D38" s="132"/>
      <c r="E38" s="132"/>
      <c r="F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V38" s="131">
        <f t="shared" si="107"/>
        <v>0</v>
      </c>
      <c r="W38" s="131">
        <f t="shared" si="108"/>
        <v>0</v>
      </c>
      <c r="X38" s="131">
        <f t="shared" si="109"/>
        <v>0</v>
      </c>
      <c r="Y38" s="131">
        <f t="shared" si="110"/>
        <v>0</v>
      </c>
      <c r="Z38" s="131">
        <f t="shared" si="111"/>
        <v>0</v>
      </c>
      <c r="AA38" s="131">
        <f t="shared" si="112"/>
        <v>0</v>
      </c>
      <c r="AB38" s="131">
        <f t="shared" si="113"/>
        <v>0</v>
      </c>
      <c r="AC38" s="131">
        <f t="shared" si="114"/>
        <v>0</v>
      </c>
      <c r="AD38" s="131">
        <f t="shared" si="115"/>
        <v>0</v>
      </c>
      <c r="AE38" s="131">
        <f t="shared" si="116"/>
        <v>0</v>
      </c>
      <c r="AG38" s="108" t="e">
        <f t="shared" si="117"/>
        <v>#DIV/0!</v>
      </c>
    </row>
    <row r="39" spans="2:33" ht="12.75" customHeight="1">
      <c r="B39" s="21" t="s">
        <v>72</v>
      </c>
      <c r="C39" s="132"/>
      <c r="D39" s="132"/>
      <c r="E39" s="132"/>
      <c r="F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V39" s="131">
        <f t="shared" si="107"/>
        <v>0</v>
      </c>
      <c r="W39" s="131">
        <f t="shared" si="108"/>
        <v>0</v>
      </c>
      <c r="X39" s="131">
        <f t="shared" si="109"/>
        <v>0</v>
      </c>
      <c r="Y39" s="131">
        <f t="shared" si="110"/>
        <v>0</v>
      </c>
      <c r="Z39" s="131">
        <f t="shared" si="111"/>
        <v>0</v>
      </c>
      <c r="AA39" s="131">
        <f t="shared" si="112"/>
        <v>0</v>
      </c>
      <c r="AB39" s="131">
        <f t="shared" si="113"/>
        <v>0</v>
      </c>
      <c r="AC39" s="131">
        <f t="shared" si="114"/>
        <v>0</v>
      </c>
      <c r="AD39" s="131">
        <f t="shared" si="115"/>
        <v>0</v>
      </c>
      <c r="AE39" s="131">
        <f t="shared" si="116"/>
        <v>0</v>
      </c>
      <c r="AG39" s="108" t="e">
        <f t="shared" si="117"/>
        <v>#DIV/0!</v>
      </c>
    </row>
    <row r="40" spans="2:33" ht="12.75" customHeight="1">
      <c r="B40" s="21" t="s">
        <v>111</v>
      </c>
      <c r="C40" s="132"/>
      <c r="D40" s="132"/>
      <c r="E40" s="132"/>
      <c r="F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V40" s="131">
        <f t="shared" ref="V40" si="118">SUM(H40:K40)</f>
        <v>0</v>
      </c>
      <c r="W40" s="131">
        <f t="shared" ref="W40" si="119">SUM(I40:L40)</f>
        <v>0</v>
      </c>
      <c r="X40" s="131">
        <f t="shared" ref="X40" si="120">SUM(J40:M40)</f>
        <v>0</v>
      </c>
      <c r="Y40" s="131">
        <f t="shared" ref="Y40" si="121">SUM(K40:N40)</f>
        <v>0</v>
      </c>
      <c r="Z40" s="131">
        <f t="shared" ref="Z40" si="122">SUM(L40:O40)</f>
        <v>0</v>
      </c>
      <c r="AA40" s="131">
        <f t="shared" ref="AA40" si="123">SUM(M40:P40)</f>
        <v>0</v>
      </c>
      <c r="AB40" s="131">
        <f t="shared" ref="AB40" si="124">SUM(N40:Q40)</f>
        <v>0</v>
      </c>
      <c r="AC40" s="131">
        <f t="shared" ref="AC40" si="125">SUM(O40:R40)</f>
        <v>0</v>
      </c>
      <c r="AD40" s="131">
        <f t="shared" ref="AD40" si="126">SUM(P40:S40)</f>
        <v>0</v>
      </c>
      <c r="AE40" s="131">
        <f t="shared" ref="AE40" si="127">SUM(Q40:T40)</f>
        <v>0</v>
      </c>
      <c r="AG40" s="108" t="e">
        <f t="shared" si="117"/>
        <v>#DIV/0!</v>
      </c>
    </row>
    <row r="41" spans="2:33" ht="12.75" customHeight="1">
      <c r="B41" s="21" t="s">
        <v>38</v>
      </c>
      <c r="C41" s="132"/>
      <c r="D41" s="132"/>
      <c r="E41" s="132"/>
      <c r="F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V41" s="131">
        <f t="shared" si="107"/>
        <v>0</v>
      </c>
      <c r="W41" s="131">
        <f t="shared" si="108"/>
        <v>0</v>
      </c>
      <c r="X41" s="131">
        <f t="shared" si="109"/>
        <v>0</v>
      </c>
      <c r="Y41" s="131">
        <f t="shared" si="110"/>
        <v>0</v>
      </c>
      <c r="Z41" s="131">
        <f t="shared" si="111"/>
        <v>0</v>
      </c>
      <c r="AA41" s="131">
        <f t="shared" si="112"/>
        <v>0</v>
      </c>
      <c r="AB41" s="131">
        <f t="shared" si="113"/>
        <v>0</v>
      </c>
      <c r="AC41" s="131">
        <f t="shared" si="114"/>
        <v>0</v>
      </c>
      <c r="AD41" s="131">
        <f t="shared" si="115"/>
        <v>0</v>
      </c>
      <c r="AE41" s="131">
        <f t="shared" si="116"/>
        <v>0</v>
      </c>
      <c r="AG41" s="108" t="e">
        <f t="shared" si="117"/>
        <v>#DIV/0!</v>
      </c>
    </row>
    <row r="42" spans="2:33" ht="12.75" customHeight="1">
      <c r="B42" s="12" t="s">
        <v>39</v>
      </c>
      <c r="C42" s="13">
        <f>SUM(C34+SUM(C37:C41))</f>
        <v>0</v>
      </c>
      <c r="D42" s="13">
        <f>SUM(D34+SUM(D37:D41))</f>
        <v>0</v>
      </c>
      <c r="E42" s="13">
        <f>SUM(E34+SUM(E37:E41))</f>
        <v>0</v>
      </c>
      <c r="F42" s="13">
        <f>SUM(F34+SUM(F37:F41))</f>
        <v>0</v>
      </c>
      <c r="H42" s="13">
        <f>SUM(H34+SUM(H37:H41))</f>
        <v>0</v>
      </c>
      <c r="I42" s="13">
        <f>SUM(I34+SUM(I37:I41))</f>
        <v>0</v>
      </c>
      <c r="J42" s="13">
        <f>SUM(J34+SUM(J37:J41))</f>
        <v>0</v>
      </c>
      <c r="K42" s="13">
        <f>SUM(K34+SUM(K37:K41))</f>
        <v>0</v>
      </c>
      <c r="L42" s="13">
        <f t="shared" ref="L42:Q42" si="128">SUM(L34+SUM(L37:L41))</f>
        <v>0</v>
      </c>
      <c r="M42" s="13">
        <f t="shared" si="128"/>
        <v>0</v>
      </c>
      <c r="N42" s="13">
        <f t="shared" si="128"/>
        <v>0</v>
      </c>
      <c r="O42" s="13">
        <f t="shared" si="128"/>
        <v>0</v>
      </c>
      <c r="P42" s="13">
        <f t="shared" si="128"/>
        <v>0</v>
      </c>
      <c r="Q42" s="13">
        <f t="shared" si="128"/>
        <v>0</v>
      </c>
      <c r="R42" s="13">
        <f t="shared" ref="R42:S42" si="129">SUM(R34+SUM(R37:R41))</f>
        <v>0</v>
      </c>
      <c r="S42" s="13">
        <f t="shared" si="129"/>
        <v>0</v>
      </c>
      <c r="T42" s="13">
        <f t="shared" ref="T42" si="130">SUM(T34+SUM(T37:T41))</f>
        <v>0</v>
      </c>
      <c r="V42" s="13">
        <f t="shared" ref="V42" si="131">SUM(V34+SUM(V37:V41))</f>
        <v>0</v>
      </c>
      <c r="W42" s="13">
        <f t="shared" ref="W42:AC42" si="132">SUM(W34+SUM(W37:W41))</f>
        <v>0</v>
      </c>
      <c r="X42" s="13">
        <f t="shared" si="132"/>
        <v>0</v>
      </c>
      <c r="Y42" s="13">
        <f t="shared" si="132"/>
        <v>0</v>
      </c>
      <c r="Z42" s="13">
        <f t="shared" si="132"/>
        <v>0</v>
      </c>
      <c r="AA42" s="13">
        <f t="shared" si="132"/>
        <v>0</v>
      </c>
      <c r="AB42" s="13">
        <f t="shared" si="132"/>
        <v>0</v>
      </c>
      <c r="AC42" s="13">
        <f t="shared" si="132"/>
        <v>0</v>
      </c>
      <c r="AD42" s="13">
        <f>SUM(AD34+SUM(AD37:AD41))</f>
        <v>0</v>
      </c>
      <c r="AE42" s="13">
        <f>SUM(AE34+SUM(AE37:AE41))</f>
        <v>0</v>
      </c>
      <c r="AG42" s="109" t="e">
        <f t="shared" si="117"/>
        <v>#DIV/0!</v>
      </c>
    </row>
    <row r="43" spans="2:33" ht="5.0999999999999996" customHeight="1"/>
    <row r="44" spans="2:33" ht="12.75" customHeight="1">
      <c r="B44" s="29" t="s">
        <v>108</v>
      </c>
      <c r="C44" s="132"/>
      <c r="D44" s="132"/>
      <c r="E44" s="132"/>
      <c r="F44" s="132"/>
      <c r="G44" s="30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V44" s="131">
        <f t="shared" ref="V44:V49" si="133">SUM(H44:K44)</f>
        <v>0</v>
      </c>
      <c r="W44" s="131">
        <f t="shared" ref="W44:W49" si="134">SUM(I44:L44)</f>
        <v>0</v>
      </c>
      <c r="X44" s="131">
        <f t="shared" ref="X44:X49" si="135">SUM(J44:M44)</f>
        <v>0</v>
      </c>
      <c r="Y44" s="131">
        <f t="shared" ref="Y44:Y49" si="136">SUM(K44:N44)</f>
        <v>0</v>
      </c>
      <c r="Z44" s="131">
        <f t="shared" ref="Z44:Z49" si="137">SUM(L44:O44)</f>
        <v>0</v>
      </c>
      <c r="AA44" s="131">
        <f t="shared" ref="AA44:AA49" si="138">SUM(M44:P44)</f>
        <v>0</v>
      </c>
      <c r="AB44" s="131">
        <f t="shared" ref="AB44:AB49" si="139">SUM(N44:Q44)</f>
        <v>0</v>
      </c>
      <c r="AC44" s="131">
        <f t="shared" ref="AC44:AC49" si="140">SUM(O44:R44)</f>
        <v>0</v>
      </c>
      <c r="AD44" s="131">
        <f t="shared" ref="AD44:AD49" si="141">SUM(P44:S44)</f>
        <v>0</v>
      </c>
      <c r="AE44" s="131">
        <f t="shared" ref="AE44:AE49" si="142">SUM(Q44:T44)</f>
        <v>0</v>
      </c>
    </row>
    <row r="45" spans="2:33" ht="12.75" customHeight="1">
      <c r="B45" s="29" t="s">
        <v>108</v>
      </c>
      <c r="C45" s="132"/>
      <c r="D45" s="132"/>
      <c r="E45" s="132"/>
      <c r="F45" s="132"/>
      <c r="G45" s="30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V45" s="131">
        <f t="shared" si="133"/>
        <v>0</v>
      </c>
      <c r="W45" s="131">
        <f t="shared" si="134"/>
        <v>0</v>
      </c>
      <c r="X45" s="131">
        <f t="shared" si="135"/>
        <v>0</v>
      </c>
      <c r="Y45" s="131">
        <f t="shared" si="136"/>
        <v>0</v>
      </c>
      <c r="Z45" s="131">
        <f t="shared" si="137"/>
        <v>0</v>
      </c>
      <c r="AA45" s="131">
        <f t="shared" si="138"/>
        <v>0</v>
      </c>
      <c r="AB45" s="131">
        <f t="shared" si="139"/>
        <v>0</v>
      </c>
      <c r="AC45" s="131">
        <f t="shared" si="140"/>
        <v>0</v>
      </c>
      <c r="AD45" s="131">
        <f t="shared" si="141"/>
        <v>0</v>
      </c>
      <c r="AE45" s="131">
        <f t="shared" si="142"/>
        <v>0</v>
      </c>
    </row>
    <row r="46" spans="2:33" ht="12.75" customHeight="1">
      <c r="B46" s="29" t="s">
        <v>108</v>
      </c>
      <c r="C46" s="132"/>
      <c r="D46" s="132"/>
      <c r="E46" s="132"/>
      <c r="F46" s="132"/>
      <c r="G46" s="30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V46" s="131">
        <f t="shared" si="133"/>
        <v>0</v>
      </c>
      <c r="W46" s="131">
        <f t="shared" si="134"/>
        <v>0</v>
      </c>
      <c r="X46" s="131">
        <f t="shared" si="135"/>
        <v>0</v>
      </c>
      <c r="Y46" s="131">
        <f t="shared" si="136"/>
        <v>0</v>
      </c>
      <c r="Z46" s="131">
        <f t="shared" si="137"/>
        <v>0</v>
      </c>
      <c r="AA46" s="131">
        <f t="shared" si="138"/>
        <v>0</v>
      </c>
      <c r="AB46" s="131">
        <f t="shared" si="139"/>
        <v>0</v>
      </c>
      <c r="AC46" s="131">
        <f t="shared" si="140"/>
        <v>0</v>
      </c>
      <c r="AD46" s="131">
        <f t="shared" si="141"/>
        <v>0</v>
      </c>
      <c r="AE46" s="131">
        <f t="shared" si="142"/>
        <v>0</v>
      </c>
    </row>
    <row r="47" spans="2:33" ht="12.75" customHeight="1">
      <c r="B47" s="29" t="s">
        <v>108</v>
      </c>
      <c r="C47" s="132"/>
      <c r="D47" s="132"/>
      <c r="E47" s="132"/>
      <c r="F47" s="132"/>
      <c r="G47" s="30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V47" s="131">
        <f t="shared" si="133"/>
        <v>0</v>
      </c>
      <c r="W47" s="131">
        <f t="shared" si="134"/>
        <v>0</v>
      </c>
      <c r="X47" s="131">
        <f t="shared" si="135"/>
        <v>0</v>
      </c>
      <c r="Y47" s="131">
        <f t="shared" si="136"/>
        <v>0</v>
      </c>
      <c r="Z47" s="131">
        <f t="shared" si="137"/>
        <v>0</v>
      </c>
      <c r="AA47" s="131">
        <f t="shared" si="138"/>
        <v>0</v>
      </c>
      <c r="AB47" s="131">
        <f t="shared" si="139"/>
        <v>0</v>
      </c>
      <c r="AC47" s="131">
        <f t="shared" si="140"/>
        <v>0</v>
      </c>
      <c r="AD47" s="131">
        <f t="shared" si="141"/>
        <v>0</v>
      </c>
      <c r="AE47" s="131">
        <f t="shared" si="142"/>
        <v>0</v>
      </c>
    </row>
    <row r="48" spans="2:33" ht="12.75" customHeight="1">
      <c r="B48" s="29" t="s">
        <v>108</v>
      </c>
      <c r="C48" s="132"/>
      <c r="D48" s="132"/>
      <c r="E48" s="132"/>
      <c r="F48" s="132"/>
      <c r="G48" s="30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V48" s="131">
        <f t="shared" si="133"/>
        <v>0</v>
      </c>
      <c r="W48" s="131">
        <f t="shared" si="134"/>
        <v>0</v>
      </c>
      <c r="X48" s="131">
        <f t="shared" si="135"/>
        <v>0</v>
      </c>
      <c r="Y48" s="131">
        <f t="shared" si="136"/>
        <v>0</v>
      </c>
      <c r="Z48" s="131">
        <f t="shared" si="137"/>
        <v>0</v>
      </c>
      <c r="AA48" s="131">
        <f t="shared" si="138"/>
        <v>0</v>
      </c>
      <c r="AB48" s="131">
        <f t="shared" si="139"/>
        <v>0</v>
      </c>
      <c r="AC48" s="131">
        <f t="shared" si="140"/>
        <v>0</v>
      </c>
      <c r="AD48" s="131">
        <f t="shared" si="141"/>
        <v>0</v>
      </c>
      <c r="AE48" s="131">
        <f t="shared" si="142"/>
        <v>0</v>
      </c>
    </row>
    <row r="49" spans="1:31" ht="12.75" customHeight="1">
      <c r="B49" s="29" t="s">
        <v>68</v>
      </c>
      <c r="C49" s="133"/>
      <c r="D49" s="133">
        <f t="shared" ref="D49:F49" si="143">SUM(D54)-SUM(C54)-SUM(D42:D48)</f>
        <v>0</v>
      </c>
      <c r="E49" s="133">
        <f t="shared" si="143"/>
        <v>0</v>
      </c>
      <c r="F49" s="133">
        <f t="shared" si="143"/>
        <v>0</v>
      </c>
      <c r="G49" s="30"/>
      <c r="H49" s="133">
        <f>SUM(H54)-SUM(C54)-SUM(H42:H48)</f>
        <v>0</v>
      </c>
      <c r="I49" s="133">
        <f t="shared" ref="I49" si="144">SUM(I54)-SUM(H54)-SUM(I42:I48)</f>
        <v>0</v>
      </c>
      <c r="J49" s="133">
        <f t="shared" ref="J49" si="145">SUM(J54)-SUM(I54)-SUM(J42:J48)</f>
        <v>0</v>
      </c>
      <c r="K49" s="133">
        <f t="shared" ref="K49" si="146">SUM(K54)-SUM(J54)-SUM(K42:K48)</f>
        <v>2885</v>
      </c>
      <c r="L49" s="133">
        <f t="shared" ref="L49" si="147">SUM(L54)-SUM(K54)-SUM(L42:L48)</f>
        <v>-2885</v>
      </c>
      <c r="M49" s="133">
        <f t="shared" ref="M49" si="148">SUM(M54)-SUM(L54)-SUM(M42:M48)</f>
        <v>0</v>
      </c>
      <c r="N49" s="133">
        <f t="shared" ref="N49" si="149">SUM(N54)-SUM(M54)-SUM(N42:N48)</f>
        <v>0</v>
      </c>
      <c r="O49" s="133">
        <f t="shared" ref="O49" si="150">SUM(O54)-SUM(N54)-SUM(O42:O48)</f>
        <v>2460</v>
      </c>
      <c r="P49" s="133">
        <f t="shared" ref="P49" si="151">SUM(P54)-SUM(O54)-SUM(P42:P48)</f>
        <v>-2460</v>
      </c>
      <c r="Q49" s="133">
        <f t="shared" ref="Q49" si="152">SUM(Q54)-SUM(P54)-SUM(Q42:Q48)</f>
        <v>0</v>
      </c>
      <c r="R49" s="133">
        <f t="shared" ref="R49" si="153">SUM(R54)-SUM(Q54)-SUM(R42:R48)</f>
        <v>0</v>
      </c>
      <c r="S49" s="133">
        <f t="shared" ref="S49" si="154">SUM(S54)-SUM(R54)-SUM(S42:S48)</f>
        <v>2661</v>
      </c>
      <c r="T49" s="133">
        <f t="shared" ref="T49" si="155">SUM(T54)-SUM(S54)-SUM(T42:T48)</f>
        <v>-2661</v>
      </c>
      <c r="V49" s="131">
        <f t="shared" si="133"/>
        <v>2885</v>
      </c>
      <c r="W49" s="131">
        <f t="shared" si="134"/>
        <v>0</v>
      </c>
      <c r="X49" s="131">
        <f t="shared" si="135"/>
        <v>0</v>
      </c>
      <c r="Y49" s="131">
        <f t="shared" si="136"/>
        <v>0</v>
      </c>
      <c r="Z49" s="131">
        <f t="shared" si="137"/>
        <v>-425</v>
      </c>
      <c r="AA49" s="131">
        <f t="shared" si="138"/>
        <v>0</v>
      </c>
      <c r="AB49" s="131">
        <f t="shared" si="139"/>
        <v>0</v>
      </c>
      <c r="AC49" s="131">
        <f t="shared" si="140"/>
        <v>0</v>
      </c>
      <c r="AD49" s="131">
        <f t="shared" si="141"/>
        <v>201</v>
      </c>
      <c r="AE49" s="131">
        <f t="shared" si="142"/>
        <v>0</v>
      </c>
    </row>
    <row r="50" spans="1:31" ht="12.75" customHeight="1">
      <c r="B50" s="12" t="s">
        <v>40</v>
      </c>
      <c r="C50" s="13">
        <f t="shared" ref="C50:F50" si="156">SUM(C42+SUM(C44:C49))</f>
        <v>0</v>
      </c>
      <c r="D50" s="13">
        <f t="shared" si="156"/>
        <v>0</v>
      </c>
      <c r="E50" s="13">
        <f t="shared" si="156"/>
        <v>0</v>
      </c>
      <c r="F50" s="13">
        <f t="shared" si="156"/>
        <v>0</v>
      </c>
      <c r="H50" s="13">
        <f t="shared" ref="H50:S50" si="157">SUM(H42+SUM(H44:H49))</f>
        <v>0</v>
      </c>
      <c r="I50" s="13">
        <f t="shared" si="157"/>
        <v>0</v>
      </c>
      <c r="J50" s="13">
        <f t="shared" si="157"/>
        <v>0</v>
      </c>
      <c r="K50" s="13">
        <f t="shared" si="157"/>
        <v>2885</v>
      </c>
      <c r="L50" s="13">
        <f t="shared" si="157"/>
        <v>-2885</v>
      </c>
      <c r="M50" s="13">
        <f t="shared" si="157"/>
        <v>0</v>
      </c>
      <c r="N50" s="13">
        <f t="shared" si="157"/>
        <v>0</v>
      </c>
      <c r="O50" s="13">
        <f t="shared" si="157"/>
        <v>2460</v>
      </c>
      <c r="P50" s="13">
        <f t="shared" si="157"/>
        <v>-2460</v>
      </c>
      <c r="Q50" s="13">
        <f t="shared" si="157"/>
        <v>0</v>
      </c>
      <c r="R50" s="13">
        <f t="shared" si="157"/>
        <v>0</v>
      </c>
      <c r="S50" s="13">
        <f t="shared" si="157"/>
        <v>2661</v>
      </c>
      <c r="T50" s="13">
        <f t="shared" ref="T50" si="158">SUM(T42+SUM(T44:T49))</f>
        <v>-2661</v>
      </c>
      <c r="V50" s="13">
        <f t="shared" ref="V50:AE50" si="159">SUM(V42+SUM(V44:V49))</f>
        <v>2885</v>
      </c>
      <c r="W50" s="13">
        <f t="shared" si="159"/>
        <v>0</v>
      </c>
      <c r="X50" s="13">
        <f t="shared" si="159"/>
        <v>0</v>
      </c>
      <c r="Y50" s="13">
        <f t="shared" si="159"/>
        <v>0</v>
      </c>
      <c r="Z50" s="13">
        <f t="shared" si="159"/>
        <v>-425</v>
      </c>
      <c r="AA50" s="13">
        <f t="shared" si="159"/>
        <v>0</v>
      </c>
      <c r="AB50" s="13">
        <f t="shared" si="159"/>
        <v>0</v>
      </c>
      <c r="AC50" s="13">
        <f t="shared" si="159"/>
        <v>0</v>
      </c>
      <c r="AD50" s="13">
        <f t="shared" si="159"/>
        <v>201</v>
      </c>
      <c r="AE50" s="13">
        <f t="shared" si="159"/>
        <v>0</v>
      </c>
    </row>
    <row r="51" spans="1:31" ht="5.0999999999999996" customHeight="1"/>
    <row r="52" spans="1:31" ht="12.75" customHeight="1">
      <c r="A52" s="5"/>
      <c r="B52" s="31" t="s">
        <v>41</v>
      </c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</row>
    <row r="53" spans="1:31" ht="5.0999999999999996" customHeight="1"/>
    <row r="54" spans="1:31" ht="12.75" customHeight="1">
      <c r="B54" s="8" t="s">
        <v>42</v>
      </c>
      <c r="C54" s="80"/>
      <c r="D54" s="80"/>
      <c r="E54" s="80"/>
      <c r="F54" s="80"/>
      <c r="G54" s="30"/>
      <c r="H54" s="80"/>
      <c r="I54" s="80"/>
      <c r="J54" s="80"/>
      <c r="K54" s="80">
        <f>'Historical Financials'!K53</f>
        <v>2885</v>
      </c>
      <c r="L54" s="80"/>
      <c r="M54" s="80"/>
      <c r="N54" s="80"/>
      <c r="O54" s="80">
        <f>'Historical Financials'!O53</f>
        <v>2460</v>
      </c>
      <c r="P54" s="80"/>
      <c r="Q54" s="80"/>
      <c r="R54" s="80"/>
      <c r="S54" s="80">
        <f>'Historical Financials'!S53</f>
        <v>2661</v>
      </c>
      <c r="T54" s="80"/>
      <c r="V54" s="10">
        <f t="shared" ref="V54:AD56" si="160">K54</f>
        <v>2885</v>
      </c>
      <c r="W54" s="10">
        <f t="shared" si="160"/>
        <v>0</v>
      </c>
      <c r="X54" s="10">
        <f t="shared" si="160"/>
        <v>0</v>
      </c>
      <c r="Y54" s="10">
        <f t="shared" si="160"/>
        <v>0</v>
      </c>
      <c r="Z54" s="10">
        <f t="shared" si="160"/>
        <v>2460</v>
      </c>
      <c r="AA54" s="10">
        <f t="shared" si="160"/>
        <v>0</v>
      </c>
      <c r="AB54" s="10">
        <f t="shared" si="160"/>
        <v>0</v>
      </c>
      <c r="AC54" s="10">
        <f t="shared" si="160"/>
        <v>0</v>
      </c>
      <c r="AD54" s="10">
        <f t="shared" si="160"/>
        <v>2661</v>
      </c>
      <c r="AE54" s="10">
        <f>T54</f>
        <v>0</v>
      </c>
    </row>
    <row r="55" spans="1:31" ht="12.75" customHeight="1">
      <c r="B55" s="8" t="s">
        <v>107</v>
      </c>
      <c r="C55" s="80"/>
      <c r="D55" s="80"/>
      <c r="E55" s="80"/>
      <c r="F55" s="80"/>
      <c r="G55" s="30"/>
      <c r="H55" s="80"/>
      <c r="I55" s="80"/>
      <c r="J55" s="80"/>
      <c r="K55" s="80">
        <f>'Historical Financials'!K54</f>
        <v>7412</v>
      </c>
      <c r="L55" s="80"/>
      <c r="M55" s="80"/>
      <c r="N55" s="80"/>
      <c r="O55" s="80">
        <f>'Historical Financials'!O54</f>
        <v>7115</v>
      </c>
      <c r="P55" s="80"/>
      <c r="Q55" s="80"/>
      <c r="R55" s="80"/>
      <c r="S55" s="80">
        <f>'Historical Financials'!S54</f>
        <v>6920</v>
      </c>
      <c r="T55" s="80"/>
      <c r="V55" s="10">
        <f t="shared" si="160"/>
        <v>7412</v>
      </c>
      <c r="W55" s="10">
        <f t="shared" si="160"/>
        <v>0</v>
      </c>
      <c r="X55" s="10">
        <f t="shared" si="160"/>
        <v>0</v>
      </c>
      <c r="Y55" s="10">
        <f t="shared" si="160"/>
        <v>0</v>
      </c>
      <c r="Z55" s="10">
        <f t="shared" si="160"/>
        <v>7115</v>
      </c>
      <c r="AA55" s="10">
        <f t="shared" si="160"/>
        <v>0</v>
      </c>
      <c r="AB55" s="10">
        <f t="shared" si="160"/>
        <v>0</v>
      </c>
      <c r="AC55" s="10">
        <f t="shared" si="160"/>
        <v>0</v>
      </c>
      <c r="AD55" s="10">
        <f t="shared" si="160"/>
        <v>6920</v>
      </c>
      <c r="AE55" s="10">
        <f t="shared" ref="AE55:AE56" si="161">T55</f>
        <v>0</v>
      </c>
    </row>
    <row r="56" spans="1:31" ht="12.75" customHeight="1">
      <c r="B56" s="8" t="s">
        <v>107</v>
      </c>
      <c r="C56" s="75"/>
      <c r="D56" s="75"/>
      <c r="E56" s="75"/>
      <c r="F56" s="75"/>
      <c r="G56" s="30"/>
      <c r="H56" s="75"/>
      <c r="I56" s="75"/>
      <c r="J56" s="75"/>
      <c r="K56" s="106">
        <f>D56</f>
        <v>0</v>
      </c>
      <c r="L56" s="75"/>
      <c r="M56" s="75"/>
      <c r="N56" s="75"/>
      <c r="O56" s="106">
        <f>E56</f>
        <v>0</v>
      </c>
      <c r="P56" s="75"/>
      <c r="Q56" s="75"/>
      <c r="R56" s="75"/>
      <c r="S56" s="106">
        <f>F56</f>
        <v>0</v>
      </c>
      <c r="T56" s="75"/>
      <c r="V56" s="10">
        <f t="shared" si="160"/>
        <v>0</v>
      </c>
      <c r="W56" s="10">
        <f t="shared" si="160"/>
        <v>0</v>
      </c>
      <c r="X56" s="10">
        <f t="shared" si="160"/>
        <v>0</v>
      </c>
      <c r="Y56" s="10">
        <f t="shared" si="160"/>
        <v>0</v>
      </c>
      <c r="Z56" s="10">
        <f t="shared" si="160"/>
        <v>0</v>
      </c>
      <c r="AA56" s="10">
        <f t="shared" si="160"/>
        <v>0</v>
      </c>
      <c r="AB56" s="10">
        <f t="shared" si="160"/>
        <v>0</v>
      </c>
      <c r="AC56" s="10">
        <f t="shared" si="160"/>
        <v>0</v>
      </c>
      <c r="AD56" s="10">
        <f t="shared" si="160"/>
        <v>0</v>
      </c>
      <c r="AE56" s="10">
        <f t="shared" si="161"/>
        <v>0</v>
      </c>
    </row>
    <row r="57" spans="1:31" ht="12.75" customHeight="1">
      <c r="B57" s="12" t="s">
        <v>43</v>
      </c>
      <c r="C57" s="13">
        <f>SUM(C54:C56)</f>
        <v>0</v>
      </c>
      <c r="D57" s="13">
        <f t="shared" ref="D57:F57" si="162">SUM(D54:D56)</f>
        <v>0</v>
      </c>
      <c r="E57" s="13">
        <f t="shared" si="162"/>
        <v>0</v>
      </c>
      <c r="F57" s="13">
        <f t="shared" si="162"/>
        <v>0</v>
      </c>
      <c r="G57" s="30"/>
      <c r="H57" s="13">
        <f t="shared" ref="H57:S57" si="163">SUM(H54:H56)</f>
        <v>0</v>
      </c>
      <c r="I57" s="13">
        <f t="shared" si="163"/>
        <v>0</v>
      </c>
      <c r="J57" s="13">
        <f t="shared" si="163"/>
        <v>0</v>
      </c>
      <c r="K57" s="13">
        <f t="shared" si="163"/>
        <v>10297</v>
      </c>
      <c r="L57" s="13">
        <f t="shared" si="163"/>
        <v>0</v>
      </c>
      <c r="M57" s="13">
        <f t="shared" si="163"/>
        <v>0</v>
      </c>
      <c r="N57" s="13">
        <f t="shared" si="163"/>
        <v>0</v>
      </c>
      <c r="O57" s="13">
        <f t="shared" si="163"/>
        <v>9575</v>
      </c>
      <c r="P57" s="13">
        <f t="shared" si="163"/>
        <v>0</v>
      </c>
      <c r="Q57" s="13">
        <f t="shared" si="163"/>
        <v>0</v>
      </c>
      <c r="R57" s="13">
        <f t="shared" si="163"/>
        <v>0</v>
      </c>
      <c r="S57" s="13">
        <f t="shared" si="163"/>
        <v>9581</v>
      </c>
      <c r="T57" s="13">
        <f t="shared" ref="T57" si="164">SUM(T54:T56)</f>
        <v>0</v>
      </c>
      <c r="V57" s="13">
        <f t="shared" ref="V57" si="165">SUM(V54:V56)</f>
        <v>10297</v>
      </c>
      <c r="W57" s="13">
        <f t="shared" ref="W57:AE57" si="166">SUM(W54:W56)</f>
        <v>0</v>
      </c>
      <c r="X57" s="13">
        <f t="shared" si="166"/>
        <v>0</v>
      </c>
      <c r="Y57" s="13">
        <f t="shared" si="166"/>
        <v>0</v>
      </c>
      <c r="Z57" s="13">
        <f t="shared" si="166"/>
        <v>9575</v>
      </c>
      <c r="AA57" s="13">
        <f t="shared" si="166"/>
        <v>0</v>
      </c>
      <c r="AB57" s="13">
        <f t="shared" si="166"/>
        <v>0</v>
      </c>
      <c r="AC57" s="13">
        <f t="shared" si="166"/>
        <v>0</v>
      </c>
      <c r="AD57" s="13">
        <f t="shared" si="166"/>
        <v>9581</v>
      </c>
      <c r="AE57" s="13">
        <f t="shared" si="166"/>
        <v>0</v>
      </c>
    </row>
    <row r="58" spans="1:31" ht="5.0999999999999996" customHeight="1"/>
    <row r="59" spans="1:31" ht="12.75" customHeight="1">
      <c r="B59" s="32" t="s">
        <v>44</v>
      </c>
    </row>
    <row r="60" spans="1:31" ht="12.75" customHeight="1">
      <c r="B60" s="8" t="s">
        <v>107</v>
      </c>
      <c r="C60" s="80"/>
      <c r="D60" s="80"/>
      <c r="E60" s="80"/>
      <c r="F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10"/>
      <c r="V60" s="10">
        <f t="shared" ref="V60:V66" si="167">K60</f>
        <v>0</v>
      </c>
      <c r="W60" s="10">
        <f t="shared" ref="W60:W66" si="168">L60</f>
        <v>0</v>
      </c>
      <c r="X60" s="10">
        <f t="shared" ref="X60:X66" si="169">M60</f>
        <v>0</v>
      </c>
      <c r="Y60" s="10">
        <f t="shared" ref="Y60:Y66" si="170">N60</f>
        <v>0</v>
      </c>
      <c r="Z60" s="10">
        <f t="shared" ref="Z60:Z66" si="171">O60</f>
        <v>0</v>
      </c>
      <c r="AA60" s="10">
        <f t="shared" ref="AA60:AA66" si="172">P60</f>
        <v>0</v>
      </c>
      <c r="AB60" s="10">
        <f t="shared" ref="AB60:AB66" si="173">Q60</f>
        <v>0</v>
      </c>
      <c r="AC60" s="10">
        <f t="shared" ref="AC60:AC66" si="174">R60</f>
        <v>0</v>
      </c>
      <c r="AD60" s="10">
        <f t="shared" ref="AD60:AD66" si="175">S60</f>
        <v>0</v>
      </c>
      <c r="AE60" s="10">
        <f t="shared" ref="AE60:AE66" si="176">T60</f>
        <v>0</v>
      </c>
    </row>
    <row r="61" spans="1:31" ht="12.75" customHeight="1">
      <c r="B61" s="8" t="s">
        <v>107</v>
      </c>
      <c r="C61" s="80"/>
      <c r="D61" s="80"/>
      <c r="E61" s="80"/>
      <c r="F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10"/>
      <c r="V61" s="10">
        <f t="shared" si="167"/>
        <v>0</v>
      </c>
      <c r="W61" s="10">
        <f t="shared" si="168"/>
        <v>0</v>
      </c>
      <c r="X61" s="10">
        <f t="shared" si="169"/>
        <v>0</v>
      </c>
      <c r="Y61" s="10">
        <f t="shared" si="170"/>
        <v>0</v>
      </c>
      <c r="Z61" s="10">
        <f t="shared" si="171"/>
        <v>0</v>
      </c>
      <c r="AA61" s="10">
        <f t="shared" si="172"/>
        <v>0</v>
      </c>
      <c r="AB61" s="10">
        <f t="shared" si="173"/>
        <v>0</v>
      </c>
      <c r="AC61" s="10">
        <f t="shared" si="174"/>
        <v>0</v>
      </c>
      <c r="AD61" s="10">
        <f t="shared" si="175"/>
        <v>0</v>
      </c>
      <c r="AE61" s="10">
        <f t="shared" si="176"/>
        <v>0</v>
      </c>
    </row>
    <row r="62" spans="1:31" ht="12.75" customHeight="1">
      <c r="B62" s="8" t="s">
        <v>107</v>
      </c>
      <c r="C62" s="80"/>
      <c r="D62" s="80"/>
      <c r="E62" s="80"/>
      <c r="F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10"/>
      <c r="V62" s="10">
        <f t="shared" si="167"/>
        <v>0</v>
      </c>
      <c r="W62" s="10">
        <f t="shared" si="168"/>
        <v>0</v>
      </c>
      <c r="X62" s="10">
        <f t="shared" si="169"/>
        <v>0</v>
      </c>
      <c r="Y62" s="10">
        <f t="shared" si="170"/>
        <v>0</v>
      </c>
      <c r="Z62" s="10">
        <f t="shared" si="171"/>
        <v>0</v>
      </c>
      <c r="AA62" s="10">
        <f t="shared" si="172"/>
        <v>0</v>
      </c>
      <c r="AB62" s="10">
        <f t="shared" si="173"/>
        <v>0</v>
      </c>
      <c r="AC62" s="10">
        <f t="shared" si="174"/>
        <v>0</v>
      </c>
      <c r="AD62" s="10">
        <f t="shared" si="175"/>
        <v>0</v>
      </c>
      <c r="AE62" s="10">
        <f t="shared" si="176"/>
        <v>0</v>
      </c>
    </row>
    <row r="63" spans="1:31" ht="12.75" customHeight="1">
      <c r="B63" s="8" t="s">
        <v>107</v>
      </c>
      <c r="C63" s="80"/>
      <c r="D63" s="80"/>
      <c r="E63" s="80"/>
      <c r="F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10"/>
      <c r="V63" s="10">
        <f t="shared" si="167"/>
        <v>0</v>
      </c>
      <c r="W63" s="10">
        <f t="shared" si="168"/>
        <v>0</v>
      </c>
      <c r="X63" s="10">
        <f t="shared" si="169"/>
        <v>0</v>
      </c>
      <c r="Y63" s="10">
        <f t="shared" si="170"/>
        <v>0</v>
      </c>
      <c r="Z63" s="10">
        <f t="shared" si="171"/>
        <v>0</v>
      </c>
      <c r="AA63" s="10">
        <f t="shared" si="172"/>
        <v>0</v>
      </c>
      <c r="AB63" s="10">
        <f t="shared" si="173"/>
        <v>0</v>
      </c>
      <c r="AC63" s="10">
        <f t="shared" si="174"/>
        <v>0</v>
      </c>
      <c r="AD63" s="10">
        <f t="shared" si="175"/>
        <v>0</v>
      </c>
      <c r="AE63" s="10">
        <f t="shared" si="176"/>
        <v>0</v>
      </c>
    </row>
    <row r="64" spans="1:31" ht="12.75" customHeight="1">
      <c r="B64" s="8" t="s">
        <v>107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V64" s="10">
        <f t="shared" si="167"/>
        <v>0</v>
      </c>
      <c r="W64" s="10">
        <f t="shared" si="168"/>
        <v>0</v>
      </c>
      <c r="X64" s="10">
        <f t="shared" si="169"/>
        <v>0</v>
      </c>
      <c r="Y64" s="10">
        <f t="shared" si="170"/>
        <v>0</v>
      </c>
      <c r="Z64" s="10">
        <f t="shared" si="171"/>
        <v>0</v>
      </c>
      <c r="AA64" s="10">
        <f t="shared" si="172"/>
        <v>0</v>
      </c>
      <c r="AB64" s="10">
        <f t="shared" si="173"/>
        <v>0</v>
      </c>
      <c r="AC64" s="10">
        <f t="shared" si="174"/>
        <v>0</v>
      </c>
      <c r="AD64" s="10">
        <f t="shared" si="175"/>
        <v>0</v>
      </c>
      <c r="AE64" s="10">
        <f t="shared" si="176"/>
        <v>0</v>
      </c>
    </row>
    <row r="65" spans="2:31" ht="12.75" customHeight="1">
      <c r="B65" s="8" t="s">
        <v>107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V65" s="10">
        <f t="shared" si="167"/>
        <v>0</v>
      </c>
      <c r="W65" s="10">
        <f t="shared" si="168"/>
        <v>0</v>
      </c>
      <c r="X65" s="10">
        <f t="shared" si="169"/>
        <v>0</v>
      </c>
      <c r="Y65" s="10">
        <f t="shared" si="170"/>
        <v>0</v>
      </c>
      <c r="Z65" s="10">
        <f t="shared" si="171"/>
        <v>0</v>
      </c>
      <c r="AA65" s="10">
        <f t="shared" si="172"/>
        <v>0</v>
      </c>
      <c r="AB65" s="10">
        <f t="shared" si="173"/>
        <v>0</v>
      </c>
      <c r="AC65" s="10">
        <f t="shared" si="174"/>
        <v>0</v>
      </c>
      <c r="AD65" s="10">
        <f t="shared" si="175"/>
        <v>0</v>
      </c>
      <c r="AE65" s="10">
        <f t="shared" si="176"/>
        <v>0</v>
      </c>
    </row>
    <row r="66" spans="2:31" ht="12.75" customHeight="1">
      <c r="B66" s="8" t="s">
        <v>107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V66" s="10">
        <f t="shared" si="167"/>
        <v>0</v>
      </c>
      <c r="W66" s="10">
        <f t="shared" si="168"/>
        <v>0</v>
      </c>
      <c r="X66" s="10">
        <f t="shared" si="169"/>
        <v>0</v>
      </c>
      <c r="Y66" s="10">
        <f t="shared" si="170"/>
        <v>0</v>
      </c>
      <c r="Z66" s="10">
        <f t="shared" si="171"/>
        <v>0</v>
      </c>
      <c r="AA66" s="10">
        <f t="shared" si="172"/>
        <v>0</v>
      </c>
      <c r="AB66" s="10">
        <f t="shared" si="173"/>
        <v>0</v>
      </c>
      <c r="AC66" s="10">
        <f t="shared" si="174"/>
        <v>0</v>
      </c>
      <c r="AD66" s="10">
        <f t="shared" si="175"/>
        <v>0</v>
      </c>
      <c r="AE66" s="10">
        <f t="shared" si="176"/>
        <v>0</v>
      </c>
    </row>
    <row r="67" spans="2:31" ht="5.0999999999999996" customHeight="1">
      <c r="F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2:31">
      <c r="B68" s="32" t="s">
        <v>96</v>
      </c>
      <c r="F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2:31">
      <c r="B69" s="8" t="s">
        <v>97</v>
      </c>
      <c r="C69" s="80"/>
      <c r="D69" s="80"/>
      <c r="E69" s="80"/>
      <c r="F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V69" s="10">
        <f t="shared" ref="V69:V70" si="177">K69</f>
        <v>0</v>
      </c>
      <c r="W69" s="10">
        <f t="shared" ref="W69:W70" si="178">L69</f>
        <v>0</v>
      </c>
      <c r="X69" s="10">
        <f t="shared" ref="X69:X70" si="179">M69</f>
        <v>0</v>
      </c>
      <c r="Y69" s="10">
        <f t="shared" ref="Y69:Y70" si="180">N69</f>
        <v>0</v>
      </c>
      <c r="Z69" s="10">
        <f t="shared" ref="Z69:Z70" si="181">O69</f>
        <v>0</v>
      </c>
      <c r="AA69" s="10">
        <f t="shared" ref="AA69:AA70" si="182">P69</f>
        <v>0</v>
      </c>
      <c r="AB69" s="10">
        <f t="shared" ref="AB69:AB70" si="183">Q69</f>
        <v>0</v>
      </c>
      <c r="AC69" s="10">
        <f t="shared" ref="AC69:AC70" si="184">R69</f>
        <v>0</v>
      </c>
      <c r="AD69" s="10">
        <f t="shared" ref="AD69:AD70" si="185">S69</f>
        <v>0</v>
      </c>
      <c r="AE69" s="10">
        <f t="shared" ref="AE69:AE70" si="186">T69</f>
        <v>0</v>
      </c>
    </row>
    <row r="70" spans="2:31">
      <c r="B70" s="8" t="s">
        <v>98</v>
      </c>
      <c r="C70" s="80"/>
      <c r="D70" s="80"/>
      <c r="E70" s="80"/>
      <c r="F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V70" s="10">
        <f t="shared" si="177"/>
        <v>0</v>
      </c>
      <c r="W70" s="10">
        <f t="shared" si="178"/>
        <v>0</v>
      </c>
      <c r="X70" s="10">
        <f t="shared" si="179"/>
        <v>0</v>
      </c>
      <c r="Y70" s="10">
        <f t="shared" si="180"/>
        <v>0</v>
      </c>
      <c r="Z70" s="10">
        <f t="shared" si="181"/>
        <v>0</v>
      </c>
      <c r="AA70" s="10">
        <f t="shared" si="182"/>
        <v>0</v>
      </c>
      <c r="AB70" s="10">
        <f t="shared" si="183"/>
        <v>0</v>
      </c>
      <c r="AC70" s="10">
        <f t="shared" si="184"/>
        <v>0</v>
      </c>
      <c r="AD70" s="10">
        <f t="shared" si="185"/>
        <v>0</v>
      </c>
      <c r="AE70" s="10">
        <f t="shared" si="186"/>
        <v>0</v>
      </c>
    </row>
    <row r="71" spans="2:31">
      <c r="F71" s="10"/>
    </row>
    <row r="72" spans="2:31">
      <c r="B72" s="130" t="s">
        <v>107</v>
      </c>
      <c r="C72" s="75"/>
      <c r="D72" s="75"/>
      <c r="E72" s="75"/>
      <c r="F72" s="75"/>
      <c r="H72" s="75"/>
      <c r="I72" s="75"/>
      <c r="J72" s="75"/>
      <c r="K72" s="106">
        <f t="shared" ref="K72:K74" si="187">D72</f>
        <v>0</v>
      </c>
      <c r="L72" s="75"/>
      <c r="M72" s="75"/>
      <c r="N72" s="75"/>
      <c r="O72" s="106">
        <f t="shared" ref="O72:O74" si="188">E72</f>
        <v>0</v>
      </c>
      <c r="P72" s="75"/>
      <c r="Q72" s="75"/>
      <c r="R72" s="75"/>
      <c r="S72" s="106">
        <f>F72</f>
        <v>0</v>
      </c>
      <c r="T72" s="75"/>
      <c r="V72" s="10">
        <f t="shared" ref="V72:V75" si="189">K72</f>
        <v>0</v>
      </c>
      <c r="W72" s="10">
        <f t="shared" ref="W72:W75" si="190">L72</f>
        <v>0</v>
      </c>
      <c r="X72" s="10">
        <f t="shared" ref="X72:X75" si="191">M72</f>
        <v>0</v>
      </c>
      <c r="Y72" s="10">
        <f t="shared" ref="Y72:Y75" si="192">N72</f>
        <v>0</v>
      </c>
      <c r="Z72" s="10">
        <f t="shared" ref="Z72:Z75" si="193">O72</f>
        <v>0</v>
      </c>
      <c r="AA72" s="10">
        <f t="shared" ref="AA72:AA75" si="194">P72</f>
        <v>0</v>
      </c>
      <c r="AB72" s="10">
        <f t="shared" ref="AB72:AB75" si="195">Q72</f>
        <v>0</v>
      </c>
      <c r="AC72" s="10">
        <f t="shared" ref="AC72:AC75" si="196">R72</f>
        <v>0</v>
      </c>
      <c r="AD72" s="10">
        <f t="shared" ref="AD72:AD75" si="197">S72</f>
        <v>0</v>
      </c>
      <c r="AE72" s="10">
        <f t="shared" ref="AE72:AE75" si="198">T72</f>
        <v>0</v>
      </c>
    </row>
    <row r="73" spans="2:31">
      <c r="B73" s="130" t="s">
        <v>107</v>
      </c>
      <c r="C73" s="75"/>
      <c r="D73" s="75"/>
      <c r="E73" s="75"/>
      <c r="F73" s="75"/>
      <c r="H73" s="75"/>
      <c r="I73" s="75"/>
      <c r="J73" s="75"/>
      <c r="K73" s="106">
        <f t="shared" si="187"/>
        <v>0</v>
      </c>
      <c r="L73" s="75"/>
      <c r="M73" s="75"/>
      <c r="N73" s="75"/>
      <c r="O73" s="106">
        <f t="shared" si="188"/>
        <v>0</v>
      </c>
      <c r="P73" s="75"/>
      <c r="Q73" s="75"/>
      <c r="R73" s="75"/>
      <c r="S73" s="106">
        <f t="shared" ref="S73:S74" si="199">F73</f>
        <v>0</v>
      </c>
      <c r="T73" s="75"/>
      <c r="V73" s="10">
        <f t="shared" si="189"/>
        <v>0</v>
      </c>
      <c r="W73" s="10">
        <f t="shared" si="190"/>
        <v>0</v>
      </c>
      <c r="X73" s="10">
        <f t="shared" si="191"/>
        <v>0</v>
      </c>
      <c r="Y73" s="10">
        <f t="shared" si="192"/>
        <v>0</v>
      </c>
      <c r="Z73" s="10">
        <f t="shared" si="193"/>
        <v>0</v>
      </c>
      <c r="AA73" s="10">
        <f t="shared" si="194"/>
        <v>0</v>
      </c>
      <c r="AB73" s="10">
        <f t="shared" si="195"/>
        <v>0</v>
      </c>
      <c r="AC73" s="10">
        <f t="shared" si="196"/>
        <v>0</v>
      </c>
      <c r="AD73" s="10">
        <f t="shared" si="197"/>
        <v>0</v>
      </c>
      <c r="AE73" s="10">
        <f t="shared" si="198"/>
        <v>0</v>
      </c>
    </row>
    <row r="74" spans="2:31">
      <c r="B74" s="130" t="s">
        <v>107</v>
      </c>
      <c r="C74" s="75"/>
      <c r="D74" s="75"/>
      <c r="E74" s="75"/>
      <c r="F74" s="75"/>
      <c r="H74" s="75"/>
      <c r="I74" s="75"/>
      <c r="J74" s="75"/>
      <c r="K74" s="106">
        <f t="shared" si="187"/>
        <v>0</v>
      </c>
      <c r="L74" s="75"/>
      <c r="M74" s="75"/>
      <c r="N74" s="75"/>
      <c r="O74" s="106">
        <f t="shared" si="188"/>
        <v>0</v>
      </c>
      <c r="P74" s="75"/>
      <c r="Q74" s="75"/>
      <c r="R74" s="75"/>
      <c r="S74" s="106">
        <f t="shared" si="199"/>
        <v>0</v>
      </c>
      <c r="T74" s="75"/>
      <c r="V74" s="10">
        <f t="shared" si="189"/>
        <v>0</v>
      </c>
      <c r="W74" s="10">
        <f t="shared" si="190"/>
        <v>0</v>
      </c>
      <c r="X74" s="10">
        <f t="shared" si="191"/>
        <v>0</v>
      </c>
      <c r="Y74" s="10">
        <f t="shared" si="192"/>
        <v>0</v>
      </c>
      <c r="Z74" s="10">
        <f t="shared" si="193"/>
        <v>0</v>
      </c>
      <c r="AA74" s="10">
        <f t="shared" si="194"/>
        <v>0</v>
      </c>
      <c r="AB74" s="10">
        <f t="shared" si="195"/>
        <v>0</v>
      </c>
      <c r="AC74" s="10">
        <f t="shared" si="196"/>
        <v>0</v>
      </c>
      <c r="AD74" s="10">
        <f t="shared" si="197"/>
        <v>0</v>
      </c>
      <c r="AE74" s="10">
        <f t="shared" si="198"/>
        <v>0</v>
      </c>
    </row>
    <row r="75" spans="2:31">
      <c r="B75" s="130" t="s">
        <v>107</v>
      </c>
      <c r="C75" s="75"/>
      <c r="D75" s="75"/>
      <c r="E75" s="75"/>
      <c r="F75" s="75"/>
      <c r="H75" s="75"/>
      <c r="I75" s="75"/>
      <c r="J75" s="75"/>
      <c r="K75" s="80">
        <f>'Historical Financials'!K77+'Historical Financials'!K86</f>
        <v>2393</v>
      </c>
      <c r="L75" s="75"/>
      <c r="M75" s="75"/>
      <c r="N75" s="75"/>
      <c r="O75" s="80">
        <f>'Historical Financials'!O77+'Historical Financials'!O86</f>
        <v>1365</v>
      </c>
      <c r="P75" s="75"/>
      <c r="Q75" s="75"/>
      <c r="R75" s="75"/>
      <c r="S75" s="80">
        <f>'Historical Financials'!S77+'Historical Financials'!S86</f>
        <v>1620</v>
      </c>
      <c r="T75" s="75"/>
      <c r="V75" s="10">
        <f t="shared" si="189"/>
        <v>2393</v>
      </c>
      <c r="W75" s="10">
        <f t="shared" si="190"/>
        <v>0</v>
      </c>
      <c r="X75" s="10">
        <f t="shared" si="191"/>
        <v>0</v>
      </c>
      <c r="Y75" s="10">
        <f t="shared" si="192"/>
        <v>0</v>
      </c>
      <c r="Z75" s="10">
        <f t="shared" si="193"/>
        <v>1365</v>
      </c>
      <c r="AA75" s="10">
        <f t="shared" si="194"/>
        <v>0</v>
      </c>
      <c r="AB75" s="10">
        <f t="shared" si="195"/>
        <v>0</v>
      </c>
      <c r="AC75" s="10">
        <f t="shared" si="196"/>
        <v>0</v>
      </c>
      <c r="AD75" s="10">
        <f t="shared" si="197"/>
        <v>1620</v>
      </c>
      <c r="AE75" s="10">
        <f t="shared" si="198"/>
        <v>0</v>
      </c>
    </row>
    <row r="76" spans="2:31" ht="12.75" customHeight="1">
      <c r="B76" s="12" t="s">
        <v>21</v>
      </c>
      <c r="C76" s="13">
        <f t="shared" ref="C76:F76" si="200">SUM(C72:C75)</f>
        <v>0</v>
      </c>
      <c r="D76" s="13">
        <f t="shared" si="200"/>
        <v>0</v>
      </c>
      <c r="E76" s="13">
        <f t="shared" si="200"/>
        <v>0</v>
      </c>
      <c r="F76" s="13">
        <f t="shared" si="200"/>
        <v>0</v>
      </c>
      <c r="H76" s="13">
        <f t="shared" ref="H76:S76" si="201">SUM(H72:H75)</f>
        <v>0</v>
      </c>
      <c r="I76" s="13">
        <f t="shared" si="201"/>
        <v>0</v>
      </c>
      <c r="J76" s="13">
        <f t="shared" si="201"/>
        <v>0</v>
      </c>
      <c r="K76" s="13">
        <f t="shared" si="201"/>
        <v>2393</v>
      </c>
      <c r="L76" s="13">
        <f t="shared" si="201"/>
        <v>0</v>
      </c>
      <c r="M76" s="13">
        <f t="shared" si="201"/>
        <v>0</v>
      </c>
      <c r="N76" s="13">
        <f t="shared" si="201"/>
        <v>0</v>
      </c>
      <c r="O76" s="13">
        <f t="shared" si="201"/>
        <v>1365</v>
      </c>
      <c r="P76" s="13">
        <f t="shared" si="201"/>
        <v>0</v>
      </c>
      <c r="Q76" s="13">
        <f t="shared" si="201"/>
        <v>0</v>
      </c>
      <c r="R76" s="13">
        <f t="shared" si="201"/>
        <v>0</v>
      </c>
      <c r="S76" s="13">
        <f t="shared" si="201"/>
        <v>1620</v>
      </c>
      <c r="T76" s="13">
        <f t="shared" ref="T76" si="202">SUM(T72:T75)</f>
        <v>0</v>
      </c>
      <c r="V76" s="13">
        <f t="shared" ref="V76:AE76" si="203">SUM(V72:V75)</f>
        <v>2393</v>
      </c>
      <c r="W76" s="13">
        <f t="shared" si="203"/>
        <v>0</v>
      </c>
      <c r="X76" s="13">
        <f t="shared" si="203"/>
        <v>0</v>
      </c>
      <c r="Y76" s="13">
        <f t="shared" si="203"/>
        <v>0</v>
      </c>
      <c r="Z76" s="13">
        <f t="shared" si="203"/>
        <v>1365</v>
      </c>
      <c r="AA76" s="13">
        <f t="shared" si="203"/>
        <v>0</v>
      </c>
      <c r="AB76" s="13">
        <f t="shared" si="203"/>
        <v>0</v>
      </c>
      <c r="AC76" s="13">
        <f t="shared" si="203"/>
        <v>0</v>
      </c>
      <c r="AD76" s="13">
        <f t="shared" si="203"/>
        <v>1620</v>
      </c>
      <c r="AE76" s="13">
        <f t="shared" si="203"/>
        <v>0</v>
      </c>
    </row>
    <row r="77" spans="2:31" ht="5.0999999999999996" customHeight="1"/>
    <row r="78" spans="2:31" ht="12.75" customHeight="1">
      <c r="B78" s="8" t="s">
        <v>46</v>
      </c>
      <c r="C78" s="80"/>
      <c r="D78" s="80"/>
      <c r="E78" s="80"/>
      <c r="F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V78" s="10">
        <f t="shared" ref="V78" si="204">K78</f>
        <v>0</v>
      </c>
      <c r="W78" s="10">
        <f t="shared" ref="W78" si="205">L78</f>
        <v>0</v>
      </c>
      <c r="X78" s="10">
        <f t="shared" ref="X78" si="206">M78</f>
        <v>0</v>
      </c>
      <c r="Y78" s="10">
        <f t="shared" ref="Y78" si="207">N78</f>
        <v>0</v>
      </c>
      <c r="Z78" s="10">
        <f t="shared" ref="Z78" si="208">O78</f>
        <v>0</v>
      </c>
      <c r="AA78" s="10">
        <f t="shared" ref="AA78" si="209">P78</f>
        <v>0</v>
      </c>
      <c r="AB78" s="10">
        <f t="shared" ref="AB78" si="210">Q78</f>
        <v>0</v>
      </c>
      <c r="AC78" s="10">
        <f t="shared" ref="AC78" si="211">R78</f>
        <v>0</v>
      </c>
      <c r="AD78" s="10">
        <f t="shared" ref="AD78" si="212">S78</f>
        <v>0</v>
      </c>
      <c r="AE78" s="10">
        <f t="shared" ref="AE78" si="213">T78</f>
        <v>0</v>
      </c>
    </row>
    <row r="79" spans="2:31" ht="12.75" customHeight="1">
      <c r="B79" s="12" t="s">
        <v>47</v>
      </c>
      <c r="C79" s="13">
        <f t="shared" ref="C79:F79" si="214">SUM(C76:C78)</f>
        <v>0</v>
      </c>
      <c r="D79" s="13">
        <f t="shared" si="214"/>
        <v>0</v>
      </c>
      <c r="E79" s="13">
        <f t="shared" si="214"/>
        <v>0</v>
      </c>
      <c r="F79" s="13">
        <f t="shared" si="214"/>
        <v>0</v>
      </c>
      <c r="H79" s="13">
        <f>SUM(H76:H78)</f>
        <v>0</v>
      </c>
      <c r="I79" s="13">
        <f>SUM(I76:I78)</f>
        <v>0</v>
      </c>
      <c r="J79" s="13">
        <f>SUM(J76:J78)</f>
        <v>0</v>
      </c>
      <c r="K79" s="13">
        <f>SUM(K76:K78)</f>
        <v>2393</v>
      </c>
      <c r="L79" s="13">
        <f t="shared" ref="L79:Q79" si="215">SUM(L76:L78)</f>
        <v>0</v>
      </c>
      <c r="M79" s="13">
        <f t="shared" si="215"/>
        <v>0</v>
      </c>
      <c r="N79" s="13">
        <f t="shared" si="215"/>
        <v>0</v>
      </c>
      <c r="O79" s="13">
        <f t="shared" si="215"/>
        <v>1365</v>
      </c>
      <c r="P79" s="13">
        <f t="shared" si="215"/>
        <v>0</v>
      </c>
      <c r="Q79" s="13">
        <f t="shared" si="215"/>
        <v>0</v>
      </c>
      <c r="R79" s="13">
        <f t="shared" ref="R79:S79" si="216">SUM(R76:R78)</f>
        <v>0</v>
      </c>
      <c r="S79" s="13">
        <f t="shared" si="216"/>
        <v>1620</v>
      </c>
      <c r="T79" s="13">
        <f t="shared" ref="T79" si="217">SUM(T76:T78)</f>
        <v>0</v>
      </c>
      <c r="V79" s="13">
        <f t="shared" ref="V79" si="218">SUM(V76:V78)</f>
        <v>2393</v>
      </c>
      <c r="W79" s="13">
        <f t="shared" ref="W79:AC79" si="219">SUM(W76:W78)</f>
        <v>0</v>
      </c>
      <c r="X79" s="13">
        <f t="shared" si="219"/>
        <v>0</v>
      </c>
      <c r="Y79" s="13">
        <f t="shared" si="219"/>
        <v>0</v>
      </c>
      <c r="Z79" s="13">
        <f t="shared" si="219"/>
        <v>1365</v>
      </c>
      <c r="AA79" s="13">
        <f t="shared" si="219"/>
        <v>0</v>
      </c>
      <c r="AB79" s="13">
        <f t="shared" si="219"/>
        <v>0</v>
      </c>
      <c r="AC79" s="13">
        <f t="shared" si="219"/>
        <v>0</v>
      </c>
      <c r="AD79" s="13">
        <f>SUM(AD76:AD78)</f>
        <v>1620</v>
      </c>
      <c r="AE79" s="13">
        <f>SUM(AE76:AE78)</f>
        <v>0</v>
      </c>
    </row>
    <row r="80" spans="2:31" ht="5.0999999999999996" customHeight="1"/>
    <row r="81" spans="1:31" ht="12.75" customHeight="1">
      <c r="A81" s="5"/>
      <c r="B81" s="31" t="s">
        <v>69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</row>
    <row r="82" spans="1:31" ht="5.0999999999999996" customHeight="1"/>
    <row r="83" spans="1:31" ht="12.75" customHeight="1">
      <c r="B83" s="29" t="s">
        <v>99</v>
      </c>
      <c r="C83" s="134" t="e">
        <f>C76/C34</f>
        <v>#DIV/0!</v>
      </c>
      <c r="D83" s="134" t="e">
        <f>D76/D34</f>
        <v>#DIV/0!</v>
      </c>
      <c r="E83" s="134" t="e">
        <f>E76/E34</f>
        <v>#DIV/0!</v>
      </c>
      <c r="F83" s="134" t="e">
        <f>F76/F34</f>
        <v>#DIV/0!</v>
      </c>
      <c r="H83" s="136"/>
      <c r="I83" s="136"/>
      <c r="J83" s="136"/>
      <c r="K83" s="134" t="e">
        <f t="shared" ref="K83" si="220">SUM(K76/SUM(H34:K34))</f>
        <v>#DIV/0!</v>
      </c>
      <c r="L83" s="134" t="e">
        <f t="shared" ref="L83" si="221">SUM(L76/SUM(I34:L34))</f>
        <v>#DIV/0!</v>
      </c>
      <c r="M83" s="134" t="e">
        <f t="shared" ref="M83" si="222">SUM(M76/SUM(J34:M34))</f>
        <v>#DIV/0!</v>
      </c>
      <c r="N83" s="134" t="e">
        <f t="shared" ref="N83" si="223">SUM(N76/SUM(K34:N34))</f>
        <v>#DIV/0!</v>
      </c>
      <c r="O83" s="134" t="e">
        <f t="shared" ref="O83" si="224">SUM(O76/SUM(L34:O34))</f>
        <v>#DIV/0!</v>
      </c>
      <c r="P83" s="134" t="e">
        <f t="shared" ref="P83" si="225">SUM(P76/SUM(M34:P34))</f>
        <v>#DIV/0!</v>
      </c>
      <c r="Q83" s="134" t="e">
        <f t="shared" ref="Q83" si="226">SUM(Q76/SUM(N34:Q34))</f>
        <v>#DIV/0!</v>
      </c>
      <c r="R83" s="134" t="e">
        <f t="shared" ref="R83" si="227">SUM(R76/SUM(O34:R34))</f>
        <v>#DIV/0!</v>
      </c>
      <c r="S83" s="134" t="e">
        <f t="shared" ref="S83" si="228">SUM(S76/SUM(P34:S34))</f>
        <v>#DIV/0!</v>
      </c>
      <c r="T83" s="134" t="e">
        <f t="shared" ref="T83" si="229">SUM(T76/SUM(Q34:T34))</f>
        <v>#DIV/0!</v>
      </c>
      <c r="U83" s="134"/>
      <c r="V83" s="134" t="e">
        <f t="shared" ref="V83:AE83" si="230">V76/V34</f>
        <v>#DIV/0!</v>
      </c>
      <c r="W83" s="134" t="e">
        <f t="shared" si="230"/>
        <v>#DIV/0!</v>
      </c>
      <c r="X83" s="134" t="e">
        <f t="shared" si="230"/>
        <v>#DIV/0!</v>
      </c>
      <c r="Y83" s="134" t="e">
        <f t="shared" si="230"/>
        <v>#DIV/0!</v>
      </c>
      <c r="Z83" s="134" t="e">
        <f t="shared" si="230"/>
        <v>#DIV/0!</v>
      </c>
      <c r="AA83" s="134" t="e">
        <f t="shared" si="230"/>
        <v>#DIV/0!</v>
      </c>
      <c r="AB83" s="134" t="e">
        <f t="shared" si="230"/>
        <v>#DIV/0!</v>
      </c>
      <c r="AC83" s="134" t="e">
        <f t="shared" si="230"/>
        <v>#DIV/0!</v>
      </c>
      <c r="AD83" s="134" t="e">
        <f t="shared" si="230"/>
        <v>#DIV/0!</v>
      </c>
      <c r="AE83" s="134" t="e">
        <f t="shared" si="230"/>
        <v>#DIV/0!</v>
      </c>
    </row>
    <row r="84" spans="1:31" ht="12.75" customHeight="1">
      <c r="B84" s="29" t="s">
        <v>100</v>
      </c>
      <c r="C84" s="134" t="e">
        <f>SUM(C76-C54)/C34</f>
        <v>#DIV/0!</v>
      </c>
      <c r="D84" s="134" t="e">
        <f>SUM(D76-D54)/D34</f>
        <v>#DIV/0!</v>
      </c>
      <c r="E84" s="134" t="e">
        <f>SUM(E76-E54)/E34</f>
        <v>#DIV/0!</v>
      </c>
      <c r="F84" s="134" t="e">
        <f>SUM(F76-F54)/F34</f>
        <v>#DIV/0!</v>
      </c>
      <c r="H84" s="136"/>
      <c r="I84" s="136"/>
      <c r="J84" s="136"/>
      <c r="K84" s="134" t="e">
        <f t="shared" ref="K84" si="231">SUM(K76-K54)/SUM(H34:K34)</f>
        <v>#DIV/0!</v>
      </c>
      <c r="L84" s="134" t="e">
        <f t="shared" ref="L84" si="232">SUM(L76-L54)/SUM(I34:L34)</f>
        <v>#DIV/0!</v>
      </c>
      <c r="M84" s="134" t="e">
        <f t="shared" ref="M84" si="233">SUM(M76-M54)/SUM(J34:M34)</f>
        <v>#DIV/0!</v>
      </c>
      <c r="N84" s="134" t="e">
        <f t="shared" ref="N84" si="234">SUM(N76-N54)/SUM(K34:N34)</f>
        <v>#DIV/0!</v>
      </c>
      <c r="O84" s="134" t="e">
        <f t="shared" ref="O84" si="235">SUM(O76-O54)/SUM(L34:O34)</f>
        <v>#DIV/0!</v>
      </c>
      <c r="P84" s="134" t="e">
        <f t="shared" ref="P84" si="236">SUM(P76-P54)/SUM(M34:P34)</f>
        <v>#DIV/0!</v>
      </c>
      <c r="Q84" s="134" t="e">
        <f t="shared" ref="Q84" si="237">SUM(Q76-Q54)/SUM(N34:Q34)</f>
        <v>#DIV/0!</v>
      </c>
      <c r="R84" s="134" t="e">
        <f t="shared" ref="R84" si="238">SUM(R76-R54)/SUM(O34:R34)</f>
        <v>#DIV/0!</v>
      </c>
      <c r="S84" s="134" t="e">
        <f t="shared" ref="S84" si="239">SUM(S76-S54)/SUM(P34:S34)</f>
        <v>#DIV/0!</v>
      </c>
      <c r="T84" s="134" t="e">
        <f t="shared" ref="T84" si="240">SUM(T76-T54)/SUM(Q34:T34)</f>
        <v>#DIV/0!</v>
      </c>
      <c r="U84" s="134"/>
      <c r="V84" s="134" t="e">
        <f t="shared" ref="V84:AE84" si="241">SUM(V76-V54)/V34</f>
        <v>#DIV/0!</v>
      </c>
      <c r="W84" s="134" t="e">
        <f t="shared" si="241"/>
        <v>#DIV/0!</v>
      </c>
      <c r="X84" s="134" t="e">
        <f t="shared" si="241"/>
        <v>#DIV/0!</v>
      </c>
      <c r="Y84" s="134" t="e">
        <f t="shared" si="241"/>
        <v>#DIV/0!</v>
      </c>
      <c r="Z84" s="134" t="e">
        <f t="shared" si="241"/>
        <v>#DIV/0!</v>
      </c>
      <c r="AA84" s="134" t="e">
        <f t="shared" si="241"/>
        <v>#DIV/0!</v>
      </c>
      <c r="AB84" s="134" t="e">
        <f t="shared" si="241"/>
        <v>#DIV/0!</v>
      </c>
      <c r="AC84" s="134" t="e">
        <f t="shared" si="241"/>
        <v>#DIV/0!</v>
      </c>
      <c r="AD84" s="134" t="e">
        <f t="shared" si="241"/>
        <v>#DIV/0!</v>
      </c>
      <c r="AE84" s="134" t="e">
        <f t="shared" si="241"/>
        <v>#DIV/0!</v>
      </c>
    </row>
    <row r="85" spans="1:31" ht="12.75" customHeight="1">
      <c r="B85" s="29" t="s">
        <v>101</v>
      </c>
      <c r="C85" s="134" t="e">
        <f>C34/-C39</f>
        <v>#DIV/0!</v>
      </c>
      <c r="D85" s="134" t="e">
        <f>D34/-D39</f>
        <v>#DIV/0!</v>
      </c>
      <c r="E85" s="134" t="e">
        <f>E34/-E39</f>
        <v>#DIV/0!</v>
      </c>
      <c r="F85" s="134" t="e">
        <f>F34/-F39</f>
        <v>#DIV/0!</v>
      </c>
      <c r="H85" s="136"/>
      <c r="I85" s="136"/>
      <c r="J85" s="136"/>
      <c r="K85" s="134" t="e" cm="1">
        <f t="array" ref="K85">SUM(H34:K34)/SUM(-H39:K39)</f>
        <v>#DIV/0!</v>
      </c>
      <c r="L85" s="134" t="e" cm="1">
        <f t="array" ref="L85">SUM(I34:L34)/SUM(-I39:L39)</f>
        <v>#DIV/0!</v>
      </c>
      <c r="M85" s="134" t="e" cm="1">
        <f t="array" ref="M85">SUM(J34:M34)/SUM(-J39:M39)</f>
        <v>#DIV/0!</v>
      </c>
      <c r="N85" s="134" t="e" cm="1">
        <f t="array" ref="N85">SUM(K34:N34)/SUM(-K39:N39)</f>
        <v>#DIV/0!</v>
      </c>
      <c r="O85" s="134" t="e" cm="1">
        <f t="array" ref="O85">SUM(L34:O34)/SUM(-L39:O39)</f>
        <v>#DIV/0!</v>
      </c>
      <c r="P85" s="134" t="e" cm="1">
        <f t="array" ref="P85">SUM(M34:P34)/SUM(-M39:P39)</f>
        <v>#DIV/0!</v>
      </c>
      <c r="Q85" s="134" t="e" cm="1">
        <f t="array" ref="Q85">SUM(N34:Q34)/SUM(-N39:Q39)</f>
        <v>#DIV/0!</v>
      </c>
      <c r="R85" s="134" t="e" cm="1">
        <f t="array" ref="R85">SUM(O34:R34)/SUM(-O39:R39)</f>
        <v>#DIV/0!</v>
      </c>
      <c r="S85" s="134" t="e" cm="1">
        <f t="array" ref="S85">SUM(P34:S34)/SUM(-P39:S39)</f>
        <v>#DIV/0!</v>
      </c>
      <c r="T85" s="134" t="e" cm="1">
        <f t="array" ref="T85">SUM(Q34:T34)/SUM(-Q39:T39)</f>
        <v>#DIV/0!</v>
      </c>
      <c r="U85" s="134"/>
      <c r="V85" s="134" t="e">
        <f t="shared" ref="V85:AE85" si="242">V34/-V39</f>
        <v>#DIV/0!</v>
      </c>
      <c r="W85" s="134" t="e">
        <f t="shared" si="242"/>
        <v>#DIV/0!</v>
      </c>
      <c r="X85" s="134" t="e">
        <f t="shared" si="242"/>
        <v>#DIV/0!</v>
      </c>
      <c r="Y85" s="134" t="e">
        <f t="shared" si="242"/>
        <v>#DIV/0!</v>
      </c>
      <c r="Z85" s="134" t="e">
        <f t="shared" si="242"/>
        <v>#DIV/0!</v>
      </c>
      <c r="AA85" s="134" t="e">
        <f t="shared" si="242"/>
        <v>#DIV/0!</v>
      </c>
      <c r="AB85" s="134" t="e">
        <f t="shared" si="242"/>
        <v>#DIV/0!</v>
      </c>
      <c r="AC85" s="134" t="e">
        <f t="shared" si="242"/>
        <v>#DIV/0!</v>
      </c>
      <c r="AD85" s="134" t="e">
        <f t="shared" si="242"/>
        <v>#DIV/0!</v>
      </c>
      <c r="AE85" s="134" t="e">
        <f t="shared" si="242"/>
        <v>#DIV/0!</v>
      </c>
    </row>
    <row r="86" spans="1:31" ht="12.75" customHeight="1">
      <c r="B86" s="29" t="s">
        <v>102</v>
      </c>
      <c r="C86" s="134" t="e" cm="1">
        <f t="array" ref="C86">SUM(C34+C37)/SUM(-C38:C39)</f>
        <v>#DIV/0!</v>
      </c>
      <c r="D86" s="134" t="e" cm="1">
        <f t="array" ref="D86">SUM(D34+D37)/SUM(-D38:D39)</f>
        <v>#DIV/0!</v>
      </c>
      <c r="E86" s="134" t="e" cm="1">
        <f t="array" ref="E86">SUM(E34+E37)/SUM(-E38:E39)</f>
        <v>#DIV/0!</v>
      </c>
      <c r="F86" s="134" t="e" cm="1">
        <f t="array" ref="F86">SUM(F34+F37)/SUM(-F38:F39)</f>
        <v>#DIV/0!</v>
      </c>
      <c r="H86" s="136"/>
      <c r="I86" s="136"/>
      <c r="J86" s="136"/>
      <c r="K86" s="134" t="e" cm="1">
        <f t="array" ref="K86">SUM(H34:K34+H37:K37)/SUM(-H38:K39)</f>
        <v>#DIV/0!</v>
      </c>
      <c r="L86" s="134" t="e" cm="1">
        <f t="array" ref="L86">SUM(I34:L34+I37:L37)/SUM(-I38:L39)</f>
        <v>#DIV/0!</v>
      </c>
      <c r="M86" s="134" t="e" cm="1">
        <f t="array" ref="M86">SUM(J34:M34+J37:M37)/SUM(-J38:M39)</f>
        <v>#DIV/0!</v>
      </c>
      <c r="N86" s="134" t="e" cm="1">
        <f t="array" ref="N86">SUM(K34:N34+K37:N37)/SUM(-K38:N39)</f>
        <v>#DIV/0!</v>
      </c>
      <c r="O86" s="134" t="e" cm="1">
        <f t="array" ref="O86">SUM(L34:O34+L37:O37)/SUM(-L38:O39)</f>
        <v>#DIV/0!</v>
      </c>
      <c r="P86" s="134" t="e" cm="1">
        <f t="array" ref="P86">SUM(M34:P34+M37:P37)/SUM(-M38:P39)</f>
        <v>#DIV/0!</v>
      </c>
      <c r="Q86" s="134" t="e" cm="1">
        <f t="array" ref="Q86">SUM(N34:Q34+N37:Q37)/SUM(-N38:Q39)</f>
        <v>#DIV/0!</v>
      </c>
      <c r="R86" s="134" t="e" cm="1">
        <f t="array" ref="R86">SUM(O34:R34+O37:R37)/SUM(-O38:R39)</f>
        <v>#DIV/0!</v>
      </c>
      <c r="S86" s="134" t="e" cm="1">
        <f t="array" ref="S86">SUM(P34:S34+P37:S37)/SUM(-P38:S39)</f>
        <v>#DIV/0!</v>
      </c>
      <c r="T86" s="134" t="e" cm="1">
        <f t="array" ref="T86">SUM(Q34:T34+Q37:T37)/SUM(-Q38:T39)</f>
        <v>#DIV/0!</v>
      </c>
      <c r="U86" s="134"/>
      <c r="V86" s="134" t="e" cm="1">
        <f t="array" ref="V86">SUM(V34+V37)/SUM(-V38:V39)</f>
        <v>#DIV/0!</v>
      </c>
      <c r="W86" s="134" t="e" cm="1">
        <f t="array" ref="W86">SUM(W34+W37)/SUM(-W38:W39)</f>
        <v>#DIV/0!</v>
      </c>
      <c r="X86" s="134" t="e" cm="1">
        <f t="array" ref="X86">SUM(X34+X37)/SUM(-X38:X39)</f>
        <v>#DIV/0!</v>
      </c>
      <c r="Y86" s="134" t="e" cm="1">
        <f t="array" ref="Y86">SUM(Y34+Y37)/SUM(-Y38:Y39)</f>
        <v>#DIV/0!</v>
      </c>
      <c r="Z86" s="134" t="e" cm="1">
        <f t="array" ref="Z86">SUM(Z34+Z37)/SUM(-Z38:Z39)</f>
        <v>#DIV/0!</v>
      </c>
      <c r="AA86" s="134" t="e" cm="1">
        <f t="array" ref="AA86">SUM(AA34+AA37)/SUM(-AA38:AA39)</f>
        <v>#DIV/0!</v>
      </c>
      <c r="AB86" s="134" t="e" cm="1">
        <f t="array" ref="AB86">SUM(AB34+AB37)/SUM(-AB38:AB39)</f>
        <v>#DIV/0!</v>
      </c>
      <c r="AC86" s="134" t="e" cm="1">
        <f t="array" ref="AC86">SUM(AC34+AC37)/SUM(-AC38:AC39)</f>
        <v>#DIV/0!</v>
      </c>
      <c r="AD86" s="134" t="e" cm="1">
        <f t="array" ref="AD86">SUM(AD34+AD37)/SUM(-AD38:AD39)</f>
        <v>#DIV/0!</v>
      </c>
      <c r="AE86" s="134" t="e" cm="1">
        <f t="array" ref="AE86">SUM(AE34+AE37)/SUM(-AE38:AE39)</f>
        <v>#DIV/0!</v>
      </c>
    </row>
    <row r="87" spans="1:31" ht="12.75" customHeight="1">
      <c r="B87" s="29" t="s">
        <v>103</v>
      </c>
      <c r="C87" s="134" t="e" cm="1">
        <f t="array" ref="C87">SUM(C34)/SUM(-C37:C39)</f>
        <v>#DIV/0!</v>
      </c>
      <c r="D87" s="134" t="e" cm="1">
        <f t="array" ref="D87">SUM(D34)/SUM(-D37:D39)</f>
        <v>#DIV/0!</v>
      </c>
      <c r="E87" s="134" t="e" cm="1">
        <f t="array" ref="E87">SUM(E34)/SUM(-E37:E39)</f>
        <v>#DIV/0!</v>
      </c>
      <c r="F87" s="134" t="e" cm="1">
        <f t="array" ref="F87">SUM(F34)/SUM(-F37:F39)</f>
        <v>#DIV/0!</v>
      </c>
      <c r="H87" s="136"/>
      <c r="I87" s="136"/>
      <c r="J87" s="136"/>
      <c r="K87" s="134" t="e" cm="1">
        <f t="array" ref="K87">SUM(H34:K34)/SUM(-H37:K39)</f>
        <v>#DIV/0!</v>
      </c>
      <c r="L87" s="134" t="e" cm="1">
        <f t="array" ref="L87">SUM(I34:L34)/SUM(-I37:L39)</f>
        <v>#DIV/0!</v>
      </c>
      <c r="M87" s="134" t="e" cm="1">
        <f t="array" ref="M87">SUM(J34:M34)/SUM(-J37:M39)</f>
        <v>#DIV/0!</v>
      </c>
      <c r="N87" s="134" t="e" cm="1">
        <f t="array" ref="N87">SUM(K34:N34)/SUM(-K37:N39)</f>
        <v>#DIV/0!</v>
      </c>
      <c r="O87" s="134" t="e" cm="1">
        <f t="array" ref="O87">SUM(L34:O34)/SUM(-L37:O39)</f>
        <v>#DIV/0!</v>
      </c>
      <c r="P87" s="134" t="e" cm="1">
        <f t="array" ref="P87">SUM(M34:P34)/SUM(-M37:P39)</f>
        <v>#DIV/0!</v>
      </c>
      <c r="Q87" s="134" t="e" cm="1">
        <f t="array" ref="Q87">SUM(N34:Q34)/SUM(-N37:Q39)</f>
        <v>#DIV/0!</v>
      </c>
      <c r="R87" s="134" t="e" cm="1">
        <f t="array" ref="R87">SUM(O34:R34)/SUM(-O37:R39)</f>
        <v>#DIV/0!</v>
      </c>
      <c r="S87" s="134" t="e" cm="1">
        <f t="array" ref="S87">SUM(P34:S34)/SUM(-P37:S39)</f>
        <v>#DIV/0!</v>
      </c>
      <c r="T87" s="134" t="e" cm="1">
        <f t="array" ref="T87">SUM(Q34:T34)/SUM(-Q37:T39)</f>
        <v>#DIV/0!</v>
      </c>
      <c r="U87" s="134"/>
      <c r="V87" s="134" t="e" cm="1">
        <f t="array" ref="V87">SUM(V34)/SUM(-V37:V39)</f>
        <v>#DIV/0!</v>
      </c>
      <c r="W87" s="134" t="e" cm="1">
        <f t="array" ref="W87">SUM(W34)/SUM(-W37:W39)</f>
        <v>#DIV/0!</v>
      </c>
      <c r="X87" s="134" t="e" cm="1">
        <f t="array" ref="X87">SUM(X34)/SUM(-X37:X39)</f>
        <v>#DIV/0!</v>
      </c>
      <c r="Y87" s="134" t="e" cm="1">
        <f t="array" ref="Y87">SUM(Y34)/SUM(-Y37:Y39)</f>
        <v>#DIV/0!</v>
      </c>
      <c r="Z87" s="134" t="e" cm="1">
        <f t="array" ref="Z87">SUM(Z34)/SUM(-Z37:Z39)</f>
        <v>#DIV/0!</v>
      </c>
      <c r="AA87" s="134" t="e" cm="1">
        <f t="array" ref="AA87">SUM(AA34)/SUM(-AA37:AA39)</f>
        <v>#DIV/0!</v>
      </c>
      <c r="AB87" s="134" t="e" cm="1">
        <f t="array" ref="AB87">SUM(AB34)/SUM(-AB37:AB39)</f>
        <v>#DIV/0!</v>
      </c>
      <c r="AC87" s="134" t="e" cm="1">
        <f t="array" ref="AC87">SUM(AC34)/SUM(-AC37:AC39)</f>
        <v>#DIV/0!</v>
      </c>
      <c r="AD87" s="134" t="e" cm="1">
        <f t="array" ref="AD87">SUM(AD34)/SUM(-AD37:AD39)</f>
        <v>#DIV/0!</v>
      </c>
      <c r="AE87" s="134" t="e" cm="1">
        <f t="array" ref="AE87">SUM(AE34)/SUM(-AE37:AE39)</f>
        <v>#DIV/0!</v>
      </c>
    </row>
    <row r="88" spans="1:31" ht="12.75" customHeight="1">
      <c r="B88" s="8" t="s">
        <v>48</v>
      </c>
      <c r="C88" s="134" t="e">
        <f t="shared" ref="C88:F88" si="243">C79/C76</f>
        <v>#DIV/0!</v>
      </c>
      <c r="D88" s="134" t="e">
        <f t="shared" si="243"/>
        <v>#DIV/0!</v>
      </c>
      <c r="E88" s="134" t="e">
        <f t="shared" si="243"/>
        <v>#DIV/0!</v>
      </c>
      <c r="F88" s="134" t="e">
        <f t="shared" si="243"/>
        <v>#DIV/0!</v>
      </c>
      <c r="H88" s="136"/>
      <c r="I88" s="136"/>
      <c r="J88" s="136"/>
      <c r="K88" s="134">
        <f t="shared" ref="K88:S88" si="244">K79/K76</f>
        <v>1</v>
      </c>
      <c r="L88" s="134" t="e">
        <f t="shared" si="244"/>
        <v>#DIV/0!</v>
      </c>
      <c r="M88" s="134" t="e">
        <f t="shared" si="244"/>
        <v>#DIV/0!</v>
      </c>
      <c r="N88" s="134" t="e">
        <f t="shared" si="244"/>
        <v>#DIV/0!</v>
      </c>
      <c r="O88" s="134">
        <f t="shared" si="244"/>
        <v>1</v>
      </c>
      <c r="P88" s="134" t="e">
        <f t="shared" si="244"/>
        <v>#DIV/0!</v>
      </c>
      <c r="Q88" s="134" t="e">
        <f t="shared" si="244"/>
        <v>#DIV/0!</v>
      </c>
      <c r="R88" s="134" t="e">
        <f t="shared" si="244"/>
        <v>#DIV/0!</v>
      </c>
      <c r="S88" s="134">
        <f t="shared" si="244"/>
        <v>1</v>
      </c>
      <c r="T88" s="134" t="e">
        <f t="shared" ref="T88" si="245">T79/T76</f>
        <v>#DIV/0!</v>
      </c>
      <c r="U88" s="134"/>
      <c r="V88" s="134">
        <f t="shared" ref="V88" si="246">V79/V76</f>
        <v>1</v>
      </c>
      <c r="W88" s="134" t="e">
        <f t="shared" ref="W88:AC88" si="247">W79/W76</f>
        <v>#DIV/0!</v>
      </c>
      <c r="X88" s="134" t="e">
        <f t="shared" si="247"/>
        <v>#DIV/0!</v>
      </c>
      <c r="Y88" s="134" t="e">
        <f t="shared" si="247"/>
        <v>#DIV/0!</v>
      </c>
      <c r="Z88" s="134">
        <f t="shared" si="247"/>
        <v>1</v>
      </c>
      <c r="AA88" s="134" t="e">
        <f t="shared" si="247"/>
        <v>#DIV/0!</v>
      </c>
      <c r="AB88" s="134" t="e">
        <f t="shared" si="247"/>
        <v>#DIV/0!</v>
      </c>
      <c r="AC88" s="134" t="e">
        <f t="shared" si="247"/>
        <v>#DIV/0!</v>
      </c>
      <c r="AD88" s="134">
        <f>AD79/AD76</f>
        <v>1</v>
      </c>
      <c r="AE88" s="134" t="e">
        <f>AE79/AE76</f>
        <v>#DIV/0!</v>
      </c>
    </row>
    <row r="89" spans="1:31" ht="5.0999999999999996" customHeight="1" thickBot="1"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</row>
  </sheetData>
  <mergeCells count="1">
    <mergeCell ref="AG2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2026-01-10T10:00:19Z</dcterms:modified>
</cp:coreProperties>
</file>